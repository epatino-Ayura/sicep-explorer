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encia\Desktop\convocatoria\CUVAS CONVOCATORIA\FINAL\"/>
    </mc:Choice>
  </mc:AlternateContent>
  <xr:revisionPtr revIDLastSave="0" documentId="13_ncr:1_{90C19BC6-017B-452C-AA21-0F91A4D2D8C9}" xr6:coauthVersionLast="47" xr6:coauthVersionMax="47" xr10:uidLastSave="{00000000-0000-0000-0000-000000000000}"/>
  <bookViews>
    <workbookView xWindow="-120" yWindow="-120" windowWidth="24240" windowHeight="13020" firstSheet="2" activeTab="5" xr2:uid="{CA5A5846-B1B3-4DAB-A22F-1607D4724231}"/>
  </bookViews>
  <sheets>
    <sheet name="Cantidades - Producto 1" sheetId="2" r:id="rId1"/>
    <sheet name="Anexo 3 Oferta P1" sheetId="6" r:id="rId2"/>
    <sheet name="Cantidades - Producto 2" sheetId="4" r:id="rId3"/>
    <sheet name="Anexo 3 Oferta P2" sheetId="7" r:id="rId4"/>
    <sheet name="Cantidades - Producto 3" sheetId="9" r:id="rId5"/>
    <sheet name="Anexo 3 Oferta P3" sheetId="8" r:id="rId6"/>
  </sheets>
  <definedNames>
    <definedName name="_xlnm._FilterDatabase" localSheetId="0" hidden="1">'Cantidades - Producto 1'!$A$1:$AD$5</definedName>
    <definedName name="_xlnm._FilterDatabase" localSheetId="2" hidden="1">'Cantidades - Producto 2'!$A$1:$AD$5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7" l="1"/>
  <c r="C99" i="7"/>
  <c r="C86" i="7"/>
  <c r="C73" i="7"/>
  <c r="C60" i="7"/>
  <c r="C47" i="7"/>
  <c r="C34" i="7"/>
  <c r="C21" i="7"/>
  <c r="C17" i="7"/>
  <c r="C15" i="7"/>
  <c r="C14" i="7"/>
  <c r="C13" i="7"/>
  <c r="C12" i="7"/>
  <c r="C74" i="6"/>
  <c r="C20" i="7" l="1"/>
  <c r="C19" i="7"/>
  <c r="C16" i="7"/>
  <c r="C18" i="7"/>
  <c r="AD5" i="9" l="1"/>
  <c r="C12" i="8" s="1"/>
  <c r="C21" i="8" s="1"/>
  <c r="C22" i="8" s="1"/>
  <c r="AC4" i="9"/>
  <c r="AC5" i="9"/>
  <c r="AC3" i="9"/>
  <c r="AD5" i="2"/>
  <c r="AC4" i="2"/>
  <c r="AC5" i="2"/>
  <c r="AC3" i="2"/>
  <c r="C20" i="8"/>
  <c r="C19" i="8"/>
  <c r="C18" i="8"/>
  <c r="C17" i="8"/>
  <c r="C16" i="8"/>
  <c r="C15" i="8"/>
  <c r="C14" i="8"/>
  <c r="C13" i="8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1" i="6"/>
  <c r="C32" i="6"/>
  <c r="C30" i="6"/>
  <c r="C29" i="6"/>
  <c r="C28" i="6"/>
  <c r="C27" i="6"/>
  <c r="C26" i="6"/>
  <c r="C25" i="6"/>
  <c r="C24" i="6"/>
  <c r="C23" i="6"/>
  <c r="C22" i="6"/>
  <c r="C20" i="6"/>
  <c r="C19" i="6"/>
  <c r="C18" i="6"/>
  <c r="C17" i="6"/>
  <c r="C16" i="6"/>
  <c r="C15" i="6"/>
  <c r="C14" i="6"/>
  <c r="C13" i="6"/>
  <c r="C12" i="6"/>
  <c r="G12" i="6" l="1"/>
  <c r="C21" i="6"/>
</calcChain>
</file>

<file path=xl/sharedStrings.xml><?xml version="1.0" encoding="utf-8"?>
<sst xmlns="http://schemas.openxmlformats.org/spreadsheetml/2006/main" count="617" uniqueCount="66">
  <si>
    <t>Cantidad Ofrecida</t>
  </si>
  <si>
    <t>Tipo de día</t>
  </si>
  <si>
    <t>N° días
mes</t>
  </si>
  <si>
    <t>MES-AÑO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</si>
  <si>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</si>
  <si>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</si>
  <si>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</si>
  <si>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</si>
  <si>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</si>
  <si>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</si>
  <si>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</si>
  <si>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</si>
  <si>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</si>
  <si>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</si>
  <si>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</si>
  <si>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</si>
  <si>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</si>
  <si>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</si>
  <si>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</si>
  <si>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</si>
  <si>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</si>
  <si>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</si>
  <si>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</si>
  <si>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</si>
  <si>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</si>
  <si>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</si>
  <si>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</si>
  <si>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</si>
  <si>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</t>
  </si>
  <si>
    <t>TOTAL MES</t>
  </si>
  <si>
    <t>CANTIDADES 2025</t>
  </si>
  <si>
    <t>ORD.</t>
  </si>
  <si>
    <t>SAB.</t>
  </si>
  <si>
    <t>DOM- FES</t>
  </si>
  <si>
    <t>CANTIDADES 2026</t>
  </si>
  <si>
    <t>CANTIDADES 2027</t>
  </si>
  <si>
    <t>CANTIDADES 2028</t>
  </si>
  <si>
    <t>CANTIDADES 2029</t>
  </si>
  <si>
    <t>CANTIDADES 2031</t>
  </si>
  <si>
    <t>CUADRO DE PRESENTACIÓN DE PRECIO OFERTADO</t>
  </si>
  <si>
    <t>Invitación N°</t>
  </si>
  <si>
    <t>Oferente</t>
  </si>
  <si>
    <t>[Nombre del oferente]</t>
  </si>
  <si>
    <t>Modalidad</t>
  </si>
  <si>
    <t>Pague lo Contratado - PLC (1)</t>
  </si>
  <si>
    <t>Precio en</t>
  </si>
  <si>
    <t>CUADRO DE PRECIOS Y CANTIDAD DE ENERGÍA OFERTADOS</t>
  </si>
  <si>
    <t>AÑO</t>
  </si>
  <si>
    <t>2025 (4)</t>
  </si>
  <si>
    <t>Promedio total</t>
  </si>
  <si>
    <t>(1) PLC: Pague lo Contratado</t>
  </si>
  <si>
    <t xml:space="preserve">(3) La energía ofertada y adjudicada se despachará de acuerdo con la curva de demanda definida en el Anexo No. 4. </t>
  </si>
  <si>
    <t>Firma Oferente</t>
  </si>
  <si>
    <t xml:space="preserve">$/kWh - Precios constantes de Diciembre-2024 </t>
  </si>
  <si>
    <t xml:space="preserve">Cantidad de energia ofertada kWh/mes </t>
  </si>
  <si>
    <t xml:space="preserve">Cantidad de energia Solicitada kWh/mes </t>
  </si>
  <si>
    <t>Precio ofertado $/kWh</t>
  </si>
  <si>
    <t xml:space="preserve">% Energia Ofertada </t>
  </si>
  <si>
    <t>Convoctatoria Pública No. CP-EGVC2025-001</t>
  </si>
  <si>
    <t>(2) Precios en Pesos colombianos, para cada periodo (mes), expresados con dos cifras decimales [$/kWh] - - Precios constantes de diciembre-2024</t>
  </si>
  <si>
    <t>(4) Los oferentes que quieran participar en la totalidad de este producto deberán como mínimo, ofertar para el año 2025 un treinta porciento (30%) de la energía solicitada.</t>
  </si>
  <si>
    <t>(5) Si no se reciben la oferta minima para el año 2025 no se tendra en cuenta la oferta recibida para el 2026 hasta el 2031</t>
  </si>
  <si>
    <t>(5) Si no se reciben la oferta minima para el año 2025 no se tendra en cuenta la oferta recibida para el 2026 hasta el 2029</t>
  </si>
  <si>
    <t>ANEXO No. 3</t>
  </si>
  <si>
    <t>(6) si se recibe una oferta con la totalidad o el 100%  de la energia solicitada si los precios por cada año estan por debajo del precio de reserva, se adjudicara el total del producto.</t>
  </si>
  <si>
    <t xml:space="preserve">(5) Si no se reciben la oferta minima para el año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</si>
</sst>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 * #,##0.00_ ;_ * \-#,##0.00_ ;_ * &quot;-&quot;??_ ;_ @_ "/>
    <numFmt numFmtId="166" formatCode="#,##0_ ;\-#,##0\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b/>
      <sz val="11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ptos Narrow"/>
      <family val="2"/>
      <scheme val="minor"/>
    </font>
    <font>
      <sz val="11"/>
      <color theme="1"/>
      <name val="Arial Narrow"/>
      <family val="2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5" fontId="6" fillId="0" borderId="0" applyFont="0" applyFill="0" applyBorder="0" applyAlignment="0" applyProtection="0"/>
  </cellStyleXfs>
  <cellXfs count="163">
    <xf numFmtId="0" fontId="0" fillId="0" borderId="0" xfId="0"/>
    <xf numFmtId="0" fontId="4" fillId="2" borderId="1" xfId="3" applyFont="1" applyFill="1" applyBorder="1" applyAlignment="1" applyProtection="1">
      <alignment horizontal="center" vertical="center" wrapText="1"/>
      <protection locked="0"/>
    </xf>
    <xf numFmtId="0" fontId="4" fillId="2" borderId="2" xfId="3" applyFont="1" applyFill="1" applyBorder="1" applyAlignment="1" applyProtection="1">
      <alignment horizontal="center" vertical="center" wrapText="1"/>
      <protection locked="0"/>
    </xf>
    <xf numFmtId="0" fontId="4" fillId="2" borderId="3" xfId="3" applyFont="1" applyFill="1" applyBorder="1" applyAlignment="1" applyProtection="1">
      <alignment horizontal="center" vertical="center" wrapText="1"/>
      <protection locked="0"/>
    </xf>
    <xf numFmtId="4" fontId="0" fillId="0" borderId="4" xfId="0" applyNumberFormat="1" applyBorder="1" applyAlignment="1">
      <alignment wrapText="1"/>
    </xf>
    <xf numFmtId="2" fontId="4" fillId="2" borderId="6" xfId="3" applyNumberFormat="1" applyFont="1" applyFill="1" applyBorder="1" applyAlignment="1" applyProtection="1">
      <alignment horizontal="center" vertical="center" wrapText="1"/>
      <protection locked="0"/>
    </xf>
    <xf numFmtId="0" fontId="5" fillId="4" borderId="7" xfId="3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2" fontId="4" fillId="2" borderId="9" xfId="3" applyNumberFormat="1" applyFont="1" applyFill="1" applyBorder="1" applyAlignment="1" applyProtection="1">
      <alignment horizontal="center" vertical="center" wrapText="1"/>
      <protection locked="0"/>
    </xf>
    <xf numFmtId="0" fontId="5" fillId="4" borderId="8" xfId="3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2" fontId="4" fillId="2" borderId="10" xfId="3" applyNumberFormat="1" applyFont="1" applyFill="1" applyBorder="1" applyAlignment="1" applyProtection="1">
      <alignment horizontal="center" vertical="center" wrapText="1"/>
      <protection locked="0"/>
    </xf>
    <xf numFmtId="0" fontId="5" fillId="4" borderId="11" xfId="3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2" fontId="0" fillId="0" borderId="0" xfId="0" applyNumberFormat="1"/>
    <xf numFmtId="0" fontId="4" fillId="2" borderId="0" xfId="3" applyFont="1" applyFill="1" applyAlignment="1" applyProtection="1">
      <alignment horizontal="center" vertical="center" wrapText="1"/>
      <protection locked="0"/>
    </xf>
    <xf numFmtId="4" fontId="2" fillId="0" borderId="0" xfId="0" applyNumberFormat="1" applyFont="1" applyAlignment="1">
      <alignment wrapText="1"/>
    </xf>
    <xf numFmtId="2" fontId="2" fillId="5" borderId="6" xfId="0" applyNumberFormat="1" applyFont="1" applyFill="1" applyBorder="1" applyAlignment="1">
      <alignment horizontal="center" vertical="center"/>
    </xf>
    <xf numFmtId="2" fontId="4" fillId="2" borderId="12" xfId="3" applyNumberFormat="1" applyFont="1" applyFill="1" applyBorder="1" applyAlignment="1" applyProtection="1">
      <alignment horizontal="center" vertical="center" wrapText="1"/>
      <protection locked="0"/>
    </xf>
    <xf numFmtId="2" fontId="4" fillId="2" borderId="15" xfId="3" applyNumberFormat="1" applyFont="1" applyFill="1" applyBorder="1" applyAlignment="1" applyProtection="1">
      <alignment horizontal="center" vertical="center" wrapText="1"/>
      <protection locked="0"/>
    </xf>
    <xf numFmtId="2" fontId="4" fillId="2" borderId="18" xfId="3" applyNumberFormat="1" applyFont="1" applyFill="1" applyBorder="1" applyAlignment="1" applyProtection="1">
      <alignment horizontal="center" vertical="center" wrapText="1"/>
      <protection locked="0"/>
    </xf>
    <xf numFmtId="0" fontId="4" fillId="2" borderId="19" xfId="3" applyFont="1" applyFill="1" applyBorder="1" applyAlignment="1" applyProtection="1">
      <alignment horizontal="center" vertical="center" wrapText="1"/>
      <protection locked="0"/>
    </xf>
    <xf numFmtId="17" fontId="4" fillId="2" borderId="0" xfId="3" applyNumberFormat="1" applyFont="1" applyFill="1" applyAlignment="1" applyProtection="1">
      <alignment horizontal="center" vertical="center" wrapText="1"/>
      <protection locked="0"/>
    </xf>
    <xf numFmtId="0" fontId="4" fillId="2" borderId="5" xfId="3" applyFont="1" applyFill="1" applyBorder="1" applyAlignment="1" applyProtection="1">
      <alignment horizontal="center" vertical="center" wrapText="1"/>
      <protection locked="0"/>
    </xf>
    <xf numFmtId="0" fontId="0" fillId="3" borderId="0" xfId="0" applyFill="1"/>
    <xf numFmtId="166" fontId="2" fillId="0" borderId="6" xfId="4" applyNumberFormat="1" applyFont="1" applyBorder="1" applyAlignment="1" applyProtection="1">
      <alignment vertical="center"/>
    </xf>
    <xf numFmtId="166" fontId="2" fillId="0" borderId="9" xfId="4" applyNumberFormat="1" applyFont="1" applyBorder="1" applyAlignment="1" applyProtection="1">
      <alignment vertical="center"/>
    </xf>
    <xf numFmtId="166" fontId="2" fillId="0" borderId="10" xfId="4" applyNumberFormat="1" applyFont="1" applyBorder="1" applyAlignment="1" applyProtection="1">
      <alignment vertical="center"/>
    </xf>
    <xf numFmtId="4" fontId="0" fillId="0" borderId="0" xfId="0" applyNumberFormat="1"/>
    <xf numFmtId="0" fontId="0" fillId="0" borderId="13" xfId="0" applyBorder="1"/>
    <xf numFmtId="0" fontId="0" fillId="0" borderId="13" xfId="0" applyBorder="1" applyAlignment="1">
      <alignment wrapText="1"/>
    </xf>
    <xf numFmtId="0" fontId="0" fillId="0" borderId="13" xfId="0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/>
    <xf numFmtId="164" fontId="2" fillId="0" borderId="0" xfId="1" applyNumberFormat="1" applyFont="1"/>
    <xf numFmtId="0" fontId="2" fillId="0" borderId="6" xfId="0" applyFont="1" applyBorder="1"/>
    <xf numFmtId="0" fontId="5" fillId="4" borderId="20" xfId="3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/>
    <xf numFmtId="0" fontId="5" fillId="4" borderId="21" xfId="3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Border="1"/>
    <xf numFmtId="0" fontId="2" fillId="0" borderId="9" xfId="0" applyFont="1" applyBorder="1"/>
    <xf numFmtId="0" fontId="2" fillId="0" borderId="10" xfId="0" applyFont="1" applyBorder="1"/>
    <xf numFmtId="0" fontId="5" fillId="4" borderId="22" xfId="3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/>
    <xf numFmtId="0" fontId="2" fillId="0" borderId="13" xfId="0" applyFont="1" applyBorder="1"/>
    <xf numFmtId="0" fontId="2" fillId="0" borderId="13" xfId="0" applyFont="1" applyBorder="1" applyAlignment="1">
      <alignment wrapText="1"/>
    </xf>
    <xf numFmtId="2" fontId="2" fillId="0" borderId="6" xfId="0" applyNumberFormat="1" applyFont="1" applyBorder="1"/>
    <xf numFmtId="0" fontId="0" fillId="0" borderId="7" xfId="0" applyBorder="1" applyAlignment="1">
      <alignment horizontal="center"/>
    </xf>
    <xf numFmtId="2" fontId="2" fillId="0" borderId="9" xfId="0" applyNumberFormat="1" applyFont="1" applyBorder="1"/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2" fontId="2" fillId="0" borderId="10" xfId="0" applyNumberFormat="1" applyFont="1" applyBorder="1"/>
    <xf numFmtId="0" fontId="2" fillId="0" borderId="8" xfId="0" applyFont="1" applyBorder="1"/>
    <xf numFmtId="0" fontId="0" fillId="0" borderId="0" xfId="0" applyAlignment="1">
      <alignment wrapText="1"/>
    </xf>
    <xf numFmtId="0" fontId="0" fillId="0" borderId="6" xfId="0" applyBorder="1"/>
    <xf numFmtId="2" fontId="0" fillId="0" borderId="9" xfId="0" applyNumberFormat="1" applyBorder="1"/>
    <xf numFmtId="0" fontId="0" fillId="0" borderId="10" xfId="0" applyBorder="1"/>
    <xf numFmtId="2" fontId="0" fillId="0" borderId="6" xfId="0" applyNumberFormat="1" applyBorder="1"/>
    <xf numFmtId="0" fontId="0" fillId="0" borderId="9" xfId="0" applyBorder="1"/>
    <xf numFmtId="2" fontId="2" fillId="0" borderId="8" xfId="0" applyNumberFormat="1" applyFont="1" applyBorder="1"/>
    <xf numFmtId="1" fontId="0" fillId="0" borderId="8" xfId="0" applyNumberFormat="1" applyBorder="1"/>
    <xf numFmtId="1" fontId="2" fillId="5" borderId="9" xfId="0" applyNumberFormat="1" applyFont="1" applyFill="1" applyBorder="1" applyAlignment="1">
      <alignment horizontal="center" vertical="center"/>
    </xf>
    <xf numFmtId="0" fontId="0" fillId="0" borderId="23" xfId="0" applyBorder="1"/>
    <xf numFmtId="0" fontId="5" fillId="4" borderId="24" xfId="3" applyFont="1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28" xfId="0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 wrapText="1"/>
    </xf>
    <xf numFmtId="17" fontId="8" fillId="7" borderId="29" xfId="0" applyNumberFormat="1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17" fontId="8" fillId="7" borderId="23" xfId="0" applyNumberFormat="1" applyFont="1" applyFill="1" applyBorder="1" applyAlignment="1">
      <alignment horizontal="center" vertical="center" wrapText="1"/>
    </xf>
    <xf numFmtId="0" fontId="8" fillId="7" borderId="28" xfId="0" applyFont="1" applyFill="1" applyBorder="1" applyAlignment="1">
      <alignment horizontal="center" vertical="center" wrapText="1"/>
    </xf>
    <xf numFmtId="0" fontId="7" fillId="8" borderId="23" xfId="0" applyFont="1" applyFill="1" applyBorder="1" applyAlignment="1">
      <alignment horizontal="center" vertical="center" wrapText="1"/>
    </xf>
    <xf numFmtId="0" fontId="8" fillId="8" borderId="28" xfId="0" applyFont="1" applyFill="1" applyBorder="1" applyAlignment="1">
      <alignment horizontal="center" vertical="center" wrapText="1"/>
    </xf>
    <xf numFmtId="0" fontId="7" fillId="8" borderId="30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0" fillId="0" borderId="31" xfId="0" applyBorder="1"/>
    <xf numFmtId="17" fontId="8" fillId="7" borderId="17" xfId="0" applyNumberFormat="1" applyFont="1" applyFill="1" applyBorder="1" applyAlignment="1">
      <alignment horizontal="center" vertical="center" wrapText="1"/>
    </xf>
    <xf numFmtId="9" fontId="8" fillId="7" borderId="17" xfId="2" applyFont="1" applyFill="1" applyBorder="1" applyAlignment="1">
      <alignment horizontal="center" vertical="center" wrapText="1"/>
    </xf>
    <xf numFmtId="4" fontId="7" fillId="0" borderId="0" xfId="0" applyNumberFormat="1" applyFont="1" applyAlignment="1">
      <alignment vertical="center"/>
    </xf>
    <xf numFmtId="4" fontId="9" fillId="6" borderId="17" xfId="0" applyNumberFormat="1" applyFont="1" applyFill="1" applyBorder="1" applyAlignment="1">
      <alignment horizontal="center" vertical="center" wrapText="1"/>
    </xf>
    <xf numFmtId="4" fontId="8" fillId="7" borderId="17" xfId="1" applyNumberFormat="1" applyFont="1" applyFill="1" applyBorder="1" applyAlignment="1">
      <alignment horizontal="center" vertical="center" wrapText="1"/>
    </xf>
    <xf numFmtId="4" fontId="7" fillId="6" borderId="17" xfId="0" applyNumberFormat="1" applyFont="1" applyFill="1" applyBorder="1" applyAlignment="1">
      <alignment horizontal="center" vertical="center" wrapText="1"/>
    </xf>
    <xf numFmtId="4" fontId="8" fillId="7" borderId="17" xfId="0" applyNumberFormat="1" applyFont="1" applyFill="1" applyBorder="1" applyAlignment="1">
      <alignment horizontal="center" vertical="center" wrapText="1"/>
    </xf>
    <xf numFmtId="4" fontId="7" fillId="6" borderId="28" xfId="0" applyNumberFormat="1" applyFont="1" applyFill="1" applyBorder="1" applyAlignment="1">
      <alignment horizontal="center" vertical="center" wrapText="1"/>
    </xf>
    <xf numFmtId="4" fontId="8" fillId="7" borderId="28" xfId="0" applyNumberFormat="1" applyFont="1" applyFill="1" applyBorder="1" applyAlignment="1">
      <alignment horizontal="center" vertical="center" wrapText="1"/>
    </xf>
    <xf numFmtId="4" fontId="7" fillId="8" borderId="28" xfId="0" applyNumberFormat="1" applyFont="1" applyFill="1" applyBorder="1" applyAlignment="1">
      <alignment horizontal="center" vertical="center" wrapText="1"/>
    </xf>
    <xf numFmtId="4" fontId="8" fillId="8" borderId="28" xfId="0" applyNumberFormat="1" applyFont="1" applyFill="1" applyBorder="1" applyAlignment="1">
      <alignment horizontal="center" vertical="center" wrapText="1"/>
    </xf>
    <xf numFmtId="4" fontId="8" fillId="8" borderId="14" xfId="0" applyNumberFormat="1" applyFont="1" applyFill="1" applyBorder="1" applyAlignment="1">
      <alignment horizontal="center" vertical="center" wrapText="1"/>
    </xf>
    <xf numFmtId="4" fontId="9" fillId="6" borderId="28" xfId="0" applyNumberFormat="1" applyFont="1" applyFill="1" applyBorder="1" applyAlignment="1">
      <alignment horizontal="center" vertical="center" wrapText="1"/>
    </xf>
    <xf numFmtId="4" fontId="0" fillId="0" borderId="31" xfId="0" applyNumberFormat="1" applyBorder="1"/>
    <xf numFmtId="4" fontId="0" fillId="9" borderId="0" xfId="0" applyNumberFormat="1" applyFill="1"/>
    <xf numFmtId="9" fontId="7" fillId="0" borderId="0" xfId="2" applyFont="1" applyAlignment="1">
      <alignment horizontal="center" vertical="center"/>
    </xf>
    <xf numFmtId="9" fontId="0" fillId="0" borderId="0" xfId="2" applyFont="1"/>
    <xf numFmtId="9" fontId="9" fillId="6" borderId="17" xfId="2" applyFont="1" applyFill="1" applyBorder="1" applyAlignment="1">
      <alignment horizontal="center" vertical="center" wrapText="1"/>
    </xf>
    <xf numFmtId="9" fontId="7" fillId="6" borderId="17" xfId="2" applyFont="1" applyFill="1" applyBorder="1" applyAlignment="1">
      <alignment horizontal="center" vertical="center" wrapText="1"/>
    </xf>
    <xf numFmtId="9" fontId="7" fillId="6" borderId="28" xfId="2" applyFont="1" applyFill="1" applyBorder="1" applyAlignment="1">
      <alignment horizontal="center" vertical="center" wrapText="1"/>
    </xf>
    <xf numFmtId="9" fontId="8" fillId="8" borderId="28" xfId="2" applyFont="1" applyFill="1" applyBorder="1" applyAlignment="1">
      <alignment horizontal="center" vertical="center" wrapText="1"/>
    </xf>
    <xf numFmtId="9" fontId="9" fillId="6" borderId="28" xfId="2" applyFont="1" applyFill="1" applyBorder="1" applyAlignment="1">
      <alignment horizontal="center" vertical="center" wrapText="1"/>
    </xf>
    <xf numFmtId="2" fontId="2" fillId="5" borderId="8" xfId="0" applyNumberFormat="1" applyFont="1" applyFill="1" applyBorder="1" applyAlignment="1">
      <alignment horizontal="center" vertical="center"/>
    </xf>
    <xf numFmtId="164" fontId="2" fillId="5" borderId="8" xfId="1" applyNumberFormat="1" applyFont="1" applyFill="1" applyBorder="1" applyAlignment="1">
      <alignment horizontal="center" vertical="center"/>
    </xf>
    <xf numFmtId="164" fontId="2" fillId="0" borderId="0" xfId="1" applyNumberFormat="1" applyFont="1" applyAlignment="1">
      <alignment wrapText="1"/>
    </xf>
    <xf numFmtId="1" fontId="2" fillId="5" borderId="8" xfId="0" applyNumberFormat="1" applyFont="1" applyFill="1" applyBorder="1" applyAlignment="1">
      <alignment horizontal="center" vertical="center"/>
    </xf>
    <xf numFmtId="1" fontId="2" fillId="0" borderId="0" xfId="0" applyNumberFormat="1" applyFont="1"/>
    <xf numFmtId="164" fontId="0" fillId="5" borderId="8" xfId="1" applyNumberFormat="1" applyFont="1" applyFill="1" applyBorder="1" applyAlignment="1">
      <alignment horizontal="center" vertical="center"/>
    </xf>
    <xf numFmtId="17" fontId="2" fillId="0" borderId="2" xfId="0" applyNumberFormat="1" applyFont="1" applyBorder="1" applyAlignment="1">
      <alignment horizontal="center" vertical="center" wrapText="1"/>
    </xf>
    <xf numFmtId="17" fontId="2" fillId="0" borderId="13" xfId="0" applyNumberFormat="1" applyFont="1" applyBorder="1" applyAlignment="1">
      <alignment horizontal="center" vertical="center" wrapText="1"/>
    </xf>
    <xf numFmtId="17" fontId="2" fillId="0" borderId="16" xfId="0" applyNumberFormat="1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7" fontId="2" fillId="0" borderId="32" xfId="0" applyNumberFormat="1" applyFont="1" applyBorder="1" applyAlignment="1">
      <alignment horizontal="center" vertical="center" wrapText="1"/>
    </xf>
    <xf numFmtId="17" fontId="2" fillId="0" borderId="33" xfId="0" applyNumberFormat="1" applyFont="1" applyBorder="1" applyAlignment="1">
      <alignment horizontal="center" vertical="center" wrapText="1"/>
    </xf>
    <xf numFmtId="17" fontId="2" fillId="5" borderId="2" xfId="0" applyNumberFormat="1" applyFont="1" applyFill="1" applyBorder="1" applyAlignment="1">
      <alignment horizontal="center" vertical="center"/>
    </xf>
    <xf numFmtId="17" fontId="2" fillId="5" borderId="13" xfId="0" applyNumberFormat="1" applyFont="1" applyFill="1" applyBorder="1" applyAlignment="1">
      <alignment horizontal="center" vertical="center"/>
    </xf>
    <xf numFmtId="17" fontId="2" fillId="5" borderId="16" xfId="0" applyNumberFormat="1" applyFont="1" applyFill="1" applyBorder="1" applyAlignment="1">
      <alignment horizontal="center" vertical="center"/>
    </xf>
    <xf numFmtId="17" fontId="4" fillId="2" borderId="2" xfId="3" applyNumberFormat="1" applyFont="1" applyFill="1" applyBorder="1" applyAlignment="1" applyProtection="1">
      <alignment horizontal="center" vertical="center" wrapText="1"/>
      <protection locked="0"/>
    </xf>
    <xf numFmtId="17" fontId="4" fillId="2" borderId="13" xfId="3" applyNumberFormat="1" applyFont="1" applyFill="1" applyBorder="1" applyAlignment="1" applyProtection="1">
      <alignment horizontal="center" vertical="center" wrapText="1"/>
      <protection locked="0"/>
    </xf>
    <xf numFmtId="17" fontId="4" fillId="2" borderId="16" xfId="3" applyNumberFormat="1" applyFont="1" applyFill="1" applyBorder="1" applyAlignment="1" applyProtection="1">
      <alignment horizontal="center" vertical="center" wrapText="1"/>
      <protection locked="0"/>
    </xf>
    <xf numFmtId="17" fontId="5" fillId="5" borderId="2" xfId="3" applyNumberFormat="1" applyFont="1" applyFill="1" applyBorder="1" applyAlignment="1">
      <alignment horizontal="center" vertical="center" wrapText="1"/>
    </xf>
    <xf numFmtId="17" fontId="5" fillId="5" borderId="13" xfId="3" applyNumberFormat="1" applyFont="1" applyFill="1" applyBorder="1" applyAlignment="1">
      <alignment horizontal="center" vertical="center" wrapText="1"/>
    </xf>
    <xf numFmtId="17" fontId="5" fillId="5" borderId="16" xfId="3" applyNumberFormat="1" applyFont="1" applyFill="1" applyBorder="1" applyAlignment="1">
      <alignment horizontal="center" vertical="center" wrapText="1"/>
    </xf>
    <xf numFmtId="17" fontId="2" fillId="0" borderId="2" xfId="0" applyNumberFormat="1" applyFont="1" applyBorder="1" applyAlignment="1">
      <alignment horizontal="center" vertical="center"/>
    </xf>
    <xf numFmtId="17" fontId="2" fillId="0" borderId="13" xfId="0" applyNumberFormat="1" applyFont="1" applyBorder="1" applyAlignment="1">
      <alignment horizontal="center" vertical="center"/>
    </xf>
    <xf numFmtId="17" fontId="2" fillId="0" borderId="16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6" borderId="26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wrapText="1"/>
    </xf>
    <xf numFmtId="43" fontId="0" fillId="5" borderId="8" xfId="1" applyFont="1" applyFill="1" applyBorder="1" applyAlignment="1">
      <alignment horizontal="center" vertical="center"/>
    </xf>
    <xf numFmtId="0" fontId="4" fillId="2" borderId="0" xfId="3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 applyBorder="1" applyAlignment="1">
      <alignment wrapText="1"/>
    </xf>
    <xf numFmtId="2" fontId="4" fillId="2" borderId="8" xfId="3" applyNumberFormat="1" applyFont="1" applyFill="1" applyBorder="1" applyAlignment="1" applyProtection="1">
      <alignment horizontal="center" vertical="center" wrapText="1"/>
      <protection locked="0"/>
    </xf>
    <xf numFmtId="17" fontId="2" fillId="5" borderId="32" xfId="0" applyNumberFormat="1" applyFont="1" applyFill="1" applyBorder="1" applyAlignment="1">
      <alignment horizontal="center" vertical="center"/>
    </xf>
    <xf numFmtId="2" fontId="0" fillId="0" borderId="8" xfId="0" applyNumberFormat="1" applyBorder="1"/>
    <xf numFmtId="43" fontId="0" fillId="0" borderId="8" xfId="1" applyFont="1" applyBorder="1"/>
    <xf numFmtId="17" fontId="2" fillId="5" borderId="33" xfId="0" applyNumberFormat="1" applyFont="1" applyFill="1" applyBorder="1" applyAlignment="1">
      <alignment horizontal="center" vertical="center"/>
    </xf>
    <xf numFmtId="43" fontId="0" fillId="0" borderId="0" xfId="1" applyFont="1"/>
    <xf numFmtId="17" fontId="4" fillId="2" borderId="32" xfId="3" applyNumberFormat="1" applyFont="1" applyFill="1" applyBorder="1" applyAlignment="1" applyProtection="1">
      <alignment horizontal="center" vertical="center" wrapText="1"/>
      <protection locked="0"/>
    </xf>
    <xf numFmtId="17" fontId="4" fillId="2" borderId="33" xfId="3" applyNumberFormat="1" applyFont="1" applyFill="1" applyBorder="1" applyAlignment="1" applyProtection="1">
      <alignment horizontal="center" vertical="center" wrapText="1"/>
      <protection locked="0"/>
    </xf>
    <xf numFmtId="0" fontId="4" fillId="2" borderId="8" xfId="3" applyFont="1" applyFill="1" applyBorder="1" applyAlignment="1" applyProtection="1">
      <alignment horizontal="center" vertical="center" wrapText="1"/>
      <protection locked="0"/>
    </xf>
    <xf numFmtId="17" fontId="4" fillId="2" borderId="8" xfId="3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ill="1"/>
    <xf numFmtId="0" fontId="9" fillId="0" borderId="17" xfId="0" applyFont="1" applyFill="1" applyBorder="1" applyAlignment="1">
      <alignment horizontal="center" vertical="center" wrapText="1"/>
    </xf>
    <xf numFmtId="17" fontId="11" fillId="0" borderId="29" xfId="0" applyNumberFormat="1" applyFont="1" applyFill="1" applyBorder="1" applyAlignment="1">
      <alignment horizontal="center" vertical="center" wrapText="1"/>
    </xf>
    <xf numFmtId="4" fontId="11" fillId="0" borderId="17" xfId="0" applyNumberFormat="1" applyFont="1" applyFill="1" applyBorder="1" applyAlignment="1">
      <alignment horizontal="center" vertical="center" wrapText="1"/>
    </xf>
  </cellXfs>
  <cellStyles count="5">
    <cellStyle name="Millares" xfId="1" builtinId="3"/>
    <cellStyle name="Millares 2" xfId="4" xr:uid="{D540D61F-2F61-4224-982E-2A7E24E5F240}"/>
    <cellStyle name="Normal" xfId="0" builtinId="0"/>
    <cellStyle name="Normal_ENE99" xfId="3" xr:uid="{70BE0A30-28DB-4EE0-8300-78E21616C7BD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43EA5-A800-44A0-9826-4501773DBDCA}">
  <dimension ref="A1:AD22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W15" sqref="W15"/>
    </sheetView>
  </sheetViews>
  <sheetFormatPr baseColWidth="10" defaultRowHeight="15" x14ac:dyDescent="0.25"/>
  <cols>
    <col min="30" max="30" width="12.7109375" bestFit="1" customWidth="1"/>
  </cols>
  <sheetData>
    <row r="1" spans="1:30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4" t="s">
        <v>29</v>
      </c>
    </row>
    <row r="2" spans="1:30" ht="15.75" customHeight="1" thickBot="1" x14ac:dyDescent="0.3">
      <c r="A2" s="121" t="s">
        <v>30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</row>
    <row r="3" spans="1:30" x14ac:dyDescent="0.25">
      <c r="A3" s="5"/>
      <c r="B3" s="6" t="s">
        <v>31</v>
      </c>
      <c r="C3" s="7">
        <v>20</v>
      </c>
      <c r="D3" s="124">
        <v>45748</v>
      </c>
      <c r="E3" s="8">
        <v>3694.4499999999985</v>
      </c>
      <c r="F3" s="8">
        <v>3694.4499999999985</v>
      </c>
      <c r="G3" s="8">
        <v>3694.4499999999985</v>
      </c>
      <c r="H3" s="8">
        <v>3694.4499999999985</v>
      </c>
      <c r="I3" s="8">
        <v>3694.4499999999985</v>
      </c>
      <c r="J3" s="8">
        <v>3694.4499999999985</v>
      </c>
      <c r="K3" s="8">
        <v>3694.4499999999971</v>
      </c>
      <c r="L3" s="8">
        <v>3694.4499999999971</v>
      </c>
      <c r="M3" s="8">
        <v>3694.4500000000044</v>
      </c>
      <c r="N3" s="8">
        <v>3694.4500000000044</v>
      </c>
      <c r="O3" s="8">
        <v>3694.4500000000044</v>
      </c>
      <c r="P3" s="8">
        <v>3694.4500000000044</v>
      </c>
      <c r="Q3" s="8">
        <v>3694.4499999999898</v>
      </c>
      <c r="R3" s="8">
        <v>3694.4500000000044</v>
      </c>
      <c r="S3" s="8">
        <v>3694.4500000000044</v>
      </c>
      <c r="T3" s="8">
        <v>3694.4500000000044</v>
      </c>
      <c r="U3" s="8">
        <v>3694.4500000000044</v>
      </c>
      <c r="V3" s="8">
        <v>3694.4500000000044</v>
      </c>
      <c r="W3" s="8">
        <v>3694.4500000000044</v>
      </c>
      <c r="X3" s="8">
        <v>3694.4499999999971</v>
      </c>
      <c r="Y3" s="8">
        <v>3694.4500000000044</v>
      </c>
      <c r="Z3" s="8">
        <v>3694.4500000000044</v>
      </c>
      <c r="AA3" s="8">
        <v>3694.4499999999971</v>
      </c>
      <c r="AB3" s="8">
        <v>3694.4499999999985</v>
      </c>
      <c r="AC3" s="8">
        <f>SUM(E3:AB3)*C3</f>
        <v>1773336.0000000005</v>
      </c>
      <c r="AD3" s="8"/>
    </row>
    <row r="4" spans="1:30" x14ac:dyDescent="0.25">
      <c r="A4" s="9"/>
      <c r="B4" s="10" t="s">
        <v>32</v>
      </c>
      <c r="C4" s="11">
        <v>4</v>
      </c>
      <c r="D4" s="125"/>
      <c r="E4" s="8">
        <v>3694.4500000000007</v>
      </c>
      <c r="F4" s="8">
        <v>3694.4500000000007</v>
      </c>
      <c r="G4" s="8">
        <v>3694.4500000000007</v>
      </c>
      <c r="H4" s="8">
        <v>3694.4500000000007</v>
      </c>
      <c r="I4" s="8">
        <v>3694.4500000000007</v>
      </c>
      <c r="J4" s="8">
        <v>3694.4500000000007</v>
      </c>
      <c r="K4" s="8">
        <v>3694.4499999999971</v>
      </c>
      <c r="L4" s="8">
        <v>3694.4499999999971</v>
      </c>
      <c r="M4" s="8">
        <v>3694.4499999999971</v>
      </c>
      <c r="N4" s="8">
        <v>3694.4499999999935</v>
      </c>
      <c r="O4" s="8">
        <v>3694.4499999999971</v>
      </c>
      <c r="P4" s="8">
        <v>3694.4500000000044</v>
      </c>
      <c r="Q4" s="8">
        <v>3694.4499999999971</v>
      </c>
      <c r="R4" s="8">
        <v>3694.4499999999971</v>
      </c>
      <c r="S4" s="8">
        <v>3694.4499999999971</v>
      </c>
      <c r="T4" s="8">
        <v>3694.4500000000007</v>
      </c>
      <c r="U4" s="8">
        <v>3694.4499999999971</v>
      </c>
      <c r="V4" s="8">
        <v>3694.4500000000007</v>
      </c>
      <c r="W4" s="8">
        <v>3694.4499999999971</v>
      </c>
      <c r="X4" s="8">
        <v>3694.4500000000044</v>
      </c>
      <c r="Y4" s="8">
        <v>3694.4499999999898</v>
      </c>
      <c r="Z4" s="8">
        <v>3694.4499999999971</v>
      </c>
      <c r="AA4" s="8">
        <v>3694.4499999999971</v>
      </c>
      <c r="AB4" s="8">
        <v>3694.4499999999971</v>
      </c>
      <c r="AC4" s="8">
        <f t="shared" ref="AC4:AC5" si="0">SUM(E4:AB4)*C4</f>
        <v>354667.19999999978</v>
      </c>
      <c r="AD4" s="113"/>
    </row>
    <row r="5" spans="1:30" ht="15.75" thickBot="1" x14ac:dyDescent="0.3">
      <c r="A5" s="12"/>
      <c r="B5" s="13" t="s">
        <v>33</v>
      </c>
      <c r="C5" s="14">
        <v>6</v>
      </c>
      <c r="D5" s="126"/>
      <c r="E5" s="8">
        <v>3694.4499999999971</v>
      </c>
      <c r="F5" s="8">
        <v>3694.4500000000007</v>
      </c>
      <c r="G5" s="8">
        <v>3694.4499999999971</v>
      </c>
      <c r="H5" s="8">
        <v>3694.4499999999971</v>
      </c>
      <c r="I5" s="8">
        <v>3694.4499999999971</v>
      </c>
      <c r="J5" s="8">
        <v>3694.4500000000007</v>
      </c>
      <c r="K5" s="8">
        <v>3694.4500000000007</v>
      </c>
      <c r="L5" s="8">
        <v>3694.4499999999971</v>
      </c>
      <c r="M5" s="8">
        <v>3694.4500000000007</v>
      </c>
      <c r="N5" s="8">
        <v>3694.4499999999971</v>
      </c>
      <c r="O5" s="8">
        <v>3694.4500000000007</v>
      </c>
      <c r="P5" s="8">
        <v>3694.4499999999971</v>
      </c>
      <c r="Q5" s="8">
        <v>3694.4500000000007</v>
      </c>
      <c r="R5" s="8">
        <v>3694.4500000000007</v>
      </c>
      <c r="S5" s="8">
        <v>3694.4499999999971</v>
      </c>
      <c r="T5" s="8">
        <v>3694.4500000000007</v>
      </c>
      <c r="U5" s="8">
        <v>3694.4500000000007</v>
      </c>
      <c r="V5" s="8">
        <v>3694.4500000000007</v>
      </c>
      <c r="W5" s="8">
        <v>3694.4499999999971</v>
      </c>
      <c r="X5" s="8">
        <v>3694.4499999999971</v>
      </c>
      <c r="Y5" s="8">
        <v>3694.4499999999971</v>
      </c>
      <c r="Z5" s="8">
        <v>3694.4499999999971</v>
      </c>
      <c r="AA5" s="8">
        <v>3694.4499999999971</v>
      </c>
      <c r="AB5" s="8">
        <v>3694.4499999999971</v>
      </c>
      <c r="AC5" s="8">
        <f t="shared" si="0"/>
        <v>532000.7999999997</v>
      </c>
      <c r="AD5" s="113">
        <f>+AC3+AC4+AC5</f>
        <v>2660004</v>
      </c>
    </row>
    <row r="6" spans="1:30" ht="15.75" thickBot="1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14"/>
    </row>
    <row r="7" spans="1:30" x14ac:dyDescent="0.25">
      <c r="A7" s="18"/>
      <c r="B7" s="6" t="s">
        <v>31</v>
      </c>
      <c r="C7" s="7">
        <v>21</v>
      </c>
      <c r="D7" s="127">
        <v>45778</v>
      </c>
      <c r="E7" s="8">
        <v>3941.4400000000078</v>
      </c>
      <c r="F7" s="8">
        <v>3941.4400000000078</v>
      </c>
      <c r="G7" s="8">
        <v>3941.4400000000078</v>
      </c>
      <c r="H7" s="8">
        <v>3941.4400000000078</v>
      </c>
      <c r="I7" s="8">
        <v>3941.4400000000078</v>
      </c>
      <c r="J7" s="8">
        <v>3941.4400000000078</v>
      </c>
      <c r="K7" s="8">
        <v>3941.4400000000078</v>
      </c>
      <c r="L7" s="8">
        <v>3941.4400000000078</v>
      </c>
      <c r="M7" s="8">
        <v>3941.4400000000078</v>
      </c>
      <c r="N7" s="8">
        <v>3941.4400000000078</v>
      </c>
      <c r="O7" s="8">
        <v>3941.4400000000078</v>
      </c>
      <c r="P7" s="8">
        <v>3941.4400000000078</v>
      </c>
      <c r="Q7" s="8">
        <v>3941.4400000000078</v>
      </c>
      <c r="R7" s="8">
        <v>3941.4400000000078</v>
      </c>
      <c r="S7" s="8">
        <v>3941.4400000000078</v>
      </c>
      <c r="T7" s="8">
        <v>3941.4400000000078</v>
      </c>
      <c r="U7" s="8">
        <v>3941.4400000000078</v>
      </c>
      <c r="V7" s="8">
        <v>3941.4400000000078</v>
      </c>
      <c r="W7" s="8">
        <v>3941.4400000000078</v>
      </c>
      <c r="X7" s="8">
        <v>3941.4400000000078</v>
      </c>
      <c r="Y7" s="8">
        <v>3941.4400000000078</v>
      </c>
      <c r="Z7" s="8">
        <v>3941.4400000000078</v>
      </c>
      <c r="AA7" s="8">
        <v>3941.4400000000078</v>
      </c>
      <c r="AB7" s="8">
        <v>3941.4400000000078</v>
      </c>
      <c r="AC7" s="8">
        <v>1891891.2000000034</v>
      </c>
      <c r="AD7" s="113"/>
    </row>
    <row r="8" spans="1:30" x14ac:dyDescent="0.25">
      <c r="A8" s="19"/>
      <c r="B8" s="10" t="s">
        <v>32</v>
      </c>
      <c r="C8" s="11">
        <v>5</v>
      </c>
      <c r="D8" s="128"/>
      <c r="E8" s="8">
        <v>3941.4400000000023</v>
      </c>
      <c r="F8" s="8">
        <v>3941.4400000000023</v>
      </c>
      <c r="G8" s="8">
        <v>3941.4400000000096</v>
      </c>
      <c r="H8" s="8">
        <v>3941.4400000000096</v>
      </c>
      <c r="I8" s="8">
        <v>3941.4400000000096</v>
      </c>
      <c r="J8" s="8">
        <v>3941.4400000000096</v>
      </c>
      <c r="K8" s="8">
        <v>3941.4400000000096</v>
      </c>
      <c r="L8" s="8">
        <v>3941.4400000000169</v>
      </c>
      <c r="M8" s="8">
        <v>3941.4400000000096</v>
      </c>
      <c r="N8" s="8">
        <v>3941.4400000000096</v>
      </c>
      <c r="O8" s="8">
        <v>3941.4400000000169</v>
      </c>
      <c r="P8" s="8">
        <v>3941.4400000000096</v>
      </c>
      <c r="Q8" s="8">
        <v>3941.4400000000096</v>
      </c>
      <c r="R8" s="8">
        <v>3941.4400000000096</v>
      </c>
      <c r="S8" s="8">
        <v>3941.4400000000096</v>
      </c>
      <c r="T8" s="8">
        <v>3941.4400000000096</v>
      </c>
      <c r="U8" s="8">
        <v>3941.4400000000096</v>
      </c>
      <c r="V8" s="8">
        <v>3941.4400000000096</v>
      </c>
      <c r="W8" s="8">
        <v>3941.4400000000023</v>
      </c>
      <c r="X8" s="8">
        <v>3941.4400000000096</v>
      </c>
      <c r="Y8" s="8">
        <v>3941.4400000000096</v>
      </c>
      <c r="Z8" s="8">
        <v>3941.4400000000169</v>
      </c>
      <c r="AA8" s="8">
        <v>3941.4400000000096</v>
      </c>
      <c r="AB8" s="8">
        <v>3941.4400000000096</v>
      </c>
      <c r="AC8" s="8">
        <v>472972.80000000098</v>
      </c>
      <c r="AD8" s="113"/>
    </row>
    <row r="9" spans="1:30" ht="15.75" thickBot="1" x14ac:dyDescent="0.3">
      <c r="A9" s="20"/>
      <c r="B9" s="13" t="s">
        <v>33</v>
      </c>
      <c r="C9" s="14">
        <v>5</v>
      </c>
      <c r="D9" s="129"/>
      <c r="E9" s="8">
        <v>3941.4400000000023</v>
      </c>
      <c r="F9" s="8">
        <v>3941.4400000000096</v>
      </c>
      <c r="G9" s="8">
        <v>3941.4400000000096</v>
      </c>
      <c r="H9" s="8">
        <v>3941.4400000000096</v>
      </c>
      <c r="I9" s="8">
        <v>3941.4400000000169</v>
      </c>
      <c r="J9" s="8">
        <v>3941.4400000000096</v>
      </c>
      <c r="K9" s="8">
        <v>3941.4400000000096</v>
      </c>
      <c r="L9" s="8">
        <v>3941.4400000000096</v>
      </c>
      <c r="M9" s="8">
        <v>3941.4400000000096</v>
      </c>
      <c r="N9" s="8">
        <v>3941.4400000000023</v>
      </c>
      <c r="O9" s="8">
        <v>3941.4400000000096</v>
      </c>
      <c r="P9" s="8">
        <v>3941.4400000000096</v>
      </c>
      <c r="Q9" s="8">
        <v>3941.4400000000096</v>
      </c>
      <c r="R9" s="8">
        <v>3941.4400000000096</v>
      </c>
      <c r="S9" s="8">
        <v>3941.4400000000096</v>
      </c>
      <c r="T9" s="8">
        <v>3941.4400000000096</v>
      </c>
      <c r="U9" s="8">
        <v>3941.4400000000023</v>
      </c>
      <c r="V9" s="8">
        <v>3941.4400000000096</v>
      </c>
      <c r="W9" s="8">
        <v>3941.4400000000096</v>
      </c>
      <c r="X9" s="8">
        <v>3941.4400000000169</v>
      </c>
      <c r="Y9" s="8">
        <v>3941.4400000000096</v>
      </c>
      <c r="Z9" s="8">
        <v>3941.4400000000169</v>
      </c>
      <c r="AA9" s="8">
        <v>3941.4400000000096</v>
      </c>
      <c r="AB9" s="8">
        <v>3941.4400000000096</v>
      </c>
      <c r="AC9" s="8">
        <v>472972.80000000115</v>
      </c>
      <c r="AD9" s="113">
        <v>2837836.8000000054</v>
      </c>
    </row>
    <row r="10" spans="1:30" ht="15.75" thickBo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14"/>
    </row>
    <row r="11" spans="1:30" x14ac:dyDescent="0.25">
      <c r="A11" s="21"/>
      <c r="B11" s="6" t="s">
        <v>31</v>
      </c>
      <c r="C11" s="7">
        <v>18</v>
      </c>
      <c r="D11" s="22"/>
      <c r="E11" s="8">
        <v>3694.4499999999971</v>
      </c>
      <c r="F11" s="8">
        <v>3694.4499999999971</v>
      </c>
      <c r="G11" s="8">
        <v>3694.4499999999989</v>
      </c>
      <c r="H11" s="8">
        <v>3694.4499999999989</v>
      </c>
      <c r="I11" s="8">
        <v>3694.4499999999971</v>
      </c>
      <c r="J11" s="8">
        <v>3694.4499999999971</v>
      </c>
      <c r="K11" s="8">
        <v>3694.4499999999953</v>
      </c>
      <c r="L11" s="8">
        <v>3694.4499999999953</v>
      </c>
      <c r="M11" s="8">
        <v>3694.4499999999953</v>
      </c>
      <c r="N11" s="8">
        <v>3694.4499999999953</v>
      </c>
      <c r="O11" s="8">
        <v>3694.4499999999898</v>
      </c>
      <c r="P11" s="8">
        <v>3694.4499999999953</v>
      </c>
      <c r="Q11" s="8">
        <v>3694.4499999999953</v>
      </c>
      <c r="R11" s="8">
        <v>3694.4499999999971</v>
      </c>
      <c r="S11" s="8">
        <v>3694.4499999999953</v>
      </c>
      <c r="T11" s="8">
        <v>3694.4499999999971</v>
      </c>
      <c r="U11" s="8">
        <v>3694.4499999999953</v>
      </c>
      <c r="V11" s="8">
        <v>3694.4499999999953</v>
      </c>
      <c r="W11" s="8">
        <v>3694.4499999999971</v>
      </c>
      <c r="X11" s="8">
        <v>3694.4499999999971</v>
      </c>
      <c r="Y11" s="8">
        <v>3694.4499999999971</v>
      </c>
      <c r="Z11" s="8">
        <v>3694.4499999999971</v>
      </c>
      <c r="AA11" s="8">
        <v>3694.4499999999953</v>
      </c>
      <c r="AB11" s="8">
        <v>3694.4499999999953</v>
      </c>
      <c r="AC11" s="8">
        <v>1596002.3999999985</v>
      </c>
      <c r="AD11" s="113"/>
    </row>
    <row r="12" spans="1:30" x14ac:dyDescent="0.25">
      <c r="A12" s="19"/>
      <c r="B12" s="10" t="s">
        <v>32</v>
      </c>
      <c r="C12" s="11">
        <v>4</v>
      </c>
      <c r="D12" s="23">
        <v>45809</v>
      </c>
      <c r="E12" s="8">
        <v>3694.4500000000007</v>
      </c>
      <c r="F12" s="8">
        <v>3694.4500000000007</v>
      </c>
      <c r="G12" s="8">
        <v>3694.4500000000044</v>
      </c>
      <c r="H12" s="8">
        <v>3694.4500000000007</v>
      </c>
      <c r="I12" s="8">
        <v>3694.4500000000007</v>
      </c>
      <c r="J12" s="8">
        <v>3694.4500000000007</v>
      </c>
      <c r="K12" s="8">
        <v>3694.4500000000007</v>
      </c>
      <c r="L12" s="8">
        <v>3694.4500000000007</v>
      </c>
      <c r="M12" s="8">
        <v>3694.4500000000007</v>
      </c>
      <c r="N12" s="8">
        <v>3694.4500000000044</v>
      </c>
      <c r="O12" s="8">
        <v>3694.4499999999971</v>
      </c>
      <c r="P12" s="8">
        <v>3694.4500000000007</v>
      </c>
      <c r="Q12" s="8">
        <v>3694.4500000000007</v>
      </c>
      <c r="R12" s="8">
        <v>3694.4500000000007</v>
      </c>
      <c r="S12" s="8">
        <v>3694.4500000000044</v>
      </c>
      <c r="T12" s="8">
        <v>3694.4500000000007</v>
      </c>
      <c r="U12" s="8">
        <v>3694.4500000000007</v>
      </c>
      <c r="V12" s="8">
        <v>3694.4500000000007</v>
      </c>
      <c r="W12" s="8">
        <v>3694.4500000000007</v>
      </c>
      <c r="X12" s="8">
        <v>3694.4499999999971</v>
      </c>
      <c r="Y12" s="8">
        <v>3694.4500000000007</v>
      </c>
      <c r="Z12" s="8">
        <v>3694.4500000000044</v>
      </c>
      <c r="AA12" s="8">
        <v>3694.4500000000007</v>
      </c>
      <c r="AB12" s="8">
        <v>3694.4500000000007</v>
      </c>
      <c r="AC12" s="8">
        <v>354667.19999999995</v>
      </c>
      <c r="AD12" s="113"/>
    </row>
    <row r="13" spans="1:30" ht="15.75" thickBot="1" x14ac:dyDescent="0.3">
      <c r="A13" s="20"/>
      <c r="B13" s="13" t="s">
        <v>33</v>
      </c>
      <c r="C13" s="14">
        <v>8</v>
      </c>
      <c r="D13" s="24"/>
      <c r="E13" s="8">
        <v>3694.4500000000007</v>
      </c>
      <c r="F13" s="8">
        <v>3694.450000000003</v>
      </c>
      <c r="G13" s="8">
        <v>3694.4500000000007</v>
      </c>
      <c r="H13" s="8">
        <v>3694.4500000000007</v>
      </c>
      <c r="I13" s="8">
        <v>3694.4500000000007</v>
      </c>
      <c r="J13" s="8">
        <v>3694.4500000000007</v>
      </c>
      <c r="K13" s="8">
        <v>3694.4500000000007</v>
      </c>
      <c r="L13" s="8">
        <v>3694.4500000000007</v>
      </c>
      <c r="M13" s="8">
        <v>3694.4500000000007</v>
      </c>
      <c r="N13" s="8">
        <v>3694.4500000000007</v>
      </c>
      <c r="O13" s="8">
        <v>3694.4500000000007</v>
      </c>
      <c r="P13" s="8">
        <v>3694.4500000000044</v>
      </c>
      <c r="Q13" s="8">
        <v>3694.4500000000007</v>
      </c>
      <c r="R13" s="8">
        <v>3694.4500000000007</v>
      </c>
      <c r="S13" s="8">
        <v>3694.4500000000044</v>
      </c>
      <c r="T13" s="8">
        <v>3694.4500000000007</v>
      </c>
      <c r="U13" s="8">
        <v>3694.4500000000007</v>
      </c>
      <c r="V13" s="8">
        <v>3694.4500000000007</v>
      </c>
      <c r="W13" s="8">
        <v>3694.4500000000007</v>
      </c>
      <c r="X13" s="8">
        <v>3694.4500000000007</v>
      </c>
      <c r="Y13" s="8">
        <v>3694.4500000000007</v>
      </c>
      <c r="Z13" s="8">
        <v>3694.4500000000007</v>
      </c>
      <c r="AA13" s="8">
        <v>3694.4500000000007</v>
      </c>
      <c r="AB13" s="8">
        <v>3694.4500000000007</v>
      </c>
      <c r="AC13" s="8">
        <v>709334.4</v>
      </c>
      <c r="AD13" s="113">
        <v>2660003.9999999986</v>
      </c>
    </row>
    <row r="14" spans="1:30" ht="15.75" thickBot="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14"/>
    </row>
    <row r="15" spans="1:30" x14ac:dyDescent="0.25">
      <c r="A15" s="21"/>
      <c r="B15" s="6" t="s">
        <v>31</v>
      </c>
      <c r="C15" s="7">
        <v>23</v>
      </c>
      <c r="D15" s="22"/>
      <c r="E15" s="8">
        <v>3456.9900000000071</v>
      </c>
      <c r="F15" s="8">
        <v>3456.9900000000052</v>
      </c>
      <c r="G15" s="8">
        <v>3456.9900000000071</v>
      </c>
      <c r="H15" s="8">
        <v>3456.9900000000071</v>
      </c>
      <c r="I15" s="8">
        <v>3456.9900000000071</v>
      </c>
      <c r="J15" s="8">
        <v>3456.9900000000071</v>
      </c>
      <c r="K15" s="8">
        <v>3456.990000000018</v>
      </c>
      <c r="L15" s="8">
        <v>3456.9900000000134</v>
      </c>
      <c r="M15" s="8">
        <v>3456.990000000018</v>
      </c>
      <c r="N15" s="8">
        <v>3456.990000000018</v>
      </c>
      <c r="O15" s="8">
        <v>3456.9900000000134</v>
      </c>
      <c r="P15" s="8">
        <v>3456.990000000018</v>
      </c>
      <c r="Q15" s="8">
        <v>3456.9900000000134</v>
      </c>
      <c r="R15" s="8">
        <v>3456.9900000000134</v>
      </c>
      <c r="S15" s="8">
        <v>3456.9900000000134</v>
      </c>
      <c r="T15" s="8">
        <v>3456.990000000018</v>
      </c>
      <c r="U15" s="8">
        <v>3456.9900000000071</v>
      </c>
      <c r="V15" s="8">
        <v>3456.990000000018</v>
      </c>
      <c r="W15" s="8">
        <v>3456.9900000000134</v>
      </c>
      <c r="X15" s="8">
        <v>3456.9900000000134</v>
      </c>
      <c r="Y15" s="8">
        <v>3456.9900000000134</v>
      </c>
      <c r="Z15" s="8">
        <v>3456.9900000000134</v>
      </c>
      <c r="AA15" s="8">
        <v>3456.9900000000134</v>
      </c>
      <c r="AB15" s="8">
        <v>3456.9900000000071</v>
      </c>
      <c r="AC15" s="8">
        <v>1908258.4800000077</v>
      </c>
      <c r="AD15" s="113"/>
    </row>
    <row r="16" spans="1:30" x14ac:dyDescent="0.25">
      <c r="A16" s="19"/>
      <c r="B16" s="10" t="s">
        <v>32</v>
      </c>
      <c r="C16" s="11">
        <v>4</v>
      </c>
      <c r="D16" s="23">
        <v>45839</v>
      </c>
      <c r="E16" s="8">
        <v>3456.9900000000052</v>
      </c>
      <c r="F16" s="8">
        <v>3456.9900000000052</v>
      </c>
      <c r="G16" s="8">
        <v>3456.9900000000052</v>
      </c>
      <c r="H16" s="8">
        <v>3456.9900000000052</v>
      </c>
      <c r="I16" s="8">
        <v>3456.9900000000052</v>
      </c>
      <c r="J16" s="8">
        <v>3456.9900000000052</v>
      </c>
      <c r="K16" s="8">
        <v>3456.9900000000052</v>
      </c>
      <c r="L16" s="8">
        <v>3456.9900000000052</v>
      </c>
      <c r="M16" s="8">
        <v>3456.9900000000052</v>
      </c>
      <c r="N16" s="8">
        <v>3456.9900000000052</v>
      </c>
      <c r="O16" s="8">
        <v>3456.9900000000052</v>
      </c>
      <c r="P16" s="8">
        <v>3456.9900000000052</v>
      </c>
      <c r="Q16" s="8">
        <v>3456.9900000000016</v>
      </c>
      <c r="R16" s="8">
        <v>3456.9900000000016</v>
      </c>
      <c r="S16" s="8">
        <v>3456.9900000000089</v>
      </c>
      <c r="T16" s="8">
        <v>3456.9900000000052</v>
      </c>
      <c r="U16" s="8">
        <v>3456.9900000000089</v>
      </c>
      <c r="V16" s="8">
        <v>3456.9900000000052</v>
      </c>
      <c r="W16" s="8">
        <v>3456.9900000000052</v>
      </c>
      <c r="X16" s="8">
        <v>3456.9900000000052</v>
      </c>
      <c r="Y16" s="8">
        <v>3456.9900000000052</v>
      </c>
      <c r="Z16" s="8">
        <v>3456.9900000000052</v>
      </c>
      <c r="AA16" s="8">
        <v>3456.9900000000089</v>
      </c>
      <c r="AB16" s="8">
        <v>3456.9900000000052</v>
      </c>
      <c r="AC16" s="8">
        <v>331871.0400000005</v>
      </c>
      <c r="AD16" s="113"/>
    </row>
    <row r="17" spans="1:30" ht="15.75" thickBot="1" x14ac:dyDescent="0.3">
      <c r="A17" s="20"/>
      <c r="B17" s="13" t="s">
        <v>33</v>
      </c>
      <c r="C17" s="14">
        <v>4</v>
      </c>
      <c r="D17" s="24"/>
      <c r="E17" s="8">
        <v>3456.9900000000052</v>
      </c>
      <c r="F17" s="8">
        <v>3456.9900000000052</v>
      </c>
      <c r="G17" s="8">
        <v>3456.9900000000071</v>
      </c>
      <c r="H17" s="8">
        <v>3456.9900000000071</v>
      </c>
      <c r="I17" s="8">
        <v>3456.9900000000052</v>
      </c>
      <c r="J17" s="8">
        <v>3456.9900000000052</v>
      </c>
      <c r="K17" s="8">
        <v>3456.9900000000052</v>
      </c>
      <c r="L17" s="8">
        <v>3456.9900000000052</v>
      </c>
      <c r="M17" s="8">
        <v>3456.9900000000052</v>
      </c>
      <c r="N17" s="8">
        <v>3456.9900000000052</v>
      </c>
      <c r="O17" s="8">
        <v>3456.9900000000052</v>
      </c>
      <c r="P17" s="8">
        <v>3456.9900000000052</v>
      </c>
      <c r="Q17" s="8">
        <v>3456.9900000000089</v>
      </c>
      <c r="R17" s="8">
        <v>3456.9900000000052</v>
      </c>
      <c r="S17" s="8">
        <v>3456.9900000000052</v>
      </c>
      <c r="T17" s="8">
        <v>3456.9900000000052</v>
      </c>
      <c r="U17" s="8">
        <v>3456.9900000000089</v>
      </c>
      <c r="V17" s="8">
        <v>3456.9900000000052</v>
      </c>
      <c r="W17" s="8">
        <v>3456.9900000000052</v>
      </c>
      <c r="X17" s="8">
        <v>3456.9900000000089</v>
      </c>
      <c r="Y17" s="8">
        <v>3456.9900000000089</v>
      </c>
      <c r="Z17" s="8">
        <v>3456.9900000000052</v>
      </c>
      <c r="AA17" s="8">
        <v>3456.9900000000052</v>
      </c>
      <c r="AB17" s="8">
        <v>3456.9900000000052</v>
      </c>
      <c r="AC17" s="8">
        <v>331871.0400000005</v>
      </c>
      <c r="AD17" s="113">
        <v>2572000.5600000084</v>
      </c>
    </row>
    <row r="18" spans="1:30" ht="15.75" thickBot="1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14"/>
    </row>
    <row r="19" spans="1:30" x14ac:dyDescent="0.25">
      <c r="A19" s="21"/>
      <c r="B19" s="6" t="s">
        <v>31</v>
      </c>
      <c r="C19" s="7">
        <v>20</v>
      </c>
      <c r="D19" s="22"/>
      <c r="E19" s="8">
        <v>3456.9899999999984</v>
      </c>
      <c r="F19" s="8">
        <v>3456.9899999999984</v>
      </c>
      <c r="G19" s="8">
        <v>3456.990000000003</v>
      </c>
      <c r="H19" s="8">
        <v>3456.9899999999984</v>
      </c>
      <c r="I19" s="8">
        <v>3456.9899999999984</v>
      </c>
      <c r="J19" s="8">
        <v>3456.9899999999984</v>
      </c>
      <c r="K19" s="8">
        <v>3456.9899999999984</v>
      </c>
      <c r="L19" s="8">
        <v>3456.9899999999984</v>
      </c>
      <c r="M19" s="8">
        <v>3456.9899999999984</v>
      </c>
      <c r="N19" s="8">
        <v>3456.9899999999984</v>
      </c>
      <c r="O19" s="8">
        <v>3456.9899999999984</v>
      </c>
      <c r="P19" s="8">
        <v>3456.9899999999984</v>
      </c>
      <c r="Q19" s="8">
        <v>3456.9899999999984</v>
      </c>
      <c r="R19" s="8">
        <v>3456.9900000000052</v>
      </c>
      <c r="S19" s="8">
        <v>3456.9899999999984</v>
      </c>
      <c r="T19" s="8">
        <v>3456.9899999999984</v>
      </c>
      <c r="U19" s="8">
        <v>3456.9899999999984</v>
      </c>
      <c r="V19" s="8">
        <v>3456.9899999999984</v>
      </c>
      <c r="W19" s="8">
        <v>3456.9900000000052</v>
      </c>
      <c r="X19" s="8">
        <v>3456.9899999999984</v>
      </c>
      <c r="Y19" s="8">
        <v>3456.9899999999984</v>
      </c>
      <c r="Z19" s="8">
        <v>3456.9899999999984</v>
      </c>
      <c r="AA19" s="8">
        <v>3456.9899999999984</v>
      </c>
      <c r="AB19" s="8">
        <v>3456.9899999999984</v>
      </c>
      <c r="AC19" s="8">
        <v>1659355.2000000002</v>
      </c>
      <c r="AD19" s="113"/>
    </row>
    <row r="20" spans="1:30" x14ac:dyDescent="0.25">
      <c r="A20" s="19"/>
      <c r="B20" s="10" t="s">
        <v>32</v>
      </c>
      <c r="C20" s="11">
        <v>5</v>
      </c>
      <c r="D20" s="23">
        <v>45870</v>
      </c>
      <c r="E20" s="8">
        <v>3456.9900000000089</v>
      </c>
      <c r="F20" s="8">
        <v>3456.9900000000089</v>
      </c>
      <c r="G20" s="8">
        <v>3456.9900000000052</v>
      </c>
      <c r="H20" s="8">
        <v>3456.9900000000052</v>
      </c>
      <c r="I20" s="8">
        <v>3456.9900000000052</v>
      </c>
      <c r="J20" s="8">
        <v>3456.9900000000052</v>
      </c>
      <c r="K20" s="8">
        <v>3456.9900000000089</v>
      </c>
      <c r="L20" s="8">
        <v>3456.989999999998</v>
      </c>
      <c r="M20" s="8">
        <v>3456.989999999998</v>
      </c>
      <c r="N20" s="8">
        <v>3456.989999999998</v>
      </c>
      <c r="O20" s="8">
        <v>3456.989999999998</v>
      </c>
      <c r="P20" s="8">
        <v>3456.989999999998</v>
      </c>
      <c r="Q20" s="8">
        <v>3456.989999999998</v>
      </c>
      <c r="R20" s="8">
        <v>3456.989999999998</v>
      </c>
      <c r="S20" s="8">
        <v>3456.989999999998</v>
      </c>
      <c r="T20" s="8">
        <v>3456.9900000000052</v>
      </c>
      <c r="U20" s="8">
        <v>3456.989999999998</v>
      </c>
      <c r="V20" s="8">
        <v>3456.989999999998</v>
      </c>
      <c r="W20" s="8">
        <v>3456.989999999998</v>
      </c>
      <c r="X20" s="8">
        <v>3456.989999999998</v>
      </c>
      <c r="Y20" s="8">
        <v>3456.989999999998</v>
      </c>
      <c r="Z20" s="8">
        <v>3456.989999999998</v>
      </c>
      <c r="AA20" s="8">
        <v>3456.989999999998</v>
      </c>
      <c r="AB20" s="8">
        <v>3456.9900000000089</v>
      </c>
      <c r="AC20" s="8">
        <v>414838.8</v>
      </c>
      <c r="AD20" s="113"/>
    </row>
    <row r="21" spans="1:30" ht="15.75" thickBot="1" x14ac:dyDescent="0.3">
      <c r="A21" s="20"/>
      <c r="B21" s="13" t="s">
        <v>33</v>
      </c>
      <c r="C21" s="14">
        <v>6</v>
      </c>
      <c r="D21" s="24"/>
      <c r="E21" s="8">
        <v>3456.9900000000016</v>
      </c>
      <c r="F21" s="8">
        <v>3456.9900000000016</v>
      </c>
      <c r="G21" s="8">
        <v>3456.9900000000052</v>
      </c>
      <c r="H21" s="8">
        <v>3456.9900000000016</v>
      </c>
      <c r="I21" s="8">
        <v>3456.9900000000052</v>
      </c>
      <c r="J21" s="8">
        <v>3456.9900000000052</v>
      </c>
      <c r="K21" s="8">
        <v>3456.9900000000052</v>
      </c>
      <c r="L21" s="8">
        <v>3456.9900000000016</v>
      </c>
      <c r="M21" s="8">
        <v>3456.9900000000089</v>
      </c>
      <c r="N21" s="8">
        <v>3456.9900000000089</v>
      </c>
      <c r="O21" s="8">
        <v>3456.9900000000089</v>
      </c>
      <c r="P21" s="8">
        <v>3456.9900000000052</v>
      </c>
      <c r="Q21" s="8">
        <v>3456.9900000000016</v>
      </c>
      <c r="R21" s="8">
        <v>3456.9900000000016</v>
      </c>
      <c r="S21" s="8">
        <v>3456.9900000000089</v>
      </c>
      <c r="T21" s="8">
        <v>3456.9900000000052</v>
      </c>
      <c r="U21" s="8">
        <v>3456.9900000000089</v>
      </c>
      <c r="V21" s="8">
        <v>3456.9900000000052</v>
      </c>
      <c r="W21" s="8">
        <v>3456.989999999998</v>
      </c>
      <c r="X21" s="8">
        <v>3456.989999999998</v>
      </c>
      <c r="Y21" s="8">
        <v>3456.989999999998</v>
      </c>
      <c r="Z21" s="8">
        <v>3456.9900000000052</v>
      </c>
      <c r="AA21" s="8">
        <v>3456.9900000000052</v>
      </c>
      <c r="AB21" s="8">
        <v>3456.9900000000016</v>
      </c>
      <c r="AC21" s="8">
        <v>497806.56000000052</v>
      </c>
      <c r="AD21" s="113">
        <v>2572000.5600000005</v>
      </c>
    </row>
    <row r="22" spans="1:30" ht="15.75" thickBot="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14"/>
    </row>
    <row r="23" spans="1:30" x14ac:dyDescent="0.25">
      <c r="A23" s="21"/>
      <c r="B23" s="6" t="s">
        <v>31</v>
      </c>
      <c r="C23" s="7">
        <v>22</v>
      </c>
      <c r="D23" s="22"/>
      <c r="E23" s="8">
        <v>3138.8899999999994</v>
      </c>
      <c r="F23" s="8">
        <v>3138.8899999999994</v>
      </c>
      <c r="G23" s="8">
        <v>3138.8899999999994</v>
      </c>
      <c r="H23" s="8">
        <v>3138.8899999999994</v>
      </c>
      <c r="I23" s="8">
        <v>3138.8899999999994</v>
      </c>
      <c r="J23" s="8">
        <v>3138.8899999999994</v>
      </c>
      <c r="K23" s="8">
        <v>3138.8899999999994</v>
      </c>
      <c r="L23" s="8">
        <v>3138.8899999999994</v>
      </c>
      <c r="M23" s="8">
        <v>3138.8899999999994</v>
      </c>
      <c r="N23" s="8">
        <v>3138.8899999999994</v>
      </c>
      <c r="O23" s="8">
        <v>3138.8899999999994</v>
      </c>
      <c r="P23" s="8">
        <v>3138.8899999999994</v>
      </c>
      <c r="Q23" s="8">
        <v>3138.8899999999994</v>
      </c>
      <c r="R23" s="8">
        <v>3138.8899999999994</v>
      </c>
      <c r="S23" s="8">
        <v>3138.8900000000071</v>
      </c>
      <c r="T23" s="8">
        <v>3138.8899999999994</v>
      </c>
      <c r="U23" s="8">
        <v>3138.8899999999994</v>
      </c>
      <c r="V23" s="8">
        <v>3138.8899999999994</v>
      </c>
      <c r="W23" s="8">
        <v>3138.8899999999994</v>
      </c>
      <c r="X23" s="8">
        <v>3138.8899999999994</v>
      </c>
      <c r="Y23" s="8">
        <v>3138.8899999999994</v>
      </c>
      <c r="Z23" s="8">
        <v>3138.8899999999994</v>
      </c>
      <c r="AA23" s="8">
        <v>3138.8899999999994</v>
      </c>
      <c r="AB23" s="8">
        <v>3138.8899999999994</v>
      </c>
      <c r="AC23" s="8">
        <v>1657333.92</v>
      </c>
      <c r="AD23" s="113"/>
    </row>
    <row r="24" spans="1:30" x14ac:dyDescent="0.25">
      <c r="A24" s="19"/>
      <c r="B24" s="10" t="s">
        <v>32</v>
      </c>
      <c r="C24" s="11">
        <v>4</v>
      </c>
      <c r="D24" s="23">
        <v>45901</v>
      </c>
      <c r="E24" s="8">
        <v>3138.8899999999994</v>
      </c>
      <c r="F24" s="8">
        <v>3138.8899999999994</v>
      </c>
      <c r="G24" s="8">
        <v>3138.8899999999994</v>
      </c>
      <c r="H24" s="8">
        <v>3138.8899999999994</v>
      </c>
      <c r="I24" s="8">
        <v>3138.8899999999994</v>
      </c>
      <c r="J24" s="8">
        <v>3138.8899999999994</v>
      </c>
      <c r="K24" s="8">
        <v>3138.8899999999994</v>
      </c>
      <c r="L24" s="8">
        <v>3138.8899999999994</v>
      </c>
      <c r="M24" s="8">
        <v>3138.8899999999994</v>
      </c>
      <c r="N24" s="8">
        <v>3138.8899999999994</v>
      </c>
      <c r="O24" s="8">
        <v>3138.8899999999994</v>
      </c>
      <c r="P24" s="8">
        <v>3138.8899999999994</v>
      </c>
      <c r="Q24" s="8">
        <v>3138.8900000000067</v>
      </c>
      <c r="R24" s="8">
        <v>3138.8900000000067</v>
      </c>
      <c r="S24" s="8">
        <v>3138.8900000000067</v>
      </c>
      <c r="T24" s="8">
        <v>3138.8899999999994</v>
      </c>
      <c r="U24" s="8">
        <v>3138.8899999999994</v>
      </c>
      <c r="V24" s="8">
        <v>3138.8899999999994</v>
      </c>
      <c r="W24" s="8">
        <v>3138.8899999999994</v>
      </c>
      <c r="X24" s="8">
        <v>3138.8899999999994</v>
      </c>
      <c r="Y24" s="8">
        <v>3138.8899999999994</v>
      </c>
      <c r="Z24" s="8">
        <v>3138.8899999999994</v>
      </c>
      <c r="AA24" s="8">
        <v>3138.8899999999994</v>
      </c>
      <c r="AB24" s="8">
        <v>3138.8899999999994</v>
      </c>
      <c r="AC24" s="8">
        <v>301333.44</v>
      </c>
      <c r="AD24" s="113"/>
    </row>
    <row r="25" spans="1:30" ht="15.75" thickBot="1" x14ac:dyDescent="0.3">
      <c r="A25" s="20"/>
      <c r="B25" s="13" t="s">
        <v>33</v>
      </c>
      <c r="C25" s="14">
        <v>4</v>
      </c>
      <c r="D25" s="24"/>
      <c r="E25" s="8">
        <v>3138.8899999999994</v>
      </c>
      <c r="F25" s="8">
        <v>3138.8899999999994</v>
      </c>
      <c r="G25" s="8">
        <v>3138.8899999999994</v>
      </c>
      <c r="H25" s="8">
        <v>3138.8899999999994</v>
      </c>
      <c r="I25" s="8">
        <v>3138.8899999999994</v>
      </c>
      <c r="J25" s="8">
        <v>3138.8900000000067</v>
      </c>
      <c r="K25" s="8">
        <v>3138.8899999999994</v>
      </c>
      <c r="L25" s="8">
        <v>3138.8899999999994</v>
      </c>
      <c r="M25" s="8">
        <v>3138.8899999999994</v>
      </c>
      <c r="N25" s="8">
        <v>3138.8899999999994</v>
      </c>
      <c r="O25" s="8">
        <v>3138.8899999999994</v>
      </c>
      <c r="P25" s="8">
        <v>3138.8899999999994</v>
      </c>
      <c r="Q25" s="8">
        <v>3138.8899999999994</v>
      </c>
      <c r="R25" s="8">
        <v>3138.8899999999994</v>
      </c>
      <c r="S25" s="8">
        <v>3138.8899999999994</v>
      </c>
      <c r="T25" s="8">
        <v>3138.8899999999994</v>
      </c>
      <c r="U25" s="8">
        <v>3138.8899999999994</v>
      </c>
      <c r="V25" s="8">
        <v>3138.8899999999994</v>
      </c>
      <c r="W25" s="8">
        <v>3138.8899999999994</v>
      </c>
      <c r="X25" s="8">
        <v>3138.8899999999994</v>
      </c>
      <c r="Y25" s="8">
        <v>3138.8899999999994</v>
      </c>
      <c r="Z25" s="8">
        <v>3138.8899999999994</v>
      </c>
      <c r="AA25" s="8">
        <v>3138.8899999999994</v>
      </c>
      <c r="AB25" s="8">
        <v>3138.8899999999994</v>
      </c>
      <c r="AC25" s="8">
        <v>301333.44</v>
      </c>
      <c r="AD25" s="113">
        <v>2260000.7999999998</v>
      </c>
    </row>
    <row r="26" spans="1:30" ht="15.75" thickBot="1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14"/>
    </row>
    <row r="27" spans="1:30" x14ac:dyDescent="0.25">
      <c r="A27" s="21"/>
      <c r="B27" s="6" t="s">
        <v>31</v>
      </c>
      <c r="C27" s="7">
        <v>22</v>
      </c>
      <c r="D27" s="22"/>
      <c r="E27" s="8">
        <v>3456.9900000000071</v>
      </c>
      <c r="F27" s="8">
        <v>3456.9900000000052</v>
      </c>
      <c r="G27" s="8">
        <v>3456.9900000000071</v>
      </c>
      <c r="H27" s="8">
        <v>3456.9900000000052</v>
      </c>
      <c r="I27" s="8">
        <v>3456.9900000000052</v>
      </c>
      <c r="J27" s="8">
        <v>3456.9900000000071</v>
      </c>
      <c r="K27" s="8">
        <v>3456.9900000000071</v>
      </c>
      <c r="L27" s="8">
        <v>3456.990000000018</v>
      </c>
      <c r="M27" s="8">
        <v>3456.990000000018</v>
      </c>
      <c r="N27" s="8">
        <v>3456.9900000000198</v>
      </c>
      <c r="O27" s="8">
        <v>3456.990000000013</v>
      </c>
      <c r="P27" s="8">
        <v>3456.9900000000052</v>
      </c>
      <c r="Q27" s="8">
        <v>3456.990000000013</v>
      </c>
      <c r="R27" s="8">
        <v>3456.990000000013</v>
      </c>
      <c r="S27" s="8">
        <v>3456.990000000013</v>
      </c>
      <c r="T27" s="8">
        <v>3456.9900000000071</v>
      </c>
      <c r="U27" s="8">
        <v>3456.990000000013</v>
      </c>
      <c r="V27" s="8">
        <v>3456.990000000018</v>
      </c>
      <c r="W27" s="8">
        <v>3456.990000000013</v>
      </c>
      <c r="X27" s="8">
        <v>3456.990000000013</v>
      </c>
      <c r="Y27" s="8">
        <v>3456.990000000013</v>
      </c>
      <c r="Z27" s="8">
        <v>3456.990000000018</v>
      </c>
      <c r="AA27" s="8">
        <v>3456.990000000018</v>
      </c>
      <c r="AB27" s="8">
        <v>3456.9900000000071</v>
      </c>
      <c r="AC27" s="8">
        <v>1825290.7200000067</v>
      </c>
      <c r="AD27" s="113"/>
    </row>
    <row r="28" spans="1:30" x14ac:dyDescent="0.25">
      <c r="A28" s="19"/>
      <c r="B28" s="10" t="s">
        <v>32</v>
      </c>
      <c r="C28" s="11">
        <v>4</v>
      </c>
      <c r="D28" s="23">
        <v>45931</v>
      </c>
      <c r="E28" s="8">
        <v>3456.9900000000016</v>
      </c>
      <c r="F28" s="8">
        <v>3456.9900000000052</v>
      </c>
      <c r="G28" s="8">
        <v>3456.9900000000089</v>
      </c>
      <c r="H28" s="8">
        <v>3456.9900000000052</v>
      </c>
      <c r="I28" s="8">
        <v>3456.9900000000016</v>
      </c>
      <c r="J28" s="8">
        <v>3456.9900000000052</v>
      </c>
      <c r="K28" s="8">
        <v>3456.9900000000016</v>
      </c>
      <c r="L28" s="8">
        <v>3456.9900000000052</v>
      </c>
      <c r="M28" s="8">
        <v>3456.9900000000052</v>
      </c>
      <c r="N28" s="8">
        <v>3456.9900000000125</v>
      </c>
      <c r="O28" s="8">
        <v>3456.9900000000052</v>
      </c>
      <c r="P28" s="8">
        <v>3456.9900000000052</v>
      </c>
      <c r="Q28" s="8">
        <v>3456.989999999998</v>
      </c>
      <c r="R28" s="8">
        <v>3456.9900000000016</v>
      </c>
      <c r="S28" s="8">
        <v>3456.9900000000125</v>
      </c>
      <c r="T28" s="8">
        <v>3456.9900000000052</v>
      </c>
      <c r="U28" s="8">
        <v>3456.9900000000089</v>
      </c>
      <c r="V28" s="8">
        <v>3456.9900000000052</v>
      </c>
      <c r="W28" s="8">
        <v>3456.9900000000089</v>
      </c>
      <c r="X28" s="8">
        <v>3456.989999999998</v>
      </c>
      <c r="Y28" s="8">
        <v>3456.9900000000125</v>
      </c>
      <c r="Z28" s="8">
        <v>3456.9900000000125</v>
      </c>
      <c r="AA28" s="8">
        <v>3456.9900000000052</v>
      </c>
      <c r="AB28" s="8">
        <v>3456.9900000000052</v>
      </c>
      <c r="AC28" s="8">
        <v>331871.04000000062</v>
      </c>
      <c r="AD28" s="113"/>
    </row>
    <row r="29" spans="1:30" ht="15.75" thickBot="1" x14ac:dyDescent="0.3">
      <c r="A29" s="20"/>
      <c r="B29" s="13" t="s">
        <v>33</v>
      </c>
      <c r="C29" s="14">
        <v>5</v>
      </c>
      <c r="D29" s="24"/>
      <c r="E29" s="8">
        <v>3456.9900000000052</v>
      </c>
      <c r="F29" s="8">
        <v>3456.9900000000052</v>
      </c>
      <c r="G29" s="8">
        <v>3456.9900000000089</v>
      </c>
      <c r="H29" s="8">
        <v>3456.9900000000089</v>
      </c>
      <c r="I29" s="8">
        <v>3456.9900000000052</v>
      </c>
      <c r="J29" s="8">
        <v>3456.9900000000052</v>
      </c>
      <c r="K29" s="8">
        <v>3456.9900000000052</v>
      </c>
      <c r="L29" s="8">
        <v>3456.9900000000052</v>
      </c>
      <c r="M29" s="8">
        <v>3456.9900000000052</v>
      </c>
      <c r="N29" s="8">
        <v>3456.9900000000052</v>
      </c>
      <c r="O29" s="8">
        <v>3456.9900000000016</v>
      </c>
      <c r="P29" s="8">
        <v>3456.9900000000016</v>
      </c>
      <c r="Q29" s="8">
        <v>3456.9900000000052</v>
      </c>
      <c r="R29" s="8">
        <v>3456.9900000000016</v>
      </c>
      <c r="S29" s="8">
        <v>3456.9900000000089</v>
      </c>
      <c r="T29" s="8">
        <v>3456.9900000000016</v>
      </c>
      <c r="U29" s="8">
        <v>3456.9900000000089</v>
      </c>
      <c r="V29" s="8">
        <v>3456.9900000000052</v>
      </c>
      <c r="W29" s="8">
        <v>3456.9900000000016</v>
      </c>
      <c r="X29" s="8">
        <v>3456.9900000000052</v>
      </c>
      <c r="Y29" s="8">
        <v>3456.9900000000052</v>
      </c>
      <c r="Z29" s="8">
        <v>3456.9900000000052</v>
      </c>
      <c r="AA29" s="8">
        <v>3456.9900000000016</v>
      </c>
      <c r="AB29" s="8">
        <v>3456.9900000000016</v>
      </c>
      <c r="AC29" s="8">
        <v>414838.80000000063</v>
      </c>
      <c r="AD29" s="113">
        <v>2572000.560000008</v>
      </c>
    </row>
    <row r="30" spans="1:30" ht="15.75" thickBot="1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14"/>
    </row>
    <row r="31" spans="1:30" x14ac:dyDescent="0.25">
      <c r="A31" s="21"/>
      <c r="B31" s="6" t="s">
        <v>31</v>
      </c>
      <c r="C31" s="7">
        <v>18</v>
      </c>
      <c r="D31" s="127">
        <v>45962</v>
      </c>
      <c r="E31" s="8">
        <v>3138.8999999999965</v>
      </c>
      <c r="F31" s="8">
        <v>3138.8999999999965</v>
      </c>
      <c r="G31" s="8">
        <v>3138.8999999999965</v>
      </c>
      <c r="H31" s="8">
        <v>3138.8999999999965</v>
      </c>
      <c r="I31" s="8">
        <v>3138.8999999999965</v>
      </c>
      <c r="J31" s="8">
        <v>3138.8999999999965</v>
      </c>
      <c r="K31" s="8">
        <v>3138.8999999999965</v>
      </c>
      <c r="L31" s="8">
        <v>3138.8999999999965</v>
      </c>
      <c r="M31" s="8">
        <v>3138.8999999999965</v>
      </c>
      <c r="N31" s="8">
        <v>3138.9000000000015</v>
      </c>
      <c r="O31" s="8">
        <v>3138.9000000000065</v>
      </c>
      <c r="P31" s="8">
        <v>3138.9000000000065</v>
      </c>
      <c r="Q31" s="8">
        <v>3138.9000000000015</v>
      </c>
      <c r="R31" s="8">
        <v>3138.9000000000015</v>
      </c>
      <c r="S31" s="8">
        <v>3138.9000000000015</v>
      </c>
      <c r="T31" s="8">
        <v>3138.9000000000015</v>
      </c>
      <c r="U31" s="8">
        <v>3138.9000000000015</v>
      </c>
      <c r="V31" s="8">
        <v>3138.8999999999965</v>
      </c>
      <c r="W31" s="8">
        <v>3138.9000000000015</v>
      </c>
      <c r="X31" s="8">
        <v>3138.9000000000015</v>
      </c>
      <c r="Y31" s="8">
        <v>3138.9000000000015</v>
      </c>
      <c r="Z31" s="8">
        <v>3138.8999999999965</v>
      </c>
      <c r="AA31" s="8">
        <v>3138.8999999999965</v>
      </c>
      <c r="AB31" s="8">
        <v>3138.8999999999965</v>
      </c>
      <c r="AC31" s="8">
        <v>1356004.7999999996</v>
      </c>
      <c r="AD31" s="113"/>
    </row>
    <row r="32" spans="1:30" x14ac:dyDescent="0.25">
      <c r="A32" s="19"/>
      <c r="B32" s="10" t="s">
        <v>32</v>
      </c>
      <c r="C32" s="11">
        <v>5</v>
      </c>
      <c r="D32" s="128"/>
      <c r="E32" s="8">
        <v>3138.8999999999978</v>
      </c>
      <c r="F32" s="8">
        <v>3138.8999999999978</v>
      </c>
      <c r="G32" s="8">
        <v>3138.8999999999978</v>
      </c>
      <c r="H32" s="8">
        <v>3138.8999999999978</v>
      </c>
      <c r="I32" s="8">
        <v>3138.8999999999978</v>
      </c>
      <c r="J32" s="8">
        <v>3138.8999999999978</v>
      </c>
      <c r="K32" s="8">
        <v>3138.8999999999978</v>
      </c>
      <c r="L32" s="8">
        <v>3138.8999999999978</v>
      </c>
      <c r="M32" s="8">
        <v>3138.8999999999978</v>
      </c>
      <c r="N32" s="8">
        <v>3138.8999999999978</v>
      </c>
      <c r="O32" s="8">
        <v>3138.8999999999978</v>
      </c>
      <c r="P32" s="8">
        <v>3138.8999999999978</v>
      </c>
      <c r="Q32" s="8">
        <v>3138.8999999999978</v>
      </c>
      <c r="R32" s="8">
        <v>3138.8999999999978</v>
      </c>
      <c r="S32" s="8">
        <v>3138.8999999999978</v>
      </c>
      <c r="T32" s="8">
        <v>3138.8999999999978</v>
      </c>
      <c r="U32" s="8">
        <v>3138.8999999999978</v>
      </c>
      <c r="V32" s="8">
        <v>3138.8999999999978</v>
      </c>
      <c r="W32" s="8">
        <v>3138.8999999999978</v>
      </c>
      <c r="X32" s="8">
        <v>3138.8999999999978</v>
      </c>
      <c r="Y32" s="8">
        <v>3138.8999999999978</v>
      </c>
      <c r="Z32" s="8">
        <v>3138.8999999999978</v>
      </c>
      <c r="AA32" s="8">
        <v>3138.8999999999978</v>
      </c>
      <c r="AB32" s="8">
        <v>3138.8999999999978</v>
      </c>
      <c r="AC32" s="8">
        <v>376667.99999999953</v>
      </c>
      <c r="AD32" s="113"/>
    </row>
    <row r="33" spans="1:30" ht="15.75" thickBot="1" x14ac:dyDescent="0.3">
      <c r="A33" s="20"/>
      <c r="B33" s="13" t="s">
        <v>33</v>
      </c>
      <c r="C33" s="14">
        <v>7</v>
      </c>
      <c r="D33" s="129"/>
      <c r="E33" s="8">
        <v>3138.8999999999978</v>
      </c>
      <c r="F33" s="8">
        <v>3138.8999999999978</v>
      </c>
      <c r="G33" s="8">
        <v>3138.8999999999978</v>
      </c>
      <c r="H33" s="8">
        <v>3138.8999999999978</v>
      </c>
      <c r="I33" s="8">
        <v>3138.8999999999978</v>
      </c>
      <c r="J33" s="8">
        <v>3138.8999999999978</v>
      </c>
      <c r="K33" s="8">
        <v>3138.8999999999978</v>
      </c>
      <c r="L33" s="8">
        <v>3138.8999999999978</v>
      </c>
      <c r="M33" s="8">
        <v>3138.8999999999978</v>
      </c>
      <c r="N33" s="8">
        <v>3138.8999999999978</v>
      </c>
      <c r="O33" s="8">
        <v>3138.8999999999978</v>
      </c>
      <c r="P33" s="8">
        <v>3138.8999999999978</v>
      </c>
      <c r="Q33" s="8">
        <v>3138.8999999999978</v>
      </c>
      <c r="R33" s="8">
        <v>3138.8999999999978</v>
      </c>
      <c r="S33" s="8">
        <v>3138.8999999999978</v>
      </c>
      <c r="T33" s="8">
        <v>3138.8999999999978</v>
      </c>
      <c r="U33" s="8">
        <v>3138.8999999999978</v>
      </c>
      <c r="V33" s="8">
        <v>3138.8999999999978</v>
      </c>
      <c r="W33" s="8">
        <v>3138.8999999999978</v>
      </c>
      <c r="X33" s="8">
        <v>3138.8999999999978</v>
      </c>
      <c r="Y33" s="8">
        <v>3138.8999999999978</v>
      </c>
      <c r="Z33" s="8">
        <v>3138.8999999999978</v>
      </c>
      <c r="AA33" s="8">
        <v>3138.8999999999978</v>
      </c>
      <c r="AB33" s="8">
        <v>3138.8999999999978</v>
      </c>
      <c r="AC33" s="8">
        <v>527335.19999999937</v>
      </c>
      <c r="AD33" s="113">
        <v>2260007.9999999986</v>
      </c>
    </row>
    <row r="34" spans="1:30" ht="15.75" thickBot="1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14"/>
    </row>
    <row r="35" spans="1:30" x14ac:dyDescent="0.25">
      <c r="A35" s="21"/>
      <c r="B35" s="6" t="s">
        <v>31</v>
      </c>
      <c r="C35" s="7">
        <v>21</v>
      </c>
      <c r="D35" s="127">
        <v>45992</v>
      </c>
      <c r="E35" s="8">
        <v>2434.1400000000021</v>
      </c>
      <c r="F35" s="8">
        <v>2434.1400000000021</v>
      </c>
      <c r="G35" s="8">
        <v>2434.1400000000021</v>
      </c>
      <c r="H35" s="8">
        <v>2434.1400000000021</v>
      </c>
      <c r="I35" s="8">
        <v>2434.1400000000021</v>
      </c>
      <c r="J35" s="8">
        <v>2434.1400000000021</v>
      </c>
      <c r="K35" s="8">
        <v>2434.1400000000021</v>
      </c>
      <c r="L35" s="8">
        <v>2434.1400000000021</v>
      </c>
      <c r="M35" s="8">
        <v>2434.1400000000021</v>
      </c>
      <c r="N35" s="8">
        <v>2434.1400000000021</v>
      </c>
      <c r="O35" s="8">
        <v>2434.1400000000021</v>
      </c>
      <c r="P35" s="8">
        <v>2434.1400000000067</v>
      </c>
      <c r="Q35" s="8">
        <v>2434.1400000000067</v>
      </c>
      <c r="R35" s="8">
        <v>2434.1400000000021</v>
      </c>
      <c r="S35" s="8">
        <v>2434.1400000000067</v>
      </c>
      <c r="T35" s="8">
        <v>2434.1400000000021</v>
      </c>
      <c r="U35" s="8">
        <v>2434.1400000000021</v>
      </c>
      <c r="V35" s="8">
        <v>2434.1400000000067</v>
      </c>
      <c r="W35" s="8">
        <v>2434.1400000000021</v>
      </c>
      <c r="X35" s="8">
        <v>2434.1400000000067</v>
      </c>
      <c r="Y35" s="8">
        <v>2434.1400000000021</v>
      </c>
      <c r="Z35" s="8">
        <v>2434.1400000000021</v>
      </c>
      <c r="AA35" s="8">
        <v>2434.1400000000021</v>
      </c>
      <c r="AB35" s="8">
        <v>2434.1400000000067</v>
      </c>
      <c r="AC35" s="8">
        <v>1226806.5600000015</v>
      </c>
      <c r="AD35" s="113"/>
    </row>
    <row r="36" spans="1:30" x14ac:dyDescent="0.25">
      <c r="A36" s="19"/>
      <c r="B36" s="10" t="s">
        <v>32</v>
      </c>
      <c r="C36" s="11">
        <v>4</v>
      </c>
      <c r="D36" s="128"/>
      <c r="E36" s="8">
        <v>2434.1400000000031</v>
      </c>
      <c r="F36" s="8">
        <v>2434.1400000000031</v>
      </c>
      <c r="G36" s="8">
        <v>2434.1400000000031</v>
      </c>
      <c r="H36" s="8">
        <v>2434.1400000000031</v>
      </c>
      <c r="I36" s="8">
        <v>2434.1400000000031</v>
      </c>
      <c r="J36" s="8">
        <v>2434.1400000000031</v>
      </c>
      <c r="K36" s="8">
        <v>2434.1400000000031</v>
      </c>
      <c r="L36" s="8">
        <v>2434.1400000000031</v>
      </c>
      <c r="M36" s="8">
        <v>2434.1400000000031</v>
      </c>
      <c r="N36" s="8">
        <v>2434.1400000000031</v>
      </c>
      <c r="O36" s="8">
        <v>2434.1400000000067</v>
      </c>
      <c r="P36" s="8">
        <v>2434.1400000000031</v>
      </c>
      <c r="Q36" s="8">
        <v>2434.1400000000031</v>
      </c>
      <c r="R36" s="8">
        <v>2434.1400000000031</v>
      </c>
      <c r="S36" s="8">
        <v>2434.1400000000031</v>
      </c>
      <c r="T36" s="8">
        <v>2434.1400000000031</v>
      </c>
      <c r="U36" s="8">
        <v>2434.1400000000031</v>
      </c>
      <c r="V36" s="8">
        <v>2434.1400000000031</v>
      </c>
      <c r="W36" s="8">
        <v>2434.1400000000031</v>
      </c>
      <c r="X36" s="8">
        <v>2434.1400000000067</v>
      </c>
      <c r="Y36" s="8">
        <v>2434.1400000000031</v>
      </c>
      <c r="Z36" s="8">
        <v>2434.1400000000031</v>
      </c>
      <c r="AA36" s="8">
        <v>2434.1400000000031</v>
      </c>
      <c r="AB36" s="8">
        <v>2434.1400000000031</v>
      </c>
      <c r="AC36" s="8">
        <v>233677.44000000024</v>
      </c>
      <c r="AD36" s="113"/>
    </row>
    <row r="37" spans="1:30" ht="15.75" thickBot="1" x14ac:dyDescent="0.3">
      <c r="A37" s="20"/>
      <c r="B37" s="13" t="s">
        <v>33</v>
      </c>
      <c r="C37" s="14">
        <v>6</v>
      </c>
      <c r="D37" s="129"/>
      <c r="E37" s="8">
        <v>2434.1400000000031</v>
      </c>
      <c r="F37" s="8">
        <v>2434.1400000000031</v>
      </c>
      <c r="G37" s="8">
        <v>2434.1400000000049</v>
      </c>
      <c r="H37" s="8">
        <v>2434.1400000000049</v>
      </c>
      <c r="I37" s="8">
        <v>2434.1400000000031</v>
      </c>
      <c r="J37" s="8">
        <v>2434.1400000000049</v>
      </c>
      <c r="K37" s="8">
        <v>2434.1400000000031</v>
      </c>
      <c r="L37" s="8">
        <v>2434.1400000000031</v>
      </c>
      <c r="M37" s="8">
        <v>2434.1400000000031</v>
      </c>
      <c r="N37" s="8">
        <v>2434.1400000000031</v>
      </c>
      <c r="O37" s="8">
        <v>2434.1400000000031</v>
      </c>
      <c r="P37" s="8">
        <v>2434.1400000000031</v>
      </c>
      <c r="Q37" s="8">
        <v>2434.1400000000031</v>
      </c>
      <c r="R37" s="8">
        <v>2434.1400000000031</v>
      </c>
      <c r="S37" s="8">
        <v>2434.1400000000031</v>
      </c>
      <c r="T37" s="8">
        <v>2434.1400000000031</v>
      </c>
      <c r="U37" s="8">
        <v>2434.1400000000031</v>
      </c>
      <c r="V37" s="8">
        <v>2434.1400000000031</v>
      </c>
      <c r="W37" s="8">
        <v>2434.1400000000031</v>
      </c>
      <c r="X37" s="8">
        <v>2434.1400000000031</v>
      </c>
      <c r="Y37" s="8">
        <v>2434.1400000000031</v>
      </c>
      <c r="Z37" s="8">
        <v>2434.1400000000031</v>
      </c>
      <c r="AA37" s="8">
        <v>2434.1400000000031</v>
      </c>
      <c r="AB37" s="8">
        <v>2434.1400000000031</v>
      </c>
      <c r="AC37" s="8">
        <v>350516.16000000027</v>
      </c>
      <c r="AD37" s="113">
        <v>1811000.160000002</v>
      </c>
    </row>
    <row r="38" spans="1:30" ht="15.75" customHeight="1" thickBot="1" x14ac:dyDescent="0.3">
      <c r="A38" s="121" t="s">
        <v>34</v>
      </c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</row>
    <row r="39" spans="1:30" x14ac:dyDescent="0.25">
      <c r="A39" s="26"/>
      <c r="B39" s="6" t="s">
        <v>31</v>
      </c>
      <c r="C39" s="7">
        <v>20</v>
      </c>
      <c r="D39" s="130">
        <v>46023</v>
      </c>
      <c r="E39" s="8">
        <v>8310.6331224000005</v>
      </c>
      <c r="F39" s="8">
        <v>8064.3070326000015</v>
      </c>
      <c r="G39" s="8">
        <v>7881.4378818000005</v>
      </c>
      <c r="H39" s="8">
        <v>7729.7714634000004</v>
      </c>
      <c r="I39" s="8">
        <v>7656.0365070000007</v>
      </c>
      <c r="J39" s="8">
        <v>7726.0675044000009</v>
      </c>
      <c r="K39" s="8">
        <v>7826.7925049999994</v>
      </c>
      <c r="L39" s="8">
        <v>8446.1302295999976</v>
      </c>
      <c r="M39" s="8">
        <v>9138.089562000001</v>
      </c>
      <c r="N39" s="8">
        <v>9707.8633218000014</v>
      </c>
      <c r="O39" s="8">
        <v>10133.240611199999</v>
      </c>
      <c r="P39" s="8">
        <v>10490.967627000002</v>
      </c>
      <c r="Q39" s="8">
        <v>10465.4109756</v>
      </c>
      <c r="R39" s="8">
        <v>10539.369069600001</v>
      </c>
      <c r="S39" s="8">
        <v>10819.821280800001</v>
      </c>
      <c r="T39" s="8">
        <v>10882.189500000002</v>
      </c>
      <c r="U39" s="8">
        <v>10684.510057200001</v>
      </c>
      <c r="V39" s="8">
        <v>10522.569918000001</v>
      </c>
      <c r="W39" s="8">
        <v>10990.296525599999</v>
      </c>
      <c r="X39" s="8">
        <v>10969.280271600001</v>
      </c>
      <c r="Y39" s="8">
        <v>10607.360862000003</v>
      </c>
      <c r="Z39" s="8">
        <v>10059.540661800003</v>
      </c>
      <c r="AA39" s="8">
        <v>9368.7769896000009</v>
      </c>
      <c r="AB39" s="8">
        <v>8757.3279150000017</v>
      </c>
      <c r="AC39" s="8">
        <v>227777.79139500004</v>
      </c>
      <c r="AD39" s="8"/>
    </row>
    <row r="40" spans="1:30" x14ac:dyDescent="0.25">
      <c r="A40" s="27"/>
      <c r="B40" s="10" t="s">
        <v>32</v>
      </c>
      <c r="C40" s="11">
        <v>5</v>
      </c>
      <c r="D40" s="131"/>
      <c r="E40" s="8">
        <v>8311.5329303999988</v>
      </c>
      <c r="F40" s="8">
        <v>8046.1135440000016</v>
      </c>
      <c r="G40" s="8">
        <v>7857.7576560000007</v>
      </c>
      <c r="H40" s="8">
        <v>7783.540346400001</v>
      </c>
      <c r="I40" s="8">
        <v>7724.5041216000018</v>
      </c>
      <c r="J40" s="8">
        <v>7786.8731808000011</v>
      </c>
      <c r="K40" s="8">
        <v>7810.1441207999997</v>
      </c>
      <c r="L40" s="8">
        <v>8363.4846288000008</v>
      </c>
      <c r="M40" s="8">
        <v>9032.9461487999997</v>
      </c>
      <c r="N40" s="8">
        <v>9640.3525007999997</v>
      </c>
      <c r="O40" s="8">
        <v>10147.972430400001</v>
      </c>
      <c r="P40" s="8">
        <v>10507.182755999998</v>
      </c>
      <c r="Q40" s="8">
        <v>10469.348819999999</v>
      </c>
      <c r="R40" s="8">
        <v>10512.7261512</v>
      </c>
      <c r="S40" s="8">
        <v>10790.613506400001</v>
      </c>
      <c r="T40" s="8">
        <v>10826.677024800001</v>
      </c>
      <c r="U40" s="8">
        <v>10647.229303200002</v>
      </c>
      <c r="V40" s="8">
        <v>10542.391860000002</v>
      </c>
      <c r="W40" s="8">
        <v>11006.474824800001</v>
      </c>
      <c r="X40" s="8">
        <v>10985.884459199999</v>
      </c>
      <c r="Y40" s="8">
        <v>10609.639152</v>
      </c>
      <c r="Z40" s="8">
        <v>10119.243136800002</v>
      </c>
      <c r="AA40" s="8">
        <v>9430.4069663999999</v>
      </c>
      <c r="AB40" s="8">
        <v>8813.2973543999997</v>
      </c>
      <c r="AC40" s="8">
        <v>227766.33692400003</v>
      </c>
      <c r="AD40" s="112"/>
    </row>
    <row r="41" spans="1:30" ht="15.75" thickBot="1" x14ac:dyDescent="0.3">
      <c r="A41" s="28"/>
      <c r="B41" s="13" t="s">
        <v>33</v>
      </c>
      <c r="C41" s="14">
        <v>6</v>
      </c>
      <c r="D41" s="132"/>
      <c r="E41" s="8">
        <v>8330.2888199999998</v>
      </c>
      <c r="F41" s="8">
        <v>8030.4006020000006</v>
      </c>
      <c r="G41" s="8">
        <v>7813.163456000002</v>
      </c>
      <c r="H41" s="8">
        <v>7719.744522</v>
      </c>
      <c r="I41" s="8">
        <v>7712.8982140000007</v>
      </c>
      <c r="J41" s="8">
        <v>7796.060300000001</v>
      </c>
      <c r="K41" s="8">
        <v>7866.0948239999998</v>
      </c>
      <c r="L41" s="8">
        <v>8408.6340660000005</v>
      </c>
      <c r="M41" s="8">
        <v>9059.1259640000007</v>
      </c>
      <c r="N41" s="8">
        <v>9622.7809020000004</v>
      </c>
      <c r="O41" s="8">
        <v>10085.891648000001</v>
      </c>
      <c r="P41" s="8">
        <v>10530.886394000001</v>
      </c>
      <c r="Q41" s="8">
        <v>10546.523036000001</v>
      </c>
      <c r="R41" s="8">
        <v>10608.042648000002</v>
      </c>
      <c r="S41" s="8">
        <v>10842.133148000001</v>
      </c>
      <c r="T41" s="8">
        <v>10856.181336</v>
      </c>
      <c r="U41" s="8">
        <v>10614.955217999999</v>
      </c>
      <c r="V41" s="8">
        <v>10455.776968000002</v>
      </c>
      <c r="W41" s="8">
        <v>10927.809843999999</v>
      </c>
      <c r="X41" s="8">
        <v>10889.778620000003</v>
      </c>
      <c r="Y41" s="8">
        <v>10518.161388</v>
      </c>
      <c r="Z41" s="8">
        <v>10012.469166000003</v>
      </c>
      <c r="AA41" s="8">
        <v>9407.3264739999995</v>
      </c>
      <c r="AB41" s="8">
        <v>8812.5791179999997</v>
      </c>
      <c r="AC41" s="8">
        <v>227467.706676</v>
      </c>
      <c r="AD41" s="112">
        <v>7059193.752576001</v>
      </c>
    </row>
    <row r="42" spans="1:30" ht="15.75" thickBot="1" x14ac:dyDescent="0.3">
      <c r="A42" s="30"/>
      <c r="B42" s="31"/>
      <c r="C42" s="32"/>
      <c r="D42" s="33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AD42" s="35"/>
    </row>
    <row r="43" spans="1:30" x14ac:dyDescent="0.25">
      <c r="A43" s="36"/>
      <c r="B43" s="37" t="s">
        <v>31</v>
      </c>
      <c r="C43" s="38">
        <v>20</v>
      </c>
      <c r="D43" s="118">
        <v>46054</v>
      </c>
      <c r="E43" s="8">
        <v>6168.6699999999964</v>
      </c>
      <c r="F43" s="8">
        <v>6077.6699999999964</v>
      </c>
      <c r="G43" s="8">
        <v>6034.899999999996</v>
      </c>
      <c r="H43" s="8">
        <v>6036.2699999999941</v>
      </c>
      <c r="I43" s="8">
        <v>6109.5199999999941</v>
      </c>
      <c r="J43" s="8">
        <v>6222.8199999999943</v>
      </c>
      <c r="K43" s="8">
        <v>6549.0499999999929</v>
      </c>
      <c r="L43" s="8">
        <v>6812.4999999999955</v>
      </c>
      <c r="M43" s="8">
        <v>6978.5699999999924</v>
      </c>
      <c r="N43" s="8">
        <v>7085.0399999999936</v>
      </c>
      <c r="O43" s="8">
        <v>7173.3099999999959</v>
      </c>
      <c r="P43" s="8">
        <v>7254.7599999999948</v>
      </c>
      <c r="Q43" s="8">
        <v>7302.529999999997</v>
      </c>
      <c r="R43" s="8">
        <v>7235.1899999999978</v>
      </c>
      <c r="S43" s="8">
        <v>7180.5899999999965</v>
      </c>
      <c r="T43" s="8">
        <v>7130.0899999999965</v>
      </c>
      <c r="U43" s="8">
        <v>7073.2099999999937</v>
      </c>
      <c r="V43" s="8">
        <v>7061.3799999999919</v>
      </c>
      <c r="W43" s="8">
        <v>7235.1899999999978</v>
      </c>
      <c r="X43" s="8">
        <v>7299.7999999999911</v>
      </c>
      <c r="Y43" s="8">
        <v>7151.929999999993</v>
      </c>
      <c r="Z43" s="8">
        <v>6913.0499999999929</v>
      </c>
      <c r="AA43" s="8">
        <v>6632.3199999999943</v>
      </c>
      <c r="AB43" s="8">
        <v>6357.0399999999936</v>
      </c>
      <c r="AC43" s="8">
        <v>163075.39999999991</v>
      </c>
      <c r="AD43" s="112"/>
    </row>
    <row r="44" spans="1:30" x14ac:dyDescent="0.25">
      <c r="A44" s="43"/>
      <c r="B44" s="40" t="s">
        <v>32</v>
      </c>
      <c r="C44" s="41">
        <v>4</v>
      </c>
      <c r="D44" s="119"/>
      <c r="E44" s="8">
        <v>6063.1099999999988</v>
      </c>
      <c r="F44" s="8">
        <v>5975.2999999999993</v>
      </c>
      <c r="G44" s="8">
        <v>5928.4299999999985</v>
      </c>
      <c r="H44" s="8">
        <v>5916.5999999999985</v>
      </c>
      <c r="I44" s="8">
        <v>5957.0999999999985</v>
      </c>
      <c r="J44" s="8">
        <v>5998.9599999999973</v>
      </c>
      <c r="K44" s="8">
        <v>6164.5799999999981</v>
      </c>
      <c r="L44" s="8">
        <v>6362.5</v>
      </c>
      <c r="M44" s="8">
        <v>6559.52</v>
      </c>
      <c r="N44" s="8">
        <v>6705.57</v>
      </c>
      <c r="O44" s="8">
        <v>6817.9599999999991</v>
      </c>
      <c r="P44" s="8">
        <v>6906.68</v>
      </c>
      <c r="Q44" s="8">
        <v>6944.4499999999971</v>
      </c>
      <c r="R44" s="8">
        <v>6887.57</v>
      </c>
      <c r="S44" s="8">
        <v>6801.119999999999</v>
      </c>
      <c r="T44" s="8">
        <v>6731.5099999999984</v>
      </c>
      <c r="U44" s="8">
        <v>6680.5499999999993</v>
      </c>
      <c r="V44" s="8">
        <v>6686.0099999999984</v>
      </c>
      <c r="W44" s="8">
        <v>6836.1599999999962</v>
      </c>
      <c r="X44" s="8">
        <v>6874.8299999999981</v>
      </c>
      <c r="Y44" s="8">
        <v>6764.27</v>
      </c>
      <c r="Z44" s="8">
        <v>6587.73</v>
      </c>
      <c r="AA44" s="8">
        <v>6378.8799999999974</v>
      </c>
      <c r="AB44" s="8">
        <v>6183.6899999999987</v>
      </c>
      <c r="AC44" s="8">
        <v>155713.07999999999</v>
      </c>
      <c r="AD44" s="112"/>
    </row>
    <row r="45" spans="1:30" ht="15.75" thickBot="1" x14ac:dyDescent="0.3">
      <c r="A45" s="44"/>
      <c r="B45" s="45" t="s">
        <v>33</v>
      </c>
      <c r="C45" s="46">
        <v>4</v>
      </c>
      <c r="D45" s="120"/>
      <c r="E45" s="8">
        <v>5773.7299999999977</v>
      </c>
      <c r="F45" s="8">
        <v>5700.48</v>
      </c>
      <c r="G45" s="8">
        <v>5661.7999999999993</v>
      </c>
      <c r="H45" s="8">
        <v>5642.6899999999987</v>
      </c>
      <c r="I45" s="8">
        <v>5644.5099999999984</v>
      </c>
      <c r="J45" s="8">
        <v>5634.5</v>
      </c>
      <c r="K45" s="8">
        <v>5696.8399999999983</v>
      </c>
      <c r="L45" s="8">
        <v>5807.8599999999969</v>
      </c>
      <c r="M45" s="8">
        <v>5963.9199999999983</v>
      </c>
      <c r="N45" s="8">
        <v>6094.9599999999991</v>
      </c>
      <c r="O45" s="8">
        <v>6187.7799999999988</v>
      </c>
      <c r="P45" s="8">
        <v>6265.1299999999974</v>
      </c>
      <c r="Q45" s="8">
        <v>6319.2799999999988</v>
      </c>
      <c r="R45" s="8">
        <v>6301.0799999999981</v>
      </c>
      <c r="S45" s="8">
        <v>6238.2899999999991</v>
      </c>
      <c r="T45" s="8">
        <v>6176.8599999999988</v>
      </c>
      <c r="U45" s="8">
        <v>6148.1999999999989</v>
      </c>
      <c r="V45" s="8">
        <v>6167.4299999999985</v>
      </c>
      <c r="W45" s="8">
        <v>6300.619999999999</v>
      </c>
      <c r="X45" s="8">
        <v>6367.5099999999984</v>
      </c>
      <c r="Y45" s="8">
        <v>6296.5299999999988</v>
      </c>
      <c r="Z45" s="8">
        <v>6161.3899999999994</v>
      </c>
      <c r="AA45" s="8">
        <v>5993.0399999999991</v>
      </c>
      <c r="AB45" s="8">
        <v>5841.0699999999979</v>
      </c>
      <c r="AC45" s="8">
        <v>144385.49999999997</v>
      </c>
      <c r="AD45" s="112">
        <v>4461902.3199999975</v>
      </c>
    </row>
    <row r="46" spans="1:30" ht="15.75" thickBot="1" x14ac:dyDescent="0.3">
      <c r="A46" s="48"/>
      <c r="B46" s="49"/>
      <c r="C46" s="32"/>
      <c r="D46" s="33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AC46" s="34"/>
      <c r="AD46" s="35"/>
    </row>
    <row r="47" spans="1:30" x14ac:dyDescent="0.25">
      <c r="A47" s="36"/>
      <c r="B47" s="6" t="s">
        <v>31</v>
      </c>
      <c r="C47" s="51">
        <v>21</v>
      </c>
      <c r="D47" s="133">
        <v>46082</v>
      </c>
      <c r="E47" s="8">
        <v>9993.049999999992</v>
      </c>
      <c r="F47" s="8">
        <v>9921.1599999999944</v>
      </c>
      <c r="G47" s="8">
        <v>9887.4899999999925</v>
      </c>
      <c r="H47" s="8">
        <v>9888.8599999999951</v>
      </c>
      <c r="I47" s="8">
        <v>9945.7299999999923</v>
      </c>
      <c r="J47" s="8">
        <v>10035.819999999998</v>
      </c>
      <c r="K47" s="8">
        <v>10292.899999999994</v>
      </c>
      <c r="L47" s="8">
        <v>10499.469999999998</v>
      </c>
      <c r="M47" s="8">
        <v>10631.419999999993</v>
      </c>
      <c r="N47" s="8">
        <v>10715.139999999989</v>
      </c>
      <c r="O47" s="8">
        <v>10784.749999999996</v>
      </c>
      <c r="P47" s="8">
        <v>10848.91</v>
      </c>
      <c r="Q47" s="8">
        <v>10885.76</v>
      </c>
      <c r="R47" s="8">
        <v>10832.97999999999</v>
      </c>
      <c r="S47" s="8">
        <v>10790.209999999992</v>
      </c>
      <c r="T47" s="8">
        <v>10750.169999999993</v>
      </c>
      <c r="U47" s="8">
        <v>10705.129999999996</v>
      </c>
      <c r="V47" s="8">
        <v>10696.47999999999</v>
      </c>
      <c r="W47" s="8">
        <v>10832.97999999999</v>
      </c>
      <c r="X47" s="8">
        <v>10883.489999999993</v>
      </c>
      <c r="Y47" s="8">
        <v>10767.459999999992</v>
      </c>
      <c r="Z47" s="8">
        <v>10579.089999999995</v>
      </c>
      <c r="AA47" s="8">
        <v>10358.419999999993</v>
      </c>
      <c r="AB47" s="8">
        <v>10140.469999999998</v>
      </c>
      <c r="AC47" s="8">
        <v>251667.33999999982</v>
      </c>
      <c r="AD47" s="112"/>
    </row>
    <row r="48" spans="1:30" x14ac:dyDescent="0.25">
      <c r="A48" s="43"/>
      <c r="B48" s="10" t="s">
        <v>32</v>
      </c>
      <c r="C48" s="53">
        <v>4</v>
      </c>
      <c r="D48" s="134"/>
      <c r="E48" s="8">
        <v>10813.869999999999</v>
      </c>
      <c r="F48" s="8">
        <v>10673.279999999997</v>
      </c>
      <c r="G48" s="8">
        <v>10597.749999999998</v>
      </c>
      <c r="H48" s="8">
        <v>10579.089999999997</v>
      </c>
      <c r="I48" s="8">
        <v>10644.159999999998</v>
      </c>
      <c r="J48" s="8">
        <v>10710.589999999997</v>
      </c>
      <c r="K48" s="8">
        <v>10975.849999999999</v>
      </c>
      <c r="L48" s="8">
        <v>11293.439999999999</v>
      </c>
      <c r="M48" s="8">
        <v>11609.669999999998</v>
      </c>
      <c r="N48" s="8">
        <v>11844.449999999997</v>
      </c>
      <c r="O48" s="8">
        <v>12023.719999999998</v>
      </c>
      <c r="P48" s="8">
        <v>12166.129999999997</v>
      </c>
      <c r="Q48" s="8">
        <v>12226.649999999998</v>
      </c>
      <c r="R48" s="8">
        <v>12135.649999999998</v>
      </c>
      <c r="S48" s="8">
        <v>11997.329999999998</v>
      </c>
      <c r="T48" s="8">
        <v>11885.399999999998</v>
      </c>
      <c r="U48" s="8">
        <v>11803.5</v>
      </c>
      <c r="V48" s="8">
        <v>11812.14</v>
      </c>
      <c r="W48" s="8">
        <v>12053.75</v>
      </c>
      <c r="X48" s="8">
        <v>12115.629999999997</v>
      </c>
      <c r="Y48" s="8">
        <v>11938.179999999997</v>
      </c>
      <c r="Z48" s="8">
        <v>11654.71</v>
      </c>
      <c r="AA48" s="8">
        <v>11319.829999999998</v>
      </c>
      <c r="AB48" s="8">
        <v>11006.789999999997</v>
      </c>
      <c r="AC48" s="8">
        <v>275881.55999999988</v>
      </c>
      <c r="AD48" s="112"/>
    </row>
    <row r="49" spans="1:30" ht="15.75" thickBot="1" x14ac:dyDescent="0.3">
      <c r="A49" s="44"/>
      <c r="B49" s="13" t="s">
        <v>33</v>
      </c>
      <c r="C49" s="54">
        <v>6</v>
      </c>
      <c r="D49" s="135"/>
      <c r="E49" s="8">
        <v>9691.3899999999976</v>
      </c>
      <c r="F49" s="8">
        <v>9632.6899999999987</v>
      </c>
      <c r="G49" s="8">
        <v>9601.7499999999964</v>
      </c>
      <c r="H49" s="8">
        <v>9586.739999999998</v>
      </c>
      <c r="I49" s="8">
        <v>9588.0999999999985</v>
      </c>
      <c r="J49" s="8">
        <v>9579.9099999999962</v>
      </c>
      <c r="K49" s="8">
        <v>9629.5099999999984</v>
      </c>
      <c r="L49" s="8">
        <v>9718.6899999999969</v>
      </c>
      <c r="M49" s="8">
        <v>9843.8099999999977</v>
      </c>
      <c r="N49" s="8">
        <v>9948.4599999999973</v>
      </c>
      <c r="O49" s="8">
        <v>10022.629999999997</v>
      </c>
      <c r="P49" s="8">
        <v>10084.509999999998</v>
      </c>
      <c r="Q49" s="8">
        <v>10127.729999999998</v>
      </c>
      <c r="R49" s="8">
        <v>10113.169999999998</v>
      </c>
      <c r="S49" s="8">
        <v>10062.669999999998</v>
      </c>
      <c r="T49" s="8">
        <v>10013.979999999998</v>
      </c>
      <c r="U49" s="8">
        <v>9990.779999999997</v>
      </c>
      <c r="V49" s="8">
        <v>10006.699999999997</v>
      </c>
      <c r="W49" s="8">
        <v>10112.719999999998</v>
      </c>
      <c r="X49" s="8">
        <v>10166.409999999996</v>
      </c>
      <c r="Y49" s="8">
        <v>10109.529999999999</v>
      </c>
      <c r="Z49" s="8">
        <v>10001.239999999998</v>
      </c>
      <c r="AA49" s="8">
        <v>9866.5599999999977</v>
      </c>
      <c r="AB49" s="8">
        <v>9745.0799999999981</v>
      </c>
      <c r="AC49" s="8">
        <v>237244.75999999995</v>
      </c>
      <c r="AD49" s="112">
        <v>7812008.9399999948</v>
      </c>
    </row>
    <row r="50" spans="1:30" ht="15.75" thickBot="1" x14ac:dyDescent="0.3">
      <c r="A50" s="48"/>
      <c r="B50" s="49"/>
      <c r="C50" s="32"/>
      <c r="D50" s="33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AC50" s="34"/>
      <c r="AD50" s="35"/>
    </row>
    <row r="51" spans="1:30" x14ac:dyDescent="0.25">
      <c r="A51" s="36"/>
      <c r="B51" s="6" t="s">
        <v>31</v>
      </c>
      <c r="C51" s="51">
        <v>20</v>
      </c>
      <c r="D51" s="118">
        <v>46113</v>
      </c>
      <c r="E51" s="8">
        <v>7411.3399615499984</v>
      </c>
      <c r="F51" s="8">
        <v>7182.8225852249998</v>
      </c>
      <c r="G51" s="8">
        <v>7020.8933093249989</v>
      </c>
      <c r="H51" s="8">
        <v>6924.8180378999987</v>
      </c>
      <c r="I51" s="8">
        <v>6897.7252911000005</v>
      </c>
      <c r="J51" s="8">
        <v>6980.7794605499985</v>
      </c>
      <c r="K51" s="8">
        <v>7067.9964090750009</v>
      </c>
      <c r="L51" s="8">
        <v>7592.7207331500013</v>
      </c>
      <c r="M51" s="8">
        <v>8193.7572811499995</v>
      </c>
      <c r="N51" s="8">
        <v>8704.1316195749987</v>
      </c>
      <c r="O51" s="8">
        <v>9090.841116525</v>
      </c>
      <c r="P51" s="8">
        <v>9399.180198449998</v>
      </c>
      <c r="Q51" s="8">
        <v>9358.4149485749986</v>
      </c>
      <c r="R51" s="8">
        <v>9387.0832229999996</v>
      </c>
      <c r="S51" s="8">
        <v>9601.5141552749992</v>
      </c>
      <c r="T51" s="8">
        <v>9632.3513191500006</v>
      </c>
      <c r="U51" s="8">
        <v>9449.572489350001</v>
      </c>
      <c r="V51" s="8">
        <v>9312.4900280999973</v>
      </c>
      <c r="W51" s="8">
        <v>9720.1662122249963</v>
      </c>
      <c r="X51" s="8">
        <v>9672.8478383250003</v>
      </c>
      <c r="Y51" s="8">
        <v>9336.5178763499989</v>
      </c>
      <c r="Z51" s="8">
        <v>8884.3381992750001</v>
      </c>
      <c r="AA51" s="8">
        <v>8303.3064549749997</v>
      </c>
      <c r="AB51" s="8">
        <v>7790.1487487249997</v>
      </c>
      <c r="AC51" s="8">
        <v>202915.75749689995</v>
      </c>
      <c r="AD51" s="112"/>
    </row>
    <row r="52" spans="1:30" x14ac:dyDescent="0.25">
      <c r="A52" s="43"/>
      <c r="B52" s="10" t="s">
        <v>32</v>
      </c>
      <c r="C52" s="53">
        <v>4</v>
      </c>
      <c r="D52" s="119"/>
      <c r="E52" s="8">
        <v>7361.8280977499981</v>
      </c>
      <c r="F52" s="8">
        <v>7218.8772311249986</v>
      </c>
      <c r="G52" s="8">
        <v>7080.818800125001</v>
      </c>
      <c r="H52" s="8">
        <v>6991.1343941249997</v>
      </c>
      <c r="I52" s="8">
        <v>6926.1236073749997</v>
      </c>
      <c r="J52" s="8">
        <v>6998.4308126249998</v>
      </c>
      <c r="K52" s="8">
        <v>7071.5970858749997</v>
      </c>
      <c r="L52" s="8">
        <v>7600.3526313749999</v>
      </c>
      <c r="M52" s="8">
        <v>8202.3847001249997</v>
      </c>
      <c r="N52" s="8">
        <v>8655.9281917499975</v>
      </c>
      <c r="O52" s="8">
        <v>9029.0543594999981</v>
      </c>
      <c r="P52" s="8">
        <v>9371.7737610000004</v>
      </c>
      <c r="Q52" s="8">
        <v>9410.1236171250002</v>
      </c>
      <c r="R52" s="8">
        <v>9420.7503941249997</v>
      </c>
      <c r="S52" s="8">
        <v>9624.5328742500005</v>
      </c>
      <c r="T52" s="8">
        <v>9600.2010667499981</v>
      </c>
      <c r="U52" s="8">
        <v>9383.4577068750004</v>
      </c>
      <c r="V52" s="8">
        <v>9248.3791128749999</v>
      </c>
      <c r="W52" s="8">
        <v>9666.5385836249989</v>
      </c>
      <c r="X52" s="8">
        <v>9714.5070539999997</v>
      </c>
      <c r="Y52" s="8">
        <v>9400.9939432499996</v>
      </c>
      <c r="Z52" s="8">
        <v>8936.229702749999</v>
      </c>
      <c r="AA52" s="8">
        <v>8286.7461442500007</v>
      </c>
      <c r="AB52" s="8">
        <v>7722.1462473750007</v>
      </c>
      <c r="AC52" s="8">
        <v>202922.91011999999</v>
      </c>
      <c r="AD52" s="112"/>
    </row>
    <row r="53" spans="1:30" ht="15.75" thickBot="1" x14ac:dyDescent="0.3">
      <c r="A53" s="44"/>
      <c r="B53" s="13" t="s">
        <v>33</v>
      </c>
      <c r="C53" s="54">
        <v>6</v>
      </c>
      <c r="D53" s="120"/>
      <c r="E53" s="8">
        <v>7265.2753862500003</v>
      </c>
      <c r="F53" s="8">
        <v>7105.2383605000005</v>
      </c>
      <c r="G53" s="8">
        <v>7026.1792492499999</v>
      </c>
      <c r="H53" s="8">
        <v>6986.24108875</v>
      </c>
      <c r="I53" s="8">
        <v>6999.2195104999992</v>
      </c>
      <c r="J53" s="8">
        <v>7081.3898277500002</v>
      </c>
      <c r="K53" s="8">
        <v>7168.0543882500006</v>
      </c>
      <c r="L53" s="8">
        <v>7650.1588834999993</v>
      </c>
      <c r="M53" s="8">
        <v>8231.6876127499982</v>
      </c>
      <c r="N53" s="8">
        <v>8732.3742064999988</v>
      </c>
      <c r="O53" s="8">
        <v>9128.3462934999989</v>
      </c>
      <c r="P53" s="8">
        <v>9446.5010639999982</v>
      </c>
      <c r="Q53" s="8">
        <v>9397.3164564999988</v>
      </c>
      <c r="R53" s="8">
        <v>9450.0628862499998</v>
      </c>
      <c r="S53" s="8">
        <v>9640.6189494999999</v>
      </c>
      <c r="T53" s="8">
        <v>9624.1443409999993</v>
      </c>
      <c r="U53" s="8">
        <v>9391.0639094999988</v>
      </c>
      <c r="V53" s="8">
        <v>9211.1889642499991</v>
      </c>
      <c r="W53" s="8">
        <v>9599.2413159999978</v>
      </c>
      <c r="X53" s="8">
        <v>9604.4343359999984</v>
      </c>
      <c r="Y53" s="8">
        <v>9313.7345595000006</v>
      </c>
      <c r="Z53" s="8">
        <v>8834.9626889999981</v>
      </c>
      <c r="AA53" s="8">
        <v>8236.570377</v>
      </c>
      <c r="AB53" s="8">
        <v>7679.2540544999974</v>
      </c>
      <c r="AC53" s="8">
        <v>202803.2587105</v>
      </c>
      <c r="AD53" s="112">
        <v>6086826.3426809991</v>
      </c>
    </row>
    <row r="54" spans="1:30" ht="15.75" thickBot="1" x14ac:dyDescent="0.3">
      <c r="A54" s="48"/>
      <c r="B54" s="49"/>
      <c r="C54" s="32"/>
      <c r="D54" s="33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AC54" s="34"/>
      <c r="AD54" s="34"/>
    </row>
    <row r="55" spans="1:30" x14ac:dyDescent="0.25">
      <c r="A55" s="36"/>
      <c r="B55" s="6" t="s">
        <v>31</v>
      </c>
      <c r="C55" s="51">
        <v>19</v>
      </c>
      <c r="D55" s="118">
        <v>46143</v>
      </c>
      <c r="E55" s="8">
        <v>7426.7171917105243</v>
      </c>
      <c r="F55" s="8">
        <v>7228.2388207105241</v>
      </c>
      <c r="G55" s="8">
        <v>7075.3469949473674</v>
      </c>
      <c r="H55" s="8">
        <v>6968.5256925789472</v>
      </c>
      <c r="I55" s="8">
        <v>6904.9176823421058</v>
      </c>
      <c r="J55" s="8">
        <v>6958.4689854473672</v>
      </c>
      <c r="K55" s="8">
        <v>7030.975957894736</v>
      </c>
      <c r="L55" s="8">
        <v>7571.2922797105257</v>
      </c>
      <c r="M55" s="8">
        <v>8198.6036696052633</v>
      </c>
      <c r="N55" s="8">
        <v>8732.3757254999982</v>
      </c>
      <c r="O55" s="8">
        <v>9142.4455057894738</v>
      </c>
      <c r="P55" s="8">
        <v>9464.4278919473691</v>
      </c>
      <c r="Q55" s="8">
        <v>9433.4625276315783</v>
      </c>
      <c r="R55" s="8">
        <v>9474.7274856315798</v>
      </c>
      <c r="S55" s="8">
        <v>9691.2573521842114</v>
      </c>
      <c r="T55" s="8">
        <v>9701.9811607894717</v>
      </c>
      <c r="U55" s="8">
        <v>9511.6379516052621</v>
      </c>
      <c r="V55" s="8">
        <v>9383.5888318421075</v>
      </c>
      <c r="W55" s="8">
        <v>9798.0966349736846</v>
      </c>
      <c r="X55" s="8">
        <v>9784.7116815000009</v>
      </c>
      <c r="Y55" s="8">
        <v>9468.3113804999994</v>
      </c>
      <c r="Z55" s="8">
        <v>8990.5724867368426</v>
      </c>
      <c r="AA55" s="8">
        <v>8375.9154873947373</v>
      </c>
      <c r="AB55" s="8">
        <v>7822.437690789473</v>
      </c>
      <c r="AC55" s="8">
        <v>204139.03706976312</v>
      </c>
      <c r="AD55" s="112"/>
    </row>
    <row r="56" spans="1:30" x14ac:dyDescent="0.25">
      <c r="A56" s="43"/>
      <c r="B56" s="10" t="s">
        <v>32</v>
      </c>
      <c r="C56" s="53">
        <v>5</v>
      </c>
      <c r="D56" s="119"/>
      <c r="E56" s="8">
        <v>7404.7129148999993</v>
      </c>
      <c r="F56" s="8">
        <v>7153.7944989000007</v>
      </c>
      <c r="G56" s="8">
        <v>6980.5697135999999</v>
      </c>
      <c r="H56" s="8">
        <v>6904.6619271</v>
      </c>
      <c r="I56" s="8">
        <v>6918.6823608000004</v>
      </c>
      <c r="J56" s="8">
        <v>6982.1258703000003</v>
      </c>
      <c r="K56" s="8">
        <v>7059.0461046000009</v>
      </c>
      <c r="L56" s="8">
        <v>7579.4766431999988</v>
      </c>
      <c r="M56" s="8">
        <v>8206.0438130999992</v>
      </c>
      <c r="N56" s="8">
        <v>8714.7789581999987</v>
      </c>
      <c r="O56" s="8">
        <v>9134.5905839999996</v>
      </c>
      <c r="P56" s="8">
        <v>9496.8442275000016</v>
      </c>
      <c r="Q56" s="8">
        <v>9460.633526399999</v>
      </c>
      <c r="R56" s="8">
        <v>9501.2404535999976</v>
      </c>
      <c r="S56" s="8">
        <v>9707.191010999999</v>
      </c>
      <c r="T56" s="8">
        <v>9761.5258271999992</v>
      </c>
      <c r="U56" s="8">
        <v>9558.1797863999982</v>
      </c>
      <c r="V56" s="8">
        <v>9408.9078867000007</v>
      </c>
      <c r="W56" s="8">
        <v>9807.420462</v>
      </c>
      <c r="X56" s="8">
        <v>9732.9858065999979</v>
      </c>
      <c r="Y56" s="8">
        <v>9390.840043199998</v>
      </c>
      <c r="Z56" s="8">
        <v>8946.543818099999</v>
      </c>
      <c r="AA56" s="8">
        <v>8405.3519550000001</v>
      </c>
      <c r="AB56" s="8">
        <v>7849.2396800999986</v>
      </c>
      <c r="AC56" s="8">
        <v>204065.3878725</v>
      </c>
      <c r="AD56" s="112"/>
    </row>
    <row r="57" spans="1:30" ht="15.75" thickBot="1" x14ac:dyDescent="0.3">
      <c r="A57" s="44"/>
      <c r="B57" s="13" t="s">
        <v>33</v>
      </c>
      <c r="C57" s="54">
        <v>7</v>
      </c>
      <c r="D57" s="120"/>
      <c r="E57" s="8">
        <v>7458.4756049999996</v>
      </c>
      <c r="F57" s="8">
        <v>7213.6815029999998</v>
      </c>
      <c r="G57" s="8">
        <v>7027.9648634999985</v>
      </c>
      <c r="H57" s="8">
        <v>6907.4740035000004</v>
      </c>
      <c r="I57" s="8">
        <v>6870.4587630000015</v>
      </c>
      <c r="J57" s="8">
        <v>6993.675486000001</v>
      </c>
      <c r="K57" s="8">
        <v>7119.7313564999995</v>
      </c>
      <c r="L57" s="8">
        <v>7666.7177055000002</v>
      </c>
      <c r="M57" s="8">
        <v>8257.0457339999994</v>
      </c>
      <c r="N57" s="8">
        <v>8763.4940819999993</v>
      </c>
      <c r="O57" s="8">
        <v>9138.9418784999998</v>
      </c>
      <c r="P57" s="8">
        <v>9459.5114879999983</v>
      </c>
      <c r="Q57" s="8">
        <v>9453.3369419999999</v>
      </c>
      <c r="R57" s="8">
        <v>9470.178112499998</v>
      </c>
      <c r="S57" s="8">
        <v>9699.4648275</v>
      </c>
      <c r="T57" s="8">
        <v>9722.019184499999</v>
      </c>
      <c r="U57" s="8">
        <v>9535.9234634999993</v>
      </c>
      <c r="V57" s="8">
        <v>9363.6055904999994</v>
      </c>
      <c r="W57" s="8">
        <v>9762.3552914999982</v>
      </c>
      <c r="X57" s="8">
        <v>9720.170501999999</v>
      </c>
      <c r="Y57" s="8">
        <v>9373.1995559999996</v>
      </c>
      <c r="Z57" s="8">
        <v>8901.6333734999989</v>
      </c>
      <c r="AA57" s="8">
        <v>8313.2717639999992</v>
      </c>
      <c r="AB57" s="8">
        <v>7846.0727729999999</v>
      </c>
      <c r="AC57" s="8">
        <v>204038.40384899997</v>
      </c>
      <c r="AD57" s="112">
        <v>6327237.4706309987</v>
      </c>
    </row>
    <row r="58" spans="1:30" ht="15.75" thickBot="1" x14ac:dyDescent="0.3">
      <c r="A58" s="48"/>
      <c r="B58" s="49"/>
      <c r="C58" s="32"/>
      <c r="D58" s="33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AC58" s="34"/>
      <c r="AD58" s="35"/>
    </row>
    <row r="59" spans="1:30" x14ac:dyDescent="0.25">
      <c r="A59" s="36"/>
      <c r="B59" s="6" t="s">
        <v>31</v>
      </c>
      <c r="C59" s="51">
        <v>19</v>
      </c>
      <c r="D59" s="118">
        <v>46174</v>
      </c>
      <c r="E59" s="8">
        <v>9567.0299999999988</v>
      </c>
      <c r="F59" s="8">
        <v>9498.01</v>
      </c>
      <c r="G59" s="8">
        <v>9466.3500000000022</v>
      </c>
      <c r="H59" s="8">
        <v>9466.75</v>
      </c>
      <c r="I59" s="8">
        <v>9522.3699999999972</v>
      </c>
      <c r="J59" s="8">
        <v>9608.850000000004</v>
      </c>
      <c r="K59" s="8">
        <v>9857.7300000000068</v>
      </c>
      <c r="L59" s="8">
        <v>10057.48000000001</v>
      </c>
      <c r="M59" s="8">
        <v>10184.970000000005</v>
      </c>
      <c r="N59" s="8">
        <v>10265.760000000009</v>
      </c>
      <c r="O59" s="8">
        <v>10332.340000000017</v>
      </c>
      <c r="P59" s="8">
        <v>10395.680000000018</v>
      </c>
      <c r="Q59" s="8">
        <v>10431.810000000007</v>
      </c>
      <c r="R59" s="8">
        <v>10380.660000000007</v>
      </c>
      <c r="S59" s="8">
        <v>10338.840000000017</v>
      </c>
      <c r="T59" s="8">
        <v>10300.680000000002</v>
      </c>
      <c r="U59" s="8">
        <v>10256.830000000013</v>
      </c>
      <c r="V59" s="8">
        <v>10247.490000000016</v>
      </c>
      <c r="W59" s="8">
        <v>10380.660000000007</v>
      </c>
      <c r="X59" s="8">
        <v>10429.380000000008</v>
      </c>
      <c r="Y59" s="8">
        <v>10316.510000000009</v>
      </c>
      <c r="Z59" s="8">
        <v>10135.030000000002</v>
      </c>
      <c r="AA59" s="8">
        <v>9920.6600000000071</v>
      </c>
      <c r="AB59" s="8">
        <v>9711.1600000000035</v>
      </c>
      <c r="AC59" s="8">
        <v>241073.03000000017</v>
      </c>
      <c r="AD59" s="112"/>
    </row>
    <row r="60" spans="1:30" x14ac:dyDescent="0.25">
      <c r="A60" s="43"/>
      <c r="B60" s="10" t="s">
        <v>32</v>
      </c>
      <c r="C60" s="53">
        <v>4</v>
      </c>
      <c r="D60" s="119"/>
      <c r="E60" s="8">
        <v>9631.9900000000016</v>
      </c>
      <c r="F60" s="8">
        <v>9553.64</v>
      </c>
      <c r="G60" s="8">
        <v>9511.82</v>
      </c>
      <c r="H60" s="8">
        <v>9501.2599999999984</v>
      </c>
      <c r="I60" s="8">
        <v>9537.3999999999978</v>
      </c>
      <c r="J60" s="8">
        <v>9574.75</v>
      </c>
      <c r="K60" s="8">
        <v>9722.5300000000025</v>
      </c>
      <c r="L60" s="8">
        <v>9899.1400000000031</v>
      </c>
      <c r="M60" s="8">
        <v>10074.940000000002</v>
      </c>
      <c r="N60" s="8">
        <v>10205.270000000004</v>
      </c>
      <c r="O60" s="8">
        <v>10305.550000000003</v>
      </c>
      <c r="P60" s="8">
        <v>10384.720000000001</v>
      </c>
      <c r="Q60" s="8">
        <v>10418.420000000002</v>
      </c>
      <c r="R60" s="8">
        <v>10367.670000000002</v>
      </c>
      <c r="S60" s="8">
        <v>10290.530000000002</v>
      </c>
      <c r="T60" s="8">
        <v>10228.410000000003</v>
      </c>
      <c r="U60" s="8">
        <v>10182.940000000002</v>
      </c>
      <c r="V60" s="8">
        <v>10187.810000000005</v>
      </c>
      <c r="W60" s="8">
        <v>10321.790000000001</v>
      </c>
      <c r="X60" s="8">
        <v>10356.300000000003</v>
      </c>
      <c r="Y60" s="8">
        <v>10257.640000000003</v>
      </c>
      <c r="Z60" s="8">
        <v>10100.110000000004</v>
      </c>
      <c r="AA60" s="8">
        <v>9913.760000000002</v>
      </c>
      <c r="AB60" s="8">
        <v>9739.5799999999981</v>
      </c>
      <c r="AC60" s="8">
        <v>240267.97000000003</v>
      </c>
      <c r="AD60" s="112"/>
    </row>
    <row r="61" spans="1:30" ht="15.75" thickBot="1" x14ac:dyDescent="0.3">
      <c r="A61" s="44"/>
      <c r="B61" s="13" t="s">
        <v>33</v>
      </c>
      <c r="C61" s="54">
        <v>7</v>
      </c>
      <c r="D61" s="120"/>
      <c r="E61" s="8">
        <v>9814.6899999999987</v>
      </c>
      <c r="F61" s="8">
        <v>9710.3500000000022</v>
      </c>
      <c r="G61" s="8">
        <v>9655.14</v>
      </c>
      <c r="H61" s="8">
        <v>9627.93</v>
      </c>
      <c r="I61" s="8">
        <v>9629.9599999999991</v>
      </c>
      <c r="J61" s="8">
        <v>9616.16</v>
      </c>
      <c r="K61" s="8">
        <v>9705.07</v>
      </c>
      <c r="L61" s="8">
        <v>9864.23</v>
      </c>
      <c r="M61" s="8">
        <v>10087.119999999999</v>
      </c>
      <c r="N61" s="8">
        <v>10274.689999999999</v>
      </c>
      <c r="O61" s="8">
        <v>10407.450000000001</v>
      </c>
      <c r="P61" s="8">
        <v>10517.890000000003</v>
      </c>
      <c r="Q61" s="8">
        <v>10595.430000000004</v>
      </c>
      <c r="R61" s="8">
        <v>10569.450000000004</v>
      </c>
      <c r="S61" s="8">
        <v>10479.720000000001</v>
      </c>
      <c r="T61" s="8">
        <v>10391.619999999999</v>
      </c>
      <c r="U61" s="8">
        <v>10350.61</v>
      </c>
      <c r="V61" s="8">
        <v>10378.630000000001</v>
      </c>
      <c r="W61" s="8">
        <v>10569.040000000005</v>
      </c>
      <c r="X61" s="8">
        <v>10664.050000000003</v>
      </c>
      <c r="Y61" s="8">
        <v>10562.950000000004</v>
      </c>
      <c r="Z61" s="8">
        <v>10369.700000000001</v>
      </c>
      <c r="AA61" s="8">
        <v>10128.530000000002</v>
      </c>
      <c r="AB61" s="8">
        <v>9911.32</v>
      </c>
      <c r="AC61" s="8">
        <v>243881.73000000007</v>
      </c>
      <c r="AD61" s="112">
        <v>7248631.5600000033</v>
      </c>
    </row>
    <row r="62" spans="1:30" ht="15.75" thickBot="1" x14ac:dyDescent="0.3">
      <c r="A62" s="48"/>
      <c r="B62" s="49"/>
      <c r="C62" s="32"/>
      <c r="D62" s="33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AC62" s="34"/>
      <c r="AD62" s="35"/>
    </row>
    <row r="63" spans="1:30" x14ac:dyDescent="0.25">
      <c r="A63" s="36"/>
      <c r="B63" s="6" t="s">
        <v>31</v>
      </c>
      <c r="C63" s="51">
        <v>22</v>
      </c>
      <c r="D63" s="118">
        <v>46204</v>
      </c>
      <c r="E63" s="8">
        <v>8718.2116941818203</v>
      </c>
      <c r="F63" s="8">
        <v>8479.1992243636359</v>
      </c>
      <c r="G63" s="8">
        <v>8298.5816760000016</v>
      </c>
      <c r="H63" s="8">
        <v>8150.089225090911</v>
      </c>
      <c r="I63" s="8">
        <v>8091.4974992727266</v>
      </c>
      <c r="J63" s="8">
        <v>8164.2690894545449</v>
      </c>
      <c r="K63" s="8">
        <v>8249.767748727274</v>
      </c>
      <c r="L63" s="8">
        <v>8843.1106641818169</v>
      </c>
      <c r="M63" s="8">
        <v>9526.8389465454547</v>
      </c>
      <c r="N63" s="8">
        <v>10079.158148181821</v>
      </c>
      <c r="O63" s="8">
        <v>10488.748982727273</v>
      </c>
      <c r="P63" s="8">
        <v>10824.957875454547</v>
      </c>
      <c r="Q63" s="8">
        <v>10768.102303636362</v>
      </c>
      <c r="R63" s="8">
        <v>10817.321603454548</v>
      </c>
      <c r="S63" s="8">
        <v>11073.21812672727</v>
      </c>
      <c r="T63" s="8">
        <v>11115.438680181818</v>
      </c>
      <c r="U63" s="8">
        <v>10904.959532727273</v>
      </c>
      <c r="V63" s="8">
        <v>10744.014864545456</v>
      </c>
      <c r="W63" s="8">
        <v>11215.741083272729</v>
      </c>
      <c r="X63" s="8">
        <v>11216.105001818181</v>
      </c>
      <c r="Y63" s="8">
        <v>10891.33863109091</v>
      </c>
      <c r="Z63" s="8">
        <v>10399.384276909092</v>
      </c>
      <c r="AA63" s="8">
        <v>9746.1484069090911</v>
      </c>
      <c r="AB63" s="8">
        <v>9154.1670054545448</v>
      </c>
      <c r="AC63" s="8">
        <v>235960.37029090911</v>
      </c>
      <c r="AD63" s="112"/>
    </row>
    <row r="64" spans="1:30" x14ac:dyDescent="0.25">
      <c r="A64" s="43"/>
      <c r="B64" s="10" t="s">
        <v>32</v>
      </c>
      <c r="C64" s="53">
        <v>4</v>
      </c>
      <c r="D64" s="119"/>
      <c r="E64" s="8">
        <v>8652.6094620000003</v>
      </c>
      <c r="F64" s="8">
        <v>8403.5267399999993</v>
      </c>
      <c r="G64" s="8">
        <v>8220.5626859999993</v>
      </c>
      <c r="H64" s="8">
        <v>8174.6165550000005</v>
      </c>
      <c r="I64" s="8">
        <v>8116.3374180000001</v>
      </c>
      <c r="J64" s="8">
        <v>8163.1640370000014</v>
      </c>
      <c r="K64" s="8">
        <v>8202.3868500000008</v>
      </c>
      <c r="L64" s="8">
        <v>8749.5571800000016</v>
      </c>
      <c r="M64" s="8">
        <v>9414.0969509999995</v>
      </c>
      <c r="N64" s="8">
        <v>10029.780075000002</v>
      </c>
      <c r="O64" s="8">
        <v>10558.282560000001</v>
      </c>
      <c r="P64" s="8">
        <v>10901.292653999999</v>
      </c>
      <c r="Q64" s="8">
        <v>10850.063973</v>
      </c>
      <c r="R64" s="8">
        <v>10842.216420000001</v>
      </c>
      <c r="S64" s="8">
        <v>11059.556928</v>
      </c>
      <c r="T64" s="8">
        <v>11078.344368</v>
      </c>
      <c r="U64" s="8">
        <v>10897.253493000002</v>
      </c>
      <c r="V64" s="8">
        <v>10822.754628000001</v>
      </c>
      <c r="W64" s="8">
        <v>11314.769634000002</v>
      </c>
      <c r="X64" s="8">
        <v>11308.753239</v>
      </c>
      <c r="Y64" s="8">
        <v>10919.735925000001</v>
      </c>
      <c r="Z64" s="8">
        <v>10402.903749000003</v>
      </c>
      <c r="AA64" s="8">
        <v>9724.718766</v>
      </c>
      <c r="AB64" s="8">
        <v>9131.266787999999</v>
      </c>
      <c r="AC64" s="8">
        <v>235938.551079</v>
      </c>
      <c r="AD64" s="112"/>
    </row>
    <row r="65" spans="1:30" ht="15.75" thickBot="1" x14ac:dyDescent="0.3">
      <c r="A65" s="44"/>
      <c r="B65" s="13" t="s">
        <v>33</v>
      </c>
      <c r="C65" s="54">
        <v>5</v>
      </c>
      <c r="D65" s="120"/>
      <c r="E65" s="8">
        <v>8662.3903296000008</v>
      </c>
      <c r="F65" s="8">
        <v>8359.0461192000002</v>
      </c>
      <c r="G65" s="8">
        <v>8162.1546047999991</v>
      </c>
      <c r="H65" s="8">
        <v>8075.2569912000008</v>
      </c>
      <c r="I65" s="8">
        <v>8065.0796352000007</v>
      </c>
      <c r="J65" s="8">
        <v>8112.4273944000006</v>
      </c>
      <c r="K65" s="8">
        <v>8189.7635568000005</v>
      </c>
      <c r="L65" s="8">
        <v>8739.3763296000016</v>
      </c>
      <c r="M65" s="8">
        <v>9396.9057671999999</v>
      </c>
      <c r="N65" s="8">
        <v>9984.9494640000012</v>
      </c>
      <c r="O65" s="8">
        <v>10445.654755200001</v>
      </c>
      <c r="P65" s="8">
        <v>10911.776786400002</v>
      </c>
      <c r="Q65" s="8">
        <v>10933.531240800001</v>
      </c>
      <c r="R65" s="8">
        <v>10986.300192000001</v>
      </c>
      <c r="S65" s="8">
        <v>11187.598128</v>
      </c>
      <c r="T65" s="8">
        <v>11168.526801600001</v>
      </c>
      <c r="U65" s="8">
        <v>10917.128611200002</v>
      </c>
      <c r="V65" s="8">
        <v>10792.1783928</v>
      </c>
      <c r="W65" s="8">
        <v>11335.567286400001</v>
      </c>
      <c r="X65" s="8">
        <v>11336.4232632</v>
      </c>
      <c r="Y65" s="8">
        <v>10965.186254400001</v>
      </c>
      <c r="Z65" s="8">
        <v>10420.189029600002</v>
      </c>
      <c r="AA65" s="8">
        <v>9747.4058808000027</v>
      </c>
      <c r="AB65" s="8">
        <v>9114.8919791999997</v>
      </c>
      <c r="AC65" s="8">
        <v>236009.70879360006</v>
      </c>
      <c r="AD65" s="112">
        <v>7314930.8946840009</v>
      </c>
    </row>
    <row r="66" spans="1:30" ht="15.75" thickBot="1" x14ac:dyDescent="0.3">
      <c r="A66" s="48"/>
      <c r="B66" s="49"/>
      <c r="C66" s="32"/>
      <c r="D66" s="33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56"/>
      <c r="AD66" s="35"/>
    </row>
    <row r="67" spans="1:30" x14ac:dyDescent="0.25">
      <c r="A67" s="36"/>
      <c r="B67" s="6" t="s">
        <v>31</v>
      </c>
      <c r="C67" s="51">
        <v>19</v>
      </c>
      <c r="D67" s="118">
        <v>46235</v>
      </c>
      <c r="E67" s="8">
        <v>7631.9505299210532</v>
      </c>
      <c r="F67" s="8">
        <v>7443.1105620789476</v>
      </c>
      <c r="G67" s="8">
        <v>7289.8070241315791</v>
      </c>
      <c r="H67" s="8">
        <v>7194.7313467105259</v>
      </c>
      <c r="I67" s="8">
        <v>7158.993847894737</v>
      </c>
      <c r="J67" s="8">
        <v>7208.4073447105275</v>
      </c>
      <c r="K67" s="8">
        <v>7277.6999261842111</v>
      </c>
      <c r="L67" s="8">
        <v>7791.8172155526308</v>
      </c>
      <c r="M67" s="8">
        <v>8396.7131054210531</v>
      </c>
      <c r="N67" s="8">
        <v>8904.7465908947361</v>
      </c>
      <c r="O67" s="8">
        <v>9304.0020724736842</v>
      </c>
      <c r="P67" s="8">
        <v>9623.1402175263156</v>
      </c>
      <c r="Q67" s="8">
        <v>9574.0324497631573</v>
      </c>
      <c r="R67" s="8">
        <v>9577.8774243157895</v>
      </c>
      <c r="S67" s="8">
        <v>9766.6827968684211</v>
      </c>
      <c r="T67" s="8">
        <v>9783.3093479210511</v>
      </c>
      <c r="U67" s="8">
        <v>9598.4261249210522</v>
      </c>
      <c r="V67" s="8">
        <v>9479.9392661842121</v>
      </c>
      <c r="W67" s="8">
        <v>9894.6085449473685</v>
      </c>
      <c r="X67" s="8">
        <v>9873.5510347894742</v>
      </c>
      <c r="Y67" s="8">
        <v>9533.9949185526293</v>
      </c>
      <c r="Z67" s="8">
        <v>9058.6410611052634</v>
      </c>
      <c r="AA67" s="8">
        <v>8470.0157269736847</v>
      </c>
      <c r="AB67" s="8">
        <v>7963.1171898157909</v>
      </c>
      <c r="AC67" s="8">
        <v>207799.31566965787</v>
      </c>
      <c r="AD67" s="112"/>
    </row>
    <row r="68" spans="1:30" x14ac:dyDescent="0.25">
      <c r="A68" s="43"/>
      <c r="B68" s="10" t="s">
        <v>32</v>
      </c>
      <c r="C68" s="53">
        <v>5</v>
      </c>
      <c r="D68" s="119"/>
      <c r="E68" s="8">
        <v>7606.8992579999995</v>
      </c>
      <c r="F68" s="8">
        <v>7434.7558487999995</v>
      </c>
      <c r="G68" s="8">
        <v>7325.0741360999991</v>
      </c>
      <c r="H68" s="8">
        <v>7194.3608540999994</v>
      </c>
      <c r="I68" s="8">
        <v>7147.8273278999986</v>
      </c>
      <c r="J68" s="8">
        <v>7222.3510211999992</v>
      </c>
      <c r="K68" s="8">
        <v>7336.2613064999987</v>
      </c>
      <c r="L68" s="8">
        <v>7825.1576990999993</v>
      </c>
      <c r="M68" s="8">
        <v>8421.7298864999993</v>
      </c>
      <c r="N68" s="8">
        <v>8908.8163122000005</v>
      </c>
      <c r="O68" s="8">
        <v>9264.1249554000005</v>
      </c>
      <c r="P68" s="8">
        <v>9563.6337804000013</v>
      </c>
      <c r="Q68" s="8">
        <v>9525.1106369999998</v>
      </c>
      <c r="R68" s="8">
        <v>9603.2140596000008</v>
      </c>
      <c r="S68" s="8">
        <v>9811.3431716999985</v>
      </c>
      <c r="T68" s="8">
        <v>9824.8121055000011</v>
      </c>
      <c r="U68" s="8">
        <v>9577.9815977999988</v>
      </c>
      <c r="V68" s="8">
        <v>9404.827578299999</v>
      </c>
      <c r="W68" s="8">
        <v>9800.1743322000002</v>
      </c>
      <c r="X68" s="8">
        <v>9808.6866170999965</v>
      </c>
      <c r="Y68" s="8">
        <v>9547.3276730999987</v>
      </c>
      <c r="Z68" s="8">
        <v>9086.2358306999995</v>
      </c>
      <c r="AA68" s="8">
        <v>8496.577949999999</v>
      </c>
      <c r="AB68" s="8">
        <v>7968.9824696999995</v>
      </c>
      <c r="AC68" s="8">
        <v>207706.26640889997</v>
      </c>
      <c r="AD68" s="112"/>
    </row>
    <row r="69" spans="1:30" ht="15.75" thickBot="1" x14ac:dyDescent="0.3">
      <c r="A69" s="44"/>
      <c r="B69" s="13" t="s">
        <v>33</v>
      </c>
      <c r="C69" s="54">
        <v>7</v>
      </c>
      <c r="D69" s="120"/>
      <c r="E69" s="8">
        <v>7580.8283039999988</v>
      </c>
      <c r="F69" s="8">
        <v>7359.8818860000001</v>
      </c>
      <c r="G69" s="8">
        <v>7224.9208394999987</v>
      </c>
      <c r="H69" s="8">
        <v>7159.9775099999997</v>
      </c>
      <c r="I69" s="8">
        <v>7127.6905244999998</v>
      </c>
      <c r="J69" s="8">
        <v>7223.3802689999984</v>
      </c>
      <c r="K69" s="8">
        <v>7301.2661609999986</v>
      </c>
      <c r="L69" s="8">
        <v>7840.5821234999994</v>
      </c>
      <c r="M69" s="8">
        <v>8422.6630635000001</v>
      </c>
      <c r="N69" s="8">
        <v>8900.0206259999995</v>
      </c>
      <c r="O69" s="8">
        <v>9270.8442224999981</v>
      </c>
      <c r="P69" s="8">
        <v>9554.7807809999995</v>
      </c>
      <c r="Q69" s="8">
        <v>9531.4043055000002</v>
      </c>
      <c r="R69" s="8">
        <v>9577.2892949999987</v>
      </c>
      <c r="S69" s="8">
        <v>9841.6487190000007</v>
      </c>
      <c r="T69" s="8">
        <v>9867.9216089999991</v>
      </c>
      <c r="U69" s="8">
        <v>9670.0960964999995</v>
      </c>
      <c r="V69" s="8">
        <v>9492.2792790000003</v>
      </c>
      <c r="W69" s="8">
        <v>9874.6702635000001</v>
      </c>
      <c r="X69" s="8">
        <v>9830.537797500001</v>
      </c>
      <c r="Y69" s="8">
        <v>9507.0547110000007</v>
      </c>
      <c r="Z69" s="8">
        <v>9099.3226484999996</v>
      </c>
      <c r="AA69" s="8">
        <v>8523.0096314999992</v>
      </c>
      <c r="AB69" s="8">
        <v>7987.5513059999994</v>
      </c>
      <c r="AC69" s="8">
        <v>207769.62197250003</v>
      </c>
      <c r="AD69" s="112">
        <v>6441105.6835754998</v>
      </c>
    </row>
    <row r="70" spans="1:30" ht="15.75" thickBot="1" x14ac:dyDescent="0.3">
      <c r="A70" s="48"/>
      <c r="B70" s="49"/>
      <c r="C70" s="32"/>
      <c r="D70" s="33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56"/>
      <c r="AD70" s="35"/>
    </row>
    <row r="71" spans="1:30" x14ac:dyDescent="0.25">
      <c r="A71" s="36"/>
      <c r="B71" s="6" t="s">
        <v>31</v>
      </c>
      <c r="C71" s="51">
        <v>20</v>
      </c>
      <c r="D71" s="118">
        <v>46266</v>
      </c>
      <c r="E71" s="8">
        <v>7601.8598995499979</v>
      </c>
      <c r="F71" s="8">
        <v>7399.6560928499985</v>
      </c>
      <c r="G71" s="8">
        <v>7260.0933667499994</v>
      </c>
      <c r="H71" s="8">
        <v>7168.0147974749998</v>
      </c>
      <c r="I71" s="8">
        <v>7136.2409789999992</v>
      </c>
      <c r="J71" s="8">
        <v>7211.7110656499999</v>
      </c>
      <c r="K71" s="8">
        <v>7304.2983247499988</v>
      </c>
      <c r="L71" s="8">
        <v>7856.4527716499997</v>
      </c>
      <c r="M71" s="8">
        <v>8483.4778649249984</v>
      </c>
      <c r="N71" s="8">
        <v>8989.8752359499995</v>
      </c>
      <c r="O71" s="8">
        <v>9367.7932251750008</v>
      </c>
      <c r="P71" s="8">
        <v>9669.4137566249992</v>
      </c>
      <c r="Q71" s="8">
        <v>9631.9079561250001</v>
      </c>
      <c r="R71" s="8">
        <v>9676.1104922999984</v>
      </c>
      <c r="S71" s="8">
        <v>9905.7794225249963</v>
      </c>
      <c r="T71" s="8">
        <v>9927.3986500500014</v>
      </c>
      <c r="U71" s="8">
        <v>9722.8387530749987</v>
      </c>
      <c r="V71" s="8">
        <v>9556.4527458750017</v>
      </c>
      <c r="W71" s="8">
        <v>9949.760712674999</v>
      </c>
      <c r="X71" s="8">
        <v>9929.9279834999979</v>
      </c>
      <c r="Y71" s="8">
        <v>9612.0027338999989</v>
      </c>
      <c r="Z71" s="8">
        <v>9147.238607325</v>
      </c>
      <c r="AA71" s="8">
        <v>8549.9416143749986</v>
      </c>
      <c r="AB71" s="8">
        <v>7999.4767597500004</v>
      </c>
      <c r="AC71" s="8">
        <v>209057.72381182498</v>
      </c>
      <c r="AD71" s="112"/>
    </row>
    <row r="72" spans="1:30" x14ac:dyDescent="0.25">
      <c r="A72" s="43"/>
      <c r="B72" s="10" t="s">
        <v>32</v>
      </c>
      <c r="C72" s="53">
        <v>4</v>
      </c>
      <c r="D72" s="119"/>
      <c r="E72" s="8">
        <v>7671.1635052499987</v>
      </c>
      <c r="F72" s="8">
        <v>7411.6808876249997</v>
      </c>
      <c r="G72" s="8">
        <v>7226.2659104999984</v>
      </c>
      <c r="H72" s="8">
        <v>7112.4961608749991</v>
      </c>
      <c r="I72" s="8">
        <v>7100.7230227499995</v>
      </c>
      <c r="J72" s="8">
        <v>7238.6573857499998</v>
      </c>
      <c r="K72" s="8">
        <v>7336.9122041249993</v>
      </c>
      <c r="L72" s="8">
        <v>7872.7466816249989</v>
      </c>
      <c r="M72" s="8">
        <v>8450.9374267499988</v>
      </c>
      <c r="N72" s="8">
        <v>8959.320223875</v>
      </c>
      <c r="O72" s="8">
        <v>9342.1223542499993</v>
      </c>
      <c r="P72" s="8">
        <v>9667.5372832499997</v>
      </c>
      <c r="Q72" s="8">
        <v>9636.8540467499988</v>
      </c>
      <c r="R72" s="8">
        <v>9626.0527439999987</v>
      </c>
      <c r="S72" s="8">
        <v>9828.8177268749987</v>
      </c>
      <c r="T72" s="8">
        <v>9879.5675474999989</v>
      </c>
      <c r="U72" s="8">
        <v>9760.7498546250008</v>
      </c>
      <c r="V72" s="8">
        <v>9596.5249826250001</v>
      </c>
      <c r="W72" s="8">
        <v>9993.2910839999986</v>
      </c>
      <c r="X72" s="8">
        <v>9923.1705956250007</v>
      </c>
      <c r="Y72" s="8">
        <v>9577.7292502500004</v>
      </c>
      <c r="Z72" s="8">
        <v>9121.236166875</v>
      </c>
      <c r="AA72" s="8">
        <v>8540.559174</v>
      </c>
      <c r="AB72" s="8">
        <v>8081.6004779999985</v>
      </c>
      <c r="AC72" s="8">
        <v>208956.71669775</v>
      </c>
      <c r="AD72" s="112"/>
    </row>
    <row r="73" spans="1:30" ht="15.75" thickBot="1" x14ac:dyDescent="0.3">
      <c r="A73" s="44"/>
      <c r="B73" s="13" t="s">
        <v>33</v>
      </c>
      <c r="C73" s="54">
        <v>6</v>
      </c>
      <c r="D73" s="120"/>
      <c r="E73" s="8">
        <v>7693.9431887499986</v>
      </c>
      <c r="F73" s="8">
        <v>7461.3755912499992</v>
      </c>
      <c r="G73" s="8">
        <v>7264.2548387499992</v>
      </c>
      <c r="H73" s="8">
        <v>7148.0737930000005</v>
      </c>
      <c r="I73" s="8">
        <v>7086.6646287499989</v>
      </c>
      <c r="J73" s="8">
        <v>7168.1815432499989</v>
      </c>
      <c r="K73" s="8">
        <v>7280.5881435000001</v>
      </c>
      <c r="L73" s="8">
        <v>7785.880394249999</v>
      </c>
      <c r="M73" s="8">
        <v>8389.789064999999</v>
      </c>
      <c r="N73" s="8">
        <v>8901.6833674999998</v>
      </c>
      <c r="O73" s="8">
        <v>9315.3288235</v>
      </c>
      <c r="P73" s="8">
        <v>9655.3410484999986</v>
      </c>
      <c r="Q73" s="8">
        <v>9636.5885892499973</v>
      </c>
      <c r="R73" s="8">
        <v>9672.1563294999996</v>
      </c>
      <c r="S73" s="8">
        <v>9862.9559227499994</v>
      </c>
      <c r="T73" s="8">
        <v>9867.0986522499988</v>
      </c>
      <c r="U73" s="8">
        <v>9666.8930434999984</v>
      </c>
      <c r="V73" s="8">
        <v>9579.37993775</v>
      </c>
      <c r="W73" s="8">
        <v>10014.285452499998</v>
      </c>
      <c r="X73" s="8">
        <v>9974.3556097499986</v>
      </c>
      <c r="Y73" s="8">
        <v>9642.7886817500003</v>
      </c>
      <c r="Z73" s="8">
        <v>9181.815301749999</v>
      </c>
      <c r="AA73" s="8">
        <v>8583.1150369999996</v>
      </c>
      <c r="AB73" s="8">
        <v>8071.7423150000013</v>
      </c>
      <c r="AC73" s="8">
        <v>208904.27929874999</v>
      </c>
      <c r="AD73" s="112">
        <v>6270407.0188199989</v>
      </c>
    </row>
    <row r="74" spans="1:30" ht="15.75" thickBot="1" x14ac:dyDescent="0.3">
      <c r="A74" s="48"/>
      <c r="B74" s="49"/>
      <c r="C74" s="32"/>
      <c r="D74" s="33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AC74" s="34"/>
      <c r="AD74" s="35"/>
    </row>
    <row r="75" spans="1:30" x14ac:dyDescent="0.25">
      <c r="A75" s="36"/>
      <c r="B75" s="6" t="s">
        <v>31</v>
      </c>
      <c r="C75" s="51">
        <v>21</v>
      </c>
      <c r="D75" s="118">
        <v>46296</v>
      </c>
      <c r="E75" s="8">
        <v>7713.7402159999992</v>
      </c>
      <c r="F75" s="8">
        <v>7474.8104654999988</v>
      </c>
      <c r="G75" s="8">
        <v>7290.1349044999997</v>
      </c>
      <c r="H75" s="8">
        <v>7179.6366529999996</v>
      </c>
      <c r="I75" s="8">
        <v>7146.8875204999995</v>
      </c>
      <c r="J75" s="8">
        <v>7233.5886385000003</v>
      </c>
      <c r="K75" s="8">
        <v>7315.3468920000005</v>
      </c>
      <c r="L75" s="8">
        <v>7834.7755919999981</v>
      </c>
      <c r="M75" s="8">
        <v>8422.951089000002</v>
      </c>
      <c r="N75" s="8">
        <v>8929.9039549999998</v>
      </c>
      <c r="O75" s="8">
        <v>9338.0659189999969</v>
      </c>
      <c r="P75" s="8">
        <v>9683.8256165000003</v>
      </c>
      <c r="Q75" s="8">
        <v>9680.3886060000004</v>
      </c>
      <c r="R75" s="8">
        <v>9743.4873549999993</v>
      </c>
      <c r="S75" s="8">
        <v>9971.3578684999993</v>
      </c>
      <c r="T75" s="8">
        <v>9989.6029870000002</v>
      </c>
      <c r="U75" s="8">
        <v>9801.0498459999981</v>
      </c>
      <c r="V75" s="8">
        <v>9672.1211334999989</v>
      </c>
      <c r="W75" s="8">
        <v>10081.083624500001</v>
      </c>
      <c r="X75" s="8">
        <v>10035.852872500001</v>
      </c>
      <c r="Y75" s="8">
        <v>9699.8243930000008</v>
      </c>
      <c r="Z75" s="8">
        <v>9230.9298759999965</v>
      </c>
      <c r="AA75" s="8">
        <v>8636.5950859999994</v>
      </c>
      <c r="AB75" s="8">
        <v>8109.2370730000011</v>
      </c>
      <c r="AC75" s="8">
        <v>210215.1981825</v>
      </c>
      <c r="AD75" s="8"/>
    </row>
    <row r="76" spans="1:30" x14ac:dyDescent="0.25">
      <c r="A76" s="43"/>
      <c r="B76" s="10" t="s">
        <v>32</v>
      </c>
      <c r="C76" s="53">
        <v>5</v>
      </c>
      <c r="D76" s="119"/>
      <c r="E76" s="8">
        <v>7702.4681474999998</v>
      </c>
      <c r="F76" s="8">
        <v>7527.9555687000002</v>
      </c>
      <c r="G76" s="8">
        <v>7360.4967701999994</v>
      </c>
      <c r="H76" s="8">
        <v>7243.7569259999991</v>
      </c>
      <c r="I76" s="8">
        <v>7143.6078398999998</v>
      </c>
      <c r="J76" s="8">
        <v>7173.574671899999</v>
      </c>
      <c r="K76" s="8">
        <v>7236.6631028999991</v>
      </c>
      <c r="L76" s="8">
        <v>7786.2742292999992</v>
      </c>
      <c r="M76" s="8">
        <v>8443.4962059000009</v>
      </c>
      <c r="N76" s="8">
        <v>8943.0152595</v>
      </c>
      <c r="O76" s="8">
        <v>9329.5713545999988</v>
      </c>
      <c r="P76" s="8">
        <v>9646.6613060999989</v>
      </c>
      <c r="Q76" s="8">
        <v>9640.5131045999988</v>
      </c>
      <c r="R76" s="8">
        <v>9684.9034737000002</v>
      </c>
      <c r="S76" s="8">
        <v>9934.3539477000013</v>
      </c>
      <c r="T76" s="8">
        <v>10004.638013999998</v>
      </c>
      <c r="U76" s="8">
        <v>9811.2597638999996</v>
      </c>
      <c r="V76" s="8">
        <v>9677.0150273999989</v>
      </c>
      <c r="W76" s="8">
        <v>10075.949213399999</v>
      </c>
      <c r="X76" s="8">
        <v>10084.4953671</v>
      </c>
      <c r="Y76" s="8">
        <v>9752.4513260999993</v>
      </c>
      <c r="Z76" s="8">
        <v>9281.7649407000008</v>
      </c>
      <c r="AA76" s="8">
        <v>8681.4410927999979</v>
      </c>
      <c r="AB76" s="8">
        <v>8100.0792453000004</v>
      </c>
      <c r="AC76" s="8">
        <v>210266.40589919998</v>
      </c>
      <c r="AD76" s="8"/>
    </row>
    <row r="77" spans="1:30" ht="15.75" thickBot="1" x14ac:dyDescent="0.3">
      <c r="A77" s="44"/>
      <c r="B77" s="13" t="s">
        <v>33</v>
      </c>
      <c r="C77" s="54">
        <v>5</v>
      </c>
      <c r="D77" s="120"/>
      <c r="E77" s="8">
        <v>7691.1823989000004</v>
      </c>
      <c r="F77" s="8">
        <v>7495.9883460000001</v>
      </c>
      <c r="G77" s="8">
        <v>7404.1937549999993</v>
      </c>
      <c r="H77" s="8">
        <v>7309.8886832999997</v>
      </c>
      <c r="I77" s="8">
        <v>7246.8508937999986</v>
      </c>
      <c r="J77" s="8">
        <v>7258.1824475999993</v>
      </c>
      <c r="K77" s="8">
        <v>7301.6819672999991</v>
      </c>
      <c r="L77" s="8">
        <v>7800.4062359999989</v>
      </c>
      <c r="M77" s="8">
        <v>8413.039525799999</v>
      </c>
      <c r="N77" s="8">
        <v>8966.2186067999992</v>
      </c>
      <c r="O77" s="8">
        <v>9361.1447201999999</v>
      </c>
      <c r="P77" s="8">
        <v>9683.9037707999996</v>
      </c>
      <c r="Q77" s="8">
        <v>9629.3588474999997</v>
      </c>
      <c r="R77" s="8">
        <v>9664.1244209999986</v>
      </c>
      <c r="S77" s="8">
        <v>9875.5323239999998</v>
      </c>
      <c r="T77" s="8">
        <v>9907.4627232000003</v>
      </c>
      <c r="U77" s="8">
        <v>9714.9191391000004</v>
      </c>
      <c r="V77" s="8">
        <v>9538.5436586999986</v>
      </c>
      <c r="W77" s="8">
        <v>9950.3590136999992</v>
      </c>
      <c r="X77" s="8">
        <v>9967.7224478999997</v>
      </c>
      <c r="Y77" s="8">
        <v>9733.5449798999998</v>
      </c>
      <c r="Z77" s="8">
        <v>9298.6250615999998</v>
      </c>
      <c r="AA77" s="8">
        <v>8714.9378504999986</v>
      </c>
      <c r="AB77" s="8">
        <v>8153.0616173999997</v>
      </c>
      <c r="AC77" s="8">
        <v>210080.87343599999</v>
      </c>
      <c r="AD77" s="8">
        <v>6516255.5585085005</v>
      </c>
    </row>
    <row r="78" spans="1:30" ht="15.75" thickBot="1" x14ac:dyDescent="0.3">
      <c r="A78" s="48"/>
      <c r="B78" s="49"/>
      <c r="C78" s="32"/>
      <c r="D78" s="33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AC78" s="34"/>
      <c r="AD78" s="35"/>
    </row>
    <row r="79" spans="1:30" x14ac:dyDescent="0.25">
      <c r="A79" s="36"/>
      <c r="B79" s="6" t="s">
        <v>31</v>
      </c>
      <c r="C79" s="51">
        <v>19</v>
      </c>
      <c r="D79" s="118">
        <v>46327</v>
      </c>
      <c r="E79" s="8">
        <v>7802.8303201578947</v>
      </c>
      <c r="F79" s="8">
        <v>7602.5214858157879</v>
      </c>
      <c r="G79" s="8">
        <v>7455.1767321315783</v>
      </c>
      <c r="H79" s="8">
        <v>7329.1656783947383</v>
      </c>
      <c r="I79" s="8">
        <v>7261.5668966842104</v>
      </c>
      <c r="J79" s="8">
        <v>7299.6367168421057</v>
      </c>
      <c r="K79" s="8">
        <v>7362.5586780789463</v>
      </c>
      <c r="L79" s="8">
        <v>7887.4454543684215</v>
      </c>
      <c r="M79" s="8">
        <v>8497.5864551052637</v>
      </c>
      <c r="N79" s="8">
        <v>9009.8765808947355</v>
      </c>
      <c r="O79" s="8">
        <v>9398.2307165526327</v>
      </c>
      <c r="P79" s="8">
        <v>9696.0936173684186</v>
      </c>
      <c r="Q79" s="8">
        <v>9640.0182004736835</v>
      </c>
      <c r="R79" s="8">
        <v>9676.7606222368395</v>
      </c>
      <c r="S79" s="8">
        <v>9911.0978482894734</v>
      </c>
      <c r="T79" s="8">
        <v>9962.1658958684202</v>
      </c>
      <c r="U79" s="8">
        <v>9790.5431096052598</v>
      </c>
      <c r="V79" s="8">
        <v>9667.4339248421056</v>
      </c>
      <c r="W79" s="8">
        <v>10082.038813736841</v>
      </c>
      <c r="X79" s="8">
        <v>10074.606172657894</v>
      </c>
      <c r="Y79" s="8">
        <v>9773.3085317368405</v>
      </c>
      <c r="Z79" s="8">
        <v>9316.0676429210525</v>
      </c>
      <c r="AA79" s="8">
        <v>8724.8483583947382</v>
      </c>
      <c r="AB79" s="8">
        <v>8190.2700152368407</v>
      </c>
      <c r="AC79" s="8">
        <v>211411.84846839469</v>
      </c>
      <c r="AD79" s="8"/>
    </row>
    <row r="80" spans="1:30" x14ac:dyDescent="0.25">
      <c r="A80" s="43"/>
      <c r="B80" s="10" t="s">
        <v>32</v>
      </c>
      <c r="C80" s="53">
        <v>4</v>
      </c>
      <c r="D80" s="119"/>
      <c r="E80" s="8">
        <v>7814.2115756249996</v>
      </c>
      <c r="F80" s="8">
        <v>7550.7942457499994</v>
      </c>
      <c r="G80" s="8">
        <v>7377.9713253749997</v>
      </c>
      <c r="H80" s="8">
        <v>7298.5124047500003</v>
      </c>
      <c r="I80" s="8">
        <v>7326.3760893749986</v>
      </c>
      <c r="J80" s="8">
        <v>7365.2720688749996</v>
      </c>
      <c r="K80" s="8">
        <v>7429.7798399999992</v>
      </c>
      <c r="L80" s="8">
        <v>7900.7582114999996</v>
      </c>
      <c r="M80" s="8">
        <v>8473.897779375</v>
      </c>
      <c r="N80" s="8">
        <v>8978.0156103749996</v>
      </c>
      <c r="O80" s="8">
        <v>9373.552608</v>
      </c>
      <c r="P80" s="8">
        <v>9759.2793401249983</v>
      </c>
      <c r="Q80" s="8">
        <v>9731.6317822499987</v>
      </c>
      <c r="R80" s="8">
        <v>9763.133680125</v>
      </c>
      <c r="S80" s="8">
        <v>9919.5029272499996</v>
      </c>
      <c r="T80" s="8">
        <v>9907.6188959999999</v>
      </c>
      <c r="U80" s="8">
        <v>9705.4372458750004</v>
      </c>
      <c r="V80" s="8">
        <v>9615.0863234999997</v>
      </c>
      <c r="W80" s="8">
        <v>10098.50886975</v>
      </c>
      <c r="X80" s="8">
        <v>10074.176915249998</v>
      </c>
      <c r="Y80" s="8">
        <v>9760.4672287499998</v>
      </c>
      <c r="Z80" s="8">
        <v>9302.7485512499989</v>
      </c>
      <c r="AA80" s="8">
        <v>8730.0603836250011</v>
      </c>
      <c r="AB80" s="8">
        <v>8188.5986542499995</v>
      </c>
      <c r="AC80" s="8">
        <v>211445.39255699998</v>
      </c>
      <c r="AD80" s="8"/>
    </row>
    <row r="81" spans="1:30" ht="15.75" thickBot="1" x14ac:dyDescent="0.3">
      <c r="A81" s="44"/>
      <c r="B81" s="13" t="s">
        <v>33</v>
      </c>
      <c r="C81" s="54">
        <v>5</v>
      </c>
      <c r="D81" s="120"/>
      <c r="E81" s="8">
        <v>7803.1528890000018</v>
      </c>
      <c r="F81" s="8">
        <v>7564.0587644999987</v>
      </c>
      <c r="G81" s="8">
        <v>7371.1328564999994</v>
      </c>
      <c r="H81" s="8">
        <v>7250.6456714999995</v>
      </c>
      <c r="I81" s="8">
        <v>7201.0021649999999</v>
      </c>
      <c r="J81" s="8">
        <v>7316.8814459999985</v>
      </c>
      <c r="K81" s="8">
        <v>7415.9521484999996</v>
      </c>
      <c r="L81" s="8">
        <v>7932.864660000002</v>
      </c>
      <c r="M81" s="8">
        <v>8494.5744450000002</v>
      </c>
      <c r="N81" s="8">
        <v>8956.5046304999996</v>
      </c>
      <c r="O81" s="8">
        <v>9317.4969614999991</v>
      </c>
      <c r="P81" s="8">
        <v>9648.6291824999989</v>
      </c>
      <c r="Q81" s="8">
        <v>9658.5919080000003</v>
      </c>
      <c r="R81" s="8">
        <v>9711.6138420000007</v>
      </c>
      <c r="S81" s="8">
        <v>9930.1731900000013</v>
      </c>
      <c r="T81" s="8">
        <v>9954.2169405000004</v>
      </c>
      <c r="U81" s="8">
        <v>9793.9321619999992</v>
      </c>
      <c r="V81" s="8">
        <v>9683.4126794999993</v>
      </c>
      <c r="W81" s="8">
        <v>10118.823109499999</v>
      </c>
      <c r="X81" s="8">
        <v>10129.551830999999</v>
      </c>
      <c r="Y81" s="8">
        <v>9795.2333115000001</v>
      </c>
      <c r="Z81" s="8">
        <v>9317.8535834999984</v>
      </c>
      <c r="AA81" s="8">
        <v>8712.6958695000012</v>
      </c>
      <c r="AB81" s="8">
        <v>8205.8032875000008</v>
      </c>
      <c r="AC81" s="8">
        <v>211284.79753499996</v>
      </c>
      <c r="AD81" s="8">
        <v>5919030.6788024986</v>
      </c>
    </row>
    <row r="82" spans="1:30" ht="15.75" thickBot="1" x14ac:dyDescent="0.3">
      <c r="A82" s="48"/>
      <c r="B82" s="49"/>
      <c r="C82" s="32"/>
      <c r="D82" s="33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AC82" s="34"/>
      <c r="AD82" s="35"/>
    </row>
    <row r="83" spans="1:30" x14ac:dyDescent="0.25">
      <c r="A83" s="36"/>
      <c r="B83" s="6" t="s">
        <v>31</v>
      </c>
      <c r="C83" s="51">
        <v>21</v>
      </c>
      <c r="D83" s="118">
        <v>46357</v>
      </c>
      <c r="E83" s="8">
        <v>6531.8899999999976</v>
      </c>
      <c r="F83" s="8">
        <v>6435.2899999999927</v>
      </c>
      <c r="G83" s="8">
        <v>6389.0899999999965</v>
      </c>
      <c r="H83" s="8">
        <v>6390.6599999999989</v>
      </c>
      <c r="I83" s="8">
        <v>6468.8899999999976</v>
      </c>
      <c r="J83" s="8">
        <v>6590.1599999999989</v>
      </c>
      <c r="K83" s="8">
        <v>6939.8099999999959</v>
      </c>
      <c r="L83" s="8">
        <v>7221.7399999999925</v>
      </c>
      <c r="M83" s="8">
        <v>7399.7099999999919</v>
      </c>
      <c r="N83" s="8">
        <v>7513.6399999999876</v>
      </c>
      <c r="O83" s="8">
        <v>7608.1399999999876</v>
      </c>
      <c r="P83" s="8">
        <v>7695.2899999999927</v>
      </c>
      <c r="Q83" s="8">
        <v>7746.2099999999919</v>
      </c>
      <c r="R83" s="8">
        <v>7673.7599999999957</v>
      </c>
      <c r="S83" s="8">
        <v>7616.0099999999957</v>
      </c>
      <c r="T83" s="8">
        <v>7561.94</v>
      </c>
      <c r="U83" s="8">
        <v>7500.5099999999957</v>
      </c>
      <c r="V83" s="8">
        <v>7487.9100000000008</v>
      </c>
      <c r="W83" s="8">
        <v>7673.7599999999957</v>
      </c>
      <c r="X83" s="8">
        <v>7743.5899999999947</v>
      </c>
      <c r="Y83" s="8">
        <v>7585.0399999999927</v>
      </c>
      <c r="Z83" s="8">
        <v>7329.3599999999888</v>
      </c>
      <c r="AA83" s="8">
        <v>7028.5399999999927</v>
      </c>
      <c r="AB83" s="8">
        <v>6734.0099999999957</v>
      </c>
      <c r="AC83" s="8">
        <v>172864.94999999987</v>
      </c>
      <c r="AD83" s="8"/>
    </row>
    <row r="84" spans="1:30" x14ac:dyDescent="0.25">
      <c r="A84" s="43"/>
      <c r="B84" s="10" t="s">
        <v>32</v>
      </c>
      <c r="C84" s="53">
        <v>4</v>
      </c>
      <c r="D84" s="119"/>
      <c r="E84" s="8">
        <v>6511.409999999998</v>
      </c>
      <c r="F84" s="8">
        <v>6410.0899999999965</v>
      </c>
      <c r="G84" s="8">
        <v>6356.0099999999966</v>
      </c>
      <c r="H84" s="8">
        <v>6342.3599999999988</v>
      </c>
      <c r="I84" s="8">
        <v>6389.0899999999965</v>
      </c>
      <c r="J84" s="8">
        <v>6437.3899999999976</v>
      </c>
      <c r="K84" s="8">
        <v>6628.489999999998</v>
      </c>
      <c r="L84" s="8">
        <v>6856.8599999999988</v>
      </c>
      <c r="M84" s="8">
        <v>7084.1899999999951</v>
      </c>
      <c r="N84" s="8">
        <v>7252.7099999999991</v>
      </c>
      <c r="O84" s="8">
        <v>7382.3899999999994</v>
      </c>
      <c r="P84" s="8">
        <v>7484.7599999999948</v>
      </c>
      <c r="Q84" s="8">
        <v>7528.3399999999965</v>
      </c>
      <c r="R84" s="8">
        <v>7462.7099999999991</v>
      </c>
      <c r="S84" s="8">
        <v>7362.9599999999991</v>
      </c>
      <c r="T84" s="8">
        <v>7282.6399999999994</v>
      </c>
      <c r="U84" s="8">
        <v>7223.8399999999965</v>
      </c>
      <c r="V84" s="8">
        <v>7230.1399999999994</v>
      </c>
      <c r="W84" s="8">
        <v>7403.3899999999994</v>
      </c>
      <c r="X84" s="8">
        <v>7448.0099999999948</v>
      </c>
      <c r="Y84" s="8">
        <v>7320.4399999999951</v>
      </c>
      <c r="Z84" s="8">
        <v>7116.739999999998</v>
      </c>
      <c r="AA84" s="8">
        <v>6875.7599999999966</v>
      </c>
      <c r="AB84" s="8">
        <v>6650.5399999999972</v>
      </c>
      <c r="AC84" s="8">
        <v>168041.25999999998</v>
      </c>
      <c r="AD84" s="8"/>
    </row>
    <row r="85" spans="1:30" ht="15.75" thickBot="1" x14ac:dyDescent="0.3">
      <c r="A85" s="44"/>
      <c r="B85" s="13" t="s">
        <v>33</v>
      </c>
      <c r="C85" s="54">
        <v>5</v>
      </c>
      <c r="D85" s="120"/>
      <c r="E85" s="8">
        <v>6177.5099999999966</v>
      </c>
      <c r="F85" s="8">
        <v>6092.989999999998</v>
      </c>
      <c r="G85" s="8">
        <v>6048.3600000000006</v>
      </c>
      <c r="H85" s="8">
        <v>6026.3099999999995</v>
      </c>
      <c r="I85" s="8">
        <v>6028.41</v>
      </c>
      <c r="J85" s="8">
        <v>6016.8600000000006</v>
      </c>
      <c r="K85" s="8">
        <v>6088.7899999999972</v>
      </c>
      <c r="L85" s="8">
        <v>6216.8899999999976</v>
      </c>
      <c r="M85" s="8">
        <v>6396.9599999999973</v>
      </c>
      <c r="N85" s="8">
        <v>6548.159999999998</v>
      </c>
      <c r="O85" s="8">
        <v>6655.2599999999966</v>
      </c>
      <c r="P85" s="8">
        <v>6744.5099999999966</v>
      </c>
      <c r="Q85" s="8">
        <v>6806.989999999998</v>
      </c>
      <c r="R85" s="8">
        <v>6785.989999999998</v>
      </c>
      <c r="S85" s="8">
        <v>6713.5399999999972</v>
      </c>
      <c r="T85" s="8">
        <v>6642.659999999998</v>
      </c>
      <c r="U85" s="8">
        <v>6609.5899999999965</v>
      </c>
      <c r="V85" s="8">
        <v>6632.159999999998</v>
      </c>
      <c r="W85" s="8">
        <v>6785.4599999999973</v>
      </c>
      <c r="X85" s="8">
        <v>6862.6399999999976</v>
      </c>
      <c r="Y85" s="8">
        <v>6780.739999999998</v>
      </c>
      <c r="Z85" s="8">
        <v>6624.8099999999977</v>
      </c>
      <c r="AA85" s="8">
        <v>6430.5599999999977</v>
      </c>
      <c r="AB85" s="8">
        <v>6255.2099999999973</v>
      </c>
      <c r="AC85" s="8">
        <v>154971.35999999993</v>
      </c>
      <c r="AD85" s="8">
        <v>5077185.7899999972</v>
      </c>
    </row>
    <row r="86" spans="1:30" ht="15.75" customHeight="1" thickBot="1" x14ac:dyDescent="0.3">
      <c r="A86" s="121" t="s">
        <v>35</v>
      </c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</row>
    <row r="87" spans="1:30" x14ac:dyDescent="0.25">
      <c r="A87" s="50"/>
      <c r="B87" s="6" t="s">
        <v>31</v>
      </c>
      <c r="C87" s="7">
        <v>19</v>
      </c>
      <c r="D87" s="118">
        <v>46388</v>
      </c>
      <c r="E87" s="8">
        <v>5619.53</v>
      </c>
      <c r="F87" s="8">
        <v>5519.0800000000008</v>
      </c>
      <c r="G87" s="8">
        <v>5471.550000000002</v>
      </c>
      <c r="H87" s="8">
        <v>5473.0200000000023</v>
      </c>
      <c r="I87" s="8">
        <v>5554.3600000000006</v>
      </c>
      <c r="J87" s="8">
        <v>5679.800000000002</v>
      </c>
      <c r="K87" s="8">
        <v>6042.3999999999987</v>
      </c>
      <c r="L87" s="8">
        <v>6333.9499999999989</v>
      </c>
      <c r="M87" s="8">
        <v>6518.6799999999976</v>
      </c>
      <c r="N87" s="8">
        <v>6636.7700000000032</v>
      </c>
      <c r="O87" s="8">
        <v>6734.2799999999988</v>
      </c>
      <c r="P87" s="8">
        <v>6824.9299999999976</v>
      </c>
      <c r="Q87" s="8">
        <v>6877.8500000000013</v>
      </c>
      <c r="R87" s="8">
        <v>6802.8800000000037</v>
      </c>
      <c r="S87" s="8">
        <v>6742.6100000000006</v>
      </c>
      <c r="T87" s="8">
        <v>6686.75</v>
      </c>
      <c r="U87" s="8">
        <v>6623.5400000000036</v>
      </c>
      <c r="V87" s="8">
        <v>6609.8200000000024</v>
      </c>
      <c r="W87" s="8">
        <v>6802.8800000000037</v>
      </c>
      <c r="X87" s="8">
        <v>6874.9100000000026</v>
      </c>
      <c r="Y87" s="8">
        <v>6710.7600000000048</v>
      </c>
      <c r="Z87" s="8">
        <v>6445.6699999999983</v>
      </c>
      <c r="AA87" s="8">
        <v>6134.03</v>
      </c>
      <c r="AB87" s="8">
        <v>5828.7599999999984</v>
      </c>
      <c r="AC87" s="8">
        <v>151548.81000000003</v>
      </c>
      <c r="AD87" s="115"/>
    </row>
    <row r="88" spans="1:30" x14ac:dyDescent="0.25">
      <c r="A88" s="52"/>
      <c r="B88" s="10" t="s">
        <v>32</v>
      </c>
      <c r="C88" s="11">
        <v>5</v>
      </c>
      <c r="D88" s="119"/>
      <c r="E88" s="8">
        <v>5232.43</v>
      </c>
      <c r="F88" s="8">
        <v>5156.4799999999996</v>
      </c>
      <c r="G88" s="8">
        <v>5115.8100000000013</v>
      </c>
      <c r="H88" s="8">
        <v>5105.5200000000004</v>
      </c>
      <c r="I88" s="8">
        <v>5140.3100000000013</v>
      </c>
      <c r="J88" s="8">
        <v>5176.57</v>
      </c>
      <c r="K88" s="8">
        <v>5320.1399999999994</v>
      </c>
      <c r="L88" s="8">
        <v>5491.6399999999994</v>
      </c>
      <c r="M88" s="8">
        <v>5662.16</v>
      </c>
      <c r="N88" s="8">
        <v>5788.09</v>
      </c>
      <c r="O88" s="8">
        <v>5885.6</v>
      </c>
      <c r="P88" s="8">
        <v>5962.0400000000009</v>
      </c>
      <c r="Q88" s="8">
        <v>5994.8700000000008</v>
      </c>
      <c r="R88" s="8">
        <v>5945.8700000000008</v>
      </c>
      <c r="S88" s="8">
        <v>5870.9000000000015</v>
      </c>
      <c r="T88" s="8">
        <v>5810.630000000001</v>
      </c>
      <c r="U88" s="8">
        <v>5766.5300000000007</v>
      </c>
      <c r="V88" s="8">
        <v>5770.9400000000005</v>
      </c>
      <c r="W88" s="8">
        <v>5901.2800000000007</v>
      </c>
      <c r="X88" s="8">
        <v>5934.6</v>
      </c>
      <c r="Y88" s="8">
        <v>5839.0500000000011</v>
      </c>
      <c r="Z88" s="8">
        <v>5686.17</v>
      </c>
      <c r="AA88" s="8">
        <v>5505.3600000000006</v>
      </c>
      <c r="AB88" s="8">
        <v>5336.8000000000011</v>
      </c>
      <c r="AC88" s="8">
        <v>134399.79</v>
      </c>
      <c r="AD88" s="115"/>
    </row>
    <row r="89" spans="1:30" ht="15.75" thickBot="1" x14ac:dyDescent="0.3">
      <c r="A89" s="55"/>
      <c r="B89" s="13" t="s">
        <v>33</v>
      </c>
      <c r="C89" s="14">
        <v>7</v>
      </c>
      <c r="D89" s="120"/>
      <c r="E89" s="8">
        <v>4982.0400000000009</v>
      </c>
      <c r="F89" s="8">
        <v>4918.34</v>
      </c>
      <c r="G89" s="8">
        <v>4885.0200000000004</v>
      </c>
      <c r="H89" s="8">
        <v>4868.8500000000004</v>
      </c>
      <c r="I89" s="8">
        <v>4870.32</v>
      </c>
      <c r="J89" s="8">
        <v>4861.5</v>
      </c>
      <c r="K89" s="8">
        <v>4915.4000000000005</v>
      </c>
      <c r="L89" s="8">
        <v>5011.4400000000005</v>
      </c>
      <c r="M89" s="8">
        <v>5146.68</v>
      </c>
      <c r="N89" s="8">
        <v>5259.8700000000008</v>
      </c>
      <c r="O89" s="8">
        <v>5340.23</v>
      </c>
      <c r="P89" s="8">
        <v>5407.3600000000006</v>
      </c>
      <c r="Q89" s="8">
        <v>5453.91</v>
      </c>
      <c r="R89" s="8">
        <v>5438.23</v>
      </c>
      <c r="S89" s="8">
        <v>5383.84</v>
      </c>
      <c r="T89" s="8">
        <v>5330.92</v>
      </c>
      <c r="U89" s="8">
        <v>5305.93</v>
      </c>
      <c r="V89" s="8">
        <v>5323.08</v>
      </c>
      <c r="W89" s="8">
        <v>5437.74</v>
      </c>
      <c r="X89" s="8">
        <v>5496.0500000000011</v>
      </c>
      <c r="Y89" s="8">
        <v>5434.3100000000013</v>
      </c>
      <c r="Z89" s="8">
        <v>5317.2000000000007</v>
      </c>
      <c r="AA89" s="8">
        <v>5171.67</v>
      </c>
      <c r="AB89" s="8">
        <v>5040.3500000000004</v>
      </c>
      <c r="AC89" s="8">
        <v>124600.28000000001</v>
      </c>
      <c r="AD89" s="115">
        <v>4423628.3000000007</v>
      </c>
    </row>
    <row r="90" spans="1:30" ht="15.75" thickBot="1" x14ac:dyDescent="0.3">
      <c r="B90" s="57"/>
      <c r="AD90" s="116"/>
    </row>
    <row r="91" spans="1:30" x14ac:dyDescent="0.25">
      <c r="A91" s="58"/>
      <c r="B91" s="6" t="s">
        <v>31</v>
      </c>
      <c r="C91" s="7">
        <v>20</v>
      </c>
      <c r="D91" s="118">
        <v>46419</v>
      </c>
      <c r="E91" s="8">
        <v>6668.2100000000037</v>
      </c>
      <c r="F91" s="8">
        <v>6570.2100000000037</v>
      </c>
      <c r="G91" s="8">
        <v>6523.6600000000026</v>
      </c>
      <c r="H91" s="8">
        <v>6525.1300000000028</v>
      </c>
      <c r="I91" s="8">
        <v>6604.5100000000048</v>
      </c>
      <c r="J91" s="8">
        <v>6726.5200000000023</v>
      </c>
      <c r="K91" s="8">
        <v>7079.8099999999995</v>
      </c>
      <c r="L91" s="8">
        <v>7364.5</v>
      </c>
      <c r="M91" s="8">
        <v>7544.3300000000017</v>
      </c>
      <c r="N91" s="8">
        <v>7659.4800000000077</v>
      </c>
      <c r="O91" s="8">
        <v>7754.5400000000054</v>
      </c>
      <c r="P91" s="8">
        <v>7843.2300000000077</v>
      </c>
      <c r="Q91" s="8">
        <v>7894.6799999999957</v>
      </c>
      <c r="R91" s="8">
        <v>7821.670000000001</v>
      </c>
      <c r="S91" s="8">
        <v>7762.8699999999981</v>
      </c>
      <c r="T91" s="8">
        <v>7708.4800000000077</v>
      </c>
      <c r="U91" s="8">
        <v>7646.7400000000025</v>
      </c>
      <c r="V91" s="8">
        <v>7633.5100000000066</v>
      </c>
      <c r="W91" s="8">
        <v>7821.670000000001</v>
      </c>
      <c r="X91" s="8">
        <v>7891.7400000000025</v>
      </c>
      <c r="Y91" s="8">
        <v>7731.5100000000066</v>
      </c>
      <c r="Z91" s="8">
        <v>7473.2800000000007</v>
      </c>
      <c r="AA91" s="8">
        <v>7169.4800000000059</v>
      </c>
      <c r="AB91" s="8">
        <v>6872.0500000000029</v>
      </c>
      <c r="AC91" s="8">
        <v>176291.81000000006</v>
      </c>
      <c r="AD91" s="115"/>
    </row>
    <row r="92" spans="1:30" x14ac:dyDescent="0.25">
      <c r="A92" s="59"/>
      <c r="B92" s="10" t="s">
        <v>32</v>
      </c>
      <c r="C92" s="11">
        <v>4</v>
      </c>
      <c r="D92" s="119"/>
      <c r="E92" s="8">
        <v>6554.0400000000009</v>
      </c>
      <c r="F92" s="8">
        <v>6459.4700000000012</v>
      </c>
      <c r="G92" s="8">
        <v>6408.510000000002</v>
      </c>
      <c r="H92" s="8">
        <v>6395.7700000000023</v>
      </c>
      <c r="I92" s="8">
        <v>6439.380000000001</v>
      </c>
      <c r="J92" s="8">
        <v>6484.4600000000009</v>
      </c>
      <c r="K92" s="8">
        <v>6663.8000000000029</v>
      </c>
      <c r="L92" s="8">
        <v>6877.9300000000021</v>
      </c>
      <c r="M92" s="8">
        <v>7091.0800000000017</v>
      </c>
      <c r="N92" s="8">
        <v>7249.3500000000022</v>
      </c>
      <c r="O92" s="8">
        <v>7370.8700000000026</v>
      </c>
      <c r="P92" s="8">
        <v>7466.4200000000019</v>
      </c>
      <c r="Q92" s="8">
        <v>7507.0900000000038</v>
      </c>
      <c r="R92" s="8">
        <v>7445.8400000000038</v>
      </c>
      <c r="S92" s="8">
        <v>7352.25</v>
      </c>
      <c r="T92" s="8">
        <v>7276.7900000000009</v>
      </c>
      <c r="U92" s="8">
        <v>7221.9100000000035</v>
      </c>
      <c r="V92" s="8">
        <v>7227.7900000000009</v>
      </c>
      <c r="W92" s="8">
        <v>7390.4700000000012</v>
      </c>
      <c r="X92" s="8">
        <v>7432.1200000000026</v>
      </c>
      <c r="Y92" s="8">
        <v>7312.5600000000013</v>
      </c>
      <c r="Z92" s="8">
        <v>7121.4600000000028</v>
      </c>
      <c r="AA92" s="8">
        <v>6895.5700000000015</v>
      </c>
      <c r="AB92" s="8">
        <v>6684.380000000001</v>
      </c>
      <c r="AC92" s="8">
        <v>168329.31000000006</v>
      </c>
      <c r="AD92" s="115"/>
    </row>
    <row r="93" spans="1:30" ht="15.75" thickBot="1" x14ac:dyDescent="0.3">
      <c r="A93" s="60"/>
      <c r="B93" s="13" t="s">
        <v>33</v>
      </c>
      <c r="C93" s="14">
        <v>4</v>
      </c>
      <c r="D93" s="120"/>
      <c r="E93" s="8">
        <v>6240.93</v>
      </c>
      <c r="F93" s="8">
        <v>6162.0399999999991</v>
      </c>
      <c r="G93" s="8">
        <v>6120.3899999999994</v>
      </c>
      <c r="H93" s="8">
        <v>6099.8099999999995</v>
      </c>
      <c r="I93" s="8">
        <v>6101.77</v>
      </c>
      <c r="J93" s="8">
        <v>6090.5</v>
      </c>
      <c r="K93" s="8">
        <v>6158.1200000000008</v>
      </c>
      <c r="L93" s="8">
        <v>6278.1700000000019</v>
      </c>
      <c r="M93" s="8">
        <v>6447.2200000000012</v>
      </c>
      <c r="N93" s="8">
        <v>6588.8300000000017</v>
      </c>
      <c r="O93" s="8">
        <v>6689.2800000000025</v>
      </c>
      <c r="P93" s="8">
        <v>6772.5800000000017</v>
      </c>
      <c r="Q93" s="8">
        <v>6830.8900000000012</v>
      </c>
      <c r="R93" s="8">
        <v>6811.7800000000025</v>
      </c>
      <c r="S93" s="8">
        <v>6743.6700000000019</v>
      </c>
      <c r="T93" s="8">
        <v>6677.0300000000025</v>
      </c>
      <c r="U93" s="8">
        <v>6646.1600000000017</v>
      </c>
      <c r="V93" s="8">
        <v>6667.2300000000014</v>
      </c>
      <c r="W93" s="8">
        <v>6810.8000000000029</v>
      </c>
      <c r="X93" s="8">
        <v>6883.3200000000015</v>
      </c>
      <c r="Y93" s="8">
        <v>6806.3900000000012</v>
      </c>
      <c r="Z93" s="8">
        <v>6660.3700000000026</v>
      </c>
      <c r="AA93" s="8">
        <v>6478.090000000002</v>
      </c>
      <c r="AB93" s="8">
        <v>6313.5000000000018</v>
      </c>
      <c r="AC93" s="8">
        <v>156078.87000000002</v>
      </c>
      <c r="AD93" s="115">
        <v>4823468.9200000018</v>
      </c>
    </row>
    <row r="94" spans="1:30" ht="15.75" thickBot="1" x14ac:dyDescent="0.3">
      <c r="B94" s="57"/>
      <c r="AD94" s="116"/>
    </row>
    <row r="95" spans="1:30" x14ac:dyDescent="0.25">
      <c r="A95" s="61"/>
      <c r="B95" s="6" t="s">
        <v>31</v>
      </c>
      <c r="C95" s="7">
        <v>20</v>
      </c>
      <c r="D95" s="118">
        <v>46447</v>
      </c>
      <c r="E95" s="8">
        <v>11533.579999999994</v>
      </c>
      <c r="F95" s="8">
        <v>11438.029999999999</v>
      </c>
      <c r="G95" s="8">
        <v>11392.950000000004</v>
      </c>
      <c r="H95" s="8">
        <v>11393.929999999995</v>
      </c>
      <c r="I95" s="8">
        <v>11471.350000000002</v>
      </c>
      <c r="J95" s="8">
        <v>11590.419999999993</v>
      </c>
      <c r="K95" s="8">
        <v>11934.890000000005</v>
      </c>
      <c r="L95" s="8">
        <v>12212.230000000003</v>
      </c>
      <c r="M95" s="8">
        <v>12387.160000000002</v>
      </c>
      <c r="N95" s="8">
        <v>12499.369999999997</v>
      </c>
      <c r="O95" s="8">
        <v>12592.470000000001</v>
      </c>
      <c r="P95" s="8">
        <v>12678.709999999995</v>
      </c>
      <c r="Q95" s="8">
        <v>12728.69</v>
      </c>
      <c r="R95" s="8">
        <v>12657.640000000005</v>
      </c>
      <c r="S95" s="8">
        <v>12600.309999999998</v>
      </c>
      <c r="T95" s="8">
        <v>12547.390000000005</v>
      </c>
      <c r="U95" s="8">
        <v>12487.119999999997</v>
      </c>
      <c r="V95" s="8">
        <v>12474.380000000001</v>
      </c>
      <c r="W95" s="8">
        <v>12657.640000000005</v>
      </c>
      <c r="X95" s="8">
        <v>12726.239999999994</v>
      </c>
      <c r="Y95" s="8">
        <v>12569.929999999997</v>
      </c>
      <c r="Z95" s="8">
        <v>12318.070000000003</v>
      </c>
      <c r="AA95" s="8">
        <v>12022.109999999995</v>
      </c>
      <c r="AB95" s="8">
        <v>11732.519999999993</v>
      </c>
      <c r="AC95" s="8">
        <v>292647.13</v>
      </c>
      <c r="AD95" s="115"/>
    </row>
    <row r="96" spans="1:30" x14ac:dyDescent="0.25">
      <c r="A96" s="62"/>
      <c r="B96" s="10" t="s">
        <v>32</v>
      </c>
      <c r="C96" s="11">
        <v>4</v>
      </c>
      <c r="D96" s="119"/>
      <c r="E96" s="8">
        <v>11453.22</v>
      </c>
      <c r="F96" s="8">
        <v>11358.649999999998</v>
      </c>
      <c r="G96" s="8">
        <v>11307.689999999999</v>
      </c>
      <c r="H96" s="8">
        <v>11294.949999999999</v>
      </c>
      <c r="I96" s="8">
        <v>11338.56</v>
      </c>
      <c r="J96" s="8">
        <v>11383.64</v>
      </c>
      <c r="K96" s="8">
        <v>11562.98</v>
      </c>
      <c r="L96" s="8">
        <v>11777.11</v>
      </c>
      <c r="M96" s="8">
        <v>11990.259999999998</v>
      </c>
      <c r="N96" s="8">
        <v>12148.529999999999</v>
      </c>
      <c r="O96" s="8">
        <v>12270.05</v>
      </c>
      <c r="P96" s="8">
        <v>12365.599999999999</v>
      </c>
      <c r="Q96" s="8">
        <v>12406.27</v>
      </c>
      <c r="R96" s="8">
        <v>12345.02</v>
      </c>
      <c r="S96" s="8">
        <v>12251.43</v>
      </c>
      <c r="T96" s="8">
        <v>12175.970000000001</v>
      </c>
      <c r="U96" s="8">
        <v>12121.089999999997</v>
      </c>
      <c r="V96" s="8">
        <v>12126.970000000001</v>
      </c>
      <c r="W96" s="8">
        <v>12289.649999999998</v>
      </c>
      <c r="X96" s="8">
        <v>12331.3</v>
      </c>
      <c r="Y96" s="8">
        <v>12211.739999999998</v>
      </c>
      <c r="Z96" s="8">
        <v>12020.64</v>
      </c>
      <c r="AA96" s="8">
        <v>11794.75</v>
      </c>
      <c r="AB96" s="8">
        <v>11583.56</v>
      </c>
      <c r="AC96" s="8">
        <v>285909.62999999995</v>
      </c>
      <c r="AD96" s="115"/>
    </row>
    <row r="97" spans="1:30" ht="15.75" thickBot="1" x14ac:dyDescent="0.3">
      <c r="A97" s="60"/>
      <c r="B97" s="13" t="s">
        <v>33</v>
      </c>
      <c r="C97" s="14">
        <v>7</v>
      </c>
      <c r="D97" s="120"/>
      <c r="E97" s="8">
        <v>11140.109999999999</v>
      </c>
      <c r="F97" s="8">
        <v>11061.22</v>
      </c>
      <c r="G97" s="8">
        <v>11019.57</v>
      </c>
      <c r="H97" s="8">
        <v>10998.989999999998</v>
      </c>
      <c r="I97" s="8">
        <v>11000.949999999999</v>
      </c>
      <c r="J97" s="8">
        <v>10989.679999999998</v>
      </c>
      <c r="K97" s="8">
        <v>11057.3</v>
      </c>
      <c r="L97" s="8">
        <v>11177.349999999999</v>
      </c>
      <c r="M97" s="8">
        <v>11346.399999999998</v>
      </c>
      <c r="N97" s="8">
        <v>11488.009999999998</v>
      </c>
      <c r="O97" s="8">
        <v>11588.46</v>
      </c>
      <c r="P97" s="8">
        <v>11671.759999999998</v>
      </c>
      <c r="Q97" s="8">
        <v>11730.07</v>
      </c>
      <c r="R97" s="8">
        <v>11710.96</v>
      </c>
      <c r="S97" s="8">
        <v>11642.849999999999</v>
      </c>
      <c r="T97" s="8">
        <v>11576.21</v>
      </c>
      <c r="U97" s="8">
        <v>11545.339999999998</v>
      </c>
      <c r="V97" s="8">
        <v>11566.41</v>
      </c>
      <c r="W97" s="8">
        <v>11709.98</v>
      </c>
      <c r="X97" s="8">
        <v>11782.5</v>
      </c>
      <c r="Y97" s="8">
        <v>11705.57</v>
      </c>
      <c r="Z97" s="8">
        <v>11559.55</v>
      </c>
      <c r="AA97" s="8">
        <v>11377.269999999999</v>
      </c>
      <c r="AB97" s="8">
        <v>11213.119999999999</v>
      </c>
      <c r="AC97" s="8">
        <v>273659.63</v>
      </c>
      <c r="AD97" s="115">
        <v>8912198.5299999993</v>
      </c>
    </row>
    <row r="98" spans="1:30" ht="15.75" thickBot="1" x14ac:dyDescent="0.3">
      <c r="B98" s="57"/>
      <c r="AD98" s="116"/>
    </row>
    <row r="99" spans="1:30" x14ac:dyDescent="0.25">
      <c r="A99" s="58"/>
      <c r="B99" s="6" t="s">
        <v>31</v>
      </c>
      <c r="C99" s="7">
        <v>22</v>
      </c>
      <c r="D99" s="118">
        <v>46478</v>
      </c>
      <c r="E99" s="8">
        <v>9229.0521616363658</v>
      </c>
      <c r="F99" s="8">
        <v>8961.4828761818189</v>
      </c>
      <c r="G99" s="8">
        <v>8767.8868963636378</v>
      </c>
      <c r="H99" s="8">
        <v>8647.9944065454547</v>
      </c>
      <c r="I99" s="8">
        <v>8597.2041883636357</v>
      </c>
      <c r="J99" s="8">
        <v>8674.5199609090905</v>
      </c>
      <c r="K99" s="8">
        <v>8760.6404301818184</v>
      </c>
      <c r="L99" s="8">
        <v>9334.2606992727287</v>
      </c>
      <c r="M99" s="8">
        <v>9995.6162574545451</v>
      </c>
      <c r="N99" s="8">
        <v>10553.569014545456</v>
      </c>
      <c r="O99" s="8">
        <v>10988.558322000003</v>
      </c>
      <c r="P99" s="8">
        <v>11360.253197999999</v>
      </c>
      <c r="Q99" s="8">
        <v>11334.066186545453</v>
      </c>
      <c r="R99" s="8">
        <v>11384.984107636365</v>
      </c>
      <c r="S99" s="8">
        <v>11631.363617999998</v>
      </c>
      <c r="T99" s="8">
        <v>11643.755366727273</v>
      </c>
      <c r="U99" s="8">
        <v>11419.776056181821</v>
      </c>
      <c r="V99" s="8">
        <v>11290.156603090913</v>
      </c>
      <c r="W99" s="8">
        <v>11792.918256000003</v>
      </c>
      <c r="X99" s="8">
        <v>11799.352610181819</v>
      </c>
      <c r="Y99" s="8">
        <v>11457.440373272728</v>
      </c>
      <c r="Z99" s="8">
        <v>10943.31927818182</v>
      </c>
      <c r="AA99" s="8">
        <v>10266.148742181816</v>
      </c>
      <c r="AB99" s="8">
        <v>9666.1394301818182</v>
      </c>
      <c r="AC99" s="8">
        <v>248500.45903963631</v>
      </c>
      <c r="AD99" s="115"/>
    </row>
    <row r="100" spans="1:30" x14ac:dyDescent="0.25">
      <c r="A100" s="59"/>
      <c r="B100" s="10" t="s">
        <v>32</v>
      </c>
      <c r="C100" s="11">
        <v>4</v>
      </c>
      <c r="D100" s="119"/>
      <c r="E100" s="8">
        <v>9165.6257699999987</v>
      </c>
      <c r="F100" s="8">
        <v>8994.453993000001</v>
      </c>
      <c r="G100" s="8">
        <v>8803.8296219999993</v>
      </c>
      <c r="H100" s="8">
        <v>8654.8701960000017</v>
      </c>
      <c r="I100" s="8">
        <v>8556.366</v>
      </c>
      <c r="J100" s="8">
        <v>8584.4435880000001</v>
      </c>
      <c r="K100" s="8">
        <v>8651.622945000001</v>
      </c>
      <c r="L100" s="8">
        <v>9288.0266849999989</v>
      </c>
      <c r="M100" s="8">
        <v>10060.020075</v>
      </c>
      <c r="N100" s="8">
        <v>10614.698766000001</v>
      </c>
      <c r="O100" s="8">
        <v>11043.082428</v>
      </c>
      <c r="P100" s="8">
        <v>11354.246043000001</v>
      </c>
      <c r="Q100" s="8">
        <v>11286.672684000001</v>
      </c>
      <c r="R100" s="8">
        <v>11320.128456</v>
      </c>
      <c r="S100" s="8">
        <v>11603.571545999999</v>
      </c>
      <c r="T100" s="8">
        <v>11714.234784</v>
      </c>
      <c r="U100" s="8">
        <v>11521.163115000001</v>
      </c>
      <c r="V100" s="8">
        <v>11382.314538000001</v>
      </c>
      <c r="W100" s="8">
        <v>11825.467290000001</v>
      </c>
      <c r="X100" s="8">
        <v>11808.798183000001</v>
      </c>
      <c r="Y100" s="8">
        <v>11439.970458</v>
      </c>
      <c r="Z100" s="8">
        <v>10925.700807000001</v>
      </c>
      <c r="AA100" s="8">
        <v>10254.573462</v>
      </c>
      <c r="AB100" s="8">
        <v>9595.8854879999999</v>
      </c>
      <c r="AC100" s="8">
        <v>248449.76692200004</v>
      </c>
      <c r="AD100" s="115"/>
    </row>
    <row r="101" spans="1:30" ht="15.75" thickBot="1" x14ac:dyDescent="0.3">
      <c r="A101" s="60"/>
      <c r="B101" s="13" t="s">
        <v>33</v>
      </c>
      <c r="C101" s="14">
        <v>4</v>
      </c>
      <c r="D101" s="120"/>
      <c r="E101" s="8">
        <v>9138.789345000001</v>
      </c>
      <c r="F101" s="8">
        <v>8922.7534620000006</v>
      </c>
      <c r="G101" s="8">
        <v>8822.2524390000017</v>
      </c>
      <c r="H101" s="8">
        <v>8670.9189630000019</v>
      </c>
      <c r="I101" s="8">
        <v>8606.9151419999998</v>
      </c>
      <c r="J101" s="8">
        <v>8626.083396</v>
      </c>
      <c r="K101" s="8">
        <v>8683.7395890000007</v>
      </c>
      <c r="L101" s="8">
        <v>9280.5949110000001</v>
      </c>
      <c r="M101" s="8">
        <v>9976.1280990000014</v>
      </c>
      <c r="N101" s="8">
        <v>10628.627205000001</v>
      </c>
      <c r="O101" s="8">
        <v>11076.642402000001</v>
      </c>
      <c r="P101" s="8">
        <v>11431.655697000002</v>
      </c>
      <c r="Q101" s="8">
        <v>11325.449541</v>
      </c>
      <c r="R101" s="8">
        <v>11326.536144000002</v>
      </c>
      <c r="S101" s="8">
        <v>11560.005366000001</v>
      </c>
      <c r="T101" s="8">
        <v>11641.909271999999</v>
      </c>
      <c r="U101" s="8">
        <v>11509.305486000001</v>
      </c>
      <c r="V101" s="8">
        <v>11348.665356000001</v>
      </c>
      <c r="W101" s="8">
        <v>11822.310066</v>
      </c>
      <c r="X101" s="8">
        <v>11799.366075</v>
      </c>
      <c r="Y101" s="8">
        <v>11454.22257</v>
      </c>
      <c r="Z101" s="8">
        <v>10914.591492</v>
      </c>
      <c r="AA101" s="8">
        <v>10248.734516999999</v>
      </c>
      <c r="AB101" s="8">
        <v>9645.6395909999992</v>
      </c>
      <c r="AC101" s="8">
        <v>248461.83612600004</v>
      </c>
      <c r="AD101" s="115">
        <v>7454656.5110639986</v>
      </c>
    </row>
    <row r="102" spans="1:30" ht="15.75" thickBot="1" x14ac:dyDescent="0.3">
      <c r="B102" s="57"/>
      <c r="AD102" s="116"/>
    </row>
    <row r="103" spans="1:30" x14ac:dyDescent="0.25">
      <c r="A103" s="58"/>
      <c r="B103" s="6" t="s">
        <v>31</v>
      </c>
      <c r="C103" s="7">
        <v>19</v>
      </c>
      <c r="D103" s="118">
        <v>46508</v>
      </c>
      <c r="E103" s="8">
        <v>9283.614082105265</v>
      </c>
      <c r="F103" s="8">
        <v>9042.2536989473701</v>
      </c>
      <c r="G103" s="8">
        <v>8861.3221067368413</v>
      </c>
      <c r="H103" s="8">
        <v>8726.3501109473691</v>
      </c>
      <c r="I103" s="8">
        <v>8666.1360328421051</v>
      </c>
      <c r="J103" s="8">
        <v>8726.6576393684209</v>
      </c>
      <c r="K103" s="8">
        <v>8808.8569269473664</v>
      </c>
      <c r="L103" s="8">
        <v>9402.2916827368408</v>
      </c>
      <c r="M103" s="8">
        <v>10094.239268842104</v>
      </c>
      <c r="N103" s="8">
        <v>10669.195881473684</v>
      </c>
      <c r="O103" s="8">
        <v>11112.847235368421</v>
      </c>
      <c r="P103" s="8">
        <v>11444.010228000001</v>
      </c>
      <c r="Q103" s="8">
        <v>11382.295229052632</v>
      </c>
      <c r="R103" s="8">
        <v>11422.143763578946</v>
      </c>
      <c r="S103" s="8">
        <v>11683.25088</v>
      </c>
      <c r="T103" s="8">
        <v>11737.76734863158</v>
      </c>
      <c r="U103" s="8">
        <v>11528.621155578949</v>
      </c>
      <c r="V103" s="8">
        <v>11367.801767368423</v>
      </c>
      <c r="W103" s="8">
        <v>11814.145798736847</v>
      </c>
      <c r="X103" s="8">
        <v>11780.346404842108</v>
      </c>
      <c r="Y103" s="8">
        <v>11420.42293957895</v>
      </c>
      <c r="Z103" s="8">
        <v>10915.219095789475</v>
      </c>
      <c r="AA103" s="8">
        <v>10271.670970105264</v>
      </c>
      <c r="AB103" s="8">
        <v>9702.5471892631576</v>
      </c>
      <c r="AC103" s="8">
        <v>249864.0074368421</v>
      </c>
      <c r="AD103" s="115"/>
    </row>
    <row r="104" spans="1:30" x14ac:dyDescent="0.25">
      <c r="A104" s="59"/>
      <c r="B104" s="10" t="s">
        <v>32</v>
      </c>
      <c r="C104" s="11">
        <v>5</v>
      </c>
      <c r="D104" s="119"/>
      <c r="E104" s="8">
        <v>9316.5764159999999</v>
      </c>
      <c r="F104" s="8">
        <v>9041.9641367999993</v>
      </c>
      <c r="G104" s="8">
        <v>8856.4377215999993</v>
      </c>
      <c r="H104" s="8">
        <v>8745.8216327999999</v>
      </c>
      <c r="I104" s="8">
        <v>8738.2777776000003</v>
      </c>
      <c r="J104" s="8">
        <v>8777.9237783999997</v>
      </c>
      <c r="K104" s="8">
        <v>8862.3601248000032</v>
      </c>
      <c r="L104" s="8">
        <v>9439.7509583999981</v>
      </c>
      <c r="M104" s="8">
        <v>10089.3089136</v>
      </c>
      <c r="N104" s="8">
        <v>10643.273289600002</v>
      </c>
      <c r="O104" s="8">
        <v>11078.859204</v>
      </c>
      <c r="P104" s="8">
        <v>11487.131426400001</v>
      </c>
      <c r="Q104" s="8">
        <v>11440.0793976</v>
      </c>
      <c r="R104" s="8">
        <v>11470.140780000002</v>
      </c>
      <c r="S104" s="8">
        <v>11652.5827656</v>
      </c>
      <c r="T104" s="8">
        <v>11639.854548000001</v>
      </c>
      <c r="U104" s="8">
        <v>11406.592713600003</v>
      </c>
      <c r="V104" s="8">
        <v>11283.4888488</v>
      </c>
      <c r="W104" s="8">
        <v>11816.963004000001</v>
      </c>
      <c r="X104" s="8">
        <v>11790.163929599999</v>
      </c>
      <c r="Y104" s="8">
        <v>11425.626491999999</v>
      </c>
      <c r="Z104" s="8">
        <v>10901.842526400002</v>
      </c>
      <c r="AA104" s="8">
        <v>10258.755276</v>
      </c>
      <c r="AB104" s="8">
        <v>9663.1434984000007</v>
      </c>
      <c r="AC104" s="8">
        <v>249826.91915999999</v>
      </c>
      <c r="AD104" s="115"/>
    </row>
    <row r="105" spans="1:30" ht="15.75" thickBot="1" x14ac:dyDescent="0.3">
      <c r="A105" s="60"/>
      <c r="B105" s="13" t="s">
        <v>33</v>
      </c>
      <c r="C105" s="14">
        <v>7</v>
      </c>
      <c r="D105" s="120"/>
      <c r="E105" s="8">
        <v>9182.1845999999987</v>
      </c>
      <c r="F105" s="8">
        <v>9003.032220000001</v>
      </c>
      <c r="G105" s="8">
        <v>8854.8056160000015</v>
      </c>
      <c r="H105" s="8">
        <v>8756.5952400000006</v>
      </c>
      <c r="I105" s="8">
        <v>8712.436872000002</v>
      </c>
      <c r="J105" s="8">
        <v>8831.2791240000006</v>
      </c>
      <c r="K105" s="8">
        <v>8931.0465240000012</v>
      </c>
      <c r="L105" s="8">
        <v>9518.7495120000003</v>
      </c>
      <c r="M105" s="8">
        <v>10207.306056000001</v>
      </c>
      <c r="N105" s="8">
        <v>10747.385676000004</v>
      </c>
      <c r="O105" s="8">
        <v>11145.556140000001</v>
      </c>
      <c r="P105" s="8">
        <v>11495.951076000003</v>
      </c>
      <c r="Q105" s="8">
        <v>11493.018684000001</v>
      </c>
      <c r="R105" s="8">
        <v>11520.943164</v>
      </c>
      <c r="S105" s="8">
        <v>11738.034167999998</v>
      </c>
      <c r="T105" s="8">
        <v>11707.035528000002</v>
      </c>
      <c r="U105" s="8">
        <v>11453.449655999999</v>
      </c>
      <c r="V105" s="8">
        <v>11280.824388000001</v>
      </c>
      <c r="W105" s="8">
        <v>11737.224696000001</v>
      </c>
      <c r="X105" s="8">
        <v>11746.16778</v>
      </c>
      <c r="Y105" s="8">
        <v>11387.560944000001</v>
      </c>
      <c r="Z105" s="8">
        <v>10868.561904</v>
      </c>
      <c r="AA105" s="8">
        <v>10171.202544000002</v>
      </c>
      <c r="AB105" s="8">
        <v>9574.0489799999996</v>
      </c>
      <c r="AC105" s="8">
        <v>250064.40109200001</v>
      </c>
      <c r="AD105" s="115">
        <v>7747001.5447440008</v>
      </c>
    </row>
    <row r="106" spans="1:30" ht="15.75" thickBot="1" x14ac:dyDescent="0.3">
      <c r="B106" s="57"/>
      <c r="AD106" s="116"/>
    </row>
    <row r="107" spans="1:30" x14ac:dyDescent="0.25">
      <c r="A107" s="58"/>
      <c r="B107" s="6" t="s">
        <v>31</v>
      </c>
      <c r="C107" s="7">
        <v>21</v>
      </c>
      <c r="D107" s="118">
        <v>46539</v>
      </c>
      <c r="E107" s="8">
        <v>8096.7078674999993</v>
      </c>
      <c r="F107" s="8">
        <v>7900.2345134999996</v>
      </c>
      <c r="G107" s="8">
        <v>7749.6981274999998</v>
      </c>
      <c r="H107" s="8">
        <v>7648.8829060000007</v>
      </c>
      <c r="I107" s="8">
        <v>7617.2122355000001</v>
      </c>
      <c r="J107" s="8">
        <v>7710.1353209999997</v>
      </c>
      <c r="K107" s="8">
        <v>7810.204685499998</v>
      </c>
      <c r="L107" s="8">
        <v>8332.9925524999999</v>
      </c>
      <c r="M107" s="8">
        <v>8922.3055424999984</v>
      </c>
      <c r="N107" s="8">
        <v>9408.2884419999973</v>
      </c>
      <c r="O107" s="8">
        <v>9789.6281699999963</v>
      </c>
      <c r="P107" s="8">
        <v>10110.749942999999</v>
      </c>
      <c r="Q107" s="8">
        <v>10090.052878500001</v>
      </c>
      <c r="R107" s="8">
        <v>10124.709353499999</v>
      </c>
      <c r="S107" s="8">
        <v>10326.295028000002</v>
      </c>
      <c r="T107" s="8">
        <v>10323.217302999998</v>
      </c>
      <c r="U107" s="8">
        <v>10121.016044999998</v>
      </c>
      <c r="V107" s="8">
        <v>9989.0887564999994</v>
      </c>
      <c r="W107" s="8">
        <v>10405.840931500001</v>
      </c>
      <c r="X107" s="8">
        <v>10389.801457</v>
      </c>
      <c r="Y107" s="8">
        <v>10067.341697</v>
      </c>
      <c r="Z107" s="8">
        <v>9588.5077680000013</v>
      </c>
      <c r="AA107" s="8">
        <v>8979.3292539999984</v>
      </c>
      <c r="AB107" s="8">
        <v>8459.3512710000014</v>
      </c>
      <c r="AC107" s="8">
        <v>219961.59204949997</v>
      </c>
      <c r="AD107" s="115"/>
    </row>
    <row r="108" spans="1:30" x14ac:dyDescent="0.25">
      <c r="A108" s="52"/>
      <c r="B108" s="10" t="s">
        <v>32</v>
      </c>
      <c r="C108" s="11">
        <v>4</v>
      </c>
      <c r="D108" s="119"/>
      <c r="E108" s="8">
        <v>8053.1961273749985</v>
      </c>
      <c r="F108" s="8">
        <v>7829.8539191249993</v>
      </c>
      <c r="G108" s="8">
        <v>7702.2787012499994</v>
      </c>
      <c r="H108" s="8">
        <v>7668.9002932499989</v>
      </c>
      <c r="I108" s="8">
        <v>7646.6439419999997</v>
      </c>
      <c r="J108" s="8">
        <v>7728.2722886250003</v>
      </c>
      <c r="K108" s="8">
        <v>7783.7726714999999</v>
      </c>
      <c r="L108" s="8">
        <v>8310.2860259999998</v>
      </c>
      <c r="M108" s="8">
        <v>8906.1426798749981</v>
      </c>
      <c r="N108" s="8">
        <v>9416.7676312500007</v>
      </c>
      <c r="O108" s="8">
        <v>9805.7451948750004</v>
      </c>
      <c r="P108" s="8">
        <v>10074.078664125</v>
      </c>
      <c r="Q108" s="8">
        <v>10027.544013375</v>
      </c>
      <c r="R108" s="8">
        <v>10091.128642874997</v>
      </c>
      <c r="S108" s="8">
        <v>10378.778132625001</v>
      </c>
      <c r="T108" s="8">
        <v>10376.570119124999</v>
      </c>
      <c r="U108" s="8">
        <v>10173.885361499999</v>
      </c>
      <c r="V108" s="8">
        <v>9987.5367322499987</v>
      </c>
      <c r="W108" s="8">
        <v>10370.244231375</v>
      </c>
      <c r="X108" s="8">
        <v>10351.39377825</v>
      </c>
      <c r="Y108" s="8">
        <v>10041.404404499999</v>
      </c>
      <c r="Z108" s="8">
        <v>9651.7302446249996</v>
      </c>
      <c r="AA108" s="8">
        <v>9067.5295514999998</v>
      </c>
      <c r="AB108" s="8">
        <v>8533.4807381250012</v>
      </c>
      <c r="AC108" s="8">
        <v>219977.16408937503</v>
      </c>
      <c r="AD108" s="115"/>
    </row>
    <row r="109" spans="1:30" ht="15.75" thickBot="1" x14ac:dyDescent="0.3">
      <c r="A109" s="60"/>
      <c r="B109" s="13" t="s">
        <v>33</v>
      </c>
      <c r="C109" s="14">
        <v>5</v>
      </c>
      <c r="D109" s="120"/>
      <c r="E109" s="8">
        <v>8051.3433650999996</v>
      </c>
      <c r="F109" s="8">
        <v>7799.0231570999995</v>
      </c>
      <c r="G109" s="8">
        <v>7628.3188338</v>
      </c>
      <c r="H109" s="8">
        <v>7560.6169107000005</v>
      </c>
      <c r="I109" s="8">
        <v>7572.2127410999992</v>
      </c>
      <c r="J109" s="8">
        <v>7635.0323825999985</v>
      </c>
      <c r="K109" s="8">
        <v>7729.5418430999998</v>
      </c>
      <c r="L109" s="8">
        <v>8267.9743985999994</v>
      </c>
      <c r="M109" s="8">
        <v>8908.7899109999998</v>
      </c>
      <c r="N109" s="8">
        <v>9445.2506525999997</v>
      </c>
      <c r="O109" s="8">
        <v>9853.3337951999983</v>
      </c>
      <c r="P109" s="8">
        <v>10175.614640099999</v>
      </c>
      <c r="Q109" s="8">
        <v>10113.819397499999</v>
      </c>
      <c r="R109" s="8">
        <v>10126.4513721</v>
      </c>
      <c r="S109" s="8">
        <v>10334.934768900001</v>
      </c>
      <c r="T109" s="8">
        <v>10419.789019499998</v>
      </c>
      <c r="U109" s="8">
        <v>10247.008321199999</v>
      </c>
      <c r="V109" s="8">
        <v>10069.469791500002</v>
      </c>
      <c r="W109" s="8">
        <v>10435.903277099998</v>
      </c>
      <c r="X109" s="8">
        <v>10366.786302599998</v>
      </c>
      <c r="Y109" s="8">
        <v>10021.064543699998</v>
      </c>
      <c r="Z109" s="8">
        <v>9576.9398822999992</v>
      </c>
      <c r="AA109" s="8">
        <v>9043.1309030999982</v>
      </c>
      <c r="AB109" s="8">
        <v>8490.2103656999989</v>
      </c>
      <c r="AC109" s="8">
        <v>219872.56057620002</v>
      </c>
      <c r="AD109" s="115">
        <v>6598464.8922779988</v>
      </c>
    </row>
    <row r="110" spans="1:30" ht="15.75" thickBot="1" x14ac:dyDescent="0.3">
      <c r="B110" s="57"/>
      <c r="AD110" s="116"/>
    </row>
    <row r="111" spans="1:30" x14ac:dyDescent="0.25">
      <c r="A111" s="58"/>
      <c r="B111" s="6" t="s">
        <v>31</v>
      </c>
      <c r="C111" s="7">
        <v>20</v>
      </c>
      <c r="D111" s="118">
        <v>46569</v>
      </c>
      <c r="E111" s="8">
        <v>11271.39</v>
      </c>
      <c r="F111" s="8">
        <v>11182.660000000003</v>
      </c>
      <c r="G111" s="8">
        <v>11140.799999999997</v>
      </c>
      <c r="H111" s="8">
        <v>11141.709999999995</v>
      </c>
      <c r="I111" s="8">
        <v>11213.600000000002</v>
      </c>
      <c r="J111" s="8">
        <v>11324.170000000006</v>
      </c>
      <c r="K111" s="8">
        <v>11644.029999999999</v>
      </c>
      <c r="L111" s="8">
        <v>11901.56</v>
      </c>
      <c r="M111" s="8">
        <v>12064</v>
      </c>
      <c r="N111" s="8">
        <v>12168.190000000002</v>
      </c>
      <c r="O111" s="8">
        <v>12254.640000000005</v>
      </c>
      <c r="P111" s="8">
        <v>12334.720000000001</v>
      </c>
      <c r="Q111" s="8">
        <v>12381.130000000003</v>
      </c>
      <c r="R111" s="8">
        <v>12315.160000000002</v>
      </c>
      <c r="S111" s="8">
        <v>12261.920000000006</v>
      </c>
      <c r="T111" s="8">
        <v>12212.779999999999</v>
      </c>
      <c r="U111" s="8">
        <v>12156.820000000003</v>
      </c>
      <c r="V111" s="8">
        <v>12144.989999999998</v>
      </c>
      <c r="W111" s="8">
        <v>12315.160000000002</v>
      </c>
      <c r="X111" s="8">
        <v>12378.859999999995</v>
      </c>
      <c r="Y111" s="8">
        <v>12233.709999999995</v>
      </c>
      <c r="Z111" s="8">
        <v>11999.839999999998</v>
      </c>
      <c r="AA111" s="8">
        <v>11725.019999999997</v>
      </c>
      <c r="AB111" s="8">
        <v>11456.119999999999</v>
      </c>
      <c r="AC111" s="8">
        <v>285222.98000000004</v>
      </c>
      <c r="AD111" s="115"/>
    </row>
    <row r="112" spans="1:30" x14ac:dyDescent="0.25">
      <c r="A112" s="52"/>
      <c r="B112" s="10" t="s">
        <v>32</v>
      </c>
      <c r="C112" s="11">
        <v>5</v>
      </c>
      <c r="D112" s="119"/>
      <c r="E112" s="8">
        <v>10974.27</v>
      </c>
      <c r="F112" s="8">
        <v>10903.75</v>
      </c>
      <c r="G112" s="8">
        <v>10865.98</v>
      </c>
      <c r="H112" s="8">
        <v>10856.43</v>
      </c>
      <c r="I112" s="8">
        <v>10888.73</v>
      </c>
      <c r="J112" s="8">
        <v>10922.400000000001</v>
      </c>
      <c r="K112" s="8">
        <v>11055.720000000001</v>
      </c>
      <c r="L112" s="8">
        <v>11214.970000000001</v>
      </c>
      <c r="M112" s="8">
        <v>11373.310000000001</v>
      </c>
      <c r="N112" s="8">
        <v>11490.240000000002</v>
      </c>
      <c r="O112" s="8">
        <v>11580.79</v>
      </c>
      <c r="P112" s="8">
        <v>11651.77</v>
      </c>
      <c r="Q112" s="8">
        <v>11682.25</v>
      </c>
      <c r="R112" s="8">
        <v>11636.75</v>
      </c>
      <c r="S112" s="8">
        <v>11567.14</v>
      </c>
      <c r="T112" s="8">
        <v>11511.170000000002</v>
      </c>
      <c r="U112" s="8">
        <v>11470.220000000001</v>
      </c>
      <c r="V112" s="8">
        <v>11474.32</v>
      </c>
      <c r="W112" s="8">
        <v>11595.350000000002</v>
      </c>
      <c r="X112" s="8">
        <v>11626.29</v>
      </c>
      <c r="Y112" s="8">
        <v>11537.560000000001</v>
      </c>
      <c r="Z112" s="8">
        <v>11395.599999999999</v>
      </c>
      <c r="AA112" s="8">
        <v>11227.71</v>
      </c>
      <c r="AB112" s="8">
        <v>11071.190000000002</v>
      </c>
      <c r="AC112" s="8">
        <v>271573.91000000003</v>
      </c>
      <c r="AD112" s="115"/>
    </row>
    <row r="113" spans="1:30" ht="15.75" thickBot="1" x14ac:dyDescent="0.3">
      <c r="A113" s="60"/>
      <c r="B113" s="13" t="s">
        <v>33</v>
      </c>
      <c r="C113" s="14">
        <v>6</v>
      </c>
      <c r="D113" s="120"/>
      <c r="E113" s="8">
        <v>10906.02</v>
      </c>
      <c r="F113" s="8">
        <v>10832.77</v>
      </c>
      <c r="G113" s="8">
        <v>10794.09</v>
      </c>
      <c r="H113" s="8">
        <v>10774.98</v>
      </c>
      <c r="I113" s="8">
        <v>10776.800000000001</v>
      </c>
      <c r="J113" s="8">
        <v>10766.34</v>
      </c>
      <c r="K113" s="8">
        <v>10829.130000000001</v>
      </c>
      <c r="L113" s="8">
        <v>10940.599999999999</v>
      </c>
      <c r="M113" s="8">
        <v>11097.580000000002</v>
      </c>
      <c r="N113" s="8">
        <v>11229.07</v>
      </c>
      <c r="O113" s="8">
        <v>11322.350000000002</v>
      </c>
      <c r="P113" s="8">
        <v>11399.7</v>
      </c>
      <c r="Q113" s="8">
        <v>11453.84</v>
      </c>
      <c r="R113" s="8">
        <v>11436.100000000002</v>
      </c>
      <c r="S113" s="8">
        <v>11372.849999999999</v>
      </c>
      <c r="T113" s="8">
        <v>11310.970000000001</v>
      </c>
      <c r="U113" s="8">
        <v>11282.310000000001</v>
      </c>
      <c r="V113" s="8">
        <v>11301.870000000003</v>
      </c>
      <c r="W113" s="8">
        <v>11435.190000000002</v>
      </c>
      <c r="X113" s="8">
        <v>11502.529999999999</v>
      </c>
      <c r="Y113" s="8">
        <v>11431.09</v>
      </c>
      <c r="Z113" s="8">
        <v>11295.5</v>
      </c>
      <c r="AA113" s="8">
        <v>11126.240000000002</v>
      </c>
      <c r="AB113" s="8">
        <v>10973.82</v>
      </c>
      <c r="AC113" s="8">
        <v>267591.74</v>
      </c>
      <c r="AD113" s="115">
        <v>8667879.5899999999</v>
      </c>
    </row>
    <row r="114" spans="1:30" ht="15.75" thickBot="1" x14ac:dyDescent="0.3">
      <c r="B114" s="57"/>
      <c r="AD114" s="116"/>
    </row>
    <row r="115" spans="1:30" x14ac:dyDescent="0.25">
      <c r="A115" s="58"/>
      <c r="B115" s="6" t="s">
        <v>31</v>
      </c>
      <c r="C115" s="7">
        <v>21</v>
      </c>
      <c r="D115" s="118">
        <v>46600</v>
      </c>
      <c r="E115" s="8">
        <v>8288.142848999998</v>
      </c>
      <c r="F115" s="8">
        <v>8056.8346214999992</v>
      </c>
      <c r="G115" s="8">
        <v>7870.3625525000016</v>
      </c>
      <c r="H115" s="8">
        <v>7733.7237634999992</v>
      </c>
      <c r="I115" s="8">
        <v>7672.3961614999998</v>
      </c>
      <c r="J115" s="8">
        <v>7737.5535159999999</v>
      </c>
      <c r="K115" s="8">
        <v>7820.0165049999987</v>
      </c>
      <c r="L115" s="8">
        <v>8346.0227515000006</v>
      </c>
      <c r="M115" s="8">
        <v>8944.7645769999999</v>
      </c>
      <c r="N115" s="8">
        <v>9428.1200719999997</v>
      </c>
      <c r="O115" s="8">
        <v>9791.8662834999996</v>
      </c>
      <c r="P115" s="8">
        <v>10105.828116999999</v>
      </c>
      <c r="Q115" s="8">
        <v>10091.899023499998</v>
      </c>
      <c r="R115" s="8">
        <v>10157.539752499999</v>
      </c>
      <c r="S115" s="8">
        <v>10396.184403499999</v>
      </c>
      <c r="T115" s="8">
        <v>10444.440863500002</v>
      </c>
      <c r="U115" s="8">
        <v>10266.049870999999</v>
      </c>
      <c r="V115" s="8">
        <v>10146.559289999997</v>
      </c>
      <c r="W115" s="8">
        <v>10576.000018500001</v>
      </c>
      <c r="X115" s="8">
        <v>10561.671263499995</v>
      </c>
      <c r="Y115" s="8">
        <v>10243.371508999999</v>
      </c>
      <c r="Z115" s="8">
        <v>9781.8633115000011</v>
      </c>
      <c r="AA115" s="8">
        <v>9192.3759515000002</v>
      </c>
      <c r="AB115" s="8">
        <v>8659.1612694999985</v>
      </c>
      <c r="AC115" s="8">
        <v>222312.74829749999</v>
      </c>
      <c r="AD115" s="115"/>
    </row>
    <row r="116" spans="1:30" x14ac:dyDescent="0.25">
      <c r="A116" s="52"/>
      <c r="B116" s="10" t="s">
        <v>32</v>
      </c>
      <c r="C116" s="11">
        <v>4</v>
      </c>
      <c r="D116" s="119"/>
      <c r="E116" s="8">
        <v>8204.9015238750017</v>
      </c>
      <c r="F116" s="8">
        <v>8015.8701629999996</v>
      </c>
      <c r="G116" s="8">
        <v>7927.9317311249997</v>
      </c>
      <c r="H116" s="8">
        <v>7795.5149396249999</v>
      </c>
      <c r="I116" s="8">
        <v>7739.5116146249984</v>
      </c>
      <c r="J116" s="8">
        <v>7756.2838184999991</v>
      </c>
      <c r="K116" s="8">
        <v>7806.7329873749995</v>
      </c>
      <c r="L116" s="8">
        <v>8328.9813941249995</v>
      </c>
      <c r="M116" s="8">
        <v>8937.5729336249988</v>
      </c>
      <c r="N116" s="8">
        <v>9508.5096881249992</v>
      </c>
      <c r="O116" s="8">
        <v>9900.5229487500001</v>
      </c>
      <c r="P116" s="8">
        <v>10211.159600249999</v>
      </c>
      <c r="Q116" s="8">
        <v>10118.229213749997</v>
      </c>
      <c r="R116" s="8">
        <v>10119.179973</v>
      </c>
      <c r="S116" s="8">
        <v>10323.46554225</v>
      </c>
      <c r="T116" s="8">
        <v>10395.131460000001</v>
      </c>
      <c r="U116" s="8">
        <v>10279.103184</v>
      </c>
      <c r="V116" s="8">
        <v>10138.54307025</v>
      </c>
      <c r="W116" s="8">
        <v>10552.982173124999</v>
      </c>
      <c r="X116" s="8">
        <v>10532.906180999998</v>
      </c>
      <c r="Y116" s="8">
        <v>10230.90559575</v>
      </c>
      <c r="Z116" s="8">
        <v>9758.7284208749988</v>
      </c>
      <c r="AA116" s="8">
        <v>9176.1035677499985</v>
      </c>
      <c r="AB116" s="8">
        <v>8648.3954891249996</v>
      </c>
      <c r="AC116" s="8">
        <v>222407.16721387499</v>
      </c>
      <c r="AD116" s="115"/>
    </row>
    <row r="117" spans="1:30" ht="15.75" thickBot="1" x14ac:dyDescent="0.3">
      <c r="A117" s="60"/>
      <c r="B117" s="13" t="s">
        <v>33</v>
      </c>
      <c r="C117" s="14">
        <v>5</v>
      </c>
      <c r="D117" s="120"/>
      <c r="E117" s="8">
        <v>9822.1886846999987</v>
      </c>
      <c r="F117" s="8">
        <v>9557.7985272000005</v>
      </c>
      <c r="G117" s="8">
        <v>9370.4848650000004</v>
      </c>
      <c r="H117" s="8">
        <v>9320.3844573000006</v>
      </c>
      <c r="I117" s="8">
        <v>9307.7836613999989</v>
      </c>
      <c r="J117" s="8">
        <v>9388.981757399999</v>
      </c>
      <c r="K117" s="8">
        <v>9432.5292137999986</v>
      </c>
      <c r="L117" s="8">
        <v>10008.5840085</v>
      </c>
      <c r="M117" s="8">
        <v>10694.1113202</v>
      </c>
      <c r="N117" s="8">
        <v>11316.380445300001</v>
      </c>
      <c r="O117" s="8">
        <v>11844.750644999998</v>
      </c>
      <c r="P117" s="8">
        <v>12246.8258682</v>
      </c>
      <c r="Q117" s="8">
        <v>12197.029647599998</v>
      </c>
      <c r="R117" s="8">
        <v>12223.540392000001</v>
      </c>
      <c r="S117" s="8">
        <v>12497.327700899999</v>
      </c>
      <c r="T117" s="8">
        <v>12519.146175899998</v>
      </c>
      <c r="U117" s="8">
        <v>12311.643401399999</v>
      </c>
      <c r="V117" s="8">
        <v>12186.0425001</v>
      </c>
      <c r="W117" s="8">
        <v>12665.253150899998</v>
      </c>
      <c r="X117" s="8">
        <v>12636.448912499998</v>
      </c>
      <c r="Y117" s="8">
        <v>12239.135871899998</v>
      </c>
      <c r="Z117" s="8">
        <v>11710.321335299999</v>
      </c>
      <c r="AA117" s="8">
        <v>10987.8742533</v>
      </c>
      <c r="AB117" s="8">
        <v>10342.534271999999</v>
      </c>
      <c r="AC117" s="8">
        <v>266827.10106779996</v>
      </c>
      <c r="AD117" s="115">
        <v>6892331.8884420004</v>
      </c>
    </row>
    <row r="118" spans="1:30" ht="15.75" thickBot="1" x14ac:dyDescent="0.3">
      <c r="B118" s="57"/>
      <c r="AD118" s="116"/>
    </row>
    <row r="119" spans="1:30" x14ac:dyDescent="0.25">
      <c r="A119" s="58"/>
      <c r="B119" s="6" t="s">
        <v>31</v>
      </c>
      <c r="C119" s="7">
        <v>22</v>
      </c>
      <c r="D119" s="118">
        <v>46631</v>
      </c>
      <c r="E119" s="8">
        <v>8325.5567167499994</v>
      </c>
      <c r="F119" s="8">
        <v>8103.1047705681813</v>
      </c>
      <c r="G119" s="8">
        <v>7947.9447170454541</v>
      </c>
      <c r="H119" s="8">
        <v>7848.4821951136364</v>
      </c>
      <c r="I119" s="8">
        <v>7810.3417655454541</v>
      </c>
      <c r="J119" s="8">
        <v>7855.8647689772724</v>
      </c>
      <c r="K119" s="8">
        <v>7918.433247613636</v>
      </c>
      <c r="L119" s="8">
        <v>8430.1144090227262</v>
      </c>
      <c r="M119" s="8">
        <v>9030.0591746590908</v>
      </c>
      <c r="N119" s="8">
        <v>9535.4395218409081</v>
      </c>
      <c r="O119" s="8">
        <v>9922.8080485227292</v>
      </c>
      <c r="P119" s="8">
        <v>10226.683047477272</v>
      </c>
      <c r="Q119" s="8">
        <v>10170.370564772727</v>
      </c>
      <c r="R119" s="8">
        <v>10195.042707340908</v>
      </c>
      <c r="S119" s="8">
        <v>10407.428217136363</v>
      </c>
      <c r="T119" s="8">
        <v>10442.213568818182</v>
      </c>
      <c r="U119" s="8">
        <v>10262.407087704547</v>
      </c>
      <c r="V119" s="8">
        <v>10136.390408931815</v>
      </c>
      <c r="W119" s="8">
        <v>10547.492513249999</v>
      </c>
      <c r="X119" s="8">
        <v>10520.661919568183</v>
      </c>
      <c r="Y119" s="8">
        <v>10207.796283681817</v>
      </c>
      <c r="Z119" s="8">
        <v>9776.1134209772717</v>
      </c>
      <c r="AA119" s="8">
        <v>9215.925386659088</v>
      </c>
      <c r="AB119" s="8">
        <v>8707.8708889772752</v>
      </c>
      <c r="AC119" s="8">
        <v>223544.54535095455</v>
      </c>
      <c r="AD119" s="115"/>
    </row>
    <row r="120" spans="1:30" x14ac:dyDescent="0.25">
      <c r="A120" s="52"/>
      <c r="B120" s="10" t="s">
        <v>32</v>
      </c>
      <c r="C120" s="11">
        <v>4</v>
      </c>
      <c r="D120" s="119"/>
      <c r="E120" s="8">
        <v>8309.4085462499988</v>
      </c>
      <c r="F120" s="8">
        <v>8094.6351149999982</v>
      </c>
      <c r="G120" s="8">
        <v>7911.4838827499998</v>
      </c>
      <c r="H120" s="8">
        <v>7803.1089412499996</v>
      </c>
      <c r="I120" s="8">
        <v>7758.8174737499994</v>
      </c>
      <c r="J120" s="8">
        <v>7889.9273984999991</v>
      </c>
      <c r="K120" s="8">
        <v>7959.4443232499998</v>
      </c>
      <c r="L120" s="8">
        <v>8454.6237273749994</v>
      </c>
      <c r="M120" s="8">
        <v>9011.6340509999991</v>
      </c>
      <c r="N120" s="8">
        <v>9472.2775323750011</v>
      </c>
      <c r="O120" s="8">
        <v>9840.6953268749985</v>
      </c>
      <c r="P120" s="8">
        <v>10194.208019625001</v>
      </c>
      <c r="Q120" s="8">
        <v>10236.986875499999</v>
      </c>
      <c r="R120" s="8">
        <v>10257.985954124999</v>
      </c>
      <c r="S120" s="8">
        <v>10462.460491874999</v>
      </c>
      <c r="T120" s="8">
        <v>10442.7590925</v>
      </c>
      <c r="U120" s="8">
        <v>10226.464836000001</v>
      </c>
      <c r="V120" s="8">
        <v>10080.886987499998</v>
      </c>
      <c r="W120" s="8">
        <v>10521.883330875</v>
      </c>
      <c r="X120" s="8">
        <v>10572.924983249999</v>
      </c>
      <c r="Y120" s="8">
        <v>10275.289269000001</v>
      </c>
      <c r="Z120" s="8">
        <v>9832.3822747499999</v>
      </c>
      <c r="AA120" s="8">
        <v>9221.3045058749994</v>
      </c>
      <c r="AB120" s="8">
        <v>8699.7918341249988</v>
      </c>
      <c r="AC120" s="8">
        <v>223531.384773375</v>
      </c>
      <c r="AD120" s="115"/>
    </row>
    <row r="121" spans="1:30" ht="15.75" thickBot="1" x14ac:dyDescent="0.3">
      <c r="A121" s="60"/>
      <c r="B121" s="13" t="s">
        <v>33</v>
      </c>
      <c r="C121" s="14">
        <v>4</v>
      </c>
      <c r="D121" s="120"/>
      <c r="E121" s="8">
        <v>8309.508653249999</v>
      </c>
      <c r="F121" s="8">
        <v>8103.1728198749988</v>
      </c>
      <c r="G121" s="8">
        <v>7946.201295375</v>
      </c>
      <c r="H121" s="8">
        <v>7792.3564424999995</v>
      </c>
      <c r="I121" s="8">
        <v>7735.335601875001</v>
      </c>
      <c r="J121" s="8">
        <v>7827.1894522499988</v>
      </c>
      <c r="K121" s="8">
        <v>7975.5642881249996</v>
      </c>
      <c r="L121" s="8">
        <v>8468.6663801249997</v>
      </c>
      <c r="M121" s="8">
        <v>9055.8645869999982</v>
      </c>
      <c r="N121" s="8">
        <v>9508.7123643750001</v>
      </c>
      <c r="O121" s="8">
        <v>9868.7973903749989</v>
      </c>
      <c r="P121" s="8">
        <v>10187.705198999998</v>
      </c>
      <c r="Q121" s="8">
        <v>10163.5813965</v>
      </c>
      <c r="R121" s="8">
        <v>10270.173356625</v>
      </c>
      <c r="S121" s="8">
        <v>10491.825450749999</v>
      </c>
      <c r="T121" s="8">
        <v>10510.492539749999</v>
      </c>
      <c r="U121" s="8">
        <v>10260.3945675</v>
      </c>
      <c r="V121" s="8">
        <v>10086.493696124999</v>
      </c>
      <c r="W121" s="8">
        <v>10483.762905</v>
      </c>
      <c r="X121" s="8">
        <v>10509.640141875001</v>
      </c>
      <c r="Y121" s="8">
        <v>10264.913861999999</v>
      </c>
      <c r="Z121" s="8">
        <v>9802.9392404999999</v>
      </c>
      <c r="AA121" s="8">
        <v>9218.54195325</v>
      </c>
      <c r="AB121" s="8">
        <v>8691.5387579999988</v>
      </c>
      <c r="AC121" s="8">
        <v>223533.37234200002</v>
      </c>
      <c r="AD121" s="115">
        <v>6706239.0261824997</v>
      </c>
    </row>
    <row r="122" spans="1:30" ht="15.75" thickBot="1" x14ac:dyDescent="0.3">
      <c r="B122" s="57"/>
      <c r="AD122" s="116"/>
    </row>
    <row r="123" spans="1:30" x14ac:dyDescent="0.25">
      <c r="A123" s="58"/>
      <c r="B123" s="6" t="s">
        <v>31</v>
      </c>
      <c r="C123" s="7">
        <v>20</v>
      </c>
      <c r="D123" s="118">
        <v>46661</v>
      </c>
      <c r="E123" s="8">
        <v>8845.4100000000017</v>
      </c>
      <c r="F123" s="8">
        <v>8749.8599999999969</v>
      </c>
      <c r="G123" s="8">
        <v>8704.7800000000007</v>
      </c>
      <c r="H123" s="8">
        <v>8705.76</v>
      </c>
      <c r="I123" s="8">
        <v>8783.1799999999967</v>
      </c>
      <c r="J123" s="8">
        <v>8902.25</v>
      </c>
      <c r="K123" s="8">
        <v>9246.7200000000012</v>
      </c>
      <c r="L123" s="8">
        <v>9524.06</v>
      </c>
      <c r="M123" s="8">
        <v>9698.99</v>
      </c>
      <c r="N123" s="8">
        <v>9811.2000000000025</v>
      </c>
      <c r="O123" s="8">
        <v>9904.2999999999993</v>
      </c>
      <c r="P123" s="8">
        <v>9990.5400000000045</v>
      </c>
      <c r="Q123" s="8">
        <v>10040.519999999999</v>
      </c>
      <c r="R123" s="8">
        <v>9969.4700000000012</v>
      </c>
      <c r="S123" s="8">
        <v>9912.1400000000031</v>
      </c>
      <c r="T123" s="8">
        <v>9859.2200000000012</v>
      </c>
      <c r="U123" s="8">
        <v>9798.9500000000025</v>
      </c>
      <c r="V123" s="8">
        <v>9786.2099999999955</v>
      </c>
      <c r="W123" s="8">
        <v>9969.4700000000012</v>
      </c>
      <c r="X123" s="8">
        <v>10038.070000000003</v>
      </c>
      <c r="Y123" s="8">
        <v>9881.7600000000057</v>
      </c>
      <c r="Z123" s="8">
        <v>9629.8999999999978</v>
      </c>
      <c r="AA123" s="8">
        <v>9333.9400000000023</v>
      </c>
      <c r="AB123" s="8">
        <v>9044.3500000000022</v>
      </c>
      <c r="AC123" s="8">
        <v>228131.05000000005</v>
      </c>
      <c r="AD123" s="115"/>
    </row>
    <row r="124" spans="1:30" x14ac:dyDescent="0.25">
      <c r="A124" s="52"/>
      <c r="B124" s="10" t="s">
        <v>32</v>
      </c>
      <c r="C124" s="11">
        <v>5</v>
      </c>
      <c r="D124" s="119"/>
      <c r="E124" s="8">
        <v>8525.44</v>
      </c>
      <c r="F124" s="8">
        <v>8449.4900000000016</v>
      </c>
      <c r="G124" s="8">
        <v>8408.82</v>
      </c>
      <c r="H124" s="8">
        <v>8398.5300000000007</v>
      </c>
      <c r="I124" s="8">
        <v>8433.32</v>
      </c>
      <c r="J124" s="8">
        <v>8469.58</v>
      </c>
      <c r="K124" s="8">
        <v>8613.1500000000015</v>
      </c>
      <c r="L124" s="8">
        <v>8784.6500000000015</v>
      </c>
      <c r="M124" s="8">
        <v>8955.17</v>
      </c>
      <c r="N124" s="8">
        <v>9081.0999999999985</v>
      </c>
      <c r="O124" s="8">
        <v>9178.61</v>
      </c>
      <c r="P124" s="8">
        <v>9255.0500000000029</v>
      </c>
      <c r="Q124" s="8">
        <v>9287.880000000001</v>
      </c>
      <c r="R124" s="8">
        <v>9238.880000000001</v>
      </c>
      <c r="S124" s="8">
        <v>9163.91</v>
      </c>
      <c r="T124" s="8">
        <v>9103.64</v>
      </c>
      <c r="U124" s="8">
        <v>9059.5400000000009</v>
      </c>
      <c r="V124" s="8">
        <v>9063.9500000000007</v>
      </c>
      <c r="W124" s="8">
        <v>9194.2900000000009</v>
      </c>
      <c r="X124" s="8">
        <v>9227.61</v>
      </c>
      <c r="Y124" s="8">
        <v>9132.0600000000013</v>
      </c>
      <c r="Z124" s="8">
        <v>8979.18</v>
      </c>
      <c r="AA124" s="8">
        <v>8798.3700000000008</v>
      </c>
      <c r="AB124" s="8">
        <v>8629.8100000000013</v>
      </c>
      <c r="AC124" s="8">
        <v>213432.03000000003</v>
      </c>
      <c r="AD124" s="115"/>
    </row>
    <row r="125" spans="1:30" ht="15.75" thickBot="1" x14ac:dyDescent="0.3">
      <c r="A125" s="60"/>
      <c r="B125" s="13" t="s">
        <v>33</v>
      </c>
      <c r="C125" s="14">
        <v>6</v>
      </c>
      <c r="D125" s="120"/>
      <c r="E125" s="8">
        <v>8275.0500000000011</v>
      </c>
      <c r="F125" s="8">
        <v>8211.35</v>
      </c>
      <c r="G125" s="8">
        <v>8178.0300000000007</v>
      </c>
      <c r="H125" s="8">
        <v>8161.8600000000006</v>
      </c>
      <c r="I125" s="8">
        <v>8163.33</v>
      </c>
      <c r="J125" s="8">
        <v>8154.51</v>
      </c>
      <c r="K125" s="8">
        <v>8208.41</v>
      </c>
      <c r="L125" s="8">
        <v>8304.4500000000007</v>
      </c>
      <c r="M125" s="8">
        <v>8439.69</v>
      </c>
      <c r="N125" s="8">
        <v>8552.880000000001</v>
      </c>
      <c r="O125" s="8">
        <v>8633.2400000000016</v>
      </c>
      <c r="P125" s="8">
        <v>8700.3700000000008</v>
      </c>
      <c r="Q125" s="8">
        <v>8746.92</v>
      </c>
      <c r="R125" s="8">
        <v>8731.2400000000016</v>
      </c>
      <c r="S125" s="8">
        <v>8676.85</v>
      </c>
      <c r="T125" s="8">
        <v>8623.93</v>
      </c>
      <c r="U125" s="8">
        <v>8598.94</v>
      </c>
      <c r="V125" s="8">
        <v>8616.09</v>
      </c>
      <c r="W125" s="8">
        <v>8730.75</v>
      </c>
      <c r="X125" s="8">
        <v>8789.0600000000013</v>
      </c>
      <c r="Y125" s="8">
        <v>8727.32</v>
      </c>
      <c r="Z125" s="8">
        <v>8610.2099999999991</v>
      </c>
      <c r="AA125" s="8">
        <v>8464.68</v>
      </c>
      <c r="AB125" s="8">
        <v>8333.36</v>
      </c>
      <c r="AC125" s="8">
        <v>203632.52000000002</v>
      </c>
      <c r="AD125" s="115">
        <v>6851576.2700000014</v>
      </c>
    </row>
    <row r="126" spans="1:30" ht="15.75" thickBot="1" x14ac:dyDescent="0.3">
      <c r="B126" s="57"/>
      <c r="AD126" s="116"/>
    </row>
    <row r="127" spans="1:30" x14ac:dyDescent="0.25">
      <c r="A127" s="58"/>
      <c r="B127" s="6" t="s">
        <v>31</v>
      </c>
      <c r="C127" s="7">
        <v>20</v>
      </c>
      <c r="D127" s="118">
        <v>46692</v>
      </c>
      <c r="E127" s="8">
        <v>8333.4401797499995</v>
      </c>
      <c r="F127" s="8">
        <v>8106.8527186499996</v>
      </c>
      <c r="G127" s="8">
        <v>7937.9755465500002</v>
      </c>
      <c r="H127" s="8">
        <v>7848.3870653999984</v>
      </c>
      <c r="I127" s="8">
        <v>7827.8854274250007</v>
      </c>
      <c r="J127" s="8">
        <v>7914.9360895499985</v>
      </c>
      <c r="K127" s="8">
        <v>8004.8221170750012</v>
      </c>
      <c r="L127" s="8">
        <v>8533.6334196749995</v>
      </c>
      <c r="M127" s="8">
        <v>9142.577465174998</v>
      </c>
      <c r="N127" s="8">
        <v>9671.3505992249993</v>
      </c>
      <c r="O127" s="8">
        <v>10079.186961900001</v>
      </c>
      <c r="P127" s="8">
        <v>10389.683353349999</v>
      </c>
      <c r="Q127" s="8">
        <v>10354.317747899999</v>
      </c>
      <c r="R127" s="8">
        <v>10385.866263149997</v>
      </c>
      <c r="S127" s="8">
        <v>10602.810450750001</v>
      </c>
      <c r="T127" s="8">
        <v>10639.147380749997</v>
      </c>
      <c r="U127" s="8">
        <v>10462.043787299997</v>
      </c>
      <c r="V127" s="8">
        <v>10311.3578358</v>
      </c>
      <c r="W127" s="8">
        <v>10695.211251375</v>
      </c>
      <c r="X127" s="8">
        <v>10643.037239624999</v>
      </c>
      <c r="Y127" s="8">
        <v>10307.617836075</v>
      </c>
      <c r="Z127" s="8">
        <v>9849.85000545</v>
      </c>
      <c r="AA127" s="8">
        <v>9267.0880931999982</v>
      </c>
      <c r="AB127" s="8">
        <v>8747.3610525000004</v>
      </c>
      <c r="AC127" s="8">
        <v>226056.43988759999</v>
      </c>
      <c r="AD127" s="115"/>
    </row>
    <row r="128" spans="1:30" x14ac:dyDescent="0.25">
      <c r="A128" s="52"/>
      <c r="B128" s="10" t="s">
        <v>32</v>
      </c>
      <c r="C128" s="11">
        <v>4</v>
      </c>
      <c r="D128" s="119"/>
      <c r="E128" s="8">
        <v>8414.3444043749987</v>
      </c>
      <c r="F128" s="8">
        <v>8182.7274742500003</v>
      </c>
      <c r="G128" s="8">
        <v>8011.6140903750002</v>
      </c>
      <c r="H128" s="8">
        <v>7861.70394975</v>
      </c>
      <c r="I128" s="8">
        <v>7792.0910523750008</v>
      </c>
      <c r="J128" s="8">
        <v>7849.6340737500004</v>
      </c>
      <c r="K128" s="8">
        <v>7958.3721052499977</v>
      </c>
      <c r="L128" s="8">
        <v>8550.512580749999</v>
      </c>
      <c r="M128" s="8">
        <v>9171.4577981249986</v>
      </c>
      <c r="N128" s="8">
        <v>9689.1617182499976</v>
      </c>
      <c r="O128" s="8">
        <v>10054.297921499998</v>
      </c>
      <c r="P128" s="8">
        <v>10377.470677875001</v>
      </c>
      <c r="Q128" s="8">
        <v>10340.611989749999</v>
      </c>
      <c r="R128" s="8">
        <v>10386.892183499998</v>
      </c>
      <c r="S128" s="8">
        <v>10605.508562249999</v>
      </c>
      <c r="T128" s="8">
        <v>10581.872469</v>
      </c>
      <c r="U128" s="8">
        <v>10378.170232499999</v>
      </c>
      <c r="V128" s="8">
        <v>10266.903213</v>
      </c>
      <c r="W128" s="8">
        <v>10747.53636075</v>
      </c>
      <c r="X128" s="8">
        <v>10699.539629624998</v>
      </c>
      <c r="Y128" s="8">
        <v>10368.156923249999</v>
      </c>
      <c r="Z128" s="8">
        <v>9860.3937862499988</v>
      </c>
      <c r="AA128" s="8">
        <v>9244.264840124999</v>
      </c>
      <c r="AB128" s="8">
        <v>8718.4872206250002</v>
      </c>
      <c r="AC128" s="8">
        <v>226111.72525725001</v>
      </c>
      <c r="AD128" s="115"/>
    </row>
    <row r="129" spans="1:30" ht="15.75" thickBot="1" x14ac:dyDescent="0.3">
      <c r="A129" s="60"/>
      <c r="B129" s="13" t="s">
        <v>33</v>
      </c>
      <c r="C129" s="14">
        <v>6</v>
      </c>
      <c r="D129" s="120"/>
      <c r="E129" s="8">
        <v>8329.7468047499988</v>
      </c>
      <c r="F129" s="8">
        <v>8167.4003722500011</v>
      </c>
      <c r="G129" s="8">
        <v>8028.5777862500008</v>
      </c>
      <c r="H129" s="8">
        <v>7911.1395719999991</v>
      </c>
      <c r="I129" s="8">
        <v>7828.2577747499981</v>
      </c>
      <c r="J129" s="8">
        <v>7887.090837499999</v>
      </c>
      <c r="K129" s="8">
        <v>7985.6825737499994</v>
      </c>
      <c r="L129" s="8">
        <v>8535.8337854999991</v>
      </c>
      <c r="M129" s="8">
        <v>9187.3932167499988</v>
      </c>
      <c r="N129" s="8">
        <v>9667.2803762499989</v>
      </c>
      <c r="O129" s="8">
        <v>10038.746215749999</v>
      </c>
      <c r="P129" s="8">
        <v>10355.296027999999</v>
      </c>
      <c r="Q129" s="8">
        <v>10320.515766749999</v>
      </c>
      <c r="R129" s="8">
        <v>10367.073312750001</v>
      </c>
      <c r="S129" s="8">
        <v>10580.13047</v>
      </c>
      <c r="T129" s="8">
        <v>10589.348239749999</v>
      </c>
      <c r="U129" s="8">
        <v>10370.154910499999</v>
      </c>
      <c r="V129" s="8">
        <v>10227.753070499999</v>
      </c>
      <c r="W129" s="8">
        <v>10633.91856625</v>
      </c>
      <c r="X129" s="8">
        <v>10680.981093999999</v>
      </c>
      <c r="Y129" s="8">
        <v>10389.638988750003</v>
      </c>
      <c r="Z129" s="8">
        <v>9920.099146999999</v>
      </c>
      <c r="AA129" s="8">
        <v>9304.9552539999986</v>
      </c>
      <c r="AB129" s="8">
        <v>8732.7053484999997</v>
      </c>
      <c r="AC129" s="8">
        <v>226039.71951224995</v>
      </c>
      <c r="AD129" s="115">
        <v>6781814.0158544993</v>
      </c>
    </row>
    <row r="130" spans="1:30" ht="15.75" thickBot="1" x14ac:dyDescent="0.3">
      <c r="B130" s="57"/>
      <c r="AD130" s="116"/>
    </row>
    <row r="131" spans="1:30" x14ac:dyDescent="0.25">
      <c r="A131" s="42"/>
      <c r="B131" s="6" t="s">
        <v>31</v>
      </c>
      <c r="C131" s="11">
        <v>22</v>
      </c>
      <c r="D131" s="122">
        <v>46722</v>
      </c>
      <c r="E131" s="8">
        <v>8427.9623958409065</v>
      </c>
      <c r="F131" s="8">
        <v>8210.193542250001</v>
      </c>
      <c r="G131" s="8">
        <v>8046.1582133863621</v>
      </c>
      <c r="H131" s="8">
        <v>7917.3122590227267</v>
      </c>
      <c r="I131" s="8">
        <v>7853.5308599999989</v>
      </c>
      <c r="J131" s="8">
        <v>7923.5572266136351</v>
      </c>
      <c r="K131" s="8">
        <v>8008.685267386365</v>
      </c>
      <c r="L131" s="8">
        <v>8546.900613681817</v>
      </c>
      <c r="M131" s="8">
        <v>9151.7931487500009</v>
      </c>
      <c r="N131" s="8">
        <v>9651.8226257727238</v>
      </c>
      <c r="O131" s="8">
        <v>10036.025985204544</v>
      </c>
      <c r="P131" s="8">
        <v>10367.034003613639</v>
      </c>
      <c r="Q131" s="8">
        <v>10356.035841136363</v>
      </c>
      <c r="R131" s="8">
        <v>10421.035893545455</v>
      </c>
      <c r="S131" s="8">
        <v>10663.074366954546</v>
      </c>
      <c r="T131" s="8">
        <v>10702.755934499997</v>
      </c>
      <c r="U131" s="8">
        <v>10519.466859681817</v>
      </c>
      <c r="V131" s="8">
        <v>10369.670862886362</v>
      </c>
      <c r="W131" s="8">
        <v>10773.99763697727</v>
      </c>
      <c r="X131" s="8">
        <v>10753.140518590908</v>
      </c>
      <c r="Y131" s="8">
        <v>10433.262778909093</v>
      </c>
      <c r="Z131" s="8">
        <v>9954.826068409091</v>
      </c>
      <c r="AA131" s="8">
        <v>9356.9676036136334</v>
      </c>
      <c r="AB131" s="8">
        <v>8828.3544677045466</v>
      </c>
      <c r="AC131" s="8">
        <v>227273.56497443173</v>
      </c>
      <c r="AD131" s="115"/>
    </row>
    <row r="132" spans="1:30" x14ac:dyDescent="0.25">
      <c r="A132" s="63"/>
      <c r="B132" s="10" t="s">
        <v>32</v>
      </c>
      <c r="C132" s="11">
        <v>4</v>
      </c>
      <c r="D132" s="119"/>
      <c r="E132" s="8">
        <v>8377.5698186250011</v>
      </c>
      <c r="F132" s="8">
        <v>8164.7268464999997</v>
      </c>
      <c r="G132" s="8">
        <v>8014.3147559999998</v>
      </c>
      <c r="H132" s="8">
        <v>7977.8631660000001</v>
      </c>
      <c r="I132" s="8">
        <v>7939.7294549999988</v>
      </c>
      <c r="J132" s="8">
        <v>7999.5005369999999</v>
      </c>
      <c r="K132" s="8">
        <v>8016.5951118749999</v>
      </c>
      <c r="L132" s="8">
        <v>8500.0212412500005</v>
      </c>
      <c r="M132" s="8">
        <v>9087.7225188749999</v>
      </c>
      <c r="N132" s="8">
        <v>9636.5680214999993</v>
      </c>
      <c r="O132" s="8">
        <v>10097.368112999999</v>
      </c>
      <c r="P132" s="8">
        <v>10410.79442025</v>
      </c>
      <c r="Q132" s="8">
        <v>10382.950268249999</v>
      </c>
      <c r="R132" s="8">
        <v>10421.497729125</v>
      </c>
      <c r="S132" s="8">
        <v>10654.662348749998</v>
      </c>
      <c r="T132" s="8">
        <v>10665.916503375</v>
      </c>
      <c r="U132" s="8">
        <v>10482.6772365</v>
      </c>
      <c r="V132" s="8">
        <v>10345.668183375001</v>
      </c>
      <c r="W132" s="8">
        <v>10731.088512375001</v>
      </c>
      <c r="X132" s="8">
        <v>10707.133631249999</v>
      </c>
      <c r="Y132" s="8">
        <v>10387.46280075</v>
      </c>
      <c r="Z132" s="8">
        <v>9994.0373662499987</v>
      </c>
      <c r="AA132" s="8">
        <v>9396.9761576249985</v>
      </c>
      <c r="AB132" s="8">
        <v>8844.1295355000002</v>
      </c>
      <c r="AC132" s="8">
        <v>227236.97427900002</v>
      </c>
      <c r="AD132" s="115"/>
    </row>
    <row r="133" spans="1:30" ht="15.75" thickBot="1" x14ac:dyDescent="0.3">
      <c r="A133" s="42"/>
      <c r="B133" s="13" t="s">
        <v>33</v>
      </c>
      <c r="C133" s="11">
        <v>5</v>
      </c>
      <c r="D133" s="123"/>
      <c r="E133" s="8">
        <v>8473.4823978000004</v>
      </c>
      <c r="F133" s="8">
        <v>8205.0551939999987</v>
      </c>
      <c r="G133" s="8">
        <v>8022.4867065000008</v>
      </c>
      <c r="H133" s="8">
        <v>7931.4130475999991</v>
      </c>
      <c r="I133" s="8">
        <v>7936.2881703000003</v>
      </c>
      <c r="J133" s="8">
        <v>7973.9957870999997</v>
      </c>
      <c r="K133" s="8">
        <v>8036.6817614999991</v>
      </c>
      <c r="L133" s="8">
        <v>8509.4947224000007</v>
      </c>
      <c r="M133" s="8">
        <v>9086.1446171999978</v>
      </c>
      <c r="N133" s="8">
        <v>9590.0489013000006</v>
      </c>
      <c r="O133" s="8">
        <v>9979.5812759999972</v>
      </c>
      <c r="P133" s="8">
        <v>10351.106797499999</v>
      </c>
      <c r="Q133" s="8">
        <v>10335.7485903</v>
      </c>
      <c r="R133" s="8">
        <v>10386.0693216</v>
      </c>
      <c r="S133" s="8">
        <v>10582.0328166</v>
      </c>
      <c r="T133" s="8">
        <v>10622.8034283</v>
      </c>
      <c r="U133" s="8">
        <v>10438.904282099998</v>
      </c>
      <c r="V133" s="8">
        <v>10344.5252253</v>
      </c>
      <c r="W133" s="8">
        <v>10803.415051799999</v>
      </c>
      <c r="X133" s="8">
        <v>10757.121870599998</v>
      </c>
      <c r="Y133" s="8">
        <v>10435.2089667</v>
      </c>
      <c r="Z133" s="8">
        <v>9985.1973080999996</v>
      </c>
      <c r="AA133" s="8">
        <v>9432.5294489999997</v>
      </c>
      <c r="AB133" s="8">
        <v>8873.3998080000001</v>
      </c>
      <c r="AC133" s="8">
        <v>227092.73549759999</v>
      </c>
      <c r="AD133" s="115">
        <v>7044430.0040414985</v>
      </c>
    </row>
    <row r="134" spans="1:30" ht="15.75" customHeight="1" thickBot="1" x14ac:dyDescent="0.3">
      <c r="A134" s="121" t="s">
        <v>36</v>
      </c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</row>
    <row r="135" spans="1:30" x14ac:dyDescent="0.25">
      <c r="A135" s="42"/>
      <c r="B135" s="6" t="s">
        <v>31</v>
      </c>
      <c r="C135" s="11">
        <v>20</v>
      </c>
      <c r="D135" s="118">
        <v>46753</v>
      </c>
      <c r="E135" s="8">
        <v>5981.1799999999976</v>
      </c>
      <c r="F135" s="8">
        <v>5981.1799999999976</v>
      </c>
      <c r="G135" s="8">
        <v>5981.1799999999976</v>
      </c>
      <c r="H135" s="8">
        <v>5981.1799999999976</v>
      </c>
      <c r="I135" s="8">
        <v>5981.1799999999976</v>
      </c>
      <c r="J135" s="8">
        <v>5981.1799999999976</v>
      </c>
      <c r="K135" s="8">
        <v>5981.1799999999976</v>
      </c>
      <c r="L135" s="8">
        <v>5981.1799999999976</v>
      </c>
      <c r="M135" s="8">
        <v>5981.1799999999976</v>
      </c>
      <c r="N135" s="8">
        <v>5981.1799999999976</v>
      </c>
      <c r="O135" s="8">
        <v>5981.1799999999976</v>
      </c>
      <c r="P135" s="8">
        <v>5981.1799999999976</v>
      </c>
      <c r="Q135" s="8">
        <v>5981.1799999999976</v>
      </c>
      <c r="R135" s="8">
        <v>5981.1799999999976</v>
      </c>
      <c r="S135" s="8">
        <v>5981.1799999999976</v>
      </c>
      <c r="T135" s="8">
        <v>5981.1799999999976</v>
      </c>
      <c r="U135" s="8">
        <v>5981.1799999999976</v>
      </c>
      <c r="V135" s="8">
        <v>5981.1799999999976</v>
      </c>
      <c r="W135" s="8">
        <v>5981.1799999999976</v>
      </c>
      <c r="X135" s="8">
        <v>5981.1799999999976</v>
      </c>
      <c r="Y135" s="8">
        <v>5981.1799999999976</v>
      </c>
      <c r="Z135" s="8">
        <v>5981.1799999999976</v>
      </c>
      <c r="AA135" s="8">
        <v>5981.1799999999976</v>
      </c>
      <c r="AB135" s="8">
        <v>5981.1799999999976</v>
      </c>
      <c r="AC135" s="8">
        <v>143548.31999999989</v>
      </c>
      <c r="AD135" s="117"/>
    </row>
    <row r="136" spans="1:30" x14ac:dyDescent="0.25">
      <c r="A136" s="64"/>
      <c r="B136" s="10" t="s">
        <v>32</v>
      </c>
      <c r="C136" s="11">
        <v>5</v>
      </c>
      <c r="D136" s="119"/>
      <c r="E136" s="8">
        <v>5981.18</v>
      </c>
      <c r="F136" s="8">
        <v>5981.18</v>
      </c>
      <c r="G136" s="8">
        <v>5981.18</v>
      </c>
      <c r="H136" s="8">
        <v>5981.18</v>
      </c>
      <c r="I136" s="8">
        <v>5981.18</v>
      </c>
      <c r="J136" s="8">
        <v>5981.18</v>
      </c>
      <c r="K136" s="8">
        <v>5981.18</v>
      </c>
      <c r="L136" s="8">
        <v>5981.18</v>
      </c>
      <c r="M136" s="8">
        <v>5981.18</v>
      </c>
      <c r="N136" s="8">
        <v>5981.18</v>
      </c>
      <c r="O136" s="8">
        <v>5981.18</v>
      </c>
      <c r="P136" s="8">
        <v>5981.18</v>
      </c>
      <c r="Q136" s="8">
        <v>5981.18</v>
      </c>
      <c r="R136" s="8">
        <v>5981.18</v>
      </c>
      <c r="S136" s="8">
        <v>5981.18</v>
      </c>
      <c r="T136" s="8">
        <v>5981.18</v>
      </c>
      <c r="U136" s="8">
        <v>5981.18</v>
      </c>
      <c r="V136" s="8">
        <v>5981.18</v>
      </c>
      <c r="W136" s="8">
        <v>5981.18</v>
      </c>
      <c r="X136" s="8">
        <v>5981.18</v>
      </c>
      <c r="Y136" s="8">
        <v>5981.18</v>
      </c>
      <c r="Z136" s="8">
        <v>5981.18</v>
      </c>
      <c r="AA136" s="8">
        <v>5981.18</v>
      </c>
      <c r="AB136" s="8">
        <v>5981.18</v>
      </c>
      <c r="AC136" s="8">
        <v>143548.31999999992</v>
      </c>
      <c r="AD136" s="117"/>
    </row>
    <row r="137" spans="1:30" ht="15.75" thickBot="1" x14ac:dyDescent="0.3">
      <c r="A137" s="42"/>
      <c r="B137" s="13" t="s">
        <v>33</v>
      </c>
      <c r="C137" s="11">
        <v>6</v>
      </c>
      <c r="D137" s="120"/>
      <c r="E137" s="8">
        <v>5981.18</v>
      </c>
      <c r="F137" s="8">
        <v>5981.18</v>
      </c>
      <c r="G137" s="8">
        <v>5981.18</v>
      </c>
      <c r="H137" s="8">
        <v>5981.18</v>
      </c>
      <c r="I137" s="8">
        <v>5981.18</v>
      </c>
      <c r="J137" s="8">
        <v>5981.18</v>
      </c>
      <c r="K137" s="8">
        <v>5981.18</v>
      </c>
      <c r="L137" s="8">
        <v>5981.18</v>
      </c>
      <c r="M137" s="8">
        <v>5981.18</v>
      </c>
      <c r="N137" s="8">
        <v>5981.18</v>
      </c>
      <c r="O137" s="8">
        <v>5981.18</v>
      </c>
      <c r="P137" s="8">
        <v>5981.18</v>
      </c>
      <c r="Q137" s="8">
        <v>5981.18</v>
      </c>
      <c r="R137" s="8">
        <v>5981.18</v>
      </c>
      <c r="S137" s="8">
        <v>5981.18</v>
      </c>
      <c r="T137" s="8">
        <v>5981.18</v>
      </c>
      <c r="U137" s="8">
        <v>5981.18</v>
      </c>
      <c r="V137" s="8">
        <v>5981.18</v>
      </c>
      <c r="W137" s="8">
        <v>5981.18</v>
      </c>
      <c r="X137" s="8">
        <v>5981.18</v>
      </c>
      <c r="Y137" s="8">
        <v>5981.18</v>
      </c>
      <c r="Z137" s="8">
        <v>5981.18</v>
      </c>
      <c r="AA137" s="8">
        <v>5981.18</v>
      </c>
      <c r="AB137" s="8">
        <v>5981.18</v>
      </c>
      <c r="AC137" s="8">
        <v>143548.31999999992</v>
      </c>
      <c r="AD137" s="113">
        <v>4449997.9199999962</v>
      </c>
    </row>
    <row r="138" spans="1:30" ht="15.75" thickBot="1" x14ac:dyDescent="0.3">
      <c r="B138" s="57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35"/>
    </row>
    <row r="139" spans="1:30" x14ac:dyDescent="0.25">
      <c r="A139" s="58"/>
      <c r="B139" s="6" t="s">
        <v>31</v>
      </c>
      <c r="C139" s="7">
        <v>21</v>
      </c>
      <c r="D139" s="118">
        <v>46784</v>
      </c>
      <c r="E139" s="8">
        <v>6393.6799999999976</v>
      </c>
      <c r="F139" s="8">
        <v>6393.6799999999976</v>
      </c>
      <c r="G139" s="8">
        <v>6393.6799999999976</v>
      </c>
      <c r="H139" s="8">
        <v>6393.6799999999976</v>
      </c>
      <c r="I139" s="8">
        <v>6393.6799999999976</v>
      </c>
      <c r="J139" s="8">
        <v>6393.6799999999976</v>
      </c>
      <c r="K139" s="8">
        <v>6393.6799999999976</v>
      </c>
      <c r="L139" s="8">
        <v>6393.6799999999976</v>
      </c>
      <c r="M139" s="8">
        <v>6393.6799999999976</v>
      </c>
      <c r="N139" s="8">
        <v>6393.6799999999976</v>
      </c>
      <c r="O139" s="8">
        <v>6393.6799999999976</v>
      </c>
      <c r="P139" s="8">
        <v>6393.6799999999976</v>
      </c>
      <c r="Q139" s="8">
        <v>6393.6799999999976</v>
      </c>
      <c r="R139" s="8">
        <v>6393.6799999999976</v>
      </c>
      <c r="S139" s="8">
        <v>6393.6799999999976</v>
      </c>
      <c r="T139" s="8">
        <v>6393.6799999999976</v>
      </c>
      <c r="U139" s="8">
        <v>6393.6799999999976</v>
      </c>
      <c r="V139" s="8">
        <v>6393.6799999999976</v>
      </c>
      <c r="W139" s="8">
        <v>6393.6799999999976</v>
      </c>
      <c r="X139" s="8">
        <v>6393.6799999999976</v>
      </c>
      <c r="Y139" s="8">
        <v>6393.6799999999976</v>
      </c>
      <c r="Z139" s="8">
        <v>6393.6799999999976</v>
      </c>
      <c r="AA139" s="8">
        <v>6393.6799999999976</v>
      </c>
      <c r="AB139" s="8">
        <v>6393.6799999999976</v>
      </c>
      <c r="AC139" s="8">
        <v>153448.31999999989</v>
      </c>
      <c r="AD139" s="113"/>
    </row>
    <row r="140" spans="1:30" x14ac:dyDescent="0.25">
      <c r="A140" s="62"/>
      <c r="B140" s="10" t="s">
        <v>32</v>
      </c>
      <c r="C140" s="11">
        <v>4</v>
      </c>
      <c r="D140" s="119"/>
      <c r="E140" s="8">
        <v>6393.6799999999994</v>
      </c>
      <c r="F140" s="8">
        <v>6393.6799999999994</v>
      </c>
      <c r="G140" s="8">
        <v>6393.6799999999994</v>
      </c>
      <c r="H140" s="8">
        <v>6393.6799999999994</v>
      </c>
      <c r="I140" s="8">
        <v>6393.6799999999994</v>
      </c>
      <c r="J140" s="8">
        <v>6393.6799999999994</v>
      </c>
      <c r="K140" s="8">
        <v>6393.6799999999994</v>
      </c>
      <c r="L140" s="8">
        <v>6393.6799999999994</v>
      </c>
      <c r="M140" s="8">
        <v>6393.6799999999994</v>
      </c>
      <c r="N140" s="8">
        <v>6393.6799999999994</v>
      </c>
      <c r="O140" s="8">
        <v>6393.6799999999994</v>
      </c>
      <c r="P140" s="8">
        <v>6393.6799999999994</v>
      </c>
      <c r="Q140" s="8">
        <v>6393.6799999999994</v>
      </c>
      <c r="R140" s="8">
        <v>6393.6799999999994</v>
      </c>
      <c r="S140" s="8">
        <v>6393.6799999999994</v>
      </c>
      <c r="T140" s="8">
        <v>6393.6799999999994</v>
      </c>
      <c r="U140" s="8">
        <v>6393.6799999999994</v>
      </c>
      <c r="V140" s="8">
        <v>6393.6799999999994</v>
      </c>
      <c r="W140" s="8">
        <v>6393.6799999999994</v>
      </c>
      <c r="X140" s="8">
        <v>6393.6799999999994</v>
      </c>
      <c r="Y140" s="8">
        <v>6393.6799999999994</v>
      </c>
      <c r="Z140" s="8">
        <v>6393.6799999999994</v>
      </c>
      <c r="AA140" s="8">
        <v>6393.6799999999994</v>
      </c>
      <c r="AB140" s="8">
        <v>6393.6799999999994</v>
      </c>
      <c r="AC140" s="8">
        <v>153448.31999999992</v>
      </c>
      <c r="AD140" s="113"/>
    </row>
    <row r="141" spans="1:30" ht="15.75" thickBot="1" x14ac:dyDescent="0.3">
      <c r="A141" s="60"/>
      <c r="B141" s="13" t="s">
        <v>33</v>
      </c>
      <c r="C141" s="14">
        <v>4</v>
      </c>
      <c r="D141" s="120"/>
      <c r="E141" s="8">
        <v>6393.6799999999994</v>
      </c>
      <c r="F141" s="8">
        <v>6393.6799999999994</v>
      </c>
      <c r="G141" s="8">
        <v>6393.6799999999994</v>
      </c>
      <c r="H141" s="8">
        <v>6393.6799999999994</v>
      </c>
      <c r="I141" s="8">
        <v>6393.6799999999994</v>
      </c>
      <c r="J141" s="8">
        <v>6393.6799999999994</v>
      </c>
      <c r="K141" s="8">
        <v>6393.6799999999994</v>
      </c>
      <c r="L141" s="8">
        <v>6393.6799999999994</v>
      </c>
      <c r="M141" s="8">
        <v>6393.6799999999994</v>
      </c>
      <c r="N141" s="8">
        <v>6393.6799999999994</v>
      </c>
      <c r="O141" s="8">
        <v>6393.6799999999994</v>
      </c>
      <c r="P141" s="8">
        <v>6393.6799999999994</v>
      </c>
      <c r="Q141" s="8">
        <v>6393.6799999999994</v>
      </c>
      <c r="R141" s="8">
        <v>6393.6799999999994</v>
      </c>
      <c r="S141" s="8">
        <v>6393.6799999999994</v>
      </c>
      <c r="T141" s="8">
        <v>6393.6799999999994</v>
      </c>
      <c r="U141" s="8">
        <v>6393.6799999999994</v>
      </c>
      <c r="V141" s="8">
        <v>6393.6799999999994</v>
      </c>
      <c r="W141" s="8">
        <v>6393.6799999999994</v>
      </c>
      <c r="X141" s="8">
        <v>6393.6799999999994</v>
      </c>
      <c r="Y141" s="8">
        <v>6393.6799999999994</v>
      </c>
      <c r="Z141" s="8">
        <v>6393.6799999999994</v>
      </c>
      <c r="AA141" s="8">
        <v>6393.6799999999994</v>
      </c>
      <c r="AB141" s="8">
        <v>6393.6799999999994</v>
      </c>
      <c r="AC141" s="8">
        <v>153448.31999999992</v>
      </c>
      <c r="AD141" s="113">
        <v>4450001.2799999975</v>
      </c>
    </row>
    <row r="142" spans="1:30" ht="15.75" thickBot="1" x14ac:dyDescent="0.3">
      <c r="B142" s="57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35"/>
    </row>
    <row r="143" spans="1:30" x14ac:dyDescent="0.25">
      <c r="A143" s="58"/>
      <c r="B143" s="6" t="s">
        <v>31</v>
      </c>
      <c r="C143" s="7">
        <v>22</v>
      </c>
      <c r="D143" s="118">
        <v>46813</v>
      </c>
      <c r="E143" s="8">
        <v>5981.1799999999967</v>
      </c>
      <c r="F143" s="8">
        <v>5981.1799999999967</v>
      </c>
      <c r="G143" s="8">
        <v>5981.1799999999967</v>
      </c>
      <c r="H143" s="8">
        <v>5981.1799999999967</v>
      </c>
      <c r="I143" s="8">
        <v>5981.1799999999967</v>
      </c>
      <c r="J143" s="8">
        <v>5981.1799999999967</v>
      </c>
      <c r="K143" s="8">
        <v>5981.1799999999967</v>
      </c>
      <c r="L143" s="8">
        <v>5981.1799999999967</v>
      </c>
      <c r="M143" s="8">
        <v>5981.1799999999967</v>
      </c>
      <c r="N143" s="8">
        <v>5981.1799999999967</v>
      </c>
      <c r="O143" s="8">
        <v>5981.1799999999967</v>
      </c>
      <c r="P143" s="8">
        <v>5981.1799999999967</v>
      </c>
      <c r="Q143" s="8">
        <v>5981.1799999999967</v>
      </c>
      <c r="R143" s="8">
        <v>5981.1799999999967</v>
      </c>
      <c r="S143" s="8">
        <v>5981.1799999999967</v>
      </c>
      <c r="T143" s="8">
        <v>5981.1799999999967</v>
      </c>
      <c r="U143" s="8">
        <v>5981.1799999999967</v>
      </c>
      <c r="V143" s="8">
        <v>5981.1799999999967</v>
      </c>
      <c r="W143" s="8">
        <v>5981.1799999999967</v>
      </c>
      <c r="X143" s="8">
        <v>5981.1799999999967</v>
      </c>
      <c r="Y143" s="8">
        <v>5981.1799999999967</v>
      </c>
      <c r="Z143" s="8">
        <v>5981.1799999999967</v>
      </c>
      <c r="AA143" s="8">
        <v>5981.1799999999967</v>
      </c>
      <c r="AB143" s="8">
        <v>5981.1799999999967</v>
      </c>
      <c r="AC143" s="8">
        <v>143548.31999999986</v>
      </c>
      <c r="AD143" s="113"/>
    </row>
    <row r="144" spans="1:30" x14ac:dyDescent="0.25">
      <c r="A144" s="62"/>
      <c r="B144" s="10" t="s">
        <v>32</v>
      </c>
      <c r="C144" s="11">
        <v>4</v>
      </c>
      <c r="D144" s="119"/>
      <c r="E144" s="8">
        <v>5981.18</v>
      </c>
      <c r="F144" s="8">
        <v>5981.18</v>
      </c>
      <c r="G144" s="8">
        <v>5981.18</v>
      </c>
      <c r="H144" s="8">
        <v>5981.18</v>
      </c>
      <c r="I144" s="8">
        <v>5981.18</v>
      </c>
      <c r="J144" s="8">
        <v>5981.18</v>
      </c>
      <c r="K144" s="8">
        <v>5981.18</v>
      </c>
      <c r="L144" s="8">
        <v>5981.18</v>
      </c>
      <c r="M144" s="8">
        <v>5981.18</v>
      </c>
      <c r="N144" s="8">
        <v>5981.18</v>
      </c>
      <c r="O144" s="8">
        <v>5981.18</v>
      </c>
      <c r="P144" s="8">
        <v>5981.18</v>
      </c>
      <c r="Q144" s="8">
        <v>5981.18</v>
      </c>
      <c r="R144" s="8">
        <v>5981.18</v>
      </c>
      <c r="S144" s="8">
        <v>5981.18</v>
      </c>
      <c r="T144" s="8">
        <v>5981.18</v>
      </c>
      <c r="U144" s="8">
        <v>5981.18</v>
      </c>
      <c r="V144" s="8">
        <v>5981.18</v>
      </c>
      <c r="W144" s="8">
        <v>5981.18</v>
      </c>
      <c r="X144" s="8">
        <v>5981.18</v>
      </c>
      <c r="Y144" s="8">
        <v>5981.18</v>
      </c>
      <c r="Z144" s="8">
        <v>5981.18</v>
      </c>
      <c r="AA144" s="8">
        <v>5981.18</v>
      </c>
      <c r="AB144" s="8">
        <v>5981.18</v>
      </c>
      <c r="AC144" s="8">
        <v>143548.31999999992</v>
      </c>
      <c r="AD144" s="113"/>
    </row>
    <row r="145" spans="1:30" ht="15.75" thickBot="1" x14ac:dyDescent="0.3">
      <c r="A145" s="60"/>
      <c r="B145" s="13" t="s">
        <v>33</v>
      </c>
      <c r="C145" s="14">
        <v>5</v>
      </c>
      <c r="D145" s="120"/>
      <c r="E145" s="8">
        <v>5981.18</v>
      </c>
      <c r="F145" s="8">
        <v>5981.18</v>
      </c>
      <c r="G145" s="8">
        <v>5981.18</v>
      </c>
      <c r="H145" s="8">
        <v>5981.18</v>
      </c>
      <c r="I145" s="8">
        <v>5981.18</v>
      </c>
      <c r="J145" s="8">
        <v>5981.18</v>
      </c>
      <c r="K145" s="8">
        <v>5981.18</v>
      </c>
      <c r="L145" s="8">
        <v>5981.18</v>
      </c>
      <c r="M145" s="8">
        <v>5981.18</v>
      </c>
      <c r="N145" s="8">
        <v>5981.18</v>
      </c>
      <c r="O145" s="8">
        <v>5981.18</v>
      </c>
      <c r="P145" s="8">
        <v>5981.18</v>
      </c>
      <c r="Q145" s="8">
        <v>5981.18</v>
      </c>
      <c r="R145" s="8">
        <v>5981.18</v>
      </c>
      <c r="S145" s="8">
        <v>5981.18</v>
      </c>
      <c r="T145" s="8">
        <v>5981.18</v>
      </c>
      <c r="U145" s="8">
        <v>5981.18</v>
      </c>
      <c r="V145" s="8">
        <v>5981.18</v>
      </c>
      <c r="W145" s="8">
        <v>5981.18</v>
      </c>
      <c r="X145" s="8">
        <v>5981.18</v>
      </c>
      <c r="Y145" s="8">
        <v>5981.18</v>
      </c>
      <c r="Z145" s="8">
        <v>5981.18</v>
      </c>
      <c r="AA145" s="8">
        <v>5981.18</v>
      </c>
      <c r="AB145" s="8">
        <v>5981.18</v>
      </c>
      <c r="AC145" s="8">
        <v>143548.31999999992</v>
      </c>
      <c r="AD145" s="113">
        <v>4449997.9199999962</v>
      </c>
    </row>
    <row r="146" spans="1:30" ht="15.75" thickBot="1" x14ac:dyDescent="0.3">
      <c r="B146" s="57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35"/>
    </row>
    <row r="147" spans="1:30" x14ac:dyDescent="0.25">
      <c r="A147" s="58"/>
      <c r="B147" s="6" t="s">
        <v>31</v>
      </c>
      <c r="C147" s="7">
        <v>18</v>
      </c>
      <c r="D147" s="118">
        <v>46844</v>
      </c>
      <c r="E147" s="8">
        <v>6180.5599999999986</v>
      </c>
      <c r="F147" s="8">
        <v>6180.5599999999986</v>
      </c>
      <c r="G147" s="8">
        <v>6180.5599999999986</v>
      </c>
      <c r="H147" s="8">
        <v>6180.5599999999986</v>
      </c>
      <c r="I147" s="8">
        <v>6180.5599999999986</v>
      </c>
      <c r="J147" s="8">
        <v>6180.5599999999986</v>
      </c>
      <c r="K147" s="8">
        <v>6180.5599999999986</v>
      </c>
      <c r="L147" s="8">
        <v>6180.5599999999986</v>
      </c>
      <c r="M147" s="8">
        <v>6180.5599999999986</v>
      </c>
      <c r="N147" s="8">
        <v>6180.5599999999986</v>
      </c>
      <c r="O147" s="8">
        <v>6180.5599999999986</v>
      </c>
      <c r="P147" s="8">
        <v>6180.5599999999986</v>
      </c>
      <c r="Q147" s="8">
        <v>6180.5599999999986</v>
      </c>
      <c r="R147" s="8">
        <v>6180.5599999999986</v>
      </c>
      <c r="S147" s="8">
        <v>6180.5599999999986</v>
      </c>
      <c r="T147" s="8">
        <v>6180.5599999999986</v>
      </c>
      <c r="U147" s="8">
        <v>6180.5599999999986</v>
      </c>
      <c r="V147" s="8">
        <v>6180.5599999999986</v>
      </c>
      <c r="W147" s="8">
        <v>6180.5599999999986</v>
      </c>
      <c r="X147" s="8">
        <v>6180.5599999999986</v>
      </c>
      <c r="Y147" s="8">
        <v>6180.5599999999986</v>
      </c>
      <c r="Z147" s="8">
        <v>6180.5599999999986</v>
      </c>
      <c r="AA147" s="8">
        <v>6180.5599999999986</v>
      </c>
      <c r="AB147" s="8">
        <v>6180.5599999999986</v>
      </c>
      <c r="AC147" s="8">
        <v>148333.43999999997</v>
      </c>
      <c r="AD147" s="113"/>
    </row>
    <row r="148" spans="1:30" x14ac:dyDescent="0.25">
      <c r="A148" s="62"/>
      <c r="B148" s="10" t="s">
        <v>32</v>
      </c>
      <c r="C148" s="11">
        <v>5</v>
      </c>
      <c r="D148" s="119"/>
      <c r="E148" s="8">
        <v>6180.5599999999995</v>
      </c>
      <c r="F148" s="8">
        <v>6180.5599999999995</v>
      </c>
      <c r="G148" s="8">
        <v>6180.5599999999995</v>
      </c>
      <c r="H148" s="8">
        <v>6180.5599999999995</v>
      </c>
      <c r="I148" s="8">
        <v>6180.5599999999995</v>
      </c>
      <c r="J148" s="8">
        <v>6180.5599999999995</v>
      </c>
      <c r="K148" s="8">
        <v>6180.5599999999995</v>
      </c>
      <c r="L148" s="8">
        <v>6180.5599999999995</v>
      </c>
      <c r="M148" s="8">
        <v>6180.5599999999995</v>
      </c>
      <c r="N148" s="8">
        <v>6180.5599999999995</v>
      </c>
      <c r="O148" s="8">
        <v>6180.5599999999995</v>
      </c>
      <c r="P148" s="8">
        <v>6180.5599999999995</v>
      </c>
      <c r="Q148" s="8">
        <v>6180.5599999999995</v>
      </c>
      <c r="R148" s="8">
        <v>6180.5599999999995</v>
      </c>
      <c r="S148" s="8">
        <v>6180.5599999999995</v>
      </c>
      <c r="T148" s="8">
        <v>6180.5599999999995</v>
      </c>
      <c r="U148" s="8">
        <v>6180.5599999999995</v>
      </c>
      <c r="V148" s="8">
        <v>6180.5599999999995</v>
      </c>
      <c r="W148" s="8">
        <v>6180.5599999999995</v>
      </c>
      <c r="X148" s="8">
        <v>6180.5599999999995</v>
      </c>
      <c r="Y148" s="8">
        <v>6180.5599999999995</v>
      </c>
      <c r="Z148" s="8">
        <v>6180.5599999999995</v>
      </c>
      <c r="AA148" s="8">
        <v>6180.5599999999995</v>
      </c>
      <c r="AB148" s="8">
        <v>6180.5599999999995</v>
      </c>
      <c r="AC148" s="8">
        <v>148333.43999999997</v>
      </c>
      <c r="AD148" s="113"/>
    </row>
    <row r="149" spans="1:30" ht="15.75" thickBot="1" x14ac:dyDescent="0.3">
      <c r="A149" s="60"/>
      <c r="B149" s="13" t="s">
        <v>33</v>
      </c>
      <c r="C149" s="14">
        <v>7</v>
      </c>
      <c r="D149" s="120"/>
      <c r="E149" s="8">
        <v>6180.5599999999995</v>
      </c>
      <c r="F149" s="8">
        <v>6180.5599999999995</v>
      </c>
      <c r="G149" s="8">
        <v>6180.5599999999995</v>
      </c>
      <c r="H149" s="8">
        <v>6180.5599999999995</v>
      </c>
      <c r="I149" s="8">
        <v>6180.5599999999995</v>
      </c>
      <c r="J149" s="8">
        <v>6180.5599999999995</v>
      </c>
      <c r="K149" s="8">
        <v>6180.5599999999995</v>
      </c>
      <c r="L149" s="8">
        <v>6180.5599999999995</v>
      </c>
      <c r="M149" s="8">
        <v>6180.5599999999995</v>
      </c>
      <c r="N149" s="8">
        <v>6180.5599999999995</v>
      </c>
      <c r="O149" s="8">
        <v>6180.5599999999995</v>
      </c>
      <c r="P149" s="8">
        <v>6180.5599999999995</v>
      </c>
      <c r="Q149" s="8">
        <v>6180.5599999999995</v>
      </c>
      <c r="R149" s="8">
        <v>6180.5599999999995</v>
      </c>
      <c r="S149" s="8">
        <v>6180.5599999999995</v>
      </c>
      <c r="T149" s="8">
        <v>6180.5599999999995</v>
      </c>
      <c r="U149" s="8">
        <v>6180.5599999999995</v>
      </c>
      <c r="V149" s="8">
        <v>6180.5599999999995</v>
      </c>
      <c r="W149" s="8">
        <v>6180.5599999999995</v>
      </c>
      <c r="X149" s="8">
        <v>6180.5599999999995</v>
      </c>
      <c r="Y149" s="8">
        <v>6180.5599999999995</v>
      </c>
      <c r="Z149" s="8">
        <v>6180.5599999999995</v>
      </c>
      <c r="AA149" s="8">
        <v>6180.5599999999995</v>
      </c>
      <c r="AB149" s="8">
        <v>6180.5599999999995</v>
      </c>
      <c r="AC149" s="8">
        <v>148333.43999999997</v>
      </c>
      <c r="AD149" s="113">
        <v>4450003.1999999993</v>
      </c>
    </row>
    <row r="150" spans="1:30" ht="15.75" thickBot="1" x14ac:dyDescent="0.3">
      <c r="B150" s="57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35"/>
    </row>
    <row r="151" spans="1:30" x14ac:dyDescent="0.25">
      <c r="A151" s="58"/>
      <c r="B151" s="6" t="s">
        <v>31</v>
      </c>
      <c r="C151" s="7">
        <v>21</v>
      </c>
      <c r="D151" s="118">
        <v>46874</v>
      </c>
      <c r="E151" s="8">
        <v>8803.76</v>
      </c>
      <c r="F151" s="8">
        <v>8803.76</v>
      </c>
      <c r="G151" s="8">
        <v>8803.76</v>
      </c>
      <c r="H151" s="8">
        <v>8803.76</v>
      </c>
      <c r="I151" s="8">
        <v>8803.76</v>
      </c>
      <c r="J151" s="8">
        <v>8803.76</v>
      </c>
      <c r="K151" s="8">
        <v>8803.76</v>
      </c>
      <c r="L151" s="8">
        <v>8803.76</v>
      </c>
      <c r="M151" s="8">
        <v>8803.76</v>
      </c>
      <c r="N151" s="8">
        <v>8803.76</v>
      </c>
      <c r="O151" s="8">
        <v>8803.76</v>
      </c>
      <c r="P151" s="8">
        <v>8803.76</v>
      </c>
      <c r="Q151" s="8">
        <v>8803.76</v>
      </c>
      <c r="R151" s="8">
        <v>8803.76</v>
      </c>
      <c r="S151" s="8">
        <v>8803.76</v>
      </c>
      <c r="T151" s="8">
        <v>8803.76</v>
      </c>
      <c r="U151" s="8">
        <v>8803.76</v>
      </c>
      <c r="V151" s="8">
        <v>8803.76</v>
      </c>
      <c r="W151" s="8">
        <v>8803.76</v>
      </c>
      <c r="X151" s="8">
        <v>8803.76</v>
      </c>
      <c r="Y151" s="8">
        <v>8803.76</v>
      </c>
      <c r="Z151" s="8">
        <v>8803.76</v>
      </c>
      <c r="AA151" s="8">
        <v>8803.76</v>
      </c>
      <c r="AB151" s="8">
        <v>8803.76</v>
      </c>
      <c r="AC151" s="8">
        <v>211290.24000000005</v>
      </c>
      <c r="AD151" s="113"/>
    </row>
    <row r="152" spans="1:30" x14ac:dyDescent="0.25">
      <c r="A152" s="62"/>
      <c r="B152" s="10" t="s">
        <v>32</v>
      </c>
      <c r="C152" s="11">
        <v>4</v>
      </c>
      <c r="D152" s="119"/>
      <c r="E152" s="8">
        <v>8803.76</v>
      </c>
      <c r="F152" s="8">
        <v>8803.76</v>
      </c>
      <c r="G152" s="8">
        <v>8803.76</v>
      </c>
      <c r="H152" s="8">
        <v>8803.76</v>
      </c>
      <c r="I152" s="8">
        <v>8803.76</v>
      </c>
      <c r="J152" s="8">
        <v>8803.76</v>
      </c>
      <c r="K152" s="8">
        <v>8803.76</v>
      </c>
      <c r="L152" s="8">
        <v>8803.76</v>
      </c>
      <c r="M152" s="8">
        <v>8803.76</v>
      </c>
      <c r="N152" s="8">
        <v>8803.76</v>
      </c>
      <c r="O152" s="8">
        <v>8803.76</v>
      </c>
      <c r="P152" s="8">
        <v>8803.76</v>
      </c>
      <c r="Q152" s="8">
        <v>8803.76</v>
      </c>
      <c r="R152" s="8">
        <v>8803.76</v>
      </c>
      <c r="S152" s="8">
        <v>8803.76</v>
      </c>
      <c r="T152" s="8">
        <v>8803.76</v>
      </c>
      <c r="U152" s="8">
        <v>8803.76</v>
      </c>
      <c r="V152" s="8">
        <v>8803.76</v>
      </c>
      <c r="W152" s="8">
        <v>8803.76</v>
      </c>
      <c r="X152" s="8">
        <v>8803.76</v>
      </c>
      <c r="Y152" s="8">
        <v>8803.76</v>
      </c>
      <c r="Z152" s="8">
        <v>8803.76</v>
      </c>
      <c r="AA152" s="8">
        <v>8803.76</v>
      </c>
      <c r="AB152" s="8">
        <v>8803.76</v>
      </c>
      <c r="AC152" s="8">
        <v>211290.24000000005</v>
      </c>
      <c r="AD152" s="113"/>
    </row>
    <row r="153" spans="1:30" ht="15.75" thickBot="1" x14ac:dyDescent="0.3">
      <c r="A153" s="60"/>
      <c r="B153" s="13" t="s">
        <v>33</v>
      </c>
      <c r="C153" s="14">
        <v>6</v>
      </c>
      <c r="D153" s="120"/>
      <c r="E153" s="8">
        <v>8803.76</v>
      </c>
      <c r="F153" s="8">
        <v>8803.76</v>
      </c>
      <c r="G153" s="8">
        <v>8803.76</v>
      </c>
      <c r="H153" s="8">
        <v>8803.76</v>
      </c>
      <c r="I153" s="8">
        <v>8803.76</v>
      </c>
      <c r="J153" s="8">
        <v>8803.76</v>
      </c>
      <c r="K153" s="8">
        <v>8803.76</v>
      </c>
      <c r="L153" s="8">
        <v>8803.76</v>
      </c>
      <c r="M153" s="8">
        <v>8803.76</v>
      </c>
      <c r="N153" s="8">
        <v>8803.76</v>
      </c>
      <c r="O153" s="8">
        <v>8803.76</v>
      </c>
      <c r="P153" s="8">
        <v>8803.76</v>
      </c>
      <c r="Q153" s="8">
        <v>8803.76</v>
      </c>
      <c r="R153" s="8">
        <v>8803.76</v>
      </c>
      <c r="S153" s="8">
        <v>8803.76</v>
      </c>
      <c r="T153" s="8">
        <v>8803.76</v>
      </c>
      <c r="U153" s="8">
        <v>8803.76</v>
      </c>
      <c r="V153" s="8">
        <v>8803.76</v>
      </c>
      <c r="W153" s="8">
        <v>8803.76</v>
      </c>
      <c r="X153" s="8">
        <v>8803.76</v>
      </c>
      <c r="Y153" s="8">
        <v>8803.76</v>
      </c>
      <c r="Z153" s="8">
        <v>8803.76</v>
      </c>
      <c r="AA153" s="8">
        <v>8803.76</v>
      </c>
      <c r="AB153" s="8">
        <v>8803.76</v>
      </c>
      <c r="AC153" s="8">
        <v>211290.24000000005</v>
      </c>
      <c r="AD153" s="113">
        <v>6549997.4400000013</v>
      </c>
    </row>
    <row r="154" spans="1:30" ht="15.75" thickBot="1" x14ac:dyDescent="0.3">
      <c r="B154" s="57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35"/>
    </row>
    <row r="155" spans="1:30" x14ac:dyDescent="0.25">
      <c r="A155" s="58"/>
      <c r="B155" s="6" t="s">
        <v>31</v>
      </c>
      <c r="C155" s="7">
        <v>20</v>
      </c>
      <c r="D155" s="118">
        <v>46905</v>
      </c>
      <c r="E155" s="8">
        <v>13263.880000000001</v>
      </c>
      <c r="F155" s="8">
        <v>13263.880000000001</v>
      </c>
      <c r="G155" s="8">
        <v>13263.880000000001</v>
      </c>
      <c r="H155" s="8">
        <v>13263.880000000001</v>
      </c>
      <c r="I155" s="8">
        <v>13263.880000000001</v>
      </c>
      <c r="J155" s="8">
        <v>13263.880000000001</v>
      </c>
      <c r="K155" s="8">
        <v>13263.880000000001</v>
      </c>
      <c r="L155" s="8">
        <v>13263.880000000001</v>
      </c>
      <c r="M155" s="8">
        <v>13263.880000000001</v>
      </c>
      <c r="N155" s="8">
        <v>13263.880000000001</v>
      </c>
      <c r="O155" s="8">
        <v>13263.880000000001</v>
      </c>
      <c r="P155" s="8">
        <v>13263.880000000001</v>
      </c>
      <c r="Q155" s="8">
        <v>13263.880000000001</v>
      </c>
      <c r="R155" s="8">
        <v>13263.880000000001</v>
      </c>
      <c r="S155" s="8">
        <v>13263.880000000001</v>
      </c>
      <c r="T155" s="8">
        <v>13263.880000000001</v>
      </c>
      <c r="U155" s="8">
        <v>13263.880000000001</v>
      </c>
      <c r="V155" s="8">
        <v>13263.880000000001</v>
      </c>
      <c r="W155" s="8">
        <v>13263.880000000001</v>
      </c>
      <c r="X155" s="8">
        <v>13263.880000000001</v>
      </c>
      <c r="Y155" s="8">
        <v>13263.880000000001</v>
      </c>
      <c r="Z155" s="8">
        <v>13263.880000000001</v>
      </c>
      <c r="AA155" s="8">
        <v>13263.880000000001</v>
      </c>
      <c r="AB155" s="8">
        <v>13263.880000000001</v>
      </c>
      <c r="AC155" s="8">
        <v>318333.12000000005</v>
      </c>
      <c r="AD155" s="113"/>
    </row>
    <row r="156" spans="1:30" x14ac:dyDescent="0.25">
      <c r="A156" s="62"/>
      <c r="B156" s="10" t="s">
        <v>32</v>
      </c>
      <c r="C156" s="11">
        <v>4</v>
      </c>
      <c r="D156" s="119"/>
      <c r="E156" s="8">
        <v>13263.879999999997</v>
      </c>
      <c r="F156" s="8">
        <v>13263.879999999997</v>
      </c>
      <c r="G156" s="8">
        <v>13263.879999999997</v>
      </c>
      <c r="H156" s="8">
        <v>13263.879999999997</v>
      </c>
      <c r="I156" s="8">
        <v>13263.879999999997</v>
      </c>
      <c r="J156" s="8">
        <v>13263.879999999997</v>
      </c>
      <c r="K156" s="8">
        <v>13263.879999999997</v>
      </c>
      <c r="L156" s="8">
        <v>13263.879999999997</v>
      </c>
      <c r="M156" s="8">
        <v>13263.879999999997</v>
      </c>
      <c r="N156" s="8">
        <v>13263.879999999997</v>
      </c>
      <c r="O156" s="8">
        <v>13263.879999999997</v>
      </c>
      <c r="P156" s="8">
        <v>13263.879999999997</v>
      </c>
      <c r="Q156" s="8">
        <v>13263.879999999997</v>
      </c>
      <c r="R156" s="8">
        <v>13263.879999999997</v>
      </c>
      <c r="S156" s="8">
        <v>13263.879999999997</v>
      </c>
      <c r="T156" s="8">
        <v>13263.879999999997</v>
      </c>
      <c r="U156" s="8">
        <v>13263.879999999997</v>
      </c>
      <c r="V156" s="8">
        <v>13263.879999999997</v>
      </c>
      <c r="W156" s="8">
        <v>13263.879999999997</v>
      </c>
      <c r="X156" s="8">
        <v>13263.879999999997</v>
      </c>
      <c r="Y156" s="8">
        <v>13263.879999999997</v>
      </c>
      <c r="Z156" s="8">
        <v>13263.879999999997</v>
      </c>
      <c r="AA156" s="8">
        <v>13263.879999999997</v>
      </c>
      <c r="AB156" s="8">
        <v>13263.879999999997</v>
      </c>
      <c r="AC156" s="8">
        <v>318333.12000000005</v>
      </c>
      <c r="AD156" s="113"/>
    </row>
    <row r="157" spans="1:30" ht="15.75" thickBot="1" x14ac:dyDescent="0.3">
      <c r="A157" s="60"/>
      <c r="B157" s="13" t="s">
        <v>33</v>
      </c>
      <c r="C157" s="14">
        <v>6</v>
      </c>
      <c r="D157" s="120"/>
      <c r="E157" s="8">
        <v>13263.879999999997</v>
      </c>
      <c r="F157" s="8">
        <v>13263.879999999997</v>
      </c>
      <c r="G157" s="8">
        <v>13263.879999999997</v>
      </c>
      <c r="H157" s="8">
        <v>13263.879999999997</v>
      </c>
      <c r="I157" s="8">
        <v>13263.879999999997</v>
      </c>
      <c r="J157" s="8">
        <v>13263.879999999997</v>
      </c>
      <c r="K157" s="8">
        <v>13263.879999999997</v>
      </c>
      <c r="L157" s="8">
        <v>13263.879999999997</v>
      </c>
      <c r="M157" s="8">
        <v>13263.879999999997</v>
      </c>
      <c r="N157" s="8">
        <v>13263.879999999997</v>
      </c>
      <c r="O157" s="8">
        <v>13263.879999999997</v>
      </c>
      <c r="P157" s="8">
        <v>13263.879999999997</v>
      </c>
      <c r="Q157" s="8">
        <v>13263.879999999997</v>
      </c>
      <c r="R157" s="8">
        <v>13263.879999999997</v>
      </c>
      <c r="S157" s="8">
        <v>13263.879999999997</v>
      </c>
      <c r="T157" s="8">
        <v>13263.879999999997</v>
      </c>
      <c r="U157" s="8">
        <v>13263.879999999997</v>
      </c>
      <c r="V157" s="8">
        <v>13263.879999999997</v>
      </c>
      <c r="W157" s="8">
        <v>13263.879999999997</v>
      </c>
      <c r="X157" s="8">
        <v>13263.879999999997</v>
      </c>
      <c r="Y157" s="8">
        <v>13263.879999999997</v>
      </c>
      <c r="Z157" s="8">
        <v>13263.879999999997</v>
      </c>
      <c r="AA157" s="8">
        <v>13263.879999999997</v>
      </c>
      <c r="AB157" s="8">
        <v>13263.879999999997</v>
      </c>
      <c r="AC157" s="8">
        <v>318333.12000000005</v>
      </c>
      <c r="AD157" s="113">
        <v>9549993.6000000015</v>
      </c>
    </row>
    <row r="158" spans="1:30" ht="15.75" thickBot="1" x14ac:dyDescent="0.3">
      <c r="B158" s="57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35"/>
    </row>
    <row r="159" spans="1:30" x14ac:dyDescent="0.25">
      <c r="A159" s="58"/>
      <c r="B159" s="6" t="s">
        <v>31</v>
      </c>
      <c r="C159" s="7">
        <v>19</v>
      </c>
      <c r="D159" s="118">
        <v>46935</v>
      </c>
      <c r="E159" s="8">
        <v>8803.76</v>
      </c>
      <c r="F159" s="8">
        <v>8803.76</v>
      </c>
      <c r="G159" s="8">
        <v>8803.76</v>
      </c>
      <c r="H159" s="8">
        <v>8803.76</v>
      </c>
      <c r="I159" s="8">
        <v>8803.76</v>
      </c>
      <c r="J159" s="8">
        <v>8803.76</v>
      </c>
      <c r="K159" s="8">
        <v>8803.76</v>
      </c>
      <c r="L159" s="8">
        <v>8803.76</v>
      </c>
      <c r="M159" s="8">
        <v>8803.76</v>
      </c>
      <c r="N159" s="8">
        <v>8803.76</v>
      </c>
      <c r="O159" s="8">
        <v>8803.76</v>
      </c>
      <c r="P159" s="8">
        <v>8803.76</v>
      </c>
      <c r="Q159" s="8">
        <v>8803.76</v>
      </c>
      <c r="R159" s="8">
        <v>8803.76</v>
      </c>
      <c r="S159" s="8">
        <v>8803.76</v>
      </c>
      <c r="T159" s="8">
        <v>8803.76</v>
      </c>
      <c r="U159" s="8">
        <v>8803.76</v>
      </c>
      <c r="V159" s="8">
        <v>8803.76</v>
      </c>
      <c r="W159" s="8">
        <v>8803.76</v>
      </c>
      <c r="X159" s="8">
        <v>8803.76</v>
      </c>
      <c r="Y159" s="8">
        <v>8803.76</v>
      </c>
      <c r="Z159" s="8">
        <v>8803.76</v>
      </c>
      <c r="AA159" s="8">
        <v>8803.76</v>
      </c>
      <c r="AB159" s="8">
        <v>8803.76</v>
      </c>
      <c r="AC159" s="8">
        <v>211290.24000000005</v>
      </c>
      <c r="AD159" s="113"/>
    </row>
    <row r="160" spans="1:30" x14ac:dyDescent="0.25">
      <c r="A160" s="62"/>
      <c r="B160" s="10" t="s">
        <v>32</v>
      </c>
      <c r="C160" s="11">
        <v>5</v>
      </c>
      <c r="D160" s="119"/>
      <c r="E160" s="8">
        <v>8803.76</v>
      </c>
      <c r="F160" s="8">
        <v>8803.76</v>
      </c>
      <c r="G160" s="8">
        <v>8803.76</v>
      </c>
      <c r="H160" s="8">
        <v>8803.76</v>
      </c>
      <c r="I160" s="8">
        <v>8803.76</v>
      </c>
      <c r="J160" s="8">
        <v>8803.76</v>
      </c>
      <c r="K160" s="8">
        <v>8803.76</v>
      </c>
      <c r="L160" s="8">
        <v>8803.76</v>
      </c>
      <c r="M160" s="8">
        <v>8803.76</v>
      </c>
      <c r="N160" s="8">
        <v>8803.76</v>
      </c>
      <c r="O160" s="8">
        <v>8803.76</v>
      </c>
      <c r="P160" s="8">
        <v>8803.76</v>
      </c>
      <c r="Q160" s="8">
        <v>8803.76</v>
      </c>
      <c r="R160" s="8">
        <v>8803.76</v>
      </c>
      <c r="S160" s="8">
        <v>8803.76</v>
      </c>
      <c r="T160" s="8">
        <v>8803.76</v>
      </c>
      <c r="U160" s="8">
        <v>8803.76</v>
      </c>
      <c r="V160" s="8">
        <v>8803.76</v>
      </c>
      <c r="W160" s="8">
        <v>8803.76</v>
      </c>
      <c r="X160" s="8">
        <v>8803.76</v>
      </c>
      <c r="Y160" s="8">
        <v>8803.76</v>
      </c>
      <c r="Z160" s="8">
        <v>8803.76</v>
      </c>
      <c r="AA160" s="8">
        <v>8803.76</v>
      </c>
      <c r="AB160" s="8">
        <v>8803.76</v>
      </c>
      <c r="AC160" s="8">
        <v>211290.24000000005</v>
      </c>
      <c r="AD160" s="113"/>
    </row>
    <row r="161" spans="1:30" ht="15.75" thickBot="1" x14ac:dyDescent="0.3">
      <c r="A161" s="60"/>
      <c r="B161" s="13" t="s">
        <v>33</v>
      </c>
      <c r="C161" s="14">
        <v>7</v>
      </c>
      <c r="D161" s="120"/>
      <c r="E161" s="8">
        <v>8803.76</v>
      </c>
      <c r="F161" s="8">
        <v>8803.76</v>
      </c>
      <c r="G161" s="8">
        <v>8803.76</v>
      </c>
      <c r="H161" s="8">
        <v>8803.76</v>
      </c>
      <c r="I161" s="8">
        <v>8803.76</v>
      </c>
      <c r="J161" s="8">
        <v>8803.76</v>
      </c>
      <c r="K161" s="8">
        <v>8803.76</v>
      </c>
      <c r="L161" s="8">
        <v>8803.76</v>
      </c>
      <c r="M161" s="8">
        <v>8803.76</v>
      </c>
      <c r="N161" s="8">
        <v>8803.76</v>
      </c>
      <c r="O161" s="8">
        <v>8803.76</v>
      </c>
      <c r="P161" s="8">
        <v>8803.76</v>
      </c>
      <c r="Q161" s="8">
        <v>8803.76</v>
      </c>
      <c r="R161" s="8">
        <v>8803.76</v>
      </c>
      <c r="S161" s="8">
        <v>8803.76</v>
      </c>
      <c r="T161" s="8">
        <v>8803.76</v>
      </c>
      <c r="U161" s="8">
        <v>8803.76</v>
      </c>
      <c r="V161" s="8">
        <v>8803.76</v>
      </c>
      <c r="W161" s="8">
        <v>8803.76</v>
      </c>
      <c r="X161" s="8">
        <v>8803.76</v>
      </c>
      <c r="Y161" s="8">
        <v>8803.76</v>
      </c>
      <c r="Z161" s="8">
        <v>8803.76</v>
      </c>
      <c r="AA161" s="8">
        <v>8803.76</v>
      </c>
      <c r="AB161" s="8">
        <v>8803.76</v>
      </c>
      <c r="AC161" s="8">
        <v>211290.24000000005</v>
      </c>
      <c r="AD161" s="113">
        <v>6549997.4400000023</v>
      </c>
    </row>
    <row r="162" spans="1:30" ht="15.75" thickBot="1" x14ac:dyDescent="0.3">
      <c r="B162" s="57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35"/>
    </row>
    <row r="163" spans="1:30" x14ac:dyDescent="0.25">
      <c r="A163" s="58"/>
      <c r="B163" s="6" t="s">
        <v>31</v>
      </c>
      <c r="C163" s="7">
        <v>21</v>
      </c>
      <c r="D163" s="118">
        <v>46966</v>
      </c>
      <c r="E163" s="8">
        <v>6000</v>
      </c>
      <c r="F163" s="8">
        <v>6000</v>
      </c>
      <c r="G163" s="8">
        <v>6000</v>
      </c>
      <c r="H163" s="8">
        <v>6000</v>
      </c>
      <c r="I163" s="8">
        <v>6000</v>
      </c>
      <c r="J163" s="8">
        <v>6000</v>
      </c>
      <c r="K163" s="8">
        <v>6000</v>
      </c>
      <c r="L163" s="8">
        <v>6000</v>
      </c>
      <c r="M163" s="8">
        <v>6000</v>
      </c>
      <c r="N163" s="8">
        <v>6000</v>
      </c>
      <c r="O163" s="8">
        <v>6000</v>
      </c>
      <c r="P163" s="8">
        <v>6000</v>
      </c>
      <c r="Q163" s="8">
        <v>6000</v>
      </c>
      <c r="R163" s="8">
        <v>6000</v>
      </c>
      <c r="S163" s="8">
        <v>6000</v>
      </c>
      <c r="T163" s="8">
        <v>6000</v>
      </c>
      <c r="U163" s="8">
        <v>6000</v>
      </c>
      <c r="V163" s="8">
        <v>6000</v>
      </c>
      <c r="W163" s="8">
        <v>6000</v>
      </c>
      <c r="X163" s="8">
        <v>6000</v>
      </c>
      <c r="Y163" s="8">
        <v>6000</v>
      </c>
      <c r="Z163" s="8">
        <v>6000</v>
      </c>
      <c r="AA163" s="8">
        <v>6000</v>
      </c>
      <c r="AB163" s="8">
        <v>6000</v>
      </c>
      <c r="AC163" s="8">
        <v>144000</v>
      </c>
      <c r="AD163" s="113"/>
    </row>
    <row r="164" spans="1:30" x14ac:dyDescent="0.25">
      <c r="A164" s="65"/>
      <c r="B164" s="10" t="s">
        <v>32</v>
      </c>
      <c r="C164" s="11">
        <v>4</v>
      </c>
      <c r="D164" s="119"/>
      <c r="E164" s="8">
        <v>6000</v>
      </c>
      <c r="F164" s="8">
        <v>6000</v>
      </c>
      <c r="G164" s="8">
        <v>6000</v>
      </c>
      <c r="H164" s="8">
        <v>6000</v>
      </c>
      <c r="I164" s="8">
        <v>6000</v>
      </c>
      <c r="J164" s="8">
        <v>6000</v>
      </c>
      <c r="K164" s="8">
        <v>6000</v>
      </c>
      <c r="L164" s="8">
        <v>6000</v>
      </c>
      <c r="M164" s="8">
        <v>6000</v>
      </c>
      <c r="N164" s="8">
        <v>6000</v>
      </c>
      <c r="O164" s="8">
        <v>6000</v>
      </c>
      <c r="P164" s="8">
        <v>6000</v>
      </c>
      <c r="Q164" s="8">
        <v>6000</v>
      </c>
      <c r="R164" s="8">
        <v>6000</v>
      </c>
      <c r="S164" s="8">
        <v>6000</v>
      </c>
      <c r="T164" s="8">
        <v>6000</v>
      </c>
      <c r="U164" s="8">
        <v>6000</v>
      </c>
      <c r="V164" s="8">
        <v>6000</v>
      </c>
      <c r="W164" s="8">
        <v>6000</v>
      </c>
      <c r="X164" s="8">
        <v>6000</v>
      </c>
      <c r="Y164" s="8">
        <v>6000</v>
      </c>
      <c r="Z164" s="8">
        <v>6000</v>
      </c>
      <c r="AA164" s="8">
        <v>6000</v>
      </c>
      <c r="AB164" s="8">
        <v>6000</v>
      </c>
      <c r="AC164" s="8">
        <v>144000</v>
      </c>
      <c r="AD164" s="113"/>
    </row>
    <row r="165" spans="1:30" ht="15.75" thickBot="1" x14ac:dyDescent="0.3">
      <c r="A165" s="60"/>
      <c r="B165" s="13" t="s">
        <v>33</v>
      </c>
      <c r="C165" s="14">
        <v>6</v>
      </c>
      <c r="D165" s="120"/>
      <c r="E165" s="8">
        <v>6000</v>
      </c>
      <c r="F165" s="8">
        <v>6000</v>
      </c>
      <c r="G165" s="8">
        <v>6000</v>
      </c>
      <c r="H165" s="8">
        <v>6000</v>
      </c>
      <c r="I165" s="8">
        <v>6000</v>
      </c>
      <c r="J165" s="8">
        <v>6000</v>
      </c>
      <c r="K165" s="8">
        <v>6000</v>
      </c>
      <c r="L165" s="8">
        <v>6000</v>
      </c>
      <c r="M165" s="8">
        <v>6000</v>
      </c>
      <c r="N165" s="8">
        <v>6000</v>
      </c>
      <c r="O165" s="8">
        <v>6000</v>
      </c>
      <c r="P165" s="8">
        <v>6000</v>
      </c>
      <c r="Q165" s="8">
        <v>6000</v>
      </c>
      <c r="R165" s="8">
        <v>6000</v>
      </c>
      <c r="S165" s="8">
        <v>6000</v>
      </c>
      <c r="T165" s="8">
        <v>6000</v>
      </c>
      <c r="U165" s="8">
        <v>6000</v>
      </c>
      <c r="V165" s="8">
        <v>6000</v>
      </c>
      <c r="W165" s="8">
        <v>6000</v>
      </c>
      <c r="X165" s="8">
        <v>6000</v>
      </c>
      <c r="Y165" s="8">
        <v>6000</v>
      </c>
      <c r="Z165" s="8">
        <v>6000</v>
      </c>
      <c r="AA165" s="8">
        <v>6000</v>
      </c>
      <c r="AB165" s="8">
        <v>6000</v>
      </c>
      <c r="AC165" s="8">
        <v>144000</v>
      </c>
      <c r="AD165" s="113">
        <v>4464000</v>
      </c>
    </row>
    <row r="166" spans="1:30" ht="15.75" thickBot="1" x14ac:dyDescent="0.3">
      <c r="B166" s="57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35"/>
    </row>
    <row r="167" spans="1:30" x14ac:dyDescent="0.25">
      <c r="A167" s="58"/>
      <c r="B167" s="6" t="s">
        <v>31</v>
      </c>
      <c r="C167" s="7">
        <v>21</v>
      </c>
      <c r="D167" s="118">
        <v>46997</v>
      </c>
      <c r="E167" s="8">
        <v>13263.880000000001</v>
      </c>
      <c r="F167" s="8">
        <v>13263.880000000001</v>
      </c>
      <c r="G167" s="8">
        <v>13263.880000000001</v>
      </c>
      <c r="H167" s="8">
        <v>13263.880000000001</v>
      </c>
      <c r="I167" s="8">
        <v>13263.880000000001</v>
      </c>
      <c r="J167" s="8">
        <v>13263.880000000001</v>
      </c>
      <c r="K167" s="8">
        <v>13263.880000000001</v>
      </c>
      <c r="L167" s="8">
        <v>13263.880000000001</v>
      </c>
      <c r="M167" s="8">
        <v>13263.880000000001</v>
      </c>
      <c r="N167" s="8">
        <v>13263.880000000001</v>
      </c>
      <c r="O167" s="8">
        <v>13263.880000000001</v>
      </c>
      <c r="P167" s="8">
        <v>13263.880000000001</v>
      </c>
      <c r="Q167" s="8">
        <v>13263.880000000001</v>
      </c>
      <c r="R167" s="8">
        <v>13263.880000000001</v>
      </c>
      <c r="S167" s="8">
        <v>13263.880000000001</v>
      </c>
      <c r="T167" s="8">
        <v>13263.880000000001</v>
      </c>
      <c r="U167" s="8">
        <v>13263.880000000001</v>
      </c>
      <c r="V167" s="8">
        <v>13263.880000000001</v>
      </c>
      <c r="W167" s="8">
        <v>13263.880000000001</v>
      </c>
      <c r="X167" s="8">
        <v>13263.880000000001</v>
      </c>
      <c r="Y167" s="8">
        <v>13263.880000000001</v>
      </c>
      <c r="Z167" s="8">
        <v>13263.880000000001</v>
      </c>
      <c r="AA167" s="8">
        <v>13263.880000000001</v>
      </c>
      <c r="AB167" s="8">
        <v>13263.880000000001</v>
      </c>
      <c r="AC167" s="8">
        <v>318333.12000000005</v>
      </c>
      <c r="AD167" s="113"/>
    </row>
    <row r="168" spans="1:30" x14ac:dyDescent="0.25">
      <c r="A168" s="62"/>
      <c r="B168" s="10" t="s">
        <v>32</v>
      </c>
      <c r="C168" s="11">
        <v>5</v>
      </c>
      <c r="D168" s="119"/>
      <c r="E168" s="8">
        <v>13263.88</v>
      </c>
      <c r="F168" s="8">
        <v>13263.88</v>
      </c>
      <c r="G168" s="8">
        <v>13263.88</v>
      </c>
      <c r="H168" s="8">
        <v>13263.88</v>
      </c>
      <c r="I168" s="8">
        <v>13263.88</v>
      </c>
      <c r="J168" s="8">
        <v>13263.88</v>
      </c>
      <c r="K168" s="8">
        <v>13263.88</v>
      </c>
      <c r="L168" s="8">
        <v>13263.88</v>
      </c>
      <c r="M168" s="8">
        <v>13263.88</v>
      </c>
      <c r="N168" s="8">
        <v>13263.88</v>
      </c>
      <c r="O168" s="8">
        <v>13263.88</v>
      </c>
      <c r="P168" s="8">
        <v>13263.88</v>
      </c>
      <c r="Q168" s="8">
        <v>13263.88</v>
      </c>
      <c r="R168" s="8">
        <v>13263.88</v>
      </c>
      <c r="S168" s="8">
        <v>13263.88</v>
      </c>
      <c r="T168" s="8">
        <v>13263.88</v>
      </c>
      <c r="U168" s="8">
        <v>13263.88</v>
      </c>
      <c r="V168" s="8">
        <v>13263.88</v>
      </c>
      <c r="W168" s="8">
        <v>13263.88</v>
      </c>
      <c r="X168" s="8">
        <v>13263.88</v>
      </c>
      <c r="Y168" s="8">
        <v>13263.88</v>
      </c>
      <c r="Z168" s="8">
        <v>13263.88</v>
      </c>
      <c r="AA168" s="8">
        <v>13263.88</v>
      </c>
      <c r="AB168" s="8">
        <v>13263.88</v>
      </c>
      <c r="AC168" s="8">
        <v>318333.12000000005</v>
      </c>
      <c r="AD168" s="113"/>
    </row>
    <row r="169" spans="1:30" ht="15.75" thickBot="1" x14ac:dyDescent="0.3">
      <c r="A169" s="60"/>
      <c r="B169" s="13" t="s">
        <v>33</v>
      </c>
      <c r="C169" s="14">
        <v>4</v>
      </c>
      <c r="D169" s="120"/>
      <c r="E169" s="8">
        <v>13263.879999999997</v>
      </c>
      <c r="F169" s="8">
        <v>13263.879999999997</v>
      </c>
      <c r="G169" s="8">
        <v>13263.879999999997</v>
      </c>
      <c r="H169" s="8">
        <v>13263.879999999997</v>
      </c>
      <c r="I169" s="8">
        <v>13263.879999999997</v>
      </c>
      <c r="J169" s="8">
        <v>13263.879999999997</v>
      </c>
      <c r="K169" s="8">
        <v>13263.879999999997</v>
      </c>
      <c r="L169" s="8">
        <v>13263.879999999997</v>
      </c>
      <c r="M169" s="8">
        <v>13263.879999999997</v>
      </c>
      <c r="N169" s="8">
        <v>13263.879999999997</v>
      </c>
      <c r="O169" s="8">
        <v>13263.879999999997</v>
      </c>
      <c r="P169" s="8">
        <v>13263.879999999997</v>
      </c>
      <c r="Q169" s="8">
        <v>13263.879999999997</v>
      </c>
      <c r="R169" s="8">
        <v>13263.879999999997</v>
      </c>
      <c r="S169" s="8">
        <v>13263.879999999997</v>
      </c>
      <c r="T169" s="8">
        <v>13263.879999999997</v>
      </c>
      <c r="U169" s="8">
        <v>13263.879999999997</v>
      </c>
      <c r="V169" s="8">
        <v>13263.879999999997</v>
      </c>
      <c r="W169" s="8">
        <v>13263.879999999997</v>
      </c>
      <c r="X169" s="8">
        <v>13263.879999999997</v>
      </c>
      <c r="Y169" s="8">
        <v>13263.879999999997</v>
      </c>
      <c r="Z169" s="8">
        <v>13263.879999999997</v>
      </c>
      <c r="AA169" s="8">
        <v>13263.879999999997</v>
      </c>
      <c r="AB169" s="8">
        <v>13263.879999999997</v>
      </c>
      <c r="AC169" s="8">
        <v>318333.12000000005</v>
      </c>
      <c r="AD169" s="113">
        <v>9549993.6000000015</v>
      </c>
    </row>
    <row r="170" spans="1:30" ht="15.75" thickBot="1" x14ac:dyDescent="0.3">
      <c r="B170" s="57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35"/>
    </row>
    <row r="171" spans="1:30" x14ac:dyDescent="0.25">
      <c r="A171" s="58"/>
      <c r="B171" s="6" t="s">
        <v>31</v>
      </c>
      <c r="C171" s="7">
        <v>21</v>
      </c>
      <c r="D171" s="118">
        <v>47027</v>
      </c>
      <c r="E171" s="8">
        <v>12836.019999999997</v>
      </c>
      <c r="F171" s="8">
        <v>12836.019999999997</v>
      </c>
      <c r="G171" s="8">
        <v>12836.019999999997</v>
      </c>
      <c r="H171" s="8">
        <v>12836.019999999997</v>
      </c>
      <c r="I171" s="8">
        <v>12836.019999999997</v>
      </c>
      <c r="J171" s="8">
        <v>12836.019999999997</v>
      </c>
      <c r="K171" s="8">
        <v>12836.019999999997</v>
      </c>
      <c r="L171" s="8">
        <v>12836.019999999997</v>
      </c>
      <c r="M171" s="8">
        <v>12836.019999999997</v>
      </c>
      <c r="N171" s="8">
        <v>12836.019999999997</v>
      </c>
      <c r="O171" s="8">
        <v>12836.019999999997</v>
      </c>
      <c r="P171" s="8">
        <v>12836.019999999997</v>
      </c>
      <c r="Q171" s="8">
        <v>12836.019999999997</v>
      </c>
      <c r="R171" s="8">
        <v>12836.019999999997</v>
      </c>
      <c r="S171" s="8">
        <v>12836.019999999997</v>
      </c>
      <c r="T171" s="8">
        <v>12836.019999999997</v>
      </c>
      <c r="U171" s="8">
        <v>12836.019999999997</v>
      </c>
      <c r="V171" s="8">
        <v>12836.019999999997</v>
      </c>
      <c r="W171" s="8">
        <v>12836.019999999997</v>
      </c>
      <c r="X171" s="8">
        <v>12836.019999999997</v>
      </c>
      <c r="Y171" s="8">
        <v>12836.019999999997</v>
      </c>
      <c r="Z171" s="8">
        <v>12836.019999999997</v>
      </c>
      <c r="AA171" s="8">
        <v>12836.019999999997</v>
      </c>
      <c r="AB171" s="8">
        <v>12836.019999999997</v>
      </c>
      <c r="AC171" s="8">
        <v>308064.47999999992</v>
      </c>
      <c r="AD171" s="113"/>
    </row>
    <row r="172" spans="1:30" x14ac:dyDescent="0.25">
      <c r="A172" s="62"/>
      <c r="B172" s="10" t="s">
        <v>32</v>
      </c>
      <c r="C172" s="11">
        <v>4</v>
      </c>
      <c r="D172" s="119"/>
      <c r="E172" s="8">
        <v>12836.02</v>
      </c>
      <c r="F172" s="8">
        <v>12836.02</v>
      </c>
      <c r="G172" s="8">
        <v>12836.02</v>
      </c>
      <c r="H172" s="8">
        <v>12836.02</v>
      </c>
      <c r="I172" s="8">
        <v>12836.02</v>
      </c>
      <c r="J172" s="8">
        <v>12836.02</v>
      </c>
      <c r="K172" s="8">
        <v>12836.02</v>
      </c>
      <c r="L172" s="8">
        <v>12836.02</v>
      </c>
      <c r="M172" s="8">
        <v>12836.02</v>
      </c>
      <c r="N172" s="8">
        <v>12836.02</v>
      </c>
      <c r="O172" s="8">
        <v>12836.02</v>
      </c>
      <c r="P172" s="8">
        <v>12836.02</v>
      </c>
      <c r="Q172" s="8">
        <v>12836.02</v>
      </c>
      <c r="R172" s="8">
        <v>12836.02</v>
      </c>
      <c r="S172" s="8">
        <v>12836.02</v>
      </c>
      <c r="T172" s="8">
        <v>12836.02</v>
      </c>
      <c r="U172" s="8">
        <v>12836.02</v>
      </c>
      <c r="V172" s="8">
        <v>12836.02</v>
      </c>
      <c r="W172" s="8">
        <v>12836.02</v>
      </c>
      <c r="X172" s="8">
        <v>12836.02</v>
      </c>
      <c r="Y172" s="8">
        <v>12836.02</v>
      </c>
      <c r="Z172" s="8">
        <v>12836.02</v>
      </c>
      <c r="AA172" s="8">
        <v>12836.02</v>
      </c>
      <c r="AB172" s="8">
        <v>12836.02</v>
      </c>
      <c r="AC172" s="8">
        <v>308064.48</v>
      </c>
      <c r="AD172" s="113"/>
    </row>
    <row r="173" spans="1:30" ht="15.75" thickBot="1" x14ac:dyDescent="0.3">
      <c r="A173" s="60"/>
      <c r="B173" s="13" t="s">
        <v>33</v>
      </c>
      <c r="C173" s="14">
        <v>6</v>
      </c>
      <c r="D173" s="120"/>
      <c r="E173" s="8">
        <v>12836.02</v>
      </c>
      <c r="F173" s="8">
        <v>12836.02</v>
      </c>
      <c r="G173" s="8">
        <v>12836.02</v>
      </c>
      <c r="H173" s="8">
        <v>12836.02</v>
      </c>
      <c r="I173" s="8">
        <v>12836.02</v>
      </c>
      <c r="J173" s="8">
        <v>12836.02</v>
      </c>
      <c r="K173" s="8">
        <v>12836.02</v>
      </c>
      <c r="L173" s="8">
        <v>12836.02</v>
      </c>
      <c r="M173" s="8">
        <v>12836.02</v>
      </c>
      <c r="N173" s="8">
        <v>12836.02</v>
      </c>
      <c r="O173" s="8">
        <v>12836.02</v>
      </c>
      <c r="P173" s="8">
        <v>12836.02</v>
      </c>
      <c r="Q173" s="8">
        <v>12836.02</v>
      </c>
      <c r="R173" s="8">
        <v>12836.02</v>
      </c>
      <c r="S173" s="8">
        <v>12836.02</v>
      </c>
      <c r="T173" s="8">
        <v>12836.02</v>
      </c>
      <c r="U173" s="8">
        <v>12836.02</v>
      </c>
      <c r="V173" s="8">
        <v>12836.02</v>
      </c>
      <c r="W173" s="8">
        <v>12836.02</v>
      </c>
      <c r="X173" s="8">
        <v>12836.02</v>
      </c>
      <c r="Y173" s="8">
        <v>12836.02</v>
      </c>
      <c r="Z173" s="8">
        <v>12836.02</v>
      </c>
      <c r="AA173" s="8">
        <v>12836.02</v>
      </c>
      <c r="AB173" s="8">
        <v>12836.02</v>
      </c>
      <c r="AC173" s="8">
        <v>308064.48</v>
      </c>
      <c r="AD173" s="113">
        <v>9549998.879999999</v>
      </c>
    </row>
    <row r="174" spans="1:30" ht="15.75" thickBot="1" x14ac:dyDescent="0.3">
      <c r="B174" s="57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35"/>
    </row>
    <row r="175" spans="1:30" x14ac:dyDescent="0.25">
      <c r="A175" s="58"/>
      <c r="B175" s="6" t="s">
        <v>31</v>
      </c>
      <c r="C175" s="7">
        <v>20</v>
      </c>
      <c r="D175" s="118">
        <v>47058</v>
      </c>
      <c r="E175" s="8">
        <v>9097.2199999999993</v>
      </c>
      <c r="F175" s="8">
        <v>9097.2199999999993</v>
      </c>
      <c r="G175" s="8">
        <v>9097.2199999999993</v>
      </c>
      <c r="H175" s="8">
        <v>9097.2199999999993</v>
      </c>
      <c r="I175" s="8">
        <v>9097.2199999999993</v>
      </c>
      <c r="J175" s="8">
        <v>9097.2199999999993</v>
      </c>
      <c r="K175" s="8">
        <v>9097.2199999999993</v>
      </c>
      <c r="L175" s="8">
        <v>9097.2199999999993</v>
      </c>
      <c r="M175" s="8">
        <v>9097.2199999999993</v>
      </c>
      <c r="N175" s="8">
        <v>9097.2199999999993</v>
      </c>
      <c r="O175" s="8">
        <v>9097.2199999999993</v>
      </c>
      <c r="P175" s="8">
        <v>9097.2199999999993</v>
      </c>
      <c r="Q175" s="8">
        <v>9097.2199999999993</v>
      </c>
      <c r="R175" s="8">
        <v>9097.2199999999993</v>
      </c>
      <c r="S175" s="8">
        <v>9097.2199999999993</v>
      </c>
      <c r="T175" s="8">
        <v>9097.2199999999993</v>
      </c>
      <c r="U175" s="8">
        <v>9097.2199999999993</v>
      </c>
      <c r="V175" s="8">
        <v>9097.2199999999993</v>
      </c>
      <c r="W175" s="8">
        <v>9097.2199999999993</v>
      </c>
      <c r="X175" s="8">
        <v>9097.2199999999993</v>
      </c>
      <c r="Y175" s="8">
        <v>9097.2199999999993</v>
      </c>
      <c r="Z175" s="8">
        <v>9097.2199999999993</v>
      </c>
      <c r="AA175" s="8">
        <v>9097.2199999999993</v>
      </c>
      <c r="AB175" s="8">
        <v>9097.2199999999993</v>
      </c>
      <c r="AC175" s="8">
        <v>218333.28</v>
      </c>
      <c r="AD175" s="113"/>
    </row>
    <row r="176" spans="1:30" x14ac:dyDescent="0.25">
      <c r="A176" s="62"/>
      <c r="B176" s="10" t="s">
        <v>32</v>
      </c>
      <c r="C176" s="11">
        <v>4</v>
      </c>
      <c r="D176" s="119"/>
      <c r="E176" s="8">
        <v>9097.2199999999975</v>
      </c>
      <c r="F176" s="8">
        <v>9097.2199999999975</v>
      </c>
      <c r="G176" s="8">
        <v>9097.2199999999975</v>
      </c>
      <c r="H176" s="8">
        <v>9097.2199999999975</v>
      </c>
      <c r="I176" s="8">
        <v>9097.2199999999975</v>
      </c>
      <c r="J176" s="8">
        <v>9097.2199999999975</v>
      </c>
      <c r="K176" s="8">
        <v>9097.2199999999975</v>
      </c>
      <c r="L176" s="8">
        <v>9097.2199999999975</v>
      </c>
      <c r="M176" s="8">
        <v>9097.2199999999975</v>
      </c>
      <c r="N176" s="8">
        <v>9097.2199999999975</v>
      </c>
      <c r="O176" s="8">
        <v>9097.2199999999975</v>
      </c>
      <c r="P176" s="8">
        <v>9097.2199999999975</v>
      </c>
      <c r="Q176" s="8">
        <v>9097.2199999999975</v>
      </c>
      <c r="R176" s="8">
        <v>9097.2199999999975</v>
      </c>
      <c r="S176" s="8">
        <v>9097.2199999999975</v>
      </c>
      <c r="T176" s="8">
        <v>9097.2199999999975</v>
      </c>
      <c r="U176" s="8">
        <v>9097.2199999999975</v>
      </c>
      <c r="V176" s="8">
        <v>9097.2199999999975</v>
      </c>
      <c r="W176" s="8">
        <v>9097.2199999999975</v>
      </c>
      <c r="X176" s="8">
        <v>9097.2199999999975</v>
      </c>
      <c r="Y176" s="8">
        <v>9097.2199999999975</v>
      </c>
      <c r="Z176" s="8">
        <v>9097.2199999999975</v>
      </c>
      <c r="AA176" s="8">
        <v>9097.2199999999975</v>
      </c>
      <c r="AB176" s="8">
        <v>9097.2199999999975</v>
      </c>
      <c r="AC176" s="8">
        <v>218333.28</v>
      </c>
      <c r="AD176" s="113"/>
    </row>
    <row r="177" spans="1:30" ht="15.75" thickBot="1" x14ac:dyDescent="0.3">
      <c r="A177" s="60"/>
      <c r="B177" s="13" t="s">
        <v>33</v>
      </c>
      <c r="C177" s="14">
        <v>6</v>
      </c>
      <c r="D177" s="120"/>
      <c r="E177" s="8">
        <v>9097.2199999999975</v>
      </c>
      <c r="F177" s="8">
        <v>9097.2199999999975</v>
      </c>
      <c r="G177" s="8">
        <v>9097.2199999999975</v>
      </c>
      <c r="H177" s="8">
        <v>9097.2199999999975</v>
      </c>
      <c r="I177" s="8">
        <v>9097.2199999999975</v>
      </c>
      <c r="J177" s="8">
        <v>9097.2199999999975</v>
      </c>
      <c r="K177" s="8">
        <v>9097.2199999999975</v>
      </c>
      <c r="L177" s="8">
        <v>9097.2199999999975</v>
      </c>
      <c r="M177" s="8">
        <v>9097.2199999999975</v>
      </c>
      <c r="N177" s="8">
        <v>9097.2199999999975</v>
      </c>
      <c r="O177" s="8">
        <v>9097.2199999999975</v>
      </c>
      <c r="P177" s="8">
        <v>9097.2199999999975</v>
      </c>
      <c r="Q177" s="8">
        <v>9097.2199999999975</v>
      </c>
      <c r="R177" s="8">
        <v>9097.2199999999975</v>
      </c>
      <c r="S177" s="8">
        <v>9097.2199999999975</v>
      </c>
      <c r="T177" s="8">
        <v>9097.2199999999975</v>
      </c>
      <c r="U177" s="8">
        <v>9097.2199999999975</v>
      </c>
      <c r="V177" s="8">
        <v>9097.2199999999975</v>
      </c>
      <c r="W177" s="8">
        <v>9097.2199999999975</v>
      </c>
      <c r="X177" s="8">
        <v>9097.2199999999975</v>
      </c>
      <c r="Y177" s="8">
        <v>9097.2199999999975</v>
      </c>
      <c r="Z177" s="8">
        <v>9097.2199999999975</v>
      </c>
      <c r="AA177" s="8">
        <v>9097.2199999999975</v>
      </c>
      <c r="AB177" s="8">
        <v>9097.2199999999975</v>
      </c>
      <c r="AC177" s="8">
        <v>218333.28</v>
      </c>
      <c r="AD177" s="113">
        <v>6549998.3999999994</v>
      </c>
    </row>
    <row r="178" spans="1:30" ht="15.75" thickBot="1" x14ac:dyDescent="0.3">
      <c r="B178" s="57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35"/>
    </row>
    <row r="179" spans="1:30" x14ac:dyDescent="0.25">
      <c r="A179" s="58"/>
      <c r="B179" s="6" t="s">
        <v>31</v>
      </c>
      <c r="C179" s="7">
        <v>19</v>
      </c>
      <c r="D179" s="118">
        <v>47088</v>
      </c>
      <c r="E179" s="8">
        <v>6451.6100000000006</v>
      </c>
      <c r="F179" s="8">
        <v>6451.6100000000006</v>
      </c>
      <c r="G179" s="8">
        <v>6451.6100000000006</v>
      </c>
      <c r="H179" s="8">
        <v>6451.6100000000006</v>
      </c>
      <c r="I179" s="8">
        <v>6451.6100000000006</v>
      </c>
      <c r="J179" s="8">
        <v>6451.6100000000006</v>
      </c>
      <c r="K179" s="8">
        <v>6451.6100000000006</v>
      </c>
      <c r="L179" s="8">
        <v>6451.6100000000006</v>
      </c>
      <c r="M179" s="8">
        <v>6451.6100000000006</v>
      </c>
      <c r="N179" s="8">
        <v>6451.6100000000006</v>
      </c>
      <c r="O179" s="8">
        <v>6451.6100000000006</v>
      </c>
      <c r="P179" s="8">
        <v>6451.6100000000006</v>
      </c>
      <c r="Q179" s="8">
        <v>6451.6100000000006</v>
      </c>
      <c r="R179" s="8">
        <v>6451.6100000000006</v>
      </c>
      <c r="S179" s="8">
        <v>6451.6100000000006</v>
      </c>
      <c r="T179" s="8">
        <v>6451.6100000000006</v>
      </c>
      <c r="U179" s="8">
        <v>6451.6100000000006</v>
      </c>
      <c r="V179" s="8">
        <v>6451.6100000000006</v>
      </c>
      <c r="W179" s="8">
        <v>6451.6100000000006</v>
      </c>
      <c r="X179" s="8">
        <v>6451.6100000000006</v>
      </c>
      <c r="Y179" s="8">
        <v>6451.6100000000006</v>
      </c>
      <c r="Z179" s="8">
        <v>6451.6100000000006</v>
      </c>
      <c r="AA179" s="8">
        <v>6451.6100000000006</v>
      </c>
      <c r="AB179" s="8">
        <v>6451.6100000000006</v>
      </c>
      <c r="AC179" s="8">
        <v>154838.63999999996</v>
      </c>
      <c r="AD179" s="113"/>
    </row>
    <row r="180" spans="1:30" x14ac:dyDescent="0.25">
      <c r="A180" s="62"/>
      <c r="B180" s="10" t="s">
        <v>32</v>
      </c>
      <c r="C180" s="11">
        <v>5</v>
      </c>
      <c r="D180" s="119"/>
      <c r="E180" s="8">
        <v>6451.6100000000006</v>
      </c>
      <c r="F180" s="8">
        <v>6451.6100000000006</v>
      </c>
      <c r="G180" s="8">
        <v>6451.6100000000006</v>
      </c>
      <c r="H180" s="8">
        <v>6451.6100000000006</v>
      </c>
      <c r="I180" s="8">
        <v>6451.6100000000006</v>
      </c>
      <c r="J180" s="8">
        <v>6451.6100000000006</v>
      </c>
      <c r="K180" s="8">
        <v>6451.6100000000006</v>
      </c>
      <c r="L180" s="8">
        <v>6451.6100000000006</v>
      </c>
      <c r="M180" s="8">
        <v>6451.6100000000006</v>
      </c>
      <c r="N180" s="8">
        <v>6451.6100000000006</v>
      </c>
      <c r="O180" s="8">
        <v>6451.6100000000006</v>
      </c>
      <c r="P180" s="8">
        <v>6451.6100000000006</v>
      </c>
      <c r="Q180" s="8">
        <v>6451.6100000000006</v>
      </c>
      <c r="R180" s="8">
        <v>6451.6100000000006</v>
      </c>
      <c r="S180" s="8">
        <v>6451.6100000000006</v>
      </c>
      <c r="T180" s="8">
        <v>6451.6100000000006</v>
      </c>
      <c r="U180" s="8">
        <v>6451.6100000000006</v>
      </c>
      <c r="V180" s="8">
        <v>6451.6100000000006</v>
      </c>
      <c r="W180" s="8">
        <v>6451.6100000000006</v>
      </c>
      <c r="X180" s="8">
        <v>6451.6100000000006</v>
      </c>
      <c r="Y180" s="8">
        <v>6451.6100000000006</v>
      </c>
      <c r="Z180" s="8">
        <v>6451.6100000000006</v>
      </c>
      <c r="AA180" s="8">
        <v>6451.6100000000006</v>
      </c>
      <c r="AB180" s="8">
        <v>6451.6100000000006</v>
      </c>
      <c r="AC180" s="8">
        <v>154838.63999999996</v>
      </c>
      <c r="AD180" s="113"/>
    </row>
    <row r="181" spans="1:30" ht="15.75" thickBot="1" x14ac:dyDescent="0.3">
      <c r="A181" s="60"/>
      <c r="B181" s="13" t="s">
        <v>33</v>
      </c>
      <c r="C181" s="14">
        <v>7</v>
      </c>
      <c r="D181" s="120"/>
      <c r="E181" s="8">
        <v>6451.6100000000006</v>
      </c>
      <c r="F181" s="8">
        <v>6451.6100000000006</v>
      </c>
      <c r="G181" s="8">
        <v>6451.6100000000006</v>
      </c>
      <c r="H181" s="8">
        <v>6451.6100000000006</v>
      </c>
      <c r="I181" s="8">
        <v>6451.6100000000006</v>
      </c>
      <c r="J181" s="8">
        <v>6451.6100000000006</v>
      </c>
      <c r="K181" s="8">
        <v>6451.6100000000006</v>
      </c>
      <c r="L181" s="8">
        <v>6451.6100000000006</v>
      </c>
      <c r="M181" s="8">
        <v>6451.6100000000006</v>
      </c>
      <c r="N181" s="8">
        <v>6451.6100000000006</v>
      </c>
      <c r="O181" s="8">
        <v>6451.6100000000006</v>
      </c>
      <c r="P181" s="8">
        <v>6451.6100000000006</v>
      </c>
      <c r="Q181" s="8">
        <v>6451.6100000000006</v>
      </c>
      <c r="R181" s="8">
        <v>6451.6100000000006</v>
      </c>
      <c r="S181" s="8">
        <v>6451.6100000000006</v>
      </c>
      <c r="T181" s="8">
        <v>6451.6100000000006</v>
      </c>
      <c r="U181" s="8">
        <v>6451.6100000000006</v>
      </c>
      <c r="V181" s="8">
        <v>6451.6100000000006</v>
      </c>
      <c r="W181" s="8">
        <v>6451.6100000000006</v>
      </c>
      <c r="X181" s="8">
        <v>6451.6100000000006</v>
      </c>
      <c r="Y181" s="8">
        <v>6451.6100000000006</v>
      </c>
      <c r="Z181" s="8">
        <v>6451.6100000000006</v>
      </c>
      <c r="AA181" s="8">
        <v>6451.6100000000006</v>
      </c>
      <c r="AB181" s="8">
        <v>6451.6100000000006</v>
      </c>
      <c r="AC181" s="8">
        <v>154838.63999999996</v>
      </c>
      <c r="AD181" s="113">
        <v>4799997.8399999989</v>
      </c>
    </row>
    <row r="182" spans="1:30" ht="15.75" customHeight="1" thickBot="1" x14ac:dyDescent="0.3">
      <c r="A182" s="121" t="s">
        <v>37</v>
      </c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  <c r="AD182" s="121"/>
    </row>
    <row r="183" spans="1:30" x14ac:dyDescent="0.25">
      <c r="A183" s="58"/>
      <c r="B183" s="6" t="s">
        <v>31</v>
      </c>
      <c r="C183" s="7">
        <v>21</v>
      </c>
      <c r="D183" s="118">
        <v>47119</v>
      </c>
      <c r="E183" s="8">
        <v>6586.0200000000023</v>
      </c>
      <c r="F183" s="8">
        <v>6586.0200000000023</v>
      </c>
      <c r="G183" s="8">
        <v>6586.0200000000023</v>
      </c>
      <c r="H183" s="8">
        <v>6586.0200000000023</v>
      </c>
      <c r="I183" s="8">
        <v>6586.0200000000023</v>
      </c>
      <c r="J183" s="8">
        <v>6586.0200000000023</v>
      </c>
      <c r="K183" s="8">
        <v>6586.0200000000023</v>
      </c>
      <c r="L183" s="8">
        <v>6586.0200000000023</v>
      </c>
      <c r="M183" s="8">
        <v>6586.0200000000023</v>
      </c>
      <c r="N183" s="8">
        <v>6586.0200000000023</v>
      </c>
      <c r="O183" s="8">
        <v>6586.0200000000023</v>
      </c>
      <c r="P183" s="8">
        <v>6586.0200000000023</v>
      </c>
      <c r="Q183" s="8">
        <v>6586.0200000000023</v>
      </c>
      <c r="R183" s="8">
        <v>6586.0200000000023</v>
      </c>
      <c r="S183" s="8">
        <v>6586.0200000000023</v>
      </c>
      <c r="T183" s="8">
        <v>6586.0200000000023</v>
      </c>
      <c r="U183" s="8">
        <v>6586.0200000000023</v>
      </c>
      <c r="V183" s="8">
        <v>6586.0200000000023</v>
      </c>
      <c r="W183" s="8">
        <v>6586.0200000000023</v>
      </c>
      <c r="X183" s="8">
        <v>6586.0200000000023</v>
      </c>
      <c r="Y183" s="8">
        <v>6586.0200000000023</v>
      </c>
      <c r="Z183" s="8">
        <v>6586.0200000000023</v>
      </c>
      <c r="AA183" s="8">
        <v>6586.0200000000023</v>
      </c>
      <c r="AB183" s="8">
        <v>6586.0200000000023</v>
      </c>
      <c r="AC183" s="8">
        <v>158064.48000000001</v>
      </c>
      <c r="AD183" s="8"/>
    </row>
    <row r="184" spans="1:30" x14ac:dyDescent="0.25">
      <c r="A184" s="65"/>
      <c r="B184" s="10" t="s">
        <v>32</v>
      </c>
      <c r="C184" s="11">
        <v>4</v>
      </c>
      <c r="D184" s="119"/>
      <c r="E184" s="8">
        <v>6586.02</v>
      </c>
      <c r="F184" s="8">
        <v>6586.02</v>
      </c>
      <c r="G184" s="8">
        <v>6586.02</v>
      </c>
      <c r="H184" s="8">
        <v>6586.02</v>
      </c>
      <c r="I184" s="8">
        <v>6586.02</v>
      </c>
      <c r="J184" s="8">
        <v>6586.02</v>
      </c>
      <c r="K184" s="8">
        <v>6586.02</v>
      </c>
      <c r="L184" s="8">
        <v>6586.02</v>
      </c>
      <c r="M184" s="8">
        <v>6586.02</v>
      </c>
      <c r="N184" s="8">
        <v>6586.02</v>
      </c>
      <c r="O184" s="8">
        <v>6586.02</v>
      </c>
      <c r="P184" s="8">
        <v>6586.02</v>
      </c>
      <c r="Q184" s="8">
        <v>6586.02</v>
      </c>
      <c r="R184" s="8">
        <v>6586.02</v>
      </c>
      <c r="S184" s="8">
        <v>6586.02</v>
      </c>
      <c r="T184" s="8">
        <v>6586.02</v>
      </c>
      <c r="U184" s="8">
        <v>6586.02</v>
      </c>
      <c r="V184" s="8">
        <v>6586.02</v>
      </c>
      <c r="W184" s="8">
        <v>6586.02</v>
      </c>
      <c r="X184" s="8">
        <v>6586.02</v>
      </c>
      <c r="Y184" s="8">
        <v>6586.02</v>
      </c>
      <c r="Z184" s="8">
        <v>6586.02</v>
      </c>
      <c r="AA184" s="8">
        <v>6586.02</v>
      </c>
      <c r="AB184" s="8">
        <v>6586.02</v>
      </c>
      <c r="AC184" s="8">
        <v>158064.48000000001</v>
      </c>
      <c r="AD184" s="113"/>
    </row>
    <row r="185" spans="1:30" ht="15.75" thickBot="1" x14ac:dyDescent="0.3">
      <c r="A185" s="60"/>
      <c r="B185" s="13" t="s">
        <v>33</v>
      </c>
      <c r="C185" s="14">
        <v>7</v>
      </c>
      <c r="D185" s="120"/>
      <c r="E185" s="8">
        <v>6586.02</v>
      </c>
      <c r="F185" s="8">
        <v>6586.02</v>
      </c>
      <c r="G185" s="8">
        <v>6586.02</v>
      </c>
      <c r="H185" s="8">
        <v>6586.02</v>
      </c>
      <c r="I185" s="8">
        <v>6586.02</v>
      </c>
      <c r="J185" s="8">
        <v>6586.02</v>
      </c>
      <c r="K185" s="8">
        <v>6586.02</v>
      </c>
      <c r="L185" s="8">
        <v>6586.02</v>
      </c>
      <c r="M185" s="8">
        <v>6586.02</v>
      </c>
      <c r="N185" s="8">
        <v>6586.02</v>
      </c>
      <c r="O185" s="8">
        <v>6586.02</v>
      </c>
      <c r="P185" s="8">
        <v>6586.02</v>
      </c>
      <c r="Q185" s="8">
        <v>6586.02</v>
      </c>
      <c r="R185" s="8">
        <v>6586.02</v>
      </c>
      <c r="S185" s="8">
        <v>6586.02</v>
      </c>
      <c r="T185" s="8">
        <v>6586.02</v>
      </c>
      <c r="U185" s="8">
        <v>6586.02</v>
      </c>
      <c r="V185" s="8">
        <v>6586.02</v>
      </c>
      <c r="W185" s="8">
        <v>6586.02</v>
      </c>
      <c r="X185" s="8">
        <v>6586.02</v>
      </c>
      <c r="Y185" s="8">
        <v>6586.02</v>
      </c>
      <c r="Z185" s="8">
        <v>6586.02</v>
      </c>
      <c r="AA185" s="8">
        <v>6586.02</v>
      </c>
      <c r="AB185" s="8">
        <v>6586.02</v>
      </c>
      <c r="AC185" s="8">
        <v>158064.48000000001</v>
      </c>
      <c r="AD185" s="113">
        <v>5058063.3600000003</v>
      </c>
    </row>
    <row r="186" spans="1:30" ht="15.75" thickBot="1" x14ac:dyDescent="0.3">
      <c r="B186" s="57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35"/>
    </row>
    <row r="187" spans="1:30" x14ac:dyDescent="0.25">
      <c r="A187" s="58"/>
      <c r="B187" s="6" t="s">
        <v>31</v>
      </c>
      <c r="C187" s="7">
        <v>20</v>
      </c>
      <c r="D187" s="118">
        <v>47150</v>
      </c>
      <c r="E187" s="8">
        <v>7291.6600000000017</v>
      </c>
      <c r="F187" s="8">
        <v>7291.6600000000017</v>
      </c>
      <c r="G187" s="8">
        <v>7291.6600000000017</v>
      </c>
      <c r="H187" s="8">
        <v>7291.6600000000017</v>
      </c>
      <c r="I187" s="8">
        <v>7291.6600000000017</v>
      </c>
      <c r="J187" s="8">
        <v>7291.6600000000017</v>
      </c>
      <c r="K187" s="8">
        <v>7291.6600000000017</v>
      </c>
      <c r="L187" s="8">
        <v>7291.6600000000017</v>
      </c>
      <c r="M187" s="8">
        <v>7291.6600000000017</v>
      </c>
      <c r="N187" s="8">
        <v>7291.6600000000017</v>
      </c>
      <c r="O187" s="8">
        <v>7291.6600000000017</v>
      </c>
      <c r="P187" s="8">
        <v>7291.6600000000017</v>
      </c>
      <c r="Q187" s="8">
        <v>7291.6600000000017</v>
      </c>
      <c r="R187" s="8">
        <v>7291.6600000000017</v>
      </c>
      <c r="S187" s="8">
        <v>7291.6600000000017</v>
      </c>
      <c r="T187" s="8">
        <v>7291.6600000000017</v>
      </c>
      <c r="U187" s="8">
        <v>7291.6600000000017</v>
      </c>
      <c r="V187" s="8">
        <v>7291.6600000000017</v>
      </c>
      <c r="W187" s="8">
        <v>7291.6600000000017</v>
      </c>
      <c r="X187" s="8">
        <v>7291.6600000000017</v>
      </c>
      <c r="Y187" s="8">
        <v>7291.6600000000017</v>
      </c>
      <c r="Z187" s="8">
        <v>7291.6600000000017</v>
      </c>
      <c r="AA187" s="8">
        <v>7291.6600000000017</v>
      </c>
      <c r="AB187" s="8">
        <v>7291.6600000000017</v>
      </c>
      <c r="AC187" s="8">
        <v>174999.84000000005</v>
      </c>
      <c r="AD187" s="113"/>
    </row>
    <row r="188" spans="1:30" x14ac:dyDescent="0.25">
      <c r="A188" s="62"/>
      <c r="B188" s="10" t="s">
        <v>32</v>
      </c>
      <c r="C188" s="11">
        <v>4</v>
      </c>
      <c r="D188" s="119"/>
      <c r="E188" s="8">
        <v>7291.6600000000008</v>
      </c>
      <c r="F188" s="8">
        <v>7291.6600000000008</v>
      </c>
      <c r="G188" s="8">
        <v>7291.6600000000008</v>
      </c>
      <c r="H188" s="8">
        <v>7291.6600000000008</v>
      </c>
      <c r="I188" s="8">
        <v>7291.6600000000008</v>
      </c>
      <c r="J188" s="8">
        <v>7291.6600000000008</v>
      </c>
      <c r="K188" s="8">
        <v>7291.6600000000008</v>
      </c>
      <c r="L188" s="8">
        <v>7291.6600000000008</v>
      </c>
      <c r="M188" s="8">
        <v>7291.6600000000008</v>
      </c>
      <c r="N188" s="8">
        <v>7291.6600000000008</v>
      </c>
      <c r="O188" s="8">
        <v>7291.6600000000008</v>
      </c>
      <c r="P188" s="8">
        <v>7291.6600000000008</v>
      </c>
      <c r="Q188" s="8">
        <v>7291.6600000000008</v>
      </c>
      <c r="R188" s="8">
        <v>7291.6600000000008</v>
      </c>
      <c r="S188" s="8">
        <v>7291.6600000000008</v>
      </c>
      <c r="T188" s="8">
        <v>7291.6600000000008</v>
      </c>
      <c r="U188" s="8">
        <v>7291.6600000000008</v>
      </c>
      <c r="V188" s="8">
        <v>7291.6600000000008</v>
      </c>
      <c r="W188" s="8">
        <v>7291.6600000000008</v>
      </c>
      <c r="X188" s="8">
        <v>7291.6600000000008</v>
      </c>
      <c r="Y188" s="8">
        <v>7291.6600000000008</v>
      </c>
      <c r="Z188" s="8">
        <v>7291.6600000000008</v>
      </c>
      <c r="AA188" s="8">
        <v>7291.6600000000008</v>
      </c>
      <c r="AB188" s="8">
        <v>7291.6600000000008</v>
      </c>
      <c r="AC188" s="8">
        <v>174999.84000000005</v>
      </c>
      <c r="AD188" s="113"/>
    </row>
    <row r="189" spans="1:30" ht="15.75" thickBot="1" x14ac:dyDescent="0.3">
      <c r="A189" s="60"/>
      <c r="B189" s="13" t="s">
        <v>33</v>
      </c>
      <c r="C189" s="14">
        <v>4</v>
      </c>
      <c r="D189" s="120"/>
      <c r="E189" s="8">
        <v>7291.6600000000008</v>
      </c>
      <c r="F189" s="8">
        <v>7291.6600000000008</v>
      </c>
      <c r="G189" s="8">
        <v>7291.6600000000008</v>
      </c>
      <c r="H189" s="8">
        <v>7291.6600000000008</v>
      </c>
      <c r="I189" s="8">
        <v>7291.6600000000008</v>
      </c>
      <c r="J189" s="8">
        <v>7291.6600000000008</v>
      </c>
      <c r="K189" s="8">
        <v>7291.6600000000008</v>
      </c>
      <c r="L189" s="8">
        <v>7291.6600000000008</v>
      </c>
      <c r="M189" s="8">
        <v>7291.6600000000008</v>
      </c>
      <c r="N189" s="8">
        <v>7291.6600000000008</v>
      </c>
      <c r="O189" s="8">
        <v>7291.6600000000008</v>
      </c>
      <c r="P189" s="8">
        <v>7291.6600000000008</v>
      </c>
      <c r="Q189" s="8">
        <v>7291.6600000000008</v>
      </c>
      <c r="R189" s="8">
        <v>7291.6600000000008</v>
      </c>
      <c r="S189" s="8">
        <v>7291.6600000000008</v>
      </c>
      <c r="T189" s="8">
        <v>7291.6600000000008</v>
      </c>
      <c r="U189" s="8">
        <v>7291.6600000000008</v>
      </c>
      <c r="V189" s="8">
        <v>7291.6600000000008</v>
      </c>
      <c r="W189" s="8">
        <v>7291.6600000000008</v>
      </c>
      <c r="X189" s="8">
        <v>7291.6600000000008</v>
      </c>
      <c r="Y189" s="8">
        <v>7291.6600000000008</v>
      </c>
      <c r="Z189" s="8">
        <v>7291.6600000000008</v>
      </c>
      <c r="AA189" s="8">
        <v>7291.6600000000008</v>
      </c>
      <c r="AB189" s="8">
        <v>7291.6600000000008</v>
      </c>
      <c r="AC189" s="8">
        <v>174999.84000000005</v>
      </c>
      <c r="AD189" s="113">
        <v>4899995.5200000014</v>
      </c>
    </row>
    <row r="190" spans="1:30" ht="15.75" thickBot="1" x14ac:dyDescent="0.3">
      <c r="B190" s="57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35"/>
    </row>
    <row r="191" spans="1:30" x14ac:dyDescent="0.25">
      <c r="A191" s="58"/>
      <c r="B191" s="6" t="s">
        <v>31</v>
      </c>
      <c r="C191" s="7">
        <v>19</v>
      </c>
      <c r="D191" s="118">
        <v>47178</v>
      </c>
      <c r="E191" s="8">
        <v>6586.0200000000032</v>
      </c>
      <c r="F191" s="8">
        <v>6586.0200000000032</v>
      </c>
      <c r="G191" s="8">
        <v>6586.0200000000032</v>
      </c>
      <c r="H191" s="8">
        <v>6586.0200000000032</v>
      </c>
      <c r="I191" s="8">
        <v>6586.0200000000032</v>
      </c>
      <c r="J191" s="8">
        <v>6586.0200000000032</v>
      </c>
      <c r="K191" s="8">
        <v>6586.0200000000032</v>
      </c>
      <c r="L191" s="8">
        <v>6586.0200000000032</v>
      </c>
      <c r="M191" s="8">
        <v>6586.0200000000032</v>
      </c>
      <c r="N191" s="8">
        <v>6586.0200000000032</v>
      </c>
      <c r="O191" s="8">
        <v>6586.0200000000032</v>
      </c>
      <c r="P191" s="8">
        <v>6586.0200000000032</v>
      </c>
      <c r="Q191" s="8">
        <v>6586.0200000000032</v>
      </c>
      <c r="R191" s="8">
        <v>6586.0200000000032</v>
      </c>
      <c r="S191" s="8">
        <v>6586.0200000000032</v>
      </c>
      <c r="T191" s="8">
        <v>6586.0200000000032</v>
      </c>
      <c r="U191" s="8">
        <v>6586.0200000000032</v>
      </c>
      <c r="V191" s="8">
        <v>6586.0200000000032</v>
      </c>
      <c r="W191" s="8">
        <v>6586.0200000000032</v>
      </c>
      <c r="X191" s="8">
        <v>6586.0200000000032</v>
      </c>
      <c r="Y191" s="8">
        <v>6586.0200000000032</v>
      </c>
      <c r="Z191" s="8">
        <v>6586.0200000000032</v>
      </c>
      <c r="AA191" s="8">
        <v>6586.0200000000032</v>
      </c>
      <c r="AB191" s="8">
        <v>6586.0200000000032</v>
      </c>
      <c r="AC191" s="8">
        <v>158064.48000000001</v>
      </c>
      <c r="AD191" s="113"/>
    </row>
    <row r="192" spans="1:30" x14ac:dyDescent="0.25">
      <c r="A192" s="62"/>
      <c r="B192" s="10" t="s">
        <v>32</v>
      </c>
      <c r="C192" s="11">
        <v>5</v>
      </c>
      <c r="D192" s="119"/>
      <c r="E192" s="8">
        <v>6586.0200000000013</v>
      </c>
      <c r="F192" s="8">
        <v>6586.0200000000013</v>
      </c>
      <c r="G192" s="8">
        <v>6586.0200000000013</v>
      </c>
      <c r="H192" s="8">
        <v>6586.0200000000013</v>
      </c>
      <c r="I192" s="8">
        <v>6586.0200000000013</v>
      </c>
      <c r="J192" s="8">
        <v>6586.0200000000013</v>
      </c>
      <c r="K192" s="8">
        <v>6586.0200000000013</v>
      </c>
      <c r="L192" s="8">
        <v>6586.0200000000013</v>
      </c>
      <c r="M192" s="8">
        <v>6586.0200000000013</v>
      </c>
      <c r="N192" s="8">
        <v>6586.0200000000013</v>
      </c>
      <c r="O192" s="8">
        <v>6586.0200000000013</v>
      </c>
      <c r="P192" s="8">
        <v>6586.0200000000013</v>
      </c>
      <c r="Q192" s="8">
        <v>6586.0200000000013</v>
      </c>
      <c r="R192" s="8">
        <v>6586.0200000000013</v>
      </c>
      <c r="S192" s="8">
        <v>6586.0200000000013</v>
      </c>
      <c r="T192" s="8">
        <v>6586.0200000000013</v>
      </c>
      <c r="U192" s="8">
        <v>6586.0200000000013</v>
      </c>
      <c r="V192" s="8">
        <v>6586.0200000000013</v>
      </c>
      <c r="W192" s="8">
        <v>6586.0200000000013</v>
      </c>
      <c r="X192" s="8">
        <v>6586.0200000000013</v>
      </c>
      <c r="Y192" s="8">
        <v>6586.0200000000013</v>
      </c>
      <c r="Z192" s="8">
        <v>6586.0200000000013</v>
      </c>
      <c r="AA192" s="8">
        <v>6586.0200000000013</v>
      </c>
      <c r="AB192" s="8">
        <v>6586.0200000000013</v>
      </c>
      <c r="AC192" s="8">
        <v>158064.48000000001</v>
      </c>
      <c r="AD192" s="113"/>
    </row>
    <row r="193" spans="1:30" ht="15.75" thickBot="1" x14ac:dyDescent="0.3">
      <c r="A193" s="60"/>
      <c r="B193" s="13" t="s">
        <v>33</v>
      </c>
      <c r="C193" s="14">
        <v>7</v>
      </c>
      <c r="D193" s="120"/>
      <c r="E193" s="8">
        <v>6586.02</v>
      </c>
      <c r="F193" s="8">
        <v>6586.02</v>
      </c>
      <c r="G193" s="8">
        <v>6586.02</v>
      </c>
      <c r="H193" s="8">
        <v>6586.02</v>
      </c>
      <c r="I193" s="8">
        <v>6586.02</v>
      </c>
      <c r="J193" s="8">
        <v>6586.02</v>
      </c>
      <c r="K193" s="8">
        <v>6586.02</v>
      </c>
      <c r="L193" s="8">
        <v>6586.02</v>
      </c>
      <c r="M193" s="8">
        <v>6586.02</v>
      </c>
      <c r="N193" s="8">
        <v>6586.02</v>
      </c>
      <c r="O193" s="8">
        <v>6586.02</v>
      </c>
      <c r="P193" s="8">
        <v>6586.02</v>
      </c>
      <c r="Q193" s="8">
        <v>6586.02</v>
      </c>
      <c r="R193" s="8">
        <v>6586.02</v>
      </c>
      <c r="S193" s="8">
        <v>6586.02</v>
      </c>
      <c r="T193" s="8">
        <v>6586.02</v>
      </c>
      <c r="U193" s="8">
        <v>6586.02</v>
      </c>
      <c r="V193" s="8">
        <v>6586.02</v>
      </c>
      <c r="W193" s="8">
        <v>6586.02</v>
      </c>
      <c r="X193" s="8">
        <v>6586.02</v>
      </c>
      <c r="Y193" s="8">
        <v>6586.02</v>
      </c>
      <c r="Z193" s="8">
        <v>6586.02</v>
      </c>
      <c r="AA193" s="8">
        <v>6586.02</v>
      </c>
      <c r="AB193" s="8">
        <v>6586.02</v>
      </c>
      <c r="AC193" s="8">
        <v>158064.48000000001</v>
      </c>
      <c r="AD193" s="113">
        <v>4899998.88</v>
      </c>
    </row>
    <row r="194" spans="1:30" ht="15.75" thickBot="1" x14ac:dyDescent="0.3">
      <c r="B194" s="57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35"/>
    </row>
    <row r="195" spans="1:30" x14ac:dyDescent="0.25">
      <c r="A195" s="58"/>
      <c r="B195" s="6" t="s">
        <v>31</v>
      </c>
      <c r="C195" s="7">
        <v>21</v>
      </c>
      <c r="D195" s="118">
        <v>47209</v>
      </c>
      <c r="E195" s="8">
        <v>6805.5500000000011</v>
      </c>
      <c r="F195" s="8">
        <v>6805.5500000000011</v>
      </c>
      <c r="G195" s="8">
        <v>6805.5500000000011</v>
      </c>
      <c r="H195" s="8">
        <v>6805.5500000000011</v>
      </c>
      <c r="I195" s="8">
        <v>6805.5500000000011</v>
      </c>
      <c r="J195" s="8">
        <v>6805.5500000000011</v>
      </c>
      <c r="K195" s="8">
        <v>6805.5500000000011</v>
      </c>
      <c r="L195" s="8">
        <v>6805.5500000000011</v>
      </c>
      <c r="M195" s="8">
        <v>6805.5500000000011</v>
      </c>
      <c r="N195" s="8">
        <v>6805.5500000000011</v>
      </c>
      <c r="O195" s="8">
        <v>6805.5500000000011</v>
      </c>
      <c r="P195" s="8">
        <v>6805.5500000000011</v>
      </c>
      <c r="Q195" s="8">
        <v>6805.5500000000011</v>
      </c>
      <c r="R195" s="8">
        <v>6805.5500000000011</v>
      </c>
      <c r="S195" s="8">
        <v>6805.5500000000011</v>
      </c>
      <c r="T195" s="8">
        <v>6805.5500000000011</v>
      </c>
      <c r="U195" s="8">
        <v>6805.5500000000011</v>
      </c>
      <c r="V195" s="8">
        <v>6805.5500000000011</v>
      </c>
      <c r="W195" s="8">
        <v>6805.5500000000011</v>
      </c>
      <c r="X195" s="8">
        <v>6805.5500000000011</v>
      </c>
      <c r="Y195" s="8">
        <v>6805.5500000000011</v>
      </c>
      <c r="Z195" s="8">
        <v>6805.5500000000011</v>
      </c>
      <c r="AA195" s="8">
        <v>6805.5500000000011</v>
      </c>
      <c r="AB195" s="8">
        <v>6805.5500000000011</v>
      </c>
      <c r="AC195" s="8">
        <v>163333.19999999998</v>
      </c>
      <c r="AD195" s="113"/>
    </row>
    <row r="196" spans="1:30" x14ac:dyDescent="0.25">
      <c r="A196" s="62"/>
      <c r="B196" s="10" t="s">
        <v>32</v>
      </c>
      <c r="C196" s="11">
        <v>5</v>
      </c>
      <c r="D196" s="119"/>
      <c r="E196" s="8">
        <v>6805.5499999999993</v>
      </c>
      <c r="F196" s="8">
        <v>6805.5499999999993</v>
      </c>
      <c r="G196" s="8">
        <v>6805.5499999999993</v>
      </c>
      <c r="H196" s="8">
        <v>6805.5499999999993</v>
      </c>
      <c r="I196" s="8">
        <v>6805.5499999999993</v>
      </c>
      <c r="J196" s="8">
        <v>6805.5499999999993</v>
      </c>
      <c r="K196" s="8">
        <v>6805.5499999999993</v>
      </c>
      <c r="L196" s="8">
        <v>6805.5499999999993</v>
      </c>
      <c r="M196" s="8">
        <v>6805.5499999999993</v>
      </c>
      <c r="N196" s="8">
        <v>6805.5499999999993</v>
      </c>
      <c r="O196" s="8">
        <v>6805.5499999999993</v>
      </c>
      <c r="P196" s="8">
        <v>6805.5499999999993</v>
      </c>
      <c r="Q196" s="8">
        <v>6805.5499999999993</v>
      </c>
      <c r="R196" s="8">
        <v>6805.5499999999993</v>
      </c>
      <c r="S196" s="8">
        <v>6805.5499999999993</v>
      </c>
      <c r="T196" s="8">
        <v>6805.5499999999993</v>
      </c>
      <c r="U196" s="8">
        <v>6805.5499999999993</v>
      </c>
      <c r="V196" s="8">
        <v>6805.5499999999993</v>
      </c>
      <c r="W196" s="8">
        <v>6805.5499999999993</v>
      </c>
      <c r="X196" s="8">
        <v>6805.5499999999993</v>
      </c>
      <c r="Y196" s="8">
        <v>6805.5499999999993</v>
      </c>
      <c r="Z196" s="8">
        <v>6805.5499999999993</v>
      </c>
      <c r="AA196" s="8">
        <v>6805.5499999999993</v>
      </c>
      <c r="AB196" s="8">
        <v>6805.5499999999993</v>
      </c>
      <c r="AC196" s="8">
        <v>163333.19999999998</v>
      </c>
      <c r="AD196" s="113"/>
    </row>
    <row r="197" spans="1:30" ht="15.75" thickBot="1" x14ac:dyDescent="0.3">
      <c r="A197" s="60"/>
      <c r="B197" s="13" t="s">
        <v>33</v>
      </c>
      <c r="C197" s="14">
        <v>4</v>
      </c>
      <c r="D197" s="120"/>
      <c r="E197" s="8">
        <v>6805.55</v>
      </c>
      <c r="F197" s="8">
        <v>6805.55</v>
      </c>
      <c r="G197" s="8">
        <v>6805.55</v>
      </c>
      <c r="H197" s="8">
        <v>6805.55</v>
      </c>
      <c r="I197" s="8">
        <v>6805.55</v>
      </c>
      <c r="J197" s="8">
        <v>6805.55</v>
      </c>
      <c r="K197" s="8">
        <v>6805.55</v>
      </c>
      <c r="L197" s="8">
        <v>6805.55</v>
      </c>
      <c r="M197" s="8">
        <v>6805.55</v>
      </c>
      <c r="N197" s="8">
        <v>6805.55</v>
      </c>
      <c r="O197" s="8">
        <v>6805.55</v>
      </c>
      <c r="P197" s="8">
        <v>6805.55</v>
      </c>
      <c r="Q197" s="8">
        <v>6805.55</v>
      </c>
      <c r="R197" s="8">
        <v>6805.55</v>
      </c>
      <c r="S197" s="8">
        <v>6805.55</v>
      </c>
      <c r="T197" s="8">
        <v>6805.55</v>
      </c>
      <c r="U197" s="8">
        <v>6805.55</v>
      </c>
      <c r="V197" s="8">
        <v>6805.55</v>
      </c>
      <c r="W197" s="8">
        <v>6805.55</v>
      </c>
      <c r="X197" s="8">
        <v>6805.55</v>
      </c>
      <c r="Y197" s="8">
        <v>6805.55</v>
      </c>
      <c r="Z197" s="8">
        <v>6805.55</v>
      </c>
      <c r="AA197" s="8">
        <v>6805.55</v>
      </c>
      <c r="AB197" s="8">
        <v>6805.55</v>
      </c>
      <c r="AC197" s="8">
        <v>163333.19999999998</v>
      </c>
      <c r="AD197" s="113">
        <v>4899995.9999999991</v>
      </c>
    </row>
    <row r="198" spans="1:30" ht="15.75" thickBot="1" x14ac:dyDescent="0.3">
      <c r="B198" s="57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35"/>
    </row>
    <row r="199" spans="1:30" x14ac:dyDescent="0.25">
      <c r="A199" s="58"/>
      <c r="B199" s="6" t="s">
        <v>31</v>
      </c>
      <c r="C199" s="39">
        <v>21</v>
      </c>
      <c r="D199" s="118">
        <v>47239</v>
      </c>
      <c r="E199" s="8">
        <v>12231.179999999997</v>
      </c>
      <c r="F199" s="8">
        <v>12231.179999999997</v>
      </c>
      <c r="G199" s="8">
        <v>12231.179999999997</v>
      </c>
      <c r="H199" s="8">
        <v>12231.179999999997</v>
      </c>
      <c r="I199" s="8">
        <v>12231.179999999997</v>
      </c>
      <c r="J199" s="8">
        <v>12231.179999999997</v>
      </c>
      <c r="K199" s="8">
        <v>12231.179999999997</v>
      </c>
      <c r="L199" s="8">
        <v>12231.179999999997</v>
      </c>
      <c r="M199" s="8">
        <v>12231.179999999997</v>
      </c>
      <c r="N199" s="8">
        <v>12231.179999999997</v>
      </c>
      <c r="O199" s="8">
        <v>12231.179999999997</v>
      </c>
      <c r="P199" s="8">
        <v>12231.179999999997</v>
      </c>
      <c r="Q199" s="8">
        <v>12231.179999999997</v>
      </c>
      <c r="R199" s="8">
        <v>12231.179999999997</v>
      </c>
      <c r="S199" s="8">
        <v>12231.179999999997</v>
      </c>
      <c r="T199" s="8">
        <v>12231.179999999997</v>
      </c>
      <c r="U199" s="8">
        <v>12231.179999999997</v>
      </c>
      <c r="V199" s="8">
        <v>12231.179999999997</v>
      </c>
      <c r="W199" s="8">
        <v>12231.179999999997</v>
      </c>
      <c r="X199" s="8">
        <v>12231.179999999997</v>
      </c>
      <c r="Y199" s="8">
        <v>12231.179999999997</v>
      </c>
      <c r="Z199" s="8">
        <v>12231.179999999997</v>
      </c>
      <c r="AA199" s="8">
        <v>12231.179999999997</v>
      </c>
      <c r="AB199" s="8">
        <v>12231.179999999997</v>
      </c>
      <c r="AC199" s="8">
        <v>293548.31999999989</v>
      </c>
      <c r="AD199" s="113"/>
    </row>
    <row r="200" spans="1:30" x14ac:dyDescent="0.25">
      <c r="A200" s="62"/>
      <c r="B200" s="10" t="s">
        <v>32</v>
      </c>
      <c r="C200" s="42">
        <v>4</v>
      </c>
      <c r="D200" s="119"/>
      <c r="E200" s="8">
        <v>12231.18</v>
      </c>
      <c r="F200" s="8">
        <v>12231.18</v>
      </c>
      <c r="G200" s="8">
        <v>12231.18</v>
      </c>
      <c r="H200" s="8">
        <v>12231.18</v>
      </c>
      <c r="I200" s="8">
        <v>12231.18</v>
      </c>
      <c r="J200" s="8">
        <v>12231.18</v>
      </c>
      <c r="K200" s="8">
        <v>12231.18</v>
      </c>
      <c r="L200" s="8">
        <v>12231.18</v>
      </c>
      <c r="M200" s="8">
        <v>12231.18</v>
      </c>
      <c r="N200" s="8">
        <v>12231.18</v>
      </c>
      <c r="O200" s="8">
        <v>12231.18</v>
      </c>
      <c r="P200" s="8">
        <v>12231.18</v>
      </c>
      <c r="Q200" s="8">
        <v>12231.18</v>
      </c>
      <c r="R200" s="8">
        <v>12231.18</v>
      </c>
      <c r="S200" s="8">
        <v>12231.18</v>
      </c>
      <c r="T200" s="8">
        <v>12231.18</v>
      </c>
      <c r="U200" s="8">
        <v>12231.18</v>
      </c>
      <c r="V200" s="8">
        <v>12231.18</v>
      </c>
      <c r="W200" s="8">
        <v>12231.18</v>
      </c>
      <c r="X200" s="8">
        <v>12231.18</v>
      </c>
      <c r="Y200" s="8">
        <v>12231.18</v>
      </c>
      <c r="Z200" s="8">
        <v>12231.18</v>
      </c>
      <c r="AA200" s="8">
        <v>12231.18</v>
      </c>
      <c r="AB200" s="8">
        <v>12231.18</v>
      </c>
      <c r="AC200" s="8">
        <v>293548.31999999989</v>
      </c>
      <c r="AD200" s="113"/>
    </row>
    <row r="201" spans="1:30" ht="15.75" thickBot="1" x14ac:dyDescent="0.3">
      <c r="A201" s="60"/>
      <c r="B201" s="13" t="s">
        <v>33</v>
      </c>
      <c r="C201" s="47">
        <v>6</v>
      </c>
      <c r="D201" s="120"/>
      <c r="E201" s="8">
        <v>12231.18</v>
      </c>
      <c r="F201" s="8">
        <v>12231.18</v>
      </c>
      <c r="G201" s="8">
        <v>12231.18</v>
      </c>
      <c r="H201" s="8">
        <v>12231.18</v>
      </c>
      <c r="I201" s="8">
        <v>12231.18</v>
      </c>
      <c r="J201" s="8">
        <v>12231.18</v>
      </c>
      <c r="K201" s="8">
        <v>12231.18</v>
      </c>
      <c r="L201" s="8">
        <v>12231.18</v>
      </c>
      <c r="M201" s="8">
        <v>12231.18</v>
      </c>
      <c r="N201" s="8">
        <v>12231.18</v>
      </c>
      <c r="O201" s="8">
        <v>12231.18</v>
      </c>
      <c r="P201" s="8">
        <v>12231.18</v>
      </c>
      <c r="Q201" s="8">
        <v>12231.18</v>
      </c>
      <c r="R201" s="8">
        <v>12231.18</v>
      </c>
      <c r="S201" s="8">
        <v>12231.18</v>
      </c>
      <c r="T201" s="8">
        <v>12231.18</v>
      </c>
      <c r="U201" s="8">
        <v>12231.18</v>
      </c>
      <c r="V201" s="8">
        <v>12231.18</v>
      </c>
      <c r="W201" s="8">
        <v>12231.18</v>
      </c>
      <c r="X201" s="8">
        <v>12231.18</v>
      </c>
      <c r="Y201" s="8">
        <v>12231.18</v>
      </c>
      <c r="Z201" s="8">
        <v>12231.18</v>
      </c>
      <c r="AA201" s="8">
        <v>12231.18</v>
      </c>
      <c r="AB201" s="8">
        <v>12231.18</v>
      </c>
      <c r="AC201" s="8">
        <v>293548.31999999989</v>
      </c>
      <c r="AD201" s="113">
        <v>9099997.9199999962</v>
      </c>
    </row>
    <row r="202" spans="1:30" ht="15.75" thickBot="1" x14ac:dyDescent="0.3">
      <c r="B202" s="57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35"/>
    </row>
    <row r="203" spans="1:30" ht="15.75" thickBot="1" x14ac:dyDescent="0.3">
      <c r="A203" s="66"/>
      <c r="B203" s="67" t="s">
        <v>31</v>
      </c>
      <c r="C203" s="68">
        <v>19</v>
      </c>
      <c r="D203" s="118">
        <v>47270</v>
      </c>
      <c r="E203" s="8">
        <v>12638.890000000005</v>
      </c>
      <c r="F203" s="8">
        <v>12638.890000000005</v>
      </c>
      <c r="G203" s="8">
        <v>12638.890000000005</v>
      </c>
      <c r="H203" s="8">
        <v>12638.890000000005</v>
      </c>
      <c r="I203" s="8">
        <v>12638.890000000005</v>
      </c>
      <c r="J203" s="8">
        <v>12638.890000000005</v>
      </c>
      <c r="K203" s="8">
        <v>12638.890000000005</v>
      </c>
      <c r="L203" s="8">
        <v>12638.890000000005</v>
      </c>
      <c r="M203" s="8">
        <v>12638.890000000005</v>
      </c>
      <c r="N203" s="8">
        <v>12638.890000000005</v>
      </c>
      <c r="O203" s="8">
        <v>12638.890000000005</v>
      </c>
      <c r="P203" s="8">
        <v>12638.890000000005</v>
      </c>
      <c r="Q203" s="8">
        <v>12638.890000000005</v>
      </c>
      <c r="R203" s="8">
        <v>12638.890000000005</v>
      </c>
      <c r="S203" s="8">
        <v>12638.890000000005</v>
      </c>
      <c r="T203" s="8">
        <v>12638.890000000005</v>
      </c>
      <c r="U203" s="8">
        <v>12638.890000000005</v>
      </c>
      <c r="V203" s="8">
        <v>12638.890000000005</v>
      </c>
      <c r="W203" s="8">
        <v>12638.890000000005</v>
      </c>
      <c r="X203" s="8">
        <v>12638.890000000005</v>
      </c>
      <c r="Y203" s="8">
        <v>12638.890000000005</v>
      </c>
      <c r="Z203" s="8">
        <v>12638.890000000005</v>
      </c>
      <c r="AA203" s="8">
        <v>12638.890000000005</v>
      </c>
      <c r="AB203" s="8">
        <v>12638.890000000005</v>
      </c>
      <c r="AC203" s="8">
        <v>303333.36000000022</v>
      </c>
      <c r="AD203" s="113"/>
    </row>
    <row r="204" spans="1:30" x14ac:dyDescent="0.25">
      <c r="A204" s="58"/>
      <c r="B204" s="6" t="s">
        <v>32</v>
      </c>
      <c r="C204" s="7">
        <v>5</v>
      </c>
      <c r="D204" s="119"/>
      <c r="E204" s="8">
        <v>12638.89</v>
      </c>
      <c r="F204" s="8">
        <v>12638.89</v>
      </c>
      <c r="G204" s="8">
        <v>12638.89</v>
      </c>
      <c r="H204" s="8">
        <v>12638.89</v>
      </c>
      <c r="I204" s="8">
        <v>12638.89</v>
      </c>
      <c r="J204" s="8">
        <v>12638.89</v>
      </c>
      <c r="K204" s="8">
        <v>12638.89</v>
      </c>
      <c r="L204" s="8">
        <v>12638.89</v>
      </c>
      <c r="M204" s="8">
        <v>12638.89</v>
      </c>
      <c r="N204" s="8">
        <v>12638.89</v>
      </c>
      <c r="O204" s="8">
        <v>12638.89</v>
      </c>
      <c r="P204" s="8">
        <v>12638.89</v>
      </c>
      <c r="Q204" s="8">
        <v>12638.89</v>
      </c>
      <c r="R204" s="8">
        <v>12638.89</v>
      </c>
      <c r="S204" s="8">
        <v>12638.89</v>
      </c>
      <c r="T204" s="8">
        <v>12638.89</v>
      </c>
      <c r="U204" s="8">
        <v>12638.89</v>
      </c>
      <c r="V204" s="8">
        <v>12638.89</v>
      </c>
      <c r="W204" s="8">
        <v>12638.89</v>
      </c>
      <c r="X204" s="8">
        <v>12638.89</v>
      </c>
      <c r="Y204" s="8">
        <v>12638.89</v>
      </c>
      <c r="Z204" s="8">
        <v>12638.89</v>
      </c>
      <c r="AA204" s="8">
        <v>12638.89</v>
      </c>
      <c r="AB204" s="8">
        <v>12638.89</v>
      </c>
      <c r="AC204" s="8">
        <v>303333.36000000016</v>
      </c>
      <c r="AD204" s="113"/>
    </row>
    <row r="205" spans="1:30" ht="15.75" thickBot="1" x14ac:dyDescent="0.3">
      <c r="A205" s="60"/>
      <c r="B205" s="13" t="s">
        <v>33</v>
      </c>
      <c r="C205" s="14">
        <v>6</v>
      </c>
      <c r="D205" s="120"/>
      <c r="E205" s="8">
        <v>12638.89</v>
      </c>
      <c r="F205" s="8">
        <v>12638.89</v>
      </c>
      <c r="G205" s="8">
        <v>12638.89</v>
      </c>
      <c r="H205" s="8">
        <v>12638.89</v>
      </c>
      <c r="I205" s="8">
        <v>12638.89</v>
      </c>
      <c r="J205" s="8">
        <v>12638.89</v>
      </c>
      <c r="K205" s="8">
        <v>12638.89</v>
      </c>
      <c r="L205" s="8">
        <v>12638.89</v>
      </c>
      <c r="M205" s="8">
        <v>12638.89</v>
      </c>
      <c r="N205" s="8">
        <v>12638.89</v>
      </c>
      <c r="O205" s="8">
        <v>12638.89</v>
      </c>
      <c r="P205" s="8">
        <v>12638.89</v>
      </c>
      <c r="Q205" s="8">
        <v>12638.89</v>
      </c>
      <c r="R205" s="8">
        <v>12638.89</v>
      </c>
      <c r="S205" s="8">
        <v>12638.89</v>
      </c>
      <c r="T205" s="8">
        <v>12638.89</v>
      </c>
      <c r="U205" s="8">
        <v>12638.89</v>
      </c>
      <c r="V205" s="8">
        <v>12638.89</v>
      </c>
      <c r="W205" s="8">
        <v>12638.89</v>
      </c>
      <c r="X205" s="8">
        <v>12638.89</v>
      </c>
      <c r="Y205" s="8">
        <v>12638.89</v>
      </c>
      <c r="Z205" s="8">
        <v>12638.89</v>
      </c>
      <c r="AA205" s="8">
        <v>12638.89</v>
      </c>
      <c r="AB205" s="8">
        <v>12638.89</v>
      </c>
      <c r="AC205" s="8">
        <v>303333.36000000016</v>
      </c>
      <c r="AD205" s="113">
        <v>9100000.8000000063</v>
      </c>
    </row>
    <row r="206" spans="1:30" ht="15.75" thickBot="1" x14ac:dyDescent="0.3">
      <c r="B206" s="57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35"/>
    </row>
    <row r="207" spans="1:30" x14ac:dyDescent="0.25">
      <c r="A207" s="58"/>
      <c r="B207" s="6" t="s">
        <v>31</v>
      </c>
      <c r="C207" s="7">
        <v>20</v>
      </c>
      <c r="D207" s="118">
        <v>47300</v>
      </c>
      <c r="E207" s="8">
        <v>12231.179999999997</v>
      </c>
      <c r="F207" s="8">
        <v>12231.179999999997</v>
      </c>
      <c r="G207" s="8">
        <v>12231.179999999997</v>
      </c>
      <c r="H207" s="8">
        <v>12231.179999999997</v>
      </c>
      <c r="I207" s="8">
        <v>12231.179999999997</v>
      </c>
      <c r="J207" s="8">
        <v>12231.179999999997</v>
      </c>
      <c r="K207" s="8">
        <v>12231.179999999997</v>
      </c>
      <c r="L207" s="8">
        <v>12231.179999999997</v>
      </c>
      <c r="M207" s="8">
        <v>12231.179999999997</v>
      </c>
      <c r="N207" s="8">
        <v>12231.179999999997</v>
      </c>
      <c r="O207" s="8">
        <v>12231.179999999997</v>
      </c>
      <c r="P207" s="8">
        <v>12231.179999999997</v>
      </c>
      <c r="Q207" s="8">
        <v>12231.179999999997</v>
      </c>
      <c r="R207" s="8">
        <v>12231.179999999997</v>
      </c>
      <c r="S207" s="8">
        <v>12231.179999999997</v>
      </c>
      <c r="T207" s="8">
        <v>12231.179999999997</v>
      </c>
      <c r="U207" s="8">
        <v>12231.179999999997</v>
      </c>
      <c r="V207" s="8">
        <v>12231.179999999997</v>
      </c>
      <c r="W207" s="8">
        <v>12231.179999999997</v>
      </c>
      <c r="X207" s="8">
        <v>12231.179999999997</v>
      </c>
      <c r="Y207" s="8">
        <v>12231.179999999997</v>
      </c>
      <c r="Z207" s="8">
        <v>12231.179999999997</v>
      </c>
      <c r="AA207" s="8">
        <v>12231.179999999997</v>
      </c>
      <c r="AB207" s="8">
        <v>12231.179999999997</v>
      </c>
      <c r="AC207" s="8">
        <v>293548.31999999989</v>
      </c>
      <c r="AD207" s="113"/>
    </row>
    <row r="208" spans="1:30" x14ac:dyDescent="0.25">
      <c r="A208" s="62"/>
      <c r="B208" s="10" t="s">
        <v>32</v>
      </c>
      <c r="C208" s="11">
        <v>4</v>
      </c>
      <c r="D208" s="119"/>
      <c r="E208" s="8">
        <v>12231.18</v>
      </c>
      <c r="F208" s="8">
        <v>12231.18</v>
      </c>
      <c r="G208" s="8">
        <v>12231.18</v>
      </c>
      <c r="H208" s="8">
        <v>12231.18</v>
      </c>
      <c r="I208" s="8">
        <v>12231.18</v>
      </c>
      <c r="J208" s="8">
        <v>12231.18</v>
      </c>
      <c r="K208" s="8">
        <v>12231.18</v>
      </c>
      <c r="L208" s="8">
        <v>12231.18</v>
      </c>
      <c r="M208" s="8">
        <v>12231.18</v>
      </c>
      <c r="N208" s="8">
        <v>12231.18</v>
      </c>
      <c r="O208" s="8">
        <v>12231.18</v>
      </c>
      <c r="P208" s="8">
        <v>12231.18</v>
      </c>
      <c r="Q208" s="8">
        <v>12231.18</v>
      </c>
      <c r="R208" s="8">
        <v>12231.18</v>
      </c>
      <c r="S208" s="8">
        <v>12231.18</v>
      </c>
      <c r="T208" s="8">
        <v>12231.18</v>
      </c>
      <c r="U208" s="8">
        <v>12231.18</v>
      </c>
      <c r="V208" s="8">
        <v>12231.18</v>
      </c>
      <c r="W208" s="8">
        <v>12231.18</v>
      </c>
      <c r="X208" s="8">
        <v>12231.18</v>
      </c>
      <c r="Y208" s="8">
        <v>12231.18</v>
      </c>
      <c r="Z208" s="8">
        <v>12231.18</v>
      </c>
      <c r="AA208" s="8">
        <v>12231.18</v>
      </c>
      <c r="AB208" s="8">
        <v>12231.18</v>
      </c>
      <c r="AC208" s="8">
        <v>293548.31999999989</v>
      </c>
      <c r="AD208" s="113"/>
    </row>
    <row r="209" spans="1:30" ht="15.75" thickBot="1" x14ac:dyDescent="0.3">
      <c r="A209" s="60"/>
      <c r="B209" s="13" t="s">
        <v>33</v>
      </c>
      <c r="C209" s="14">
        <v>7</v>
      </c>
      <c r="D209" s="120"/>
      <c r="E209" s="8">
        <v>12231.18</v>
      </c>
      <c r="F209" s="8">
        <v>12231.18</v>
      </c>
      <c r="G209" s="8">
        <v>12231.18</v>
      </c>
      <c r="H209" s="8">
        <v>12231.18</v>
      </c>
      <c r="I209" s="8">
        <v>12231.18</v>
      </c>
      <c r="J209" s="8">
        <v>12231.18</v>
      </c>
      <c r="K209" s="8">
        <v>12231.18</v>
      </c>
      <c r="L209" s="8">
        <v>12231.18</v>
      </c>
      <c r="M209" s="8">
        <v>12231.18</v>
      </c>
      <c r="N209" s="8">
        <v>12231.18</v>
      </c>
      <c r="O209" s="8">
        <v>12231.18</v>
      </c>
      <c r="P209" s="8">
        <v>12231.18</v>
      </c>
      <c r="Q209" s="8">
        <v>12231.18</v>
      </c>
      <c r="R209" s="8">
        <v>12231.18</v>
      </c>
      <c r="S209" s="8">
        <v>12231.18</v>
      </c>
      <c r="T209" s="8">
        <v>12231.18</v>
      </c>
      <c r="U209" s="8">
        <v>12231.18</v>
      </c>
      <c r="V209" s="8">
        <v>12231.18</v>
      </c>
      <c r="W209" s="8">
        <v>12231.18</v>
      </c>
      <c r="X209" s="8">
        <v>12231.18</v>
      </c>
      <c r="Y209" s="8">
        <v>12231.18</v>
      </c>
      <c r="Z209" s="8">
        <v>12231.18</v>
      </c>
      <c r="AA209" s="8">
        <v>12231.18</v>
      </c>
      <c r="AB209" s="8">
        <v>12231.18</v>
      </c>
      <c r="AC209" s="8">
        <v>293548.31999999989</v>
      </c>
      <c r="AD209" s="113">
        <v>9099997.9199999962</v>
      </c>
    </row>
    <row r="210" spans="1:30" ht="15.75" thickBot="1" x14ac:dyDescent="0.3">
      <c r="B210" s="57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35"/>
    </row>
    <row r="211" spans="1:30" x14ac:dyDescent="0.25">
      <c r="A211" s="58"/>
      <c r="B211" s="6" t="s">
        <v>31</v>
      </c>
      <c r="C211" s="7">
        <v>21</v>
      </c>
      <c r="D211" s="118">
        <v>47331</v>
      </c>
      <c r="E211" s="8">
        <v>12231.179999999997</v>
      </c>
      <c r="F211" s="8">
        <v>12231.179999999997</v>
      </c>
      <c r="G211" s="8">
        <v>12231.179999999997</v>
      </c>
      <c r="H211" s="8">
        <v>12231.179999999997</v>
      </c>
      <c r="I211" s="8">
        <v>12231.179999999997</v>
      </c>
      <c r="J211" s="8">
        <v>12231.179999999997</v>
      </c>
      <c r="K211" s="8">
        <v>12231.179999999997</v>
      </c>
      <c r="L211" s="8">
        <v>12231.179999999997</v>
      </c>
      <c r="M211" s="8">
        <v>12231.179999999997</v>
      </c>
      <c r="N211" s="8">
        <v>12231.179999999997</v>
      </c>
      <c r="O211" s="8">
        <v>12231.179999999997</v>
      </c>
      <c r="P211" s="8">
        <v>12231.179999999997</v>
      </c>
      <c r="Q211" s="8">
        <v>12231.179999999997</v>
      </c>
      <c r="R211" s="8">
        <v>12231.179999999997</v>
      </c>
      <c r="S211" s="8">
        <v>12231.179999999997</v>
      </c>
      <c r="T211" s="8">
        <v>12231.179999999997</v>
      </c>
      <c r="U211" s="8">
        <v>12231.179999999997</v>
      </c>
      <c r="V211" s="8">
        <v>12231.179999999997</v>
      </c>
      <c r="W211" s="8">
        <v>12231.179999999997</v>
      </c>
      <c r="X211" s="8">
        <v>12231.179999999997</v>
      </c>
      <c r="Y211" s="8">
        <v>12231.179999999997</v>
      </c>
      <c r="Z211" s="8">
        <v>12231.179999999997</v>
      </c>
      <c r="AA211" s="8">
        <v>12231.179999999997</v>
      </c>
      <c r="AB211" s="8">
        <v>12231.179999999997</v>
      </c>
      <c r="AC211" s="8">
        <v>293548.31999999989</v>
      </c>
      <c r="AD211" s="113"/>
    </row>
    <row r="212" spans="1:30" x14ac:dyDescent="0.25">
      <c r="A212" s="62"/>
      <c r="B212" s="10" t="s">
        <v>32</v>
      </c>
      <c r="C212" s="11">
        <v>4</v>
      </c>
      <c r="D212" s="119"/>
      <c r="E212" s="8">
        <v>12231.18</v>
      </c>
      <c r="F212" s="8">
        <v>12231.18</v>
      </c>
      <c r="G212" s="8">
        <v>12231.18</v>
      </c>
      <c r="H212" s="8">
        <v>12231.18</v>
      </c>
      <c r="I212" s="8">
        <v>12231.18</v>
      </c>
      <c r="J212" s="8">
        <v>12231.18</v>
      </c>
      <c r="K212" s="8">
        <v>12231.18</v>
      </c>
      <c r="L212" s="8">
        <v>12231.18</v>
      </c>
      <c r="M212" s="8">
        <v>12231.18</v>
      </c>
      <c r="N212" s="8">
        <v>12231.18</v>
      </c>
      <c r="O212" s="8">
        <v>12231.18</v>
      </c>
      <c r="P212" s="8">
        <v>12231.18</v>
      </c>
      <c r="Q212" s="8">
        <v>12231.18</v>
      </c>
      <c r="R212" s="8">
        <v>12231.18</v>
      </c>
      <c r="S212" s="8">
        <v>12231.18</v>
      </c>
      <c r="T212" s="8">
        <v>12231.18</v>
      </c>
      <c r="U212" s="8">
        <v>12231.18</v>
      </c>
      <c r="V212" s="8">
        <v>12231.18</v>
      </c>
      <c r="W212" s="8">
        <v>12231.18</v>
      </c>
      <c r="X212" s="8">
        <v>12231.18</v>
      </c>
      <c r="Y212" s="8">
        <v>12231.18</v>
      </c>
      <c r="Z212" s="8">
        <v>12231.18</v>
      </c>
      <c r="AA212" s="8">
        <v>12231.18</v>
      </c>
      <c r="AB212" s="8">
        <v>12231.18</v>
      </c>
      <c r="AC212" s="8">
        <v>293548.31999999989</v>
      </c>
      <c r="AD212" s="113"/>
    </row>
    <row r="213" spans="1:30" ht="15.75" thickBot="1" x14ac:dyDescent="0.3">
      <c r="A213" s="60"/>
      <c r="B213" s="13" t="s">
        <v>33</v>
      </c>
      <c r="C213" s="14">
        <v>6</v>
      </c>
      <c r="D213" s="120"/>
      <c r="E213" s="8">
        <v>12231.18</v>
      </c>
      <c r="F213" s="8">
        <v>12231.18</v>
      </c>
      <c r="G213" s="8">
        <v>12231.18</v>
      </c>
      <c r="H213" s="8">
        <v>12231.18</v>
      </c>
      <c r="I213" s="8">
        <v>12231.18</v>
      </c>
      <c r="J213" s="8">
        <v>12231.18</v>
      </c>
      <c r="K213" s="8">
        <v>12231.18</v>
      </c>
      <c r="L213" s="8">
        <v>12231.18</v>
      </c>
      <c r="M213" s="8">
        <v>12231.18</v>
      </c>
      <c r="N213" s="8">
        <v>12231.18</v>
      </c>
      <c r="O213" s="8">
        <v>12231.18</v>
      </c>
      <c r="P213" s="8">
        <v>12231.18</v>
      </c>
      <c r="Q213" s="8">
        <v>12231.18</v>
      </c>
      <c r="R213" s="8">
        <v>12231.18</v>
      </c>
      <c r="S213" s="8">
        <v>12231.18</v>
      </c>
      <c r="T213" s="8">
        <v>12231.18</v>
      </c>
      <c r="U213" s="8">
        <v>12231.18</v>
      </c>
      <c r="V213" s="8">
        <v>12231.18</v>
      </c>
      <c r="W213" s="8">
        <v>12231.18</v>
      </c>
      <c r="X213" s="8">
        <v>12231.18</v>
      </c>
      <c r="Y213" s="8">
        <v>12231.18</v>
      </c>
      <c r="Z213" s="8">
        <v>12231.18</v>
      </c>
      <c r="AA213" s="8">
        <v>12231.18</v>
      </c>
      <c r="AB213" s="8">
        <v>12231.18</v>
      </c>
      <c r="AC213" s="8">
        <v>293548.31999999989</v>
      </c>
      <c r="AD213" s="113">
        <v>9099997.9199999962</v>
      </c>
    </row>
    <row r="214" spans="1:30" ht="15.75" thickBot="1" x14ac:dyDescent="0.3">
      <c r="B214" s="57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35"/>
    </row>
    <row r="215" spans="1:30" x14ac:dyDescent="0.25">
      <c r="A215" s="58"/>
      <c r="B215" s="6" t="s">
        <v>31</v>
      </c>
      <c r="C215" s="39">
        <v>20</v>
      </c>
      <c r="D215" s="118">
        <v>47362</v>
      </c>
      <c r="E215" s="8">
        <v>12638.890000000005</v>
      </c>
      <c r="F215" s="8">
        <v>12638.890000000005</v>
      </c>
      <c r="G215" s="8">
        <v>12638.890000000005</v>
      </c>
      <c r="H215" s="8">
        <v>12638.890000000005</v>
      </c>
      <c r="I215" s="8">
        <v>12638.890000000005</v>
      </c>
      <c r="J215" s="8">
        <v>12638.890000000005</v>
      </c>
      <c r="K215" s="8">
        <v>12638.890000000005</v>
      </c>
      <c r="L215" s="8">
        <v>12638.890000000005</v>
      </c>
      <c r="M215" s="8">
        <v>12638.890000000005</v>
      </c>
      <c r="N215" s="8">
        <v>12638.890000000005</v>
      </c>
      <c r="O215" s="8">
        <v>12638.890000000005</v>
      </c>
      <c r="P215" s="8">
        <v>12638.890000000005</v>
      </c>
      <c r="Q215" s="8">
        <v>12638.890000000005</v>
      </c>
      <c r="R215" s="8">
        <v>12638.890000000005</v>
      </c>
      <c r="S215" s="8">
        <v>12638.890000000005</v>
      </c>
      <c r="T215" s="8">
        <v>12638.890000000005</v>
      </c>
      <c r="U215" s="8">
        <v>12638.890000000005</v>
      </c>
      <c r="V215" s="8">
        <v>12638.890000000005</v>
      </c>
      <c r="W215" s="8">
        <v>12638.890000000005</v>
      </c>
      <c r="X215" s="8">
        <v>12638.890000000005</v>
      </c>
      <c r="Y215" s="8">
        <v>12638.890000000005</v>
      </c>
      <c r="Z215" s="8">
        <v>12638.890000000005</v>
      </c>
      <c r="AA215" s="8">
        <v>12638.890000000005</v>
      </c>
      <c r="AB215" s="8">
        <v>12638.890000000005</v>
      </c>
      <c r="AC215" s="8">
        <v>303333.36000000022</v>
      </c>
      <c r="AD215" s="113"/>
    </row>
    <row r="216" spans="1:30" x14ac:dyDescent="0.25">
      <c r="A216" s="62"/>
      <c r="B216" s="10" t="s">
        <v>32</v>
      </c>
      <c r="C216" s="42">
        <v>5</v>
      </c>
      <c r="D216" s="119"/>
      <c r="E216" s="8">
        <v>12638.89</v>
      </c>
      <c r="F216" s="8">
        <v>12638.89</v>
      </c>
      <c r="G216" s="8">
        <v>12638.89</v>
      </c>
      <c r="H216" s="8">
        <v>12638.89</v>
      </c>
      <c r="I216" s="8">
        <v>12638.89</v>
      </c>
      <c r="J216" s="8">
        <v>12638.89</v>
      </c>
      <c r="K216" s="8">
        <v>12638.89</v>
      </c>
      <c r="L216" s="8">
        <v>12638.89</v>
      </c>
      <c r="M216" s="8">
        <v>12638.89</v>
      </c>
      <c r="N216" s="8">
        <v>12638.89</v>
      </c>
      <c r="O216" s="8">
        <v>12638.89</v>
      </c>
      <c r="P216" s="8">
        <v>12638.89</v>
      </c>
      <c r="Q216" s="8">
        <v>12638.89</v>
      </c>
      <c r="R216" s="8">
        <v>12638.89</v>
      </c>
      <c r="S216" s="8">
        <v>12638.89</v>
      </c>
      <c r="T216" s="8">
        <v>12638.89</v>
      </c>
      <c r="U216" s="8">
        <v>12638.89</v>
      </c>
      <c r="V216" s="8">
        <v>12638.89</v>
      </c>
      <c r="W216" s="8">
        <v>12638.89</v>
      </c>
      <c r="X216" s="8">
        <v>12638.89</v>
      </c>
      <c r="Y216" s="8">
        <v>12638.89</v>
      </c>
      <c r="Z216" s="8">
        <v>12638.89</v>
      </c>
      <c r="AA216" s="8">
        <v>12638.89</v>
      </c>
      <c r="AB216" s="8">
        <v>12638.89</v>
      </c>
      <c r="AC216" s="8">
        <v>303333.36000000016</v>
      </c>
      <c r="AD216" s="113"/>
    </row>
    <row r="217" spans="1:30" ht="15.75" thickBot="1" x14ac:dyDescent="0.3">
      <c r="A217" s="60"/>
      <c r="B217" s="13" t="s">
        <v>33</v>
      </c>
      <c r="C217" s="47">
        <v>5</v>
      </c>
      <c r="D217" s="120"/>
      <c r="E217" s="8">
        <v>12638.89</v>
      </c>
      <c r="F217" s="8">
        <v>12638.89</v>
      </c>
      <c r="G217" s="8">
        <v>12638.89</v>
      </c>
      <c r="H217" s="8">
        <v>12638.89</v>
      </c>
      <c r="I217" s="8">
        <v>12638.89</v>
      </c>
      <c r="J217" s="8">
        <v>12638.89</v>
      </c>
      <c r="K217" s="8">
        <v>12638.89</v>
      </c>
      <c r="L217" s="8">
        <v>12638.89</v>
      </c>
      <c r="M217" s="8">
        <v>12638.89</v>
      </c>
      <c r="N217" s="8">
        <v>12638.89</v>
      </c>
      <c r="O217" s="8">
        <v>12638.89</v>
      </c>
      <c r="P217" s="8">
        <v>12638.89</v>
      </c>
      <c r="Q217" s="8">
        <v>12638.89</v>
      </c>
      <c r="R217" s="8">
        <v>12638.89</v>
      </c>
      <c r="S217" s="8">
        <v>12638.89</v>
      </c>
      <c r="T217" s="8">
        <v>12638.89</v>
      </c>
      <c r="U217" s="8">
        <v>12638.89</v>
      </c>
      <c r="V217" s="8">
        <v>12638.89</v>
      </c>
      <c r="W217" s="8">
        <v>12638.89</v>
      </c>
      <c r="X217" s="8">
        <v>12638.89</v>
      </c>
      <c r="Y217" s="8">
        <v>12638.89</v>
      </c>
      <c r="Z217" s="8">
        <v>12638.89</v>
      </c>
      <c r="AA217" s="8">
        <v>12638.89</v>
      </c>
      <c r="AB217" s="8">
        <v>12638.89</v>
      </c>
      <c r="AC217" s="8">
        <v>303333.36000000016</v>
      </c>
      <c r="AD217" s="113">
        <v>9100000.8000000063</v>
      </c>
    </row>
    <row r="218" spans="1:30" ht="15.75" thickBot="1" x14ac:dyDescent="0.3">
      <c r="B218" s="57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35"/>
    </row>
    <row r="219" spans="1:30" x14ac:dyDescent="0.25">
      <c r="A219" s="58"/>
      <c r="B219" s="6" t="s">
        <v>31</v>
      </c>
      <c r="C219" s="7">
        <v>22</v>
      </c>
      <c r="D219" s="118">
        <v>47392</v>
      </c>
      <c r="E219" s="8">
        <v>12231.179999999995</v>
      </c>
      <c r="F219" s="8">
        <v>12231.179999999995</v>
      </c>
      <c r="G219" s="8">
        <v>12231.179999999995</v>
      </c>
      <c r="H219" s="8">
        <v>12231.179999999995</v>
      </c>
      <c r="I219" s="8">
        <v>12231.179999999995</v>
      </c>
      <c r="J219" s="8">
        <v>12231.179999999995</v>
      </c>
      <c r="K219" s="8">
        <v>12231.179999999995</v>
      </c>
      <c r="L219" s="8">
        <v>12231.179999999995</v>
      </c>
      <c r="M219" s="8">
        <v>12231.179999999995</v>
      </c>
      <c r="N219" s="8">
        <v>12231.179999999995</v>
      </c>
      <c r="O219" s="8">
        <v>12231.179999999995</v>
      </c>
      <c r="P219" s="8">
        <v>12231.179999999995</v>
      </c>
      <c r="Q219" s="8">
        <v>12231.179999999995</v>
      </c>
      <c r="R219" s="8">
        <v>12231.179999999995</v>
      </c>
      <c r="S219" s="8">
        <v>12231.179999999995</v>
      </c>
      <c r="T219" s="8">
        <v>12231.179999999995</v>
      </c>
      <c r="U219" s="8">
        <v>12231.179999999995</v>
      </c>
      <c r="V219" s="8">
        <v>12231.179999999995</v>
      </c>
      <c r="W219" s="8">
        <v>12231.179999999995</v>
      </c>
      <c r="X219" s="8">
        <v>12231.179999999995</v>
      </c>
      <c r="Y219" s="8">
        <v>12231.179999999995</v>
      </c>
      <c r="Z219" s="8">
        <v>12231.179999999995</v>
      </c>
      <c r="AA219" s="8">
        <v>12231.179999999995</v>
      </c>
      <c r="AB219" s="8">
        <v>12231.179999999995</v>
      </c>
      <c r="AC219" s="8">
        <v>293548.31999999989</v>
      </c>
      <c r="AD219" s="113"/>
    </row>
    <row r="220" spans="1:30" x14ac:dyDescent="0.25">
      <c r="A220" s="62"/>
      <c r="B220" s="10" t="s">
        <v>32</v>
      </c>
      <c r="C220" s="11">
        <v>4</v>
      </c>
      <c r="D220" s="119"/>
      <c r="E220" s="8">
        <v>12231.18</v>
      </c>
      <c r="F220" s="8">
        <v>12231.18</v>
      </c>
      <c r="G220" s="8">
        <v>12231.18</v>
      </c>
      <c r="H220" s="8">
        <v>12231.18</v>
      </c>
      <c r="I220" s="8">
        <v>12231.18</v>
      </c>
      <c r="J220" s="8">
        <v>12231.18</v>
      </c>
      <c r="K220" s="8">
        <v>12231.18</v>
      </c>
      <c r="L220" s="8">
        <v>12231.18</v>
      </c>
      <c r="M220" s="8">
        <v>12231.18</v>
      </c>
      <c r="N220" s="8">
        <v>12231.18</v>
      </c>
      <c r="O220" s="8">
        <v>12231.18</v>
      </c>
      <c r="P220" s="8">
        <v>12231.18</v>
      </c>
      <c r="Q220" s="8">
        <v>12231.18</v>
      </c>
      <c r="R220" s="8">
        <v>12231.18</v>
      </c>
      <c r="S220" s="8">
        <v>12231.18</v>
      </c>
      <c r="T220" s="8">
        <v>12231.18</v>
      </c>
      <c r="U220" s="8">
        <v>12231.18</v>
      </c>
      <c r="V220" s="8">
        <v>12231.18</v>
      </c>
      <c r="W220" s="8">
        <v>12231.18</v>
      </c>
      <c r="X220" s="8">
        <v>12231.18</v>
      </c>
      <c r="Y220" s="8">
        <v>12231.18</v>
      </c>
      <c r="Z220" s="8">
        <v>12231.18</v>
      </c>
      <c r="AA220" s="8">
        <v>12231.18</v>
      </c>
      <c r="AB220" s="8">
        <v>12231.18</v>
      </c>
      <c r="AC220" s="8">
        <v>293548.31999999989</v>
      </c>
      <c r="AD220" s="113"/>
    </row>
    <row r="221" spans="1:30" ht="15.75" thickBot="1" x14ac:dyDescent="0.3">
      <c r="A221" s="60"/>
      <c r="B221" s="13" t="s">
        <v>33</v>
      </c>
      <c r="C221" s="14">
        <v>5</v>
      </c>
      <c r="D221" s="120"/>
      <c r="E221" s="8">
        <v>12231.18</v>
      </c>
      <c r="F221" s="8">
        <v>12231.18</v>
      </c>
      <c r="G221" s="8">
        <v>12231.18</v>
      </c>
      <c r="H221" s="8">
        <v>12231.18</v>
      </c>
      <c r="I221" s="8">
        <v>12231.18</v>
      </c>
      <c r="J221" s="8">
        <v>12231.18</v>
      </c>
      <c r="K221" s="8">
        <v>12231.18</v>
      </c>
      <c r="L221" s="8">
        <v>12231.18</v>
      </c>
      <c r="M221" s="8">
        <v>12231.18</v>
      </c>
      <c r="N221" s="8">
        <v>12231.18</v>
      </c>
      <c r="O221" s="8">
        <v>12231.18</v>
      </c>
      <c r="P221" s="8">
        <v>12231.18</v>
      </c>
      <c r="Q221" s="8">
        <v>12231.18</v>
      </c>
      <c r="R221" s="8">
        <v>12231.18</v>
      </c>
      <c r="S221" s="8">
        <v>12231.18</v>
      </c>
      <c r="T221" s="8">
        <v>12231.18</v>
      </c>
      <c r="U221" s="8">
        <v>12231.18</v>
      </c>
      <c r="V221" s="8">
        <v>12231.18</v>
      </c>
      <c r="W221" s="8">
        <v>12231.18</v>
      </c>
      <c r="X221" s="8">
        <v>12231.18</v>
      </c>
      <c r="Y221" s="8">
        <v>12231.18</v>
      </c>
      <c r="Z221" s="8">
        <v>12231.18</v>
      </c>
      <c r="AA221" s="8">
        <v>12231.18</v>
      </c>
      <c r="AB221" s="8">
        <v>12231.18</v>
      </c>
      <c r="AC221" s="8">
        <v>293548.31999999989</v>
      </c>
      <c r="AD221" s="113">
        <v>9099997.9199999962</v>
      </c>
    </row>
    <row r="222" spans="1:30" ht="15.75" thickBot="1" x14ac:dyDescent="0.3">
      <c r="B222" s="57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35"/>
    </row>
    <row r="223" spans="1:30" x14ac:dyDescent="0.25">
      <c r="A223" s="58"/>
      <c r="B223" s="6" t="s">
        <v>31</v>
      </c>
      <c r="C223" s="39">
        <v>20</v>
      </c>
      <c r="D223" s="118">
        <v>47423</v>
      </c>
      <c r="E223" s="8">
        <v>12638.890000000005</v>
      </c>
      <c r="F223" s="8">
        <v>12638.890000000005</v>
      </c>
      <c r="G223" s="8">
        <v>12638.890000000005</v>
      </c>
      <c r="H223" s="8">
        <v>12638.890000000005</v>
      </c>
      <c r="I223" s="8">
        <v>12638.890000000005</v>
      </c>
      <c r="J223" s="8">
        <v>12638.890000000005</v>
      </c>
      <c r="K223" s="8">
        <v>12638.890000000005</v>
      </c>
      <c r="L223" s="8">
        <v>12638.890000000005</v>
      </c>
      <c r="M223" s="8">
        <v>12638.890000000005</v>
      </c>
      <c r="N223" s="8">
        <v>12638.890000000005</v>
      </c>
      <c r="O223" s="8">
        <v>12638.890000000005</v>
      </c>
      <c r="P223" s="8">
        <v>12638.890000000005</v>
      </c>
      <c r="Q223" s="8">
        <v>12638.890000000005</v>
      </c>
      <c r="R223" s="8">
        <v>12638.890000000005</v>
      </c>
      <c r="S223" s="8">
        <v>12638.890000000005</v>
      </c>
      <c r="T223" s="8">
        <v>12638.890000000005</v>
      </c>
      <c r="U223" s="8">
        <v>12638.890000000005</v>
      </c>
      <c r="V223" s="8">
        <v>12638.890000000005</v>
      </c>
      <c r="W223" s="8">
        <v>12638.890000000005</v>
      </c>
      <c r="X223" s="8">
        <v>12638.890000000005</v>
      </c>
      <c r="Y223" s="8">
        <v>12638.890000000005</v>
      </c>
      <c r="Z223" s="8">
        <v>12638.890000000005</v>
      </c>
      <c r="AA223" s="8">
        <v>12638.890000000005</v>
      </c>
      <c r="AB223" s="8">
        <v>12638.890000000005</v>
      </c>
      <c r="AC223" s="8">
        <v>303333.36000000022</v>
      </c>
      <c r="AD223" s="113"/>
    </row>
    <row r="224" spans="1:30" x14ac:dyDescent="0.25">
      <c r="A224" s="62"/>
      <c r="B224" s="10" t="s">
        <v>32</v>
      </c>
      <c r="C224" s="42">
        <v>4</v>
      </c>
      <c r="D224" s="119"/>
      <c r="E224" s="8">
        <v>12638.89</v>
      </c>
      <c r="F224" s="8">
        <v>12638.89</v>
      </c>
      <c r="G224" s="8">
        <v>12638.89</v>
      </c>
      <c r="H224" s="8">
        <v>12638.89</v>
      </c>
      <c r="I224" s="8">
        <v>12638.89</v>
      </c>
      <c r="J224" s="8">
        <v>12638.89</v>
      </c>
      <c r="K224" s="8">
        <v>12638.89</v>
      </c>
      <c r="L224" s="8">
        <v>12638.89</v>
      </c>
      <c r="M224" s="8">
        <v>12638.89</v>
      </c>
      <c r="N224" s="8">
        <v>12638.89</v>
      </c>
      <c r="O224" s="8">
        <v>12638.89</v>
      </c>
      <c r="P224" s="8">
        <v>12638.89</v>
      </c>
      <c r="Q224" s="8">
        <v>12638.89</v>
      </c>
      <c r="R224" s="8">
        <v>12638.89</v>
      </c>
      <c r="S224" s="8">
        <v>12638.89</v>
      </c>
      <c r="T224" s="8">
        <v>12638.89</v>
      </c>
      <c r="U224" s="8">
        <v>12638.89</v>
      </c>
      <c r="V224" s="8">
        <v>12638.89</v>
      </c>
      <c r="W224" s="8">
        <v>12638.89</v>
      </c>
      <c r="X224" s="8">
        <v>12638.89</v>
      </c>
      <c r="Y224" s="8">
        <v>12638.89</v>
      </c>
      <c r="Z224" s="8">
        <v>12638.89</v>
      </c>
      <c r="AA224" s="8">
        <v>12638.89</v>
      </c>
      <c r="AB224" s="8">
        <v>12638.89</v>
      </c>
      <c r="AC224" s="8">
        <v>303333.36000000016</v>
      </c>
      <c r="AD224" s="113"/>
    </row>
    <row r="225" spans="1:30" ht="15.75" thickBot="1" x14ac:dyDescent="0.3">
      <c r="A225" s="60"/>
      <c r="B225" s="13" t="s">
        <v>33</v>
      </c>
      <c r="C225" s="47">
        <v>6</v>
      </c>
      <c r="D225" s="120"/>
      <c r="E225" s="8">
        <v>12638.89</v>
      </c>
      <c r="F225" s="8">
        <v>12638.89</v>
      </c>
      <c r="G225" s="8">
        <v>12638.89</v>
      </c>
      <c r="H225" s="8">
        <v>12638.89</v>
      </c>
      <c r="I225" s="8">
        <v>12638.89</v>
      </c>
      <c r="J225" s="8">
        <v>12638.89</v>
      </c>
      <c r="K225" s="8">
        <v>12638.89</v>
      </c>
      <c r="L225" s="8">
        <v>12638.89</v>
      </c>
      <c r="M225" s="8">
        <v>12638.89</v>
      </c>
      <c r="N225" s="8">
        <v>12638.89</v>
      </c>
      <c r="O225" s="8">
        <v>12638.89</v>
      </c>
      <c r="P225" s="8">
        <v>12638.89</v>
      </c>
      <c r="Q225" s="8">
        <v>12638.89</v>
      </c>
      <c r="R225" s="8">
        <v>12638.89</v>
      </c>
      <c r="S225" s="8">
        <v>12638.89</v>
      </c>
      <c r="T225" s="8">
        <v>12638.89</v>
      </c>
      <c r="U225" s="8">
        <v>12638.89</v>
      </c>
      <c r="V225" s="8">
        <v>12638.89</v>
      </c>
      <c r="W225" s="8">
        <v>12638.89</v>
      </c>
      <c r="X225" s="8">
        <v>12638.89</v>
      </c>
      <c r="Y225" s="8">
        <v>12638.89</v>
      </c>
      <c r="Z225" s="8">
        <v>12638.89</v>
      </c>
      <c r="AA225" s="8">
        <v>12638.89</v>
      </c>
      <c r="AB225" s="8">
        <v>12638.89</v>
      </c>
      <c r="AC225" s="8">
        <v>303333.36000000016</v>
      </c>
      <c r="AD225" s="113">
        <v>9100000.8000000063</v>
      </c>
    </row>
    <row r="226" spans="1:30" ht="15.75" thickBot="1" x14ac:dyDescent="0.3">
      <c r="B226" s="57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35"/>
    </row>
    <row r="227" spans="1:30" x14ac:dyDescent="0.25">
      <c r="A227" s="58"/>
      <c r="B227" s="6" t="s">
        <v>31</v>
      </c>
      <c r="C227" s="7">
        <v>20</v>
      </c>
      <c r="D227" s="118">
        <v>47453</v>
      </c>
      <c r="E227" s="8">
        <v>7526.8800000000019</v>
      </c>
      <c r="F227" s="8">
        <v>7526.8800000000019</v>
      </c>
      <c r="G227" s="8">
        <v>7526.8800000000019</v>
      </c>
      <c r="H227" s="8">
        <v>7526.8800000000019</v>
      </c>
      <c r="I227" s="8">
        <v>7526.8800000000019</v>
      </c>
      <c r="J227" s="8">
        <v>7526.8800000000019</v>
      </c>
      <c r="K227" s="8">
        <v>7526.8800000000019</v>
      </c>
      <c r="L227" s="8">
        <v>7526.8800000000019</v>
      </c>
      <c r="M227" s="8">
        <v>7526.8800000000019</v>
      </c>
      <c r="N227" s="8">
        <v>7526.8800000000019</v>
      </c>
      <c r="O227" s="8">
        <v>7526.8800000000019</v>
      </c>
      <c r="P227" s="8">
        <v>7526.8800000000019</v>
      </c>
      <c r="Q227" s="8">
        <v>7526.8800000000019</v>
      </c>
      <c r="R227" s="8">
        <v>7526.8800000000019</v>
      </c>
      <c r="S227" s="8">
        <v>7526.8800000000019</v>
      </c>
      <c r="T227" s="8">
        <v>7526.8800000000019</v>
      </c>
      <c r="U227" s="8">
        <v>7526.8800000000019</v>
      </c>
      <c r="V227" s="8">
        <v>7526.8800000000019</v>
      </c>
      <c r="W227" s="8">
        <v>7526.8800000000019</v>
      </c>
      <c r="X227" s="8">
        <v>7526.8800000000019</v>
      </c>
      <c r="Y227" s="8">
        <v>7526.8800000000019</v>
      </c>
      <c r="Z227" s="8">
        <v>7526.8800000000019</v>
      </c>
      <c r="AA227" s="8">
        <v>7526.8800000000019</v>
      </c>
      <c r="AB227" s="8">
        <v>7526.8800000000019</v>
      </c>
      <c r="AC227" s="8">
        <v>180645.12000000008</v>
      </c>
      <c r="AD227" s="113"/>
    </row>
    <row r="228" spans="1:30" x14ac:dyDescent="0.25">
      <c r="A228" s="65"/>
      <c r="B228" s="10" t="s">
        <v>32</v>
      </c>
      <c r="C228" s="11">
        <v>5</v>
      </c>
      <c r="D228" s="119"/>
      <c r="E228" s="8">
        <v>7526.88</v>
      </c>
      <c r="F228" s="8">
        <v>7526.88</v>
      </c>
      <c r="G228" s="8">
        <v>7526.88</v>
      </c>
      <c r="H228" s="8">
        <v>7526.88</v>
      </c>
      <c r="I228" s="8">
        <v>7526.88</v>
      </c>
      <c r="J228" s="8">
        <v>7526.88</v>
      </c>
      <c r="K228" s="8">
        <v>7526.88</v>
      </c>
      <c r="L228" s="8">
        <v>7526.88</v>
      </c>
      <c r="M228" s="8">
        <v>7526.88</v>
      </c>
      <c r="N228" s="8">
        <v>7526.88</v>
      </c>
      <c r="O228" s="8">
        <v>7526.88</v>
      </c>
      <c r="P228" s="8">
        <v>7526.88</v>
      </c>
      <c r="Q228" s="8">
        <v>7526.88</v>
      </c>
      <c r="R228" s="8">
        <v>7526.88</v>
      </c>
      <c r="S228" s="8">
        <v>7526.88</v>
      </c>
      <c r="T228" s="8">
        <v>7526.88</v>
      </c>
      <c r="U228" s="8">
        <v>7526.88</v>
      </c>
      <c r="V228" s="8">
        <v>7526.88</v>
      </c>
      <c r="W228" s="8">
        <v>7526.88</v>
      </c>
      <c r="X228" s="8">
        <v>7526.88</v>
      </c>
      <c r="Y228" s="8">
        <v>7526.88</v>
      </c>
      <c r="Z228" s="8">
        <v>7526.88</v>
      </c>
      <c r="AA228" s="8">
        <v>7526.88</v>
      </c>
      <c r="AB228" s="8">
        <v>7526.88</v>
      </c>
      <c r="AC228" s="8">
        <v>180645.12000000005</v>
      </c>
      <c r="AD228" s="113"/>
    </row>
    <row r="229" spans="1:30" ht="15.75" thickBot="1" x14ac:dyDescent="0.3">
      <c r="A229" s="60"/>
      <c r="B229" s="13" t="s">
        <v>33</v>
      </c>
      <c r="C229" s="14">
        <v>6</v>
      </c>
      <c r="D229" s="120"/>
      <c r="E229" s="8">
        <v>7526.88</v>
      </c>
      <c r="F229" s="8">
        <v>7526.88</v>
      </c>
      <c r="G229" s="8">
        <v>7526.88</v>
      </c>
      <c r="H229" s="8">
        <v>7526.88</v>
      </c>
      <c r="I229" s="8">
        <v>7526.88</v>
      </c>
      <c r="J229" s="8">
        <v>7526.88</v>
      </c>
      <c r="K229" s="8">
        <v>7526.88</v>
      </c>
      <c r="L229" s="8">
        <v>7526.88</v>
      </c>
      <c r="M229" s="8">
        <v>7526.88</v>
      </c>
      <c r="N229" s="8">
        <v>7526.88</v>
      </c>
      <c r="O229" s="8">
        <v>7526.88</v>
      </c>
      <c r="P229" s="8">
        <v>7526.88</v>
      </c>
      <c r="Q229" s="8">
        <v>7526.88</v>
      </c>
      <c r="R229" s="8">
        <v>7526.88</v>
      </c>
      <c r="S229" s="8">
        <v>7526.88</v>
      </c>
      <c r="T229" s="8">
        <v>7526.88</v>
      </c>
      <c r="U229" s="8">
        <v>7526.88</v>
      </c>
      <c r="V229" s="8">
        <v>7526.88</v>
      </c>
      <c r="W229" s="8">
        <v>7526.88</v>
      </c>
      <c r="X229" s="8">
        <v>7526.88</v>
      </c>
      <c r="Y229" s="8">
        <v>7526.88</v>
      </c>
      <c r="Z229" s="8">
        <v>7526.88</v>
      </c>
      <c r="AA229" s="8">
        <v>7526.88</v>
      </c>
      <c r="AB229" s="8">
        <v>7526.88</v>
      </c>
      <c r="AC229" s="8">
        <v>180645.12000000005</v>
      </c>
      <c r="AD229" s="113">
        <v>5599998.7200000025</v>
      </c>
    </row>
  </sheetData>
  <mergeCells count="57">
    <mergeCell ref="D59:D61"/>
    <mergeCell ref="A2:AD2"/>
    <mergeCell ref="D3:D5"/>
    <mergeCell ref="D7:D9"/>
    <mergeCell ref="D31:D33"/>
    <mergeCell ref="D35:D37"/>
    <mergeCell ref="A38:AD38"/>
    <mergeCell ref="D39:D41"/>
    <mergeCell ref="D43:D45"/>
    <mergeCell ref="D47:D49"/>
    <mergeCell ref="D51:D53"/>
    <mergeCell ref="D55:D57"/>
    <mergeCell ref="D103:D105"/>
    <mergeCell ref="D63:D65"/>
    <mergeCell ref="D67:D69"/>
    <mergeCell ref="D71:D73"/>
    <mergeCell ref="D75:D77"/>
    <mergeCell ref="D79:D81"/>
    <mergeCell ref="D83:D85"/>
    <mergeCell ref="A86:AD86"/>
    <mergeCell ref="D87:D89"/>
    <mergeCell ref="D91:D93"/>
    <mergeCell ref="D95:D97"/>
    <mergeCell ref="D99:D101"/>
    <mergeCell ref="D147:D149"/>
    <mergeCell ref="D107:D109"/>
    <mergeCell ref="D111:D113"/>
    <mergeCell ref="D115:D117"/>
    <mergeCell ref="D119:D121"/>
    <mergeCell ref="D123:D125"/>
    <mergeCell ref="D127:D129"/>
    <mergeCell ref="D131:D133"/>
    <mergeCell ref="A134:AD134"/>
    <mergeCell ref="D135:D137"/>
    <mergeCell ref="D139:D141"/>
    <mergeCell ref="D143:D145"/>
    <mergeCell ref="D191:D193"/>
    <mergeCell ref="D151:D153"/>
    <mergeCell ref="D155:D157"/>
    <mergeCell ref="D159:D161"/>
    <mergeCell ref="D163:D165"/>
    <mergeCell ref="D167:D169"/>
    <mergeCell ref="D171:D173"/>
    <mergeCell ref="D175:D177"/>
    <mergeCell ref="D179:D181"/>
    <mergeCell ref="A182:AD182"/>
    <mergeCell ref="D183:D185"/>
    <mergeCell ref="D187:D189"/>
    <mergeCell ref="D219:D221"/>
    <mergeCell ref="D223:D225"/>
    <mergeCell ref="D227:D229"/>
    <mergeCell ref="D195:D197"/>
    <mergeCell ref="D199:D201"/>
    <mergeCell ref="D203:D205"/>
    <mergeCell ref="D207:D209"/>
    <mergeCell ref="D211:D213"/>
    <mergeCell ref="D215:D2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54854-3F82-43BB-A78E-2B60168AA227}">
  <dimension ref="A1:I87"/>
  <sheetViews>
    <sheetView workbookViewId="0">
      <selection activeCell="B81" sqref="B2:F81"/>
    </sheetView>
  </sheetViews>
  <sheetFormatPr baseColWidth="10" defaultRowHeight="15" x14ac:dyDescent="0.25"/>
  <cols>
    <col min="2" max="2" width="15.85546875" customWidth="1"/>
    <col min="3" max="3" width="19.140625" style="29" bestFit="1" customWidth="1"/>
    <col min="4" max="4" width="21.7109375" customWidth="1"/>
    <col min="5" max="5" width="18.140625" style="106" customWidth="1"/>
    <col min="6" max="6" width="28.7109375" customWidth="1"/>
    <col min="7" max="7" width="11.85546875" bestFit="1" customWidth="1"/>
  </cols>
  <sheetData>
    <row r="1" spans="1:7" x14ac:dyDescent="0.25">
      <c r="A1" s="137"/>
      <c r="B1" s="137"/>
      <c r="C1" s="137"/>
      <c r="D1" s="137"/>
      <c r="E1" s="137"/>
      <c r="F1" s="137"/>
      <c r="G1" s="137"/>
    </row>
    <row r="2" spans="1:7" ht="16.5" x14ac:dyDescent="0.25">
      <c r="D2" s="69" t="s">
        <v>63</v>
      </c>
      <c r="E2" s="105"/>
    </row>
    <row r="3" spans="1:7" ht="16.5" x14ac:dyDescent="0.25">
      <c r="D3" s="69" t="s">
        <v>39</v>
      </c>
      <c r="E3" s="105"/>
    </row>
    <row r="5" spans="1:7" ht="16.5" x14ac:dyDescent="0.25">
      <c r="B5" s="70" t="s">
        <v>40</v>
      </c>
      <c r="C5" s="92"/>
      <c r="D5" s="138" t="s">
        <v>58</v>
      </c>
      <c r="E5" s="138"/>
      <c r="F5" s="138"/>
    </row>
    <row r="6" spans="1:7" ht="16.5" x14ac:dyDescent="0.25">
      <c r="B6" s="70" t="s">
        <v>41</v>
      </c>
      <c r="C6" s="92"/>
      <c r="D6" s="139" t="s">
        <v>42</v>
      </c>
      <c r="E6" s="139"/>
      <c r="F6" s="139"/>
    </row>
    <row r="7" spans="1:7" ht="16.5" x14ac:dyDescent="0.25">
      <c r="B7" s="70" t="s">
        <v>43</v>
      </c>
      <c r="C7" s="92"/>
      <c r="D7" s="139" t="s">
        <v>44</v>
      </c>
      <c r="E7" s="139"/>
      <c r="F7" s="139"/>
    </row>
    <row r="8" spans="1:7" ht="16.5" x14ac:dyDescent="0.25">
      <c r="B8" s="70" t="s">
        <v>45</v>
      </c>
      <c r="C8" s="92"/>
      <c r="D8" s="139" t="s">
        <v>53</v>
      </c>
      <c r="E8" s="139"/>
      <c r="F8" s="139"/>
    </row>
    <row r="9" spans="1:7" ht="15.75" thickBot="1" x14ac:dyDescent="0.3"/>
    <row r="10" spans="1:7" ht="15.75" customHeight="1" thickBot="1" x14ac:dyDescent="0.3">
      <c r="B10" s="140" t="s">
        <v>46</v>
      </c>
      <c r="C10" s="141"/>
      <c r="D10" s="141"/>
      <c r="E10" s="141"/>
      <c r="F10" s="142"/>
    </row>
    <row r="11" spans="1:7" ht="30.75" thickBot="1" x14ac:dyDescent="0.3">
      <c r="B11" s="72" t="s">
        <v>47</v>
      </c>
      <c r="C11" s="93" t="s">
        <v>55</v>
      </c>
      <c r="D11" s="73" t="s">
        <v>56</v>
      </c>
      <c r="E11" s="107" t="s">
        <v>57</v>
      </c>
      <c r="F11" s="73" t="s">
        <v>54</v>
      </c>
    </row>
    <row r="12" spans="1:7" ht="17.25" thickBot="1" x14ac:dyDescent="0.3">
      <c r="B12" s="74">
        <v>45748</v>
      </c>
      <c r="C12" s="94">
        <f>'Cantidades - Producto 1'!AD5</f>
        <v>2660004</v>
      </c>
      <c r="D12" s="75"/>
      <c r="E12" s="91">
        <v>0</v>
      </c>
      <c r="F12" s="75">
        <v>0</v>
      </c>
      <c r="G12" s="29">
        <f>+C12+'Anexo 3 Oferta P3'!C12</f>
        <v>5660007.8249999993</v>
      </c>
    </row>
    <row r="13" spans="1:7" ht="17.25" thickBot="1" x14ac:dyDescent="0.3">
      <c r="B13" s="74">
        <v>45778</v>
      </c>
      <c r="C13" s="94">
        <f>'Cantidades - Producto 1'!AD9</f>
        <v>2837836.8000000054</v>
      </c>
      <c r="D13" s="75"/>
      <c r="E13" s="91">
        <v>0</v>
      </c>
      <c r="F13" s="75"/>
    </row>
    <row r="14" spans="1:7" ht="17.25" thickBot="1" x14ac:dyDescent="0.3">
      <c r="B14" s="74">
        <v>45809</v>
      </c>
      <c r="C14" s="94">
        <f>'Cantidades - Producto 1'!AD13</f>
        <v>2660003.9999999986</v>
      </c>
      <c r="D14" s="75"/>
      <c r="E14" s="91">
        <v>0</v>
      </c>
      <c r="F14" s="75"/>
    </row>
    <row r="15" spans="1:7" ht="17.25" thickBot="1" x14ac:dyDescent="0.3">
      <c r="B15" s="74">
        <v>45839</v>
      </c>
      <c r="C15" s="94">
        <f>'Cantidades - Producto 1'!AD17</f>
        <v>2572000.5600000084</v>
      </c>
      <c r="D15" s="75"/>
      <c r="E15" s="91">
        <v>0</v>
      </c>
      <c r="F15" s="75"/>
    </row>
    <row r="16" spans="1:7" ht="17.25" thickBot="1" x14ac:dyDescent="0.3">
      <c r="B16" s="74">
        <v>45870</v>
      </c>
      <c r="C16" s="94">
        <f>'Cantidades - Producto 1'!AD21</f>
        <v>2572000.5600000005</v>
      </c>
      <c r="D16" s="75"/>
      <c r="E16" s="91">
        <v>0</v>
      </c>
      <c r="F16" s="75"/>
    </row>
    <row r="17" spans="2:9" ht="17.25" thickBot="1" x14ac:dyDescent="0.3">
      <c r="B17" s="74">
        <v>45901</v>
      </c>
      <c r="C17" s="94">
        <f>'Cantidades - Producto 1'!AD25</f>
        <v>2260000.7999999998</v>
      </c>
      <c r="D17" s="75"/>
      <c r="E17" s="91">
        <v>0</v>
      </c>
      <c r="F17" s="75"/>
    </row>
    <row r="18" spans="2:9" ht="17.25" thickBot="1" x14ac:dyDescent="0.3">
      <c r="B18" s="74">
        <v>45931</v>
      </c>
      <c r="C18" s="94">
        <f>'Cantidades - Producto 1'!AD29</f>
        <v>2572000.560000008</v>
      </c>
      <c r="D18" s="75"/>
      <c r="E18" s="91">
        <v>0</v>
      </c>
      <c r="F18" s="75"/>
    </row>
    <row r="19" spans="2:9" ht="17.25" thickBot="1" x14ac:dyDescent="0.3">
      <c r="B19" s="74">
        <v>45962</v>
      </c>
      <c r="C19" s="94">
        <f>'Cantidades - Producto 1'!AD33</f>
        <v>2260007.9999999986</v>
      </c>
      <c r="D19" s="75"/>
      <c r="E19" s="91">
        <v>0</v>
      </c>
      <c r="F19" s="75"/>
    </row>
    <row r="20" spans="2:9" ht="17.25" thickBot="1" x14ac:dyDescent="0.3">
      <c r="B20" s="74">
        <v>45992</v>
      </c>
      <c r="C20" s="94">
        <f>'Cantidades - Producto 1'!AD37</f>
        <v>1811000.160000002</v>
      </c>
      <c r="D20" s="75"/>
      <c r="E20" s="91">
        <v>0</v>
      </c>
      <c r="F20" s="75"/>
    </row>
    <row r="21" spans="2:9" ht="17.25" thickBot="1" x14ac:dyDescent="0.3">
      <c r="B21" s="76" t="s">
        <v>48</v>
      </c>
      <c r="C21" s="95">
        <f>SUM(C12:C20)</f>
        <v>22204855.440000027</v>
      </c>
      <c r="D21" s="77"/>
      <c r="E21" s="108"/>
      <c r="F21" s="78"/>
    </row>
    <row r="22" spans="2:9" ht="17.25" thickBot="1" x14ac:dyDescent="0.3">
      <c r="B22" s="74">
        <v>46023</v>
      </c>
      <c r="C22" s="96">
        <f>'Cantidades - Producto 1'!AD41</f>
        <v>7059193.752576001</v>
      </c>
      <c r="D22" s="75"/>
      <c r="E22" s="91">
        <v>0</v>
      </c>
      <c r="F22" s="75"/>
      <c r="I22" s="90"/>
    </row>
    <row r="23" spans="2:9" ht="17.25" thickBot="1" x14ac:dyDescent="0.3">
      <c r="B23" s="74">
        <v>46054</v>
      </c>
      <c r="C23" s="96">
        <f>'Cantidades - Producto 1'!AD45</f>
        <v>4461902.3199999975</v>
      </c>
      <c r="D23" s="75"/>
      <c r="E23" s="91">
        <v>0</v>
      </c>
      <c r="F23" s="75"/>
    </row>
    <row r="24" spans="2:9" ht="17.25" thickBot="1" x14ac:dyDescent="0.3">
      <c r="B24" s="74">
        <v>46082</v>
      </c>
      <c r="C24" s="96">
        <f>'Cantidades - Producto 1'!AD49</f>
        <v>7812008.9399999948</v>
      </c>
      <c r="D24" s="75"/>
      <c r="E24" s="91">
        <v>0</v>
      </c>
      <c r="F24" s="75"/>
    </row>
    <row r="25" spans="2:9" ht="17.25" thickBot="1" x14ac:dyDescent="0.3">
      <c r="B25" s="74">
        <v>46113</v>
      </c>
      <c r="C25" s="96">
        <f>'Cantidades - Producto 1'!AD53</f>
        <v>6086826.3426809991</v>
      </c>
      <c r="D25" s="75"/>
      <c r="E25" s="91">
        <v>0</v>
      </c>
      <c r="F25" s="75"/>
    </row>
    <row r="26" spans="2:9" ht="17.25" thickBot="1" x14ac:dyDescent="0.3">
      <c r="B26" s="74">
        <v>46143</v>
      </c>
      <c r="C26" s="96">
        <f>'Cantidades - Producto 1'!AD57</f>
        <v>6327237.4706309987</v>
      </c>
      <c r="D26" s="75"/>
      <c r="E26" s="91">
        <v>0</v>
      </c>
      <c r="F26" s="75"/>
    </row>
    <row r="27" spans="2:9" ht="17.25" thickBot="1" x14ac:dyDescent="0.3">
      <c r="B27" s="74">
        <v>46174</v>
      </c>
      <c r="C27" s="96">
        <f>'Cantidades - Producto 1'!AD61</f>
        <v>7248631.5600000033</v>
      </c>
      <c r="D27" s="75"/>
      <c r="E27" s="91">
        <v>0</v>
      </c>
      <c r="F27" s="75"/>
    </row>
    <row r="28" spans="2:9" ht="17.25" thickBot="1" x14ac:dyDescent="0.3">
      <c r="B28" s="74">
        <v>46204</v>
      </c>
      <c r="C28" s="96">
        <f>'Cantidades - Producto 1'!AD65</f>
        <v>7314930.8946840009</v>
      </c>
      <c r="D28" s="75"/>
      <c r="E28" s="91">
        <v>0</v>
      </c>
      <c r="F28" s="75"/>
    </row>
    <row r="29" spans="2:9" ht="17.25" thickBot="1" x14ac:dyDescent="0.3">
      <c r="B29" s="74">
        <v>46235</v>
      </c>
      <c r="C29" s="96">
        <f>'Cantidades - Producto 1'!AD69</f>
        <v>6441105.6835754998</v>
      </c>
      <c r="D29" s="75"/>
      <c r="E29" s="91">
        <v>0</v>
      </c>
      <c r="F29" s="75"/>
    </row>
    <row r="30" spans="2:9" ht="17.25" thickBot="1" x14ac:dyDescent="0.3">
      <c r="B30" s="74">
        <v>46266</v>
      </c>
      <c r="C30" s="96">
        <f>'Cantidades - Producto 1'!AD73</f>
        <v>6270407.0188199989</v>
      </c>
      <c r="D30" s="75"/>
      <c r="E30" s="91">
        <v>0</v>
      </c>
      <c r="F30" s="75"/>
    </row>
    <row r="31" spans="2:9" ht="17.25" thickBot="1" x14ac:dyDescent="0.3">
      <c r="B31" s="74">
        <v>46296</v>
      </c>
      <c r="C31" s="96">
        <f>'Cantidades - Producto 1'!AD77</f>
        <v>6516255.5585085005</v>
      </c>
      <c r="D31" s="75"/>
      <c r="E31" s="91">
        <v>0</v>
      </c>
      <c r="F31" s="75"/>
    </row>
    <row r="32" spans="2:9" ht="17.25" thickBot="1" x14ac:dyDescent="0.3">
      <c r="B32" s="74">
        <v>46327</v>
      </c>
      <c r="C32" s="96">
        <f>'Cantidades - Producto 1'!AD81</f>
        <v>5919030.6788024986</v>
      </c>
      <c r="D32" s="75"/>
      <c r="E32" s="91">
        <v>0</v>
      </c>
      <c r="F32" s="75"/>
    </row>
    <row r="33" spans="2:6" ht="17.25" thickBot="1" x14ac:dyDescent="0.3">
      <c r="B33" s="74">
        <v>46357</v>
      </c>
      <c r="C33" s="96">
        <f>'Cantidades - Producto 1'!AD85</f>
        <v>5077185.7899999972</v>
      </c>
      <c r="D33" s="75"/>
      <c r="E33" s="91">
        <v>0</v>
      </c>
      <c r="F33" s="75"/>
    </row>
    <row r="34" spans="2:6" ht="17.25" thickBot="1" x14ac:dyDescent="0.3">
      <c r="B34" s="76">
        <v>2026</v>
      </c>
      <c r="C34" s="95">
        <f>SUM(C22:C33)</f>
        <v>76534716.010278493</v>
      </c>
      <c r="D34" s="77"/>
      <c r="E34" s="108"/>
      <c r="F34" s="78"/>
    </row>
    <row r="35" spans="2:6" ht="17.25" thickBot="1" x14ac:dyDescent="0.3">
      <c r="B35" s="74">
        <v>46388</v>
      </c>
      <c r="C35" s="96">
        <f>'Cantidades - Producto 1'!AD89</f>
        <v>4423628.3000000007</v>
      </c>
      <c r="D35" s="75"/>
      <c r="E35" s="91">
        <v>0</v>
      </c>
      <c r="F35" s="75"/>
    </row>
    <row r="36" spans="2:6" ht="17.25" thickBot="1" x14ac:dyDescent="0.3">
      <c r="B36" s="74">
        <v>46419</v>
      </c>
      <c r="C36" s="96">
        <f>'Cantidades - Producto 1'!AD93</f>
        <v>4823468.9200000018</v>
      </c>
      <c r="D36" s="75"/>
      <c r="E36" s="91">
        <v>0</v>
      </c>
      <c r="F36" s="75"/>
    </row>
    <row r="37" spans="2:6" ht="17.25" thickBot="1" x14ac:dyDescent="0.3">
      <c r="B37" s="74">
        <v>46447</v>
      </c>
      <c r="C37" s="96">
        <f>'Cantidades - Producto 1'!AD97</f>
        <v>8912198.5299999993</v>
      </c>
      <c r="D37" s="75"/>
      <c r="E37" s="91">
        <v>0</v>
      </c>
      <c r="F37" s="75"/>
    </row>
    <row r="38" spans="2:6" ht="17.25" thickBot="1" x14ac:dyDescent="0.3">
      <c r="B38" s="74">
        <v>46478</v>
      </c>
      <c r="C38" s="96">
        <f>'Cantidades - Producto 1'!AD101</f>
        <v>7454656.5110639986</v>
      </c>
      <c r="D38" s="75"/>
      <c r="E38" s="91">
        <v>0</v>
      </c>
      <c r="F38" s="75"/>
    </row>
    <row r="39" spans="2:6" ht="17.25" thickBot="1" x14ac:dyDescent="0.3">
      <c r="B39" s="74">
        <v>46508</v>
      </c>
      <c r="C39" s="96">
        <f>'Cantidades - Producto 1'!AD105</f>
        <v>7747001.5447440008</v>
      </c>
      <c r="D39" s="75"/>
      <c r="E39" s="91">
        <v>0</v>
      </c>
      <c r="F39" s="75"/>
    </row>
    <row r="40" spans="2:6" ht="17.25" thickBot="1" x14ac:dyDescent="0.3">
      <c r="B40" s="74">
        <v>46539</v>
      </c>
      <c r="C40" s="96">
        <f>'Cantidades - Producto 1'!AD109</f>
        <v>6598464.8922779988</v>
      </c>
      <c r="D40" s="75"/>
      <c r="E40" s="91">
        <v>0</v>
      </c>
      <c r="F40" s="75"/>
    </row>
    <row r="41" spans="2:6" ht="17.25" thickBot="1" x14ac:dyDescent="0.3">
      <c r="B41" s="74">
        <v>46569</v>
      </c>
      <c r="C41" s="96">
        <f>'Cantidades - Producto 1'!AD113</f>
        <v>8667879.5899999999</v>
      </c>
      <c r="D41" s="75"/>
      <c r="E41" s="91">
        <v>0</v>
      </c>
      <c r="F41" s="75"/>
    </row>
    <row r="42" spans="2:6" ht="17.25" thickBot="1" x14ac:dyDescent="0.3">
      <c r="B42" s="74">
        <v>46600</v>
      </c>
      <c r="C42" s="96">
        <f>'Cantidades - Producto 1'!AD117</f>
        <v>6892331.8884420004</v>
      </c>
      <c r="D42" s="75"/>
      <c r="E42" s="91">
        <v>0</v>
      </c>
      <c r="F42" s="75"/>
    </row>
    <row r="43" spans="2:6" ht="17.25" thickBot="1" x14ac:dyDescent="0.3">
      <c r="B43" s="74">
        <v>46631</v>
      </c>
      <c r="C43" s="96">
        <f>'Cantidades - Producto 1'!AD121</f>
        <v>6706239.0261824997</v>
      </c>
      <c r="D43" s="75"/>
      <c r="E43" s="91">
        <v>0</v>
      </c>
      <c r="F43" s="75"/>
    </row>
    <row r="44" spans="2:6" ht="17.25" thickBot="1" x14ac:dyDescent="0.3">
      <c r="B44" s="74">
        <v>46661</v>
      </c>
      <c r="C44" s="96">
        <f>'Cantidades - Producto 1'!AD125</f>
        <v>6851576.2700000014</v>
      </c>
      <c r="D44" s="75"/>
      <c r="E44" s="91">
        <v>0</v>
      </c>
      <c r="F44" s="75"/>
    </row>
    <row r="45" spans="2:6" ht="17.25" thickBot="1" x14ac:dyDescent="0.3">
      <c r="B45" s="74">
        <v>46692</v>
      </c>
      <c r="C45" s="96">
        <f>'Cantidades - Producto 1'!AD129</f>
        <v>6781814.0158544993</v>
      </c>
      <c r="D45" s="75"/>
      <c r="E45" s="91">
        <v>0</v>
      </c>
      <c r="F45" s="75"/>
    </row>
    <row r="46" spans="2:6" ht="17.25" thickBot="1" x14ac:dyDescent="0.3">
      <c r="B46" s="74">
        <v>46722</v>
      </c>
      <c r="C46" s="96">
        <f>'Cantidades - Producto 1'!AD133</f>
        <v>7044430.0040414985</v>
      </c>
      <c r="D46" s="75"/>
      <c r="E46" s="91">
        <v>0</v>
      </c>
      <c r="F46" s="75"/>
    </row>
    <row r="47" spans="2:6" ht="17.25" thickBot="1" x14ac:dyDescent="0.3">
      <c r="B47" s="79">
        <v>2027</v>
      </c>
      <c r="C47" s="97">
        <f>SUM(C35:C46)</f>
        <v>82903689.492606491</v>
      </c>
      <c r="D47" s="80"/>
      <c r="E47" s="109"/>
      <c r="F47" s="81"/>
    </row>
    <row r="48" spans="2:6" ht="17.25" thickBot="1" x14ac:dyDescent="0.3">
      <c r="B48" s="82">
        <v>46753</v>
      </c>
      <c r="C48" s="98">
        <f>'Cantidades - Producto 1'!AD137</f>
        <v>4449997.9199999962</v>
      </c>
      <c r="D48" s="83"/>
      <c r="E48" s="91">
        <v>0</v>
      </c>
      <c r="F48" s="83"/>
    </row>
    <row r="49" spans="2:6" ht="17.25" thickBot="1" x14ac:dyDescent="0.3">
      <c r="B49" s="74">
        <v>46784</v>
      </c>
      <c r="C49" s="96">
        <f>'Cantidades - Producto 1'!AD141</f>
        <v>4450001.2799999975</v>
      </c>
      <c r="D49" s="75"/>
      <c r="E49" s="91">
        <v>0</v>
      </c>
      <c r="F49" s="75"/>
    </row>
    <row r="50" spans="2:6" ht="17.25" thickBot="1" x14ac:dyDescent="0.3">
      <c r="B50" s="74">
        <v>46813</v>
      </c>
      <c r="C50" s="96">
        <f>'Cantidades - Producto 1'!AD145</f>
        <v>4449997.9199999962</v>
      </c>
      <c r="D50" s="75"/>
      <c r="E50" s="91">
        <v>0</v>
      </c>
      <c r="F50" s="75"/>
    </row>
    <row r="51" spans="2:6" ht="17.25" thickBot="1" x14ac:dyDescent="0.3">
      <c r="B51" s="74">
        <v>46844</v>
      </c>
      <c r="C51" s="96">
        <f>'Cantidades - Producto 1'!AD149</f>
        <v>4450003.1999999993</v>
      </c>
      <c r="D51" s="75"/>
      <c r="E51" s="91">
        <v>0</v>
      </c>
      <c r="F51" s="75"/>
    </row>
    <row r="52" spans="2:6" ht="17.25" thickBot="1" x14ac:dyDescent="0.3">
      <c r="B52" s="74">
        <v>46874</v>
      </c>
      <c r="C52" s="96">
        <f>'Cantidades - Producto 1'!AD153</f>
        <v>6549997.4400000013</v>
      </c>
      <c r="D52" s="75"/>
      <c r="E52" s="91">
        <v>0</v>
      </c>
      <c r="F52" s="75"/>
    </row>
    <row r="53" spans="2:6" ht="17.25" thickBot="1" x14ac:dyDescent="0.3">
      <c r="B53" s="74">
        <v>46905</v>
      </c>
      <c r="C53" s="96">
        <f>'Cantidades - Producto 1'!AD157</f>
        <v>9549993.6000000015</v>
      </c>
      <c r="D53" s="75"/>
      <c r="E53" s="91">
        <v>0</v>
      </c>
      <c r="F53" s="75"/>
    </row>
    <row r="54" spans="2:6" ht="17.25" thickBot="1" x14ac:dyDescent="0.3">
      <c r="B54" s="74">
        <v>46935</v>
      </c>
      <c r="C54" s="96">
        <f>'Cantidades - Producto 1'!AD161</f>
        <v>6549997.4400000023</v>
      </c>
      <c r="D54" s="75"/>
      <c r="E54" s="91">
        <v>0</v>
      </c>
      <c r="F54" s="75"/>
    </row>
    <row r="55" spans="2:6" ht="17.25" thickBot="1" x14ac:dyDescent="0.3">
      <c r="B55" s="74">
        <v>46966</v>
      </c>
      <c r="C55" s="96">
        <f>'Cantidades - Producto 1'!AD165</f>
        <v>4464000</v>
      </c>
      <c r="D55" s="75"/>
      <c r="E55" s="91">
        <v>0</v>
      </c>
      <c r="F55" s="75"/>
    </row>
    <row r="56" spans="2:6" ht="17.25" thickBot="1" x14ac:dyDescent="0.3">
      <c r="B56" s="74">
        <v>46997</v>
      </c>
      <c r="C56" s="96">
        <f>'Cantidades - Producto 1'!AD169</f>
        <v>9549993.6000000015</v>
      </c>
      <c r="D56" s="75"/>
      <c r="E56" s="91">
        <v>0</v>
      </c>
      <c r="F56" s="75"/>
    </row>
    <row r="57" spans="2:6" ht="17.25" thickBot="1" x14ac:dyDescent="0.3">
      <c r="B57" s="74">
        <v>47027</v>
      </c>
      <c r="C57" s="96">
        <f>'Cantidades - Producto 1'!AD173</f>
        <v>9549998.879999999</v>
      </c>
      <c r="D57" s="75"/>
      <c r="E57" s="91">
        <v>0</v>
      </c>
      <c r="F57" s="75"/>
    </row>
    <row r="58" spans="2:6" ht="17.25" thickBot="1" x14ac:dyDescent="0.3">
      <c r="B58" s="74">
        <v>47058</v>
      </c>
      <c r="C58" s="96">
        <f>'Cantidades - Producto 1'!AD177</f>
        <v>6549998.3999999994</v>
      </c>
      <c r="D58" s="75"/>
      <c r="E58" s="91">
        <v>0</v>
      </c>
      <c r="F58" s="75"/>
    </row>
    <row r="59" spans="2:6" ht="17.25" thickBot="1" x14ac:dyDescent="0.3">
      <c r="B59" s="74">
        <v>47088</v>
      </c>
      <c r="C59" s="96">
        <f>'Cantidades - Producto 1'!AD181</f>
        <v>4799997.8399999989</v>
      </c>
      <c r="D59" s="75"/>
      <c r="E59" s="91">
        <v>0</v>
      </c>
      <c r="F59" s="75"/>
    </row>
    <row r="60" spans="2:6" ht="17.25" thickBot="1" x14ac:dyDescent="0.3">
      <c r="B60" s="84">
        <v>2028</v>
      </c>
      <c r="C60" s="99">
        <f>SUM(C48:C59)</f>
        <v>75363977.520000011</v>
      </c>
      <c r="D60" s="85"/>
      <c r="E60" s="110"/>
      <c r="F60" s="85"/>
    </row>
    <row r="61" spans="2:6" ht="17.25" thickBot="1" x14ac:dyDescent="0.3">
      <c r="B61" s="82">
        <v>47119</v>
      </c>
      <c r="C61" s="98">
        <f>'Cantidades - Producto 1'!AD185</f>
        <v>5058063.3600000003</v>
      </c>
      <c r="D61" s="83"/>
      <c r="E61" s="91">
        <v>0</v>
      </c>
      <c r="F61" s="83"/>
    </row>
    <row r="62" spans="2:6" ht="17.25" thickBot="1" x14ac:dyDescent="0.3">
      <c r="B62" s="74">
        <v>47150</v>
      </c>
      <c r="C62" s="96">
        <f>'Cantidades - Producto 1'!AD189</f>
        <v>4899995.5200000014</v>
      </c>
      <c r="D62" s="75"/>
      <c r="E62" s="91">
        <v>0</v>
      </c>
      <c r="F62" s="75"/>
    </row>
    <row r="63" spans="2:6" ht="17.25" thickBot="1" x14ac:dyDescent="0.3">
      <c r="B63" s="74">
        <v>47178</v>
      </c>
      <c r="C63" s="96">
        <f>'Cantidades - Producto 1'!AD193</f>
        <v>4899998.88</v>
      </c>
      <c r="D63" s="75"/>
      <c r="E63" s="91">
        <v>0</v>
      </c>
      <c r="F63" s="75"/>
    </row>
    <row r="64" spans="2:6" ht="17.25" thickBot="1" x14ac:dyDescent="0.3">
      <c r="B64" s="74">
        <v>47209</v>
      </c>
      <c r="C64" s="96">
        <f>'Cantidades - Producto 1'!AD197</f>
        <v>4899995.9999999991</v>
      </c>
      <c r="D64" s="75"/>
      <c r="E64" s="91">
        <v>0</v>
      </c>
      <c r="F64" s="75"/>
    </row>
    <row r="65" spans="2:6" ht="17.25" thickBot="1" x14ac:dyDescent="0.3">
      <c r="B65" s="74">
        <v>47239</v>
      </c>
      <c r="C65" s="96">
        <f>'Cantidades - Producto 1'!AD201</f>
        <v>9099997.9199999962</v>
      </c>
      <c r="D65" s="75"/>
      <c r="E65" s="91">
        <v>0</v>
      </c>
      <c r="F65" s="75"/>
    </row>
    <row r="66" spans="2:6" ht="17.25" thickBot="1" x14ac:dyDescent="0.3">
      <c r="B66" s="74">
        <v>47270</v>
      </c>
      <c r="C66" s="96">
        <f>'Cantidades - Producto 1'!AD205</f>
        <v>9100000.8000000063</v>
      </c>
      <c r="D66" s="75"/>
      <c r="E66" s="91">
        <v>0</v>
      </c>
      <c r="F66" s="75"/>
    </row>
    <row r="67" spans="2:6" ht="17.25" thickBot="1" x14ac:dyDescent="0.3">
      <c r="B67" s="74">
        <v>47300</v>
      </c>
      <c r="C67" s="96">
        <f>'Cantidades - Producto 1'!AD209</f>
        <v>9099997.9199999962</v>
      </c>
      <c r="D67" s="75"/>
      <c r="E67" s="91">
        <v>0</v>
      </c>
      <c r="F67" s="75"/>
    </row>
    <row r="68" spans="2:6" ht="17.25" thickBot="1" x14ac:dyDescent="0.3">
      <c r="B68" s="74">
        <v>47331</v>
      </c>
      <c r="C68" s="96">
        <f>'Cantidades - Producto 1'!AD213</f>
        <v>9099997.9199999962</v>
      </c>
      <c r="D68" s="75"/>
      <c r="E68" s="91">
        <v>0</v>
      </c>
      <c r="F68" s="75"/>
    </row>
    <row r="69" spans="2:6" ht="17.25" thickBot="1" x14ac:dyDescent="0.3">
      <c r="B69" s="74">
        <v>47362</v>
      </c>
      <c r="C69" s="96">
        <f>'Cantidades - Producto 1'!AD217</f>
        <v>9100000.8000000063</v>
      </c>
      <c r="D69" s="75"/>
      <c r="E69" s="91">
        <v>0</v>
      </c>
      <c r="F69" s="75"/>
    </row>
    <row r="70" spans="2:6" ht="17.25" thickBot="1" x14ac:dyDescent="0.3">
      <c r="B70" s="74">
        <v>47392</v>
      </c>
      <c r="C70" s="96">
        <f>'Cantidades - Producto 1'!AD221</f>
        <v>9099997.9199999962</v>
      </c>
      <c r="D70" s="75"/>
      <c r="E70" s="91">
        <v>0</v>
      </c>
      <c r="F70" s="75"/>
    </row>
    <row r="71" spans="2:6" ht="17.25" thickBot="1" x14ac:dyDescent="0.3">
      <c r="B71" s="74">
        <v>47423</v>
      </c>
      <c r="C71" s="96">
        <f>'Cantidades - Producto 1'!AD225</f>
        <v>9100000.8000000063</v>
      </c>
      <c r="D71" s="75"/>
      <c r="E71" s="91">
        <v>0</v>
      </c>
      <c r="F71" s="75"/>
    </row>
    <row r="72" spans="2:6" ht="17.25" thickBot="1" x14ac:dyDescent="0.3">
      <c r="B72" s="74">
        <v>47453</v>
      </c>
      <c r="C72" s="96">
        <f>'Cantidades - Producto 1'!AD229</f>
        <v>5599998.7200000025</v>
      </c>
      <c r="D72" s="75"/>
      <c r="E72" s="91">
        <v>0</v>
      </c>
      <c r="F72" s="75"/>
    </row>
    <row r="73" spans="2:6" ht="17.25" thickBot="1" x14ac:dyDescent="0.3">
      <c r="B73" s="84">
        <v>2029</v>
      </c>
      <c r="C73" s="99">
        <f>SUM(C61:C72)</f>
        <v>89058046.560000002</v>
      </c>
      <c r="D73" s="85"/>
      <c r="E73" s="110"/>
      <c r="F73" s="85"/>
    </row>
    <row r="74" spans="2:6" ht="17.25" thickBot="1" x14ac:dyDescent="0.3">
      <c r="B74" s="88" t="s">
        <v>49</v>
      </c>
      <c r="C74" s="102">
        <f>C21+C34+C47+C60+C73</f>
        <v>346065285.02288502</v>
      </c>
      <c r="D74" s="71"/>
      <c r="E74" s="111"/>
      <c r="F74" s="81"/>
    </row>
    <row r="76" spans="2:6" ht="27.95" customHeight="1" x14ac:dyDescent="0.25">
      <c r="B76" s="136" t="s">
        <v>50</v>
      </c>
      <c r="C76" s="136"/>
      <c r="D76" s="136"/>
      <c r="E76" s="136"/>
      <c r="F76" s="136"/>
    </row>
    <row r="77" spans="2:6" ht="27" customHeight="1" x14ac:dyDescent="0.25">
      <c r="B77" s="136" t="s">
        <v>59</v>
      </c>
      <c r="C77" s="136"/>
      <c r="D77" s="136"/>
      <c r="E77" s="136"/>
      <c r="F77" s="136"/>
    </row>
    <row r="78" spans="2:6" ht="29.25" customHeight="1" x14ac:dyDescent="0.25">
      <c r="B78" s="136" t="s">
        <v>51</v>
      </c>
      <c r="C78" s="136"/>
      <c r="D78" s="136"/>
      <c r="E78" s="136"/>
      <c r="F78" s="136"/>
    </row>
    <row r="79" spans="2:6" ht="30.75" customHeight="1" x14ac:dyDescent="0.25">
      <c r="B79" s="136" t="s">
        <v>60</v>
      </c>
      <c r="C79" s="136"/>
      <c r="D79" s="136"/>
      <c r="E79" s="136"/>
      <c r="F79" s="136"/>
    </row>
    <row r="80" spans="2:6" ht="24" customHeight="1" x14ac:dyDescent="0.3">
      <c r="B80" s="143" t="s">
        <v>62</v>
      </c>
      <c r="C80" s="143"/>
      <c r="D80" s="143"/>
      <c r="E80" s="143"/>
      <c r="F80" s="143"/>
    </row>
    <row r="81" spans="2:6" ht="35.25" customHeight="1" x14ac:dyDescent="0.3">
      <c r="B81" s="143" t="s">
        <v>64</v>
      </c>
      <c r="C81" s="143"/>
      <c r="D81" s="143"/>
      <c r="E81" s="143"/>
      <c r="F81" s="143"/>
    </row>
    <row r="86" spans="2:6" x14ac:dyDescent="0.25">
      <c r="B86" s="89"/>
      <c r="C86" s="103"/>
    </row>
    <row r="87" spans="2:6" x14ac:dyDescent="0.25">
      <c r="B87" t="s">
        <v>52</v>
      </c>
    </row>
  </sheetData>
  <mergeCells count="12">
    <mergeCell ref="B80:F80"/>
    <mergeCell ref="B81:F81"/>
    <mergeCell ref="B77:F77"/>
    <mergeCell ref="B78:F78"/>
    <mergeCell ref="B79:F79"/>
    <mergeCell ref="B76:F76"/>
    <mergeCell ref="A1:G1"/>
    <mergeCell ref="D5:F5"/>
    <mergeCell ref="D6:F6"/>
    <mergeCell ref="D7:F7"/>
    <mergeCell ref="D8:F8"/>
    <mergeCell ref="B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AF55-BF93-46EC-B40A-5DABE14DA766}">
  <dimension ref="A1:AD326"/>
  <sheetViews>
    <sheetView workbookViewId="0">
      <pane xSplit="4" ySplit="1" topLeftCell="U2" activePane="bottomRight" state="frozen"/>
      <selection pane="topRight" activeCell="E1" sqref="E1"/>
      <selection pane="bottomLeft" activeCell="A3" sqref="A3"/>
      <selection pane="bottomRight" activeCell="AD1" sqref="AD1:AD1048576"/>
    </sheetView>
  </sheetViews>
  <sheetFormatPr baseColWidth="10" defaultRowHeight="15" x14ac:dyDescent="0.25"/>
  <cols>
    <col min="30" max="30" width="13.140625" bestFit="1" customWidth="1"/>
  </cols>
  <sheetData>
    <row r="1" spans="1:30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4" t="s">
        <v>29</v>
      </c>
    </row>
    <row r="2" spans="1:30" x14ac:dyDescent="0.25">
      <c r="A2" s="121" t="s">
        <v>30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</row>
    <row r="3" spans="1:30" x14ac:dyDescent="0.25">
      <c r="A3" s="149"/>
      <c r="B3" s="10" t="s">
        <v>31</v>
      </c>
      <c r="C3" s="11">
        <v>20</v>
      </c>
      <c r="D3" s="150">
        <v>45748</v>
      </c>
      <c r="E3" s="151">
        <v>3600</v>
      </c>
      <c r="F3" s="151">
        <v>3600</v>
      </c>
      <c r="G3" s="151">
        <v>3600</v>
      </c>
      <c r="H3" s="151">
        <v>3600</v>
      </c>
      <c r="I3" s="151">
        <v>3600</v>
      </c>
      <c r="J3" s="151">
        <v>3600</v>
      </c>
      <c r="K3" s="151">
        <v>3600</v>
      </c>
      <c r="L3" s="151">
        <v>3600</v>
      </c>
      <c r="M3" s="151">
        <v>3600</v>
      </c>
      <c r="N3" s="151">
        <v>3600</v>
      </c>
      <c r="O3" s="151">
        <v>3600</v>
      </c>
      <c r="P3" s="151">
        <v>3600</v>
      </c>
      <c r="Q3" s="151">
        <v>3600</v>
      </c>
      <c r="R3" s="151">
        <v>3600</v>
      </c>
      <c r="S3" s="151">
        <v>3600</v>
      </c>
      <c r="T3" s="151">
        <v>3600</v>
      </c>
      <c r="U3" s="151">
        <v>3600</v>
      </c>
      <c r="V3" s="151">
        <v>3600</v>
      </c>
      <c r="W3" s="151">
        <v>3600</v>
      </c>
      <c r="X3" s="151">
        <v>3600</v>
      </c>
      <c r="Y3" s="151">
        <v>3600</v>
      </c>
      <c r="Z3" s="151">
        <v>3600</v>
      </c>
      <c r="AA3" s="151">
        <v>3600</v>
      </c>
      <c r="AB3" s="151">
        <v>3600</v>
      </c>
      <c r="AC3" s="42">
        <v>1728000</v>
      </c>
      <c r="AD3" s="152"/>
    </row>
    <row r="4" spans="1:30" ht="15.75" customHeight="1" x14ac:dyDescent="0.25">
      <c r="A4" s="149"/>
      <c r="B4" s="10" t="s">
        <v>32</v>
      </c>
      <c r="C4" s="11">
        <v>4</v>
      </c>
      <c r="D4" s="125"/>
      <c r="E4" s="151">
        <v>3600</v>
      </c>
      <c r="F4" s="151">
        <v>3600</v>
      </c>
      <c r="G4" s="151">
        <v>3600</v>
      </c>
      <c r="H4" s="151">
        <v>3600</v>
      </c>
      <c r="I4" s="151">
        <v>3600</v>
      </c>
      <c r="J4" s="151">
        <v>3600</v>
      </c>
      <c r="K4" s="151">
        <v>3600</v>
      </c>
      <c r="L4" s="151">
        <v>3600</v>
      </c>
      <c r="M4" s="151">
        <v>3600</v>
      </c>
      <c r="N4" s="151">
        <v>3600</v>
      </c>
      <c r="O4" s="151">
        <v>3600</v>
      </c>
      <c r="P4" s="151">
        <v>3600</v>
      </c>
      <c r="Q4" s="151">
        <v>3600</v>
      </c>
      <c r="R4" s="151">
        <v>3600</v>
      </c>
      <c r="S4" s="151">
        <v>3600</v>
      </c>
      <c r="T4" s="151">
        <v>3600</v>
      </c>
      <c r="U4" s="151">
        <v>3600</v>
      </c>
      <c r="V4" s="151">
        <v>3600</v>
      </c>
      <c r="W4" s="151">
        <v>3600</v>
      </c>
      <c r="X4" s="151">
        <v>3600</v>
      </c>
      <c r="Y4" s="151">
        <v>3600</v>
      </c>
      <c r="Z4" s="151">
        <v>3600</v>
      </c>
      <c r="AA4" s="151">
        <v>3600</v>
      </c>
      <c r="AB4" s="151">
        <v>3600</v>
      </c>
      <c r="AC4" s="42">
        <v>345600</v>
      </c>
      <c r="AD4" s="152"/>
    </row>
    <row r="5" spans="1:30" x14ac:dyDescent="0.25">
      <c r="A5" s="149"/>
      <c r="B5" s="10" t="s">
        <v>33</v>
      </c>
      <c r="C5" s="11">
        <v>6</v>
      </c>
      <c r="D5" s="153"/>
      <c r="E5" s="151">
        <v>3600</v>
      </c>
      <c r="F5" s="151">
        <v>3600</v>
      </c>
      <c r="G5" s="151">
        <v>3600</v>
      </c>
      <c r="H5" s="151">
        <v>3600</v>
      </c>
      <c r="I5" s="151">
        <v>3600</v>
      </c>
      <c r="J5" s="151">
        <v>3600</v>
      </c>
      <c r="K5" s="151">
        <v>3600</v>
      </c>
      <c r="L5" s="151">
        <v>3600</v>
      </c>
      <c r="M5" s="151">
        <v>3600</v>
      </c>
      <c r="N5" s="151">
        <v>3600</v>
      </c>
      <c r="O5" s="151">
        <v>3600</v>
      </c>
      <c r="P5" s="151">
        <v>3600</v>
      </c>
      <c r="Q5" s="151">
        <v>3600</v>
      </c>
      <c r="R5" s="151">
        <v>3600</v>
      </c>
      <c r="S5" s="151">
        <v>3600</v>
      </c>
      <c r="T5" s="151">
        <v>3600</v>
      </c>
      <c r="U5" s="151">
        <v>3600</v>
      </c>
      <c r="V5" s="151">
        <v>3600</v>
      </c>
      <c r="W5" s="151">
        <v>3600</v>
      </c>
      <c r="X5" s="151">
        <v>3600</v>
      </c>
      <c r="Y5" s="151">
        <v>3600</v>
      </c>
      <c r="Z5" s="151">
        <v>3600</v>
      </c>
      <c r="AA5" s="151">
        <v>3600</v>
      </c>
      <c r="AB5" s="151">
        <v>3600</v>
      </c>
      <c r="AC5" s="42">
        <v>518400</v>
      </c>
      <c r="AD5" s="152">
        <v>2592000</v>
      </c>
    </row>
    <row r="6" spans="1:30" x14ac:dyDescent="0.25">
      <c r="A6" s="16"/>
      <c r="B6" s="16"/>
      <c r="C6" s="16"/>
      <c r="D6" s="16"/>
      <c r="AD6" s="154"/>
    </row>
    <row r="7" spans="1:30" x14ac:dyDescent="0.25">
      <c r="A7" s="112"/>
      <c r="B7" s="10" t="s">
        <v>31</v>
      </c>
      <c r="C7" s="11">
        <v>21</v>
      </c>
      <c r="D7" s="155">
        <v>45778</v>
      </c>
      <c r="E7" s="151">
        <v>1800</v>
      </c>
      <c r="F7" s="151">
        <v>1800</v>
      </c>
      <c r="G7" s="151">
        <v>1800</v>
      </c>
      <c r="H7" s="151">
        <v>1800</v>
      </c>
      <c r="I7" s="151">
        <v>1800</v>
      </c>
      <c r="J7" s="151">
        <v>1800</v>
      </c>
      <c r="K7" s="151">
        <v>1800</v>
      </c>
      <c r="L7" s="151">
        <v>1800</v>
      </c>
      <c r="M7" s="151">
        <v>1800</v>
      </c>
      <c r="N7" s="151">
        <v>1800</v>
      </c>
      <c r="O7" s="151">
        <v>1800</v>
      </c>
      <c r="P7" s="151">
        <v>1800</v>
      </c>
      <c r="Q7" s="151">
        <v>1800</v>
      </c>
      <c r="R7" s="151">
        <v>1800</v>
      </c>
      <c r="S7" s="151">
        <v>1800</v>
      </c>
      <c r="T7" s="151">
        <v>1800</v>
      </c>
      <c r="U7" s="151">
        <v>1800</v>
      </c>
      <c r="V7" s="151">
        <v>1800</v>
      </c>
      <c r="W7" s="151">
        <v>1800</v>
      </c>
      <c r="X7" s="151">
        <v>1800</v>
      </c>
      <c r="Y7" s="151">
        <v>1800</v>
      </c>
      <c r="Z7" s="151">
        <v>1800</v>
      </c>
      <c r="AA7" s="151">
        <v>1800</v>
      </c>
      <c r="AB7" s="151">
        <v>1800</v>
      </c>
      <c r="AC7" s="42">
        <v>907200</v>
      </c>
      <c r="AD7" s="152"/>
    </row>
    <row r="8" spans="1:30" x14ac:dyDescent="0.25">
      <c r="A8" s="149"/>
      <c r="B8" s="10" t="s">
        <v>32</v>
      </c>
      <c r="C8" s="11">
        <v>5</v>
      </c>
      <c r="D8" s="128"/>
      <c r="E8" s="151">
        <v>1800</v>
      </c>
      <c r="F8" s="151">
        <v>1800</v>
      </c>
      <c r="G8" s="151">
        <v>1800</v>
      </c>
      <c r="H8" s="151">
        <v>1800</v>
      </c>
      <c r="I8" s="151">
        <v>1800</v>
      </c>
      <c r="J8" s="151">
        <v>1800</v>
      </c>
      <c r="K8" s="151">
        <v>1800</v>
      </c>
      <c r="L8" s="151">
        <v>1800</v>
      </c>
      <c r="M8" s="151">
        <v>1800</v>
      </c>
      <c r="N8" s="151">
        <v>1800</v>
      </c>
      <c r="O8" s="151">
        <v>1800</v>
      </c>
      <c r="P8" s="151">
        <v>1800</v>
      </c>
      <c r="Q8" s="151">
        <v>1800</v>
      </c>
      <c r="R8" s="151">
        <v>1800</v>
      </c>
      <c r="S8" s="151">
        <v>1800</v>
      </c>
      <c r="T8" s="151">
        <v>1800</v>
      </c>
      <c r="U8" s="151">
        <v>1800</v>
      </c>
      <c r="V8" s="151">
        <v>1800</v>
      </c>
      <c r="W8" s="151">
        <v>1800</v>
      </c>
      <c r="X8" s="151">
        <v>1800</v>
      </c>
      <c r="Y8" s="151">
        <v>1800</v>
      </c>
      <c r="Z8" s="151">
        <v>1800</v>
      </c>
      <c r="AA8" s="151">
        <v>1800</v>
      </c>
      <c r="AB8" s="151">
        <v>1800</v>
      </c>
      <c r="AC8" s="42">
        <v>216000</v>
      </c>
      <c r="AD8" s="152"/>
    </row>
    <row r="9" spans="1:30" x14ac:dyDescent="0.25">
      <c r="A9" s="149"/>
      <c r="B9" s="10" t="s">
        <v>33</v>
      </c>
      <c r="C9" s="11">
        <v>5</v>
      </c>
      <c r="D9" s="156"/>
      <c r="E9" s="151">
        <v>1800</v>
      </c>
      <c r="F9" s="151">
        <v>1800</v>
      </c>
      <c r="G9" s="151">
        <v>1800</v>
      </c>
      <c r="H9" s="151">
        <v>1800</v>
      </c>
      <c r="I9" s="151">
        <v>1800</v>
      </c>
      <c r="J9" s="151">
        <v>1800</v>
      </c>
      <c r="K9" s="151">
        <v>1800</v>
      </c>
      <c r="L9" s="151">
        <v>1800</v>
      </c>
      <c r="M9" s="151">
        <v>1800</v>
      </c>
      <c r="N9" s="151">
        <v>1800</v>
      </c>
      <c r="O9" s="151">
        <v>1800</v>
      </c>
      <c r="P9" s="151">
        <v>1800</v>
      </c>
      <c r="Q9" s="151">
        <v>1800</v>
      </c>
      <c r="R9" s="151">
        <v>1800</v>
      </c>
      <c r="S9" s="151">
        <v>1800</v>
      </c>
      <c r="T9" s="151">
        <v>1800</v>
      </c>
      <c r="U9" s="151">
        <v>1800</v>
      </c>
      <c r="V9" s="151">
        <v>1800</v>
      </c>
      <c r="W9" s="151">
        <v>1800</v>
      </c>
      <c r="X9" s="151">
        <v>1800</v>
      </c>
      <c r="Y9" s="151">
        <v>1800</v>
      </c>
      <c r="Z9" s="151">
        <v>1800</v>
      </c>
      <c r="AA9" s="151">
        <v>1800</v>
      </c>
      <c r="AB9" s="151">
        <v>1800</v>
      </c>
      <c r="AC9" s="42">
        <v>216000</v>
      </c>
      <c r="AD9" s="152">
        <v>1339200</v>
      </c>
    </row>
    <row r="10" spans="1:30" x14ac:dyDescent="0.25">
      <c r="A10" s="16"/>
      <c r="B10" s="16"/>
      <c r="C10" s="16"/>
      <c r="D10" s="16"/>
      <c r="AD10" s="154"/>
    </row>
    <row r="11" spans="1:30" x14ac:dyDescent="0.25">
      <c r="A11" s="149"/>
      <c r="B11" s="10" t="s">
        <v>31</v>
      </c>
      <c r="C11" s="11">
        <v>18</v>
      </c>
      <c r="D11" s="157"/>
      <c r="E11" s="151">
        <v>1500</v>
      </c>
      <c r="F11" s="151">
        <v>1500</v>
      </c>
      <c r="G11" s="151">
        <v>1500</v>
      </c>
      <c r="H11" s="151">
        <v>1500</v>
      </c>
      <c r="I11" s="151">
        <v>1500</v>
      </c>
      <c r="J11" s="151">
        <v>1500</v>
      </c>
      <c r="K11" s="151">
        <v>1500</v>
      </c>
      <c r="L11" s="151">
        <v>1500</v>
      </c>
      <c r="M11" s="151">
        <v>1500</v>
      </c>
      <c r="N11" s="151">
        <v>1500</v>
      </c>
      <c r="O11" s="151">
        <v>1500</v>
      </c>
      <c r="P11" s="151">
        <v>1500</v>
      </c>
      <c r="Q11" s="151">
        <v>1500</v>
      </c>
      <c r="R11" s="151">
        <v>1500</v>
      </c>
      <c r="S11" s="151">
        <v>1500</v>
      </c>
      <c r="T11" s="151">
        <v>1500</v>
      </c>
      <c r="U11" s="151">
        <v>1500</v>
      </c>
      <c r="V11" s="151">
        <v>1500</v>
      </c>
      <c r="W11" s="151">
        <v>1500</v>
      </c>
      <c r="X11" s="151">
        <v>1500</v>
      </c>
      <c r="Y11" s="151">
        <v>1500</v>
      </c>
      <c r="Z11" s="151">
        <v>1500</v>
      </c>
      <c r="AA11" s="151">
        <v>1500</v>
      </c>
      <c r="AB11" s="151">
        <v>1500</v>
      </c>
      <c r="AC11" s="42">
        <v>648000</v>
      </c>
      <c r="AD11" s="152"/>
    </row>
    <row r="12" spans="1:30" x14ac:dyDescent="0.25">
      <c r="A12" s="149"/>
      <c r="B12" s="10" t="s">
        <v>32</v>
      </c>
      <c r="C12" s="11">
        <v>4</v>
      </c>
      <c r="D12" s="158">
        <v>45809</v>
      </c>
      <c r="E12" s="151">
        <v>1500</v>
      </c>
      <c r="F12" s="151">
        <v>1500</v>
      </c>
      <c r="G12" s="151">
        <v>1500</v>
      </c>
      <c r="H12" s="151">
        <v>1500</v>
      </c>
      <c r="I12" s="151">
        <v>1500</v>
      </c>
      <c r="J12" s="151">
        <v>1500</v>
      </c>
      <c r="K12" s="151">
        <v>1500</v>
      </c>
      <c r="L12" s="151">
        <v>1500</v>
      </c>
      <c r="M12" s="151">
        <v>1500</v>
      </c>
      <c r="N12" s="151">
        <v>1500</v>
      </c>
      <c r="O12" s="151">
        <v>1500</v>
      </c>
      <c r="P12" s="151">
        <v>1500</v>
      </c>
      <c r="Q12" s="151">
        <v>1500</v>
      </c>
      <c r="R12" s="151">
        <v>1500</v>
      </c>
      <c r="S12" s="151">
        <v>1500</v>
      </c>
      <c r="T12" s="151">
        <v>1500</v>
      </c>
      <c r="U12" s="151">
        <v>1500</v>
      </c>
      <c r="V12" s="151">
        <v>1500</v>
      </c>
      <c r="W12" s="151">
        <v>1500</v>
      </c>
      <c r="X12" s="151">
        <v>1500</v>
      </c>
      <c r="Y12" s="151">
        <v>1500</v>
      </c>
      <c r="Z12" s="151">
        <v>1500</v>
      </c>
      <c r="AA12" s="151">
        <v>1500</v>
      </c>
      <c r="AB12" s="151">
        <v>1500</v>
      </c>
      <c r="AC12" s="42">
        <v>144000</v>
      </c>
      <c r="AD12" s="152"/>
    </row>
    <row r="13" spans="1:30" x14ac:dyDescent="0.25">
      <c r="A13" s="149"/>
      <c r="B13" s="10" t="s">
        <v>33</v>
      </c>
      <c r="C13" s="11">
        <v>8</v>
      </c>
      <c r="D13" s="157"/>
      <c r="E13" s="151">
        <v>1500</v>
      </c>
      <c r="F13" s="151">
        <v>1500</v>
      </c>
      <c r="G13" s="151">
        <v>1500</v>
      </c>
      <c r="H13" s="151">
        <v>1500</v>
      </c>
      <c r="I13" s="151">
        <v>1500</v>
      </c>
      <c r="J13" s="151">
        <v>1500</v>
      </c>
      <c r="K13" s="151">
        <v>1500</v>
      </c>
      <c r="L13" s="151">
        <v>1500</v>
      </c>
      <c r="M13" s="151">
        <v>1500</v>
      </c>
      <c r="N13" s="151">
        <v>1500</v>
      </c>
      <c r="O13" s="151">
        <v>1500</v>
      </c>
      <c r="P13" s="151">
        <v>1500</v>
      </c>
      <c r="Q13" s="151">
        <v>1500</v>
      </c>
      <c r="R13" s="151">
        <v>1500</v>
      </c>
      <c r="S13" s="151">
        <v>1500</v>
      </c>
      <c r="T13" s="151">
        <v>1500</v>
      </c>
      <c r="U13" s="151">
        <v>1500</v>
      </c>
      <c r="V13" s="151">
        <v>1500</v>
      </c>
      <c r="W13" s="151">
        <v>1500</v>
      </c>
      <c r="X13" s="151">
        <v>1500</v>
      </c>
      <c r="Y13" s="151">
        <v>1500</v>
      </c>
      <c r="Z13" s="151">
        <v>1500</v>
      </c>
      <c r="AA13" s="151">
        <v>1500</v>
      </c>
      <c r="AB13" s="151">
        <v>1500</v>
      </c>
      <c r="AC13" s="42">
        <v>288000</v>
      </c>
      <c r="AD13" s="152">
        <v>1080000</v>
      </c>
    </row>
    <row r="14" spans="1:30" x14ac:dyDescent="0.25">
      <c r="A14" s="16"/>
      <c r="B14" s="16"/>
      <c r="C14" s="16"/>
      <c r="D14" s="16"/>
      <c r="AD14" s="154"/>
    </row>
    <row r="15" spans="1:30" x14ac:dyDescent="0.25">
      <c r="A15" s="149"/>
      <c r="B15" s="10" t="s">
        <v>31</v>
      </c>
      <c r="C15" s="11">
        <v>23</v>
      </c>
      <c r="D15" s="157"/>
      <c r="E15" s="151">
        <v>1500</v>
      </c>
      <c r="F15" s="151">
        <v>1500</v>
      </c>
      <c r="G15" s="151">
        <v>1500</v>
      </c>
      <c r="H15" s="151">
        <v>1500</v>
      </c>
      <c r="I15" s="151">
        <v>1500</v>
      </c>
      <c r="J15" s="151">
        <v>1500</v>
      </c>
      <c r="K15" s="151">
        <v>1500</v>
      </c>
      <c r="L15" s="151">
        <v>1500</v>
      </c>
      <c r="M15" s="151">
        <v>1500</v>
      </c>
      <c r="N15" s="151">
        <v>1500</v>
      </c>
      <c r="O15" s="151">
        <v>1500</v>
      </c>
      <c r="P15" s="151">
        <v>1500</v>
      </c>
      <c r="Q15" s="151">
        <v>1500</v>
      </c>
      <c r="R15" s="151">
        <v>1500</v>
      </c>
      <c r="S15" s="151">
        <v>1500</v>
      </c>
      <c r="T15" s="151">
        <v>1500</v>
      </c>
      <c r="U15" s="151">
        <v>1500</v>
      </c>
      <c r="V15" s="151">
        <v>1500</v>
      </c>
      <c r="W15" s="151">
        <v>1500</v>
      </c>
      <c r="X15" s="151">
        <v>1500</v>
      </c>
      <c r="Y15" s="151">
        <v>1500</v>
      </c>
      <c r="Z15" s="151">
        <v>1500</v>
      </c>
      <c r="AA15" s="151">
        <v>1500</v>
      </c>
      <c r="AB15" s="151">
        <v>1500</v>
      </c>
      <c r="AC15" s="42">
        <v>828000</v>
      </c>
      <c r="AD15" s="152"/>
    </row>
    <row r="16" spans="1:30" x14ac:dyDescent="0.25">
      <c r="A16" s="149"/>
      <c r="B16" s="10" t="s">
        <v>32</v>
      </c>
      <c r="C16" s="11">
        <v>4</v>
      </c>
      <c r="D16" s="158">
        <v>45839</v>
      </c>
      <c r="E16" s="151">
        <v>1500</v>
      </c>
      <c r="F16" s="151">
        <v>1500</v>
      </c>
      <c r="G16" s="151">
        <v>1500</v>
      </c>
      <c r="H16" s="151">
        <v>1500</v>
      </c>
      <c r="I16" s="151">
        <v>1500</v>
      </c>
      <c r="J16" s="151">
        <v>1500</v>
      </c>
      <c r="K16" s="151">
        <v>1500</v>
      </c>
      <c r="L16" s="151">
        <v>1500</v>
      </c>
      <c r="M16" s="151">
        <v>1500</v>
      </c>
      <c r="N16" s="151">
        <v>1500</v>
      </c>
      <c r="O16" s="151">
        <v>1500</v>
      </c>
      <c r="P16" s="151">
        <v>1500</v>
      </c>
      <c r="Q16" s="151">
        <v>1500</v>
      </c>
      <c r="R16" s="151">
        <v>1500</v>
      </c>
      <c r="S16" s="151">
        <v>1500</v>
      </c>
      <c r="T16" s="151">
        <v>1500</v>
      </c>
      <c r="U16" s="151">
        <v>1500</v>
      </c>
      <c r="V16" s="151">
        <v>1500</v>
      </c>
      <c r="W16" s="151">
        <v>1500</v>
      </c>
      <c r="X16" s="151">
        <v>1500</v>
      </c>
      <c r="Y16" s="151">
        <v>1500</v>
      </c>
      <c r="Z16" s="151">
        <v>1500</v>
      </c>
      <c r="AA16" s="151">
        <v>1500</v>
      </c>
      <c r="AB16" s="151">
        <v>1500</v>
      </c>
      <c r="AC16" s="42">
        <v>144000</v>
      </c>
      <c r="AD16" s="152"/>
    </row>
    <row r="17" spans="1:30" x14ac:dyDescent="0.25">
      <c r="A17" s="149"/>
      <c r="B17" s="10" t="s">
        <v>33</v>
      </c>
      <c r="C17" s="11">
        <v>4</v>
      </c>
      <c r="D17" s="157"/>
      <c r="E17" s="151">
        <v>1500</v>
      </c>
      <c r="F17" s="151">
        <v>1500</v>
      </c>
      <c r="G17" s="151">
        <v>1500</v>
      </c>
      <c r="H17" s="151">
        <v>1500</v>
      </c>
      <c r="I17" s="151">
        <v>1500</v>
      </c>
      <c r="J17" s="151">
        <v>1500</v>
      </c>
      <c r="K17" s="151">
        <v>1500</v>
      </c>
      <c r="L17" s="151">
        <v>1500</v>
      </c>
      <c r="M17" s="151">
        <v>1500</v>
      </c>
      <c r="N17" s="151">
        <v>1500</v>
      </c>
      <c r="O17" s="151">
        <v>1500</v>
      </c>
      <c r="P17" s="151">
        <v>1500</v>
      </c>
      <c r="Q17" s="151">
        <v>1500</v>
      </c>
      <c r="R17" s="151">
        <v>1500</v>
      </c>
      <c r="S17" s="151">
        <v>1500</v>
      </c>
      <c r="T17" s="151">
        <v>1500</v>
      </c>
      <c r="U17" s="151">
        <v>1500</v>
      </c>
      <c r="V17" s="151">
        <v>1500</v>
      </c>
      <c r="W17" s="151">
        <v>1500</v>
      </c>
      <c r="X17" s="151">
        <v>1500</v>
      </c>
      <c r="Y17" s="151">
        <v>1500</v>
      </c>
      <c r="Z17" s="151">
        <v>1500</v>
      </c>
      <c r="AA17" s="151">
        <v>1500</v>
      </c>
      <c r="AB17" s="151">
        <v>1500</v>
      </c>
      <c r="AC17" s="42">
        <v>144000</v>
      </c>
      <c r="AD17" s="152">
        <v>1116000</v>
      </c>
    </row>
    <row r="18" spans="1:30" x14ac:dyDescent="0.25">
      <c r="A18" s="16"/>
      <c r="B18" s="16"/>
      <c r="C18" s="16"/>
      <c r="D18" s="16"/>
      <c r="AD18" s="154"/>
    </row>
    <row r="19" spans="1:30" x14ac:dyDescent="0.25">
      <c r="A19" s="149"/>
      <c r="B19" s="10" t="s">
        <v>31</v>
      </c>
      <c r="C19" s="11">
        <v>20</v>
      </c>
      <c r="D19" s="157"/>
      <c r="E19" s="151">
        <v>1500</v>
      </c>
      <c r="F19" s="151">
        <v>1500</v>
      </c>
      <c r="G19" s="151">
        <v>1500</v>
      </c>
      <c r="H19" s="151">
        <v>1500</v>
      </c>
      <c r="I19" s="151">
        <v>1500</v>
      </c>
      <c r="J19" s="151">
        <v>1500</v>
      </c>
      <c r="K19" s="151">
        <v>1500</v>
      </c>
      <c r="L19" s="151">
        <v>1500</v>
      </c>
      <c r="M19" s="151">
        <v>1500</v>
      </c>
      <c r="N19" s="151">
        <v>1500</v>
      </c>
      <c r="O19" s="151">
        <v>1500</v>
      </c>
      <c r="P19" s="151">
        <v>1500</v>
      </c>
      <c r="Q19" s="151">
        <v>1500</v>
      </c>
      <c r="R19" s="151">
        <v>1500</v>
      </c>
      <c r="S19" s="151">
        <v>1500</v>
      </c>
      <c r="T19" s="151">
        <v>1500</v>
      </c>
      <c r="U19" s="151">
        <v>1500</v>
      </c>
      <c r="V19" s="151">
        <v>1500</v>
      </c>
      <c r="W19" s="151">
        <v>1500</v>
      </c>
      <c r="X19" s="151">
        <v>1500</v>
      </c>
      <c r="Y19" s="151">
        <v>1500</v>
      </c>
      <c r="Z19" s="151">
        <v>1500</v>
      </c>
      <c r="AA19" s="151">
        <v>1500</v>
      </c>
      <c r="AB19" s="151">
        <v>1500</v>
      </c>
      <c r="AC19" s="42">
        <v>720000</v>
      </c>
      <c r="AD19" s="152"/>
    </row>
    <row r="20" spans="1:30" x14ac:dyDescent="0.25">
      <c r="A20" s="149"/>
      <c r="B20" s="10" t="s">
        <v>32</v>
      </c>
      <c r="C20" s="11">
        <v>5</v>
      </c>
      <c r="D20" s="158">
        <v>45870</v>
      </c>
      <c r="E20" s="151">
        <v>1500</v>
      </c>
      <c r="F20" s="151">
        <v>1500</v>
      </c>
      <c r="G20" s="151">
        <v>1500</v>
      </c>
      <c r="H20" s="151">
        <v>1500</v>
      </c>
      <c r="I20" s="151">
        <v>1500</v>
      </c>
      <c r="J20" s="151">
        <v>1500</v>
      </c>
      <c r="K20" s="151">
        <v>1500</v>
      </c>
      <c r="L20" s="151">
        <v>1500</v>
      </c>
      <c r="M20" s="151">
        <v>1500</v>
      </c>
      <c r="N20" s="151">
        <v>1500</v>
      </c>
      <c r="O20" s="151">
        <v>1500</v>
      </c>
      <c r="P20" s="151">
        <v>1500</v>
      </c>
      <c r="Q20" s="151">
        <v>1500</v>
      </c>
      <c r="R20" s="151">
        <v>1500</v>
      </c>
      <c r="S20" s="151">
        <v>1500</v>
      </c>
      <c r="T20" s="151">
        <v>1500</v>
      </c>
      <c r="U20" s="151">
        <v>1500</v>
      </c>
      <c r="V20" s="151">
        <v>1500</v>
      </c>
      <c r="W20" s="151">
        <v>1500</v>
      </c>
      <c r="X20" s="151">
        <v>1500</v>
      </c>
      <c r="Y20" s="151">
        <v>1500</v>
      </c>
      <c r="Z20" s="151">
        <v>1500</v>
      </c>
      <c r="AA20" s="151">
        <v>1500</v>
      </c>
      <c r="AB20" s="151">
        <v>1500</v>
      </c>
      <c r="AC20" s="42">
        <v>180000</v>
      </c>
      <c r="AD20" s="152"/>
    </row>
    <row r="21" spans="1:30" x14ac:dyDescent="0.25">
      <c r="A21" s="149"/>
      <c r="B21" s="10" t="s">
        <v>33</v>
      </c>
      <c r="C21" s="11">
        <v>6</v>
      </c>
      <c r="D21" s="157"/>
      <c r="E21" s="151">
        <v>1500</v>
      </c>
      <c r="F21" s="151">
        <v>1500</v>
      </c>
      <c r="G21" s="151">
        <v>1500</v>
      </c>
      <c r="H21" s="151">
        <v>1500</v>
      </c>
      <c r="I21" s="151">
        <v>1500</v>
      </c>
      <c r="J21" s="151">
        <v>1500</v>
      </c>
      <c r="K21" s="151">
        <v>1500</v>
      </c>
      <c r="L21" s="151">
        <v>1500</v>
      </c>
      <c r="M21" s="151">
        <v>1500</v>
      </c>
      <c r="N21" s="151">
        <v>1500</v>
      </c>
      <c r="O21" s="151">
        <v>1500</v>
      </c>
      <c r="P21" s="151">
        <v>1500</v>
      </c>
      <c r="Q21" s="151">
        <v>1500</v>
      </c>
      <c r="R21" s="151">
        <v>1500</v>
      </c>
      <c r="S21" s="151">
        <v>1500</v>
      </c>
      <c r="T21" s="151">
        <v>1500</v>
      </c>
      <c r="U21" s="151">
        <v>1500</v>
      </c>
      <c r="V21" s="151">
        <v>1500</v>
      </c>
      <c r="W21" s="151">
        <v>1500</v>
      </c>
      <c r="X21" s="151">
        <v>1500</v>
      </c>
      <c r="Y21" s="151">
        <v>1500</v>
      </c>
      <c r="Z21" s="151">
        <v>1500</v>
      </c>
      <c r="AA21" s="151">
        <v>1500</v>
      </c>
      <c r="AB21" s="151">
        <v>1500</v>
      </c>
      <c r="AC21" s="42">
        <v>216000</v>
      </c>
      <c r="AD21" s="152">
        <v>1116000</v>
      </c>
    </row>
    <row r="22" spans="1:30" x14ac:dyDescent="0.25">
      <c r="A22" s="16"/>
      <c r="B22" s="16"/>
      <c r="C22" s="16"/>
      <c r="D22" s="16"/>
      <c r="AD22" s="154"/>
    </row>
    <row r="23" spans="1:30" x14ac:dyDescent="0.25">
      <c r="A23" s="149"/>
      <c r="B23" s="10" t="s">
        <v>31</v>
      </c>
      <c r="C23" s="11">
        <v>22</v>
      </c>
      <c r="D23" s="157"/>
      <c r="E23" s="151">
        <v>1500</v>
      </c>
      <c r="F23" s="151">
        <v>1500</v>
      </c>
      <c r="G23" s="151">
        <v>1500</v>
      </c>
      <c r="H23" s="151">
        <v>1500</v>
      </c>
      <c r="I23" s="151">
        <v>1500</v>
      </c>
      <c r="J23" s="151">
        <v>1500</v>
      </c>
      <c r="K23" s="151">
        <v>1500</v>
      </c>
      <c r="L23" s="151">
        <v>1500</v>
      </c>
      <c r="M23" s="151">
        <v>1500</v>
      </c>
      <c r="N23" s="151">
        <v>1500</v>
      </c>
      <c r="O23" s="151">
        <v>1500</v>
      </c>
      <c r="P23" s="151">
        <v>1500</v>
      </c>
      <c r="Q23" s="151">
        <v>1500</v>
      </c>
      <c r="R23" s="151">
        <v>1500</v>
      </c>
      <c r="S23" s="151">
        <v>1500</v>
      </c>
      <c r="T23" s="151">
        <v>1500</v>
      </c>
      <c r="U23" s="151">
        <v>1500</v>
      </c>
      <c r="V23" s="151">
        <v>1500</v>
      </c>
      <c r="W23" s="151">
        <v>1500</v>
      </c>
      <c r="X23" s="151">
        <v>1500</v>
      </c>
      <c r="Y23" s="151">
        <v>1500</v>
      </c>
      <c r="Z23" s="151">
        <v>1500</v>
      </c>
      <c r="AA23" s="151">
        <v>1500</v>
      </c>
      <c r="AB23" s="151">
        <v>1500</v>
      </c>
      <c r="AC23" s="42">
        <v>792000</v>
      </c>
      <c r="AD23" s="152"/>
    </row>
    <row r="24" spans="1:30" x14ac:dyDescent="0.25">
      <c r="A24" s="149"/>
      <c r="B24" s="10" t="s">
        <v>32</v>
      </c>
      <c r="C24" s="11">
        <v>4</v>
      </c>
      <c r="D24" s="158">
        <v>45901</v>
      </c>
      <c r="E24" s="151">
        <v>1500</v>
      </c>
      <c r="F24" s="151">
        <v>1500</v>
      </c>
      <c r="G24" s="151">
        <v>1500</v>
      </c>
      <c r="H24" s="151">
        <v>1500</v>
      </c>
      <c r="I24" s="151">
        <v>1500</v>
      </c>
      <c r="J24" s="151">
        <v>1500</v>
      </c>
      <c r="K24" s="151">
        <v>1500</v>
      </c>
      <c r="L24" s="151">
        <v>1500</v>
      </c>
      <c r="M24" s="151">
        <v>1500</v>
      </c>
      <c r="N24" s="151">
        <v>1500</v>
      </c>
      <c r="O24" s="151">
        <v>1500</v>
      </c>
      <c r="P24" s="151">
        <v>1500</v>
      </c>
      <c r="Q24" s="151">
        <v>1500</v>
      </c>
      <c r="R24" s="151">
        <v>1500</v>
      </c>
      <c r="S24" s="151">
        <v>1500</v>
      </c>
      <c r="T24" s="151">
        <v>1500</v>
      </c>
      <c r="U24" s="151">
        <v>1500</v>
      </c>
      <c r="V24" s="151">
        <v>1500</v>
      </c>
      <c r="W24" s="151">
        <v>1500</v>
      </c>
      <c r="X24" s="151">
        <v>1500</v>
      </c>
      <c r="Y24" s="151">
        <v>1500</v>
      </c>
      <c r="Z24" s="151">
        <v>1500</v>
      </c>
      <c r="AA24" s="151">
        <v>1500</v>
      </c>
      <c r="AB24" s="151">
        <v>1500</v>
      </c>
      <c r="AC24" s="42">
        <v>144000</v>
      </c>
      <c r="AD24" s="152"/>
    </row>
    <row r="25" spans="1:30" x14ac:dyDescent="0.25">
      <c r="A25" s="149"/>
      <c r="B25" s="10" t="s">
        <v>33</v>
      </c>
      <c r="C25" s="11">
        <v>4</v>
      </c>
      <c r="D25" s="157"/>
      <c r="E25" s="151">
        <v>1500</v>
      </c>
      <c r="F25" s="151">
        <v>1500</v>
      </c>
      <c r="G25" s="151">
        <v>1500</v>
      </c>
      <c r="H25" s="151">
        <v>1500</v>
      </c>
      <c r="I25" s="151">
        <v>1500</v>
      </c>
      <c r="J25" s="151">
        <v>1500</v>
      </c>
      <c r="K25" s="151">
        <v>1500</v>
      </c>
      <c r="L25" s="151">
        <v>1500</v>
      </c>
      <c r="M25" s="151">
        <v>1500</v>
      </c>
      <c r="N25" s="151">
        <v>1500</v>
      </c>
      <c r="O25" s="151">
        <v>1500</v>
      </c>
      <c r="P25" s="151">
        <v>1500</v>
      </c>
      <c r="Q25" s="151">
        <v>1500</v>
      </c>
      <c r="R25" s="151">
        <v>1500</v>
      </c>
      <c r="S25" s="151">
        <v>1500</v>
      </c>
      <c r="T25" s="151">
        <v>1500</v>
      </c>
      <c r="U25" s="151">
        <v>1500</v>
      </c>
      <c r="V25" s="151">
        <v>1500</v>
      </c>
      <c r="W25" s="151">
        <v>1500</v>
      </c>
      <c r="X25" s="151">
        <v>1500</v>
      </c>
      <c r="Y25" s="151">
        <v>1500</v>
      </c>
      <c r="Z25" s="151">
        <v>1500</v>
      </c>
      <c r="AA25" s="151">
        <v>1500</v>
      </c>
      <c r="AB25" s="151">
        <v>1500</v>
      </c>
      <c r="AC25" s="42">
        <v>144000</v>
      </c>
      <c r="AD25" s="152">
        <v>1080000</v>
      </c>
    </row>
    <row r="26" spans="1:30" x14ac:dyDescent="0.25">
      <c r="A26" s="16"/>
      <c r="B26" s="16"/>
      <c r="C26" s="16"/>
      <c r="D26" s="16"/>
      <c r="AD26" s="154"/>
    </row>
    <row r="27" spans="1:30" x14ac:dyDescent="0.25">
      <c r="A27" s="149"/>
      <c r="B27" s="10" t="s">
        <v>31</v>
      </c>
      <c r="C27" s="11">
        <v>22</v>
      </c>
      <c r="D27" s="157"/>
      <c r="E27" s="151">
        <v>1500</v>
      </c>
      <c r="F27" s="151">
        <v>1500</v>
      </c>
      <c r="G27" s="151">
        <v>1500</v>
      </c>
      <c r="H27" s="151">
        <v>1500</v>
      </c>
      <c r="I27" s="151">
        <v>1500</v>
      </c>
      <c r="J27" s="151">
        <v>1500</v>
      </c>
      <c r="K27" s="151">
        <v>1500</v>
      </c>
      <c r="L27" s="151">
        <v>1500</v>
      </c>
      <c r="M27" s="151">
        <v>1500</v>
      </c>
      <c r="N27" s="151">
        <v>1500</v>
      </c>
      <c r="O27" s="151">
        <v>1500</v>
      </c>
      <c r="P27" s="151">
        <v>1500</v>
      </c>
      <c r="Q27" s="151">
        <v>1500</v>
      </c>
      <c r="R27" s="151">
        <v>1500</v>
      </c>
      <c r="S27" s="151">
        <v>1500</v>
      </c>
      <c r="T27" s="151">
        <v>1500</v>
      </c>
      <c r="U27" s="151">
        <v>1500</v>
      </c>
      <c r="V27" s="151">
        <v>1500</v>
      </c>
      <c r="W27" s="151">
        <v>1500</v>
      </c>
      <c r="X27" s="151">
        <v>1500</v>
      </c>
      <c r="Y27" s="151">
        <v>1500</v>
      </c>
      <c r="Z27" s="151">
        <v>1500</v>
      </c>
      <c r="AA27" s="151">
        <v>1500</v>
      </c>
      <c r="AB27" s="151">
        <v>1500</v>
      </c>
      <c r="AC27" s="42">
        <v>792000</v>
      </c>
      <c r="AD27" s="152"/>
    </row>
    <row r="28" spans="1:30" x14ac:dyDescent="0.25">
      <c r="A28" s="149"/>
      <c r="B28" s="10" t="s">
        <v>32</v>
      </c>
      <c r="C28" s="11">
        <v>4</v>
      </c>
      <c r="D28" s="158">
        <v>45931</v>
      </c>
      <c r="E28" s="151">
        <v>1500</v>
      </c>
      <c r="F28" s="151">
        <v>1500</v>
      </c>
      <c r="G28" s="151">
        <v>1500</v>
      </c>
      <c r="H28" s="151">
        <v>1500</v>
      </c>
      <c r="I28" s="151">
        <v>1500</v>
      </c>
      <c r="J28" s="151">
        <v>1500</v>
      </c>
      <c r="K28" s="151">
        <v>1500</v>
      </c>
      <c r="L28" s="151">
        <v>1500</v>
      </c>
      <c r="M28" s="151">
        <v>1500</v>
      </c>
      <c r="N28" s="151">
        <v>1500</v>
      </c>
      <c r="O28" s="151">
        <v>1500</v>
      </c>
      <c r="P28" s="151">
        <v>1500</v>
      </c>
      <c r="Q28" s="151">
        <v>1500</v>
      </c>
      <c r="R28" s="151">
        <v>1500</v>
      </c>
      <c r="S28" s="151">
        <v>1500</v>
      </c>
      <c r="T28" s="151">
        <v>1500</v>
      </c>
      <c r="U28" s="151">
        <v>1500</v>
      </c>
      <c r="V28" s="151">
        <v>1500</v>
      </c>
      <c r="W28" s="151">
        <v>1500</v>
      </c>
      <c r="X28" s="151">
        <v>1500</v>
      </c>
      <c r="Y28" s="151">
        <v>1500</v>
      </c>
      <c r="Z28" s="151">
        <v>1500</v>
      </c>
      <c r="AA28" s="151">
        <v>1500</v>
      </c>
      <c r="AB28" s="151">
        <v>1500</v>
      </c>
      <c r="AC28" s="42">
        <v>144000</v>
      </c>
      <c r="AD28" s="152"/>
    </row>
    <row r="29" spans="1:30" x14ac:dyDescent="0.25">
      <c r="A29" s="149"/>
      <c r="B29" s="10" t="s">
        <v>33</v>
      </c>
      <c r="C29" s="11">
        <v>5</v>
      </c>
      <c r="D29" s="157"/>
      <c r="E29" s="151">
        <v>1500</v>
      </c>
      <c r="F29" s="151">
        <v>1500</v>
      </c>
      <c r="G29" s="151">
        <v>1500</v>
      </c>
      <c r="H29" s="151">
        <v>1500</v>
      </c>
      <c r="I29" s="151">
        <v>1500</v>
      </c>
      <c r="J29" s="151">
        <v>1500</v>
      </c>
      <c r="K29" s="151">
        <v>1500</v>
      </c>
      <c r="L29" s="151">
        <v>1500</v>
      </c>
      <c r="M29" s="151">
        <v>1500</v>
      </c>
      <c r="N29" s="151">
        <v>1500</v>
      </c>
      <c r="O29" s="151">
        <v>1500</v>
      </c>
      <c r="P29" s="151">
        <v>1500</v>
      </c>
      <c r="Q29" s="151">
        <v>1500</v>
      </c>
      <c r="R29" s="151">
        <v>1500</v>
      </c>
      <c r="S29" s="151">
        <v>1500</v>
      </c>
      <c r="T29" s="151">
        <v>1500</v>
      </c>
      <c r="U29" s="151">
        <v>1500</v>
      </c>
      <c r="V29" s="151">
        <v>1500</v>
      </c>
      <c r="W29" s="151">
        <v>1500</v>
      </c>
      <c r="X29" s="151">
        <v>1500</v>
      </c>
      <c r="Y29" s="151">
        <v>1500</v>
      </c>
      <c r="Z29" s="151">
        <v>1500</v>
      </c>
      <c r="AA29" s="151">
        <v>1500</v>
      </c>
      <c r="AB29" s="151">
        <v>1500</v>
      </c>
      <c r="AC29" s="42">
        <v>180000</v>
      </c>
      <c r="AD29" s="152">
        <v>1116000</v>
      </c>
    </row>
    <row r="30" spans="1:30" x14ac:dyDescent="0.25">
      <c r="A30" s="16"/>
      <c r="B30" s="16"/>
      <c r="C30" s="16"/>
      <c r="D30" s="16"/>
      <c r="AD30" s="154"/>
    </row>
    <row r="31" spans="1:30" x14ac:dyDescent="0.25">
      <c r="A31" s="149"/>
      <c r="B31" s="10" t="s">
        <v>31</v>
      </c>
      <c r="C31" s="11">
        <v>18</v>
      </c>
      <c r="D31" s="155">
        <v>45962</v>
      </c>
      <c r="E31" s="151">
        <v>1500</v>
      </c>
      <c r="F31" s="151">
        <v>1500</v>
      </c>
      <c r="G31" s="151">
        <v>1500</v>
      </c>
      <c r="H31" s="151">
        <v>1500</v>
      </c>
      <c r="I31" s="151">
        <v>1500</v>
      </c>
      <c r="J31" s="151">
        <v>1500</v>
      </c>
      <c r="K31" s="151">
        <v>1500</v>
      </c>
      <c r="L31" s="151">
        <v>1500</v>
      </c>
      <c r="M31" s="151">
        <v>1500</v>
      </c>
      <c r="N31" s="151">
        <v>1500</v>
      </c>
      <c r="O31" s="151">
        <v>1500</v>
      </c>
      <c r="P31" s="151">
        <v>1500</v>
      </c>
      <c r="Q31" s="151">
        <v>1500</v>
      </c>
      <c r="R31" s="151">
        <v>1500</v>
      </c>
      <c r="S31" s="151">
        <v>1500</v>
      </c>
      <c r="T31" s="151">
        <v>1500</v>
      </c>
      <c r="U31" s="151">
        <v>1500</v>
      </c>
      <c r="V31" s="151">
        <v>1500</v>
      </c>
      <c r="W31" s="151">
        <v>1500</v>
      </c>
      <c r="X31" s="151">
        <v>1500</v>
      </c>
      <c r="Y31" s="151">
        <v>1500</v>
      </c>
      <c r="Z31" s="151">
        <v>1500</v>
      </c>
      <c r="AA31" s="151">
        <v>1500</v>
      </c>
      <c r="AB31" s="151">
        <v>1500</v>
      </c>
      <c r="AC31" s="42">
        <v>648000</v>
      </c>
      <c r="AD31" s="152"/>
    </row>
    <row r="32" spans="1:30" x14ac:dyDescent="0.25">
      <c r="A32" s="149"/>
      <c r="B32" s="10" t="s">
        <v>32</v>
      </c>
      <c r="C32" s="11">
        <v>5</v>
      </c>
      <c r="D32" s="128"/>
      <c r="E32" s="151">
        <v>1500</v>
      </c>
      <c r="F32" s="151">
        <v>1500</v>
      </c>
      <c r="G32" s="151">
        <v>1500</v>
      </c>
      <c r="H32" s="151">
        <v>1500</v>
      </c>
      <c r="I32" s="151">
        <v>1500</v>
      </c>
      <c r="J32" s="151">
        <v>1500</v>
      </c>
      <c r="K32" s="151">
        <v>1500</v>
      </c>
      <c r="L32" s="151">
        <v>1500</v>
      </c>
      <c r="M32" s="151">
        <v>1500</v>
      </c>
      <c r="N32" s="151">
        <v>1500</v>
      </c>
      <c r="O32" s="151">
        <v>1500</v>
      </c>
      <c r="P32" s="151">
        <v>1500</v>
      </c>
      <c r="Q32" s="151">
        <v>1500</v>
      </c>
      <c r="R32" s="151">
        <v>1500</v>
      </c>
      <c r="S32" s="151">
        <v>1500</v>
      </c>
      <c r="T32" s="151">
        <v>1500</v>
      </c>
      <c r="U32" s="151">
        <v>1500</v>
      </c>
      <c r="V32" s="151">
        <v>1500</v>
      </c>
      <c r="W32" s="151">
        <v>1500</v>
      </c>
      <c r="X32" s="151">
        <v>1500</v>
      </c>
      <c r="Y32" s="151">
        <v>1500</v>
      </c>
      <c r="Z32" s="151">
        <v>1500</v>
      </c>
      <c r="AA32" s="151">
        <v>1500</v>
      </c>
      <c r="AB32" s="151">
        <v>1500</v>
      </c>
      <c r="AC32" s="42">
        <v>180000</v>
      </c>
      <c r="AD32" s="152"/>
    </row>
    <row r="33" spans="1:30" x14ac:dyDescent="0.25">
      <c r="A33" s="149"/>
      <c r="B33" s="10" t="s">
        <v>33</v>
      </c>
      <c r="C33" s="11">
        <v>7</v>
      </c>
      <c r="D33" s="156"/>
      <c r="E33" s="151">
        <v>1500</v>
      </c>
      <c r="F33" s="151">
        <v>1500</v>
      </c>
      <c r="G33" s="151">
        <v>1500</v>
      </c>
      <c r="H33" s="151">
        <v>1500</v>
      </c>
      <c r="I33" s="151">
        <v>1500</v>
      </c>
      <c r="J33" s="151">
        <v>1500</v>
      </c>
      <c r="K33" s="151">
        <v>1500</v>
      </c>
      <c r="L33" s="151">
        <v>1500</v>
      </c>
      <c r="M33" s="151">
        <v>1500</v>
      </c>
      <c r="N33" s="151">
        <v>1500</v>
      </c>
      <c r="O33" s="151">
        <v>1500</v>
      </c>
      <c r="P33" s="151">
        <v>1500</v>
      </c>
      <c r="Q33" s="151">
        <v>1500</v>
      </c>
      <c r="R33" s="151">
        <v>1500</v>
      </c>
      <c r="S33" s="151">
        <v>1500</v>
      </c>
      <c r="T33" s="151">
        <v>1500</v>
      </c>
      <c r="U33" s="151">
        <v>1500</v>
      </c>
      <c r="V33" s="151">
        <v>1500</v>
      </c>
      <c r="W33" s="151">
        <v>1500</v>
      </c>
      <c r="X33" s="151">
        <v>1500</v>
      </c>
      <c r="Y33" s="151">
        <v>1500</v>
      </c>
      <c r="Z33" s="151">
        <v>1500</v>
      </c>
      <c r="AA33" s="151">
        <v>1500</v>
      </c>
      <c r="AB33" s="151">
        <v>1500</v>
      </c>
      <c r="AC33" s="42">
        <v>252000</v>
      </c>
      <c r="AD33" s="152">
        <v>1080000</v>
      </c>
    </row>
    <row r="34" spans="1:30" x14ac:dyDescent="0.25">
      <c r="A34" s="16"/>
      <c r="B34" s="16"/>
      <c r="C34" s="16"/>
      <c r="D34" s="16"/>
      <c r="AD34" s="154"/>
    </row>
    <row r="35" spans="1:30" x14ac:dyDescent="0.25">
      <c r="A35" s="149"/>
      <c r="B35" s="10" t="s">
        <v>31</v>
      </c>
      <c r="C35" s="11">
        <v>21</v>
      </c>
      <c r="D35" s="155">
        <v>45992</v>
      </c>
      <c r="E35" s="151">
        <v>5500</v>
      </c>
      <c r="F35" s="151">
        <v>5500</v>
      </c>
      <c r="G35" s="151">
        <v>5500</v>
      </c>
      <c r="H35" s="151">
        <v>5500</v>
      </c>
      <c r="I35" s="151">
        <v>5500</v>
      </c>
      <c r="J35" s="151">
        <v>5500</v>
      </c>
      <c r="K35" s="151">
        <v>5500</v>
      </c>
      <c r="L35" s="151">
        <v>5500</v>
      </c>
      <c r="M35" s="151">
        <v>5500</v>
      </c>
      <c r="N35" s="151">
        <v>5500</v>
      </c>
      <c r="O35" s="151">
        <v>5500</v>
      </c>
      <c r="P35" s="151">
        <v>5500</v>
      </c>
      <c r="Q35" s="151">
        <v>5500</v>
      </c>
      <c r="R35" s="151">
        <v>5500</v>
      </c>
      <c r="S35" s="151">
        <v>5500</v>
      </c>
      <c r="T35" s="151">
        <v>5500</v>
      </c>
      <c r="U35" s="151">
        <v>5500</v>
      </c>
      <c r="V35" s="151">
        <v>5500</v>
      </c>
      <c r="W35" s="151">
        <v>5500</v>
      </c>
      <c r="X35" s="151">
        <v>5500</v>
      </c>
      <c r="Y35" s="151">
        <v>5500</v>
      </c>
      <c r="Z35" s="151">
        <v>5500</v>
      </c>
      <c r="AA35" s="151">
        <v>5500</v>
      </c>
      <c r="AB35" s="151">
        <v>5500</v>
      </c>
      <c r="AC35" s="42">
        <v>2772000</v>
      </c>
      <c r="AD35" s="152"/>
    </row>
    <row r="36" spans="1:30" x14ac:dyDescent="0.25">
      <c r="A36" s="149"/>
      <c r="B36" s="10" t="s">
        <v>32</v>
      </c>
      <c r="C36" s="11">
        <v>4</v>
      </c>
      <c r="D36" s="128"/>
      <c r="E36" s="151">
        <v>5500</v>
      </c>
      <c r="F36" s="151">
        <v>5500</v>
      </c>
      <c r="G36" s="151">
        <v>5500</v>
      </c>
      <c r="H36" s="151">
        <v>5500</v>
      </c>
      <c r="I36" s="151">
        <v>5500</v>
      </c>
      <c r="J36" s="151">
        <v>5500</v>
      </c>
      <c r="K36" s="151">
        <v>5500</v>
      </c>
      <c r="L36" s="151">
        <v>5500</v>
      </c>
      <c r="M36" s="151">
        <v>5500</v>
      </c>
      <c r="N36" s="151">
        <v>5500</v>
      </c>
      <c r="O36" s="151">
        <v>5500</v>
      </c>
      <c r="P36" s="151">
        <v>5500</v>
      </c>
      <c r="Q36" s="151">
        <v>5500</v>
      </c>
      <c r="R36" s="151">
        <v>5500</v>
      </c>
      <c r="S36" s="151">
        <v>5500</v>
      </c>
      <c r="T36" s="151">
        <v>5500</v>
      </c>
      <c r="U36" s="151">
        <v>5500</v>
      </c>
      <c r="V36" s="151">
        <v>5500</v>
      </c>
      <c r="W36" s="151">
        <v>5500</v>
      </c>
      <c r="X36" s="151">
        <v>5500</v>
      </c>
      <c r="Y36" s="151">
        <v>5500</v>
      </c>
      <c r="Z36" s="151">
        <v>5500</v>
      </c>
      <c r="AA36" s="151">
        <v>5500</v>
      </c>
      <c r="AB36" s="151">
        <v>5500</v>
      </c>
      <c r="AC36" s="42">
        <v>528000</v>
      </c>
      <c r="AD36" s="152"/>
    </row>
    <row r="37" spans="1:30" x14ac:dyDescent="0.25">
      <c r="A37" s="149"/>
      <c r="B37" s="10" t="s">
        <v>33</v>
      </c>
      <c r="C37" s="11">
        <v>6</v>
      </c>
      <c r="D37" s="156"/>
      <c r="E37" s="151">
        <v>5500</v>
      </c>
      <c r="F37" s="151">
        <v>5500</v>
      </c>
      <c r="G37" s="151">
        <v>5500</v>
      </c>
      <c r="H37" s="151">
        <v>5500</v>
      </c>
      <c r="I37" s="151">
        <v>5500</v>
      </c>
      <c r="J37" s="151">
        <v>5500</v>
      </c>
      <c r="K37" s="151">
        <v>5500</v>
      </c>
      <c r="L37" s="151">
        <v>5500</v>
      </c>
      <c r="M37" s="151">
        <v>5500</v>
      </c>
      <c r="N37" s="151">
        <v>5500</v>
      </c>
      <c r="O37" s="151">
        <v>5500</v>
      </c>
      <c r="P37" s="151">
        <v>5500</v>
      </c>
      <c r="Q37" s="151">
        <v>5500</v>
      </c>
      <c r="R37" s="151">
        <v>5500</v>
      </c>
      <c r="S37" s="151">
        <v>5500</v>
      </c>
      <c r="T37" s="151">
        <v>5500</v>
      </c>
      <c r="U37" s="151">
        <v>5500</v>
      </c>
      <c r="V37" s="151">
        <v>5500</v>
      </c>
      <c r="W37" s="151">
        <v>5500</v>
      </c>
      <c r="X37" s="151">
        <v>5500</v>
      </c>
      <c r="Y37" s="151">
        <v>5500</v>
      </c>
      <c r="Z37" s="151">
        <v>5500</v>
      </c>
      <c r="AA37" s="151">
        <v>5500</v>
      </c>
      <c r="AB37" s="151">
        <v>5500</v>
      </c>
      <c r="AC37" s="42">
        <v>792000</v>
      </c>
      <c r="AD37" s="152">
        <v>4092000</v>
      </c>
    </row>
    <row r="38" spans="1:30" x14ac:dyDescent="0.25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8"/>
    </row>
    <row r="39" spans="1:30" ht="15.75" thickBot="1" x14ac:dyDescent="0.3">
      <c r="A39" s="121" t="s">
        <v>34</v>
      </c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</row>
    <row r="40" spans="1:30" x14ac:dyDescent="0.25">
      <c r="A40" s="26"/>
      <c r="B40" s="6" t="s">
        <v>31</v>
      </c>
      <c r="C40" s="7">
        <v>20</v>
      </c>
      <c r="D40" s="130">
        <v>46023</v>
      </c>
      <c r="E40" s="8">
        <v>2077.6582805999988</v>
      </c>
      <c r="F40" s="8">
        <v>2077.6582805999988</v>
      </c>
      <c r="G40" s="8">
        <v>2077.6582805999988</v>
      </c>
      <c r="H40" s="8">
        <v>2077.6582805999988</v>
      </c>
      <c r="I40" s="8">
        <v>2077.6582805999988</v>
      </c>
      <c r="J40" s="8">
        <v>2077.6582805999988</v>
      </c>
      <c r="K40" s="8">
        <v>2077.6582805999988</v>
      </c>
      <c r="L40" s="8">
        <v>2077.6582805999988</v>
      </c>
      <c r="M40" s="8">
        <v>2077.6582805999988</v>
      </c>
      <c r="N40" s="8">
        <v>2077.6582805999988</v>
      </c>
      <c r="O40" s="8">
        <v>2077.6582805999988</v>
      </c>
      <c r="P40" s="8">
        <v>2077.6582805999988</v>
      </c>
      <c r="Q40" s="8">
        <v>2077.6582805999988</v>
      </c>
      <c r="R40" s="8">
        <v>2077.6582805999988</v>
      </c>
      <c r="S40" s="8">
        <v>2077.6582805999988</v>
      </c>
      <c r="T40" s="8">
        <v>2077.6582805999988</v>
      </c>
      <c r="U40" s="8">
        <v>2077.6582805999988</v>
      </c>
      <c r="V40" s="8">
        <v>2077.6582805999988</v>
      </c>
      <c r="W40" s="8">
        <v>2077.6582805999988</v>
      </c>
      <c r="X40" s="8">
        <v>2077.6582805999988</v>
      </c>
      <c r="Y40" s="8">
        <v>2077.6582805999988</v>
      </c>
      <c r="Z40" s="8">
        <v>2077.6582805999988</v>
      </c>
      <c r="AA40" s="8">
        <v>2077.6582805999988</v>
      </c>
      <c r="AB40" s="8">
        <v>2077.6582805999988</v>
      </c>
      <c r="AC40" s="8">
        <v>49863.798734399999</v>
      </c>
      <c r="AD40" s="8"/>
    </row>
    <row r="41" spans="1:30" x14ac:dyDescent="0.25">
      <c r="A41" s="27"/>
      <c r="B41" s="10" t="s">
        <v>32</v>
      </c>
      <c r="C41" s="11">
        <v>5</v>
      </c>
      <c r="D41" s="131"/>
      <c r="E41" s="8">
        <v>2077.6582805999988</v>
      </c>
      <c r="F41" s="8">
        <v>2077.6582805999988</v>
      </c>
      <c r="G41" s="8">
        <v>2077.6582805999988</v>
      </c>
      <c r="H41" s="8">
        <v>2077.6582805999988</v>
      </c>
      <c r="I41" s="8">
        <v>2077.6582805999988</v>
      </c>
      <c r="J41" s="8">
        <v>2077.6582805999988</v>
      </c>
      <c r="K41" s="8">
        <v>2077.6582805999988</v>
      </c>
      <c r="L41" s="8">
        <v>2077.6582805999988</v>
      </c>
      <c r="M41" s="8">
        <v>2077.6582805999988</v>
      </c>
      <c r="N41" s="8">
        <v>2077.6582805999988</v>
      </c>
      <c r="O41" s="8">
        <v>2077.6582805999988</v>
      </c>
      <c r="P41" s="8">
        <v>2077.6582805999988</v>
      </c>
      <c r="Q41" s="8">
        <v>2077.6582805999988</v>
      </c>
      <c r="R41" s="8">
        <v>2077.6582805999988</v>
      </c>
      <c r="S41" s="8">
        <v>2077.6582805999988</v>
      </c>
      <c r="T41" s="8">
        <v>2077.6582805999988</v>
      </c>
      <c r="U41" s="8">
        <v>2077.6582805999988</v>
      </c>
      <c r="V41" s="8">
        <v>2077.6582805999988</v>
      </c>
      <c r="W41" s="8">
        <v>2077.6582805999988</v>
      </c>
      <c r="X41" s="8">
        <v>2077.6582805999988</v>
      </c>
      <c r="Y41" s="8">
        <v>2077.6582805999988</v>
      </c>
      <c r="Z41" s="8">
        <v>2077.6582805999988</v>
      </c>
      <c r="AA41" s="8">
        <v>2077.6582805999988</v>
      </c>
      <c r="AB41" s="8">
        <v>2077.6582805999988</v>
      </c>
      <c r="AC41" s="8">
        <v>49863.798734399999</v>
      </c>
      <c r="AD41" s="8"/>
    </row>
    <row r="42" spans="1:30" ht="15.75" thickBot="1" x14ac:dyDescent="0.3">
      <c r="A42" s="28"/>
      <c r="B42" s="13" t="s">
        <v>33</v>
      </c>
      <c r="C42" s="14">
        <v>6</v>
      </c>
      <c r="D42" s="132"/>
      <c r="E42" s="8">
        <v>2077.6582805999988</v>
      </c>
      <c r="F42" s="8">
        <v>2077.6582805999988</v>
      </c>
      <c r="G42" s="8">
        <v>2077.6582805999988</v>
      </c>
      <c r="H42" s="8">
        <v>2077.6582805999988</v>
      </c>
      <c r="I42" s="8">
        <v>2077.6582805999988</v>
      </c>
      <c r="J42" s="8">
        <v>2077.6582805999988</v>
      </c>
      <c r="K42" s="8">
        <v>2077.6582805999988</v>
      </c>
      <c r="L42" s="8">
        <v>2077.6582805999988</v>
      </c>
      <c r="M42" s="8">
        <v>2077.6582805999988</v>
      </c>
      <c r="N42" s="8">
        <v>2077.6582805999988</v>
      </c>
      <c r="O42" s="8">
        <v>2077.6582805999988</v>
      </c>
      <c r="P42" s="8">
        <v>2077.6582805999988</v>
      </c>
      <c r="Q42" s="8">
        <v>2077.6582805999988</v>
      </c>
      <c r="R42" s="8">
        <v>2077.6582805999988</v>
      </c>
      <c r="S42" s="8">
        <v>2077.6582805999988</v>
      </c>
      <c r="T42" s="8">
        <v>2077.6582805999988</v>
      </c>
      <c r="U42" s="8">
        <v>2077.6582805999988</v>
      </c>
      <c r="V42" s="8">
        <v>2077.6582805999988</v>
      </c>
      <c r="W42" s="8">
        <v>2077.6582805999988</v>
      </c>
      <c r="X42" s="8">
        <v>2077.6582805999988</v>
      </c>
      <c r="Y42" s="8">
        <v>2077.6582805999988</v>
      </c>
      <c r="Z42" s="8">
        <v>2077.6582805999988</v>
      </c>
      <c r="AA42" s="8">
        <v>2077.6582805999988</v>
      </c>
      <c r="AB42" s="8">
        <v>2077.6582805999988</v>
      </c>
      <c r="AC42" s="8">
        <v>49863.798734399999</v>
      </c>
      <c r="AD42" s="8">
        <v>1545777.7607664</v>
      </c>
    </row>
    <row r="43" spans="1:30" ht="15.75" thickBot="1" x14ac:dyDescent="0.3">
      <c r="A43" s="30"/>
      <c r="B43" s="31"/>
      <c r="C43" s="32"/>
      <c r="D43" s="33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AD43" s="35"/>
    </row>
    <row r="44" spans="1:30" x14ac:dyDescent="0.25">
      <c r="A44" s="36"/>
      <c r="B44" s="37" t="s">
        <v>31</v>
      </c>
      <c r="C44" s="38">
        <v>20</v>
      </c>
      <c r="D44" s="118">
        <v>46054</v>
      </c>
      <c r="E44" s="8">
        <v>4295.8431395000025</v>
      </c>
      <c r="F44" s="8">
        <v>4295.8431395000025</v>
      </c>
      <c r="G44" s="8">
        <v>4295.8431395000025</v>
      </c>
      <c r="H44" s="8">
        <v>4295.8431395000025</v>
      </c>
      <c r="I44" s="8">
        <v>4295.8431395000025</v>
      </c>
      <c r="J44" s="8">
        <v>4295.8431395000025</v>
      </c>
      <c r="K44" s="8">
        <v>4295.8431395000025</v>
      </c>
      <c r="L44" s="8">
        <v>4295.8431395000025</v>
      </c>
      <c r="M44" s="8">
        <v>4295.8431395000025</v>
      </c>
      <c r="N44" s="8">
        <v>4295.8431395000025</v>
      </c>
      <c r="O44" s="8">
        <v>4295.8431395000025</v>
      </c>
      <c r="P44" s="8">
        <v>4295.8431395000025</v>
      </c>
      <c r="Q44" s="8">
        <v>4295.8431395000025</v>
      </c>
      <c r="R44" s="8">
        <v>4295.8431395000025</v>
      </c>
      <c r="S44" s="8">
        <v>4295.8431395000025</v>
      </c>
      <c r="T44" s="8">
        <v>4295.8431395000025</v>
      </c>
      <c r="U44" s="8">
        <v>4295.8431395000025</v>
      </c>
      <c r="V44" s="8">
        <v>4295.8431395000025</v>
      </c>
      <c r="W44" s="8">
        <v>4295.8431395000025</v>
      </c>
      <c r="X44" s="8">
        <v>4295.8431395000025</v>
      </c>
      <c r="Y44" s="8">
        <v>4295.8431395000025</v>
      </c>
      <c r="Z44" s="8">
        <v>4295.8431395000025</v>
      </c>
      <c r="AA44" s="8">
        <v>4295.8431395000025</v>
      </c>
      <c r="AB44" s="8">
        <v>4295.8431395000025</v>
      </c>
      <c r="AC44" s="8">
        <v>103100.23534800009</v>
      </c>
      <c r="AD44" s="8"/>
    </row>
    <row r="45" spans="1:30" x14ac:dyDescent="0.25">
      <c r="A45" s="43"/>
      <c r="B45" s="40" t="s">
        <v>32</v>
      </c>
      <c r="C45" s="41">
        <v>4</v>
      </c>
      <c r="D45" s="119"/>
      <c r="E45" s="8">
        <v>4295.8431395000025</v>
      </c>
      <c r="F45" s="8">
        <v>4295.8431395000025</v>
      </c>
      <c r="G45" s="8">
        <v>4295.8431395000025</v>
      </c>
      <c r="H45" s="8">
        <v>4295.8431395000025</v>
      </c>
      <c r="I45" s="8">
        <v>4295.8431395000025</v>
      </c>
      <c r="J45" s="8">
        <v>4295.8431395000025</v>
      </c>
      <c r="K45" s="8">
        <v>4295.8431395000025</v>
      </c>
      <c r="L45" s="8">
        <v>4295.8431395000025</v>
      </c>
      <c r="M45" s="8">
        <v>4295.8431395000025</v>
      </c>
      <c r="N45" s="8">
        <v>4295.8431395000025</v>
      </c>
      <c r="O45" s="8">
        <v>4295.8431395000025</v>
      </c>
      <c r="P45" s="8">
        <v>4295.8431395000025</v>
      </c>
      <c r="Q45" s="8">
        <v>4295.8431395000025</v>
      </c>
      <c r="R45" s="8">
        <v>4295.8431395000025</v>
      </c>
      <c r="S45" s="8">
        <v>4295.8431395000025</v>
      </c>
      <c r="T45" s="8">
        <v>4295.8431395000025</v>
      </c>
      <c r="U45" s="8">
        <v>4295.8431395000025</v>
      </c>
      <c r="V45" s="8">
        <v>4295.8431395000025</v>
      </c>
      <c r="W45" s="8">
        <v>4295.8431395000025</v>
      </c>
      <c r="X45" s="8">
        <v>4295.8431395000025</v>
      </c>
      <c r="Y45" s="8">
        <v>4295.8431395000025</v>
      </c>
      <c r="Z45" s="8">
        <v>4295.8431395000025</v>
      </c>
      <c r="AA45" s="8">
        <v>4295.8431395000025</v>
      </c>
      <c r="AB45" s="8">
        <v>4295.8431395000025</v>
      </c>
      <c r="AC45" s="8">
        <v>103100.23534800009</v>
      </c>
      <c r="AD45" s="8"/>
    </row>
    <row r="46" spans="1:30" ht="15.75" thickBot="1" x14ac:dyDescent="0.3">
      <c r="A46" s="44"/>
      <c r="B46" s="45" t="s">
        <v>33</v>
      </c>
      <c r="C46" s="46">
        <v>4</v>
      </c>
      <c r="D46" s="120"/>
      <c r="E46" s="8">
        <v>4295.8431395000025</v>
      </c>
      <c r="F46" s="8">
        <v>4295.8431395000025</v>
      </c>
      <c r="G46" s="8">
        <v>4295.8431395000025</v>
      </c>
      <c r="H46" s="8">
        <v>4295.8431395000025</v>
      </c>
      <c r="I46" s="8">
        <v>4295.8431395000025</v>
      </c>
      <c r="J46" s="8">
        <v>4295.8431395000025</v>
      </c>
      <c r="K46" s="8">
        <v>4295.8431395000025</v>
      </c>
      <c r="L46" s="8">
        <v>4295.8431395000025</v>
      </c>
      <c r="M46" s="8">
        <v>4295.8431395000025</v>
      </c>
      <c r="N46" s="8">
        <v>4295.8431395000025</v>
      </c>
      <c r="O46" s="8">
        <v>4295.8431395000025</v>
      </c>
      <c r="P46" s="8">
        <v>4295.8431395000025</v>
      </c>
      <c r="Q46" s="8">
        <v>4295.8431395000025</v>
      </c>
      <c r="R46" s="8">
        <v>4295.8431395000025</v>
      </c>
      <c r="S46" s="8">
        <v>4295.8431395000025</v>
      </c>
      <c r="T46" s="8">
        <v>4295.8431395000025</v>
      </c>
      <c r="U46" s="8">
        <v>4295.8431395000025</v>
      </c>
      <c r="V46" s="8">
        <v>4295.8431395000025</v>
      </c>
      <c r="W46" s="8">
        <v>4295.8431395000025</v>
      </c>
      <c r="X46" s="8">
        <v>4295.8431395000025</v>
      </c>
      <c r="Y46" s="8">
        <v>4295.8431395000025</v>
      </c>
      <c r="Z46" s="8">
        <v>4295.8431395000025</v>
      </c>
      <c r="AA46" s="8">
        <v>4295.8431395000025</v>
      </c>
      <c r="AB46" s="8">
        <v>4295.8431395000025</v>
      </c>
      <c r="AC46" s="8">
        <v>103100.23534800009</v>
      </c>
      <c r="AD46" s="8">
        <v>2886806.5897440026</v>
      </c>
    </row>
    <row r="47" spans="1:30" ht="15.75" thickBot="1" x14ac:dyDescent="0.3">
      <c r="A47" s="48"/>
      <c r="B47" s="49"/>
      <c r="C47" s="32"/>
      <c r="D47" s="33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AC47" s="34"/>
      <c r="AD47" s="35"/>
    </row>
    <row r="48" spans="1:30" x14ac:dyDescent="0.25">
      <c r="A48" s="36"/>
      <c r="B48" s="6" t="s">
        <v>31</v>
      </c>
      <c r="C48" s="51">
        <v>21</v>
      </c>
      <c r="D48" s="133">
        <v>46082</v>
      </c>
      <c r="E48" s="8">
        <v>1400</v>
      </c>
      <c r="F48" s="8">
        <v>1400</v>
      </c>
      <c r="G48" s="8">
        <v>1400</v>
      </c>
      <c r="H48" s="8">
        <v>1400</v>
      </c>
      <c r="I48" s="8">
        <v>1400</v>
      </c>
      <c r="J48" s="8">
        <v>1400</v>
      </c>
      <c r="K48" s="8">
        <v>1400</v>
      </c>
      <c r="L48" s="8">
        <v>1400</v>
      </c>
      <c r="M48" s="8">
        <v>1400</v>
      </c>
      <c r="N48" s="8">
        <v>1400</v>
      </c>
      <c r="O48" s="8">
        <v>1400</v>
      </c>
      <c r="P48" s="8">
        <v>1400</v>
      </c>
      <c r="Q48" s="8">
        <v>1400</v>
      </c>
      <c r="R48" s="8">
        <v>1400</v>
      </c>
      <c r="S48" s="8">
        <v>1400</v>
      </c>
      <c r="T48" s="8">
        <v>1400</v>
      </c>
      <c r="U48" s="8">
        <v>1400</v>
      </c>
      <c r="V48" s="8">
        <v>1400</v>
      </c>
      <c r="W48" s="8">
        <v>1400</v>
      </c>
      <c r="X48" s="8">
        <v>1400</v>
      </c>
      <c r="Y48" s="8">
        <v>1400</v>
      </c>
      <c r="Z48" s="8">
        <v>1400</v>
      </c>
      <c r="AA48" s="8">
        <v>1400</v>
      </c>
      <c r="AB48" s="8">
        <v>1400</v>
      </c>
      <c r="AC48" s="8">
        <v>33600</v>
      </c>
      <c r="AD48" s="8"/>
    </row>
    <row r="49" spans="1:30" x14ac:dyDescent="0.25">
      <c r="A49" s="43"/>
      <c r="B49" s="10" t="s">
        <v>32</v>
      </c>
      <c r="C49" s="53">
        <v>4</v>
      </c>
      <c r="D49" s="134"/>
      <c r="E49" s="8">
        <v>1400</v>
      </c>
      <c r="F49" s="8">
        <v>1400</v>
      </c>
      <c r="G49" s="8">
        <v>1400</v>
      </c>
      <c r="H49" s="8">
        <v>1400</v>
      </c>
      <c r="I49" s="8">
        <v>1400</v>
      </c>
      <c r="J49" s="8">
        <v>1400</v>
      </c>
      <c r="K49" s="8">
        <v>1400</v>
      </c>
      <c r="L49" s="8">
        <v>1400</v>
      </c>
      <c r="M49" s="8">
        <v>1400</v>
      </c>
      <c r="N49" s="8">
        <v>1400</v>
      </c>
      <c r="O49" s="8">
        <v>1400</v>
      </c>
      <c r="P49" s="8">
        <v>1400</v>
      </c>
      <c r="Q49" s="8">
        <v>1400</v>
      </c>
      <c r="R49" s="8">
        <v>1400</v>
      </c>
      <c r="S49" s="8">
        <v>1400</v>
      </c>
      <c r="T49" s="8">
        <v>1400</v>
      </c>
      <c r="U49" s="8">
        <v>1400</v>
      </c>
      <c r="V49" s="8">
        <v>1400</v>
      </c>
      <c r="W49" s="8">
        <v>1400</v>
      </c>
      <c r="X49" s="8">
        <v>1400</v>
      </c>
      <c r="Y49" s="8">
        <v>1400</v>
      </c>
      <c r="Z49" s="8">
        <v>1400</v>
      </c>
      <c r="AA49" s="8">
        <v>1400</v>
      </c>
      <c r="AB49" s="8">
        <v>1400</v>
      </c>
      <c r="AC49" s="8">
        <v>33600</v>
      </c>
      <c r="AD49" s="8"/>
    </row>
    <row r="50" spans="1:30" ht="15.75" thickBot="1" x14ac:dyDescent="0.3">
      <c r="A50" s="44"/>
      <c r="B50" s="13" t="s">
        <v>33</v>
      </c>
      <c r="C50" s="54">
        <v>6</v>
      </c>
      <c r="D50" s="135"/>
      <c r="E50" s="8">
        <v>1400</v>
      </c>
      <c r="F50" s="8">
        <v>1400</v>
      </c>
      <c r="G50" s="8">
        <v>1400</v>
      </c>
      <c r="H50" s="8">
        <v>1400</v>
      </c>
      <c r="I50" s="8">
        <v>1400</v>
      </c>
      <c r="J50" s="8">
        <v>1400</v>
      </c>
      <c r="K50" s="8">
        <v>1400</v>
      </c>
      <c r="L50" s="8">
        <v>1400</v>
      </c>
      <c r="M50" s="8">
        <v>1400</v>
      </c>
      <c r="N50" s="8">
        <v>1400</v>
      </c>
      <c r="O50" s="8">
        <v>1400</v>
      </c>
      <c r="P50" s="8">
        <v>1400</v>
      </c>
      <c r="Q50" s="8">
        <v>1400</v>
      </c>
      <c r="R50" s="8">
        <v>1400</v>
      </c>
      <c r="S50" s="8">
        <v>1400</v>
      </c>
      <c r="T50" s="8">
        <v>1400</v>
      </c>
      <c r="U50" s="8">
        <v>1400</v>
      </c>
      <c r="V50" s="8">
        <v>1400</v>
      </c>
      <c r="W50" s="8">
        <v>1400</v>
      </c>
      <c r="X50" s="8">
        <v>1400</v>
      </c>
      <c r="Y50" s="8">
        <v>1400</v>
      </c>
      <c r="Z50" s="8">
        <v>1400</v>
      </c>
      <c r="AA50" s="8">
        <v>1400</v>
      </c>
      <c r="AB50" s="8">
        <v>1400</v>
      </c>
      <c r="AC50" s="8">
        <v>33600</v>
      </c>
      <c r="AD50" s="8">
        <v>1041600</v>
      </c>
    </row>
    <row r="51" spans="1:30" ht="15.75" thickBot="1" x14ac:dyDescent="0.3">
      <c r="A51" s="48"/>
      <c r="B51" s="49"/>
      <c r="C51" s="32"/>
      <c r="D51" s="33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AC51" s="34"/>
      <c r="AD51" s="35"/>
    </row>
    <row r="52" spans="1:30" ht="15.75" customHeight="1" x14ac:dyDescent="0.25">
      <c r="A52" s="36"/>
      <c r="B52" s="6" t="s">
        <v>31</v>
      </c>
      <c r="C52" s="51">
        <v>20</v>
      </c>
      <c r="D52" s="118">
        <v>46113</v>
      </c>
      <c r="E52" s="8">
        <v>3176.2885549500006</v>
      </c>
      <c r="F52" s="8">
        <v>3176.2885549500006</v>
      </c>
      <c r="G52" s="8">
        <v>3176.2885549500006</v>
      </c>
      <c r="H52" s="8">
        <v>3176.2885549500006</v>
      </c>
      <c r="I52" s="8">
        <v>3176.2885549500006</v>
      </c>
      <c r="J52" s="8">
        <v>3176.2885549500006</v>
      </c>
      <c r="K52" s="8">
        <v>3176.2885549500006</v>
      </c>
      <c r="L52" s="8">
        <v>3176.2885549500006</v>
      </c>
      <c r="M52" s="8">
        <v>3176.2885549500006</v>
      </c>
      <c r="N52" s="8">
        <v>3176.2885549500006</v>
      </c>
      <c r="O52" s="8">
        <v>3176.2885549500006</v>
      </c>
      <c r="P52" s="8">
        <v>3176.2885549500006</v>
      </c>
      <c r="Q52" s="8">
        <v>3176.2885549500006</v>
      </c>
      <c r="R52" s="8">
        <v>3176.2885549500006</v>
      </c>
      <c r="S52" s="8">
        <v>3176.2885549500006</v>
      </c>
      <c r="T52" s="8">
        <v>3176.2885549500006</v>
      </c>
      <c r="U52" s="8">
        <v>3176.2885549500006</v>
      </c>
      <c r="V52" s="8">
        <v>3176.2885549500006</v>
      </c>
      <c r="W52" s="8">
        <v>3176.2885549500006</v>
      </c>
      <c r="X52" s="8">
        <v>3176.2885549500006</v>
      </c>
      <c r="Y52" s="8">
        <v>3176.2885549500006</v>
      </c>
      <c r="Z52" s="8">
        <v>3176.2885549500006</v>
      </c>
      <c r="AA52" s="8">
        <v>3176.2885549500006</v>
      </c>
      <c r="AB52" s="8">
        <v>3176.2885549500006</v>
      </c>
      <c r="AC52" s="8">
        <v>76230.925318800015</v>
      </c>
      <c r="AD52" s="8"/>
    </row>
    <row r="53" spans="1:30" x14ac:dyDescent="0.25">
      <c r="A53" s="43"/>
      <c r="B53" s="10" t="s">
        <v>32</v>
      </c>
      <c r="C53" s="53">
        <v>4</v>
      </c>
      <c r="D53" s="119"/>
      <c r="E53" s="8">
        <v>3176.2885549500006</v>
      </c>
      <c r="F53" s="8">
        <v>3176.2885549500006</v>
      </c>
      <c r="G53" s="8">
        <v>3176.2885549500006</v>
      </c>
      <c r="H53" s="8">
        <v>3176.2885549500006</v>
      </c>
      <c r="I53" s="8">
        <v>3176.2885549500006</v>
      </c>
      <c r="J53" s="8">
        <v>3176.2885549500006</v>
      </c>
      <c r="K53" s="8">
        <v>3176.2885549500006</v>
      </c>
      <c r="L53" s="8">
        <v>3176.2885549500006</v>
      </c>
      <c r="M53" s="8">
        <v>3176.2885549500006</v>
      </c>
      <c r="N53" s="8">
        <v>3176.2885549500006</v>
      </c>
      <c r="O53" s="8">
        <v>3176.2885549500006</v>
      </c>
      <c r="P53" s="8">
        <v>3176.2885549500006</v>
      </c>
      <c r="Q53" s="8">
        <v>3176.2885549500006</v>
      </c>
      <c r="R53" s="8">
        <v>3176.2885549500006</v>
      </c>
      <c r="S53" s="8">
        <v>3176.2885549500006</v>
      </c>
      <c r="T53" s="8">
        <v>3176.2885549500006</v>
      </c>
      <c r="U53" s="8">
        <v>3176.2885549500006</v>
      </c>
      <c r="V53" s="8">
        <v>3176.2885549500006</v>
      </c>
      <c r="W53" s="8">
        <v>3176.2885549500006</v>
      </c>
      <c r="X53" s="8">
        <v>3176.2885549500006</v>
      </c>
      <c r="Y53" s="8">
        <v>3176.2885549500006</v>
      </c>
      <c r="Z53" s="8">
        <v>3176.2885549500006</v>
      </c>
      <c r="AA53" s="8">
        <v>3176.2885549500006</v>
      </c>
      <c r="AB53" s="8">
        <v>3176.2885549500006</v>
      </c>
      <c r="AC53" s="8">
        <v>76230.925318800015</v>
      </c>
      <c r="AD53" s="8"/>
    </row>
    <row r="54" spans="1:30" ht="15.75" thickBot="1" x14ac:dyDescent="0.3">
      <c r="A54" s="44"/>
      <c r="B54" s="13" t="s">
        <v>33</v>
      </c>
      <c r="C54" s="54">
        <v>6</v>
      </c>
      <c r="D54" s="120"/>
      <c r="E54" s="8">
        <v>3176.2885549500006</v>
      </c>
      <c r="F54" s="8">
        <v>3176.2885549500006</v>
      </c>
      <c r="G54" s="8">
        <v>3176.2885549500006</v>
      </c>
      <c r="H54" s="8">
        <v>3176.2885549500006</v>
      </c>
      <c r="I54" s="8">
        <v>3176.2885549500006</v>
      </c>
      <c r="J54" s="8">
        <v>3176.2885549500006</v>
      </c>
      <c r="K54" s="8">
        <v>3176.2885549500006</v>
      </c>
      <c r="L54" s="8">
        <v>3176.2885549500006</v>
      </c>
      <c r="M54" s="8">
        <v>3176.2885549500006</v>
      </c>
      <c r="N54" s="8">
        <v>3176.2885549500006</v>
      </c>
      <c r="O54" s="8">
        <v>3176.2885549500006</v>
      </c>
      <c r="P54" s="8">
        <v>3176.2885549500006</v>
      </c>
      <c r="Q54" s="8">
        <v>3176.2885549500006</v>
      </c>
      <c r="R54" s="8">
        <v>3176.2885549500006</v>
      </c>
      <c r="S54" s="8">
        <v>3176.2885549500006</v>
      </c>
      <c r="T54" s="8">
        <v>3176.2885549500006</v>
      </c>
      <c r="U54" s="8">
        <v>3176.2885549500006</v>
      </c>
      <c r="V54" s="8">
        <v>3176.2885549500006</v>
      </c>
      <c r="W54" s="8">
        <v>3176.2885549500006</v>
      </c>
      <c r="X54" s="8">
        <v>3176.2885549500006</v>
      </c>
      <c r="Y54" s="8">
        <v>3176.2885549500006</v>
      </c>
      <c r="Z54" s="8">
        <v>3176.2885549500006</v>
      </c>
      <c r="AA54" s="8">
        <v>3176.2885549500006</v>
      </c>
      <c r="AB54" s="8">
        <v>3176.2885549500006</v>
      </c>
      <c r="AC54" s="8">
        <v>76230.925318800015</v>
      </c>
      <c r="AD54" s="8">
        <v>2286927.7595640006</v>
      </c>
    </row>
    <row r="55" spans="1:30" ht="15.75" thickBot="1" x14ac:dyDescent="0.3">
      <c r="A55" s="48"/>
      <c r="B55" s="49"/>
      <c r="C55" s="32"/>
      <c r="D55" s="33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x14ac:dyDescent="0.25">
      <c r="A56" s="36"/>
      <c r="B56" s="6" t="s">
        <v>31</v>
      </c>
      <c r="C56" s="51">
        <v>19</v>
      </c>
      <c r="D56" s="118">
        <v>46143</v>
      </c>
      <c r="E56" s="8">
        <v>3182.8787964473686</v>
      </c>
      <c r="F56" s="8">
        <v>3182.8787964473686</v>
      </c>
      <c r="G56" s="8">
        <v>3182.8787964473686</v>
      </c>
      <c r="H56" s="8">
        <v>3182.8787964473686</v>
      </c>
      <c r="I56" s="8">
        <v>3182.8787964473686</v>
      </c>
      <c r="J56" s="8">
        <v>3182.8787964473686</v>
      </c>
      <c r="K56" s="8">
        <v>3182.8787964473686</v>
      </c>
      <c r="L56" s="8">
        <v>3182.8787964473686</v>
      </c>
      <c r="M56" s="8">
        <v>3182.8787964473686</v>
      </c>
      <c r="N56" s="8">
        <v>3182.8787964473686</v>
      </c>
      <c r="O56" s="8">
        <v>3182.8787964473686</v>
      </c>
      <c r="P56" s="8">
        <v>3182.8787964473686</v>
      </c>
      <c r="Q56" s="8">
        <v>3182.8787964473686</v>
      </c>
      <c r="R56" s="8">
        <v>3182.8787964473686</v>
      </c>
      <c r="S56" s="8">
        <v>3182.8787964473686</v>
      </c>
      <c r="T56" s="8">
        <v>3182.8787964473686</v>
      </c>
      <c r="U56" s="8">
        <v>3182.8787964473686</v>
      </c>
      <c r="V56" s="8">
        <v>3182.8787964473686</v>
      </c>
      <c r="W56" s="8">
        <v>3182.8787964473686</v>
      </c>
      <c r="X56" s="8">
        <v>3182.8787964473686</v>
      </c>
      <c r="Y56" s="8">
        <v>3182.8787964473686</v>
      </c>
      <c r="Z56" s="8">
        <v>3182.8787964473686</v>
      </c>
      <c r="AA56" s="8">
        <v>3182.8787964473686</v>
      </c>
      <c r="AB56" s="8">
        <v>3182.8787964473686</v>
      </c>
      <c r="AC56" s="8">
        <v>76389.091114736846</v>
      </c>
      <c r="AD56" s="8"/>
    </row>
    <row r="57" spans="1:30" x14ac:dyDescent="0.25">
      <c r="A57" s="43"/>
      <c r="B57" s="10" t="s">
        <v>32</v>
      </c>
      <c r="C57" s="53">
        <v>5</v>
      </c>
      <c r="D57" s="119"/>
      <c r="E57" s="8">
        <v>3182.8787964473686</v>
      </c>
      <c r="F57" s="8">
        <v>3182.8787964473686</v>
      </c>
      <c r="G57" s="8">
        <v>3182.8787964473686</v>
      </c>
      <c r="H57" s="8">
        <v>3182.8787964473686</v>
      </c>
      <c r="I57" s="8">
        <v>3182.8787964473686</v>
      </c>
      <c r="J57" s="8">
        <v>3182.8787964473686</v>
      </c>
      <c r="K57" s="8">
        <v>3182.8787964473686</v>
      </c>
      <c r="L57" s="8">
        <v>3182.8787964473686</v>
      </c>
      <c r="M57" s="8">
        <v>3182.8787964473686</v>
      </c>
      <c r="N57" s="8">
        <v>3182.8787964473686</v>
      </c>
      <c r="O57" s="8">
        <v>3182.8787964473686</v>
      </c>
      <c r="P57" s="8">
        <v>3182.8787964473686</v>
      </c>
      <c r="Q57" s="8">
        <v>3182.8787964473686</v>
      </c>
      <c r="R57" s="8">
        <v>3182.8787964473686</v>
      </c>
      <c r="S57" s="8">
        <v>3182.8787964473686</v>
      </c>
      <c r="T57" s="8">
        <v>3182.8787964473686</v>
      </c>
      <c r="U57" s="8">
        <v>3182.8787964473686</v>
      </c>
      <c r="V57" s="8">
        <v>3182.8787964473686</v>
      </c>
      <c r="W57" s="8">
        <v>3182.8787964473686</v>
      </c>
      <c r="X57" s="8">
        <v>3182.8787964473686</v>
      </c>
      <c r="Y57" s="8">
        <v>3182.8787964473686</v>
      </c>
      <c r="Z57" s="8">
        <v>3182.8787964473686</v>
      </c>
      <c r="AA57" s="8">
        <v>3182.8787964473686</v>
      </c>
      <c r="AB57" s="8">
        <v>3182.8787964473686</v>
      </c>
      <c r="AC57" s="8">
        <v>76389.091114736846</v>
      </c>
      <c r="AD57" s="8"/>
    </row>
    <row r="58" spans="1:30" ht="15.75" thickBot="1" x14ac:dyDescent="0.3">
      <c r="A58" s="44"/>
      <c r="B58" s="13" t="s">
        <v>33</v>
      </c>
      <c r="C58" s="54">
        <v>7</v>
      </c>
      <c r="D58" s="120"/>
      <c r="E58" s="8">
        <v>3182.8787964473686</v>
      </c>
      <c r="F58" s="8">
        <v>3182.8787964473686</v>
      </c>
      <c r="G58" s="8">
        <v>3182.8787964473686</v>
      </c>
      <c r="H58" s="8">
        <v>3182.8787964473686</v>
      </c>
      <c r="I58" s="8">
        <v>3182.8787964473686</v>
      </c>
      <c r="J58" s="8">
        <v>3182.8787964473686</v>
      </c>
      <c r="K58" s="8">
        <v>3182.8787964473686</v>
      </c>
      <c r="L58" s="8">
        <v>3182.8787964473686</v>
      </c>
      <c r="M58" s="8">
        <v>3182.8787964473686</v>
      </c>
      <c r="N58" s="8">
        <v>3182.8787964473686</v>
      </c>
      <c r="O58" s="8">
        <v>3182.8787964473686</v>
      </c>
      <c r="P58" s="8">
        <v>3182.8787964473686</v>
      </c>
      <c r="Q58" s="8">
        <v>3182.8787964473686</v>
      </c>
      <c r="R58" s="8">
        <v>3182.8787964473686</v>
      </c>
      <c r="S58" s="8">
        <v>3182.8787964473686</v>
      </c>
      <c r="T58" s="8">
        <v>3182.8787964473686</v>
      </c>
      <c r="U58" s="8">
        <v>3182.8787964473686</v>
      </c>
      <c r="V58" s="8">
        <v>3182.8787964473686</v>
      </c>
      <c r="W58" s="8">
        <v>3182.8787964473686</v>
      </c>
      <c r="X58" s="8">
        <v>3182.8787964473686</v>
      </c>
      <c r="Y58" s="8">
        <v>3182.8787964473686</v>
      </c>
      <c r="Z58" s="8">
        <v>3182.8787964473686</v>
      </c>
      <c r="AA58" s="8">
        <v>3182.8787964473686</v>
      </c>
      <c r="AB58" s="8">
        <v>3182.8787964473686</v>
      </c>
      <c r="AC58" s="8">
        <v>76389.091114736846</v>
      </c>
      <c r="AD58" s="8">
        <v>2368061.8245568424</v>
      </c>
    </row>
    <row r="59" spans="1:30" ht="15.75" thickBot="1" x14ac:dyDescent="0.3">
      <c r="A59" s="48"/>
      <c r="B59" s="49"/>
      <c r="C59" s="32"/>
      <c r="D59" s="33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AC59" s="34"/>
      <c r="AD59" s="35"/>
    </row>
    <row r="60" spans="1:30" x14ac:dyDescent="0.25">
      <c r="A60" s="36"/>
      <c r="B60" s="6" t="s">
        <v>31</v>
      </c>
      <c r="C60" s="51">
        <v>19</v>
      </c>
      <c r="D60" s="118">
        <v>46174</v>
      </c>
      <c r="E60" s="8">
        <v>1900</v>
      </c>
      <c r="F60" s="8">
        <v>1900</v>
      </c>
      <c r="G60" s="8">
        <v>1900</v>
      </c>
      <c r="H60" s="8">
        <v>1900</v>
      </c>
      <c r="I60" s="8">
        <v>1900</v>
      </c>
      <c r="J60" s="8">
        <v>1900</v>
      </c>
      <c r="K60" s="8">
        <v>1900</v>
      </c>
      <c r="L60" s="8">
        <v>1900</v>
      </c>
      <c r="M60" s="8">
        <v>1900</v>
      </c>
      <c r="N60" s="8">
        <v>1900</v>
      </c>
      <c r="O60" s="8">
        <v>1900</v>
      </c>
      <c r="P60" s="8">
        <v>1900</v>
      </c>
      <c r="Q60" s="8">
        <v>1900</v>
      </c>
      <c r="R60" s="8">
        <v>1900</v>
      </c>
      <c r="S60" s="8">
        <v>1900</v>
      </c>
      <c r="T60" s="8">
        <v>1900</v>
      </c>
      <c r="U60" s="8">
        <v>1900</v>
      </c>
      <c r="V60" s="8">
        <v>1900</v>
      </c>
      <c r="W60" s="8">
        <v>1900</v>
      </c>
      <c r="X60" s="8">
        <v>1900</v>
      </c>
      <c r="Y60" s="8">
        <v>1900</v>
      </c>
      <c r="Z60" s="8">
        <v>1900</v>
      </c>
      <c r="AA60" s="8">
        <v>1900</v>
      </c>
      <c r="AB60" s="8">
        <v>1900</v>
      </c>
      <c r="AC60" s="8">
        <v>45600</v>
      </c>
      <c r="AD60" s="8"/>
    </row>
    <row r="61" spans="1:30" x14ac:dyDescent="0.25">
      <c r="A61" s="43"/>
      <c r="B61" s="10" t="s">
        <v>32</v>
      </c>
      <c r="C61" s="53">
        <v>4</v>
      </c>
      <c r="D61" s="119"/>
      <c r="E61" s="8">
        <v>1900</v>
      </c>
      <c r="F61" s="8">
        <v>1900</v>
      </c>
      <c r="G61" s="8">
        <v>1900</v>
      </c>
      <c r="H61" s="8">
        <v>1900</v>
      </c>
      <c r="I61" s="8">
        <v>1900</v>
      </c>
      <c r="J61" s="8">
        <v>1900</v>
      </c>
      <c r="K61" s="8">
        <v>1900</v>
      </c>
      <c r="L61" s="8">
        <v>1900</v>
      </c>
      <c r="M61" s="8">
        <v>1900</v>
      </c>
      <c r="N61" s="8">
        <v>1900</v>
      </c>
      <c r="O61" s="8">
        <v>1900</v>
      </c>
      <c r="P61" s="8">
        <v>1900</v>
      </c>
      <c r="Q61" s="8">
        <v>1900</v>
      </c>
      <c r="R61" s="8">
        <v>1900</v>
      </c>
      <c r="S61" s="8">
        <v>1900</v>
      </c>
      <c r="T61" s="8">
        <v>1900</v>
      </c>
      <c r="U61" s="8">
        <v>1900</v>
      </c>
      <c r="V61" s="8">
        <v>1900</v>
      </c>
      <c r="W61" s="8">
        <v>1900</v>
      </c>
      <c r="X61" s="8">
        <v>1900</v>
      </c>
      <c r="Y61" s="8">
        <v>1900</v>
      </c>
      <c r="Z61" s="8">
        <v>1900</v>
      </c>
      <c r="AA61" s="8">
        <v>1900</v>
      </c>
      <c r="AB61" s="8">
        <v>1900</v>
      </c>
      <c r="AC61" s="8">
        <v>45600</v>
      </c>
      <c r="AD61" s="8"/>
    </row>
    <row r="62" spans="1:30" ht="15.75" thickBot="1" x14ac:dyDescent="0.3">
      <c r="A62" s="44"/>
      <c r="B62" s="13" t="s">
        <v>33</v>
      </c>
      <c r="C62" s="54">
        <v>7</v>
      </c>
      <c r="D62" s="120"/>
      <c r="E62" s="8">
        <v>1900</v>
      </c>
      <c r="F62" s="8">
        <v>1900</v>
      </c>
      <c r="G62" s="8">
        <v>1900</v>
      </c>
      <c r="H62" s="8">
        <v>1900</v>
      </c>
      <c r="I62" s="8">
        <v>1900</v>
      </c>
      <c r="J62" s="8">
        <v>1900</v>
      </c>
      <c r="K62" s="8">
        <v>1900</v>
      </c>
      <c r="L62" s="8">
        <v>1900</v>
      </c>
      <c r="M62" s="8">
        <v>1900</v>
      </c>
      <c r="N62" s="8">
        <v>1900</v>
      </c>
      <c r="O62" s="8">
        <v>1900</v>
      </c>
      <c r="P62" s="8">
        <v>1900</v>
      </c>
      <c r="Q62" s="8">
        <v>1900</v>
      </c>
      <c r="R62" s="8">
        <v>1900</v>
      </c>
      <c r="S62" s="8">
        <v>1900</v>
      </c>
      <c r="T62" s="8">
        <v>1900</v>
      </c>
      <c r="U62" s="8">
        <v>1900</v>
      </c>
      <c r="V62" s="8">
        <v>1900</v>
      </c>
      <c r="W62" s="8">
        <v>1900</v>
      </c>
      <c r="X62" s="8">
        <v>1900</v>
      </c>
      <c r="Y62" s="8">
        <v>1900</v>
      </c>
      <c r="Z62" s="8">
        <v>1900</v>
      </c>
      <c r="AA62" s="8">
        <v>1900</v>
      </c>
      <c r="AB62" s="8">
        <v>1900</v>
      </c>
      <c r="AC62" s="8">
        <v>45600</v>
      </c>
      <c r="AD62" s="8">
        <v>1368000</v>
      </c>
    </row>
    <row r="63" spans="1:30" ht="15.75" thickBot="1" x14ac:dyDescent="0.3">
      <c r="A63" s="48"/>
      <c r="B63" s="49"/>
      <c r="C63" s="32"/>
      <c r="D63" s="33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AC63" s="34"/>
      <c r="AD63" s="35"/>
    </row>
    <row r="64" spans="1:30" x14ac:dyDescent="0.25">
      <c r="A64" s="36"/>
      <c r="B64" s="6" t="s">
        <v>31</v>
      </c>
      <c r="C64" s="51">
        <v>22</v>
      </c>
      <c r="D64" s="118">
        <v>46204</v>
      </c>
      <c r="E64" s="8">
        <v>2179.5529235454542</v>
      </c>
      <c r="F64" s="8">
        <v>2179.5529235454542</v>
      </c>
      <c r="G64" s="8">
        <v>2179.5529235454542</v>
      </c>
      <c r="H64" s="8">
        <v>2179.5529235454542</v>
      </c>
      <c r="I64" s="8">
        <v>2179.5529235454542</v>
      </c>
      <c r="J64" s="8">
        <v>2179.5529235454542</v>
      </c>
      <c r="K64" s="8">
        <v>2179.5529235454542</v>
      </c>
      <c r="L64" s="8">
        <v>2179.5529235454542</v>
      </c>
      <c r="M64" s="8">
        <v>2179.5529235454542</v>
      </c>
      <c r="N64" s="8">
        <v>2179.5529235454542</v>
      </c>
      <c r="O64" s="8">
        <v>2179.5529235454542</v>
      </c>
      <c r="P64" s="8">
        <v>2179.5529235454542</v>
      </c>
      <c r="Q64" s="8">
        <v>2179.5529235454542</v>
      </c>
      <c r="R64" s="8">
        <v>2179.5529235454542</v>
      </c>
      <c r="S64" s="8">
        <v>2179.5529235454542</v>
      </c>
      <c r="T64" s="8">
        <v>2179.5529235454542</v>
      </c>
      <c r="U64" s="8">
        <v>2179.5529235454542</v>
      </c>
      <c r="V64" s="8">
        <v>2179.5529235454542</v>
      </c>
      <c r="W64" s="8">
        <v>2179.5529235454542</v>
      </c>
      <c r="X64" s="8">
        <v>2179.5529235454542</v>
      </c>
      <c r="Y64" s="8">
        <v>2179.5529235454542</v>
      </c>
      <c r="Z64" s="8">
        <v>2179.5529235454542</v>
      </c>
      <c r="AA64" s="8">
        <v>2179.5529235454542</v>
      </c>
      <c r="AB64" s="8">
        <v>2179.5529235454542</v>
      </c>
      <c r="AC64" s="8">
        <v>52309.270165090871</v>
      </c>
      <c r="AD64" s="8"/>
    </row>
    <row r="65" spans="1:30" x14ac:dyDescent="0.25">
      <c r="A65" s="43"/>
      <c r="B65" s="10" t="s">
        <v>32</v>
      </c>
      <c r="C65" s="53">
        <v>4</v>
      </c>
      <c r="D65" s="119"/>
      <c r="E65" s="8">
        <v>2179.5529235454542</v>
      </c>
      <c r="F65" s="8">
        <v>2179.5529235454542</v>
      </c>
      <c r="G65" s="8">
        <v>2179.5529235454542</v>
      </c>
      <c r="H65" s="8">
        <v>2179.5529235454542</v>
      </c>
      <c r="I65" s="8">
        <v>2179.5529235454542</v>
      </c>
      <c r="J65" s="8">
        <v>2179.5529235454542</v>
      </c>
      <c r="K65" s="8">
        <v>2179.5529235454542</v>
      </c>
      <c r="L65" s="8">
        <v>2179.5529235454542</v>
      </c>
      <c r="M65" s="8">
        <v>2179.5529235454542</v>
      </c>
      <c r="N65" s="8">
        <v>2179.5529235454542</v>
      </c>
      <c r="O65" s="8">
        <v>2179.5529235454542</v>
      </c>
      <c r="P65" s="8">
        <v>2179.5529235454542</v>
      </c>
      <c r="Q65" s="8">
        <v>2179.5529235454542</v>
      </c>
      <c r="R65" s="8">
        <v>2179.5529235454542</v>
      </c>
      <c r="S65" s="8">
        <v>2179.5529235454542</v>
      </c>
      <c r="T65" s="8">
        <v>2179.5529235454542</v>
      </c>
      <c r="U65" s="8">
        <v>2179.5529235454542</v>
      </c>
      <c r="V65" s="8">
        <v>2179.5529235454542</v>
      </c>
      <c r="W65" s="8">
        <v>2179.5529235454542</v>
      </c>
      <c r="X65" s="8">
        <v>2179.5529235454542</v>
      </c>
      <c r="Y65" s="8">
        <v>2179.5529235454542</v>
      </c>
      <c r="Z65" s="8">
        <v>2179.5529235454542</v>
      </c>
      <c r="AA65" s="8">
        <v>2179.5529235454542</v>
      </c>
      <c r="AB65" s="8">
        <v>2179.5529235454542</v>
      </c>
      <c r="AC65" s="8">
        <v>52309.270165090871</v>
      </c>
      <c r="AD65" s="8"/>
    </row>
    <row r="66" spans="1:30" ht="15.75" thickBot="1" x14ac:dyDescent="0.3">
      <c r="A66" s="44"/>
      <c r="B66" s="13" t="s">
        <v>33</v>
      </c>
      <c r="C66" s="54">
        <v>5</v>
      </c>
      <c r="D66" s="120"/>
      <c r="E66" s="8">
        <v>2179.5529235454542</v>
      </c>
      <c r="F66" s="8">
        <v>2179.5529235454542</v>
      </c>
      <c r="G66" s="8">
        <v>2179.5529235454542</v>
      </c>
      <c r="H66" s="8">
        <v>2179.5529235454542</v>
      </c>
      <c r="I66" s="8">
        <v>2179.5529235454542</v>
      </c>
      <c r="J66" s="8">
        <v>2179.5529235454542</v>
      </c>
      <c r="K66" s="8">
        <v>2179.5529235454542</v>
      </c>
      <c r="L66" s="8">
        <v>2179.5529235454542</v>
      </c>
      <c r="M66" s="8">
        <v>2179.5529235454542</v>
      </c>
      <c r="N66" s="8">
        <v>2179.5529235454542</v>
      </c>
      <c r="O66" s="8">
        <v>2179.5529235454542</v>
      </c>
      <c r="P66" s="8">
        <v>2179.5529235454542</v>
      </c>
      <c r="Q66" s="8">
        <v>2179.5529235454542</v>
      </c>
      <c r="R66" s="8">
        <v>2179.5529235454542</v>
      </c>
      <c r="S66" s="8">
        <v>2179.5529235454542</v>
      </c>
      <c r="T66" s="8">
        <v>2179.5529235454542</v>
      </c>
      <c r="U66" s="8">
        <v>2179.5529235454542</v>
      </c>
      <c r="V66" s="8">
        <v>2179.5529235454542</v>
      </c>
      <c r="W66" s="8">
        <v>2179.5529235454542</v>
      </c>
      <c r="X66" s="8">
        <v>2179.5529235454542</v>
      </c>
      <c r="Y66" s="8">
        <v>2179.5529235454542</v>
      </c>
      <c r="Z66" s="8">
        <v>2179.5529235454542</v>
      </c>
      <c r="AA66" s="8">
        <v>2179.5529235454542</v>
      </c>
      <c r="AB66" s="8">
        <v>2179.5529235454542</v>
      </c>
      <c r="AC66" s="8">
        <v>52309.270165090871</v>
      </c>
      <c r="AD66" s="8">
        <v>1621587.375117817</v>
      </c>
    </row>
    <row r="67" spans="1:30" ht="15.75" thickBot="1" x14ac:dyDescent="0.3">
      <c r="A67" s="48"/>
      <c r="B67" s="49"/>
      <c r="C67" s="32"/>
      <c r="D67" s="33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56"/>
      <c r="AD67" s="35"/>
    </row>
    <row r="68" spans="1:30" x14ac:dyDescent="0.25">
      <c r="A68" s="36"/>
      <c r="B68" s="6" t="s">
        <v>31</v>
      </c>
      <c r="C68" s="51">
        <v>19</v>
      </c>
      <c r="D68" s="118">
        <v>46235</v>
      </c>
      <c r="E68" s="8">
        <v>3270.8359413947373</v>
      </c>
      <c r="F68" s="8">
        <v>3270.8359413947373</v>
      </c>
      <c r="G68" s="8">
        <v>3270.8359413947373</v>
      </c>
      <c r="H68" s="8">
        <v>3270.8359413947373</v>
      </c>
      <c r="I68" s="8">
        <v>3270.8359413947373</v>
      </c>
      <c r="J68" s="8">
        <v>3270.8359413947373</v>
      </c>
      <c r="K68" s="8">
        <v>3270.8359413947373</v>
      </c>
      <c r="L68" s="8">
        <v>3270.8359413947373</v>
      </c>
      <c r="M68" s="8">
        <v>3270.8359413947373</v>
      </c>
      <c r="N68" s="8">
        <v>3270.8359413947373</v>
      </c>
      <c r="O68" s="8">
        <v>3270.8359413947373</v>
      </c>
      <c r="P68" s="8">
        <v>3270.8359413947373</v>
      </c>
      <c r="Q68" s="8">
        <v>3270.8359413947373</v>
      </c>
      <c r="R68" s="8">
        <v>3270.8359413947373</v>
      </c>
      <c r="S68" s="8">
        <v>3270.8359413947373</v>
      </c>
      <c r="T68" s="8">
        <v>3270.8359413947373</v>
      </c>
      <c r="U68" s="8">
        <v>3270.8359413947373</v>
      </c>
      <c r="V68" s="8">
        <v>3270.8359413947373</v>
      </c>
      <c r="W68" s="8">
        <v>3270.8359413947373</v>
      </c>
      <c r="X68" s="8">
        <v>3270.8359413947373</v>
      </c>
      <c r="Y68" s="8">
        <v>3270.8359413947373</v>
      </c>
      <c r="Z68" s="8">
        <v>3270.8359413947373</v>
      </c>
      <c r="AA68" s="8">
        <v>3270.8359413947373</v>
      </c>
      <c r="AB68" s="8">
        <v>3270.8359413947373</v>
      </c>
      <c r="AC68" s="8">
        <v>78500.062593473704</v>
      </c>
      <c r="AD68" s="8"/>
    </row>
    <row r="69" spans="1:30" x14ac:dyDescent="0.25">
      <c r="A69" s="43"/>
      <c r="B69" s="10" t="s">
        <v>32</v>
      </c>
      <c r="C69" s="53">
        <v>5</v>
      </c>
      <c r="D69" s="119"/>
      <c r="E69" s="8">
        <v>3270.8359413947373</v>
      </c>
      <c r="F69" s="8">
        <v>3270.8359413947373</v>
      </c>
      <c r="G69" s="8">
        <v>3270.8359413947373</v>
      </c>
      <c r="H69" s="8">
        <v>3270.8359413947373</v>
      </c>
      <c r="I69" s="8">
        <v>3270.8359413947373</v>
      </c>
      <c r="J69" s="8">
        <v>3270.8359413947373</v>
      </c>
      <c r="K69" s="8">
        <v>3270.8359413947373</v>
      </c>
      <c r="L69" s="8">
        <v>3270.8359413947373</v>
      </c>
      <c r="M69" s="8">
        <v>3270.8359413947373</v>
      </c>
      <c r="N69" s="8">
        <v>3270.8359413947373</v>
      </c>
      <c r="O69" s="8">
        <v>3270.8359413947373</v>
      </c>
      <c r="P69" s="8">
        <v>3270.8359413947373</v>
      </c>
      <c r="Q69" s="8">
        <v>3270.8359413947373</v>
      </c>
      <c r="R69" s="8">
        <v>3270.8359413947373</v>
      </c>
      <c r="S69" s="8">
        <v>3270.8359413947373</v>
      </c>
      <c r="T69" s="8">
        <v>3270.8359413947373</v>
      </c>
      <c r="U69" s="8">
        <v>3270.8359413947373</v>
      </c>
      <c r="V69" s="8">
        <v>3270.8359413947373</v>
      </c>
      <c r="W69" s="8">
        <v>3270.8359413947373</v>
      </c>
      <c r="X69" s="8">
        <v>3270.8359413947373</v>
      </c>
      <c r="Y69" s="8">
        <v>3270.8359413947373</v>
      </c>
      <c r="Z69" s="8">
        <v>3270.8359413947373</v>
      </c>
      <c r="AA69" s="8">
        <v>3270.8359413947373</v>
      </c>
      <c r="AB69" s="8">
        <v>3270.8359413947373</v>
      </c>
      <c r="AC69" s="8">
        <v>78500.062593473704</v>
      </c>
      <c r="AD69" s="8"/>
    </row>
    <row r="70" spans="1:30" ht="15.75" thickBot="1" x14ac:dyDescent="0.3">
      <c r="A70" s="44"/>
      <c r="B70" s="13" t="s">
        <v>33</v>
      </c>
      <c r="C70" s="54">
        <v>7</v>
      </c>
      <c r="D70" s="120"/>
      <c r="E70" s="8">
        <v>3270.8359413947373</v>
      </c>
      <c r="F70" s="8">
        <v>3270.8359413947373</v>
      </c>
      <c r="G70" s="8">
        <v>3270.8359413947373</v>
      </c>
      <c r="H70" s="8">
        <v>3270.8359413947373</v>
      </c>
      <c r="I70" s="8">
        <v>3270.8359413947373</v>
      </c>
      <c r="J70" s="8">
        <v>3270.8359413947373</v>
      </c>
      <c r="K70" s="8">
        <v>3270.8359413947373</v>
      </c>
      <c r="L70" s="8">
        <v>3270.8359413947373</v>
      </c>
      <c r="M70" s="8">
        <v>3270.8359413947373</v>
      </c>
      <c r="N70" s="8">
        <v>3270.8359413947373</v>
      </c>
      <c r="O70" s="8">
        <v>3270.8359413947373</v>
      </c>
      <c r="P70" s="8">
        <v>3270.8359413947373</v>
      </c>
      <c r="Q70" s="8">
        <v>3270.8359413947373</v>
      </c>
      <c r="R70" s="8">
        <v>3270.8359413947373</v>
      </c>
      <c r="S70" s="8">
        <v>3270.8359413947373</v>
      </c>
      <c r="T70" s="8">
        <v>3270.8359413947373</v>
      </c>
      <c r="U70" s="8">
        <v>3270.8359413947373</v>
      </c>
      <c r="V70" s="8">
        <v>3270.8359413947373</v>
      </c>
      <c r="W70" s="8">
        <v>3270.8359413947373</v>
      </c>
      <c r="X70" s="8">
        <v>3270.8359413947373</v>
      </c>
      <c r="Y70" s="8">
        <v>3270.8359413947373</v>
      </c>
      <c r="Z70" s="8">
        <v>3270.8359413947373</v>
      </c>
      <c r="AA70" s="8">
        <v>3270.8359413947373</v>
      </c>
      <c r="AB70" s="8">
        <v>3270.8359413947373</v>
      </c>
      <c r="AC70" s="8">
        <v>78500.062593473704</v>
      </c>
      <c r="AD70" s="8">
        <v>2433501.9403976849</v>
      </c>
    </row>
    <row r="71" spans="1:30" ht="15.75" thickBot="1" x14ac:dyDescent="0.3">
      <c r="A71" s="48"/>
      <c r="B71" s="49"/>
      <c r="C71" s="32"/>
      <c r="D71" s="33"/>
      <c r="E71" s="30"/>
      <c r="F71" s="30"/>
      <c r="G71" s="30">
        <v>3111.4685857500008</v>
      </c>
      <c r="H71" s="30"/>
      <c r="I71" s="30"/>
      <c r="J71" s="30"/>
      <c r="K71" s="30"/>
      <c r="L71" s="30"/>
      <c r="M71" s="30"/>
      <c r="N71" s="30"/>
      <c r="O71" s="30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56"/>
      <c r="AD71" s="35"/>
    </row>
    <row r="72" spans="1:30" x14ac:dyDescent="0.25">
      <c r="A72" s="36"/>
      <c r="B72" s="6" t="s">
        <v>31</v>
      </c>
      <c r="C72" s="51">
        <v>20</v>
      </c>
      <c r="D72" s="118">
        <v>46266</v>
      </c>
      <c r="E72" s="8">
        <v>3257.9399569500001</v>
      </c>
      <c r="F72" s="8">
        <v>3171.2811826500001</v>
      </c>
      <c r="G72" s="8"/>
      <c r="H72" s="8">
        <v>3072.0063417750007</v>
      </c>
      <c r="I72" s="8">
        <v>3058.3889910000007</v>
      </c>
      <c r="J72" s="8">
        <v>3090.7333138500007</v>
      </c>
      <c r="K72" s="8">
        <v>3130.4135677500008</v>
      </c>
      <c r="L72" s="8">
        <v>3367.0511878500001</v>
      </c>
      <c r="M72" s="8">
        <v>3635.7762278250011</v>
      </c>
      <c r="N72" s="8">
        <v>3852.8036725500006</v>
      </c>
      <c r="O72" s="8">
        <v>4014.7685250750001</v>
      </c>
      <c r="P72" s="8">
        <v>4144.0344671250004</v>
      </c>
      <c r="Q72" s="8">
        <v>4127.9605526250016</v>
      </c>
      <c r="R72" s="8">
        <v>4146.9044967000009</v>
      </c>
      <c r="S72" s="8">
        <v>4245.3340382249989</v>
      </c>
      <c r="T72" s="8">
        <v>4254.5994214500006</v>
      </c>
      <c r="U72" s="8">
        <v>4166.9308941750005</v>
      </c>
      <c r="V72" s="8">
        <v>4095.6226053750015</v>
      </c>
      <c r="W72" s="8">
        <v>4264.1831625750001</v>
      </c>
      <c r="X72" s="8">
        <v>4255.6834214999999</v>
      </c>
      <c r="Y72" s="8">
        <v>4119.4297431000014</v>
      </c>
      <c r="Z72" s="8">
        <v>3920.245117425</v>
      </c>
      <c r="AA72" s="8">
        <v>3664.2606918750007</v>
      </c>
      <c r="AB72" s="8">
        <v>3428.3471827500007</v>
      </c>
      <c r="AC72" s="8">
        <v>86484.698762175016</v>
      </c>
      <c r="AD72" s="8"/>
    </row>
    <row r="73" spans="1:30" x14ac:dyDescent="0.25">
      <c r="A73" s="43"/>
      <c r="B73" s="10" t="s">
        <v>32</v>
      </c>
      <c r="C73" s="53">
        <v>4</v>
      </c>
      <c r="D73" s="119"/>
      <c r="E73" s="8">
        <v>3287.6415022500005</v>
      </c>
      <c r="F73" s="8">
        <v>3176.4346661250001</v>
      </c>
      <c r="G73" s="8">
        <v>3096.9711045000004</v>
      </c>
      <c r="H73" s="8">
        <v>3048.2126403749999</v>
      </c>
      <c r="I73" s="8">
        <v>3043.16700975</v>
      </c>
      <c r="J73" s="8">
        <v>3102.2817367500002</v>
      </c>
      <c r="K73" s="8">
        <v>3144.390944625</v>
      </c>
      <c r="L73" s="8">
        <v>3374.0342921250003</v>
      </c>
      <c r="M73" s="8">
        <v>3621.8303257500011</v>
      </c>
      <c r="N73" s="8">
        <v>3839.708667375</v>
      </c>
      <c r="O73" s="8">
        <v>4003.7667232500007</v>
      </c>
      <c r="P73" s="8">
        <v>4143.2302642499999</v>
      </c>
      <c r="Q73" s="8">
        <v>4130.0803057500016</v>
      </c>
      <c r="R73" s="8">
        <v>4125.4511760000005</v>
      </c>
      <c r="S73" s="8">
        <v>4212.3504543750005</v>
      </c>
      <c r="T73" s="8">
        <v>4234.1003775000008</v>
      </c>
      <c r="U73" s="8">
        <v>4183.1785091250003</v>
      </c>
      <c r="V73" s="8">
        <v>4112.7964211250001</v>
      </c>
      <c r="W73" s="8">
        <v>4282.8390360000012</v>
      </c>
      <c r="X73" s="8">
        <v>4252.7873981250013</v>
      </c>
      <c r="Y73" s="8">
        <v>4104.7411072499999</v>
      </c>
      <c r="Z73" s="8">
        <v>3909.1012143750013</v>
      </c>
      <c r="AA73" s="8">
        <v>3660.239646</v>
      </c>
      <c r="AB73" s="8">
        <v>3463.5430620000006</v>
      </c>
      <c r="AC73" s="8">
        <v>89552.878584749997</v>
      </c>
      <c r="AD73" s="8"/>
    </row>
    <row r="74" spans="1:30" ht="15.75" thickBot="1" x14ac:dyDescent="0.3">
      <c r="A74" s="44"/>
      <c r="B74" s="13" t="s">
        <v>33</v>
      </c>
      <c r="C74" s="54">
        <v>6</v>
      </c>
      <c r="D74" s="120"/>
      <c r="E74" s="8">
        <v>3297.4042237500007</v>
      </c>
      <c r="F74" s="8">
        <v>3197.7323962500004</v>
      </c>
      <c r="G74" s="8">
        <v>3113.2520737499999</v>
      </c>
      <c r="H74" s="8">
        <v>3063.4601970000012</v>
      </c>
      <c r="I74" s="8">
        <v>3037.1419837499998</v>
      </c>
      <c r="J74" s="8">
        <v>3072.0778042500006</v>
      </c>
      <c r="K74" s="8">
        <v>3120.2520615000003</v>
      </c>
      <c r="L74" s="8">
        <v>3336.8058832500001</v>
      </c>
      <c r="M74" s="8">
        <v>3595.6238849999991</v>
      </c>
      <c r="N74" s="8">
        <v>3815.0071575000002</v>
      </c>
      <c r="O74" s="8">
        <v>3992.2837815000021</v>
      </c>
      <c r="P74" s="8">
        <v>4138.0033065000007</v>
      </c>
      <c r="Q74" s="8">
        <v>4129.9665382500007</v>
      </c>
      <c r="R74" s="8">
        <v>4145.2098555000011</v>
      </c>
      <c r="S74" s="8">
        <v>4226.9811097500005</v>
      </c>
      <c r="T74" s="8">
        <v>4228.7565652500016</v>
      </c>
      <c r="U74" s="8">
        <v>4142.9541614999998</v>
      </c>
      <c r="V74" s="8">
        <v>4105.448544750001</v>
      </c>
      <c r="W74" s="8">
        <v>4291.8366225000009</v>
      </c>
      <c r="X74" s="8">
        <v>4274.7238327499999</v>
      </c>
      <c r="Y74" s="8">
        <v>4132.6237207499998</v>
      </c>
      <c r="Z74" s="8">
        <v>3935.0637007500009</v>
      </c>
      <c r="AA74" s="8">
        <v>3678.4778730000016</v>
      </c>
      <c r="AB74" s="8">
        <v>3459.3181350000013</v>
      </c>
      <c r="AC74" s="8">
        <v>89530.405413750006</v>
      </c>
      <c r="AD74" s="8">
        <v>2625087.9220650005</v>
      </c>
    </row>
    <row r="75" spans="1:30" ht="15.75" thickBot="1" x14ac:dyDescent="0.3">
      <c r="A75" s="48"/>
      <c r="B75" s="49"/>
      <c r="C75" s="32"/>
      <c r="D75" s="33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AC75" s="34"/>
      <c r="AD75" s="35"/>
    </row>
    <row r="76" spans="1:30" x14ac:dyDescent="0.25">
      <c r="A76" s="36"/>
      <c r="B76" s="6" t="s">
        <v>31</v>
      </c>
      <c r="C76" s="51">
        <v>21</v>
      </c>
      <c r="D76" s="118">
        <v>46296</v>
      </c>
      <c r="E76" s="8">
        <v>3305.888664000001</v>
      </c>
      <c r="F76" s="8">
        <v>3203.4901995</v>
      </c>
      <c r="G76" s="8">
        <v>3124.3435305000012</v>
      </c>
      <c r="H76" s="8">
        <v>3076.9871370000001</v>
      </c>
      <c r="I76" s="8">
        <v>3062.9517944999998</v>
      </c>
      <c r="J76" s="8">
        <v>3100.1094165000004</v>
      </c>
      <c r="K76" s="8">
        <v>3135.1486680000007</v>
      </c>
      <c r="L76" s="8">
        <v>3357.7609680000005</v>
      </c>
      <c r="M76" s="8">
        <v>3609.8361810000006</v>
      </c>
      <c r="N76" s="8">
        <v>3827.1016950000012</v>
      </c>
      <c r="O76" s="8">
        <v>4002.0282509999997</v>
      </c>
      <c r="P76" s="8">
        <v>4150.2109785000011</v>
      </c>
      <c r="Q76" s="8">
        <v>4148.7379740000015</v>
      </c>
      <c r="R76" s="8">
        <v>4175.7802950000005</v>
      </c>
      <c r="S76" s="8">
        <v>4273.4390865000005</v>
      </c>
      <c r="T76" s="8">
        <v>4281.2584230000011</v>
      </c>
      <c r="U76" s="8">
        <v>4200.4499340000002</v>
      </c>
      <c r="V76" s="8">
        <v>4145.1947715000006</v>
      </c>
      <c r="W76" s="8">
        <v>4320.4644105000007</v>
      </c>
      <c r="X76" s="8">
        <v>4301.0798025000022</v>
      </c>
      <c r="Y76" s="8">
        <v>4157.0675970000011</v>
      </c>
      <c r="Z76" s="8">
        <v>3956.1128040000003</v>
      </c>
      <c r="AA76" s="8">
        <v>3701.3978940000015</v>
      </c>
      <c r="AB76" s="8">
        <v>3475.3873170000015</v>
      </c>
      <c r="AC76" s="8">
        <v>90092.227792500009</v>
      </c>
      <c r="AD76" s="8"/>
    </row>
    <row r="77" spans="1:30" x14ac:dyDescent="0.25">
      <c r="A77" s="43"/>
      <c r="B77" s="10" t="s">
        <v>32</v>
      </c>
      <c r="C77" s="53">
        <v>5</v>
      </c>
      <c r="D77" s="119"/>
      <c r="E77" s="8">
        <v>3301.0577775000002</v>
      </c>
      <c r="F77" s="8">
        <v>3226.2666723000011</v>
      </c>
      <c r="G77" s="8">
        <v>3154.4986158000011</v>
      </c>
      <c r="H77" s="8">
        <v>3104.4672540000001</v>
      </c>
      <c r="I77" s="8">
        <v>3061.5462170999999</v>
      </c>
      <c r="J77" s="8">
        <v>3074.3891451000009</v>
      </c>
      <c r="K77" s="8">
        <v>3101.4270440999999</v>
      </c>
      <c r="L77" s="8">
        <v>3336.974669700001</v>
      </c>
      <c r="M77" s="8">
        <v>3618.6412311000004</v>
      </c>
      <c r="N77" s="8">
        <v>3832.7208255000005</v>
      </c>
      <c r="O77" s="8">
        <v>3998.3877234000011</v>
      </c>
      <c r="P77" s="8">
        <v>4134.2834168999998</v>
      </c>
      <c r="Q77" s="8">
        <v>4131.6484734000005</v>
      </c>
      <c r="R77" s="8">
        <v>4150.6729173000003</v>
      </c>
      <c r="S77" s="8">
        <v>4257.5802633000021</v>
      </c>
      <c r="T77" s="8">
        <v>4287.7020060000013</v>
      </c>
      <c r="U77" s="8">
        <v>4204.8256131000016</v>
      </c>
      <c r="V77" s="8">
        <v>4147.2921546000016</v>
      </c>
      <c r="W77" s="8">
        <v>4318.2639486000007</v>
      </c>
      <c r="X77" s="8">
        <v>4321.9265859000006</v>
      </c>
      <c r="Y77" s="8">
        <v>4179.6219969000012</v>
      </c>
      <c r="Z77" s="8">
        <v>3977.8992603000006</v>
      </c>
      <c r="AA77" s="8">
        <v>3720.6176112000012</v>
      </c>
      <c r="AB77" s="8">
        <v>3471.4625337000007</v>
      </c>
      <c r="AC77" s="8">
        <v>90114.173956800005</v>
      </c>
      <c r="AD77" s="8"/>
    </row>
    <row r="78" spans="1:30" ht="15.75" thickBot="1" x14ac:dyDescent="0.3">
      <c r="A78" s="44"/>
      <c r="B78" s="13" t="s">
        <v>33</v>
      </c>
      <c r="C78" s="54">
        <v>5</v>
      </c>
      <c r="D78" s="120"/>
      <c r="E78" s="8">
        <v>3296.2210281000007</v>
      </c>
      <c r="F78" s="8">
        <v>3212.5664340000003</v>
      </c>
      <c r="G78" s="8">
        <v>3173.2258950000005</v>
      </c>
      <c r="H78" s="8">
        <v>3132.8094357000009</v>
      </c>
      <c r="I78" s="8">
        <v>3105.7932401999997</v>
      </c>
      <c r="J78" s="8">
        <v>3110.6496204000005</v>
      </c>
      <c r="K78" s="8">
        <v>3129.2922717000001</v>
      </c>
      <c r="L78" s="8">
        <v>3343.0312439999998</v>
      </c>
      <c r="M78" s="8">
        <v>3605.5883682000003</v>
      </c>
      <c r="N78" s="8">
        <v>3842.6651172000002</v>
      </c>
      <c r="O78" s="8">
        <v>4011.9191658</v>
      </c>
      <c r="P78" s="8">
        <v>4150.2444732000004</v>
      </c>
      <c r="Q78" s="8">
        <v>4126.8680775000012</v>
      </c>
      <c r="R78" s="8">
        <v>4141.7676090000004</v>
      </c>
      <c r="S78" s="8">
        <v>4232.3709960000015</v>
      </c>
      <c r="T78" s="8">
        <v>4246.0554528000011</v>
      </c>
      <c r="U78" s="8">
        <v>4163.5367739000012</v>
      </c>
      <c r="V78" s="8">
        <v>4087.9472823000015</v>
      </c>
      <c r="W78" s="8">
        <v>4264.4395772999997</v>
      </c>
      <c r="X78" s="8">
        <v>4271.8810491000004</v>
      </c>
      <c r="Y78" s="8">
        <v>4171.519277100002</v>
      </c>
      <c r="Z78" s="8">
        <v>3985.1250264000009</v>
      </c>
      <c r="AA78" s="8">
        <v>3734.9733645000015</v>
      </c>
      <c r="AB78" s="8">
        <v>3494.1692646000001</v>
      </c>
      <c r="AC78" s="8">
        <v>90034.660043999989</v>
      </c>
      <c r="AD78" s="8">
        <v>2792680.9536465001</v>
      </c>
    </row>
    <row r="79" spans="1:30" ht="15.75" thickBot="1" x14ac:dyDescent="0.3">
      <c r="A79" s="48"/>
      <c r="B79" s="49"/>
      <c r="C79" s="32"/>
      <c r="D79" s="33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AC79" s="34"/>
      <c r="AD79" s="35"/>
    </row>
    <row r="80" spans="1:30" x14ac:dyDescent="0.25">
      <c r="A80" s="36"/>
      <c r="B80" s="6" t="s">
        <v>31</v>
      </c>
      <c r="C80" s="51">
        <v>19</v>
      </c>
      <c r="D80" s="118">
        <v>46327</v>
      </c>
      <c r="E80" s="8">
        <v>3344.0701372105268</v>
      </c>
      <c r="F80" s="8">
        <v>3344.0701372105268</v>
      </c>
      <c r="G80" s="8">
        <v>3344.0701372105268</v>
      </c>
      <c r="H80" s="8">
        <v>3344.0701372105268</v>
      </c>
      <c r="I80" s="8">
        <v>3344.0701372105268</v>
      </c>
      <c r="J80" s="8">
        <v>3344.0701372105268</v>
      </c>
      <c r="K80" s="8">
        <v>3344.0701372105268</v>
      </c>
      <c r="L80" s="8">
        <v>3344.0701372105268</v>
      </c>
      <c r="M80" s="8">
        <v>3344.0701372105268</v>
      </c>
      <c r="N80" s="8">
        <v>3344.0701372105268</v>
      </c>
      <c r="O80" s="8">
        <v>3344.0701372105268</v>
      </c>
      <c r="P80" s="8">
        <v>3344.0701372105268</v>
      </c>
      <c r="Q80" s="8">
        <v>3344.0701372105268</v>
      </c>
      <c r="R80" s="8">
        <v>3344.0701372105268</v>
      </c>
      <c r="S80" s="8">
        <v>3344.0701372105268</v>
      </c>
      <c r="T80" s="8">
        <v>3344.0701372105268</v>
      </c>
      <c r="U80" s="8">
        <v>3344.0701372105268</v>
      </c>
      <c r="V80" s="8">
        <v>3344.0701372105268</v>
      </c>
      <c r="W80" s="8">
        <v>3344.0701372105268</v>
      </c>
      <c r="X80" s="8">
        <v>3344.0701372105268</v>
      </c>
      <c r="Y80" s="8">
        <v>3344.0701372105268</v>
      </c>
      <c r="Z80" s="8">
        <v>3344.0701372105268</v>
      </c>
      <c r="AA80" s="8">
        <v>3344.0701372105268</v>
      </c>
      <c r="AB80" s="8">
        <v>3344.0701372105268</v>
      </c>
      <c r="AC80" s="8">
        <v>80257.683293052614</v>
      </c>
      <c r="AD80" s="8"/>
    </row>
    <row r="81" spans="1:30" x14ac:dyDescent="0.25">
      <c r="A81" s="43"/>
      <c r="B81" s="10" t="s">
        <v>32</v>
      </c>
      <c r="C81" s="53">
        <v>4</v>
      </c>
      <c r="D81" s="119"/>
      <c r="E81" s="8">
        <v>3344.0701372105268</v>
      </c>
      <c r="F81" s="8">
        <v>3344.0701372105268</v>
      </c>
      <c r="G81" s="8">
        <v>3344.0701372105268</v>
      </c>
      <c r="H81" s="8">
        <v>3344.0701372105268</v>
      </c>
      <c r="I81" s="8">
        <v>3344.0701372105268</v>
      </c>
      <c r="J81" s="8">
        <v>3344.0701372105268</v>
      </c>
      <c r="K81" s="8">
        <v>3344.0701372105268</v>
      </c>
      <c r="L81" s="8">
        <v>3344.0701372105268</v>
      </c>
      <c r="M81" s="8">
        <v>3344.0701372105268</v>
      </c>
      <c r="N81" s="8">
        <v>3344.0701372105268</v>
      </c>
      <c r="O81" s="8">
        <v>3344.0701372105268</v>
      </c>
      <c r="P81" s="8">
        <v>3344.0701372105268</v>
      </c>
      <c r="Q81" s="8">
        <v>3344.0701372105268</v>
      </c>
      <c r="R81" s="8">
        <v>3344.0701372105268</v>
      </c>
      <c r="S81" s="8">
        <v>3344.0701372105268</v>
      </c>
      <c r="T81" s="8">
        <v>3344.0701372105268</v>
      </c>
      <c r="U81" s="8">
        <v>3344.0701372105268</v>
      </c>
      <c r="V81" s="8">
        <v>3344.0701372105268</v>
      </c>
      <c r="W81" s="8">
        <v>3344.0701372105268</v>
      </c>
      <c r="X81" s="8">
        <v>3344.0701372105268</v>
      </c>
      <c r="Y81" s="8">
        <v>3344.0701372105268</v>
      </c>
      <c r="Z81" s="8">
        <v>3344.0701372105268</v>
      </c>
      <c r="AA81" s="8">
        <v>3344.0701372105268</v>
      </c>
      <c r="AB81" s="8">
        <v>3344.0701372105268</v>
      </c>
      <c r="AC81" s="8">
        <v>80257.683293052614</v>
      </c>
      <c r="AD81" s="8"/>
    </row>
    <row r="82" spans="1:30" ht="15.75" thickBot="1" x14ac:dyDescent="0.3">
      <c r="A82" s="44"/>
      <c r="B82" s="13" t="s">
        <v>33</v>
      </c>
      <c r="C82" s="54">
        <v>5</v>
      </c>
      <c r="D82" s="120"/>
      <c r="E82" s="8">
        <v>3344.0701372105268</v>
      </c>
      <c r="F82" s="8">
        <v>3344.0701372105268</v>
      </c>
      <c r="G82" s="8">
        <v>3344.0701372105268</v>
      </c>
      <c r="H82" s="8">
        <v>3344.0701372105268</v>
      </c>
      <c r="I82" s="8">
        <v>3344.0701372105268</v>
      </c>
      <c r="J82" s="8">
        <v>3344.0701372105268</v>
      </c>
      <c r="K82" s="8">
        <v>3344.0701372105268</v>
      </c>
      <c r="L82" s="8">
        <v>3344.0701372105268</v>
      </c>
      <c r="M82" s="8">
        <v>3344.0701372105268</v>
      </c>
      <c r="N82" s="8">
        <v>3344.0701372105268</v>
      </c>
      <c r="O82" s="8">
        <v>3344.0701372105268</v>
      </c>
      <c r="P82" s="8">
        <v>3344.0701372105268</v>
      </c>
      <c r="Q82" s="8">
        <v>3344.0701372105268</v>
      </c>
      <c r="R82" s="8">
        <v>3344.0701372105268</v>
      </c>
      <c r="S82" s="8">
        <v>3344.0701372105268</v>
      </c>
      <c r="T82" s="8">
        <v>3344.0701372105268</v>
      </c>
      <c r="U82" s="8">
        <v>3344.0701372105268</v>
      </c>
      <c r="V82" s="8">
        <v>3344.0701372105268</v>
      </c>
      <c r="W82" s="8">
        <v>3344.0701372105268</v>
      </c>
      <c r="X82" s="8">
        <v>3344.0701372105268</v>
      </c>
      <c r="Y82" s="8">
        <v>3344.0701372105268</v>
      </c>
      <c r="Z82" s="8">
        <v>3344.0701372105268</v>
      </c>
      <c r="AA82" s="8">
        <v>3344.0701372105268</v>
      </c>
      <c r="AB82" s="8">
        <v>3344.0701372105268</v>
      </c>
      <c r="AC82" s="8">
        <v>80257.683293052614</v>
      </c>
      <c r="AD82" s="8">
        <v>2247215.1322054733</v>
      </c>
    </row>
    <row r="83" spans="1:30" ht="15.75" thickBot="1" x14ac:dyDescent="0.3">
      <c r="A83" s="48"/>
      <c r="B83" s="49"/>
      <c r="C83" s="32"/>
      <c r="D83" s="33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AC83" s="34"/>
      <c r="AD83" s="35"/>
    </row>
    <row r="84" spans="1:30" x14ac:dyDescent="0.25">
      <c r="A84" s="36"/>
      <c r="B84" s="6" t="s">
        <v>31</v>
      </c>
      <c r="C84" s="51">
        <v>21</v>
      </c>
      <c r="D84" s="118">
        <v>46357</v>
      </c>
      <c r="E84" s="8">
        <v>4723.3058750000037</v>
      </c>
      <c r="F84" s="8">
        <v>4514.5981150000071</v>
      </c>
      <c r="G84" s="8">
        <v>4315.4668350000029</v>
      </c>
      <c r="H84" s="8">
        <v>4151.952435000002</v>
      </c>
      <c r="I84" s="8">
        <v>4011.8982400000023</v>
      </c>
      <c r="J84" s="8">
        <v>3990.5273300000035</v>
      </c>
      <c r="K84" s="8">
        <v>3762.0911650000053</v>
      </c>
      <c r="L84" s="8">
        <v>4200.4355900000064</v>
      </c>
      <c r="M84" s="8">
        <v>4857.4296500000091</v>
      </c>
      <c r="N84" s="8">
        <v>5447.1079900000104</v>
      </c>
      <c r="O84" s="8">
        <v>5895.1375900000139</v>
      </c>
      <c r="P84" s="8">
        <v>6267.3648400000084</v>
      </c>
      <c r="Q84" s="8">
        <v>6179.497035000004</v>
      </c>
      <c r="R84" s="8">
        <v>6289.7925900000037</v>
      </c>
      <c r="S84" s="8">
        <v>6624.9856700000009</v>
      </c>
      <c r="T84" s="8">
        <v>6700.1848500000006</v>
      </c>
      <c r="U84" s="8">
        <v>6485.3699150000075</v>
      </c>
      <c r="V84" s="8">
        <v>6317.0390199999993</v>
      </c>
      <c r="W84" s="8">
        <v>6733.4839450000045</v>
      </c>
      <c r="X84" s="8">
        <v>6641.268060000004</v>
      </c>
      <c r="Y84" s="8">
        <v>6347.8185550000026</v>
      </c>
      <c r="Z84" s="8">
        <v>5951.3848950000111</v>
      </c>
      <c r="AA84" s="8">
        <v>5421.4966150000082</v>
      </c>
      <c r="AB84" s="8">
        <v>5008.1032950000072</v>
      </c>
      <c r="AC84" s="8">
        <v>130837.74010000011</v>
      </c>
      <c r="AD84" s="8"/>
    </row>
    <row r="85" spans="1:30" x14ac:dyDescent="0.25">
      <c r="A85" s="43"/>
      <c r="B85" s="10" t="s">
        <v>32</v>
      </c>
      <c r="C85" s="53">
        <v>4</v>
      </c>
      <c r="D85" s="119"/>
      <c r="E85" s="8">
        <v>4721.9691150000017</v>
      </c>
      <c r="F85" s="8">
        <v>4496.8218550000038</v>
      </c>
      <c r="G85" s="8">
        <v>4333.2447562500038</v>
      </c>
      <c r="H85" s="8">
        <v>4196.6076525000008</v>
      </c>
      <c r="I85" s="8">
        <v>4053.6645775000034</v>
      </c>
      <c r="J85" s="8">
        <v>4095.2757887500029</v>
      </c>
      <c r="K85" s="8">
        <v>4013.0610775000023</v>
      </c>
      <c r="L85" s="8">
        <v>4620.8568450000002</v>
      </c>
      <c r="M85" s="8">
        <v>5239.5372812500045</v>
      </c>
      <c r="N85" s="8">
        <v>5752.5156337500011</v>
      </c>
      <c r="O85" s="8">
        <v>6114.2010625000021</v>
      </c>
      <c r="P85" s="8">
        <v>6405.3074062500036</v>
      </c>
      <c r="Q85" s="8">
        <v>6288.523086250003</v>
      </c>
      <c r="R85" s="8">
        <v>6460.4072587500013</v>
      </c>
      <c r="S85" s="8">
        <v>6977.4122700000007</v>
      </c>
      <c r="T85" s="8">
        <v>7069.3955387500009</v>
      </c>
      <c r="U85" s="8">
        <v>6839.6345387500041</v>
      </c>
      <c r="V85" s="8">
        <v>6573.7370537500028</v>
      </c>
      <c r="W85" s="8">
        <v>6947.8536287499992</v>
      </c>
      <c r="X85" s="8">
        <v>6861.3055012500063</v>
      </c>
      <c r="Y85" s="8">
        <v>6578.6576425000039</v>
      </c>
      <c r="Z85" s="8">
        <v>6230.0705050000015</v>
      </c>
      <c r="AA85" s="8">
        <v>5659.1600550000039</v>
      </c>
      <c r="AB85" s="8">
        <v>5152.6778687500046</v>
      </c>
      <c r="AC85" s="8">
        <v>135681.89799875006</v>
      </c>
      <c r="AD85" s="8"/>
    </row>
    <row r="86" spans="1:30" ht="15.75" thickBot="1" x14ac:dyDescent="0.3">
      <c r="A86" s="44"/>
      <c r="B86" s="13" t="s">
        <v>33</v>
      </c>
      <c r="C86" s="54">
        <v>5</v>
      </c>
      <c r="D86" s="120"/>
      <c r="E86" s="8">
        <v>5009.3170325000028</v>
      </c>
      <c r="F86" s="8">
        <v>4823.1547500000015</v>
      </c>
      <c r="G86" s="8">
        <v>4697.2711899999995</v>
      </c>
      <c r="H86" s="8">
        <v>4606.6623150000014</v>
      </c>
      <c r="I86" s="8">
        <v>4553.2097900000008</v>
      </c>
      <c r="J86" s="8">
        <v>4601.2140574999994</v>
      </c>
      <c r="K86" s="8">
        <v>4600.2788100000034</v>
      </c>
      <c r="L86" s="8">
        <v>5195.2434950000024</v>
      </c>
      <c r="M86" s="8">
        <v>5925.5155850000028</v>
      </c>
      <c r="N86" s="8">
        <v>6461.1757625000009</v>
      </c>
      <c r="O86" s="8">
        <v>6919.800100000004</v>
      </c>
      <c r="P86" s="8">
        <v>7222.2816325000022</v>
      </c>
      <c r="Q86" s="8">
        <v>7050.2238425000032</v>
      </c>
      <c r="R86" s="8">
        <v>7105.6817800000008</v>
      </c>
      <c r="S86" s="8">
        <v>7481.7706575000029</v>
      </c>
      <c r="T86" s="8">
        <v>7636.1558450000011</v>
      </c>
      <c r="U86" s="8">
        <v>7393.1371650000056</v>
      </c>
      <c r="V86" s="8">
        <v>7167.6926575000016</v>
      </c>
      <c r="W86" s="8">
        <v>7550.5675625000022</v>
      </c>
      <c r="X86" s="8">
        <v>7461.4843950000013</v>
      </c>
      <c r="Y86" s="8">
        <v>7106.4848200000033</v>
      </c>
      <c r="Z86" s="8">
        <v>6664.4519300000011</v>
      </c>
      <c r="AA86" s="8">
        <v>6097.1375425000024</v>
      </c>
      <c r="AB86" s="8">
        <v>5500.8120750000016</v>
      </c>
      <c r="AC86" s="8">
        <v>148830.72479250006</v>
      </c>
      <c r="AD86" s="8">
        <v>4034473.758057503</v>
      </c>
    </row>
    <row r="87" spans="1:30" ht="15.75" thickBot="1" x14ac:dyDescent="0.3">
      <c r="A87" s="121" t="s">
        <v>35</v>
      </c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</row>
    <row r="88" spans="1:30" x14ac:dyDescent="0.25">
      <c r="A88" s="50"/>
      <c r="B88" s="6" t="s">
        <v>31</v>
      </c>
      <c r="C88" s="7">
        <v>19</v>
      </c>
      <c r="D88" s="118">
        <v>46388</v>
      </c>
      <c r="E88" s="8">
        <v>5562.6365863157907</v>
      </c>
      <c r="F88" s="8">
        <v>5369.1945981578929</v>
      </c>
      <c r="G88" s="8">
        <v>5216.7328057894729</v>
      </c>
      <c r="H88" s="8">
        <v>5098.4079963157874</v>
      </c>
      <c r="I88" s="8">
        <v>4996.7004057894719</v>
      </c>
      <c r="J88" s="8">
        <v>4994.0744515789474</v>
      </c>
      <c r="K88" s="8">
        <v>4746.6364289473704</v>
      </c>
      <c r="L88" s="8">
        <v>5203.5164705263142</v>
      </c>
      <c r="M88" s="8">
        <v>5876.9128526315826</v>
      </c>
      <c r="N88" s="8">
        <v>6457.805520526309</v>
      </c>
      <c r="O88" s="8">
        <v>6899.5236063157899</v>
      </c>
      <c r="P88" s="8">
        <v>7242.9049718421074</v>
      </c>
      <c r="Q88" s="8">
        <v>7135.5555968421022</v>
      </c>
      <c r="R88" s="8">
        <v>7263.068519736843</v>
      </c>
      <c r="S88" s="8">
        <v>7640.5362747368436</v>
      </c>
      <c r="T88" s="8">
        <v>7733.4069234210547</v>
      </c>
      <c r="U88" s="8">
        <v>7527.14056315789</v>
      </c>
      <c r="V88" s="8">
        <v>7306.2622849999962</v>
      </c>
      <c r="W88" s="8">
        <v>7667.8917534210495</v>
      </c>
      <c r="X88" s="8">
        <v>7561.9246315789414</v>
      </c>
      <c r="Y88" s="8">
        <v>7287.9368099999947</v>
      </c>
      <c r="Z88" s="8">
        <v>6930.5562052631612</v>
      </c>
      <c r="AA88" s="8">
        <v>6410.212618157896</v>
      </c>
      <c r="AB88" s="8">
        <v>5956.3169289473699</v>
      </c>
      <c r="AC88" s="8">
        <v>154085.85580499997</v>
      </c>
      <c r="AD88" s="8"/>
    </row>
    <row r="89" spans="1:30" x14ac:dyDescent="0.25">
      <c r="A89" s="52"/>
      <c r="B89" s="10" t="s">
        <v>32</v>
      </c>
      <c r="C89" s="11">
        <v>5</v>
      </c>
      <c r="D89" s="119"/>
      <c r="E89" s="8">
        <v>5988.0982909999984</v>
      </c>
      <c r="F89" s="8">
        <v>5775.0550060000005</v>
      </c>
      <c r="G89" s="8">
        <v>5559.1187189999982</v>
      </c>
      <c r="H89" s="8">
        <v>5441.6399519999977</v>
      </c>
      <c r="I89" s="8">
        <v>5353.6816899999994</v>
      </c>
      <c r="J89" s="8">
        <v>5472.7671530000007</v>
      </c>
      <c r="K89" s="8">
        <v>5510.099322</v>
      </c>
      <c r="L89" s="8">
        <v>6045.4645510000009</v>
      </c>
      <c r="M89" s="8">
        <v>6727.3273690000005</v>
      </c>
      <c r="N89" s="8">
        <v>7330.8248929999991</v>
      </c>
      <c r="O89" s="8">
        <v>7838.3807950000009</v>
      </c>
      <c r="P89" s="8">
        <v>8169.8776600000001</v>
      </c>
      <c r="Q89" s="8">
        <v>8085.4145819999976</v>
      </c>
      <c r="R89" s="8">
        <v>8166.9026320000012</v>
      </c>
      <c r="S89" s="8">
        <v>8506.0833129999992</v>
      </c>
      <c r="T89" s="8">
        <v>8577.1236669999998</v>
      </c>
      <c r="U89" s="8">
        <v>8341.6654930000004</v>
      </c>
      <c r="V89" s="8">
        <v>8199.0437829999992</v>
      </c>
      <c r="W89" s="8">
        <v>8641.7220049999978</v>
      </c>
      <c r="X89" s="8">
        <v>8562.2308799999992</v>
      </c>
      <c r="Y89" s="8">
        <v>8121.3116669999981</v>
      </c>
      <c r="Z89" s="8">
        <v>7567.6651889999994</v>
      </c>
      <c r="AA89" s="8">
        <v>6886.3470479999996</v>
      </c>
      <c r="AB89" s="8">
        <v>6342.885773</v>
      </c>
      <c r="AC89" s="8">
        <v>171210.73143299995</v>
      </c>
      <c r="AD89" s="8"/>
    </row>
    <row r="90" spans="1:30" ht="15.75" thickBot="1" x14ac:dyDescent="0.3">
      <c r="A90" s="55"/>
      <c r="B90" s="13" t="s">
        <v>33</v>
      </c>
      <c r="C90" s="14">
        <v>7</v>
      </c>
      <c r="D90" s="120"/>
      <c r="E90" s="8">
        <v>6175.9870349999965</v>
      </c>
      <c r="F90" s="8">
        <v>5954.7801099999997</v>
      </c>
      <c r="G90" s="8">
        <v>5806.9580399999995</v>
      </c>
      <c r="H90" s="8">
        <v>5695.3790249999984</v>
      </c>
      <c r="I90" s="8">
        <v>5644.1668049999989</v>
      </c>
      <c r="J90" s="8">
        <v>5738.71407</v>
      </c>
      <c r="K90" s="8">
        <v>5808.741715000001</v>
      </c>
      <c r="L90" s="8">
        <v>6492.4337699999996</v>
      </c>
      <c r="M90" s="8">
        <v>7214.4844950000006</v>
      </c>
      <c r="N90" s="8">
        <v>7857.4208849999995</v>
      </c>
      <c r="O90" s="8">
        <v>8318.1219849999998</v>
      </c>
      <c r="P90" s="8">
        <v>8750.9535950000009</v>
      </c>
      <c r="Q90" s="8">
        <v>8679.6593250000005</v>
      </c>
      <c r="R90" s="8">
        <v>8735.5239500000007</v>
      </c>
      <c r="S90" s="8">
        <v>9083.1554599999999</v>
      </c>
      <c r="T90" s="8">
        <v>9098.0234899999996</v>
      </c>
      <c r="U90" s="8">
        <v>8798.0869700000003</v>
      </c>
      <c r="V90" s="8">
        <v>8583.0127200000006</v>
      </c>
      <c r="W90" s="8">
        <v>9104.9886299999998</v>
      </c>
      <c r="X90" s="8">
        <v>9004.6785999999993</v>
      </c>
      <c r="Y90" s="8">
        <v>8584.1256399999966</v>
      </c>
      <c r="Z90" s="8">
        <v>7978.6454849999991</v>
      </c>
      <c r="AA90" s="8">
        <v>7241.2231049999991</v>
      </c>
      <c r="AB90" s="8">
        <v>6604.9264000000003</v>
      </c>
      <c r="AC90" s="8">
        <v>180954.19130499996</v>
      </c>
      <c r="AD90" s="8">
        <v>5050364.2565949988</v>
      </c>
    </row>
    <row r="91" spans="1:30" ht="15.75" thickBot="1" x14ac:dyDescent="0.3">
      <c r="B91" s="57"/>
    </row>
    <row r="92" spans="1:30" x14ac:dyDescent="0.25">
      <c r="A92" s="58"/>
      <c r="B92" s="6" t="s">
        <v>31</v>
      </c>
      <c r="C92" s="7">
        <v>20</v>
      </c>
      <c r="D92" s="118">
        <v>46419</v>
      </c>
      <c r="E92" s="8">
        <v>4642.8524462499945</v>
      </c>
      <c r="F92" s="8">
        <v>4423.737320999996</v>
      </c>
      <c r="G92" s="8">
        <v>4212.8629894999949</v>
      </c>
      <c r="H92" s="8">
        <v>4046.8623364999967</v>
      </c>
      <c r="I92" s="8">
        <v>3907.5824299999958</v>
      </c>
      <c r="J92" s="8">
        <v>3899.866142750001</v>
      </c>
      <c r="K92" s="8">
        <v>3690.9615114999997</v>
      </c>
      <c r="L92" s="8">
        <v>4187.054598499999</v>
      </c>
      <c r="M92" s="8">
        <v>4891.3509114999997</v>
      </c>
      <c r="N92" s="8">
        <v>5495.0720662499925</v>
      </c>
      <c r="O92" s="8">
        <v>5953.403467749994</v>
      </c>
      <c r="P92" s="8">
        <v>6317.9908972499916</v>
      </c>
      <c r="Q92" s="8">
        <v>6218.9375932500052</v>
      </c>
      <c r="R92" s="8">
        <v>6329.6844304999986</v>
      </c>
      <c r="S92" s="8">
        <v>6689.2102737500018</v>
      </c>
      <c r="T92" s="8">
        <v>6790.4463229999901</v>
      </c>
      <c r="U92" s="8">
        <v>6587.8437619999977</v>
      </c>
      <c r="V92" s="8">
        <v>6415.407081499995</v>
      </c>
      <c r="W92" s="8">
        <v>6814.1701437500024</v>
      </c>
      <c r="X92" s="8">
        <v>6692.0589359999949</v>
      </c>
      <c r="Y92" s="8">
        <v>6366.0384299999942</v>
      </c>
      <c r="Z92" s="8">
        <v>5947.2187227499981</v>
      </c>
      <c r="AA92" s="8">
        <v>5407.9802799999952</v>
      </c>
      <c r="AB92" s="8">
        <v>4965.4923792499994</v>
      </c>
      <c r="AC92" s="8">
        <v>130894.08547449995</v>
      </c>
      <c r="AD92" s="8"/>
    </row>
    <row r="93" spans="1:30" x14ac:dyDescent="0.25">
      <c r="A93" s="59"/>
      <c r="B93" s="10" t="s">
        <v>32</v>
      </c>
      <c r="C93" s="11">
        <v>4</v>
      </c>
      <c r="D93" s="119"/>
      <c r="E93" s="8">
        <v>4659.0481012499986</v>
      </c>
      <c r="F93" s="8">
        <v>4498.9922874999975</v>
      </c>
      <c r="G93" s="8">
        <v>4430.6531249999971</v>
      </c>
      <c r="H93" s="8">
        <v>4269.0438537499995</v>
      </c>
      <c r="I93" s="8">
        <v>4146.4177312499996</v>
      </c>
      <c r="J93" s="8">
        <v>4131.9129174999998</v>
      </c>
      <c r="K93" s="8">
        <v>4025.2847349999975</v>
      </c>
      <c r="L93" s="8">
        <v>4542.2249524999988</v>
      </c>
      <c r="M93" s="8">
        <v>5231.1155412499993</v>
      </c>
      <c r="N93" s="8">
        <v>5892.8597099999988</v>
      </c>
      <c r="O93" s="8">
        <v>6354.0406487499968</v>
      </c>
      <c r="P93" s="8">
        <v>6733.4819312499985</v>
      </c>
      <c r="Q93" s="8">
        <v>6614.919676249996</v>
      </c>
      <c r="R93" s="8">
        <v>6739.0810562499955</v>
      </c>
      <c r="S93" s="8">
        <v>7136.1581475000003</v>
      </c>
      <c r="T93" s="8">
        <v>7259.3972687499991</v>
      </c>
      <c r="U93" s="8">
        <v>7045.9189512499979</v>
      </c>
      <c r="V93" s="8">
        <v>6774.8204487500007</v>
      </c>
      <c r="W93" s="8">
        <v>7177.4956237499973</v>
      </c>
      <c r="X93" s="8">
        <v>7142.9329924999965</v>
      </c>
      <c r="Y93" s="8">
        <v>6908.8991137499997</v>
      </c>
      <c r="Z93" s="8">
        <v>6406.2286237499975</v>
      </c>
      <c r="AA93" s="8">
        <v>5772.0181324999976</v>
      </c>
      <c r="AB93" s="8">
        <v>5158.8543399999999</v>
      </c>
      <c r="AC93" s="8">
        <v>139051.79990999994</v>
      </c>
      <c r="AD93" s="8"/>
    </row>
    <row r="94" spans="1:30" ht="15.75" thickBot="1" x14ac:dyDescent="0.3">
      <c r="A94" s="60"/>
      <c r="B94" s="13" t="s">
        <v>33</v>
      </c>
      <c r="C94" s="14">
        <v>4</v>
      </c>
      <c r="D94" s="120"/>
      <c r="E94" s="8">
        <v>5012.3039062499993</v>
      </c>
      <c r="F94" s="8">
        <v>4787.1325437500018</v>
      </c>
      <c r="G94" s="8">
        <v>4613.908155000001</v>
      </c>
      <c r="H94" s="8">
        <v>4582.4144287500003</v>
      </c>
      <c r="I94" s="8">
        <v>4525.9776724999992</v>
      </c>
      <c r="J94" s="8">
        <v>4622.6349587500008</v>
      </c>
      <c r="K94" s="8">
        <v>4579.4357799999998</v>
      </c>
      <c r="L94" s="8">
        <v>5149.9945362499984</v>
      </c>
      <c r="M94" s="8">
        <v>5820.5177899999981</v>
      </c>
      <c r="N94" s="8">
        <v>6462.9727937499993</v>
      </c>
      <c r="O94" s="8">
        <v>7020.8086649999968</v>
      </c>
      <c r="P94" s="8">
        <v>7385.260479999999</v>
      </c>
      <c r="Q94" s="8">
        <v>7287.1731724999991</v>
      </c>
      <c r="R94" s="8">
        <v>7361.3509474999973</v>
      </c>
      <c r="S94" s="8">
        <v>7762.553287499999</v>
      </c>
      <c r="T94" s="8">
        <v>7845.2706512499972</v>
      </c>
      <c r="U94" s="8">
        <v>7614.3702699999976</v>
      </c>
      <c r="V94" s="8">
        <v>7397.5730249999979</v>
      </c>
      <c r="W94" s="8">
        <v>7804.6034687499978</v>
      </c>
      <c r="X94" s="8">
        <v>7697.8622362499991</v>
      </c>
      <c r="Y94" s="8">
        <v>7318.1196474999979</v>
      </c>
      <c r="Z94" s="8">
        <v>6902.103286249996</v>
      </c>
      <c r="AA94" s="8">
        <v>6231.4387024999978</v>
      </c>
      <c r="AB94" s="8">
        <v>5606.2478399999982</v>
      </c>
      <c r="AC94" s="8">
        <v>151392.02824499996</v>
      </c>
      <c r="AD94" s="8">
        <v>3779657.0221099984</v>
      </c>
    </row>
    <row r="95" spans="1:30" ht="15.75" thickBot="1" x14ac:dyDescent="0.3">
      <c r="B95" s="57"/>
    </row>
    <row r="96" spans="1:30" x14ac:dyDescent="0.25">
      <c r="A96" s="61"/>
      <c r="B96" s="6" t="s">
        <v>31</v>
      </c>
      <c r="C96" s="7">
        <v>20</v>
      </c>
      <c r="D96" s="118">
        <v>46447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597.56177800000296</v>
      </c>
      <c r="O96" s="8">
        <v>1062.6294772500005</v>
      </c>
      <c r="P96" s="8">
        <v>1445.9868047500077</v>
      </c>
      <c r="Q96" s="8">
        <v>1355.0798995000005</v>
      </c>
      <c r="R96" s="8">
        <v>1507.6721697499979</v>
      </c>
      <c r="S96" s="8">
        <v>1906.7888930000008</v>
      </c>
      <c r="T96" s="8">
        <v>2034.3937182499976</v>
      </c>
      <c r="U96" s="8">
        <v>1842.5641310000046</v>
      </c>
      <c r="V96" s="8">
        <v>1650.7541454999973</v>
      </c>
      <c r="W96" s="8">
        <v>2054.0459277499958</v>
      </c>
      <c r="X96" s="8">
        <v>1962.6246450000035</v>
      </c>
      <c r="Y96" s="8">
        <v>1676.0126252500049</v>
      </c>
      <c r="Z96" s="8">
        <v>1292.7618552499989</v>
      </c>
      <c r="AA96" s="8">
        <v>758.17656975000864</v>
      </c>
      <c r="AB96" s="8">
        <v>252.72538575000544</v>
      </c>
      <c r="AC96" s="8">
        <v>21399.778025750027</v>
      </c>
      <c r="AD96" s="8"/>
    </row>
    <row r="97" spans="1:30" x14ac:dyDescent="0.25">
      <c r="A97" s="62"/>
      <c r="B97" s="10" t="s">
        <v>32</v>
      </c>
      <c r="C97" s="11">
        <v>4</v>
      </c>
      <c r="D97" s="119"/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415.11126500000137</v>
      </c>
      <c r="N97" s="8">
        <v>921.54922500000248</v>
      </c>
      <c r="O97" s="8">
        <v>1335.2388475000007</v>
      </c>
      <c r="P97" s="8">
        <v>1759.1681050000007</v>
      </c>
      <c r="Q97" s="8">
        <v>1777.2684949999984</v>
      </c>
      <c r="R97" s="8">
        <v>1887.5064024999992</v>
      </c>
      <c r="S97" s="8">
        <v>2297.461402500001</v>
      </c>
      <c r="T97" s="8">
        <v>2409.6537887499981</v>
      </c>
      <c r="U97" s="8">
        <v>2216.9586725000026</v>
      </c>
      <c r="V97" s="8">
        <v>1995.7033812499994</v>
      </c>
      <c r="W97" s="8">
        <v>2427.6113700000024</v>
      </c>
      <c r="X97" s="8">
        <v>2356.2743787500003</v>
      </c>
      <c r="Y97" s="8">
        <v>1986.2221875000014</v>
      </c>
      <c r="Z97" s="8">
        <v>1517.8971712500006</v>
      </c>
      <c r="AA97" s="8">
        <v>900.41795750000165</v>
      </c>
      <c r="AB97" s="8">
        <v>450.59374000000025</v>
      </c>
      <c r="AC97" s="8">
        <v>26654.636390000011</v>
      </c>
      <c r="AD97" s="8"/>
    </row>
    <row r="98" spans="1:30" ht="15.75" thickBot="1" x14ac:dyDescent="0.3">
      <c r="A98" s="60"/>
      <c r="B98" s="13" t="s">
        <v>33</v>
      </c>
      <c r="C98" s="14">
        <v>7</v>
      </c>
      <c r="D98" s="120"/>
      <c r="E98" s="8">
        <v>188.13280500000292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392.54598500000066</v>
      </c>
      <c r="M98" s="8">
        <v>1109.961575000003</v>
      </c>
      <c r="N98" s="8">
        <v>1709.1976000000013</v>
      </c>
      <c r="O98" s="8">
        <v>2206.7886899999994</v>
      </c>
      <c r="P98" s="8">
        <v>2606.0610250000027</v>
      </c>
      <c r="Q98" s="8">
        <v>2543.3209100000004</v>
      </c>
      <c r="R98" s="8">
        <v>2676.1119200000012</v>
      </c>
      <c r="S98" s="8">
        <v>3063.9129900000025</v>
      </c>
      <c r="T98" s="8">
        <v>3125.1296650000022</v>
      </c>
      <c r="U98" s="8">
        <v>2857.5899350000036</v>
      </c>
      <c r="V98" s="8">
        <v>2663.3172749999994</v>
      </c>
      <c r="W98" s="8">
        <v>3102.3489850000024</v>
      </c>
      <c r="X98" s="8">
        <v>2951.5594799999999</v>
      </c>
      <c r="Y98" s="8">
        <v>2548.1352100000022</v>
      </c>
      <c r="Z98" s="8">
        <v>1957.1293550000009</v>
      </c>
      <c r="AA98" s="8">
        <v>1258.7149550000031</v>
      </c>
      <c r="AB98" s="8">
        <v>676.92473500000051</v>
      </c>
      <c r="AC98" s="8">
        <v>37636.883095000034</v>
      </c>
      <c r="AD98" s="8">
        <v>798072.28774000076</v>
      </c>
    </row>
    <row r="99" spans="1:30" ht="15.75" thickBot="1" x14ac:dyDescent="0.3">
      <c r="B99" s="57"/>
    </row>
    <row r="100" spans="1:30" ht="15.75" customHeight="1" x14ac:dyDescent="0.25">
      <c r="A100" s="58"/>
      <c r="B100" s="6" t="s">
        <v>31</v>
      </c>
      <c r="C100" s="7">
        <v>22</v>
      </c>
      <c r="D100" s="118">
        <v>46478</v>
      </c>
      <c r="E100" s="8">
        <v>2307.2630404090905</v>
      </c>
      <c r="F100" s="8">
        <v>2240.3707190454534</v>
      </c>
      <c r="G100" s="8">
        <v>2191.9717240909085</v>
      </c>
      <c r="H100" s="8">
        <v>2161.9986016363637</v>
      </c>
      <c r="I100" s="8">
        <v>2149.3010470909085</v>
      </c>
      <c r="J100" s="8">
        <v>2168.6299902272731</v>
      </c>
      <c r="K100" s="8">
        <v>2190.1601075454546</v>
      </c>
      <c r="L100" s="8">
        <v>2333.5651748181808</v>
      </c>
      <c r="M100" s="8">
        <v>2498.9040643636345</v>
      </c>
      <c r="N100" s="8">
        <v>2638.3922536363625</v>
      </c>
      <c r="O100" s="8">
        <v>2747.1395804999993</v>
      </c>
      <c r="P100" s="8">
        <v>2840.0632994999996</v>
      </c>
      <c r="Q100" s="8">
        <v>2833.5165466363633</v>
      </c>
      <c r="R100" s="8">
        <v>2846.2460269090898</v>
      </c>
      <c r="S100" s="8">
        <v>2907.8409044999989</v>
      </c>
      <c r="T100" s="8">
        <v>2910.9388416818183</v>
      </c>
      <c r="U100" s="8">
        <v>2854.9440140454535</v>
      </c>
      <c r="V100" s="8">
        <v>2822.5391507727272</v>
      </c>
      <c r="W100" s="8">
        <v>2948.2295639999993</v>
      </c>
      <c r="X100" s="8">
        <v>2949.8381525454533</v>
      </c>
      <c r="Y100" s="8">
        <v>2864.3600933181806</v>
      </c>
      <c r="Z100" s="8">
        <v>2735.8298195454536</v>
      </c>
      <c r="AA100" s="8">
        <v>2566.5371855454541</v>
      </c>
      <c r="AB100" s="8">
        <v>2416.5348575454536</v>
      </c>
      <c r="AC100" s="8">
        <v>62125.114759909076</v>
      </c>
      <c r="AD100" s="8"/>
    </row>
    <row r="101" spans="1:30" x14ac:dyDescent="0.25">
      <c r="A101" s="59"/>
      <c r="B101" s="10" t="s">
        <v>32</v>
      </c>
      <c r="C101" s="11">
        <v>4</v>
      </c>
      <c r="D101" s="119"/>
      <c r="E101" s="8">
        <v>2291.4064424999997</v>
      </c>
      <c r="F101" s="8">
        <v>2248.6134982499989</v>
      </c>
      <c r="G101" s="8">
        <v>2200.9574054999994</v>
      </c>
      <c r="H101" s="8">
        <v>2163.7175489999991</v>
      </c>
      <c r="I101" s="8">
        <v>2139.0915000000005</v>
      </c>
      <c r="J101" s="8">
        <v>2146.1108969999987</v>
      </c>
      <c r="K101" s="8">
        <v>2162.9057362500007</v>
      </c>
      <c r="L101" s="8">
        <v>2322.0066712499993</v>
      </c>
      <c r="M101" s="8">
        <v>2515.0050187500001</v>
      </c>
      <c r="N101" s="8">
        <v>2653.6746914999985</v>
      </c>
      <c r="O101" s="8">
        <v>2760.7706069999986</v>
      </c>
      <c r="P101" s="8">
        <v>2838.5615107499998</v>
      </c>
      <c r="Q101" s="8">
        <v>2821.6681709999993</v>
      </c>
      <c r="R101" s="8">
        <v>2830.0321139999996</v>
      </c>
      <c r="S101" s="8">
        <v>2900.8928864999998</v>
      </c>
      <c r="T101" s="8">
        <v>2928.5586960000001</v>
      </c>
      <c r="U101" s="8">
        <v>2880.2907787499989</v>
      </c>
      <c r="V101" s="8">
        <v>2845.5786344999997</v>
      </c>
      <c r="W101" s="8">
        <v>2956.3668225000001</v>
      </c>
      <c r="X101" s="8">
        <v>2952.1995457499997</v>
      </c>
      <c r="Y101" s="8">
        <v>2859.992614499999</v>
      </c>
      <c r="Z101" s="8">
        <v>2731.4252017499985</v>
      </c>
      <c r="AA101" s="8">
        <v>2563.6433655000001</v>
      </c>
      <c r="AB101" s="8">
        <v>2398.971372</v>
      </c>
      <c r="AC101" s="8">
        <v>62112.441730499988</v>
      </c>
      <c r="AD101" s="8"/>
    </row>
    <row r="102" spans="1:30" ht="15.75" thickBot="1" x14ac:dyDescent="0.3">
      <c r="A102" s="60"/>
      <c r="B102" s="13" t="s">
        <v>33</v>
      </c>
      <c r="C102" s="14">
        <v>4</v>
      </c>
      <c r="D102" s="120"/>
      <c r="E102" s="8">
        <v>2284.6973362499994</v>
      </c>
      <c r="F102" s="8">
        <v>2230.6883655000001</v>
      </c>
      <c r="G102" s="8">
        <v>2205.5631097499991</v>
      </c>
      <c r="H102" s="8">
        <v>2167.7297407499991</v>
      </c>
      <c r="I102" s="8">
        <v>2151.7287854999995</v>
      </c>
      <c r="J102" s="8">
        <v>2156.5208490000005</v>
      </c>
      <c r="K102" s="8">
        <v>2170.9348972499993</v>
      </c>
      <c r="L102" s="8">
        <v>2320.14872775</v>
      </c>
      <c r="M102" s="8">
        <v>2494.0320247499985</v>
      </c>
      <c r="N102" s="8">
        <v>2657.1568012499993</v>
      </c>
      <c r="O102" s="8">
        <v>2769.1606004999994</v>
      </c>
      <c r="P102" s="8">
        <v>2857.9139242499987</v>
      </c>
      <c r="Q102" s="8">
        <v>2831.3623852499986</v>
      </c>
      <c r="R102" s="8">
        <v>2831.6340359999995</v>
      </c>
      <c r="S102" s="8">
        <v>2890.0013414999994</v>
      </c>
      <c r="T102" s="8">
        <v>2910.4773179999993</v>
      </c>
      <c r="U102" s="8">
        <v>2877.3263714999994</v>
      </c>
      <c r="V102" s="8">
        <v>2837.1663389999994</v>
      </c>
      <c r="W102" s="8">
        <v>2955.5775164999995</v>
      </c>
      <c r="X102" s="8">
        <v>2949.8415187499995</v>
      </c>
      <c r="Y102" s="8">
        <v>2863.5556424999995</v>
      </c>
      <c r="Z102" s="8">
        <v>2728.6478729999999</v>
      </c>
      <c r="AA102" s="8">
        <v>2562.1836292499993</v>
      </c>
      <c r="AB102" s="8">
        <v>2411.4098977499998</v>
      </c>
      <c r="AC102" s="8">
        <v>62115.45903149998</v>
      </c>
      <c r="AD102" s="8">
        <v>1863664.1277659994</v>
      </c>
    </row>
    <row r="103" spans="1:30" ht="15.75" thickBot="1" x14ac:dyDescent="0.3">
      <c r="B103" s="57"/>
    </row>
    <row r="104" spans="1:30" x14ac:dyDescent="0.25">
      <c r="A104" s="58"/>
      <c r="B104" s="6" t="s">
        <v>31</v>
      </c>
      <c r="C104" s="7">
        <v>19</v>
      </c>
      <c r="D104" s="118">
        <v>46508</v>
      </c>
      <c r="E104" s="8">
        <v>2320.9035205263153</v>
      </c>
      <c r="F104" s="8">
        <v>2260.5634247368416</v>
      </c>
      <c r="G104" s="8">
        <v>2215.3305266842108</v>
      </c>
      <c r="H104" s="8">
        <v>2181.5875277368414</v>
      </c>
      <c r="I104" s="8">
        <v>2166.5340082105267</v>
      </c>
      <c r="J104" s="8">
        <v>2181.6644098421057</v>
      </c>
      <c r="K104" s="8">
        <v>2202.2142317368416</v>
      </c>
      <c r="L104" s="8">
        <v>2350.5729206842097</v>
      </c>
      <c r="M104" s="8">
        <v>2523.5598172105256</v>
      </c>
      <c r="N104" s="8">
        <v>2667.2989703684198</v>
      </c>
      <c r="O104" s="8">
        <v>2778.2118088421048</v>
      </c>
      <c r="P104" s="8">
        <v>2861.0025569999998</v>
      </c>
      <c r="Q104" s="8">
        <v>2845.5738072631575</v>
      </c>
      <c r="R104" s="8">
        <v>2855.5359408947352</v>
      </c>
      <c r="S104" s="8">
        <v>2920.8127199999999</v>
      </c>
      <c r="T104" s="8">
        <v>2934.441837157894</v>
      </c>
      <c r="U104" s="8">
        <v>2882.1552888947353</v>
      </c>
      <c r="V104" s="8">
        <v>2841.9504418421038</v>
      </c>
      <c r="W104" s="8">
        <v>2953.5364496842103</v>
      </c>
      <c r="X104" s="8">
        <v>2945.0866012105271</v>
      </c>
      <c r="Y104" s="8">
        <v>2855.1057348947361</v>
      </c>
      <c r="Z104" s="8">
        <v>2728.8047739473677</v>
      </c>
      <c r="AA104" s="8">
        <v>2567.9177425263151</v>
      </c>
      <c r="AB104" s="8">
        <v>2425.6367973157885</v>
      </c>
      <c r="AC104" s="8">
        <v>62466.001859210519</v>
      </c>
      <c r="AD104" s="8"/>
    </row>
    <row r="105" spans="1:30" x14ac:dyDescent="0.25">
      <c r="A105" s="59"/>
      <c r="B105" s="10" t="s">
        <v>32</v>
      </c>
      <c r="C105" s="11">
        <v>5</v>
      </c>
      <c r="D105" s="119"/>
      <c r="E105" s="8">
        <v>2329.1441039999991</v>
      </c>
      <c r="F105" s="8">
        <v>2260.4910342000003</v>
      </c>
      <c r="G105" s="8">
        <v>2214.1094303999998</v>
      </c>
      <c r="H105" s="8">
        <v>2186.4554081999995</v>
      </c>
      <c r="I105" s="8">
        <v>2184.5694444000001</v>
      </c>
      <c r="J105" s="8">
        <v>2194.4809445999999</v>
      </c>
      <c r="K105" s="8">
        <v>2215.5900311999994</v>
      </c>
      <c r="L105" s="8">
        <v>2359.9377396</v>
      </c>
      <c r="M105" s="8">
        <v>2522.3272283999995</v>
      </c>
      <c r="N105" s="8">
        <v>2660.8183223999986</v>
      </c>
      <c r="O105" s="8">
        <v>2769.7148009999983</v>
      </c>
      <c r="P105" s="8">
        <v>2871.7828565999989</v>
      </c>
      <c r="Q105" s="8">
        <v>2860.0198493999997</v>
      </c>
      <c r="R105" s="8">
        <v>2867.5351950000004</v>
      </c>
      <c r="S105" s="8">
        <v>2913.1456913999991</v>
      </c>
      <c r="T105" s="8">
        <v>2909.9636369999989</v>
      </c>
      <c r="U105" s="8">
        <v>2851.6481783999989</v>
      </c>
      <c r="V105" s="8">
        <v>2820.8722121999999</v>
      </c>
      <c r="W105" s="8">
        <v>2954.2407509999994</v>
      </c>
      <c r="X105" s="8">
        <v>2947.540982399998</v>
      </c>
      <c r="Y105" s="8">
        <v>2856.4066229999989</v>
      </c>
      <c r="Z105" s="8">
        <v>2725.460631599999</v>
      </c>
      <c r="AA105" s="8">
        <v>2564.6888189999991</v>
      </c>
      <c r="AB105" s="8">
        <v>2415.7858746000002</v>
      </c>
      <c r="AC105" s="8">
        <v>62456.729789999998</v>
      </c>
      <c r="AD105" s="8"/>
    </row>
    <row r="106" spans="1:30" ht="15.75" thickBot="1" x14ac:dyDescent="0.3">
      <c r="A106" s="60"/>
      <c r="B106" s="13" t="s">
        <v>33</v>
      </c>
      <c r="C106" s="14">
        <v>7</v>
      </c>
      <c r="D106" s="120"/>
      <c r="E106" s="8">
        <v>2295.5461500000001</v>
      </c>
      <c r="F106" s="8">
        <v>2250.7580550000002</v>
      </c>
      <c r="G106" s="8">
        <v>2213.7014039999995</v>
      </c>
      <c r="H106" s="8">
        <v>2189.1488099999988</v>
      </c>
      <c r="I106" s="8">
        <v>2178.1092179999996</v>
      </c>
      <c r="J106" s="8">
        <v>2207.8197810000001</v>
      </c>
      <c r="K106" s="8">
        <v>2232.7616309999994</v>
      </c>
      <c r="L106" s="8">
        <v>2379.6873779999987</v>
      </c>
      <c r="M106" s="8">
        <v>2551.8265139999985</v>
      </c>
      <c r="N106" s="8">
        <v>2686.8464189999995</v>
      </c>
      <c r="O106" s="8">
        <v>2786.3890350000001</v>
      </c>
      <c r="P106" s="8">
        <v>2873.9877689999994</v>
      </c>
      <c r="Q106" s="8">
        <v>2873.2546709999988</v>
      </c>
      <c r="R106" s="8">
        <v>2880.2357909999992</v>
      </c>
      <c r="S106" s="8">
        <v>2934.5085419999996</v>
      </c>
      <c r="T106" s="8">
        <v>2926.7588820000001</v>
      </c>
      <c r="U106" s="8">
        <v>2863.3624139999993</v>
      </c>
      <c r="V106" s="8">
        <v>2820.2060969999984</v>
      </c>
      <c r="W106" s="8">
        <v>2934.3061739999994</v>
      </c>
      <c r="X106" s="8">
        <v>2936.541944999999</v>
      </c>
      <c r="Y106" s="8">
        <v>2846.8902359999993</v>
      </c>
      <c r="Z106" s="8">
        <v>2717.1404759999987</v>
      </c>
      <c r="AA106" s="8">
        <v>2542.8006359999999</v>
      </c>
      <c r="AB106" s="8">
        <v>2393.5122449999999</v>
      </c>
      <c r="AC106" s="8">
        <v>62516.100272999982</v>
      </c>
      <c r="AD106" s="8">
        <v>1936750.3861859997</v>
      </c>
    </row>
    <row r="107" spans="1:30" ht="15.75" thickBot="1" x14ac:dyDescent="0.3">
      <c r="B107" s="57"/>
    </row>
    <row r="108" spans="1:30" x14ac:dyDescent="0.25">
      <c r="A108" s="58"/>
      <c r="B108" s="6" t="s">
        <v>31</v>
      </c>
      <c r="C108" s="7">
        <v>21</v>
      </c>
      <c r="D108" s="118">
        <v>46539</v>
      </c>
      <c r="E108" s="8">
        <v>3470.0176575000005</v>
      </c>
      <c r="F108" s="8">
        <v>3385.8147915000009</v>
      </c>
      <c r="G108" s="8">
        <v>3321.2991975000004</v>
      </c>
      <c r="H108" s="8">
        <v>3278.0926740000014</v>
      </c>
      <c r="I108" s="8">
        <v>3264.5195295000003</v>
      </c>
      <c r="J108" s="8">
        <v>3304.3437090000007</v>
      </c>
      <c r="K108" s="8">
        <v>3347.2305795000002</v>
      </c>
      <c r="L108" s="8">
        <v>3571.2825224999997</v>
      </c>
      <c r="M108" s="8">
        <v>3823.8452324999998</v>
      </c>
      <c r="N108" s="8">
        <v>4032.1236179999996</v>
      </c>
      <c r="O108" s="8">
        <v>4195.5549300000002</v>
      </c>
      <c r="P108" s="8">
        <v>4333.1785470000013</v>
      </c>
      <c r="Q108" s="8">
        <v>4324.308376500001</v>
      </c>
      <c r="R108" s="8">
        <v>4339.1611515000004</v>
      </c>
      <c r="S108" s="8">
        <v>4425.5550120000025</v>
      </c>
      <c r="T108" s="8">
        <v>4424.235987</v>
      </c>
      <c r="U108" s="8">
        <v>4337.5783049999991</v>
      </c>
      <c r="V108" s="8">
        <v>4281.0380385000008</v>
      </c>
      <c r="W108" s="8">
        <v>4459.6461135000009</v>
      </c>
      <c r="X108" s="8">
        <v>4452.7720530000006</v>
      </c>
      <c r="Y108" s="8">
        <v>4314.5750129999997</v>
      </c>
      <c r="Z108" s="8">
        <v>4109.3604720000003</v>
      </c>
      <c r="AA108" s="8">
        <v>3848.2839660000009</v>
      </c>
      <c r="AB108" s="8">
        <v>3625.4362590000019</v>
      </c>
      <c r="AC108" s="8">
        <v>94269.253735500009</v>
      </c>
      <c r="AD108" s="8"/>
    </row>
    <row r="109" spans="1:30" x14ac:dyDescent="0.25">
      <c r="A109" s="52"/>
      <c r="B109" s="10" t="s">
        <v>32</v>
      </c>
      <c r="C109" s="11">
        <v>4</v>
      </c>
      <c r="D109" s="119"/>
      <c r="E109" s="8">
        <v>3451.3697688749999</v>
      </c>
      <c r="F109" s="8">
        <v>3355.6516796250007</v>
      </c>
      <c r="G109" s="8">
        <v>3300.9765862500008</v>
      </c>
      <c r="H109" s="8">
        <v>3286.6715542500006</v>
      </c>
      <c r="I109" s="8">
        <v>3277.1331180000006</v>
      </c>
      <c r="J109" s="8">
        <v>3312.1166951250007</v>
      </c>
      <c r="K109" s="8">
        <v>3335.9025735000005</v>
      </c>
      <c r="L109" s="8">
        <v>3561.5511540000007</v>
      </c>
      <c r="M109" s="8">
        <v>3816.918291375001</v>
      </c>
      <c r="N109" s="8">
        <v>4035.7575562500006</v>
      </c>
      <c r="O109" s="8">
        <v>4202.4622263750007</v>
      </c>
      <c r="P109" s="8">
        <v>4317.4622846250004</v>
      </c>
      <c r="Q109" s="8">
        <v>4297.5188628750002</v>
      </c>
      <c r="R109" s="8">
        <v>4324.7694183750009</v>
      </c>
      <c r="S109" s="8">
        <v>4448.0477711250005</v>
      </c>
      <c r="T109" s="8">
        <v>4447.1014796250001</v>
      </c>
      <c r="U109" s="8">
        <v>4360.2365835000001</v>
      </c>
      <c r="V109" s="8">
        <v>4280.3728852500008</v>
      </c>
      <c r="W109" s="8">
        <v>4444.3903848749997</v>
      </c>
      <c r="X109" s="8">
        <v>4436.3116192500001</v>
      </c>
      <c r="Y109" s="8">
        <v>4303.4590305000002</v>
      </c>
      <c r="Z109" s="8">
        <v>4136.4558191249998</v>
      </c>
      <c r="AA109" s="8">
        <v>3886.0840935000015</v>
      </c>
      <c r="AB109" s="8">
        <v>3657.2060306250005</v>
      </c>
      <c r="AC109" s="8">
        <v>94275.927466875029</v>
      </c>
      <c r="AD109" s="8"/>
    </row>
    <row r="110" spans="1:30" ht="15.75" thickBot="1" x14ac:dyDescent="0.3">
      <c r="A110" s="60"/>
      <c r="B110" s="13" t="s">
        <v>33</v>
      </c>
      <c r="C110" s="14">
        <v>5</v>
      </c>
      <c r="D110" s="120"/>
      <c r="E110" s="8">
        <v>3450.5757279000009</v>
      </c>
      <c r="F110" s="8">
        <v>3342.4384959000008</v>
      </c>
      <c r="G110" s="8">
        <v>3269.2795002000003</v>
      </c>
      <c r="H110" s="8">
        <v>3240.2643903000007</v>
      </c>
      <c r="I110" s="8">
        <v>3245.2340319000004</v>
      </c>
      <c r="J110" s="8">
        <v>3272.1567353999999</v>
      </c>
      <c r="K110" s="8">
        <v>3312.660789900001</v>
      </c>
      <c r="L110" s="8">
        <v>3543.4175993999997</v>
      </c>
      <c r="M110" s="8">
        <v>3818.0528190000005</v>
      </c>
      <c r="N110" s="8">
        <v>4047.9645654000014</v>
      </c>
      <c r="O110" s="8">
        <v>4222.8573408000011</v>
      </c>
      <c r="P110" s="8">
        <v>4360.9777029000015</v>
      </c>
      <c r="Q110" s="8">
        <v>4334.4940275000008</v>
      </c>
      <c r="R110" s="8">
        <v>4339.9077309000004</v>
      </c>
      <c r="S110" s="8">
        <v>4429.2577581000005</v>
      </c>
      <c r="T110" s="8">
        <v>4465.6238654999997</v>
      </c>
      <c r="U110" s="8">
        <v>4391.5749947999993</v>
      </c>
      <c r="V110" s="8">
        <v>4315.4870535000009</v>
      </c>
      <c r="W110" s="8">
        <v>4472.5299759000009</v>
      </c>
      <c r="X110" s="8">
        <v>4442.9084154000011</v>
      </c>
      <c r="Y110" s="8">
        <v>4294.7419473000009</v>
      </c>
      <c r="Z110" s="8">
        <v>4104.4028067000017</v>
      </c>
      <c r="AA110" s="8">
        <v>3875.6275299000008</v>
      </c>
      <c r="AB110" s="8">
        <v>3638.6615853000003</v>
      </c>
      <c r="AC110" s="8">
        <v>94231.097389800008</v>
      </c>
      <c r="AD110" s="8">
        <v>2827913.5252620005</v>
      </c>
    </row>
    <row r="111" spans="1:30" ht="15.75" thickBot="1" x14ac:dyDescent="0.3">
      <c r="B111" s="57"/>
    </row>
    <row r="112" spans="1:30" x14ac:dyDescent="0.25">
      <c r="A112" s="58"/>
      <c r="B112" s="6" t="s">
        <v>31</v>
      </c>
      <c r="C112" s="7">
        <v>20</v>
      </c>
      <c r="D112" s="118">
        <v>46569</v>
      </c>
      <c r="E112" s="8">
        <v>351.82778099999996</v>
      </c>
      <c r="F112" s="8">
        <v>125.87427199999547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649.48250375000134</v>
      </c>
      <c r="N112" s="8">
        <v>1290.9448534999974</v>
      </c>
      <c r="O112" s="8">
        <v>1799.9300767499954</v>
      </c>
      <c r="P112" s="8">
        <v>2201.6661492500025</v>
      </c>
      <c r="Q112" s="8">
        <v>2112.2789352499985</v>
      </c>
      <c r="R112" s="8">
        <v>2222.7044704999971</v>
      </c>
      <c r="S112" s="8">
        <v>2587.5237489999963</v>
      </c>
      <c r="T112" s="8">
        <v>2691.0084939999997</v>
      </c>
      <c r="U112" s="8">
        <v>2489.9168337499959</v>
      </c>
      <c r="V112" s="8">
        <v>2281.4273917499995</v>
      </c>
      <c r="W112" s="8">
        <v>2679.154391</v>
      </c>
      <c r="X112" s="8">
        <v>2580.3962770000035</v>
      </c>
      <c r="Y112" s="8">
        <v>2272.7716190000065</v>
      </c>
      <c r="Z112" s="8">
        <v>1860.8987589999979</v>
      </c>
      <c r="AA112" s="8">
        <v>1296.8954677500042</v>
      </c>
      <c r="AB112" s="8">
        <v>788.43715525000152</v>
      </c>
      <c r="AC112" s="8">
        <v>32283.139179499991</v>
      </c>
      <c r="AD112" s="8"/>
    </row>
    <row r="113" spans="1:30" x14ac:dyDescent="0.25">
      <c r="A113" s="52"/>
      <c r="B113" s="10" t="s">
        <v>32</v>
      </c>
      <c r="C113" s="11">
        <v>5</v>
      </c>
      <c r="D113" s="119"/>
      <c r="E113" s="8">
        <v>722.05428299999949</v>
      </c>
      <c r="F113" s="8">
        <v>469.27096700000038</v>
      </c>
      <c r="G113" s="8">
        <v>198.53931199999897</v>
      </c>
      <c r="H113" s="8">
        <v>6.166520999999193</v>
      </c>
      <c r="I113" s="8">
        <v>0</v>
      </c>
      <c r="J113" s="8">
        <v>0</v>
      </c>
      <c r="K113" s="8">
        <v>53.32489799999712</v>
      </c>
      <c r="L113" s="8">
        <v>633.57437899999786</v>
      </c>
      <c r="M113" s="8">
        <v>1331.8209979999992</v>
      </c>
      <c r="N113" s="8">
        <v>1932.4623629999969</v>
      </c>
      <c r="O113" s="8">
        <v>2432.6446729999989</v>
      </c>
      <c r="P113" s="8">
        <v>2823.8434459999989</v>
      </c>
      <c r="Q113" s="8">
        <v>2793.5789060000006</v>
      </c>
      <c r="R113" s="8">
        <v>2957.8201510000017</v>
      </c>
      <c r="S113" s="8">
        <v>3331.8429380000016</v>
      </c>
      <c r="T113" s="8">
        <v>3427.4873979999993</v>
      </c>
      <c r="U113" s="8">
        <v>3181.9850289999977</v>
      </c>
      <c r="V113" s="8">
        <v>3024.0535610000006</v>
      </c>
      <c r="W113" s="8">
        <v>3468.8875869999974</v>
      </c>
      <c r="X113" s="8">
        <v>3390.742232999999</v>
      </c>
      <c r="Y113" s="8">
        <v>3008.563318999999</v>
      </c>
      <c r="Z113" s="8">
        <v>2418.984308000001</v>
      </c>
      <c r="AA113" s="8">
        <v>1711.3980210000009</v>
      </c>
      <c r="AB113" s="8">
        <v>1134.2312349999975</v>
      </c>
      <c r="AC113" s="8">
        <v>44453.27652599998</v>
      </c>
      <c r="AD113" s="8"/>
    </row>
    <row r="114" spans="1:30" ht="15.75" thickBot="1" x14ac:dyDescent="0.3">
      <c r="A114" s="60"/>
      <c r="B114" s="13" t="s">
        <v>33</v>
      </c>
      <c r="C114" s="14">
        <v>6</v>
      </c>
      <c r="D114" s="120"/>
      <c r="E114" s="8">
        <v>734.20341999999982</v>
      </c>
      <c r="F114" s="8">
        <v>513.33363250000002</v>
      </c>
      <c r="G114" s="8">
        <v>367.46965749999981</v>
      </c>
      <c r="H114" s="8">
        <v>219.87278500000139</v>
      </c>
      <c r="I114" s="8">
        <v>113.52503999999681</v>
      </c>
      <c r="J114" s="8">
        <v>192.30357000000004</v>
      </c>
      <c r="K114" s="8">
        <v>246.49417499999799</v>
      </c>
      <c r="L114" s="8">
        <v>935.32841750000262</v>
      </c>
      <c r="M114" s="8">
        <v>1659.7727375000013</v>
      </c>
      <c r="N114" s="8">
        <v>2302.3485474999998</v>
      </c>
      <c r="O114" s="8">
        <v>2740.065167499999</v>
      </c>
      <c r="P114" s="8">
        <v>3141.5201199999992</v>
      </c>
      <c r="Q114" s="8">
        <v>3078.3826700000009</v>
      </c>
      <c r="R114" s="8">
        <v>3156.6290249999984</v>
      </c>
      <c r="S114" s="8">
        <v>3525.5228600000028</v>
      </c>
      <c r="T114" s="8">
        <v>3554.6006849999994</v>
      </c>
      <c r="U114" s="8">
        <v>3264.2821474999964</v>
      </c>
      <c r="V114" s="8">
        <v>3054.1297174999982</v>
      </c>
      <c r="W114" s="8">
        <v>3576.4824799999988</v>
      </c>
      <c r="X114" s="8">
        <v>3472.9849424999993</v>
      </c>
      <c r="Y114" s="8">
        <v>3062.8193424999972</v>
      </c>
      <c r="Z114" s="8">
        <v>2474.0994274999994</v>
      </c>
      <c r="AA114" s="8">
        <v>1755.7666900000004</v>
      </c>
      <c r="AB114" s="8">
        <v>1138.0732375000007</v>
      </c>
      <c r="AC114" s="8">
        <v>48280.010494999988</v>
      </c>
      <c r="AD114" s="8">
        <v>1157609.2291899996</v>
      </c>
    </row>
    <row r="115" spans="1:30" ht="15.75" thickBot="1" x14ac:dyDescent="0.3">
      <c r="B115" s="57"/>
    </row>
    <row r="116" spans="1:30" x14ac:dyDescent="0.25">
      <c r="A116" s="58"/>
      <c r="B116" s="6" t="s">
        <v>31</v>
      </c>
      <c r="C116" s="7">
        <v>21</v>
      </c>
      <c r="D116" s="118">
        <v>46600</v>
      </c>
      <c r="E116" s="8">
        <v>3552.0612209999999</v>
      </c>
      <c r="F116" s="8">
        <v>3452.929123500001</v>
      </c>
      <c r="G116" s="8">
        <v>3373.012522500002</v>
      </c>
      <c r="H116" s="8">
        <v>3314.4530414999999</v>
      </c>
      <c r="I116" s="8">
        <v>3288.1697835000004</v>
      </c>
      <c r="J116" s="8">
        <v>3316.0943640000005</v>
      </c>
      <c r="K116" s="8">
        <v>3351.4356450000005</v>
      </c>
      <c r="L116" s="8">
        <v>3576.8668935000005</v>
      </c>
      <c r="M116" s="8">
        <v>3833.4705329999997</v>
      </c>
      <c r="N116" s="8">
        <v>4040.6228879999999</v>
      </c>
      <c r="O116" s="8">
        <v>4196.5141215000003</v>
      </c>
      <c r="P116" s="8">
        <v>4331.0691929999994</v>
      </c>
      <c r="Q116" s="8">
        <v>4325.0995815000006</v>
      </c>
      <c r="R116" s="8">
        <v>4353.2313225000016</v>
      </c>
      <c r="S116" s="8">
        <v>4455.5076014999995</v>
      </c>
      <c r="T116" s="8">
        <v>4476.1889415000005</v>
      </c>
      <c r="U116" s="8">
        <v>4399.7356589999999</v>
      </c>
      <c r="V116" s="8">
        <v>4348.5254100000002</v>
      </c>
      <c r="W116" s="8">
        <v>4532.5714365000003</v>
      </c>
      <c r="X116" s="8">
        <v>4526.4305414999999</v>
      </c>
      <c r="Y116" s="8">
        <v>4390.016361</v>
      </c>
      <c r="Z116" s="8">
        <v>4192.2271335000005</v>
      </c>
      <c r="AA116" s="8">
        <v>3939.5896935000001</v>
      </c>
      <c r="AB116" s="8">
        <v>3711.0691155000004</v>
      </c>
      <c r="AC116" s="8">
        <v>95276.892127500003</v>
      </c>
      <c r="AD116" s="8"/>
    </row>
    <row r="117" spans="1:30" x14ac:dyDescent="0.25">
      <c r="A117" s="52"/>
      <c r="B117" s="10" t="s">
        <v>32</v>
      </c>
      <c r="C117" s="11">
        <v>4</v>
      </c>
      <c r="D117" s="119"/>
      <c r="E117" s="8">
        <v>3516.3863673750002</v>
      </c>
      <c r="F117" s="8">
        <v>3435.3729270000003</v>
      </c>
      <c r="G117" s="8">
        <v>3397.6850276250007</v>
      </c>
      <c r="H117" s="8">
        <v>3340.9349741250007</v>
      </c>
      <c r="I117" s="8">
        <v>3316.9335491250004</v>
      </c>
      <c r="J117" s="8">
        <v>3324.1216365000009</v>
      </c>
      <c r="K117" s="8">
        <v>3345.7427088750001</v>
      </c>
      <c r="L117" s="8">
        <v>3569.5634546250003</v>
      </c>
      <c r="M117" s="8">
        <v>3830.3884001250008</v>
      </c>
      <c r="N117" s="8">
        <v>4075.0755806250017</v>
      </c>
      <c r="O117" s="8">
        <v>4243.0812637500003</v>
      </c>
      <c r="P117" s="8">
        <v>4376.2112572500009</v>
      </c>
      <c r="Q117" s="8">
        <v>4336.3839487500009</v>
      </c>
      <c r="R117" s="8">
        <v>4336.7914170000004</v>
      </c>
      <c r="S117" s="8">
        <v>4424.3423752500003</v>
      </c>
      <c r="T117" s="8">
        <v>4455.056340000001</v>
      </c>
      <c r="U117" s="8">
        <v>4405.3299360000001</v>
      </c>
      <c r="V117" s="8">
        <v>4345.0898872500002</v>
      </c>
      <c r="W117" s="8">
        <v>4522.7066456250013</v>
      </c>
      <c r="X117" s="8">
        <v>4514.1026490000004</v>
      </c>
      <c r="Y117" s="8">
        <v>4384.6738267500023</v>
      </c>
      <c r="Z117" s="8">
        <v>4182.312180375</v>
      </c>
      <c r="AA117" s="8">
        <v>3932.6158147500009</v>
      </c>
      <c r="AB117" s="8">
        <v>3706.4552096250009</v>
      </c>
      <c r="AC117" s="8">
        <v>95317.357377374996</v>
      </c>
      <c r="AD117" s="8"/>
    </row>
    <row r="118" spans="1:30" ht="15.75" thickBot="1" x14ac:dyDescent="0.3">
      <c r="A118" s="60"/>
      <c r="B118" s="13" t="s">
        <v>33</v>
      </c>
      <c r="C118" s="14">
        <v>5</v>
      </c>
      <c r="D118" s="120"/>
      <c r="E118" s="8">
        <v>4209.5094363000007</v>
      </c>
      <c r="F118" s="8">
        <v>4096.1993688000002</v>
      </c>
      <c r="G118" s="8">
        <v>4015.9220850000002</v>
      </c>
      <c r="H118" s="8">
        <v>3994.4504817000015</v>
      </c>
      <c r="I118" s="8">
        <v>3989.0501406000003</v>
      </c>
      <c r="J118" s="8">
        <v>4023.8493246000016</v>
      </c>
      <c r="K118" s="8">
        <v>4042.5125201999999</v>
      </c>
      <c r="L118" s="8">
        <v>4289.3931465000005</v>
      </c>
      <c r="M118" s="8">
        <v>4583.1905658000014</v>
      </c>
      <c r="N118" s="8">
        <v>4849.8773337000002</v>
      </c>
      <c r="O118" s="8">
        <v>5076.3217050000003</v>
      </c>
      <c r="P118" s="8">
        <v>5248.6396578000004</v>
      </c>
      <c r="Q118" s="8">
        <v>5227.2984204000004</v>
      </c>
      <c r="R118" s="8">
        <v>5238.6601680000003</v>
      </c>
      <c r="S118" s="8">
        <v>5355.9975861000003</v>
      </c>
      <c r="T118" s="8">
        <v>5365.3483611000011</v>
      </c>
      <c r="U118" s="8">
        <v>5276.4186006</v>
      </c>
      <c r="V118" s="8">
        <v>5222.5896429000022</v>
      </c>
      <c r="W118" s="8">
        <v>5427.9656360999998</v>
      </c>
      <c r="X118" s="8">
        <v>5415.6209624999992</v>
      </c>
      <c r="Y118" s="8">
        <v>5245.3439451000013</v>
      </c>
      <c r="Z118" s="8">
        <v>5018.7091437000017</v>
      </c>
      <c r="AA118" s="8">
        <v>4709.0889657000007</v>
      </c>
      <c r="AB118" s="8">
        <v>4432.5146880000011</v>
      </c>
      <c r="AC118" s="8">
        <v>114354.47188620002</v>
      </c>
      <c r="AD118" s="8">
        <v>2953856.5236180001</v>
      </c>
    </row>
    <row r="119" spans="1:30" ht="15.75" thickBot="1" x14ac:dyDescent="0.3">
      <c r="B119" s="57"/>
    </row>
    <row r="120" spans="1:30" x14ac:dyDescent="0.25">
      <c r="A120" s="58"/>
      <c r="B120" s="6" t="s">
        <v>31</v>
      </c>
      <c r="C120" s="7">
        <v>22</v>
      </c>
      <c r="D120" s="118">
        <v>46631</v>
      </c>
      <c r="E120" s="8">
        <v>3568.095735750001</v>
      </c>
      <c r="F120" s="8">
        <v>3472.7591873863639</v>
      </c>
      <c r="G120" s="8">
        <v>3406.2620215909092</v>
      </c>
      <c r="H120" s="8">
        <v>3363.635226477274</v>
      </c>
      <c r="I120" s="8">
        <v>3347.2893280909102</v>
      </c>
      <c r="J120" s="8">
        <v>3366.7991867045466</v>
      </c>
      <c r="K120" s="8">
        <v>3393.6142489772728</v>
      </c>
      <c r="L120" s="8">
        <v>3612.9061752954549</v>
      </c>
      <c r="M120" s="8">
        <v>3870.0253605681828</v>
      </c>
      <c r="N120" s="8">
        <v>4086.6169379318198</v>
      </c>
      <c r="O120" s="8">
        <v>4252.6320207954559</v>
      </c>
      <c r="P120" s="8">
        <v>4382.8641632045455</v>
      </c>
      <c r="Q120" s="8">
        <v>4358.7302420454544</v>
      </c>
      <c r="R120" s="8">
        <v>4369.3040174318194</v>
      </c>
      <c r="S120" s="8">
        <v>4460.3263787727283</v>
      </c>
      <c r="T120" s="8">
        <v>4475.2343866363644</v>
      </c>
      <c r="U120" s="8">
        <v>4398.1744661590928</v>
      </c>
      <c r="V120" s="8">
        <v>4344.1673181136357</v>
      </c>
      <c r="W120" s="8">
        <v>4520.3539342500007</v>
      </c>
      <c r="X120" s="8">
        <v>4508.855108386364</v>
      </c>
      <c r="Y120" s="8">
        <v>4374.7698358636371</v>
      </c>
      <c r="Z120" s="8">
        <v>4189.7628947045469</v>
      </c>
      <c r="AA120" s="8">
        <v>3949.6823085681808</v>
      </c>
      <c r="AB120" s="8">
        <v>3731.9446667045468</v>
      </c>
      <c r="AC120" s="8">
        <v>95804.805150409098</v>
      </c>
      <c r="AD120" s="8"/>
    </row>
    <row r="121" spans="1:30" x14ac:dyDescent="0.25">
      <c r="A121" s="52"/>
      <c r="B121" s="10" t="s">
        <v>32</v>
      </c>
      <c r="C121" s="11">
        <v>4</v>
      </c>
      <c r="D121" s="119"/>
      <c r="E121" s="8">
        <v>3561.1750912500011</v>
      </c>
      <c r="F121" s="8">
        <v>3469.1293350000005</v>
      </c>
      <c r="G121" s="8">
        <v>3390.6359497500007</v>
      </c>
      <c r="H121" s="8">
        <v>3344.1895462500006</v>
      </c>
      <c r="I121" s="8">
        <v>3325.2074887500003</v>
      </c>
      <c r="J121" s="8">
        <v>3381.3974564999999</v>
      </c>
      <c r="K121" s="8">
        <v>3411.1904242500004</v>
      </c>
      <c r="L121" s="8">
        <v>3623.4101688749997</v>
      </c>
      <c r="M121" s="8">
        <v>3862.1288790000017</v>
      </c>
      <c r="N121" s="8">
        <v>4059.5475138750007</v>
      </c>
      <c r="O121" s="8">
        <v>4217.4408543750014</v>
      </c>
      <c r="P121" s="8">
        <v>4368.9462941250003</v>
      </c>
      <c r="Q121" s="8">
        <v>4387.2800895</v>
      </c>
      <c r="R121" s="8">
        <v>4396.279694625</v>
      </c>
      <c r="S121" s="8">
        <v>4483.911639375001</v>
      </c>
      <c r="T121" s="8">
        <v>4475.4681825000007</v>
      </c>
      <c r="U121" s="8">
        <v>4382.7706440000002</v>
      </c>
      <c r="V121" s="8">
        <v>4320.3801375000003</v>
      </c>
      <c r="W121" s="8">
        <v>4509.378570375</v>
      </c>
      <c r="X121" s="8">
        <v>4531.2535642500006</v>
      </c>
      <c r="Y121" s="8">
        <v>4403.6954010000009</v>
      </c>
      <c r="Z121" s="8">
        <v>4213.8781177500005</v>
      </c>
      <c r="AA121" s="8">
        <v>3951.9876453750003</v>
      </c>
      <c r="AB121" s="8">
        <v>3728.4822146250008</v>
      </c>
      <c r="AC121" s="8">
        <v>95799.164902875054</v>
      </c>
      <c r="AD121" s="8"/>
    </row>
    <row r="122" spans="1:30" ht="15.75" thickBot="1" x14ac:dyDescent="0.3">
      <c r="A122" s="60"/>
      <c r="B122" s="13" t="s">
        <v>33</v>
      </c>
      <c r="C122" s="14">
        <v>4</v>
      </c>
      <c r="D122" s="120"/>
      <c r="E122" s="8">
        <v>3561.2179942500006</v>
      </c>
      <c r="F122" s="8">
        <v>3472.7883513750003</v>
      </c>
      <c r="G122" s="8">
        <v>3405.514840875001</v>
      </c>
      <c r="H122" s="8">
        <v>3339.5813325000008</v>
      </c>
      <c r="I122" s="8">
        <v>3315.1438293750007</v>
      </c>
      <c r="J122" s="8">
        <v>3354.5097652500008</v>
      </c>
      <c r="K122" s="8">
        <v>3418.0989806250009</v>
      </c>
      <c r="L122" s="8">
        <v>3629.4284486249999</v>
      </c>
      <c r="M122" s="8">
        <v>3881.0848230000011</v>
      </c>
      <c r="N122" s="8">
        <v>4075.1624418750016</v>
      </c>
      <c r="O122" s="8">
        <v>4229.4845958750011</v>
      </c>
      <c r="P122" s="8">
        <v>4366.1593709999997</v>
      </c>
      <c r="Q122" s="8">
        <v>4355.8205985000004</v>
      </c>
      <c r="R122" s="8">
        <v>4401.5028671250002</v>
      </c>
      <c r="S122" s="8">
        <v>4496.4966217500005</v>
      </c>
      <c r="T122" s="8">
        <v>4504.4968027499999</v>
      </c>
      <c r="U122" s="8">
        <v>4397.3119575000001</v>
      </c>
      <c r="V122" s="8">
        <v>4322.783012625001</v>
      </c>
      <c r="W122" s="8">
        <v>4493.0412450000003</v>
      </c>
      <c r="X122" s="8">
        <v>4504.1314893750005</v>
      </c>
      <c r="Y122" s="8">
        <v>4399.2487980000005</v>
      </c>
      <c r="Z122" s="8">
        <v>4201.259674500001</v>
      </c>
      <c r="AA122" s="8">
        <v>3950.8036942500003</v>
      </c>
      <c r="AB122" s="8">
        <v>3724.9451819999995</v>
      </c>
      <c r="AC122" s="8">
        <v>95800.016718000028</v>
      </c>
      <c r="AD122" s="8">
        <v>2874102.4397925008</v>
      </c>
    </row>
    <row r="123" spans="1:30" ht="15.75" thickBot="1" x14ac:dyDescent="0.3">
      <c r="B123" s="57"/>
    </row>
    <row r="124" spans="1:30" x14ac:dyDescent="0.25">
      <c r="A124" s="58"/>
      <c r="B124" s="6" t="s">
        <v>31</v>
      </c>
      <c r="C124" s="7">
        <v>20</v>
      </c>
      <c r="D124" s="118">
        <v>46661</v>
      </c>
      <c r="E124" s="8">
        <v>3011.4289852499987</v>
      </c>
      <c r="F124" s="8">
        <v>2846.5589565000046</v>
      </c>
      <c r="G124" s="8">
        <v>2703.004004749997</v>
      </c>
      <c r="H124" s="8">
        <v>2578.5610199999992</v>
      </c>
      <c r="I124" s="8">
        <v>2441.357847250003</v>
      </c>
      <c r="J124" s="8">
        <v>2420.4825872500023</v>
      </c>
      <c r="K124" s="8">
        <v>2191.823465999998</v>
      </c>
      <c r="L124" s="8">
        <v>2655.2200254999989</v>
      </c>
      <c r="M124" s="8">
        <v>3325.8207797500017</v>
      </c>
      <c r="N124" s="8">
        <v>3922.0605479999977</v>
      </c>
      <c r="O124" s="8">
        <v>4387.601597750001</v>
      </c>
      <c r="P124" s="8">
        <v>4752.2056679999951</v>
      </c>
      <c r="Q124" s="8">
        <v>4662.7130445000039</v>
      </c>
      <c r="R124" s="8">
        <v>4782.5460234999973</v>
      </c>
      <c r="S124" s="8">
        <v>5135.8600404999997</v>
      </c>
      <c r="T124" s="8">
        <v>5175.4954037499992</v>
      </c>
      <c r="U124" s="8">
        <v>4926.6455559999977</v>
      </c>
      <c r="V124" s="8">
        <v>4729.2853807500032</v>
      </c>
      <c r="W124" s="8">
        <v>5137.3109462499997</v>
      </c>
      <c r="X124" s="8">
        <v>5061.2003067499973</v>
      </c>
      <c r="Y124" s="8">
        <v>4769.1584797499963</v>
      </c>
      <c r="Z124" s="8">
        <v>4363.7674832500052</v>
      </c>
      <c r="AA124" s="8">
        <v>3794.9718484999994</v>
      </c>
      <c r="AB124" s="8">
        <v>3319.9148779999996</v>
      </c>
      <c r="AC124" s="8">
        <v>93094.994877499979</v>
      </c>
      <c r="AD124" s="8"/>
    </row>
    <row r="125" spans="1:30" x14ac:dyDescent="0.25">
      <c r="A125" s="52"/>
      <c r="B125" s="10" t="s">
        <v>32</v>
      </c>
      <c r="C125" s="11">
        <v>5</v>
      </c>
      <c r="D125" s="119"/>
      <c r="E125" s="8">
        <v>3330.8175949999986</v>
      </c>
      <c r="F125" s="8">
        <v>3122.4667179999979</v>
      </c>
      <c r="G125" s="8">
        <v>2944.536944999998</v>
      </c>
      <c r="H125" s="8">
        <v>2865.4398569999994</v>
      </c>
      <c r="I125" s="8">
        <v>2839.3932700000005</v>
      </c>
      <c r="J125" s="8">
        <v>2861.1325610000004</v>
      </c>
      <c r="K125" s="8">
        <v>2823.2448509999995</v>
      </c>
      <c r="L125" s="8">
        <v>3407.0731659999983</v>
      </c>
      <c r="M125" s="8">
        <v>4145.9827150000001</v>
      </c>
      <c r="N125" s="8">
        <v>4692.5753000000004</v>
      </c>
      <c r="O125" s="8">
        <v>5142.9476560000003</v>
      </c>
      <c r="P125" s="8">
        <v>5497.7596659999981</v>
      </c>
      <c r="Q125" s="8">
        <v>5372.9980079999987</v>
      </c>
      <c r="R125" s="8">
        <v>5451.1037979999965</v>
      </c>
      <c r="S125" s="8">
        <v>5827.1830750000008</v>
      </c>
      <c r="T125" s="8">
        <v>5980.6939780000012</v>
      </c>
      <c r="U125" s="8">
        <v>5741.4538299999967</v>
      </c>
      <c r="V125" s="8">
        <v>5524.8325299999997</v>
      </c>
      <c r="W125" s="8">
        <v>5898.2358889999996</v>
      </c>
      <c r="X125" s="8">
        <v>5783.5932209999992</v>
      </c>
      <c r="Y125" s="8">
        <v>5403.711663</v>
      </c>
      <c r="Z125" s="8">
        <v>4943.5482809999994</v>
      </c>
      <c r="AA125" s="8">
        <v>4364.2918199999986</v>
      </c>
      <c r="AB125" s="8">
        <v>3775.1712529999986</v>
      </c>
      <c r="AC125" s="8">
        <v>107740.18764599998</v>
      </c>
      <c r="AD125" s="8"/>
    </row>
    <row r="126" spans="1:30" ht="15.75" thickBot="1" x14ac:dyDescent="0.3">
      <c r="A126" s="60"/>
      <c r="B126" s="13" t="s">
        <v>33</v>
      </c>
      <c r="C126" s="14">
        <v>6</v>
      </c>
      <c r="D126" s="120"/>
      <c r="E126" s="8">
        <v>3641.4484049999992</v>
      </c>
      <c r="F126" s="8">
        <v>3375.8288200000006</v>
      </c>
      <c r="G126" s="8">
        <v>3198.5319274999983</v>
      </c>
      <c r="H126" s="8">
        <v>3054.6637799999971</v>
      </c>
      <c r="I126" s="8">
        <v>3015.7115274999996</v>
      </c>
      <c r="J126" s="8">
        <v>3165.1793249999992</v>
      </c>
      <c r="K126" s="8">
        <v>3207.1134550000006</v>
      </c>
      <c r="L126" s="8">
        <v>3849.7810049999989</v>
      </c>
      <c r="M126" s="8">
        <v>4553.8077200000007</v>
      </c>
      <c r="N126" s="8">
        <v>5183.3779199999972</v>
      </c>
      <c r="O126" s="8">
        <v>5637.5532849999981</v>
      </c>
      <c r="P126" s="8">
        <v>6008.8548450000017</v>
      </c>
      <c r="Q126" s="8">
        <v>5897.3047700000006</v>
      </c>
      <c r="R126" s="8">
        <v>5902.634797499999</v>
      </c>
      <c r="S126" s="8">
        <v>6254.2142774999993</v>
      </c>
      <c r="T126" s="8">
        <v>6380.5716099999991</v>
      </c>
      <c r="U126" s="8">
        <v>6224.333499999997</v>
      </c>
      <c r="V126" s="8">
        <v>6031.5421075000013</v>
      </c>
      <c r="W126" s="8">
        <v>6503.4066475</v>
      </c>
      <c r="X126" s="8">
        <v>6365.1697900000017</v>
      </c>
      <c r="Y126" s="8">
        <v>5932.3752774999975</v>
      </c>
      <c r="Z126" s="8">
        <v>5369.6486375000004</v>
      </c>
      <c r="AA126" s="8">
        <v>4667.8402049999986</v>
      </c>
      <c r="AB126" s="8">
        <v>4119.5726950000007</v>
      </c>
      <c r="AC126" s="8">
        <v>117540.46632999998</v>
      </c>
      <c r="AD126" s="8">
        <v>3105843.6337599992</v>
      </c>
    </row>
    <row r="127" spans="1:30" ht="15.75" thickBot="1" x14ac:dyDescent="0.3">
      <c r="B127" s="57"/>
    </row>
    <row r="128" spans="1:30" x14ac:dyDescent="0.25">
      <c r="A128" s="58"/>
      <c r="B128" s="6" t="s">
        <v>31</v>
      </c>
      <c r="C128" s="7">
        <v>20</v>
      </c>
      <c r="D128" s="118">
        <v>46692</v>
      </c>
      <c r="E128" s="8">
        <v>3571.4743627499993</v>
      </c>
      <c r="F128" s="8">
        <v>3474.3654508500003</v>
      </c>
      <c r="G128" s="8">
        <v>3401.9895199500006</v>
      </c>
      <c r="H128" s="8">
        <v>3363.5944565999998</v>
      </c>
      <c r="I128" s="8">
        <v>3354.8080403250005</v>
      </c>
      <c r="J128" s="8">
        <v>3392.1154669500002</v>
      </c>
      <c r="K128" s="8">
        <v>3430.6380501750018</v>
      </c>
      <c r="L128" s="8">
        <v>3657.2714655750005</v>
      </c>
      <c r="M128" s="8">
        <v>3918.2474850750004</v>
      </c>
      <c r="N128" s="8">
        <v>4144.8645425249997</v>
      </c>
      <c r="O128" s="8">
        <v>4319.6515551000011</v>
      </c>
      <c r="P128" s="8">
        <v>4452.7214371499995</v>
      </c>
      <c r="Q128" s="8">
        <v>4437.5647491</v>
      </c>
      <c r="R128" s="8">
        <v>4451.0855413499994</v>
      </c>
      <c r="S128" s="8">
        <v>4544.061621750001</v>
      </c>
      <c r="T128" s="8">
        <v>4559.6345917500003</v>
      </c>
      <c r="U128" s="8">
        <v>4483.7330517000009</v>
      </c>
      <c r="V128" s="8">
        <v>4419.1533582000011</v>
      </c>
      <c r="W128" s="8">
        <v>4583.6619648750002</v>
      </c>
      <c r="X128" s="8">
        <v>4561.3016741250012</v>
      </c>
      <c r="Y128" s="8">
        <v>4417.550501175001</v>
      </c>
      <c r="Z128" s="8">
        <v>4221.3642880500011</v>
      </c>
      <c r="AA128" s="8">
        <v>3971.609182799999</v>
      </c>
      <c r="AB128" s="8">
        <v>3748.8690225000009</v>
      </c>
      <c r="AC128" s="8">
        <v>96881.331380400021</v>
      </c>
      <c r="AD128" s="8"/>
    </row>
    <row r="129" spans="1:30" x14ac:dyDescent="0.25">
      <c r="A129" s="52"/>
      <c r="B129" s="10" t="s">
        <v>32</v>
      </c>
      <c r="C129" s="11">
        <v>4</v>
      </c>
      <c r="D129" s="119"/>
      <c r="E129" s="8">
        <v>3606.147601875</v>
      </c>
      <c r="F129" s="8">
        <v>3506.8832032500004</v>
      </c>
      <c r="G129" s="8">
        <v>3433.5488958750011</v>
      </c>
      <c r="H129" s="8">
        <v>3369.3016927500003</v>
      </c>
      <c r="I129" s="8">
        <v>3339.4675938750006</v>
      </c>
      <c r="J129" s="8">
        <v>3364.1288887500004</v>
      </c>
      <c r="K129" s="8">
        <v>3410.7309022500003</v>
      </c>
      <c r="L129" s="8">
        <v>3664.5053917500009</v>
      </c>
      <c r="M129" s="8">
        <v>3930.6247706250015</v>
      </c>
      <c r="N129" s="8">
        <v>4152.4978792500006</v>
      </c>
      <c r="O129" s="8">
        <v>4308.9848235000009</v>
      </c>
      <c r="P129" s="8">
        <v>4447.4874333750013</v>
      </c>
      <c r="Q129" s="8">
        <v>4431.6908527500018</v>
      </c>
      <c r="R129" s="8">
        <v>4451.5252215</v>
      </c>
      <c r="S129" s="8">
        <v>4545.2179552500002</v>
      </c>
      <c r="T129" s="8">
        <v>4535.0882010000005</v>
      </c>
      <c r="U129" s="8">
        <v>4447.7872425000005</v>
      </c>
      <c r="V129" s="8">
        <v>4400.1013770000009</v>
      </c>
      <c r="W129" s="8">
        <v>4606.0870117499999</v>
      </c>
      <c r="X129" s="8">
        <v>4585.5169841250008</v>
      </c>
      <c r="Y129" s="8">
        <v>4443.4958242500015</v>
      </c>
      <c r="Z129" s="8">
        <v>4225.8830512500008</v>
      </c>
      <c r="AA129" s="8">
        <v>3961.8277886249998</v>
      </c>
      <c r="AB129" s="8">
        <v>3736.4945231250003</v>
      </c>
      <c r="AC129" s="8">
        <v>96905.025110250019</v>
      </c>
      <c r="AD129" s="8"/>
    </row>
    <row r="130" spans="1:30" ht="15.75" thickBot="1" x14ac:dyDescent="0.3">
      <c r="A130" s="60"/>
      <c r="B130" s="13" t="s">
        <v>33</v>
      </c>
      <c r="C130" s="14">
        <v>6</v>
      </c>
      <c r="D130" s="120"/>
      <c r="E130" s="8">
        <v>3569.891487750001</v>
      </c>
      <c r="F130" s="8">
        <v>3500.314445250001</v>
      </c>
      <c r="G130" s="8">
        <v>3440.8190512500014</v>
      </c>
      <c r="H130" s="8">
        <v>3390.4883880000007</v>
      </c>
      <c r="I130" s="8">
        <v>3354.9676177500005</v>
      </c>
      <c r="J130" s="8">
        <v>3380.1817875000006</v>
      </c>
      <c r="K130" s="8">
        <v>3422.435388750001</v>
      </c>
      <c r="L130" s="8">
        <v>3658.2144795000004</v>
      </c>
      <c r="M130" s="8">
        <v>3937.4542357500013</v>
      </c>
      <c r="N130" s="8">
        <v>4143.1201612500008</v>
      </c>
      <c r="O130" s="8">
        <v>4302.3198067500016</v>
      </c>
      <c r="P130" s="8">
        <v>4437.9840120000008</v>
      </c>
      <c r="Q130" s="8">
        <v>4423.0781857500006</v>
      </c>
      <c r="R130" s="8">
        <v>4443.0314197500011</v>
      </c>
      <c r="S130" s="8">
        <v>4534.3416300000008</v>
      </c>
      <c r="T130" s="8">
        <v>4538.2921027500015</v>
      </c>
      <c r="U130" s="8">
        <v>4444.3521045000016</v>
      </c>
      <c r="V130" s="8">
        <v>4383.3227444999993</v>
      </c>
      <c r="W130" s="8">
        <v>4557.3936712500017</v>
      </c>
      <c r="X130" s="8">
        <v>4577.5633260000013</v>
      </c>
      <c r="Y130" s="8">
        <v>4452.7024237500009</v>
      </c>
      <c r="Z130" s="8">
        <v>4251.4710630000009</v>
      </c>
      <c r="AA130" s="8">
        <v>3987.837966000001</v>
      </c>
      <c r="AB130" s="8">
        <v>3742.5880065000019</v>
      </c>
      <c r="AC130" s="8">
        <v>96874.165505250014</v>
      </c>
      <c r="AD130" s="8">
        <v>2906491.7210805006</v>
      </c>
    </row>
    <row r="131" spans="1:30" ht="15.75" thickBot="1" x14ac:dyDescent="0.3">
      <c r="B131" s="57"/>
    </row>
    <row r="132" spans="1:30" x14ac:dyDescent="0.25">
      <c r="A132" s="42"/>
      <c r="B132" s="6" t="s">
        <v>31</v>
      </c>
      <c r="C132" s="11">
        <v>22</v>
      </c>
      <c r="D132" s="122">
        <v>46722</v>
      </c>
      <c r="E132" s="8">
        <v>3611.9838839318181</v>
      </c>
      <c r="F132" s="8">
        <v>3518.6543752500002</v>
      </c>
      <c r="G132" s="8">
        <v>3448.3535200227279</v>
      </c>
      <c r="H132" s="8">
        <v>3393.1338252954556</v>
      </c>
      <c r="I132" s="8">
        <v>3365.7989400000006</v>
      </c>
      <c r="J132" s="8">
        <v>3395.8102399772724</v>
      </c>
      <c r="K132" s="8">
        <v>3432.2936860227292</v>
      </c>
      <c r="L132" s="8">
        <v>3662.9574058636354</v>
      </c>
      <c r="M132" s="8">
        <v>3922.1970637500017</v>
      </c>
      <c r="N132" s="8">
        <v>4136.4954110454546</v>
      </c>
      <c r="O132" s="8">
        <v>4301.1539936590907</v>
      </c>
      <c r="P132" s="8">
        <v>4443.0145729772739</v>
      </c>
      <c r="Q132" s="8">
        <v>4438.3010747727276</v>
      </c>
      <c r="R132" s="8">
        <v>4466.1582400909101</v>
      </c>
      <c r="S132" s="8">
        <v>4569.889014409091</v>
      </c>
      <c r="T132" s="8">
        <v>4586.8954004999996</v>
      </c>
      <c r="U132" s="8">
        <v>4508.3429398636381</v>
      </c>
      <c r="V132" s="8">
        <v>4444.1446555227267</v>
      </c>
      <c r="W132" s="8">
        <v>4617.4275587045449</v>
      </c>
      <c r="X132" s="8">
        <v>4608.4887936818177</v>
      </c>
      <c r="Y132" s="8">
        <v>4471.3983338181824</v>
      </c>
      <c r="Z132" s="8">
        <v>4266.3540293181832</v>
      </c>
      <c r="AA132" s="8">
        <v>4010.1289729772725</v>
      </c>
      <c r="AB132" s="8">
        <v>3783.5804861590914</v>
      </c>
      <c r="AC132" s="8">
        <v>97402.956417613634</v>
      </c>
      <c r="AD132" s="8"/>
    </row>
    <row r="133" spans="1:30" x14ac:dyDescent="0.25">
      <c r="A133" s="63"/>
      <c r="B133" s="10" t="s">
        <v>32</v>
      </c>
      <c r="C133" s="11">
        <v>4</v>
      </c>
      <c r="D133" s="119"/>
      <c r="E133" s="8">
        <v>3590.3870651249999</v>
      </c>
      <c r="F133" s="8">
        <v>3499.1686485000009</v>
      </c>
      <c r="G133" s="8">
        <v>3434.7063240000007</v>
      </c>
      <c r="H133" s="8">
        <v>3419.0842140000013</v>
      </c>
      <c r="I133" s="8">
        <v>3402.7411950000005</v>
      </c>
      <c r="J133" s="8">
        <v>3428.3573730000007</v>
      </c>
      <c r="K133" s="8">
        <v>3435.6836193750005</v>
      </c>
      <c r="L133" s="8">
        <v>3642.8662462499997</v>
      </c>
      <c r="M133" s="8">
        <v>3894.738222375001</v>
      </c>
      <c r="N133" s="8">
        <v>4129.9577235000015</v>
      </c>
      <c r="O133" s="8">
        <v>4327.4434770000007</v>
      </c>
      <c r="P133" s="8">
        <v>4461.7690372500001</v>
      </c>
      <c r="Q133" s="8">
        <v>4449.8358292500016</v>
      </c>
      <c r="R133" s="8">
        <v>4466.3561696250017</v>
      </c>
      <c r="S133" s="8">
        <v>4566.2838637500008</v>
      </c>
      <c r="T133" s="8">
        <v>4571.1070728750001</v>
      </c>
      <c r="U133" s="8">
        <v>4492.5759584999996</v>
      </c>
      <c r="V133" s="8">
        <v>4433.8577928750001</v>
      </c>
      <c r="W133" s="8">
        <v>4599.0379338750008</v>
      </c>
      <c r="X133" s="8">
        <v>4588.7715562500016</v>
      </c>
      <c r="Y133" s="8">
        <v>4451.7697717499996</v>
      </c>
      <c r="Z133" s="8">
        <v>4283.1588712500015</v>
      </c>
      <c r="AA133" s="8">
        <v>4027.2754961250012</v>
      </c>
      <c r="AB133" s="8">
        <v>3790.3412294999998</v>
      </c>
      <c r="AC133" s="8">
        <v>97387.274691000028</v>
      </c>
      <c r="AD133" s="8"/>
    </row>
    <row r="134" spans="1:30" ht="15.75" thickBot="1" x14ac:dyDescent="0.3">
      <c r="A134" s="42"/>
      <c r="B134" s="13" t="s">
        <v>33</v>
      </c>
      <c r="C134" s="11">
        <v>5</v>
      </c>
      <c r="D134" s="123"/>
      <c r="E134" s="8">
        <v>3631.4924561999997</v>
      </c>
      <c r="F134" s="8">
        <v>3516.4522260000012</v>
      </c>
      <c r="G134" s="8">
        <v>3438.2085885000006</v>
      </c>
      <c r="H134" s="8">
        <v>3399.1770204000004</v>
      </c>
      <c r="I134" s="8">
        <v>3401.2663587000006</v>
      </c>
      <c r="J134" s="8">
        <v>3417.4267659000006</v>
      </c>
      <c r="K134" s="8">
        <v>3444.2921835000006</v>
      </c>
      <c r="L134" s="8">
        <v>3646.9263096000013</v>
      </c>
      <c r="M134" s="8">
        <v>3894.0619788000004</v>
      </c>
      <c r="N134" s="8">
        <v>4110.0209577000005</v>
      </c>
      <c r="O134" s="8">
        <v>4276.9634040000001</v>
      </c>
      <c r="P134" s="8">
        <v>4436.1886275000015</v>
      </c>
      <c r="Q134" s="8">
        <v>4429.6065386999999</v>
      </c>
      <c r="R134" s="8">
        <v>4451.1725664000005</v>
      </c>
      <c r="S134" s="8">
        <v>4535.156921400001</v>
      </c>
      <c r="T134" s="8">
        <v>4552.6300407000017</v>
      </c>
      <c r="U134" s="8">
        <v>4473.8161209000009</v>
      </c>
      <c r="V134" s="8">
        <v>4433.3679537000007</v>
      </c>
      <c r="W134" s="8">
        <v>4630.0350221999997</v>
      </c>
      <c r="X134" s="8">
        <v>4610.1950874000013</v>
      </c>
      <c r="Y134" s="8">
        <v>4472.2324143000005</v>
      </c>
      <c r="Z134" s="8">
        <v>4279.3702749000004</v>
      </c>
      <c r="AA134" s="8">
        <v>4042.5126210000017</v>
      </c>
      <c r="AB134" s="8">
        <v>3802.8856320000014</v>
      </c>
      <c r="AC134" s="8">
        <v>97325.458070400011</v>
      </c>
      <c r="AD134" s="8">
        <v>3019041.4303035</v>
      </c>
    </row>
    <row r="135" spans="1:30" ht="15.75" thickBot="1" x14ac:dyDescent="0.3">
      <c r="A135" s="121" t="s">
        <v>36</v>
      </c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</row>
    <row r="136" spans="1:30" x14ac:dyDescent="0.25">
      <c r="A136" s="42"/>
      <c r="B136" s="6" t="s">
        <v>31</v>
      </c>
      <c r="C136" s="11">
        <v>20</v>
      </c>
      <c r="D136" s="118">
        <v>46753</v>
      </c>
      <c r="E136" s="8">
        <v>6173.446739500002</v>
      </c>
      <c r="F136" s="8">
        <v>5853.4811687500032</v>
      </c>
      <c r="G136" s="8">
        <v>5625.0191395000029</v>
      </c>
      <c r="H136" s="8">
        <v>5485.7013017500003</v>
      </c>
      <c r="I136" s="8">
        <v>5437.6316402500006</v>
      </c>
      <c r="J136" s="8">
        <v>5510.527459750002</v>
      </c>
      <c r="K136" s="8">
        <v>5589.2941757500039</v>
      </c>
      <c r="L136" s="8">
        <v>6302.2505597500012</v>
      </c>
      <c r="M136" s="8">
        <v>7145.4331412500042</v>
      </c>
      <c r="N136" s="8">
        <v>7878.7549262500024</v>
      </c>
      <c r="O136" s="8">
        <v>8449.6126472500036</v>
      </c>
      <c r="P136" s="8">
        <v>8914.3218520000009</v>
      </c>
      <c r="Q136" s="8">
        <v>8865.9993662500019</v>
      </c>
      <c r="R136" s="8">
        <v>8896.066657000003</v>
      </c>
      <c r="S136" s="8">
        <v>9176.4352682499994</v>
      </c>
      <c r="T136" s="8">
        <v>9223.402261750005</v>
      </c>
      <c r="U136" s="8">
        <v>8978.1539822500017</v>
      </c>
      <c r="V136" s="8">
        <v>8814.2106467500016</v>
      </c>
      <c r="W136" s="8">
        <v>9437.4557500000046</v>
      </c>
      <c r="X136" s="8">
        <v>9438.5784047499983</v>
      </c>
      <c r="Y136" s="8">
        <v>8991.2674060000063</v>
      </c>
      <c r="Z136" s="8">
        <v>8354.0536382500031</v>
      </c>
      <c r="AA136" s="8">
        <v>7530.2102035000034</v>
      </c>
      <c r="AB136" s="8">
        <v>6763.6217672500034</v>
      </c>
      <c r="AC136" s="8">
        <v>182834.93010375006</v>
      </c>
      <c r="AD136" s="8"/>
    </row>
    <row r="137" spans="1:30" x14ac:dyDescent="0.25">
      <c r="A137" s="64"/>
      <c r="B137" s="10" t="s">
        <v>32</v>
      </c>
      <c r="C137" s="11">
        <v>5</v>
      </c>
      <c r="D137" s="119"/>
      <c r="E137" s="8">
        <v>6236.3798439999991</v>
      </c>
      <c r="F137" s="8">
        <v>5912.0422990000006</v>
      </c>
      <c r="G137" s="8">
        <v>5669.1009640000011</v>
      </c>
      <c r="H137" s="8">
        <v>5442.1656189999994</v>
      </c>
      <c r="I137" s="8">
        <v>5346.7850260000014</v>
      </c>
      <c r="J137" s="8">
        <v>5461.4123500000005</v>
      </c>
      <c r="K137" s="8">
        <v>5640.5356090000005</v>
      </c>
      <c r="L137" s="8">
        <v>6343.2695500000009</v>
      </c>
      <c r="M137" s="8">
        <v>7179.5214699999997</v>
      </c>
      <c r="N137" s="8">
        <v>7829.0677240000005</v>
      </c>
      <c r="O137" s="8">
        <v>8348.4896829999998</v>
      </c>
      <c r="P137" s="8">
        <v>8803.7672259999999</v>
      </c>
      <c r="Q137" s="8">
        <v>8760.7265710000029</v>
      </c>
      <c r="R137" s="8">
        <v>8892.713377</v>
      </c>
      <c r="S137" s="8">
        <v>9226.9154200000012</v>
      </c>
      <c r="T137" s="8">
        <v>9280.4667430000009</v>
      </c>
      <c r="U137" s="8">
        <v>8979.747163</v>
      </c>
      <c r="V137" s="8">
        <v>8806.5382599999994</v>
      </c>
      <c r="W137" s="8">
        <v>9400.1835429999992</v>
      </c>
      <c r="X137" s="8">
        <v>9431.3965569999982</v>
      </c>
      <c r="Y137" s="8">
        <v>9046.7408589999995</v>
      </c>
      <c r="Z137" s="8">
        <v>8355.4039329999978</v>
      </c>
      <c r="AA137" s="8">
        <v>7508.8317520000001</v>
      </c>
      <c r="AB137" s="8">
        <v>6766.9800610000002</v>
      </c>
      <c r="AC137" s="8">
        <v>182669.181603</v>
      </c>
      <c r="AD137" s="8"/>
    </row>
    <row r="138" spans="1:30" ht="15.75" thickBot="1" x14ac:dyDescent="0.3">
      <c r="A138" s="42"/>
      <c r="B138" s="13" t="s">
        <v>33</v>
      </c>
      <c r="C138" s="11">
        <v>6</v>
      </c>
      <c r="D138" s="120"/>
      <c r="E138" s="8">
        <v>6245.5313325000006</v>
      </c>
      <c r="F138" s="8">
        <v>5955.2059124999996</v>
      </c>
      <c r="G138" s="8">
        <v>5742.813767499998</v>
      </c>
      <c r="H138" s="8">
        <v>5580.8630275000014</v>
      </c>
      <c r="I138" s="8">
        <v>5469.86247</v>
      </c>
      <c r="J138" s="8">
        <v>5516.5222124999982</v>
      </c>
      <c r="K138" s="8">
        <v>5611.4446099999986</v>
      </c>
      <c r="L138" s="8">
        <v>6412.0283450000006</v>
      </c>
      <c r="M138" s="8">
        <v>7286.8869100000011</v>
      </c>
      <c r="N138" s="8">
        <v>7966.2527824999997</v>
      </c>
      <c r="O138" s="8">
        <v>8440.8293149999972</v>
      </c>
      <c r="P138" s="8">
        <v>8832.6470000000027</v>
      </c>
      <c r="Q138" s="8">
        <v>8754.3157225000014</v>
      </c>
      <c r="R138" s="8">
        <v>8825.4763049999983</v>
      </c>
      <c r="S138" s="8">
        <v>9197.1278474999999</v>
      </c>
      <c r="T138" s="8">
        <v>9215.703309999999</v>
      </c>
      <c r="U138" s="8">
        <v>8941.3343899999982</v>
      </c>
      <c r="V138" s="8">
        <v>8755.9459174999993</v>
      </c>
      <c r="W138" s="8">
        <v>9345.8183300000001</v>
      </c>
      <c r="X138" s="8">
        <v>9320.4622125000005</v>
      </c>
      <c r="Y138" s="8">
        <v>8905.1884725</v>
      </c>
      <c r="Z138" s="8">
        <v>8304.275275</v>
      </c>
      <c r="AA138" s="8">
        <v>7454.5241525000001</v>
      </c>
      <c r="AB138" s="8">
        <v>6716.8112324999984</v>
      </c>
      <c r="AC138" s="8">
        <v>182797.87085250003</v>
      </c>
      <c r="AD138" s="8">
        <v>5666831.7352050012</v>
      </c>
    </row>
    <row r="139" spans="1:30" ht="15.75" thickBot="1" x14ac:dyDescent="0.3">
      <c r="B139" s="57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spans="1:30" x14ac:dyDescent="0.25">
      <c r="A140" s="58"/>
      <c r="B140" s="6" t="s">
        <v>31</v>
      </c>
      <c r="C140" s="7">
        <v>21</v>
      </c>
      <c r="D140" s="118">
        <v>46784</v>
      </c>
      <c r="E140" s="8">
        <v>5840.3475350000017</v>
      </c>
      <c r="F140" s="8">
        <v>5548.201460000003</v>
      </c>
      <c r="G140" s="8">
        <v>5322.4233450000038</v>
      </c>
      <c r="H140" s="8">
        <v>5162.3277850000004</v>
      </c>
      <c r="I140" s="8">
        <v>5091.7278850000048</v>
      </c>
      <c r="J140" s="8">
        <v>5185.3105399999995</v>
      </c>
      <c r="K140" s="8">
        <v>5308.2619000000022</v>
      </c>
      <c r="L140" s="8">
        <v>6064.6877550000036</v>
      </c>
      <c r="M140" s="8">
        <v>6925.2330250000041</v>
      </c>
      <c r="N140" s="8">
        <v>7595.8585050000011</v>
      </c>
      <c r="O140" s="8">
        <v>8117.835570000002</v>
      </c>
      <c r="P140" s="8">
        <v>8568.9472300000016</v>
      </c>
      <c r="Q140" s="8">
        <v>8526.4304900000025</v>
      </c>
      <c r="R140" s="8">
        <v>8593.1638050000038</v>
      </c>
      <c r="S140" s="8">
        <v>8910.1575200000043</v>
      </c>
      <c r="T140" s="8">
        <v>8930.8189750000056</v>
      </c>
      <c r="U140" s="8">
        <v>8628.2726850000072</v>
      </c>
      <c r="V140" s="8">
        <v>8419.1413250000078</v>
      </c>
      <c r="W140" s="8">
        <v>8998.7425000000039</v>
      </c>
      <c r="X140" s="8">
        <v>8983.3519000000051</v>
      </c>
      <c r="Y140" s="8">
        <v>8556.1468150000001</v>
      </c>
      <c r="Z140" s="8">
        <v>7924.6078750000042</v>
      </c>
      <c r="AA140" s="8">
        <v>7095.7164650000004</v>
      </c>
      <c r="AB140" s="8">
        <v>6348.3253600000016</v>
      </c>
      <c r="AC140" s="8">
        <v>174646.03825000004</v>
      </c>
      <c r="AD140" s="8"/>
    </row>
    <row r="141" spans="1:30" x14ac:dyDescent="0.25">
      <c r="A141" s="62"/>
      <c r="B141" s="10" t="s">
        <v>32</v>
      </c>
      <c r="C141" s="11">
        <v>4</v>
      </c>
      <c r="D141" s="119"/>
      <c r="E141" s="8">
        <v>5835.3311125000009</v>
      </c>
      <c r="F141" s="8">
        <v>5529.5189275000002</v>
      </c>
      <c r="G141" s="8">
        <v>5326.0570675000026</v>
      </c>
      <c r="H141" s="8">
        <v>5156.1218912499999</v>
      </c>
      <c r="I141" s="8">
        <v>5103.8963875000018</v>
      </c>
      <c r="J141" s="8">
        <v>5198.3418137500003</v>
      </c>
      <c r="K141" s="8">
        <v>5274.2875262500011</v>
      </c>
      <c r="L141" s="8">
        <v>6013.064638750001</v>
      </c>
      <c r="M141" s="8">
        <v>6868.6504450000002</v>
      </c>
      <c r="N141" s="8">
        <v>7678.9154424999988</v>
      </c>
      <c r="O141" s="8">
        <v>8220.5622475000018</v>
      </c>
      <c r="P141" s="8">
        <v>8637.4748800000016</v>
      </c>
      <c r="Q141" s="8">
        <v>8529.3248537500003</v>
      </c>
      <c r="R141" s="8">
        <v>8524.0372375000006</v>
      </c>
      <c r="S141" s="8">
        <v>8806.9752512500017</v>
      </c>
      <c r="T141" s="8">
        <v>8894.8940087499977</v>
      </c>
      <c r="U141" s="8">
        <v>8731.4815899999994</v>
      </c>
      <c r="V141" s="8">
        <v>8511.6922037500008</v>
      </c>
      <c r="W141" s="8">
        <v>9079.489573750001</v>
      </c>
      <c r="X141" s="8">
        <v>8985.9323425000002</v>
      </c>
      <c r="Y141" s="8">
        <v>8493.0862300000008</v>
      </c>
      <c r="Z141" s="8">
        <v>7825.9543449999992</v>
      </c>
      <c r="AA141" s="8">
        <v>7029.0399137499999</v>
      </c>
      <c r="AB141" s="8">
        <v>6377.7748675000012</v>
      </c>
      <c r="AC141" s="8">
        <v>174631.9047975</v>
      </c>
      <c r="AD141" s="8"/>
    </row>
    <row r="142" spans="1:30" ht="15.75" thickBot="1" x14ac:dyDescent="0.3">
      <c r="A142" s="60"/>
      <c r="B142" s="13" t="s">
        <v>33</v>
      </c>
      <c r="C142" s="14">
        <v>4</v>
      </c>
      <c r="D142" s="120"/>
      <c r="E142" s="8">
        <v>5856.0682450000013</v>
      </c>
      <c r="F142" s="8">
        <v>5571.4155287500007</v>
      </c>
      <c r="G142" s="8">
        <v>5313.111460000001</v>
      </c>
      <c r="H142" s="8">
        <v>5171.6749112499992</v>
      </c>
      <c r="I142" s="8">
        <v>5104.0393975000015</v>
      </c>
      <c r="J142" s="8">
        <v>5210.5385350000006</v>
      </c>
      <c r="K142" s="8">
        <v>5323.8838562500014</v>
      </c>
      <c r="L142" s="8">
        <v>5997.7039000000013</v>
      </c>
      <c r="M142" s="8">
        <v>6835.1049137499986</v>
      </c>
      <c r="N142" s="8">
        <v>7589.2898050000013</v>
      </c>
      <c r="O142" s="8">
        <v>8243.5907687500003</v>
      </c>
      <c r="P142" s="8">
        <v>8657.5358125000021</v>
      </c>
      <c r="Q142" s="8">
        <v>8592.5113075000008</v>
      </c>
      <c r="R142" s="8">
        <v>8576.0869975000023</v>
      </c>
      <c r="S142" s="8">
        <v>8847.1210562500019</v>
      </c>
      <c r="T142" s="8">
        <v>8885.6042912500016</v>
      </c>
      <c r="U142" s="8">
        <v>8626.6165937500009</v>
      </c>
      <c r="V142" s="8">
        <v>8529.1027525000027</v>
      </c>
      <c r="W142" s="8">
        <v>9121.4395150000018</v>
      </c>
      <c r="X142" s="8">
        <v>9082.6943837500003</v>
      </c>
      <c r="Y142" s="8">
        <v>8541.5573274999988</v>
      </c>
      <c r="Z142" s="8">
        <v>7833.9639287500004</v>
      </c>
      <c r="AA142" s="8">
        <v>6974.5821624999999</v>
      </c>
      <c r="AB142" s="8">
        <v>6287.3679512500012</v>
      </c>
      <c r="AC142" s="8">
        <v>174772.60540125001</v>
      </c>
      <c r="AD142" s="8">
        <v>5065184.8440450011</v>
      </c>
    </row>
    <row r="143" spans="1:30" ht="15.75" thickBot="1" x14ac:dyDescent="0.3">
      <c r="B143" s="57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30" x14ac:dyDescent="0.25">
      <c r="A144" s="58"/>
      <c r="B144" s="6" t="s">
        <v>31</v>
      </c>
      <c r="C144" s="7">
        <v>22</v>
      </c>
      <c r="D144" s="118">
        <v>46813</v>
      </c>
      <c r="E144" s="8">
        <v>6213.0367279545499</v>
      </c>
      <c r="F144" s="8">
        <v>5900.7639311363691</v>
      </c>
      <c r="G144" s="8">
        <v>5678.1766409090942</v>
      </c>
      <c r="H144" s="8">
        <v>5558.0314218181866</v>
      </c>
      <c r="I144" s="8">
        <v>5545.4725531818221</v>
      </c>
      <c r="J144" s="8">
        <v>5679.8658379545504</v>
      </c>
      <c r="K144" s="8">
        <v>5815.5754409090932</v>
      </c>
      <c r="L144" s="8">
        <v>6572.7787504545486</v>
      </c>
      <c r="M144" s="8">
        <v>7431.5443170454564</v>
      </c>
      <c r="N144" s="8">
        <v>8162.8239188636344</v>
      </c>
      <c r="O144" s="8">
        <v>8724.765462727275</v>
      </c>
      <c r="P144" s="8">
        <v>9162.4470713636401</v>
      </c>
      <c r="Q144" s="8">
        <v>9098.1986690909089</v>
      </c>
      <c r="R144" s="8">
        <v>9134.4251629545488</v>
      </c>
      <c r="S144" s="8">
        <v>9441.0991306818232</v>
      </c>
      <c r="T144" s="8">
        <v>9468.0772388636396</v>
      </c>
      <c r="U144" s="8">
        <v>9198.9310825000011</v>
      </c>
      <c r="V144" s="8">
        <v>8992.4417813636428</v>
      </c>
      <c r="W144" s="8">
        <v>9563.1930065909128</v>
      </c>
      <c r="X144" s="8">
        <v>9489.1262738636433</v>
      </c>
      <c r="Y144" s="8">
        <v>8991.6661081818202</v>
      </c>
      <c r="Z144" s="8">
        <v>8322.820250909097</v>
      </c>
      <c r="AA144" s="8">
        <v>7485.4374856818249</v>
      </c>
      <c r="AB144" s="8">
        <v>6751.6036681818259</v>
      </c>
      <c r="AC144" s="8">
        <v>186382.30193318191</v>
      </c>
      <c r="AD144" s="8"/>
    </row>
    <row r="145" spans="1:30" x14ac:dyDescent="0.25">
      <c r="A145" s="62"/>
      <c r="B145" s="10" t="s">
        <v>32</v>
      </c>
      <c r="C145" s="11">
        <v>4</v>
      </c>
      <c r="D145" s="119"/>
      <c r="E145" s="8">
        <v>6203.4041687499994</v>
      </c>
      <c r="F145" s="8">
        <v>5999.1886187500004</v>
      </c>
      <c r="G145" s="8">
        <v>5801.9623150000007</v>
      </c>
      <c r="H145" s="8">
        <v>5673.8417087499984</v>
      </c>
      <c r="I145" s="8">
        <v>5580.9691562499993</v>
      </c>
      <c r="J145" s="8">
        <v>5684.2651899999983</v>
      </c>
      <c r="K145" s="8">
        <v>5788.7884374999994</v>
      </c>
      <c r="L145" s="8">
        <v>6544.1534762500014</v>
      </c>
      <c r="M145" s="8">
        <v>7404.1993149999998</v>
      </c>
      <c r="N145" s="8">
        <v>8052.1186149999994</v>
      </c>
      <c r="O145" s="8">
        <v>8585.1559712499984</v>
      </c>
      <c r="P145" s="8">
        <v>9074.7550900000006</v>
      </c>
      <c r="Q145" s="8">
        <v>9129.540598749998</v>
      </c>
      <c r="R145" s="8">
        <v>9144.7217087499994</v>
      </c>
      <c r="S145" s="8">
        <v>9435.8395375</v>
      </c>
      <c r="T145" s="8">
        <v>9401.0798387499981</v>
      </c>
      <c r="U145" s="8">
        <v>9091.4464412499983</v>
      </c>
      <c r="V145" s="8">
        <v>8898.4770212500007</v>
      </c>
      <c r="W145" s="8">
        <v>9495.84769375</v>
      </c>
      <c r="X145" s="8">
        <v>9564.3740799999996</v>
      </c>
      <c r="Y145" s="8">
        <v>9116.4982337500005</v>
      </c>
      <c r="Z145" s="8">
        <v>8452.5493187499997</v>
      </c>
      <c r="AA145" s="8">
        <v>7524.7156637499993</v>
      </c>
      <c r="AB145" s="8">
        <v>6718.144356249999</v>
      </c>
      <c r="AC145" s="8">
        <v>186366.036555</v>
      </c>
      <c r="AD145" s="8"/>
    </row>
    <row r="146" spans="1:30" ht="15.75" thickBot="1" x14ac:dyDescent="0.3">
      <c r="A146" s="60"/>
      <c r="B146" s="13" t="s">
        <v>33</v>
      </c>
      <c r="C146" s="14">
        <v>5</v>
      </c>
      <c r="D146" s="120"/>
      <c r="E146" s="8">
        <v>6228.2480770000002</v>
      </c>
      <c r="F146" s="8">
        <v>5960.9683299999997</v>
      </c>
      <c r="G146" s="8">
        <v>5827.9593910000003</v>
      </c>
      <c r="H146" s="8">
        <v>5708.429239000001</v>
      </c>
      <c r="I146" s="8">
        <v>5637.7820679999986</v>
      </c>
      <c r="J146" s="8">
        <v>5705.8717750000014</v>
      </c>
      <c r="K146" s="8">
        <v>5817.1473100000021</v>
      </c>
      <c r="L146" s="8">
        <v>6523.6849810000003</v>
      </c>
      <c r="M146" s="8">
        <v>7370.549986</v>
      </c>
      <c r="N146" s="8">
        <v>8078.7229059999991</v>
      </c>
      <c r="O146" s="8">
        <v>8591.3684170000015</v>
      </c>
      <c r="P146" s="8">
        <v>9031.0922050000008</v>
      </c>
      <c r="Q146" s="8">
        <v>8976.8501080000005</v>
      </c>
      <c r="R146" s="8">
        <v>9093.7182999999968</v>
      </c>
      <c r="S146" s="8">
        <v>9391.5588849999986</v>
      </c>
      <c r="T146" s="8">
        <v>9398.8010500000019</v>
      </c>
      <c r="U146" s="8">
        <v>9072.2853429999996</v>
      </c>
      <c r="V146" s="8">
        <v>8828.4346239999995</v>
      </c>
      <c r="W146" s="8">
        <v>9411.3612969999976</v>
      </c>
      <c r="X146" s="8">
        <v>9448.5014140000003</v>
      </c>
      <c r="Y146" s="8">
        <v>9119.0238669999981</v>
      </c>
      <c r="Z146" s="8">
        <v>8509.5637569999999</v>
      </c>
      <c r="AA146" s="8">
        <v>7676.5158069999998</v>
      </c>
      <c r="AB146" s="8">
        <v>6879.1273689999998</v>
      </c>
      <c r="AC146" s="8">
        <v>186287.56650599997</v>
      </c>
      <c r="AD146" s="8">
        <v>5777312.6212800024</v>
      </c>
    </row>
    <row r="147" spans="1:30" ht="15.75" thickBot="1" x14ac:dyDescent="0.3">
      <c r="B147" s="57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30" ht="15.75" customHeight="1" x14ac:dyDescent="0.25">
      <c r="A148" s="58"/>
      <c r="B148" s="6" t="s">
        <v>31</v>
      </c>
      <c r="C148" s="7">
        <v>18</v>
      </c>
      <c r="D148" s="118">
        <v>46844</v>
      </c>
      <c r="E148" s="8">
        <v>6094.0622549999998</v>
      </c>
      <c r="F148" s="8">
        <v>5814.6342133333337</v>
      </c>
      <c r="G148" s="8">
        <v>5580.8643483333335</v>
      </c>
      <c r="H148" s="8">
        <v>5417.5690016666695</v>
      </c>
      <c r="I148" s="8">
        <v>5329.7087058333354</v>
      </c>
      <c r="J148" s="8">
        <v>5421.8652400000037</v>
      </c>
      <c r="K148" s="8">
        <v>5544.2464675000019</v>
      </c>
      <c r="L148" s="8">
        <v>6321.3844783333325</v>
      </c>
      <c r="M148" s="8">
        <v>7223.1645708333317</v>
      </c>
      <c r="N148" s="8">
        <v>7989.4341541666718</v>
      </c>
      <c r="O148" s="8">
        <v>8576.5587166666664</v>
      </c>
      <c r="P148" s="8">
        <v>9030.2364166666703</v>
      </c>
      <c r="Q148" s="8">
        <v>8994.8700949999984</v>
      </c>
      <c r="R148" s="8">
        <v>9053.7763783333357</v>
      </c>
      <c r="S148" s="8">
        <v>9362.7193891666684</v>
      </c>
      <c r="T148" s="8">
        <v>9380.2128091666673</v>
      </c>
      <c r="U148" s="8">
        <v>9102.266900833336</v>
      </c>
      <c r="V148" s="8">
        <v>8914.7867700000024</v>
      </c>
      <c r="W148" s="8">
        <v>9498.6025433333343</v>
      </c>
      <c r="X148" s="8">
        <v>9458.8912808333334</v>
      </c>
      <c r="Y148" s="8">
        <v>8975.9445158333328</v>
      </c>
      <c r="Z148" s="8">
        <v>8272.9303566666676</v>
      </c>
      <c r="AA148" s="8">
        <v>7387.1801008333341</v>
      </c>
      <c r="AB148" s="8">
        <v>6611.4198591666691</v>
      </c>
      <c r="AC148" s="8">
        <v>183357.32956750004</v>
      </c>
      <c r="AD148" s="8"/>
    </row>
    <row r="149" spans="1:30" x14ac:dyDescent="0.25">
      <c r="A149" s="62"/>
      <c r="B149" s="10" t="s">
        <v>32</v>
      </c>
      <c r="C149" s="11">
        <v>5</v>
      </c>
      <c r="D149" s="119"/>
      <c r="E149" s="8">
        <v>6065.2881879999986</v>
      </c>
      <c r="F149" s="8">
        <v>5706.8332870000031</v>
      </c>
      <c r="G149" s="8">
        <v>5459.3693080000012</v>
      </c>
      <c r="H149" s="8">
        <v>5350.9296130000021</v>
      </c>
      <c r="I149" s="8">
        <v>5370.9588250000015</v>
      </c>
      <c r="J149" s="8">
        <v>5461.5923890000013</v>
      </c>
      <c r="K149" s="8">
        <v>5571.4784589999999</v>
      </c>
      <c r="L149" s="8">
        <v>6314.9506360000014</v>
      </c>
      <c r="M149" s="8">
        <v>7210.0465930000009</v>
      </c>
      <c r="N149" s="8">
        <v>7936.8110859999997</v>
      </c>
      <c r="O149" s="8">
        <v>8536.5419800000018</v>
      </c>
      <c r="P149" s="8">
        <v>9054.0471850000013</v>
      </c>
      <c r="Q149" s="8">
        <v>9002.3176330000006</v>
      </c>
      <c r="R149" s="8">
        <v>9060.3275290000001</v>
      </c>
      <c r="S149" s="8">
        <v>9354.5425900000009</v>
      </c>
      <c r="T149" s="8">
        <v>9432.1637559999981</v>
      </c>
      <c r="U149" s="8">
        <v>9141.6694120000011</v>
      </c>
      <c r="V149" s="8">
        <v>8928.4238619999996</v>
      </c>
      <c r="W149" s="8">
        <v>9497.727541000002</v>
      </c>
      <c r="X149" s="8">
        <v>9391.3923189999987</v>
      </c>
      <c r="Y149" s="8">
        <v>8902.6126359999998</v>
      </c>
      <c r="Z149" s="8">
        <v>8267.9037430000008</v>
      </c>
      <c r="AA149" s="8">
        <v>7494.7725309999987</v>
      </c>
      <c r="AB149" s="8">
        <v>6700.3264240000008</v>
      </c>
      <c r="AC149" s="8">
        <v>183213.02752500001</v>
      </c>
      <c r="AD149" s="8"/>
    </row>
    <row r="150" spans="1:30" ht="15.75" thickBot="1" x14ac:dyDescent="0.3">
      <c r="A150" s="60"/>
      <c r="B150" s="13" t="s">
        <v>33</v>
      </c>
      <c r="C150" s="14">
        <v>7</v>
      </c>
      <c r="D150" s="120"/>
      <c r="E150" s="8">
        <v>6198.0181600000014</v>
      </c>
      <c r="F150" s="8">
        <v>5840.8868199999997</v>
      </c>
      <c r="G150" s="8">
        <v>5620.6775050000015</v>
      </c>
      <c r="H150" s="8">
        <v>5476.1751100000001</v>
      </c>
      <c r="I150" s="8">
        <v>5397.8215900000014</v>
      </c>
      <c r="J150" s="8">
        <v>5513.1183850000016</v>
      </c>
      <c r="K150" s="8">
        <v>5615.7621400000007</v>
      </c>
      <c r="L150" s="8">
        <v>6341.5327600000001</v>
      </c>
      <c r="M150" s="8">
        <v>7159.8326800000013</v>
      </c>
      <c r="N150" s="8">
        <v>7874.7522849999987</v>
      </c>
      <c r="O150" s="8">
        <v>8422.4164600000004</v>
      </c>
      <c r="P150" s="8">
        <v>8920.7212600000003</v>
      </c>
      <c r="Q150" s="8">
        <v>8896.8257500000018</v>
      </c>
      <c r="R150" s="8">
        <v>8913.6871300000021</v>
      </c>
      <c r="S150" s="8">
        <v>9218.4067749999977</v>
      </c>
      <c r="T150" s="8">
        <v>9262.9580050000022</v>
      </c>
      <c r="U150" s="8">
        <v>9021.4323700000023</v>
      </c>
      <c r="V150" s="8">
        <v>8804.2088499999991</v>
      </c>
      <c r="W150" s="8">
        <v>9408.8707149999991</v>
      </c>
      <c r="X150" s="8">
        <v>9418.2956200000008</v>
      </c>
      <c r="Y150" s="8">
        <v>9007.6807149999986</v>
      </c>
      <c r="Z150" s="8">
        <v>8394.8414949999988</v>
      </c>
      <c r="AA150" s="8">
        <v>7571.1297700000014</v>
      </c>
      <c r="AB150" s="8">
        <v>6851.3249800000031</v>
      </c>
      <c r="AC150" s="8">
        <v>183151.37732999999</v>
      </c>
      <c r="AD150" s="8">
        <v>5498556.7111500008</v>
      </c>
    </row>
    <row r="151" spans="1:30" ht="15.75" thickBot="1" x14ac:dyDescent="0.3">
      <c r="B151" s="57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30" x14ac:dyDescent="0.25">
      <c r="A152" s="58"/>
      <c r="B152" s="6" t="s">
        <v>31</v>
      </c>
      <c r="C152" s="7">
        <v>21</v>
      </c>
      <c r="D152" s="118">
        <v>46874</v>
      </c>
      <c r="E152" s="8">
        <v>3625.428420000002</v>
      </c>
      <c r="F152" s="8">
        <v>3286.2928550000015</v>
      </c>
      <c r="G152" s="8">
        <v>3053.6748000000025</v>
      </c>
      <c r="H152" s="8">
        <v>2908.7802349999984</v>
      </c>
      <c r="I152" s="8">
        <v>2856.0321300000014</v>
      </c>
      <c r="J152" s="8">
        <v>2956.1070550000004</v>
      </c>
      <c r="K152" s="8">
        <v>3057.5735349999977</v>
      </c>
      <c r="L152" s="8">
        <v>3763.7335449999973</v>
      </c>
      <c r="M152" s="8">
        <v>4598.4267099999997</v>
      </c>
      <c r="N152" s="8">
        <v>5323.8776100000014</v>
      </c>
      <c r="O152" s="8">
        <v>5887.6412299999974</v>
      </c>
      <c r="P152" s="8">
        <v>6366.7292500000003</v>
      </c>
      <c r="Q152" s="8">
        <v>6339.1071849999971</v>
      </c>
      <c r="R152" s="8">
        <v>6402.3135599999987</v>
      </c>
      <c r="S152" s="8">
        <v>6714.2578250000024</v>
      </c>
      <c r="T152" s="8">
        <v>6762.4779050000016</v>
      </c>
      <c r="U152" s="8">
        <v>6506.8812999999973</v>
      </c>
      <c r="V152" s="8">
        <v>6333.4724499999993</v>
      </c>
      <c r="W152" s="8">
        <v>6933.5355950000012</v>
      </c>
      <c r="X152" s="8">
        <v>6902.7423950000011</v>
      </c>
      <c r="Y152" s="8">
        <v>6448.2586800000008</v>
      </c>
      <c r="Z152" s="8">
        <v>5791.6436150000027</v>
      </c>
      <c r="AA152" s="8">
        <v>4953.1346700000031</v>
      </c>
      <c r="AB152" s="8">
        <v>4200.8091850000019</v>
      </c>
      <c r="AC152" s="8">
        <v>121972.93174000004</v>
      </c>
      <c r="AD152" s="8"/>
    </row>
    <row r="153" spans="1:30" x14ac:dyDescent="0.25">
      <c r="A153" s="62"/>
      <c r="B153" s="10" t="s">
        <v>32</v>
      </c>
      <c r="C153" s="11">
        <v>4</v>
      </c>
      <c r="D153" s="119"/>
      <c r="E153" s="8">
        <v>3703.1856662499995</v>
      </c>
      <c r="F153" s="8">
        <v>3357.4867374999994</v>
      </c>
      <c r="G153" s="8">
        <v>3112.0503924999994</v>
      </c>
      <c r="H153" s="8">
        <v>2891.2781799999993</v>
      </c>
      <c r="I153" s="8">
        <v>2791.1896337499984</v>
      </c>
      <c r="J153" s="8">
        <v>2888.3928587499995</v>
      </c>
      <c r="K153" s="8">
        <v>3011.1088</v>
      </c>
      <c r="L153" s="8">
        <v>3852.6335049999998</v>
      </c>
      <c r="M153" s="8">
        <v>4717.016132499999</v>
      </c>
      <c r="N153" s="8">
        <v>5425.3685237500013</v>
      </c>
      <c r="O153" s="8">
        <v>5892.1262312500003</v>
      </c>
      <c r="P153" s="8">
        <v>6292.2484449999993</v>
      </c>
      <c r="Q153" s="8">
        <v>6227.9426124999991</v>
      </c>
      <c r="R153" s="8">
        <v>6348.6579362499997</v>
      </c>
      <c r="S153" s="8">
        <v>6763.5706599999994</v>
      </c>
      <c r="T153" s="8">
        <v>6794.2231525000007</v>
      </c>
      <c r="U153" s="8">
        <v>6529.9206699999995</v>
      </c>
      <c r="V153" s="8">
        <v>6335.2004274999999</v>
      </c>
      <c r="W153" s="8">
        <v>6943.9837074999978</v>
      </c>
      <c r="X153" s="8">
        <v>6894.6485912499993</v>
      </c>
      <c r="Y153" s="8">
        <v>6449.0239712499988</v>
      </c>
      <c r="Z153" s="8">
        <v>5794.1331962500008</v>
      </c>
      <c r="AA153" s="8">
        <v>4917.8244325000014</v>
      </c>
      <c r="AB153" s="8">
        <v>4159.4215337500009</v>
      </c>
      <c r="AC153" s="8">
        <v>122092.63599749999</v>
      </c>
      <c r="AD153" s="8"/>
    </row>
    <row r="154" spans="1:30" ht="15.75" thickBot="1" x14ac:dyDescent="0.3">
      <c r="A154" s="60"/>
      <c r="B154" s="13" t="s">
        <v>33</v>
      </c>
      <c r="C154" s="14">
        <v>6</v>
      </c>
      <c r="D154" s="120"/>
      <c r="E154" s="8">
        <v>3622.0469950000006</v>
      </c>
      <c r="F154" s="8">
        <v>3351.4554500000013</v>
      </c>
      <c r="G154" s="8">
        <v>3091.7736325000005</v>
      </c>
      <c r="H154" s="8">
        <v>2891.8773450000008</v>
      </c>
      <c r="I154" s="8">
        <v>2778.1254200000003</v>
      </c>
      <c r="J154" s="8">
        <v>2809.4683574999981</v>
      </c>
      <c r="K154" s="8">
        <v>2897.4048425000019</v>
      </c>
      <c r="L154" s="8">
        <v>3685.9218550000005</v>
      </c>
      <c r="M154" s="8">
        <v>4583.0089900000021</v>
      </c>
      <c r="N154" s="8">
        <v>5280.3767100000005</v>
      </c>
      <c r="O154" s="8">
        <v>5838.1750350000002</v>
      </c>
      <c r="P154" s="8">
        <v>6269.3906099999986</v>
      </c>
      <c r="Q154" s="8">
        <v>6226.5219975</v>
      </c>
      <c r="R154" s="8">
        <v>6339.1872949999997</v>
      </c>
      <c r="S154" s="8">
        <v>6708.43145</v>
      </c>
      <c r="T154" s="8">
        <v>6861.5871800000023</v>
      </c>
      <c r="U154" s="8">
        <v>6655.4337149999992</v>
      </c>
      <c r="V154" s="8">
        <v>6463.450034999998</v>
      </c>
      <c r="W154" s="8">
        <v>7028.3650324999981</v>
      </c>
      <c r="X154" s="8">
        <v>6999.4191575000004</v>
      </c>
      <c r="Y154" s="8">
        <v>6544.0300625000018</v>
      </c>
      <c r="Z154" s="8">
        <v>5861.3803849999986</v>
      </c>
      <c r="AA154" s="8">
        <v>5019.2070425000002</v>
      </c>
      <c r="AB154" s="8">
        <v>4230.0462575000001</v>
      </c>
      <c r="AC154" s="8">
        <v>122036.08485250002</v>
      </c>
      <c r="AD154" s="8">
        <v>3782018.6196450014</v>
      </c>
    </row>
    <row r="155" spans="1:30" ht="15.75" thickBot="1" x14ac:dyDescent="0.3">
      <c r="B155" s="57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30" x14ac:dyDescent="0.25">
      <c r="A156" s="58"/>
      <c r="B156" s="6" t="s">
        <v>31</v>
      </c>
      <c r="C156" s="7">
        <v>20</v>
      </c>
      <c r="D156" s="118">
        <v>46905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338.09910049999962</v>
      </c>
      <c r="N156" s="8">
        <v>1025.1039364999979</v>
      </c>
      <c r="O156" s="8">
        <v>1542.6341419999953</v>
      </c>
      <c r="P156" s="8">
        <v>1963.5471642499979</v>
      </c>
      <c r="Q156" s="8">
        <v>1890.4946427499999</v>
      </c>
      <c r="R156" s="8">
        <v>1952.6802995000016</v>
      </c>
      <c r="S156" s="8">
        <v>2276.261602999999</v>
      </c>
      <c r="T156" s="8">
        <v>2327.0440392500004</v>
      </c>
      <c r="U156" s="8">
        <v>2056.6894249999987</v>
      </c>
      <c r="V156" s="8">
        <v>1835.8808614999962</v>
      </c>
      <c r="W156" s="8">
        <v>2399.1206172499951</v>
      </c>
      <c r="X156" s="8">
        <v>2381.6328882499984</v>
      </c>
      <c r="Y156" s="8">
        <v>1972.1813247500031</v>
      </c>
      <c r="Z156" s="8">
        <v>1363.6896874999984</v>
      </c>
      <c r="AA156" s="8">
        <v>560.39061049999873</v>
      </c>
      <c r="AB156" s="8">
        <v>0</v>
      </c>
      <c r="AC156" s="8">
        <v>25885.450342499978</v>
      </c>
      <c r="AD156" s="8"/>
    </row>
    <row r="157" spans="1:30" x14ac:dyDescent="0.25">
      <c r="A157" s="62"/>
      <c r="B157" s="10" t="s">
        <v>32</v>
      </c>
      <c r="C157" s="11">
        <v>4</v>
      </c>
      <c r="D157" s="119"/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171.42807500000345</v>
      </c>
      <c r="N157" s="8">
        <v>941.03195375000359</v>
      </c>
      <c r="O157" s="8">
        <v>1601.660060000002</v>
      </c>
      <c r="P157" s="8">
        <v>2030.4227037500023</v>
      </c>
      <c r="Q157" s="8">
        <v>1966.3868262500037</v>
      </c>
      <c r="R157" s="8">
        <v>1956.5774112500021</v>
      </c>
      <c r="S157" s="8">
        <v>2228.2530200000019</v>
      </c>
      <c r="T157" s="8">
        <v>2251.737320000002</v>
      </c>
      <c r="U157" s="8">
        <v>2025.3737525000033</v>
      </c>
      <c r="V157" s="8">
        <v>1932.2501450000018</v>
      </c>
      <c r="W157" s="8">
        <v>2547.2689287500034</v>
      </c>
      <c r="X157" s="8">
        <v>2539.7484087500034</v>
      </c>
      <c r="Y157" s="8">
        <v>2053.4767662500017</v>
      </c>
      <c r="Z157" s="8">
        <v>1407.4365462500027</v>
      </c>
      <c r="AA157" s="8">
        <v>559.70534375000352</v>
      </c>
      <c r="AB157" s="8">
        <v>0</v>
      </c>
      <c r="AC157" s="8">
        <v>26212.757261250044</v>
      </c>
      <c r="AD157" s="8"/>
    </row>
    <row r="158" spans="1:30" ht="15.75" thickBot="1" x14ac:dyDescent="0.3">
      <c r="A158" s="60"/>
      <c r="B158" s="13" t="s">
        <v>33</v>
      </c>
      <c r="C158" s="14">
        <v>6</v>
      </c>
      <c r="D158" s="120"/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142.28541250000126</v>
      </c>
      <c r="N158" s="8">
        <v>866.50466000000415</v>
      </c>
      <c r="O158" s="8">
        <v>1433.3190200000026</v>
      </c>
      <c r="P158" s="8">
        <v>1984.7700950000017</v>
      </c>
      <c r="Q158" s="8">
        <v>1997.4252550000019</v>
      </c>
      <c r="R158" s="8">
        <v>2061.6084825000053</v>
      </c>
      <c r="S158" s="8">
        <v>2317.7587300000032</v>
      </c>
      <c r="T158" s="8">
        <v>2303.3097324999999</v>
      </c>
      <c r="U158" s="8">
        <v>2012.0631825000019</v>
      </c>
      <c r="V158" s="8">
        <v>1870.179167500004</v>
      </c>
      <c r="W158" s="8">
        <v>2566.5245375000013</v>
      </c>
      <c r="X158" s="8">
        <v>2616.3686675000008</v>
      </c>
      <c r="Y158" s="8">
        <v>2172.6474700000035</v>
      </c>
      <c r="Z158" s="8">
        <v>1502.1072500000028</v>
      </c>
      <c r="AA158" s="8">
        <v>649.36824750000233</v>
      </c>
      <c r="AB158" s="8">
        <v>0</v>
      </c>
      <c r="AC158" s="8">
        <v>26496.239910000033</v>
      </c>
      <c r="AD158" s="8">
        <v>781537.475355</v>
      </c>
    </row>
    <row r="159" spans="1:30" ht="15.75" thickBot="1" x14ac:dyDescent="0.3">
      <c r="B159" s="57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30" x14ac:dyDescent="0.25">
      <c r="A160" s="58"/>
      <c r="B160" s="6" t="s">
        <v>31</v>
      </c>
      <c r="C160" s="7">
        <v>19</v>
      </c>
      <c r="D160" s="118">
        <v>46935</v>
      </c>
      <c r="E160" s="8">
        <v>3728.9465057894722</v>
      </c>
      <c r="F160" s="8">
        <v>3444.1196207894754</v>
      </c>
      <c r="G160" s="8">
        <v>3222.7511823684217</v>
      </c>
      <c r="H160" s="8">
        <v>3094.7791165789458</v>
      </c>
      <c r="I160" s="8">
        <v>3059.0850352631569</v>
      </c>
      <c r="J160" s="8">
        <v>3158.3395015789465</v>
      </c>
      <c r="K160" s="8">
        <v>3266.2030947368421</v>
      </c>
      <c r="L160" s="8">
        <v>4001.092402631577</v>
      </c>
      <c r="M160" s="8">
        <v>4852.9215147368413</v>
      </c>
      <c r="N160" s="8">
        <v>5574.6790473684214</v>
      </c>
      <c r="O160" s="8">
        <v>6152.4813478947344</v>
      </c>
      <c r="P160" s="8">
        <v>6617.9446734210542</v>
      </c>
      <c r="Q160" s="8">
        <v>6565.9700326315797</v>
      </c>
      <c r="R160" s="8">
        <v>6575.9728299999988</v>
      </c>
      <c r="S160" s="8">
        <v>6855.8142486842116</v>
      </c>
      <c r="T160" s="8">
        <v>6891.2606294736888</v>
      </c>
      <c r="U160" s="8">
        <v>6625.7983528947352</v>
      </c>
      <c r="V160" s="8">
        <v>6436.2014389473698</v>
      </c>
      <c r="W160" s="8">
        <v>7013.609414736844</v>
      </c>
      <c r="X160" s="8">
        <v>6966.6467886842092</v>
      </c>
      <c r="Y160" s="8">
        <v>6474.8845221052634</v>
      </c>
      <c r="Z160" s="8">
        <v>5806.5356815789492</v>
      </c>
      <c r="AA160" s="8">
        <v>4974.7421499999964</v>
      </c>
      <c r="AB160" s="8">
        <v>4241.3960713157867</v>
      </c>
      <c r="AC160" s="8">
        <v>125602.17520421051</v>
      </c>
      <c r="AD160" s="8"/>
    </row>
    <row r="161" spans="1:30" x14ac:dyDescent="0.25">
      <c r="A161" s="62"/>
      <c r="B161" s="10" t="s">
        <v>32</v>
      </c>
      <c r="C161" s="11">
        <v>5</v>
      </c>
      <c r="D161" s="119"/>
      <c r="E161" s="8">
        <v>3730.9258209999971</v>
      </c>
      <c r="F161" s="8">
        <v>3485.006664999999</v>
      </c>
      <c r="G161" s="8">
        <v>3328.3184830000009</v>
      </c>
      <c r="H161" s="8">
        <v>3141.585223</v>
      </c>
      <c r="I161" s="8">
        <v>3075.108757</v>
      </c>
      <c r="J161" s="8">
        <v>3181.5711759999995</v>
      </c>
      <c r="K161" s="8">
        <v>3344.3001550000008</v>
      </c>
      <c r="L161" s="8">
        <v>4042.7235729999993</v>
      </c>
      <c r="M161" s="8">
        <v>4894.9695550000015</v>
      </c>
      <c r="N161" s="8">
        <v>5590.807305999997</v>
      </c>
      <c r="O161" s="8">
        <v>6098.3910820000001</v>
      </c>
      <c r="P161" s="8">
        <v>6526.2608319999999</v>
      </c>
      <c r="Q161" s="8">
        <v>6471.2277700000013</v>
      </c>
      <c r="R161" s="8">
        <v>6582.804087999999</v>
      </c>
      <c r="S161" s="8">
        <v>6880.1314120000006</v>
      </c>
      <c r="T161" s="8">
        <v>6899.3727249999993</v>
      </c>
      <c r="U161" s="8">
        <v>6546.7577559999972</v>
      </c>
      <c r="V161" s="8">
        <v>6299.3948500000006</v>
      </c>
      <c r="W161" s="8">
        <v>6864.1759059999986</v>
      </c>
      <c r="X161" s="8">
        <v>6876.336312999998</v>
      </c>
      <c r="Y161" s="8">
        <v>6502.9664139999986</v>
      </c>
      <c r="Z161" s="8">
        <v>5844.263782</v>
      </c>
      <c r="AA161" s="8">
        <v>5001.8953810000003</v>
      </c>
      <c r="AB161" s="8">
        <v>4248.1875310000014</v>
      </c>
      <c r="AC161" s="8">
        <v>125457.48255599996</v>
      </c>
      <c r="AD161" s="8"/>
    </row>
    <row r="162" spans="1:30" ht="15.75" thickBot="1" x14ac:dyDescent="0.3">
      <c r="A162" s="60"/>
      <c r="B162" s="13" t="s">
        <v>33</v>
      </c>
      <c r="C162" s="14">
        <v>7</v>
      </c>
      <c r="D162" s="120"/>
      <c r="E162" s="8">
        <v>3796.1915499999996</v>
      </c>
      <c r="F162" s="8">
        <v>3521.4187599999987</v>
      </c>
      <c r="G162" s="8">
        <v>3335.0321500000027</v>
      </c>
      <c r="H162" s="8">
        <v>3220.9479249999986</v>
      </c>
      <c r="I162" s="8">
        <v>3133.1336350000001</v>
      </c>
      <c r="J162" s="8">
        <v>3192.0316450000009</v>
      </c>
      <c r="K162" s="8">
        <v>3279.2101299999995</v>
      </c>
      <c r="L162" s="8">
        <v>4048.4779749999998</v>
      </c>
      <c r="M162" s="8">
        <v>4913.4292450000012</v>
      </c>
      <c r="N162" s="8">
        <v>5606.2382049999997</v>
      </c>
      <c r="O162" s="8">
        <v>6115.7991850000017</v>
      </c>
      <c r="P162" s="8">
        <v>6495.4968399999998</v>
      </c>
      <c r="Q162" s="8">
        <v>6412.7579949999999</v>
      </c>
      <c r="R162" s="8">
        <v>6466.0666000000001</v>
      </c>
      <c r="S162" s="8">
        <v>6816.2558349999999</v>
      </c>
      <c r="T162" s="8">
        <v>6822.0472299999965</v>
      </c>
      <c r="U162" s="8">
        <v>6543.0856899999999</v>
      </c>
      <c r="V162" s="8">
        <v>6344.2430349999995</v>
      </c>
      <c r="W162" s="8">
        <v>6931.1669200000015</v>
      </c>
      <c r="X162" s="8">
        <v>6913.9390000000021</v>
      </c>
      <c r="Y162" s="8">
        <v>6469.9574049999992</v>
      </c>
      <c r="Z162" s="8">
        <v>5858.3639049999983</v>
      </c>
      <c r="AA162" s="8">
        <v>5010.3601449999987</v>
      </c>
      <c r="AB162" s="8">
        <v>4270.4054799999994</v>
      </c>
      <c r="AC162" s="8">
        <v>125516.05648500001</v>
      </c>
      <c r="AD162" s="8">
        <v>3892341.1370549994</v>
      </c>
    </row>
    <row r="163" spans="1:30" ht="15.75" thickBot="1" x14ac:dyDescent="0.3">
      <c r="B163" s="57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30" x14ac:dyDescent="0.25">
      <c r="A164" s="58"/>
      <c r="B164" s="6" t="s">
        <v>31</v>
      </c>
      <c r="C164" s="7">
        <v>21</v>
      </c>
      <c r="D164" s="118">
        <v>46966</v>
      </c>
      <c r="E164" s="8">
        <v>6517.6541450000004</v>
      </c>
      <c r="F164" s="8">
        <v>6223.0113949999995</v>
      </c>
      <c r="G164" s="8">
        <v>6014.3320600000006</v>
      </c>
      <c r="H164" s="8">
        <v>5893.3416150000012</v>
      </c>
      <c r="I164" s="8">
        <v>5850.8138900000013</v>
      </c>
      <c r="J164" s="8">
        <v>5954.8287150000015</v>
      </c>
      <c r="K164" s="8">
        <v>6078.3467100000016</v>
      </c>
      <c r="L164" s="8">
        <v>6855.3462049999998</v>
      </c>
      <c r="M164" s="8">
        <v>7751.617575000002</v>
      </c>
      <c r="N164" s="8">
        <v>8491.2276150000016</v>
      </c>
      <c r="O164" s="8">
        <v>9049.2761800000007</v>
      </c>
      <c r="P164" s="8">
        <v>9488.5236249999998</v>
      </c>
      <c r="Q164" s="8">
        <v>9440.661180000001</v>
      </c>
      <c r="R164" s="8">
        <v>9498.698564999997</v>
      </c>
      <c r="S164" s="8">
        <v>9821.3702750000029</v>
      </c>
      <c r="T164" s="8">
        <v>9851.5177950000016</v>
      </c>
      <c r="U164" s="8">
        <v>9562.6379749999978</v>
      </c>
      <c r="V164" s="8">
        <v>9337.8103699999992</v>
      </c>
      <c r="W164" s="8">
        <v>9902.4912000000004</v>
      </c>
      <c r="X164" s="8">
        <v>9873.5381799999996</v>
      </c>
      <c r="Y164" s="8">
        <v>9425.8304999999982</v>
      </c>
      <c r="Z164" s="8">
        <v>8772.8535349999984</v>
      </c>
      <c r="AA164" s="8">
        <v>7916.7204549999988</v>
      </c>
      <c r="AB164" s="8">
        <v>7125.5250300000025</v>
      </c>
      <c r="AC164" s="8">
        <v>194697.97479000001</v>
      </c>
      <c r="AD164" s="8"/>
    </row>
    <row r="165" spans="1:30" x14ac:dyDescent="0.25">
      <c r="A165" s="65"/>
      <c r="B165" s="10" t="s">
        <v>32</v>
      </c>
      <c r="C165" s="11">
        <v>4</v>
      </c>
      <c r="D165" s="119"/>
      <c r="E165" s="8">
        <v>6626.4918675000008</v>
      </c>
      <c r="F165" s="8">
        <v>6255.8024137499997</v>
      </c>
      <c r="G165" s="8">
        <v>5990.9238749999986</v>
      </c>
      <c r="H165" s="8">
        <v>5828.3956612500006</v>
      </c>
      <c r="I165" s="8">
        <v>5811.5769187500009</v>
      </c>
      <c r="J165" s="8">
        <v>6008.6259824999997</v>
      </c>
      <c r="K165" s="8">
        <v>6148.9900087500009</v>
      </c>
      <c r="L165" s="8">
        <v>6914.467833749999</v>
      </c>
      <c r="M165" s="8">
        <v>7740.4546124999997</v>
      </c>
      <c r="N165" s="8">
        <v>8466.7157512499998</v>
      </c>
      <c r="O165" s="8">
        <v>9013.5759374999998</v>
      </c>
      <c r="P165" s="8">
        <v>9478.4544337499992</v>
      </c>
      <c r="Q165" s="8">
        <v>9434.621212500002</v>
      </c>
      <c r="R165" s="8">
        <v>9419.1907800000008</v>
      </c>
      <c r="S165" s="8">
        <v>9708.855041249999</v>
      </c>
      <c r="T165" s="8">
        <v>9781.3548112500011</v>
      </c>
      <c r="U165" s="8">
        <v>9611.6152237499991</v>
      </c>
      <c r="V165" s="8">
        <v>9377.00826375</v>
      </c>
      <c r="W165" s="8">
        <v>9943.8169800000014</v>
      </c>
      <c r="X165" s="8">
        <v>9843.6448799999998</v>
      </c>
      <c r="Y165" s="8">
        <v>9350.1572175000001</v>
      </c>
      <c r="Z165" s="8">
        <v>8698.0242412500011</v>
      </c>
      <c r="AA165" s="8">
        <v>7868.4856799999998</v>
      </c>
      <c r="AB165" s="8">
        <v>7212.8303999999989</v>
      </c>
      <c r="AC165" s="8">
        <v>194534.08002750005</v>
      </c>
      <c r="AD165" s="8"/>
    </row>
    <row r="166" spans="1:30" ht="15.75" thickBot="1" x14ac:dyDescent="0.3">
      <c r="A166" s="60"/>
      <c r="B166" s="13" t="s">
        <v>33</v>
      </c>
      <c r="C166" s="14">
        <v>6</v>
      </c>
      <c r="D166" s="120"/>
      <c r="E166" s="8">
        <v>6675.095335</v>
      </c>
      <c r="F166" s="8">
        <v>6370.2984474999994</v>
      </c>
      <c r="G166" s="8">
        <v>6089.7804124999984</v>
      </c>
      <c r="H166" s="8">
        <v>5880.2926724999998</v>
      </c>
      <c r="I166" s="8">
        <v>5780.5378599999985</v>
      </c>
      <c r="J166" s="8">
        <v>5908.1382175000017</v>
      </c>
      <c r="K166" s="8">
        <v>6091.9270325000016</v>
      </c>
      <c r="L166" s="8">
        <v>6860.331872499999</v>
      </c>
      <c r="M166" s="8">
        <v>7725.8692199999987</v>
      </c>
      <c r="N166" s="8">
        <v>8442.2103525000039</v>
      </c>
      <c r="O166" s="8">
        <v>9028.4830325000003</v>
      </c>
      <c r="P166" s="8">
        <v>9504.5634449999998</v>
      </c>
      <c r="Q166" s="8">
        <v>9468.0989750000008</v>
      </c>
      <c r="R166" s="8">
        <v>9520.7754974999989</v>
      </c>
      <c r="S166" s="8">
        <v>9785.1156574999986</v>
      </c>
      <c r="T166" s="8">
        <v>9782.9337575000009</v>
      </c>
      <c r="U166" s="8">
        <v>9496.8116099999988</v>
      </c>
      <c r="V166" s="8">
        <v>9362.7667024999992</v>
      </c>
      <c r="W166" s="8">
        <v>9966.0071550000011</v>
      </c>
      <c r="X166" s="8">
        <v>9888.2762500000008</v>
      </c>
      <c r="Y166" s="8">
        <v>9376.7073775000026</v>
      </c>
      <c r="Z166" s="8">
        <v>8663.736307500003</v>
      </c>
      <c r="AA166" s="8">
        <v>7805.4503824999993</v>
      </c>
      <c r="AB166" s="8">
        <v>7089.4979249999978</v>
      </c>
      <c r="AC166" s="8">
        <v>194563.70549749999</v>
      </c>
      <c r="AD166" s="8">
        <v>6034176.0236849999</v>
      </c>
    </row>
    <row r="167" spans="1:30" ht="15.75" thickBot="1" x14ac:dyDescent="0.3">
      <c r="B167" s="57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30" x14ac:dyDescent="0.25">
      <c r="A168" s="58"/>
      <c r="B168" s="6" t="s">
        <v>31</v>
      </c>
      <c r="C168" s="7">
        <v>21</v>
      </c>
      <c r="D168" s="118">
        <v>46997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445.236175</v>
      </c>
      <c r="N168" s="8">
        <v>1155.0510699999995</v>
      </c>
      <c r="O168" s="8">
        <v>1718.9315249999981</v>
      </c>
      <c r="P168" s="8">
        <v>2206.0595299999986</v>
      </c>
      <c r="Q168" s="8">
        <v>2197.0319600000003</v>
      </c>
      <c r="R168" s="8">
        <v>2288.5840499999977</v>
      </c>
      <c r="S168" s="8">
        <v>2620.3683899999996</v>
      </c>
      <c r="T168" s="8">
        <v>2649.7734650000002</v>
      </c>
      <c r="U168" s="8">
        <v>2376.6363599999986</v>
      </c>
      <c r="V168" s="8">
        <v>2184.0095949999977</v>
      </c>
      <c r="W168" s="8">
        <v>2776.2183599999989</v>
      </c>
      <c r="X168" s="8">
        <v>2724.0396000000001</v>
      </c>
      <c r="Y168" s="8">
        <v>2257.6833750000005</v>
      </c>
      <c r="Z168" s="8">
        <v>1608.2472900000048</v>
      </c>
      <c r="AA168" s="8">
        <v>768.83439499999622</v>
      </c>
      <c r="AB168" s="8">
        <v>19.469150000000809</v>
      </c>
      <c r="AC168" s="8">
        <v>29996.174289999992</v>
      </c>
      <c r="AD168" s="8"/>
    </row>
    <row r="169" spans="1:30" x14ac:dyDescent="0.25">
      <c r="A169" s="62"/>
      <c r="B169" s="10" t="s">
        <v>32</v>
      </c>
      <c r="C169" s="11">
        <v>5</v>
      </c>
      <c r="D169" s="119"/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465.94429700000001</v>
      </c>
      <c r="N169" s="8">
        <v>1179.5429870000025</v>
      </c>
      <c r="O169" s="8">
        <v>1731.7659799999983</v>
      </c>
      <c r="P169" s="8">
        <v>2184.7515830000011</v>
      </c>
      <c r="Q169" s="8">
        <v>2175.9684590000015</v>
      </c>
      <c r="R169" s="8">
        <v>2239.3832720000009</v>
      </c>
      <c r="S169" s="8">
        <v>2595.7410709999986</v>
      </c>
      <c r="T169" s="8">
        <v>2696.1469010000001</v>
      </c>
      <c r="U169" s="8">
        <v>2419.8922370000018</v>
      </c>
      <c r="V169" s="8">
        <v>2228.1140630000009</v>
      </c>
      <c r="W169" s="8">
        <v>2798.0200219999988</v>
      </c>
      <c r="X169" s="8">
        <v>2810.2288129999997</v>
      </c>
      <c r="Y169" s="8">
        <v>2335.8801830000011</v>
      </c>
      <c r="Z169" s="8">
        <v>1663.471082</v>
      </c>
      <c r="AA169" s="8">
        <v>805.86558500000137</v>
      </c>
      <c r="AB169" s="8">
        <v>0</v>
      </c>
      <c r="AC169" s="8">
        <v>30330.716535000007</v>
      </c>
      <c r="AD169" s="8"/>
    </row>
    <row r="170" spans="1:30" ht="15.75" thickBot="1" x14ac:dyDescent="0.3">
      <c r="A170" s="60"/>
      <c r="B170" s="13" t="s">
        <v>33</v>
      </c>
      <c r="C170" s="14">
        <v>4</v>
      </c>
      <c r="D170" s="120"/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428.20119125000201</v>
      </c>
      <c r="N170" s="8">
        <v>1248.2153337500022</v>
      </c>
      <c r="O170" s="8">
        <v>1830.9162987500022</v>
      </c>
      <c r="P170" s="8">
        <v>2305.9075550000016</v>
      </c>
      <c r="Q170" s="8">
        <v>2228.0153262500007</v>
      </c>
      <c r="R170" s="8">
        <v>2290.9267062500021</v>
      </c>
      <c r="S170" s="8">
        <v>2594.4137975000031</v>
      </c>
      <c r="T170" s="8">
        <v>2642.1929187500027</v>
      </c>
      <c r="U170" s="8">
        <v>2373.8345750000026</v>
      </c>
      <c r="V170" s="8">
        <v>2108.6160725000027</v>
      </c>
      <c r="W170" s="8">
        <v>2673.9712737500031</v>
      </c>
      <c r="X170" s="8">
        <v>2681.0586425000038</v>
      </c>
      <c r="Y170" s="8">
        <v>2327.464763750002</v>
      </c>
      <c r="Z170" s="8">
        <v>1633.694273750003</v>
      </c>
      <c r="AA170" s="8">
        <v>773.59378250000191</v>
      </c>
      <c r="AB170" s="8">
        <v>0</v>
      </c>
      <c r="AC170" s="8">
        <v>30141.022511250034</v>
      </c>
      <c r="AD170" s="8">
        <v>902137.33281000005</v>
      </c>
    </row>
    <row r="171" spans="1:30" ht="15.75" thickBot="1" x14ac:dyDescent="0.3">
      <c r="B171" s="57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30" x14ac:dyDescent="0.25">
      <c r="A172" s="58"/>
      <c r="B172" s="6" t="s">
        <v>31</v>
      </c>
      <c r="C172" s="7">
        <v>21</v>
      </c>
      <c r="D172" s="118">
        <v>47027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91.706740000001446</v>
      </c>
      <c r="M172" s="8">
        <v>956.2115550000035</v>
      </c>
      <c r="N172" s="8">
        <v>1681.7482250000048</v>
      </c>
      <c r="O172" s="8">
        <v>2232.7300750000068</v>
      </c>
      <c r="P172" s="8">
        <v>2658.6521850000026</v>
      </c>
      <c r="Q172" s="8">
        <v>2578.7742099999996</v>
      </c>
      <c r="R172" s="8">
        <v>2628.5271300000077</v>
      </c>
      <c r="S172" s="8">
        <v>2964.7707750000081</v>
      </c>
      <c r="T172" s="8">
        <v>3040.2078250000031</v>
      </c>
      <c r="U172" s="8">
        <v>2800.4612800000014</v>
      </c>
      <c r="V172" s="8">
        <v>2637.9464700000026</v>
      </c>
      <c r="W172" s="8">
        <v>3239.4605550000051</v>
      </c>
      <c r="X172" s="8">
        <v>3234.7999350000064</v>
      </c>
      <c r="Y172" s="8">
        <v>2808.0740950000054</v>
      </c>
      <c r="Z172" s="8">
        <v>2162.4006400000017</v>
      </c>
      <c r="AA172" s="8">
        <v>1320.9901350000018</v>
      </c>
      <c r="AB172" s="8">
        <v>562.714815000003</v>
      </c>
      <c r="AC172" s="8">
        <v>37600.176645000058</v>
      </c>
      <c r="AD172" s="8"/>
    </row>
    <row r="173" spans="1:30" x14ac:dyDescent="0.25">
      <c r="A173" s="62"/>
      <c r="B173" s="10" t="s">
        <v>32</v>
      </c>
      <c r="C173" s="11">
        <v>4</v>
      </c>
      <c r="D173" s="119"/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118.46430500000133</v>
      </c>
      <c r="M173" s="8">
        <v>937.2351162499981</v>
      </c>
      <c r="N173" s="8">
        <v>1657.4034462499985</v>
      </c>
      <c r="O173" s="8">
        <v>2222.4562999999998</v>
      </c>
      <c r="P173" s="8">
        <v>2773.4944887500005</v>
      </c>
      <c r="Q173" s="8">
        <v>2733.998003749999</v>
      </c>
      <c r="R173" s="8">
        <v>2779.0006887500003</v>
      </c>
      <c r="S173" s="8">
        <v>3002.3853275000001</v>
      </c>
      <c r="T173" s="8">
        <v>2985.4081399999995</v>
      </c>
      <c r="U173" s="8">
        <v>2696.5772112499999</v>
      </c>
      <c r="V173" s="8">
        <v>2567.5044649999982</v>
      </c>
      <c r="W173" s="8">
        <v>3258.1081287500001</v>
      </c>
      <c r="X173" s="8">
        <v>3223.3481675000003</v>
      </c>
      <c r="Y173" s="8">
        <v>2775.1914724999988</v>
      </c>
      <c r="Z173" s="8">
        <v>2121.3076737499996</v>
      </c>
      <c r="AA173" s="8">
        <v>1303.1817200000005</v>
      </c>
      <c r="AB173" s="8">
        <v>529.6649637499977</v>
      </c>
      <c r="AC173" s="8">
        <v>37684.729618749989</v>
      </c>
      <c r="AD173" s="8"/>
    </row>
    <row r="174" spans="1:30" ht="15.75" thickBot="1" x14ac:dyDescent="0.3">
      <c r="A174" s="60"/>
      <c r="B174" s="13" t="s">
        <v>33</v>
      </c>
      <c r="C174" s="14">
        <v>6</v>
      </c>
      <c r="D174" s="120"/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215.41808499999934</v>
      </c>
      <c r="M174" s="8">
        <v>1013.96083</v>
      </c>
      <c r="N174" s="8">
        <v>1673.8395424999999</v>
      </c>
      <c r="O174" s="8">
        <v>2185.5798799999993</v>
      </c>
      <c r="P174" s="8">
        <v>2661.7907199999991</v>
      </c>
      <c r="Q174" s="8">
        <v>2691.2873899999995</v>
      </c>
      <c r="R174" s="8">
        <v>2771.1844450000008</v>
      </c>
      <c r="S174" s="8">
        <v>3068.0455549999988</v>
      </c>
      <c r="T174" s="8">
        <v>3081.2705499999993</v>
      </c>
      <c r="U174" s="8">
        <v>2826.5403750000005</v>
      </c>
      <c r="V174" s="8">
        <v>2621.0621124999998</v>
      </c>
      <c r="W174" s="8">
        <v>3230.3933699999998</v>
      </c>
      <c r="X174" s="8">
        <v>3246.9087149999996</v>
      </c>
      <c r="Y174" s="8">
        <v>2777.1849674999994</v>
      </c>
      <c r="Z174" s="8">
        <v>2117.6903799999982</v>
      </c>
      <c r="AA174" s="8">
        <v>1258.0021099999994</v>
      </c>
      <c r="AB174" s="8">
        <v>529.48309499999959</v>
      </c>
      <c r="AC174" s="8">
        <v>37969.642122499994</v>
      </c>
      <c r="AD174" s="8">
        <v>1168160.4807550011</v>
      </c>
    </row>
    <row r="175" spans="1:30" ht="15.75" thickBot="1" x14ac:dyDescent="0.3">
      <c r="B175" s="57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30" x14ac:dyDescent="0.25">
      <c r="A176" s="58"/>
      <c r="B176" s="6" t="s">
        <v>31</v>
      </c>
      <c r="C176" s="7">
        <v>20</v>
      </c>
      <c r="D176" s="118">
        <v>47058</v>
      </c>
      <c r="E176" s="8">
        <v>3841.498906750001</v>
      </c>
      <c r="F176" s="8">
        <v>3538.8384962500004</v>
      </c>
      <c r="G176" s="8">
        <v>3291.9692897500026</v>
      </c>
      <c r="H176" s="8">
        <v>3124.767589000001</v>
      </c>
      <c r="I176" s="8">
        <v>3067.8635005000015</v>
      </c>
      <c r="J176" s="8">
        <v>3175.8383185000002</v>
      </c>
      <c r="K176" s="8">
        <v>3296.7154210000026</v>
      </c>
      <c r="L176" s="8">
        <v>4004.8508717500026</v>
      </c>
      <c r="M176" s="8">
        <v>4826.5558870000023</v>
      </c>
      <c r="N176" s="8">
        <v>5505.5204162499977</v>
      </c>
      <c r="O176" s="8">
        <v>6056.1863169999979</v>
      </c>
      <c r="P176" s="8">
        <v>6518.9248607500012</v>
      </c>
      <c r="Q176" s="8">
        <v>6480.8687710000013</v>
      </c>
      <c r="R176" s="8">
        <v>6527.700918250006</v>
      </c>
      <c r="S176" s="8">
        <v>6807.0752792500007</v>
      </c>
      <c r="T176" s="8">
        <v>6821.610833499999</v>
      </c>
      <c r="U176" s="8">
        <v>6538.5510827499947</v>
      </c>
      <c r="V176" s="8">
        <v>6367.8494012499996</v>
      </c>
      <c r="W176" s="8">
        <v>6973.4683224999972</v>
      </c>
      <c r="X176" s="8">
        <v>6969.3172945000024</v>
      </c>
      <c r="Y176" s="8">
        <v>6521.6770367500012</v>
      </c>
      <c r="Z176" s="8">
        <v>5862.5498897500001</v>
      </c>
      <c r="AA176" s="8">
        <v>5033.0124625000008</v>
      </c>
      <c r="AB176" s="8">
        <v>4325.5180682499995</v>
      </c>
      <c r="AC176" s="8">
        <v>125478.72923475</v>
      </c>
      <c r="AD176" s="8"/>
    </row>
    <row r="177" spans="1:30" x14ac:dyDescent="0.25">
      <c r="A177" s="62"/>
      <c r="B177" s="10" t="s">
        <v>32</v>
      </c>
      <c r="C177" s="11">
        <v>4</v>
      </c>
      <c r="D177" s="119"/>
      <c r="E177" s="8">
        <v>3803.8459750000038</v>
      </c>
      <c r="F177" s="8">
        <v>3477.3787150000026</v>
      </c>
      <c r="G177" s="8">
        <v>3259.7216162500008</v>
      </c>
      <c r="H177" s="8">
        <v>3109.4345387500034</v>
      </c>
      <c r="I177" s="8">
        <v>3013.2214375000021</v>
      </c>
      <c r="J177" s="8">
        <v>3103.132648750001</v>
      </c>
      <c r="K177" s="8">
        <v>3212.0179375000007</v>
      </c>
      <c r="L177" s="8">
        <v>4048.1837312500011</v>
      </c>
      <c r="M177" s="8">
        <v>4894.1941412500018</v>
      </c>
      <c r="N177" s="8">
        <v>5575.6925200000023</v>
      </c>
      <c r="O177" s="8">
        <v>6067.0579225000038</v>
      </c>
      <c r="P177" s="8">
        <v>6460.5342925000023</v>
      </c>
      <c r="Q177" s="8">
        <v>6387.3299462500017</v>
      </c>
      <c r="R177" s="8">
        <v>6493.5841712500023</v>
      </c>
      <c r="S177" s="8">
        <v>6910.8391562500037</v>
      </c>
      <c r="T177" s="8">
        <v>6922.5023987500026</v>
      </c>
      <c r="U177" s="8">
        <v>6633.9413987500011</v>
      </c>
      <c r="V177" s="8">
        <v>6374.3439400000025</v>
      </c>
      <c r="W177" s="8">
        <v>6921.7105150000025</v>
      </c>
      <c r="X177" s="8">
        <v>6879.7823612500033</v>
      </c>
      <c r="Y177" s="8">
        <v>6469.5645025000031</v>
      </c>
      <c r="Z177" s="8">
        <v>5917.2773650000017</v>
      </c>
      <c r="AA177" s="8">
        <v>5105.3869150000028</v>
      </c>
      <c r="AB177" s="8">
        <v>4373.6847287500023</v>
      </c>
      <c r="AC177" s="8">
        <v>125414.36287500005</v>
      </c>
      <c r="AD177" s="8"/>
    </row>
    <row r="178" spans="1:30" ht="15.75" thickBot="1" x14ac:dyDescent="0.3">
      <c r="A178" s="60"/>
      <c r="B178" s="13" t="s">
        <v>33</v>
      </c>
      <c r="C178" s="14">
        <v>6</v>
      </c>
      <c r="D178" s="120"/>
      <c r="E178" s="8">
        <v>3681.2076375000015</v>
      </c>
      <c r="F178" s="8">
        <v>3413.4395600000025</v>
      </c>
      <c r="G178" s="8">
        <v>3236.9103750000031</v>
      </c>
      <c r="H178" s="8">
        <v>3110.8202150000034</v>
      </c>
      <c r="I178" s="8">
        <v>3055.1308750000007</v>
      </c>
      <c r="J178" s="8">
        <v>3088.2094450000022</v>
      </c>
      <c r="K178" s="8">
        <v>3177.2183300000015</v>
      </c>
      <c r="L178" s="8">
        <v>3954.4527950000011</v>
      </c>
      <c r="M178" s="8">
        <v>4920.1873900000028</v>
      </c>
      <c r="N178" s="8">
        <v>5694.591212500005</v>
      </c>
      <c r="O178" s="8">
        <v>6241.9333400000014</v>
      </c>
      <c r="P178" s="8">
        <v>6631.4473075000024</v>
      </c>
      <c r="Q178" s="8">
        <v>6532.4120950000033</v>
      </c>
      <c r="R178" s="8">
        <v>6543.7756325000046</v>
      </c>
      <c r="S178" s="8">
        <v>6837.8661075000036</v>
      </c>
      <c r="T178" s="8">
        <v>6940.7119450000009</v>
      </c>
      <c r="U178" s="8">
        <v>6691.6114850000031</v>
      </c>
      <c r="V178" s="8">
        <v>6457.6429250000019</v>
      </c>
      <c r="W178" s="8">
        <v>6969.7673875000019</v>
      </c>
      <c r="X178" s="8">
        <v>6877.4045050000022</v>
      </c>
      <c r="Y178" s="8">
        <v>6393.6943900000024</v>
      </c>
      <c r="Z178" s="8">
        <v>5765.6722750000026</v>
      </c>
      <c r="AA178" s="8">
        <v>4983.219065000003</v>
      </c>
      <c r="AB178" s="8">
        <v>4211.457760000003</v>
      </c>
      <c r="AC178" s="8">
        <v>125410.78405500007</v>
      </c>
      <c r="AD178" s="8">
        <v>3763696.7405250012</v>
      </c>
    </row>
    <row r="179" spans="1:30" ht="15.75" thickBot="1" x14ac:dyDescent="0.3">
      <c r="B179" s="57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30" x14ac:dyDescent="0.25">
      <c r="A180" s="58"/>
      <c r="B180" s="6" t="s">
        <v>31</v>
      </c>
      <c r="C180" s="7">
        <v>19</v>
      </c>
      <c r="D180" s="118">
        <v>47088</v>
      </c>
      <c r="E180" s="8">
        <v>6389.5463405263145</v>
      </c>
      <c r="F180" s="8">
        <v>6090.7292831578943</v>
      </c>
      <c r="G180" s="8">
        <v>5902.5849392105265</v>
      </c>
      <c r="H180" s="8">
        <v>5791.9326455263163</v>
      </c>
      <c r="I180" s="8">
        <v>5771.2702205263195</v>
      </c>
      <c r="J180" s="8">
        <v>5897.1035081578939</v>
      </c>
      <c r="K180" s="8">
        <v>6002.5946373684201</v>
      </c>
      <c r="L180" s="8">
        <v>6737.8732907894737</v>
      </c>
      <c r="M180" s="8">
        <v>7578.2375081578939</v>
      </c>
      <c r="N180" s="8">
        <v>8281.0997049999987</v>
      </c>
      <c r="O180" s="8">
        <v>8817.3465921052575</v>
      </c>
      <c r="P180" s="8">
        <v>9261.4021915789472</v>
      </c>
      <c r="Q180" s="8">
        <v>9228.4373752631564</v>
      </c>
      <c r="R180" s="8">
        <v>9294.6137468421039</v>
      </c>
      <c r="S180" s="8">
        <v>9614.5855078947388</v>
      </c>
      <c r="T180" s="8">
        <v>9646.0478792105296</v>
      </c>
      <c r="U180" s="8">
        <v>9357.7209905263153</v>
      </c>
      <c r="V180" s="8">
        <v>9121.4558926315804</v>
      </c>
      <c r="W180" s="8">
        <v>9688.8258242105276</v>
      </c>
      <c r="X180" s="8">
        <v>9667.8015581578984</v>
      </c>
      <c r="Y180" s="8">
        <v>9229.5537960526271</v>
      </c>
      <c r="Z180" s="8">
        <v>8605.5884831578933</v>
      </c>
      <c r="AA180" s="8">
        <v>7770.2747934210547</v>
      </c>
      <c r="AB180" s="8">
        <v>7005.7486497368391</v>
      </c>
      <c r="AC180" s="8">
        <v>190752.37535921051</v>
      </c>
      <c r="AD180" s="8"/>
    </row>
    <row r="181" spans="1:30" x14ac:dyDescent="0.25">
      <c r="A181" s="62"/>
      <c r="B181" s="10" t="s">
        <v>32</v>
      </c>
      <c r="C181" s="11">
        <v>5</v>
      </c>
      <c r="D181" s="119"/>
      <c r="E181" s="8">
        <v>6436.6051509999998</v>
      </c>
      <c r="F181" s="8">
        <v>6147.6118659999975</v>
      </c>
      <c r="G181" s="8">
        <v>5891.0055789999988</v>
      </c>
      <c r="H181" s="8">
        <v>5763.2368119999992</v>
      </c>
      <c r="I181" s="8">
        <v>5710.0685709999998</v>
      </c>
      <c r="J181" s="8">
        <v>5865.4140129999978</v>
      </c>
      <c r="K181" s="8">
        <v>6046.3161820000005</v>
      </c>
      <c r="L181" s="8">
        <v>6753.1814109999978</v>
      </c>
      <c r="M181" s="8">
        <v>7605.5642499999994</v>
      </c>
      <c r="N181" s="8">
        <v>8334.9917530000002</v>
      </c>
      <c r="O181" s="8">
        <v>8940.0576550000005</v>
      </c>
      <c r="P181" s="8">
        <v>9347.9945199999984</v>
      </c>
      <c r="Q181" s="8">
        <v>9296.3614419999994</v>
      </c>
      <c r="R181" s="8">
        <v>9328.8494919999994</v>
      </c>
      <c r="S181" s="8">
        <v>9593.0601729999998</v>
      </c>
      <c r="T181" s="8">
        <v>9603.8305479999981</v>
      </c>
      <c r="U181" s="8">
        <v>9324.2723949999981</v>
      </c>
      <c r="V181" s="8">
        <v>9186.0606430000007</v>
      </c>
      <c r="W181" s="8">
        <v>9759.0788649999995</v>
      </c>
      <c r="X181" s="8">
        <v>9712.9077400000006</v>
      </c>
      <c r="Y181" s="8">
        <v>9176.4385270000002</v>
      </c>
      <c r="Z181" s="8">
        <v>8469.9120700000003</v>
      </c>
      <c r="AA181" s="8">
        <v>7607.7839290000011</v>
      </c>
      <c r="AB181" s="8">
        <v>6895.7626540000001</v>
      </c>
      <c r="AC181" s="8">
        <v>190796.36624099992</v>
      </c>
      <c r="AD181" s="8"/>
    </row>
    <row r="182" spans="1:30" ht="15.75" thickBot="1" x14ac:dyDescent="0.3">
      <c r="A182" s="60"/>
      <c r="B182" s="13" t="s">
        <v>33</v>
      </c>
      <c r="C182" s="14">
        <v>7</v>
      </c>
      <c r="D182" s="120"/>
      <c r="E182" s="8">
        <v>6397.7103699999989</v>
      </c>
      <c r="F182" s="8">
        <v>6126.1714449999981</v>
      </c>
      <c r="G182" s="8">
        <v>5912.8720450000001</v>
      </c>
      <c r="H182" s="8">
        <v>5768.2876299999971</v>
      </c>
      <c r="I182" s="8">
        <v>5719.3456449999976</v>
      </c>
      <c r="J182" s="8">
        <v>5796.8778399999992</v>
      </c>
      <c r="K182" s="8">
        <v>5947.054944999998</v>
      </c>
      <c r="L182" s="8">
        <v>6762.4836099999993</v>
      </c>
      <c r="M182" s="8">
        <v>7667.9859550000019</v>
      </c>
      <c r="N182" s="8">
        <v>8413.5821500000002</v>
      </c>
      <c r="O182" s="8">
        <v>8962.7351499999986</v>
      </c>
      <c r="P182" s="8">
        <v>9435.488094999997</v>
      </c>
      <c r="Q182" s="8">
        <v>9352.4828649999999</v>
      </c>
      <c r="R182" s="8">
        <v>9355.6624149999989</v>
      </c>
      <c r="S182" s="8">
        <v>9641.3745250000011</v>
      </c>
      <c r="T182" s="8">
        <v>9618.3821500000013</v>
      </c>
      <c r="U182" s="8">
        <v>9344.621334999998</v>
      </c>
      <c r="V182" s="8">
        <v>9151.2212949999976</v>
      </c>
      <c r="W182" s="8">
        <v>9753.4388049999998</v>
      </c>
      <c r="X182" s="8">
        <v>9676.3895949999987</v>
      </c>
      <c r="Y182" s="8">
        <v>9194.3950599999989</v>
      </c>
      <c r="Z182" s="8">
        <v>8475.8619549999985</v>
      </c>
      <c r="AA182" s="8">
        <v>7601.9484399999983</v>
      </c>
      <c r="AB182" s="8">
        <v>6848.8815699999996</v>
      </c>
      <c r="AC182" s="8">
        <v>190925.25489000001</v>
      </c>
      <c r="AD182" s="8">
        <v>5914753.7472599996</v>
      </c>
    </row>
    <row r="183" spans="1:30" ht="15.75" thickBot="1" x14ac:dyDescent="0.3">
      <c r="A183" s="121" t="s">
        <v>37</v>
      </c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  <c r="AC183" s="121"/>
      <c r="AD183" s="121"/>
    </row>
    <row r="184" spans="1:30" x14ac:dyDescent="0.25">
      <c r="A184" s="58"/>
      <c r="B184" s="6" t="s">
        <v>31</v>
      </c>
      <c r="C184" s="7">
        <v>21</v>
      </c>
      <c r="D184" s="118">
        <v>47119</v>
      </c>
      <c r="E184" s="8">
        <v>6391.1339299999963</v>
      </c>
      <c r="F184" s="8">
        <v>6072.0645199999999</v>
      </c>
      <c r="G184" s="8">
        <v>5814.9015599999984</v>
      </c>
      <c r="H184" s="8">
        <v>5651.1540949999981</v>
      </c>
      <c r="I184" s="8">
        <v>5585.4361200000003</v>
      </c>
      <c r="J184" s="8">
        <v>5693.701124999996</v>
      </c>
      <c r="K184" s="8">
        <v>5832.9112049999967</v>
      </c>
      <c r="L184" s="8">
        <v>6602.3655399999971</v>
      </c>
      <c r="M184" s="8">
        <v>7471.6044249999959</v>
      </c>
      <c r="N184" s="8">
        <v>8195.2803499999955</v>
      </c>
      <c r="O184" s="8">
        <v>8764.5322149999974</v>
      </c>
      <c r="P184" s="8">
        <v>9255.6588349999984</v>
      </c>
      <c r="Q184" s="8">
        <v>9241.4365649999982</v>
      </c>
      <c r="R184" s="8">
        <v>9299.0258399999948</v>
      </c>
      <c r="S184" s="8">
        <v>9593.1648649999952</v>
      </c>
      <c r="T184" s="8">
        <v>9605.7409850000022</v>
      </c>
      <c r="U184" s="8">
        <v>9326.4714849999982</v>
      </c>
      <c r="V184" s="8">
        <v>9136.6648549999973</v>
      </c>
      <c r="W184" s="8">
        <v>9738.9308650000021</v>
      </c>
      <c r="X184" s="8">
        <v>9704.6923000000006</v>
      </c>
      <c r="Y184" s="8">
        <v>9228.1501199999966</v>
      </c>
      <c r="Z184" s="8">
        <v>8533.1371750000017</v>
      </c>
      <c r="AA184" s="8">
        <v>7673.7274149999939</v>
      </c>
      <c r="AB184" s="8">
        <v>6927.1183799999944</v>
      </c>
      <c r="AC184" s="8">
        <v>189339.00476999997</v>
      </c>
      <c r="AD184" s="8"/>
    </row>
    <row r="185" spans="1:30" x14ac:dyDescent="0.25">
      <c r="A185" s="65"/>
      <c r="B185" s="10" t="s">
        <v>32</v>
      </c>
      <c r="C185" s="11">
        <v>4</v>
      </c>
      <c r="D185" s="119"/>
      <c r="E185" s="8">
        <v>6294.7549612500006</v>
      </c>
      <c r="F185" s="8">
        <v>6040.1291737499996</v>
      </c>
      <c r="G185" s="8">
        <v>5920.8299849999985</v>
      </c>
      <c r="H185" s="8">
        <v>5746.4807137499993</v>
      </c>
      <c r="I185" s="8">
        <v>5667.464617499998</v>
      </c>
      <c r="J185" s="8">
        <v>5698.0397775000001</v>
      </c>
      <c r="K185" s="8">
        <v>5770.7515949999979</v>
      </c>
      <c r="L185" s="8">
        <v>6501.8218387500001</v>
      </c>
      <c r="M185" s="8">
        <v>7403.8624012500004</v>
      </c>
      <c r="N185" s="8">
        <v>8223.8765700000004</v>
      </c>
      <c r="O185" s="8">
        <v>8806.5775087499987</v>
      </c>
      <c r="P185" s="8">
        <v>9281.5688174999996</v>
      </c>
      <c r="Q185" s="8">
        <v>9203.6765362500009</v>
      </c>
      <c r="R185" s="8">
        <v>9266.5879162499987</v>
      </c>
      <c r="S185" s="8">
        <v>9570.0750074999996</v>
      </c>
      <c r="T185" s="8">
        <v>9617.8541550000009</v>
      </c>
      <c r="U185" s="8">
        <v>9349.495811249999</v>
      </c>
      <c r="V185" s="8">
        <v>9084.2773349999989</v>
      </c>
      <c r="W185" s="8">
        <v>9649.6324837499997</v>
      </c>
      <c r="X185" s="8">
        <v>9656.7198525000003</v>
      </c>
      <c r="Y185" s="8">
        <v>9303.12602625</v>
      </c>
      <c r="Z185" s="8">
        <v>8609.3554837499996</v>
      </c>
      <c r="AA185" s="8">
        <v>7749.2550187500001</v>
      </c>
      <c r="AB185" s="8">
        <v>6924.9012000000002</v>
      </c>
      <c r="AC185" s="8">
        <v>189341.11478624999</v>
      </c>
      <c r="AD185" s="8"/>
    </row>
    <row r="186" spans="1:30" ht="15.75" thickBot="1" x14ac:dyDescent="0.3">
      <c r="A186" s="60"/>
      <c r="B186" s="13" t="s">
        <v>33</v>
      </c>
      <c r="C186" s="14">
        <v>7</v>
      </c>
      <c r="D186" s="120"/>
      <c r="E186" s="8">
        <v>4465.9903499999982</v>
      </c>
      <c r="F186" s="8">
        <v>4186.5696899999984</v>
      </c>
      <c r="G186" s="8">
        <v>3986.7333899999994</v>
      </c>
      <c r="H186" s="8">
        <v>3907.5057450000004</v>
      </c>
      <c r="I186" s="8">
        <v>3846.5501399999994</v>
      </c>
      <c r="J186" s="8">
        <v>3926.5874550000008</v>
      </c>
      <c r="K186" s="8">
        <v>3977.1137550000003</v>
      </c>
      <c r="L186" s="8">
        <v>4612.5368849999977</v>
      </c>
      <c r="M186" s="8">
        <v>5383.9608749999989</v>
      </c>
      <c r="N186" s="8">
        <v>6050.8248900000017</v>
      </c>
      <c r="O186" s="8">
        <v>6588.4324049999996</v>
      </c>
      <c r="P186" s="8">
        <v>6960.7782150000003</v>
      </c>
      <c r="Q186" s="8">
        <v>6917.6046899999983</v>
      </c>
      <c r="R186" s="8">
        <v>6972.5809950000003</v>
      </c>
      <c r="S186" s="8">
        <v>7286.3874599999981</v>
      </c>
      <c r="T186" s="8">
        <v>7376.8501500000002</v>
      </c>
      <c r="U186" s="8">
        <v>7155.5539349999981</v>
      </c>
      <c r="V186" s="8">
        <v>6973.7985449999996</v>
      </c>
      <c r="W186" s="8">
        <v>7432.6971300000005</v>
      </c>
      <c r="X186" s="8">
        <v>7366.4865599999994</v>
      </c>
      <c r="Y186" s="8">
        <v>6955.3565549999985</v>
      </c>
      <c r="Z186" s="8">
        <v>6448.4911349999984</v>
      </c>
      <c r="AA186" s="8">
        <v>5735.4344999999976</v>
      </c>
      <c r="AB186" s="8">
        <v>5041.1378850000019</v>
      </c>
      <c r="AC186" s="8">
        <v>139555.96333499998</v>
      </c>
      <c r="AD186" s="8">
        <v>5710375.3026599996</v>
      </c>
    </row>
    <row r="187" spans="1:30" ht="15.75" thickBot="1" x14ac:dyDescent="0.3">
      <c r="B187" s="57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30" x14ac:dyDescent="0.25">
      <c r="A188" s="58"/>
      <c r="B188" s="6" t="s">
        <v>31</v>
      </c>
      <c r="C188" s="7">
        <v>20</v>
      </c>
      <c r="D188" s="118">
        <v>47150</v>
      </c>
      <c r="E188" s="8">
        <v>5763.0028834999976</v>
      </c>
      <c r="F188" s="8">
        <v>5463.0153897500004</v>
      </c>
      <c r="G188" s="8">
        <v>5247.4486519999991</v>
      </c>
      <c r="H188" s="8">
        <v>5098.1874717499977</v>
      </c>
      <c r="I188" s="8">
        <v>5035.8738934999983</v>
      </c>
      <c r="J188" s="8">
        <v>5098.280128999997</v>
      </c>
      <c r="K188" s="8">
        <v>5177.5448914999997</v>
      </c>
      <c r="L188" s="8">
        <v>5928.174577249998</v>
      </c>
      <c r="M188" s="8">
        <v>6799.7298387499977</v>
      </c>
      <c r="N188" s="8">
        <v>7541.0416669999995</v>
      </c>
      <c r="O188" s="8">
        <v>8104.6854837499977</v>
      </c>
      <c r="P188" s="8">
        <v>8551.8901962500004</v>
      </c>
      <c r="Q188" s="8">
        <v>8484.265807249998</v>
      </c>
      <c r="R188" s="8">
        <v>8543.3034799999987</v>
      </c>
      <c r="S188" s="8">
        <v>8877.7825917499995</v>
      </c>
      <c r="T188" s="8">
        <v>8944.1855314999957</v>
      </c>
      <c r="U188" s="8">
        <v>8702.1160272500001</v>
      </c>
      <c r="V188" s="8">
        <v>8512.4196567500003</v>
      </c>
      <c r="W188" s="8">
        <v>9091.0957722499988</v>
      </c>
      <c r="X188" s="8">
        <v>9044.6455624999999</v>
      </c>
      <c r="Y188" s="8">
        <v>8590.7218422499991</v>
      </c>
      <c r="Z188" s="8">
        <v>7960.2379392499988</v>
      </c>
      <c r="AA188" s="8">
        <v>7132.0831099999978</v>
      </c>
      <c r="AB188" s="8">
        <v>6348.4509424999978</v>
      </c>
      <c r="AC188" s="8">
        <v>174040.18333724997</v>
      </c>
      <c r="AD188" s="8"/>
    </row>
    <row r="189" spans="1:30" x14ac:dyDescent="0.25">
      <c r="A189" s="62"/>
      <c r="B189" s="10" t="s">
        <v>32</v>
      </c>
      <c r="C189" s="11">
        <v>4</v>
      </c>
      <c r="D189" s="119"/>
      <c r="E189" s="8">
        <v>5805.4793</v>
      </c>
      <c r="F189" s="8">
        <v>5428.17495125</v>
      </c>
      <c r="G189" s="8">
        <v>5162.6548625000005</v>
      </c>
      <c r="H189" s="8">
        <v>5015.1255574999986</v>
      </c>
      <c r="I189" s="8">
        <v>4965.6826849999989</v>
      </c>
      <c r="J189" s="8">
        <v>5158.341541249999</v>
      </c>
      <c r="K189" s="8">
        <v>5276.0235724999993</v>
      </c>
      <c r="L189" s="8">
        <v>6010.2767599999979</v>
      </c>
      <c r="M189" s="8">
        <v>6781.3981249999988</v>
      </c>
      <c r="N189" s="8">
        <v>7446.1060849999985</v>
      </c>
      <c r="O189" s="8">
        <v>7981.315707499999</v>
      </c>
      <c r="P189" s="8">
        <v>8500.794965000001</v>
      </c>
      <c r="Q189" s="8">
        <v>8559.5653812499986</v>
      </c>
      <c r="R189" s="8">
        <v>8608.5532625000014</v>
      </c>
      <c r="S189" s="8">
        <v>8924.9182624999994</v>
      </c>
      <c r="T189" s="8">
        <v>8961.6506487499973</v>
      </c>
      <c r="U189" s="8">
        <v>8714.0755324999991</v>
      </c>
      <c r="V189" s="8">
        <v>8498.7002412500005</v>
      </c>
      <c r="W189" s="8">
        <v>9093.2882300000019</v>
      </c>
      <c r="X189" s="8">
        <v>9063.6012387499977</v>
      </c>
      <c r="Y189" s="8">
        <v>8573.9890474999993</v>
      </c>
      <c r="Z189" s="8">
        <v>7914.5640312499991</v>
      </c>
      <c r="AA189" s="8">
        <v>7071.1948174999989</v>
      </c>
      <c r="AB189" s="8">
        <v>6410.1805999999988</v>
      </c>
      <c r="AC189" s="8">
        <v>173925.65540624995</v>
      </c>
      <c r="AD189" s="8"/>
    </row>
    <row r="190" spans="1:30" ht="15.75" thickBot="1" x14ac:dyDescent="0.3">
      <c r="A190" s="60"/>
      <c r="B190" s="13" t="s">
        <v>33</v>
      </c>
      <c r="C190" s="14">
        <v>4</v>
      </c>
      <c r="D190" s="120"/>
      <c r="E190" s="8">
        <v>5847.4198174999992</v>
      </c>
      <c r="F190" s="8">
        <v>5504.6884512499992</v>
      </c>
      <c r="G190" s="8">
        <v>5216.1266374999987</v>
      </c>
      <c r="H190" s="8">
        <v>5006.4910924999995</v>
      </c>
      <c r="I190" s="8">
        <v>4918.3065012500001</v>
      </c>
      <c r="J190" s="8">
        <v>5064.9453012499989</v>
      </c>
      <c r="K190" s="8">
        <v>5283.2364949999983</v>
      </c>
      <c r="L190" s="8">
        <v>6002.4856549999995</v>
      </c>
      <c r="M190" s="8">
        <v>6842.3288637499982</v>
      </c>
      <c r="N190" s="8">
        <v>7495.8691287499996</v>
      </c>
      <c r="O190" s="8">
        <v>8010.917884999998</v>
      </c>
      <c r="P190" s="8">
        <v>8451.5015600000006</v>
      </c>
      <c r="Q190" s="8">
        <v>8449.6630624999998</v>
      </c>
      <c r="R190" s="8">
        <v>8606.3275250000006</v>
      </c>
      <c r="S190" s="8">
        <v>8945.6553687499982</v>
      </c>
      <c r="T190" s="8">
        <v>9003.5473024999992</v>
      </c>
      <c r="U190" s="8">
        <v>8701.1298724999979</v>
      </c>
      <c r="V190" s="8">
        <v>8514.2532612499999</v>
      </c>
      <c r="W190" s="8">
        <v>9093.4312662499979</v>
      </c>
      <c r="X190" s="8">
        <v>9075.7979599999999</v>
      </c>
      <c r="Y190" s="8">
        <v>8623.5853774999996</v>
      </c>
      <c r="Z190" s="8">
        <v>7899.2032924999994</v>
      </c>
      <c r="AA190" s="8">
        <v>7037.649286249999</v>
      </c>
      <c r="AB190" s="8">
        <v>6320.5549624999994</v>
      </c>
      <c r="AC190" s="8">
        <v>173915.11592624994</v>
      </c>
      <c r="AD190" s="8">
        <v>4872166.7520749988</v>
      </c>
    </row>
    <row r="191" spans="1:30" ht="15.75" thickBot="1" x14ac:dyDescent="0.3">
      <c r="B191" s="57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30" x14ac:dyDescent="0.25">
      <c r="A192" s="58"/>
      <c r="B192" s="6" t="s">
        <v>31</v>
      </c>
      <c r="C192" s="7">
        <v>19</v>
      </c>
      <c r="D192" s="118">
        <v>47178</v>
      </c>
      <c r="E192" s="8">
        <v>6614.9429794736798</v>
      </c>
      <c r="F192" s="8">
        <v>6273.57128447368</v>
      </c>
      <c r="G192" s="8">
        <v>6026.3770902631541</v>
      </c>
      <c r="H192" s="8">
        <v>5876.1862065789437</v>
      </c>
      <c r="I192" s="8">
        <v>5819.2947749999994</v>
      </c>
      <c r="J192" s="8">
        <v>5929.0871131578906</v>
      </c>
      <c r="K192" s="8">
        <v>6046.8882986842082</v>
      </c>
      <c r="L192" s="8">
        <v>6766.8540063157861</v>
      </c>
      <c r="M192" s="8">
        <v>7591.8035439473651</v>
      </c>
      <c r="N192" s="8">
        <v>8279.4462836842104</v>
      </c>
      <c r="O192" s="8">
        <v>8807.9582628947319</v>
      </c>
      <c r="P192" s="8">
        <v>9268.6708965789403</v>
      </c>
      <c r="Q192" s="8">
        <v>9245.3716010526296</v>
      </c>
      <c r="R192" s="8">
        <v>9319.226230263157</v>
      </c>
      <c r="S192" s="8">
        <v>9635.0618699999977</v>
      </c>
      <c r="T192" s="8">
        <v>9650.8945823684153</v>
      </c>
      <c r="U192" s="8">
        <v>9369.787631842104</v>
      </c>
      <c r="V192" s="8">
        <v>9200.0299649999979</v>
      </c>
      <c r="W192" s="8">
        <v>9830.6460442105199</v>
      </c>
      <c r="X192" s="8">
        <v>9831.7073399999936</v>
      </c>
      <c r="Y192" s="8">
        <v>9385.1734973684179</v>
      </c>
      <c r="Z192" s="8">
        <v>8727.9357015789428</v>
      </c>
      <c r="AA192" s="8">
        <v>7876.5889981578921</v>
      </c>
      <c r="AB192" s="8">
        <v>7132.2031255263128</v>
      </c>
      <c r="AC192" s="8">
        <v>192505.70732842098</v>
      </c>
      <c r="AD192" s="8"/>
    </row>
    <row r="193" spans="1:30" x14ac:dyDescent="0.25">
      <c r="A193" s="62"/>
      <c r="B193" s="10" t="s">
        <v>32</v>
      </c>
      <c r="C193" s="11">
        <v>5</v>
      </c>
      <c r="D193" s="119"/>
      <c r="E193" s="8">
        <v>6629.2023209999979</v>
      </c>
      <c r="F193" s="8">
        <v>6364.2789210000001</v>
      </c>
      <c r="G193" s="8">
        <v>6117.8978280000001</v>
      </c>
      <c r="H193" s="8">
        <v>5950.0923929999981</v>
      </c>
      <c r="I193" s="8">
        <v>5872.5825899999991</v>
      </c>
      <c r="J193" s="8">
        <v>5890.3797960000002</v>
      </c>
      <c r="K193" s="8">
        <v>5967.1580009999989</v>
      </c>
      <c r="L193" s="8">
        <v>6730.6511999999993</v>
      </c>
      <c r="M193" s="8">
        <v>7656.4750290000002</v>
      </c>
      <c r="N193" s="8">
        <v>8333.3081579999998</v>
      </c>
      <c r="O193" s="8">
        <v>8865.1964519999965</v>
      </c>
      <c r="P193" s="8">
        <v>9250.1569439999985</v>
      </c>
      <c r="Q193" s="8">
        <v>9170.063468999997</v>
      </c>
      <c r="R193" s="8">
        <v>9226.5770520000005</v>
      </c>
      <c r="S193" s="8">
        <v>9539.678735999998</v>
      </c>
      <c r="T193" s="8">
        <v>9653.3301270000011</v>
      </c>
      <c r="U193" s="8">
        <v>9406.8647189999974</v>
      </c>
      <c r="V193" s="8">
        <v>9228.9634079999996</v>
      </c>
      <c r="W193" s="8">
        <v>9784.6021559999972</v>
      </c>
      <c r="X193" s="8">
        <v>9777.4335119999996</v>
      </c>
      <c r="Y193" s="8">
        <v>9330.8661599999978</v>
      </c>
      <c r="Z193" s="8">
        <v>8736.8754059999992</v>
      </c>
      <c r="AA193" s="8">
        <v>7965.5231250000006</v>
      </c>
      <c r="AB193" s="8">
        <v>7175.2083059999977</v>
      </c>
      <c r="AC193" s="8">
        <v>192623.36580900001</v>
      </c>
      <c r="AD193" s="8"/>
    </row>
    <row r="194" spans="1:30" ht="15.75" thickBot="1" x14ac:dyDescent="0.3">
      <c r="A194" s="60"/>
      <c r="B194" s="13" t="s">
        <v>33</v>
      </c>
      <c r="C194" s="14">
        <v>7</v>
      </c>
      <c r="D194" s="120"/>
      <c r="E194" s="8">
        <v>6561.7575750000015</v>
      </c>
      <c r="F194" s="8">
        <v>6282.8615100000006</v>
      </c>
      <c r="G194" s="8">
        <v>6121.4750999999997</v>
      </c>
      <c r="H194" s="8">
        <v>5950.0345049999978</v>
      </c>
      <c r="I194" s="8">
        <v>5859.2040750000015</v>
      </c>
      <c r="J194" s="8">
        <v>5878.6284599999999</v>
      </c>
      <c r="K194" s="8">
        <v>5938.3958100000018</v>
      </c>
      <c r="L194" s="8">
        <v>6664.0365899999979</v>
      </c>
      <c r="M194" s="8">
        <v>7519.8798449999977</v>
      </c>
      <c r="N194" s="8">
        <v>8311.4490149999983</v>
      </c>
      <c r="O194" s="8">
        <v>8905.8139200000005</v>
      </c>
      <c r="P194" s="8">
        <v>9369.1189650000015</v>
      </c>
      <c r="Q194" s="8">
        <v>9253.6209149999977</v>
      </c>
      <c r="R194" s="8">
        <v>9253.9691099999982</v>
      </c>
      <c r="S194" s="8">
        <v>9531.3841799999991</v>
      </c>
      <c r="T194" s="8">
        <v>9595.594320000002</v>
      </c>
      <c r="U194" s="8">
        <v>9383.9632500000007</v>
      </c>
      <c r="V194" s="8">
        <v>9220.771784999999</v>
      </c>
      <c r="W194" s="8">
        <v>9822.5523300000023</v>
      </c>
      <c r="X194" s="8">
        <v>9828.5608949999987</v>
      </c>
      <c r="Y194" s="8">
        <v>9450.8236049999996</v>
      </c>
      <c r="Z194" s="8">
        <v>8829.5425500000001</v>
      </c>
      <c r="AA194" s="8">
        <v>8004.4157699999996</v>
      </c>
      <c r="AB194" s="8">
        <v>7236.9302099999986</v>
      </c>
      <c r="AC194" s="8">
        <v>192774.78428999998</v>
      </c>
      <c r="AD194" s="8">
        <v>5970148.7583149988</v>
      </c>
    </row>
    <row r="195" spans="1:30" ht="15.75" thickBot="1" x14ac:dyDescent="0.3">
      <c r="B195" s="57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30" s="25" customFormat="1" x14ac:dyDescent="0.25">
      <c r="A196" s="58"/>
      <c r="B196" s="6" t="s">
        <v>31</v>
      </c>
      <c r="C196" s="7">
        <v>21</v>
      </c>
      <c r="D196" s="118">
        <v>47209</v>
      </c>
      <c r="E196" s="8">
        <v>6431.5981149999989</v>
      </c>
      <c r="F196" s="8">
        <v>6141.6362749999989</v>
      </c>
      <c r="G196" s="8">
        <v>5930.5219249999991</v>
      </c>
      <c r="H196" s="8">
        <v>5771.7964399999983</v>
      </c>
      <c r="I196" s="8">
        <v>5703.6091799999995</v>
      </c>
      <c r="J196" s="8">
        <v>5789.111644999999</v>
      </c>
      <c r="K196" s="8">
        <v>5901.9283899999991</v>
      </c>
      <c r="L196" s="8">
        <v>6645.1432349999977</v>
      </c>
      <c r="M196" s="8">
        <v>7514.2802449999981</v>
      </c>
      <c r="N196" s="8">
        <v>8236.9995149999977</v>
      </c>
      <c r="O196" s="8">
        <v>8781.0535849999997</v>
      </c>
      <c r="P196" s="8">
        <v>9188.9604100000015</v>
      </c>
      <c r="Q196" s="8">
        <v>9112.7169200000026</v>
      </c>
      <c r="R196" s="8">
        <v>9166.2085800000004</v>
      </c>
      <c r="S196" s="8">
        <v>9483.2687849999984</v>
      </c>
      <c r="T196" s="8">
        <v>9539.6603249999971</v>
      </c>
      <c r="U196" s="8">
        <v>9269.9933849999998</v>
      </c>
      <c r="V196" s="8">
        <v>9062.2048600000016</v>
      </c>
      <c r="W196" s="8">
        <v>9616.9767950000005</v>
      </c>
      <c r="X196" s="8">
        <v>9570.992094999996</v>
      </c>
      <c r="Y196" s="8">
        <v>9116.9733550000019</v>
      </c>
      <c r="Z196" s="8">
        <v>8481.0443750000013</v>
      </c>
      <c r="AA196" s="8">
        <v>7670.1010249999999</v>
      </c>
      <c r="AB196" s="8">
        <v>6951.7661899999985</v>
      </c>
      <c r="AC196" s="8">
        <v>189078.54564999999</v>
      </c>
      <c r="AD196" s="8"/>
    </row>
    <row r="197" spans="1:30" x14ac:dyDescent="0.25">
      <c r="A197" s="62"/>
      <c r="B197" s="10" t="s">
        <v>32</v>
      </c>
      <c r="C197" s="11">
        <v>5</v>
      </c>
      <c r="D197" s="119"/>
      <c r="E197" s="8">
        <v>6436.3895710000015</v>
      </c>
      <c r="F197" s="8">
        <v>6194.2508139999991</v>
      </c>
      <c r="G197" s="8">
        <v>5962.1094220000014</v>
      </c>
      <c r="H197" s="8">
        <v>5815.7713840000015</v>
      </c>
      <c r="I197" s="8">
        <v>5738.86384</v>
      </c>
      <c r="J197" s="8">
        <v>5875.2050380000001</v>
      </c>
      <c r="K197" s="8">
        <v>5966.4143170000025</v>
      </c>
      <c r="L197" s="8">
        <v>6692.2073290000008</v>
      </c>
      <c r="M197" s="8">
        <v>7533.5568100000019</v>
      </c>
      <c r="N197" s="8">
        <v>8174.3191210000023</v>
      </c>
      <c r="O197" s="8">
        <v>8693.4342490000017</v>
      </c>
      <c r="P197" s="8">
        <v>9166.440958000001</v>
      </c>
      <c r="Q197" s="8">
        <v>9188.3856639999995</v>
      </c>
      <c r="R197" s="8">
        <v>9201.8691130000007</v>
      </c>
      <c r="S197" s="8">
        <v>9490.384312000002</v>
      </c>
      <c r="T197" s="8">
        <v>9458.2454290000023</v>
      </c>
      <c r="U197" s="8">
        <v>9153.6268630000013</v>
      </c>
      <c r="V197" s="8">
        <v>8960.3523760000026</v>
      </c>
      <c r="W197" s="8">
        <v>9549.1450000000023</v>
      </c>
      <c r="X197" s="8">
        <v>9597.3839530000005</v>
      </c>
      <c r="Y197" s="8">
        <v>9167.0642590000007</v>
      </c>
      <c r="Z197" s="8">
        <v>8529.9993969999996</v>
      </c>
      <c r="AA197" s="8">
        <v>7658.728968999998</v>
      </c>
      <c r="AB197" s="8">
        <v>6927.378622000002</v>
      </c>
      <c r="AC197" s="8">
        <v>189131.52681000001</v>
      </c>
      <c r="AD197" s="8"/>
    </row>
    <row r="198" spans="1:30" ht="15.75" thickBot="1" x14ac:dyDescent="0.3">
      <c r="A198" s="60"/>
      <c r="B198" s="13" t="s">
        <v>33</v>
      </c>
      <c r="C198" s="14">
        <v>4</v>
      </c>
      <c r="D198" s="120"/>
      <c r="E198" s="8">
        <v>6441.9004224999999</v>
      </c>
      <c r="F198" s="8">
        <v>6130.0082650000013</v>
      </c>
      <c r="G198" s="8">
        <v>5909.8191175000002</v>
      </c>
      <c r="H198" s="8">
        <v>5760.53899</v>
      </c>
      <c r="I198" s="8">
        <v>5722.5087250000006</v>
      </c>
      <c r="J198" s="8">
        <v>5797.3061050000006</v>
      </c>
      <c r="K198" s="8">
        <v>5917.2393362499997</v>
      </c>
      <c r="L198" s="8">
        <v>6660.5506899999991</v>
      </c>
      <c r="M198" s="8">
        <v>7483.1969462499992</v>
      </c>
      <c r="N198" s="8">
        <v>8196.0732362500021</v>
      </c>
      <c r="O198" s="8">
        <v>8747.2954375000008</v>
      </c>
      <c r="P198" s="8">
        <v>9292.9746625000007</v>
      </c>
      <c r="Q198" s="8">
        <v>9235.1060125000004</v>
      </c>
      <c r="R198" s="8">
        <v>9253.2546849999999</v>
      </c>
      <c r="S198" s="8">
        <v>9501.2470187500003</v>
      </c>
      <c r="T198" s="8">
        <v>9477.6239875000028</v>
      </c>
      <c r="U198" s="8">
        <v>9179.8945449999992</v>
      </c>
      <c r="V198" s="8">
        <v>9036.3606737500013</v>
      </c>
      <c r="W198" s="8">
        <v>9729.3065987500013</v>
      </c>
      <c r="X198" s="8">
        <v>9675.5574137500007</v>
      </c>
      <c r="Y198" s="8">
        <v>9203.1422275000004</v>
      </c>
      <c r="Z198" s="8">
        <v>8484.3811600000008</v>
      </c>
      <c r="AA198" s="8">
        <v>7604.8385012499994</v>
      </c>
      <c r="AB198" s="8">
        <v>6838.7287075000013</v>
      </c>
      <c r="AC198" s="8">
        <v>189278.85346500002</v>
      </c>
      <c r="AD198" s="8">
        <v>5673422.5065599987</v>
      </c>
    </row>
    <row r="199" spans="1:30" ht="15.75" thickBot="1" x14ac:dyDescent="0.3">
      <c r="B199" s="57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30" x14ac:dyDescent="0.25">
      <c r="A200" s="58"/>
      <c r="B200" s="6" t="s">
        <v>31</v>
      </c>
      <c r="C200" s="39">
        <v>21</v>
      </c>
      <c r="D200" s="118">
        <v>47239</v>
      </c>
      <c r="E200" s="8">
        <v>980.50318500000321</v>
      </c>
      <c r="F200" s="8">
        <v>695.27154500000506</v>
      </c>
      <c r="G200" s="8">
        <v>474.60961000000134</v>
      </c>
      <c r="H200" s="8">
        <v>320.34655000000203</v>
      </c>
      <c r="I200" s="8">
        <v>268.862385000004</v>
      </c>
      <c r="J200" s="8">
        <v>407.32031000000279</v>
      </c>
      <c r="K200" s="8">
        <v>562.03985500000817</v>
      </c>
      <c r="L200" s="8">
        <v>1331.8491000000049</v>
      </c>
      <c r="M200" s="8">
        <v>2209.4500549999993</v>
      </c>
      <c r="N200" s="8">
        <v>2921.9905750000053</v>
      </c>
      <c r="O200" s="8">
        <v>3466.6285799999987</v>
      </c>
      <c r="P200" s="8">
        <v>3929.9574600000014</v>
      </c>
      <c r="Q200" s="8">
        <v>3894.2347250000003</v>
      </c>
      <c r="R200" s="8">
        <v>3934.211360000003</v>
      </c>
      <c r="S200" s="8">
        <v>4223.0769350000046</v>
      </c>
      <c r="T200" s="8">
        <v>4222.5128800000057</v>
      </c>
      <c r="U200" s="8">
        <v>3923.595280000005</v>
      </c>
      <c r="V200" s="8">
        <v>3721.1492600000001</v>
      </c>
      <c r="W200" s="8">
        <v>4307.3509400000039</v>
      </c>
      <c r="X200" s="8">
        <v>4275.5157150000014</v>
      </c>
      <c r="Y200" s="8">
        <v>3820.9742800000004</v>
      </c>
      <c r="Z200" s="8">
        <v>3133.9200400000027</v>
      </c>
      <c r="AA200" s="8">
        <v>2256.4793200000058</v>
      </c>
      <c r="AB200" s="8">
        <v>1499.0941800000055</v>
      </c>
      <c r="AC200" s="8">
        <v>60780.944125000075</v>
      </c>
      <c r="AD200" s="8"/>
    </row>
    <row r="201" spans="1:30" x14ac:dyDescent="0.25">
      <c r="A201" s="62"/>
      <c r="B201" s="10" t="s">
        <v>32</v>
      </c>
      <c r="C201" s="42">
        <v>4</v>
      </c>
      <c r="D201" s="119"/>
      <c r="E201" s="8">
        <v>941.07275624999784</v>
      </c>
      <c r="F201" s="8">
        <v>622.01248499999929</v>
      </c>
      <c r="G201" s="8">
        <v>439.76214749999963</v>
      </c>
      <c r="H201" s="8">
        <v>392.07870750000075</v>
      </c>
      <c r="I201" s="8">
        <v>360.28391999999985</v>
      </c>
      <c r="J201" s="8">
        <v>476.89584375000049</v>
      </c>
      <c r="K201" s="8">
        <v>556.18210499999986</v>
      </c>
      <c r="L201" s="8">
        <v>1308.3440399999999</v>
      </c>
      <c r="M201" s="8">
        <v>2159.5678312500004</v>
      </c>
      <c r="N201" s="8">
        <v>2889.0320737500006</v>
      </c>
      <c r="O201" s="8">
        <v>3444.7142812499987</v>
      </c>
      <c r="P201" s="8">
        <v>3828.0478349999994</v>
      </c>
      <c r="Q201" s="8">
        <v>3761.5697362499996</v>
      </c>
      <c r="R201" s="8">
        <v>3852.4049474999993</v>
      </c>
      <c r="S201" s="8">
        <v>4263.3328162499965</v>
      </c>
      <c r="T201" s="8">
        <v>4260.1784587500006</v>
      </c>
      <c r="U201" s="8">
        <v>3970.6288049999985</v>
      </c>
      <c r="V201" s="8">
        <v>3704.4165037500006</v>
      </c>
      <c r="W201" s="8">
        <v>4251.141476249999</v>
      </c>
      <c r="X201" s="8">
        <v>4224.2122574999994</v>
      </c>
      <c r="Y201" s="8">
        <v>3781.3702949999988</v>
      </c>
      <c r="Z201" s="8">
        <v>3224.692923749999</v>
      </c>
      <c r="AA201" s="8">
        <v>2390.120504999999</v>
      </c>
      <c r="AB201" s="8">
        <v>1627.1936549999991</v>
      </c>
      <c r="AC201" s="8">
        <v>60729.256406249988</v>
      </c>
      <c r="AD201" s="8"/>
    </row>
    <row r="202" spans="1:30" ht="15.75" thickBot="1" x14ac:dyDescent="0.3">
      <c r="A202" s="60"/>
      <c r="B202" s="13" t="s">
        <v>33</v>
      </c>
      <c r="C202" s="47">
        <v>6</v>
      </c>
      <c r="D202" s="120"/>
      <c r="E202" s="8">
        <v>983.85144499999842</v>
      </c>
      <c r="F202" s="8">
        <v>644.81354999999894</v>
      </c>
      <c r="G202" s="8">
        <v>424.08641750000061</v>
      </c>
      <c r="H202" s="8">
        <v>354.36291750000055</v>
      </c>
      <c r="I202" s="8">
        <v>375.9447925000004</v>
      </c>
      <c r="J202" s="8">
        <v>459.34856749999926</v>
      </c>
      <c r="K202" s="8">
        <v>560.1648425000003</v>
      </c>
      <c r="L202" s="8">
        <v>1287.3623799999987</v>
      </c>
      <c r="M202" s="8">
        <v>2124.8379874999973</v>
      </c>
      <c r="N202" s="8">
        <v>2835.0285175000008</v>
      </c>
      <c r="O202" s="8">
        <v>3422.631879999999</v>
      </c>
      <c r="P202" s="8">
        <v>3851.2260600000009</v>
      </c>
      <c r="Q202" s="8">
        <v>3767.3062274999993</v>
      </c>
      <c r="R202" s="8">
        <v>3813.2318099999993</v>
      </c>
      <c r="S202" s="8">
        <v>4118.0043724999996</v>
      </c>
      <c r="T202" s="8">
        <v>4240.5738824999971</v>
      </c>
      <c r="U202" s="8">
        <v>4012.7961750000013</v>
      </c>
      <c r="V202" s="8">
        <v>3795.1098249999995</v>
      </c>
      <c r="W202" s="8">
        <v>4345.8148400000027</v>
      </c>
      <c r="X202" s="8">
        <v>4272.2648425000007</v>
      </c>
      <c r="Y202" s="8">
        <v>3748.5427449999988</v>
      </c>
      <c r="Z202" s="8">
        <v>3113.4966199999999</v>
      </c>
      <c r="AA202" s="8">
        <v>2352.410647499999</v>
      </c>
      <c r="AB202" s="8">
        <v>1611.5905150000017</v>
      </c>
      <c r="AC202" s="8">
        <v>60514.801859999992</v>
      </c>
      <c r="AD202" s="8">
        <v>1882405.6634100014</v>
      </c>
    </row>
    <row r="203" spans="1:30" ht="15.75" thickBot="1" x14ac:dyDescent="0.3">
      <c r="B203" s="57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30" ht="15.75" thickBot="1" x14ac:dyDescent="0.3">
      <c r="A204" s="66"/>
      <c r="B204" s="67" t="s">
        <v>31</v>
      </c>
      <c r="C204" s="68">
        <v>19</v>
      </c>
      <c r="D204" s="118">
        <v>47270</v>
      </c>
      <c r="E204" s="8">
        <v>644.7150034210481</v>
      </c>
      <c r="F204" s="8">
        <v>335.03827684210046</v>
      </c>
      <c r="G204" s="8">
        <v>125.00307421051912</v>
      </c>
      <c r="H204" s="8">
        <v>3.9784605263121193</v>
      </c>
      <c r="I204" s="8">
        <v>-41.041173684216119</v>
      </c>
      <c r="J204" s="8">
        <v>49.031506842098679</v>
      </c>
      <c r="K204" s="8">
        <v>137.08197578946965</v>
      </c>
      <c r="L204" s="8">
        <v>874.40467526315479</v>
      </c>
      <c r="M204" s="8">
        <v>1748.3093686842039</v>
      </c>
      <c r="N204" s="8">
        <v>2502.0644521052564</v>
      </c>
      <c r="O204" s="8">
        <v>3094.673421578942</v>
      </c>
      <c r="P204" s="8">
        <v>3578.4672823684177</v>
      </c>
      <c r="Q204" s="8">
        <v>3539.2338721052638</v>
      </c>
      <c r="R204" s="8">
        <v>3581.2055442105229</v>
      </c>
      <c r="S204" s="8">
        <v>3887.2462921052556</v>
      </c>
      <c r="T204" s="8">
        <v>3931.1477978947314</v>
      </c>
      <c r="U204" s="8">
        <v>3670.3590768420981</v>
      </c>
      <c r="V204" s="8">
        <v>3446.8019465789421</v>
      </c>
      <c r="W204" s="8">
        <v>4006.555924210521</v>
      </c>
      <c r="X204" s="8">
        <v>3956.7147673684176</v>
      </c>
      <c r="Y204" s="8">
        <v>3502.117819999994</v>
      </c>
      <c r="Z204" s="8">
        <v>2857.3584286842106</v>
      </c>
      <c r="AA204" s="8">
        <v>2024.0499847368374</v>
      </c>
      <c r="AB204" s="8">
        <v>1256.3018552631493</v>
      </c>
      <c r="AC204" s="8">
        <v>52710.819633947242</v>
      </c>
      <c r="AD204" s="8"/>
    </row>
    <row r="205" spans="1:30" x14ac:dyDescent="0.25">
      <c r="A205" s="58"/>
      <c r="B205" s="6" t="s">
        <v>32</v>
      </c>
      <c r="C205" s="7">
        <v>5</v>
      </c>
      <c r="D205" s="119"/>
      <c r="E205" s="8">
        <v>725.1211430000003</v>
      </c>
      <c r="F205" s="8">
        <v>401.81784800000241</v>
      </c>
      <c r="G205" s="8">
        <v>93.316171999998915</v>
      </c>
      <c r="H205" s="8">
        <v>-108.60661900000014</v>
      </c>
      <c r="I205" s="8">
        <v>-190.63906599999973</v>
      </c>
      <c r="J205" s="8">
        <v>-54.346230999999534</v>
      </c>
      <c r="K205" s="8">
        <v>137.84175799999866</v>
      </c>
      <c r="L205" s="8">
        <v>877.34126000000106</v>
      </c>
      <c r="M205" s="8">
        <v>1733.9278580000009</v>
      </c>
      <c r="N205" s="8">
        <v>2451.4992440000005</v>
      </c>
      <c r="O205" s="8">
        <v>3042.2315329999983</v>
      </c>
      <c r="P205" s="8">
        <v>3504.4103059999998</v>
      </c>
      <c r="Q205" s="8">
        <v>3504.625766000001</v>
      </c>
      <c r="R205" s="8">
        <v>3623.3670320000001</v>
      </c>
      <c r="S205" s="8">
        <v>3927.7797979999996</v>
      </c>
      <c r="T205" s="8">
        <v>3967.4542790000014</v>
      </c>
      <c r="U205" s="8">
        <v>3681.001889000001</v>
      </c>
      <c r="V205" s="8">
        <v>3527.1704209999989</v>
      </c>
      <c r="W205" s="8">
        <v>4093.0344470000018</v>
      </c>
      <c r="X205" s="8">
        <v>4045.8290930000003</v>
      </c>
      <c r="Y205" s="8">
        <v>3574.9202000000023</v>
      </c>
      <c r="Z205" s="8">
        <v>2843.3811680000017</v>
      </c>
      <c r="AA205" s="8">
        <v>1967.9048810000004</v>
      </c>
      <c r="AB205" s="8">
        <v>1234.2180949999984</v>
      </c>
      <c r="AC205" s="8">
        <v>52604.602275000005</v>
      </c>
      <c r="AD205" s="8"/>
    </row>
    <row r="206" spans="1:30" ht="15.75" thickBot="1" x14ac:dyDescent="0.3">
      <c r="A206" s="60"/>
      <c r="B206" s="13" t="s">
        <v>33</v>
      </c>
      <c r="C206" s="14">
        <v>6</v>
      </c>
      <c r="D206" s="120"/>
      <c r="E206" s="8">
        <v>746.47902500000055</v>
      </c>
      <c r="F206" s="8">
        <v>438.6577699999998</v>
      </c>
      <c r="G206" s="8">
        <v>185.25108500000169</v>
      </c>
      <c r="H206" s="8">
        <v>-20.045912499999758</v>
      </c>
      <c r="I206" s="8">
        <v>-148.86469000000034</v>
      </c>
      <c r="J206" s="8">
        <v>-83.590109999999186</v>
      </c>
      <c r="K206" s="8">
        <v>42.607272499999453</v>
      </c>
      <c r="L206" s="8">
        <v>846.70029999999861</v>
      </c>
      <c r="M206" s="8">
        <v>1709.566097500001</v>
      </c>
      <c r="N206" s="8">
        <v>2446.7244775000017</v>
      </c>
      <c r="O206" s="8">
        <v>2984.5857000000015</v>
      </c>
      <c r="P206" s="8">
        <v>3476.4615775000002</v>
      </c>
      <c r="Q206" s="8">
        <v>3480.3442149999992</v>
      </c>
      <c r="R206" s="8">
        <v>3558.6019925000001</v>
      </c>
      <c r="S206" s="8">
        <v>3874.0352574999997</v>
      </c>
      <c r="T206" s="8">
        <v>3848.3938025000025</v>
      </c>
      <c r="U206" s="8">
        <v>3555.6990749999986</v>
      </c>
      <c r="V206" s="8">
        <v>3393.8949674999985</v>
      </c>
      <c r="W206" s="8">
        <v>4087.5837500000016</v>
      </c>
      <c r="X206" s="8">
        <v>4114.8900150000009</v>
      </c>
      <c r="Y206" s="8">
        <v>3654.3373700000011</v>
      </c>
      <c r="Z206" s="8">
        <v>2936.1357600000028</v>
      </c>
      <c r="AA206" s="8">
        <v>2042.0246050000005</v>
      </c>
      <c r="AB206" s="8">
        <v>1245.4586250000011</v>
      </c>
      <c r="AC206" s="8">
        <v>52415.932027499999</v>
      </c>
      <c r="AD206" s="8">
        <v>1579024.1765849977</v>
      </c>
    </row>
    <row r="207" spans="1:30" ht="15.75" thickBot="1" x14ac:dyDescent="0.3">
      <c r="B207" s="57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30" x14ac:dyDescent="0.25">
      <c r="A208" s="58"/>
      <c r="B208" s="6" t="s">
        <v>31</v>
      </c>
      <c r="C208" s="7">
        <v>20</v>
      </c>
      <c r="D208" s="118">
        <v>47300</v>
      </c>
      <c r="E208" s="8">
        <v>1274.899272000006</v>
      </c>
      <c r="F208" s="8">
        <v>953.4403702500058</v>
      </c>
      <c r="G208" s="8">
        <v>692.66357250000146</v>
      </c>
      <c r="H208" s="8">
        <v>510.32023125000342</v>
      </c>
      <c r="I208" s="8">
        <v>442.71646950000286</v>
      </c>
      <c r="J208" s="8">
        <v>539.02590300000156</v>
      </c>
      <c r="K208" s="8">
        <v>658.20082950000506</v>
      </c>
      <c r="L208" s="8">
        <v>1395.7487962500036</v>
      </c>
      <c r="M208" s="8">
        <v>2227.4022412500053</v>
      </c>
      <c r="N208" s="8">
        <v>2908.2705832500033</v>
      </c>
      <c r="O208" s="8">
        <v>3427.4568487500037</v>
      </c>
      <c r="P208" s="8">
        <v>3888.9739905000024</v>
      </c>
      <c r="Q208" s="8">
        <v>3869.2743735000022</v>
      </c>
      <c r="R208" s="8">
        <v>3955.4200275000039</v>
      </c>
      <c r="S208" s="8">
        <v>4281.114582000002</v>
      </c>
      <c r="T208" s="8">
        <v>4321.5752715000017</v>
      </c>
      <c r="U208" s="8">
        <v>4061.0576557500026</v>
      </c>
      <c r="V208" s="8">
        <v>3894.1949685000054</v>
      </c>
      <c r="W208" s="8">
        <v>4513.9823902500066</v>
      </c>
      <c r="X208" s="8">
        <v>4504.9659562500055</v>
      </c>
      <c r="Y208" s="8">
        <v>4055.7564682500051</v>
      </c>
      <c r="Z208" s="8">
        <v>3392.8762065000046</v>
      </c>
      <c r="AA208" s="8">
        <v>2544.8705497500014</v>
      </c>
      <c r="AB208" s="8">
        <v>1792.4643532500049</v>
      </c>
      <c r="AC208" s="8">
        <v>64106.671911000099</v>
      </c>
      <c r="AD208" s="8"/>
    </row>
    <row r="209" spans="1:30" x14ac:dyDescent="0.25">
      <c r="A209" s="62"/>
      <c r="B209" s="10" t="s">
        <v>32</v>
      </c>
      <c r="C209" s="11">
        <v>4</v>
      </c>
      <c r="D209" s="119"/>
      <c r="E209" s="8">
        <v>1157.7947774999993</v>
      </c>
      <c r="F209" s="8">
        <v>887.74995000000126</v>
      </c>
      <c r="G209" s="8">
        <v>762.12364500000149</v>
      </c>
      <c r="H209" s="8">
        <v>572.95677375000014</v>
      </c>
      <c r="I209" s="8">
        <v>492.95204999999987</v>
      </c>
      <c r="J209" s="8">
        <v>516.91231499999958</v>
      </c>
      <c r="K209" s="8">
        <v>588.98255624999911</v>
      </c>
      <c r="L209" s="8">
        <v>1335.0517087499993</v>
      </c>
      <c r="M209" s="8">
        <v>2204.468193749999</v>
      </c>
      <c r="N209" s="8">
        <v>3020.0921287499987</v>
      </c>
      <c r="O209" s="8">
        <v>3580.1110724999999</v>
      </c>
      <c r="P209" s="8">
        <v>4023.8777437500012</v>
      </c>
      <c r="Q209" s="8">
        <v>3891.1200224999993</v>
      </c>
      <c r="R209" s="8">
        <v>3892.4782500000001</v>
      </c>
      <c r="S209" s="8">
        <v>4184.3147774999998</v>
      </c>
      <c r="T209" s="8">
        <v>4286.6946862500008</v>
      </c>
      <c r="U209" s="8">
        <v>4120.9399799999992</v>
      </c>
      <c r="V209" s="8">
        <v>3920.1398174999995</v>
      </c>
      <c r="W209" s="8">
        <v>4512.1957049999983</v>
      </c>
      <c r="X209" s="8">
        <v>4483.5156900000002</v>
      </c>
      <c r="Y209" s="8">
        <v>4052.0863349999981</v>
      </c>
      <c r="Z209" s="8">
        <v>3377.5474612500002</v>
      </c>
      <c r="AA209" s="8">
        <v>2545.2262687500006</v>
      </c>
      <c r="AB209" s="8">
        <v>1791.3575587499981</v>
      </c>
      <c r="AC209" s="8">
        <v>64200.689467499993</v>
      </c>
      <c r="AD209" s="8"/>
    </row>
    <row r="210" spans="1:30" ht="15.75" thickBot="1" x14ac:dyDescent="0.3">
      <c r="A210" s="60"/>
      <c r="B210" s="13" t="s">
        <v>33</v>
      </c>
      <c r="C210" s="14">
        <v>7</v>
      </c>
      <c r="D210" s="120"/>
      <c r="E210" s="8">
        <v>1155.7823549999994</v>
      </c>
      <c r="F210" s="8">
        <v>813.12943499999892</v>
      </c>
      <c r="G210" s="8">
        <v>567.90361499999926</v>
      </c>
      <c r="H210" s="8">
        <v>452.16692999999941</v>
      </c>
      <c r="I210" s="8">
        <v>369.62996999999996</v>
      </c>
      <c r="J210" s="8">
        <v>456.56121000000167</v>
      </c>
      <c r="K210" s="8">
        <v>513.91036499999791</v>
      </c>
      <c r="L210" s="8">
        <v>1248.7539900000011</v>
      </c>
      <c r="M210" s="8">
        <v>2138.155305000002</v>
      </c>
      <c r="N210" s="8">
        <v>2899.30926</v>
      </c>
      <c r="O210" s="8">
        <v>3513.9855299999999</v>
      </c>
      <c r="P210" s="8">
        <v>3951.1966650000013</v>
      </c>
      <c r="Q210" s="8">
        <v>3896.9727149999999</v>
      </c>
      <c r="R210" s="8">
        <v>3959.2114799999999</v>
      </c>
      <c r="S210" s="8">
        <v>4330.7931900000003</v>
      </c>
      <c r="T210" s="8">
        <v>4444.268369999998</v>
      </c>
      <c r="U210" s="8">
        <v>4212.3340649999991</v>
      </c>
      <c r="V210" s="8">
        <v>4048.8179400000008</v>
      </c>
      <c r="W210" s="8">
        <v>4607.4474900000023</v>
      </c>
      <c r="X210" s="8">
        <v>4542.4076550000027</v>
      </c>
      <c r="Y210" s="8">
        <v>4056.3001049999984</v>
      </c>
      <c r="Z210" s="8">
        <v>3432.7447349999984</v>
      </c>
      <c r="AA210" s="8">
        <v>2592.0527099999999</v>
      </c>
      <c r="AB210" s="8">
        <v>1798.0687199999993</v>
      </c>
      <c r="AC210" s="8">
        <v>64001.903805000009</v>
      </c>
      <c r="AD210" s="8">
        <v>1986949.5227250021</v>
      </c>
    </row>
    <row r="211" spans="1:30" ht="15.75" thickBot="1" x14ac:dyDescent="0.3">
      <c r="B211" s="57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30" x14ac:dyDescent="0.25">
      <c r="A212" s="58"/>
      <c r="B212" s="6" t="s">
        <v>31</v>
      </c>
      <c r="C212" s="7">
        <v>21</v>
      </c>
      <c r="D212" s="118">
        <v>47331</v>
      </c>
      <c r="E212" s="8">
        <v>1361.627902500004</v>
      </c>
      <c r="F212" s="8">
        <v>1034.3681475000049</v>
      </c>
      <c r="G212" s="8">
        <v>801.34611000000223</v>
      </c>
      <c r="H212" s="8">
        <v>648.33862500000396</v>
      </c>
      <c r="I212" s="8">
        <v>598.69825250000395</v>
      </c>
      <c r="J212" s="8">
        <v>677.1738200000018</v>
      </c>
      <c r="K212" s="8">
        <v>784.05368750000343</v>
      </c>
      <c r="L212" s="8">
        <v>1505.0875775000077</v>
      </c>
      <c r="M212" s="8">
        <v>2351.002907500002</v>
      </c>
      <c r="N212" s="8">
        <v>3073.5718375000033</v>
      </c>
      <c r="O212" s="8">
        <v>3626.2122824999988</v>
      </c>
      <c r="P212" s="8">
        <v>4055.8388849999992</v>
      </c>
      <c r="Q212" s="8">
        <v>3972.3885150000096</v>
      </c>
      <c r="R212" s="8">
        <v>3995.858447500008</v>
      </c>
      <c r="S212" s="8">
        <v>4283.2522425000061</v>
      </c>
      <c r="T212" s="8">
        <v>4334.5644300000022</v>
      </c>
      <c r="U212" s="8">
        <v>4069.2522150000023</v>
      </c>
      <c r="V212" s="8">
        <v>3890.3203600000052</v>
      </c>
      <c r="W212" s="8">
        <v>4489.4868075000049</v>
      </c>
      <c r="X212" s="8">
        <v>4451.9780475000007</v>
      </c>
      <c r="Y212" s="8">
        <v>3999.3913550000052</v>
      </c>
      <c r="Z212" s="8">
        <v>3375.1696600000014</v>
      </c>
      <c r="AA212" s="8">
        <v>2586.5679225000022</v>
      </c>
      <c r="AB212" s="8">
        <v>1883.9062125000055</v>
      </c>
      <c r="AC212" s="8">
        <v>65849.456250000076</v>
      </c>
      <c r="AD212" s="8"/>
    </row>
    <row r="213" spans="1:30" x14ac:dyDescent="0.25">
      <c r="A213" s="62"/>
      <c r="B213" s="10" t="s">
        <v>32</v>
      </c>
      <c r="C213" s="11">
        <v>4</v>
      </c>
      <c r="D213" s="119"/>
      <c r="E213" s="8">
        <v>1307.0905500000008</v>
      </c>
      <c r="F213" s="8">
        <v>1000.2713362499999</v>
      </c>
      <c r="G213" s="8">
        <v>738.62669249999817</v>
      </c>
      <c r="H213" s="8">
        <v>583.80534750000152</v>
      </c>
      <c r="I213" s="8">
        <v>520.531822500001</v>
      </c>
      <c r="J213" s="8">
        <v>707.83174125000005</v>
      </c>
      <c r="K213" s="8">
        <v>807.14160749999974</v>
      </c>
      <c r="L213" s="8">
        <v>1514.5407562500004</v>
      </c>
      <c r="M213" s="8">
        <v>2310.269842499998</v>
      </c>
      <c r="N213" s="8">
        <v>2968.3319325000011</v>
      </c>
      <c r="O213" s="8">
        <v>3494.6430412500013</v>
      </c>
      <c r="P213" s="8">
        <v>3999.6611737499989</v>
      </c>
      <c r="Q213" s="8">
        <v>4060.77385125</v>
      </c>
      <c r="R213" s="8">
        <v>4090.7725087499985</v>
      </c>
      <c r="S213" s="8">
        <v>4382.8789912499997</v>
      </c>
      <c r="T213" s="8">
        <v>4354.7341612499986</v>
      </c>
      <c r="U213" s="8">
        <v>4045.7423400000007</v>
      </c>
      <c r="V213" s="8">
        <v>3837.7739849999998</v>
      </c>
      <c r="W213" s="8">
        <v>4467.7687612500013</v>
      </c>
      <c r="X213" s="8">
        <v>4540.6854074999974</v>
      </c>
      <c r="Y213" s="8">
        <v>4115.4915299999993</v>
      </c>
      <c r="Z213" s="8">
        <v>3482.7672525000016</v>
      </c>
      <c r="AA213" s="8">
        <v>2609.7990112500011</v>
      </c>
      <c r="AB213" s="8">
        <v>1864.7809350000007</v>
      </c>
      <c r="AC213" s="8">
        <v>65806.714578750005</v>
      </c>
      <c r="AD213" s="8"/>
    </row>
    <row r="214" spans="1:30" ht="15.75" thickBot="1" x14ac:dyDescent="0.3">
      <c r="A214" s="60"/>
      <c r="B214" s="13" t="s">
        <v>33</v>
      </c>
      <c r="C214" s="14">
        <v>6</v>
      </c>
      <c r="D214" s="120"/>
      <c r="E214" s="8">
        <v>1293.5082050000001</v>
      </c>
      <c r="F214" s="8">
        <v>1030.8521049999999</v>
      </c>
      <c r="G214" s="8">
        <v>818.60003000000142</v>
      </c>
      <c r="H214" s="8">
        <v>614.32569749999857</v>
      </c>
      <c r="I214" s="8">
        <v>525.18270999999913</v>
      </c>
      <c r="J214" s="8">
        <v>627.35925999999927</v>
      </c>
      <c r="K214" s="8">
        <v>770.02466749999985</v>
      </c>
      <c r="L214" s="8">
        <v>1493.2949074999979</v>
      </c>
      <c r="M214" s="8">
        <v>2366.7423950000011</v>
      </c>
      <c r="N214" s="8">
        <v>3012.9322224999996</v>
      </c>
      <c r="O214" s="8">
        <v>3525.9441974999991</v>
      </c>
      <c r="P214" s="8">
        <v>3975.4950824999978</v>
      </c>
      <c r="Q214" s="8">
        <v>3933.3457374999998</v>
      </c>
      <c r="R214" s="8">
        <v>4077.8233049999999</v>
      </c>
      <c r="S214" s="8">
        <v>4442.9611375000022</v>
      </c>
      <c r="T214" s="8">
        <v>4474.6301349999994</v>
      </c>
      <c r="U214" s="8">
        <v>4152.5716499999999</v>
      </c>
      <c r="V214" s="8">
        <v>3917.4119875000015</v>
      </c>
      <c r="W214" s="8">
        <v>4439.8348325000006</v>
      </c>
      <c r="X214" s="8">
        <v>4439.6332674999976</v>
      </c>
      <c r="Y214" s="8">
        <v>4063.6823600000007</v>
      </c>
      <c r="Z214" s="8">
        <v>3434.4996449999981</v>
      </c>
      <c r="AA214" s="8">
        <v>2581.4673774999992</v>
      </c>
      <c r="AB214" s="8">
        <v>1818.5004874999995</v>
      </c>
      <c r="AC214" s="8">
        <v>65830.623402499987</v>
      </c>
      <c r="AD214" s="8">
        <v>2041049.1799800016</v>
      </c>
    </row>
    <row r="215" spans="1:30" ht="15.75" thickBot="1" x14ac:dyDescent="0.3">
      <c r="B215" s="57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30" x14ac:dyDescent="0.25">
      <c r="A216" s="58"/>
      <c r="B216" s="6" t="s">
        <v>31</v>
      </c>
      <c r="C216" s="39">
        <v>20</v>
      </c>
      <c r="D216" s="118">
        <v>47362</v>
      </c>
      <c r="E216" s="8">
        <v>1487.3599999999951</v>
      </c>
      <c r="F216" s="8">
        <v>1209.5099999999948</v>
      </c>
      <c r="G216" s="8">
        <v>815.4099999999944</v>
      </c>
      <c r="H216" s="8">
        <v>381.75999999999476</v>
      </c>
      <c r="I216" s="8">
        <v>328.70999999999549</v>
      </c>
      <c r="J216" s="8">
        <v>634.55999999999585</v>
      </c>
      <c r="K216" s="8">
        <v>922.25999999999476</v>
      </c>
      <c r="L216" s="8">
        <v>1503.7099999999955</v>
      </c>
      <c r="M216" s="8">
        <v>2297.6099999999951</v>
      </c>
      <c r="N216" s="8">
        <v>2876.6599999999944</v>
      </c>
      <c r="O216" s="8">
        <v>3326.4599999999955</v>
      </c>
      <c r="P216" s="8">
        <v>3672.5599999999959</v>
      </c>
      <c r="Q216" s="8">
        <v>3573.7599999999948</v>
      </c>
      <c r="R216" s="8">
        <v>3550.5599999999959</v>
      </c>
      <c r="S216" s="8">
        <v>3836.0599999999959</v>
      </c>
      <c r="T216" s="8">
        <v>3904.8099999999959</v>
      </c>
      <c r="U216" s="8">
        <v>3480.7599999999948</v>
      </c>
      <c r="V216" s="8">
        <v>3266.1099999999951</v>
      </c>
      <c r="W216" s="8">
        <v>3790.8599999999951</v>
      </c>
      <c r="X216" s="8">
        <v>3699.1099999999951</v>
      </c>
      <c r="Y216" s="8">
        <v>3168.5599999999959</v>
      </c>
      <c r="Z216" s="8">
        <v>2491.6099999999951</v>
      </c>
      <c r="AA216" s="8">
        <v>1758.9599999999955</v>
      </c>
      <c r="AB216" s="8">
        <v>1404.6599999999944</v>
      </c>
      <c r="AC216" s="8">
        <v>57382.38999999989</v>
      </c>
      <c r="AD216" s="8"/>
    </row>
    <row r="217" spans="1:30" x14ac:dyDescent="0.25">
      <c r="A217" s="62"/>
      <c r="B217" s="10" t="s">
        <v>32</v>
      </c>
      <c r="C217" s="42">
        <v>5</v>
      </c>
      <c r="D217" s="119"/>
      <c r="E217" s="8">
        <v>1486.3100000000013</v>
      </c>
      <c r="F217" s="8">
        <v>1208.3100000000013</v>
      </c>
      <c r="G217" s="8">
        <v>814.31000000000131</v>
      </c>
      <c r="H217" s="8">
        <v>380.71000000000095</v>
      </c>
      <c r="I217" s="8">
        <v>327.71000000000095</v>
      </c>
      <c r="J217" s="8">
        <v>633.31000000000131</v>
      </c>
      <c r="K217" s="8">
        <v>921.11000000000058</v>
      </c>
      <c r="L217" s="8">
        <v>1502.7100000000009</v>
      </c>
      <c r="M217" s="8">
        <v>2296.3100000000013</v>
      </c>
      <c r="N217" s="8">
        <v>2875.7100000000009</v>
      </c>
      <c r="O217" s="8">
        <v>3325.3100000000013</v>
      </c>
      <c r="P217" s="8">
        <v>3671.7100000000009</v>
      </c>
      <c r="Q217" s="8">
        <v>3572.91</v>
      </c>
      <c r="R217" s="8">
        <v>3549.51</v>
      </c>
      <c r="S217" s="8">
        <v>3834.91</v>
      </c>
      <c r="T217" s="8">
        <v>3903.7099999999991</v>
      </c>
      <c r="U217" s="8">
        <v>3479.7100000000009</v>
      </c>
      <c r="V217" s="8">
        <v>3265.1100000000006</v>
      </c>
      <c r="W217" s="8">
        <v>3789.91</v>
      </c>
      <c r="X217" s="8">
        <v>3698.1100000000006</v>
      </c>
      <c r="Y217" s="8">
        <v>3167.51</v>
      </c>
      <c r="Z217" s="8">
        <v>2490.7100000000009</v>
      </c>
      <c r="AA217" s="8">
        <v>1757.9099999999999</v>
      </c>
      <c r="AB217" s="8">
        <v>1403.7100000000009</v>
      </c>
      <c r="AC217" s="8">
        <v>57357.240000000013</v>
      </c>
      <c r="AD217" s="8"/>
    </row>
    <row r="218" spans="1:30" ht="15.75" thickBot="1" x14ac:dyDescent="0.3">
      <c r="A218" s="60"/>
      <c r="B218" s="13" t="s">
        <v>33</v>
      </c>
      <c r="C218" s="47">
        <v>5</v>
      </c>
      <c r="D218" s="120"/>
      <c r="E218" s="8">
        <v>1488.3100000000013</v>
      </c>
      <c r="F218" s="8">
        <v>1210.3100000000013</v>
      </c>
      <c r="G218" s="8">
        <v>816.31000000000131</v>
      </c>
      <c r="H218" s="8">
        <v>382.71000000000095</v>
      </c>
      <c r="I218" s="8">
        <v>329.71000000000095</v>
      </c>
      <c r="J218" s="8">
        <v>635.51000000000022</v>
      </c>
      <c r="K218" s="8">
        <v>923.31000000000131</v>
      </c>
      <c r="L218" s="8">
        <v>1504.7100000000009</v>
      </c>
      <c r="M218" s="8">
        <v>2298.5100000000002</v>
      </c>
      <c r="N218" s="8">
        <v>2877.7100000000009</v>
      </c>
      <c r="O218" s="8">
        <v>3327.3100000000013</v>
      </c>
      <c r="P218" s="8">
        <v>3673.51</v>
      </c>
      <c r="Q218" s="8">
        <v>3574.7100000000009</v>
      </c>
      <c r="R218" s="8">
        <v>3551.3100000000013</v>
      </c>
      <c r="S218" s="8">
        <v>3836.91</v>
      </c>
      <c r="T218" s="8">
        <v>3905.7099999999991</v>
      </c>
      <c r="U218" s="8">
        <v>3481.7100000000009</v>
      </c>
      <c r="V218" s="8">
        <v>3266.91</v>
      </c>
      <c r="W218" s="8">
        <v>3791.7099999999991</v>
      </c>
      <c r="X218" s="8">
        <v>3700.1100000000006</v>
      </c>
      <c r="Y218" s="8">
        <v>3169.3100000000013</v>
      </c>
      <c r="Z218" s="8">
        <v>2492.5100000000002</v>
      </c>
      <c r="AA218" s="8">
        <v>1759.7100000000009</v>
      </c>
      <c r="AB218" s="8">
        <v>1405.7100000000009</v>
      </c>
      <c r="AC218" s="8">
        <v>57404.240000000013</v>
      </c>
      <c r="AD218" s="8">
        <v>1721455.1999999979</v>
      </c>
    </row>
    <row r="219" spans="1:30" ht="15.75" thickBot="1" x14ac:dyDescent="0.3">
      <c r="B219" s="57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30" x14ac:dyDescent="0.25">
      <c r="A220" s="58"/>
      <c r="B220" s="6" t="s">
        <v>31</v>
      </c>
      <c r="C220" s="7">
        <v>22</v>
      </c>
      <c r="D220" s="118">
        <v>47392</v>
      </c>
      <c r="E220" s="8">
        <v>1957.2290909090952</v>
      </c>
      <c r="F220" s="8">
        <v>1679.7745454545511</v>
      </c>
      <c r="G220" s="8">
        <v>1285.3654545454592</v>
      </c>
      <c r="H220" s="8">
        <v>850.1836363636412</v>
      </c>
      <c r="I220" s="8">
        <v>797.1836363636412</v>
      </c>
      <c r="J220" s="8">
        <v>1104.8654545454592</v>
      </c>
      <c r="K220" s="8">
        <v>1393.8654545454592</v>
      </c>
      <c r="L220" s="8">
        <v>1974.3200000000052</v>
      </c>
      <c r="M220" s="8">
        <v>2767.8654545454592</v>
      </c>
      <c r="N220" s="8">
        <v>3345.1836363636412</v>
      </c>
      <c r="O220" s="8">
        <v>3792.5018181818232</v>
      </c>
      <c r="P220" s="8">
        <v>4137.1381818181871</v>
      </c>
      <c r="Q220" s="8">
        <v>4036.7745454545511</v>
      </c>
      <c r="R220" s="8">
        <v>4014.7290909090952</v>
      </c>
      <c r="S220" s="8">
        <v>4303.1836363636412</v>
      </c>
      <c r="T220" s="8">
        <v>4373.1836363636412</v>
      </c>
      <c r="U220" s="8">
        <v>3949.1836363636412</v>
      </c>
      <c r="V220" s="8">
        <v>3733.1836363636412</v>
      </c>
      <c r="W220" s="8">
        <v>4255.7745454545493</v>
      </c>
      <c r="X220" s="8">
        <v>4166.4109090909133</v>
      </c>
      <c r="Y220" s="8">
        <v>3632.9109090909151</v>
      </c>
      <c r="Z220" s="8">
        <v>2956.1836363636412</v>
      </c>
      <c r="AA220" s="8">
        <v>2223.9563636363691</v>
      </c>
      <c r="AB220" s="8">
        <v>1871.5018181818232</v>
      </c>
      <c r="AC220" s="8">
        <v>68602.452727272845</v>
      </c>
      <c r="AD220" s="8"/>
    </row>
    <row r="221" spans="1:30" x14ac:dyDescent="0.25">
      <c r="A221" s="62"/>
      <c r="B221" s="10" t="s">
        <v>32</v>
      </c>
      <c r="C221" s="11">
        <v>4</v>
      </c>
      <c r="D221" s="119"/>
      <c r="E221" s="8">
        <v>1958.8199999999997</v>
      </c>
      <c r="F221" s="8">
        <v>1681.3199999999997</v>
      </c>
      <c r="G221" s="8">
        <v>1287.0699999999997</v>
      </c>
      <c r="H221" s="8">
        <v>851.81999999999971</v>
      </c>
      <c r="I221" s="8">
        <v>798.81999999999971</v>
      </c>
      <c r="J221" s="8">
        <v>1106.8199999999997</v>
      </c>
      <c r="K221" s="8">
        <v>1395.5699999999997</v>
      </c>
      <c r="L221" s="8">
        <v>1976.0699999999997</v>
      </c>
      <c r="M221" s="8">
        <v>2769.3199999999997</v>
      </c>
      <c r="N221" s="8">
        <v>3346.8199999999997</v>
      </c>
      <c r="O221" s="8">
        <v>3794.0699999999997</v>
      </c>
      <c r="P221" s="8">
        <v>4138.57</v>
      </c>
      <c r="Q221" s="8">
        <v>4038.3199999999997</v>
      </c>
      <c r="R221" s="8">
        <v>4016.3199999999997</v>
      </c>
      <c r="S221" s="8">
        <v>4304.82</v>
      </c>
      <c r="T221" s="8">
        <v>4374.82</v>
      </c>
      <c r="U221" s="8">
        <v>3950.8199999999997</v>
      </c>
      <c r="V221" s="8">
        <v>3734.8199999999997</v>
      </c>
      <c r="W221" s="8">
        <v>4257.32</v>
      </c>
      <c r="X221" s="8">
        <v>4167.82</v>
      </c>
      <c r="Y221" s="8">
        <v>3634.3199999999997</v>
      </c>
      <c r="Z221" s="8">
        <v>2957.5699999999997</v>
      </c>
      <c r="AA221" s="8">
        <v>2225.5699999999997</v>
      </c>
      <c r="AB221" s="8">
        <v>1873.0699999999997</v>
      </c>
      <c r="AC221" s="8">
        <v>68640.679999999993</v>
      </c>
      <c r="AD221" s="8"/>
    </row>
    <row r="222" spans="1:30" ht="15.75" thickBot="1" x14ac:dyDescent="0.3">
      <c r="A222" s="60"/>
      <c r="B222" s="13" t="s">
        <v>33</v>
      </c>
      <c r="C222" s="14">
        <v>5</v>
      </c>
      <c r="D222" s="120"/>
      <c r="E222" s="8">
        <v>1960.0200000000004</v>
      </c>
      <c r="F222" s="8">
        <v>1682.2199999999993</v>
      </c>
      <c r="G222" s="8">
        <v>1288.2199999999993</v>
      </c>
      <c r="H222" s="8">
        <v>852.81999999999971</v>
      </c>
      <c r="I222" s="8">
        <v>799.81999999999971</v>
      </c>
      <c r="J222" s="8">
        <v>1107.8199999999997</v>
      </c>
      <c r="K222" s="8">
        <v>1396.8199999999997</v>
      </c>
      <c r="L222" s="8">
        <v>1977.0200000000004</v>
      </c>
      <c r="M222" s="8">
        <v>2770.8199999999997</v>
      </c>
      <c r="N222" s="8">
        <v>3347.8199999999997</v>
      </c>
      <c r="O222" s="8">
        <v>3794.8199999999997</v>
      </c>
      <c r="P222" s="8">
        <v>4139.42</v>
      </c>
      <c r="Q222" s="8">
        <v>4039.42</v>
      </c>
      <c r="R222" s="8">
        <v>4017.42</v>
      </c>
      <c r="S222" s="8">
        <v>4305.82</v>
      </c>
      <c r="T222" s="8">
        <v>4375.82</v>
      </c>
      <c r="U222" s="8">
        <v>3951.8199999999997</v>
      </c>
      <c r="V222" s="8">
        <v>3735.8199999999997</v>
      </c>
      <c r="W222" s="8">
        <v>4258.4199999999983</v>
      </c>
      <c r="X222" s="8">
        <v>4168.82</v>
      </c>
      <c r="Y222" s="8">
        <v>3635.42</v>
      </c>
      <c r="Z222" s="8">
        <v>2958.619999999999</v>
      </c>
      <c r="AA222" s="8">
        <v>2226.619999999999</v>
      </c>
      <c r="AB222" s="8">
        <v>1874.0200000000004</v>
      </c>
      <c r="AC222" s="8">
        <v>68665.679999999993</v>
      </c>
      <c r="AD222" s="8">
        <v>2127145.0800000024</v>
      </c>
    </row>
    <row r="223" spans="1:30" ht="15.75" thickBot="1" x14ac:dyDescent="0.3">
      <c r="B223" s="57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30" x14ac:dyDescent="0.25">
      <c r="A224" s="58"/>
      <c r="B224" s="6" t="s">
        <v>31</v>
      </c>
      <c r="C224" s="39">
        <v>20</v>
      </c>
      <c r="D224" s="118">
        <v>47423</v>
      </c>
      <c r="E224" s="8">
        <v>1615.6599999999944</v>
      </c>
      <c r="F224" s="8">
        <v>1338.6099999999951</v>
      </c>
      <c r="G224" s="8">
        <v>944.00999999999476</v>
      </c>
      <c r="H224" s="8">
        <v>507.70999999999549</v>
      </c>
      <c r="I224" s="8">
        <v>454.60999999999513</v>
      </c>
      <c r="J224" s="8">
        <v>763.80999999999585</v>
      </c>
      <c r="K224" s="8">
        <v>1054.2099999999955</v>
      </c>
      <c r="L224" s="8">
        <v>1633.6599999999944</v>
      </c>
      <c r="M224" s="8">
        <v>2426.6599999999944</v>
      </c>
      <c r="N224" s="8">
        <v>3001.9599999999955</v>
      </c>
      <c r="O224" s="8">
        <v>3446.7599999999948</v>
      </c>
      <c r="P224" s="8">
        <v>3789.8599999999951</v>
      </c>
      <c r="Q224" s="8">
        <v>3688.0599999999959</v>
      </c>
      <c r="R224" s="8">
        <v>3667.3099999999959</v>
      </c>
      <c r="S224" s="8">
        <v>3958.7099999999937</v>
      </c>
      <c r="T224" s="8">
        <v>4030.4599999999937</v>
      </c>
      <c r="U224" s="8">
        <v>3606.3599999999951</v>
      </c>
      <c r="V224" s="8">
        <v>3388.8099999999959</v>
      </c>
      <c r="W224" s="8">
        <v>3908.9599999999937</v>
      </c>
      <c r="X224" s="8">
        <v>3822.2099999999937</v>
      </c>
      <c r="Y224" s="8">
        <v>3285.5099999999948</v>
      </c>
      <c r="Z224" s="8">
        <v>2609.0099999999948</v>
      </c>
      <c r="AA224" s="8">
        <v>1877.3599999999951</v>
      </c>
      <c r="AB224" s="8">
        <v>1526.5099999999948</v>
      </c>
      <c r="AC224" s="8">
        <v>60346.78999999987</v>
      </c>
      <c r="AD224" s="8"/>
    </row>
    <row r="225" spans="1:30" x14ac:dyDescent="0.25">
      <c r="A225" s="62"/>
      <c r="B225" s="10" t="s">
        <v>32</v>
      </c>
      <c r="C225" s="42">
        <v>4</v>
      </c>
      <c r="D225" s="119"/>
      <c r="E225" s="8">
        <v>1608.8600000000006</v>
      </c>
      <c r="F225" s="8">
        <v>1331.6100000000006</v>
      </c>
      <c r="G225" s="8">
        <v>937.11000000000058</v>
      </c>
      <c r="H225" s="8">
        <v>501.11000000000058</v>
      </c>
      <c r="I225" s="8">
        <v>447.86000000000058</v>
      </c>
      <c r="J225" s="8">
        <v>757.11000000000058</v>
      </c>
      <c r="K225" s="8">
        <v>1047.3600000000006</v>
      </c>
      <c r="L225" s="8">
        <v>1626.6100000000006</v>
      </c>
      <c r="M225" s="8">
        <v>2420.1100000000006</v>
      </c>
      <c r="N225" s="8">
        <v>2995.1100000000006</v>
      </c>
      <c r="O225" s="8">
        <v>3440.6100000000006</v>
      </c>
      <c r="P225" s="8">
        <v>3783.6100000000006</v>
      </c>
      <c r="Q225" s="8">
        <v>3681.8600000000006</v>
      </c>
      <c r="R225" s="8">
        <v>3661.1100000000006</v>
      </c>
      <c r="S225" s="8">
        <v>3952.1100000000006</v>
      </c>
      <c r="T225" s="8">
        <v>4023.8600000000006</v>
      </c>
      <c r="U225" s="8">
        <v>3599.6100000000006</v>
      </c>
      <c r="V225" s="8">
        <v>3382.3600000000006</v>
      </c>
      <c r="W225" s="8">
        <v>3902.8600000000006</v>
      </c>
      <c r="X225" s="8">
        <v>3815.6100000000006</v>
      </c>
      <c r="Y225" s="8">
        <v>3279.3600000000006</v>
      </c>
      <c r="Z225" s="8">
        <v>2602.6100000000006</v>
      </c>
      <c r="AA225" s="8">
        <v>1871.1100000000006</v>
      </c>
      <c r="AB225" s="8">
        <v>1519.8600000000006</v>
      </c>
      <c r="AC225" s="8">
        <v>60189.390000000014</v>
      </c>
      <c r="AD225" s="8"/>
    </row>
    <row r="226" spans="1:30" ht="15.75" thickBot="1" x14ac:dyDescent="0.3">
      <c r="A226" s="60"/>
      <c r="B226" s="13" t="s">
        <v>33</v>
      </c>
      <c r="C226" s="47">
        <v>6</v>
      </c>
      <c r="D226" s="120"/>
      <c r="E226" s="8">
        <v>1606.7766666666666</v>
      </c>
      <c r="F226" s="8">
        <v>1329.4433333333345</v>
      </c>
      <c r="G226" s="8">
        <v>934.94333333333452</v>
      </c>
      <c r="H226" s="8">
        <v>499.11000000000058</v>
      </c>
      <c r="I226" s="8">
        <v>446.11000000000058</v>
      </c>
      <c r="J226" s="8">
        <v>754.94333333333452</v>
      </c>
      <c r="K226" s="8">
        <v>1045.2766666666666</v>
      </c>
      <c r="L226" s="8">
        <v>1624.6100000000006</v>
      </c>
      <c r="M226" s="8">
        <v>2417.9433333333345</v>
      </c>
      <c r="N226" s="8">
        <v>2993.2766666666666</v>
      </c>
      <c r="O226" s="8">
        <v>3438.6100000000006</v>
      </c>
      <c r="P226" s="8">
        <v>3781.9433333333327</v>
      </c>
      <c r="Q226" s="8">
        <v>3679.9433333333345</v>
      </c>
      <c r="R226" s="8">
        <v>3659.1100000000006</v>
      </c>
      <c r="S226" s="8">
        <v>3950.1100000000006</v>
      </c>
      <c r="T226" s="8">
        <v>4021.7766666666685</v>
      </c>
      <c r="U226" s="8">
        <v>3597.4433333333345</v>
      </c>
      <c r="V226" s="8">
        <v>3380.4433333333345</v>
      </c>
      <c r="W226" s="8">
        <v>3900.9433333333327</v>
      </c>
      <c r="X226" s="8">
        <v>3813.7766666666685</v>
      </c>
      <c r="Y226" s="8">
        <v>3277.2766666666666</v>
      </c>
      <c r="Z226" s="8">
        <v>2600.9433333333345</v>
      </c>
      <c r="AA226" s="8">
        <v>1869.2766666666666</v>
      </c>
      <c r="AB226" s="8">
        <v>1517.9433333333345</v>
      </c>
      <c r="AC226" s="8">
        <v>60141.973333333357</v>
      </c>
      <c r="AD226" s="8">
        <v>1808545.1999999976</v>
      </c>
    </row>
    <row r="227" spans="1:30" ht="15.75" thickBot="1" x14ac:dyDescent="0.3">
      <c r="B227" s="57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30" x14ac:dyDescent="0.25">
      <c r="A228" s="58"/>
      <c r="B228" s="6" t="s">
        <v>31</v>
      </c>
      <c r="C228" s="7">
        <v>20</v>
      </c>
      <c r="D228" s="118">
        <v>47453</v>
      </c>
      <c r="E228" s="8">
        <v>6787.3699999999981</v>
      </c>
      <c r="F228" s="8">
        <v>6510.6199999999981</v>
      </c>
      <c r="G228" s="8">
        <v>6115.7699999999977</v>
      </c>
      <c r="H228" s="8">
        <v>5678.0199999999977</v>
      </c>
      <c r="I228" s="8">
        <v>5624.9199999999973</v>
      </c>
      <c r="J228" s="8">
        <v>5936.0199999999977</v>
      </c>
      <c r="K228" s="8">
        <v>6227.6699999999973</v>
      </c>
      <c r="L228" s="8">
        <v>6806.0699999999988</v>
      </c>
      <c r="M228" s="8">
        <v>7598.8199999999988</v>
      </c>
      <c r="N228" s="8">
        <v>8172.7199999999984</v>
      </c>
      <c r="O228" s="8">
        <v>8614.82</v>
      </c>
      <c r="P228" s="8">
        <v>8956.32</v>
      </c>
      <c r="Q228" s="8">
        <v>8853.1699999999983</v>
      </c>
      <c r="R228" s="8">
        <v>8833.6699999999983</v>
      </c>
      <c r="S228" s="8">
        <v>9127.77</v>
      </c>
      <c r="T228" s="8">
        <v>9200.7199999999975</v>
      </c>
      <c r="U228" s="8">
        <v>8776.7199999999975</v>
      </c>
      <c r="V228" s="8">
        <v>8558.07</v>
      </c>
      <c r="W228" s="8">
        <v>9076.02</v>
      </c>
      <c r="X228" s="8">
        <v>8991.6699999999983</v>
      </c>
      <c r="Y228" s="8">
        <v>8452.0199999999968</v>
      </c>
      <c r="Z228" s="8">
        <v>7775.5199999999977</v>
      </c>
      <c r="AA228" s="8">
        <v>7044.5699999999988</v>
      </c>
      <c r="AB228" s="8">
        <v>6695.2199999999984</v>
      </c>
      <c r="AC228" s="8">
        <v>184414.27999999994</v>
      </c>
      <c r="AD228" s="8"/>
    </row>
    <row r="229" spans="1:30" x14ac:dyDescent="0.25">
      <c r="A229" s="65"/>
      <c r="B229" s="10" t="s">
        <v>32</v>
      </c>
      <c r="C229" s="11">
        <v>5</v>
      </c>
      <c r="D229" s="119"/>
      <c r="E229" s="8">
        <v>6785.72</v>
      </c>
      <c r="F229" s="8">
        <v>6508.9199999999992</v>
      </c>
      <c r="G229" s="8">
        <v>6114.12</v>
      </c>
      <c r="H229" s="8">
        <v>5676.5199999999995</v>
      </c>
      <c r="I229" s="8">
        <v>5623.3200000000006</v>
      </c>
      <c r="J229" s="8">
        <v>5934.3200000000006</v>
      </c>
      <c r="K229" s="8">
        <v>6226.12</v>
      </c>
      <c r="L229" s="8">
        <v>6804.3200000000006</v>
      </c>
      <c r="M229" s="8">
        <v>7597.3200000000006</v>
      </c>
      <c r="N229" s="8">
        <v>8171.12</v>
      </c>
      <c r="O229" s="8">
        <v>8613.32</v>
      </c>
      <c r="P229" s="8">
        <v>8954.9199999999983</v>
      </c>
      <c r="Q229" s="8">
        <v>8851.7200000000012</v>
      </c>
      <c r="R229" s="8">
        <v>8832.119999999999</v>
      </c>
      <c r="S229" s="8">
        <v>9126.32</v>
      </c>
      <c r="T229" s="8">
        <v>9199.119999999999</v>
      </c>
      <c r="U229" s="8">
        <v>8775.119999999999</v>
      </c>
      <c r="V229" s="8">
        <v>8556.52</v>
      </c>
      <c r="W229" s="8">
        <v>9074.52</v>
      </c>
      <c r="X229" s="8">
        <v>8989.9199999999983</v>
      </c>
      <c r="Y229" s="8">
        <v>8450.32</v>
      </c>
      <c r="Z229" s="8">
        <v>7774.12</v>
      </c>
      <c r="AA229" s="8">
        <v>7043.12</v>
      </c>
      <c r="AB229" s="8">
        <v>6693.72</v>
      </c>
      <c r="AC229" s="8">
        <v>184376.67999999996</v>
      </c>
      <c r="AD229" s="8"/>
    </row>
    <row r="230" spans="1:30" ht="15.75" thickBot="1" x14ac:dyDescent="0.3">
      <c r="A230" s="60"/>
      <c r="B230" s="13" t="s">
        <v>33</v>
      </c>
      <c r="C230" s="14">
        <v>6</v>
      </c>
      <c r="D230" s="120"/>
      <c r="E230" s="8">
        <v>6790.9533333333338</v>
      </c>
      <c r="F230" s="8">
        <v>6514.12</v>
      </c>
      <c r="G230" s="8">
        <v>6119.4533333333338</v>
      </c>
      <c r="H230" s="8">
        <v>5681.62</v>
      </c>
      <c r="I230" s="8">
        <v>5628.286666666666</v>
      </c>
      <c r="J230" s="8">
        <v>5939.4533333333338</v>
      </c>
      <c r="K230" s="8">
        <v>6231.286666666666</v>
      </c>
      <c r="L230" s="8">
        <v>6809.62</v>
      </c>
      <c r="M230" s="8">
        <v>7602.4533333333338</v>
      </c>
      <c r="N230" s="8">
        <v>8176.12</v>
      </c>
      <c r="O230" s="8">
        <v>8618.2866666666669</v>
      </c>
      <c r="P230" s="8">
        <v>8959.7866666666669</v>
      </c>
      <c r="Q230" s="8">
        <v>8856.2866666666669</v>
      </c>
      <c r="R230" s="8">
        <v>8836.9533333333347</v>
      </c>
      <c r="S230" s="8">
        <v>9131.2866666666669</v>
      </c>
      <c r="T230" s="8">
        <v>9204.119999999999</v>
      </c>
      <c r="U230" s="8">
        <v>8780.119999999999</v>
      </c>
      <c r="V230" s="8">
        <v>8561.4533333333347</v>
      </c>
      <c r="W230" s="8">
        <v>9079.2866666666669</v>
      </c>
      <c r="X230" s="8">
        <v>8994.9533333333311</v>
      </c>
      <c r="Y230" s="8">
        <v>8454.9533333333347</v>
      </c>
      <c r="Z230" s="8">
        <v>7778.786666666666</v>
      </c>
      <c r="AA230" s="8">
        <v>7047.62</v>
      </c>
      <c r="AB230" s="8">
        <v>6698.62</v>
      </c>
      <c r="AC230" s="8">
        <v>184495.87999999998</v>
      </c>
      <c r="AD230" s="8">
        <v>5717144.2799999975</v>
      </c>
    </row>
    <row r="231" spans="1:30" ht="15.75" thickBot="1" x14ac:dyDescent="0.3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</row>
    <row r="232" spans="1:30" x14ac:dyDescent="0.25">
      <c r="A232" s="58"/>
      <c r="B232" s="6" t="s">
        <v>31</v>
      </c>
      <c r="C232" s="7">
        <v>22</v>
      </c>
      <c r="D232" s="118">
        <v>47484</v>
      </c>
      <c r="E232" s="8">
        <v>14379.954545454546</v>
      </c>
      <c r="F232" s="8">
        <v>14103.545454545454</v>
      </c>
      <c r="G232" s="8">
        <v>13708.545454545454</v>
      </c>
      <c r="H232" s="8">
        <v>13269.363636363636</v>
      </c>
      <c r="I232" s="8">
        <v>13216.363636363636</v>
      </c>
      <c r="J232" s="8">
        <v>13529.181818181818</v>
      </c>
      <c r="K232" s="8">
        <v>13822.181818181818</v>
      </c>
      <c r="L232" s="8">
        <v>14399.40909090909</v>
      </c>
      <c r="M232" s="8">
        <v>15191.863636363636</v>
      </c>
      <c r="N232" s="8">
        <v>15763.363636363636</v>
      </c>
      <c r="O232" s="8">
        <v>16203.40909090909</v>
      </c>
      <c r="P232" s="8">
        <v>16543.272727272728</v>
      </c>
      <c r="Q232" s="8">
        <v>16438.454545454544</v>
      </c>
      <c r="R232" s="8">
        <v>16420.31818181818</v>
      </c>
      <c r="S232" s="8">
        <v>16717.5</v>
      </c>
      <c r="T232" s="8">
        <v>16792.18181818182</v>
      </c>
      <c r="U232" s="8">
        <v>16367.863636363636</v>
      </c>
      <c r="V232" s="8">
        <v>16147.90909090909</v>
      </c>
      <c r="W232" s="8">
        <v>16663.409090909092</v>
      </c>
      <c r="X232" s="8">
        <v>16581.363636363636</v>
      </c>
      <c r="Y232" s="8">
        <v>16038.727272727272</v>
      </c>
      <c r="Z232" s="8">
        <v>15362.5</v>
      </c>
      <c r="AA232" s="8">
        <v>14632.045454545454</v>
      </c>
      <c r="AB232" s="8">
        <v>14284.5</v>
      </c>
      <c r="AC232" s="8">
        <v>8064699.0000000028</v>
      </c>
      <c r="AD232" s="8"/>
    </row>
    <row r="233" spans="1:30" x14ac:dyDescent="0.25">
      <c r="A233" s="52">
        <v>11362888</v>
      </c>
      <c r="B233" s="10" t="s">
        <v>32</v>
      </c>
      <c r="C233" s="11">
        <v>4</v>
      </c>
      <c r="D233" s="119"/>
      <c r="E233" s="8">
        <v>14377.5</v>
      </c>
      <c r="F233" s="8">
        <v>14101</v>
      </c>
      <c r="G233" s="8">
        <v>13706</v>
      </c>
      <c r="H233" s="8">
        <v>13267</v>
      </c>
      <c r="I233" s="8">
        <v>13214</v>
      </c>
      <c r="J233" s="8">
        <v>13526.5</v>
      </c>
      <c r="K233" s="8">
        <v>13819.5</v>
      </c>
      <c r="L233" s="8">
        <v>14397</v>
      </c>
      <c r="M233" s="8">
        <v>15189.5</v>
      </c>
      <c r="N233" s="8">
        <v>15761</v>
      </c>
      <c r="O233" s="8">
        <v>16201</v>
      </c>
      <c r="P233" s="8">
        <v>16541</v>
      </c>
      <c r="Q233" s="8">
        <v>16436.5</v>
      </c>
      <c r="R233" s="8">
        <v>16418.25</v>
      </c>
      <c r="S233" s="8">
        <v>16715.25</v>
      </c>
      <c r="T233" s="8">
        <v>16789.75</v>
      </c>
      <c r="U233" s="8">
        <v>16365.5</v>
      </c>
      <c r="V233" s="8">
        <v>16145.5</v>
      </c>
      <c r="W233" s="8">
        <v>16661</v>
      </c>
      <c r="X233" s="8">
        <v>16579</v>
      </c>
      <c r="Y233" s="8">
        <v>16036.5</v>
      </c>
      <c r="Z233" s="8">
        <v>15360.5</v>
      </c>
      <c r="AA233" s="8">
        <v>14629.75</v>
      </c>
      <c r="AB233" s="8">
        <v>14282.25</v>
      </c>
      <c r="AC233" s="8">
        <v>1466083</v>
      </c>
      <c r="AD233" s="8"/>
    </row>
    <row r="234" spans="1:30" ht="15.75" thickBot="1" x14ac:dyDescent="0.3">
      <c r="A234" s="60"/>
      <c r="B234" s="13" t="s">
        <v>33</v>
      </c>
      <c r="C234" s="14">
        <v>5</v>
      </c>
      <c r="D234" s="120"/>
      <c r="E234" s="8">
        <v>14373.2</v>
      </c>
      <c r="F234" s="8">
        <v>14096.6</v>
      </c>
      <c r="G234" s="8">
        <v>13701.6</v>
      </c>
      <c r="H234" s="8">
        <v>13262.8</v>
      </c>
      <c r="I234" s="8">
        <v>13209.8</v>
      </c>
      <c r="J234" s="8">
        <v>13522.4</v>
      </c>
      <c r="K234" s="8">
        <v>13815.2</v>
      </c>
      <c r="L234" s="8">
        <v>14392.6</v>
      </c>
      <c r="M234" s="8">
        <v>15185</v>
      </c>
      <c r="N234" s="8">
        <v>15756.8</v>
      </c>
      <c r="O234" s="8">
        <v>16197</v>
      </c>
      <c r="P234" s="8">
        <v>16537.2</v>
      </c>
      <c r="Q234" s="8">
        <v>16432.599999999999</v>
      </c>
      <c r="R234" s="8">
        <v>16414.2</v>
      </c>
      <c r="S234" s="8">
        <v>16711.2</v>
      </c>
      <c r="T234" s="8">
        <v>16785.400000000001</v>
      </c>
      <c r="U234" s="8">
        <v>16361.2</v>
      </c>
      <c r="V234" s="8">
        <v>16141.4</v>
      </c>
      <c r="W234" s="8">
        <v>16657.2</v>
      </c>
      <c r="X234" s="8">
        <v>16574.8</v>
      </c>
      <c r="Y234" s="8">
        <v>16032.6</v>
      </c>
      <c r="Z234" s="8">
        <v>15356.4</v>
      </c>
      <c r="AA234" s="8">
        <v>14625.8</v>
      </c>
      <c r="AB234" s="8">
        <v>14278.2</v>
      </c>
      <c r="AC234" s="8">
        <v>1832106.0000000005</v>
      </c>
      <c r="AD234" s="8">
        <v>11362888.000000004</v>
      </c>
    </row>
    <row r="235" spans="1:30" ht="15.75" thickBot="1" x14ac:dyDescent="0.3">
      <c r="B235" s="57"/>
    </row>
    <row r="236" spans="1:30" x14ac:dyDescent="0.25">
      <c r="A236" s="58"/>
      <c r="B236" s="6" t="s">
        <v>31</v>
      </c>
      <c r="C236" s="7">
        <v>20</v>
      </c>
      <c r="D236" s="118">
        <v>47515</v>
      </c>
      <c r="E236" s="8">
        <v>14440.65</v>
      </c>
      <c r="F236" s="8">
        <v>14164.5</v>
      </c>
      <c r="G236" s="8">
        <v>13769.15</v>
      </c>
      <c r="H236" s="8">
        <v>13328.95</v>
      </c>
      <c r="I236" s="8">
        <v>13275.65</v>
      </c>
      <c r="J236" s="8">
        <v>13590.1</v>
      </c>
      <c r="K236" s="8">
        <v>13884.5</v>
      </c>
      <c r="L236" s="8">
        <v>14460.75</v>
      </c>
      <c r="M236" s="8">
        <v>15252.9</v>
      </c>
      <c r="N236" s="8">
        <v>15823.05</v>
      </c>
      <c r="O236" s="8">
        <v>16260.3</v>
      </c>
      <c r="P236" s="8">
        <v>16598.7</v>
      </c>
      <c r="Q236" s="8">
        <v>16492.45</v>
      </c>
      <c r="R236" s="8">
        <v>16475.55</v>
      </c>
      <c r="S236" s="8">
        <v>16775.5</v>
      </c>
      <c r="T236" s="8">
        <v>16851.2</v>
      </c>
      <c r="U236" s="8">
        <v>16427.2</v>
      </c>
      <c r="V236" s="8">
        <v>16206</v>
      </c>
      <c r="W236" s="8">
        <v>16719.150000000001</v>
      </c>
      <c r="X236" s="8">
        <v>16639.5</v>
      </c>
      <c r="Y236" s="8">
        <v>16093.9</v>
      </c>
      <c r="Z236" s="8">
        <v>15417.9</v>
      </c>
      <c r="AA236" s="8">
        <v>14688.1</v>
      </c>
      <c r="AB236" s="8">
        <v>14341.95</v>
      </c>
      <c r="AC236" s="8">
        <v>7359552.0000000009</v>
      </c>
      <c r="AD236" s="8"/>
    </row>
    <row r="237" spans="1:30" x14ac:dyDescent="0.25">
      <c r="A237" s="52">
        <v>10302568</v>
      </c>
      <c r="B237" s="10" t="s">
        <v>32</v>
      </c>
      <c r="C237" s="11">
        <v>4</v>
      </c>
      <c r="D237" s="119"/>
      <c r="E237" s="8">
        <v>14435.25</v>
      </c>
      <c r="F237" s="8">
        <v>14159</v>
      </c>
      <c r="G237" s="8">
        <v>13764</v>
      </c>
      <c r="H237" s="8">
        <v>13323.75</v>
      </c>
      <c r="I237" s="8">
        <v>13270.5</v>
      </c>
      <c r="J237" s="8">
        <v>13584.75</v>
      </c>
      <c r="K237" s="8">
        <v>13879</v>
      </c>
      <c r="L237" s="8">
        <v>14455.25</v>
      </c>
      <c r="M237" s="8">
        <v>15247.5</v>
      </c>
      <c r="N237" s="8">
        <v>15817.75</v>
      </c>
      <c r="O237" s="8">
        <v>16255.25</v>
      </c>
      <c r="P237" s="8">
        <v>16593.75</v>
      </c>
      <c r="Q237" s="8">
        <v>16487.5</v>
      </c>
      <c r="R237" s="8">
        <v>16470.5</v>
      </c>
      <c r="S237" s="8">
        <v>16770.25</v>
      </c>
      <c r="T237" s="8">
        <v>16846</v>
      </c>
      <c r="U237" s="8">
        <v>16422</v>
      </c>
      <c r="V237" s="8">
        <v>16200.75</v>
      </c>
      <c r="W237" s="8">
        <v>16714.25</v>
      </c>
      <c r="X237" s="8">
        <v>16634.5</v>
      </c>
      <c r="Y237" s="8">
        <v>16089</v>
      </c>
      <c r="Z237" s="8">
        <v>15413</v>
      </c>
      <c r="AA237" s="8">
        <v>14683</v>
      </c>
      <c r="AB237" s="8">
        <v>14336.75</v>
      </c>
      <c r="AC237" s="8">
        <v>1471413</v>
      </c>
      <c r="AD237" s="8"/>
    </row>
    <row r="238" spans="1:30" ht="15.75" thickBot="1" x14ac:dyDescent="0.3">
      <c r="A238" s="60"/>
      <c r="B238" s="13" t="s">
        <v>33</v>
      </c>
      <c r="C238" s="14">
        <v>4</v>
      </c>
      <c r="D238" s="120"/>
      <c r="E238" s="8">
        <v>14437.25</v>
      </c>
      <c r="F238" s="8">
        <v>14161</v>
      </c>
      <c r="G238" s="8">
        <v>13766</v>
      </c>
      <c r="H238" s="8">
        <v>13325.75</v>
      </c>
      <c r="I238" s="8">
        <v>13272.5</v>
      </c>
      <c r="J238" s="8">
        <v>13587</v>
      </c>
      <c r="K238" s="8">
        <v>13881.25</v>
      </c>
      <c r="L238" s="8">
        <v>14457.5</v>
      </c>
      <c r="M238" s="8">
        <v>15249.5</v>
      </c>
      <c r="N238" s="8">
        <v>15819.75</v>
      </c>
      <c r="O238" s="8">
        <v>16257</v>
      </c>
      <c r="P238" s="8">
        <v>16595.5</v>
      </c>
      <c r="Q238" s="8">
        <v>16489.5</v>
      </c>
      <c r="R238" s="8">
        <v>16472.5</v>
      </c>
      <c r="S238" s="8">
        <v>16772.25</v>
      </c>
      <c r="T238" s="8">
        <v>16848</v>
      </c>
      <c r="U238" s="8">
        <v>16424</v>
      </c>
      <c r="V238" s="8">
        <v>16202.75</v>
      </c>
      <c r="W238" s="8">
        <v>16716</v>
      </c>
      <c r="X238" s="8">
        <v>16636.25</v>
      </c>
      <c r="Y238" s="8">
        <v>16090.75</v>
      </c>
      <c r="Z238" s="8">
        <v>15415</v>
      </c>
      <c r="AA238" s="8">
        <v>14685</v>
      </c>
      <c r="AB238" s="8">
        <v>14338.75</v>
      </c>
      <c r="AC238" s="8">
        <v>1471603</v>
      </c>
      <c r="AD238" s="8">
        <v>10302568</v>
      </c>
    </row>
    <row r="239" spans="1:30" ht="15.75" thickBot="1" x14ac:dyDescent="0.3">
      <c r="B239" s="57"/>
    </row>
    <row r="240" spans="1:30" x14ac:dyDescent="0.25">
      <c r="A240" s="58"/>
      <c r="B240" s="6" t="s">
        <v>31</v>
      </c>
      <c r="C240" s="7">
        <v>21</v>
      </c>
      <c r="D240" s="118">
        <v>47543</v>
      </c>
      <c r="E240" s="8">
        <v>14499.619047619048</v>
      </c>
      <c r="F240" s="8">
        <v>14223.857142857143</v>
      </c>
      <c r="G240" s="8">
        <v>13828.380952380952</v>
      </c>
      <c r="H240" s="8">
        <v>13386.523809523809</v>
      </c>
      <c r="I240" s="8">
        <v>13333.523809523809</v>
      </c>
      <c r="J240" s="8">
        <v>13649.619047619048</v>
      </c>
      <c r="K240" s="8">
        <v>13945.190476190477</v>
      </c>
      <c r="L240" s="8">
        <v>14520.523809523809</v>
      </c>
      <c r="M240" s="8">
        <v>15312.380952380952</v>
      </c>
      <c r="N240" s="8">
        <v>15880.523809523809</v>
      </c>
      <c r="O240" s="8">
        <v>16315.619047619048</v>
      </c>
      <c r="P240" s="8">
        <v>16652.571428571428</v>
      </c>
      <c r="Q240" s="8">
        <v>16545</v>
      </c>
      <c r="R240" s="8">
        <v>16529.190476190477</v>
      </c>
      <c r="S240" s="8">
        <v>16832</v>
      </c>
      <c r="T240" s="8">
        <v>16909.238095238095</v>
      </c>
      <c r="U240" s="8">
        <v>16484.857142857141</v>
      </c>
      <c r="V240" s="8">
        <v>16262.523809523809</v>
      </c>
      <c r="W240" s="8">
        <v>16773.523809523809</v>
      </c>
      <c r="X240" s="8">
        <v>16696.285714285714</v>
      </c>
      <c r="Y240" s="8">
        <v>16147.809523809523</v>
      </c>
      <c r="Z240" s="8">
        <v>15471.952380952382</v>
      </c>
      <c r="AA240" s="8">
        <v>14742.476190476191</v>
      </c>
      <c r="AB240" s="8">
        <v>14398.047619047618</v>
      </c>
      <c r="AC240" s="8">
        <v>7756166</v>
      </c>
      <c r="AD240" s="8"/>
    </row>
    <row r="241" spans="1:30" x14ac:dyDescent="0.25">
      <c r="A241" s="52">
        <v>11449930</v>
      </c>
      <c r="B241" s="10" t="s">
        <v>32</v>
      </c>
      <c r="C241" s="11">
        <v>5</v>
      </c>
      <c r="D241" s="119"/>
      <c r="E241" s="8">
        <v>14500.2</v>
      </c>
      <c r="F241" s="8">
        <v>14224.2</v>
      </c>
      <c r="G241" s="8">
        <v>13828.8</v>
      </c>
      <c r="H241" s="8">
        <v>13387.2</v>
      </c>
      <c r="I241" s="8">
        <v>13334</v>
      </c>
      <c r="J241" s="8">
        <v>13650.2</v>
      </c>
      <c r="K241" s="8">
        <v>13945.8</v>
      </c>
      <c r="L241" s="8">
        <v>14521</v>
      </c>
      <c r="M241" s="8">
        <v>15312.8</v>
      </c>
      <c r="N241" s="8">
        <v>15881</v>
      </c>
      <c r="O241" s="8">
        <v>16316.2</v>
      </c>
      <c r="P241" s="8">
        <v>16653</v>
      </c>
      <c r="Q241" s="8">
        <v>16545.400000000001</v>
      </c>
      <c r="R241" s="8">
        <v>16529.8</v>
      </c>
      <c r="S241" s="8">
        <v>16832.400000000001</v>
      </c>
      <c r="T241" s="8">
        <v>16909.8</v>
      </c>
      <c r="U241" s="8">
        <v>16485.400000000001</v>
      </c>
      <c r="V241" s="8">
        <v>16263</v>
      </c>
      <c r="W241" s="8">
        <v>16774</v>
      </c>
      <c r="X241" s="8">
        <v>16696.8</v>
      </c>
      <c r="Y241" s="8">
        <v>16148</v>
      </c>
      <c r="Z241" s="8">
        <v>15472.4</v>
      </c>
      <c r="AA241" s="8">
        <v>14743</v>
      </c>
      <c r="AB241" s="8">
        <v>14398.4</v>
      </c>
      <c r="AC241" s="8">
        <v>1846764</v>
      </c>
      <c r="AD241" s="8"/>
    </row>
    <row r="242" spans="1:30" ht="15.75" thickBot="1" x14ac:dyDescent="0.3">
      <c r="A242" s="60"/>
      <c r="B242" s="13" t="s">
        <v>33</v>
      </c>
      <c r="C242" s="14">
        <v>5</v>
      </c>
      <c r="D242" s="120"/>
      <c r="E242" s="8">
        <v>14502.2</v>
      </c>
      <c r="F242" s="8">
        <v>14226.2</v>
      </c>
      <c r="G242" s="8">
        <v>13830.8</v>
      </c>
      <c r="H242" s="8">
        <v>13389.2</v>
      </c>
      <c r="I242" s="8">
        <v>13336</v>
      </c>
      <c r="J242" s="8">
        <v>13652.2</v>
      </c>
      <c r="K242" s="8">
        <v>13948</v>
      </c>
      <c r="L242" s="8">
        <v>14523</v>
      </c>
      <c r="M242" s="8">
        <v>15314.8</v>
      </c>
      <c r="N242" s="8">
        <v>15883</v>
      </c>
      <c r="O242" s="8">
        <v>16318.2</v>
      </c>
      <c r="P242" s="8">
        <v>16655</v>
      </c>
      <c r="Q242" s="8">
        <v>16547.2</v>
      </c>
      <c r="R242" s="8">
        <v>16531.599999999999</v>
      </c>
      <c r="S242" s="8">
        <v>16834.400000000001</v>
      </c>
      <c r="T242" s="8">
        <v>16911.8</v>
      </c>
      <c r="U242" s="8">
        <v>16487.400000000001</v>
      </c>
      <c r="V242" s="8">
        <v>16265</v>
      </c>
      <c r="W242" s="8">
        <v>16775.8</v>
      </c>
      <c r="X242" s="8">
        <v>16698.599999999999</v>
      </c>
      <c r="Y242" s="8">
        <v>16150</v>
      </c>
      <c r="Z242" s="8">
        <v>15474.2</v>
      </c>
      <c r="AA242" s="8">
        <v>14745</v>
      </c>
      <c r="AB242" s="8">
        <v>14400.4</v>
      </c>
      <c r="AC242" s="8">
        <v>1847000</v>
      </c>
      <c r="AD242" s="8">
        <v>11449930</v>
      </c>
    </row>
    <row r="243" spans="1:30" ht="15.75" thickBot="1" x14ac:dyDescent="0.3">
      <c r="B243" s="57"/>
    </row>
    <row r="244" spans="1:30" ht="15.75" customHeight="1" x14ac:dyDescent="0.25">
      <c r="A244" s="58"/>
      <c r="B244" s="6" t="s">
        <v>31</v>
      </c>
      <c r="C244" s="7">
        <v>21</v>
      </c>
      <c r="D244" s="118">
        <v>47574</v>
      </c>
      <c r="E244" s="8">
        <v>14561.428571428571</v>
      </c>
      <c r="F244" s="8">
        <v>14286</v>
      </c>
      <c r="G244" s="8">
        <v>13890.238095238095</v>
      </c>
      <c r="H244" s="8">
        <v>13447.523809523809</v>
      </c>
      <c r="I244" s="8">
        <v>13394.238095238095</v>
      </c>
      <c r="J244" s="8">
        <v>13711.857142857143</v>
      </c>
      <c r="K244" s="8">
        <v>14008.857142857143</v>
      </c>
      <c r="L244" s="8">
        <v>14583.047619047618</v>
      </c>
      <c r="M244" s="8">
        <v>15374.619047619048</v>
      </c>
      <c r="N244" s="8">
        <v>15940.857142857143</v>
      </c>
      <c r="O244" s="8">
        <v>16373.666666666666</v>
      </c>
      <c r="P244" s="8">
        <v>16709</v>
      </c>
      <c r="Q244" s="8">
        <v>16599.952380952382</v>
      </c>
      <c r="R244" s="8">
        <v>16585.571428571428</v>
      </c>
      <c r="S244" s="8">
        <v>16891.142857142859</v>
      </c>
      <c r="T244" s="8">
        <v>16969.523809523809</v>
      </c>
      <c r="U244" s="8">
        <v>16545.523809523809</v>
      </c>
      <c r="V244" s="8">
        <v>16321.523809523809</v>
      </c>
      <c r="W244" s="8">
        <v>16830.380952380954</v>
      </c>
      <c r="X244" s="8">
        <v>16755.523809523809</v>
      </c>
      <c r="Y244" s="8">
        <v>16204.047619047618</v>
      </c>
      <c r="Z244" s="8">
        <v>15528.428571428571</v>
      </c>
      <c r="AA244" s="8">
        <v>14799.571428571429</v>
      </c>
      <c r="AB244" s="8">
        <v>14456.714285714286</v>
      </c>
      <c r="AC244" s="8">
        <v>7786154</v>
      </c>
      <c r="AD244" s="8"/>
    </row>
    <row r="245" spans="1:30" x14ac:dyDescent="0.25">
      <c r="A245" s="52">
        <v>11124131</v>
      </c>
      <c r="B245" s="10" t="s">
        <v>32</v>
      </c>
      <c r="C245" s="11">
        <v>4</v>
      </c>
      <c r="D245" s="119"/>
      <c r="E245" s="8">
        <v>14565</v>
      </c>
      <c r="F245" s="8">
        <v>14289.5</v>
      </c>
      <c r="G245" s="8">
        <v>13894</v>
      </c>
      <c r="H245" s="8">
        <v>13451</v>
      </c>
      <c r="I245" s="8">
        <v>13397.75</v>
      </c>
      <c r="J245" s="8">
        <v>13715.5</v>
      </c>
      <c r="K245" s="8">
        <v>14012.5</v>
      </c>
      <c r="L245" s="8">
        <v>14586.75</v>
      </c>
      <c r="M245" s="8">
        <v>15378</v>
      </c>
      <c r="N245" s="8">
        <v>15944.5</v>
      </c>
      <c r="O245" s="8">
        <v>16377</v>
      </c>
      <c r="P245" s="8">
        <v>16712.5</v>
      </c>
      <c r="Q245" s="8">
        <v>16603.25</v>
      </c>
      <c r="R245" s="8">
        <v>16588.5</v>
      </c>
      <c r="S245" s="8">
        <v>16894.5</v>
      </c>
      <c r="T245" s="8">
        <v>16973</v>
      </c>
      <c r="U245" s="8">
        <v>16549</v>
      </c>
      <c r="V245" s="8">
        <v>16325</v>
      </c>
      <c r="W245" s="8">
        <v>16833.75</v>
      </c>
      <c r="X245" s="8">
        <v>16759</v>
      </c>
      <c r="Y245" s="8">
        <v>16207.5</v>
      </c>
      <c r="Z245" s="8">
        <v>15531.5</v>
      </c>
      <c r="AA245" s="8">
        <v>14803</v>
      </c>
      <c r="AB245" s="8">
        <v>14460.25</v>
      </c>
      <c r="AC245" s="8">
        <v>1483409</v>
      </c>
      <c r="AD245" s="8"/>
    </row>
    <row r="246" spans="1:30" ht="15.75" thickBot="1" x14ac:dyDescent="0.3">
      <c r="A246" s="60"/>
      <c r="B246" s="13" t="s">
        <v>33</v>
      </c>
      <c r="C246" s="14">
        <v>5</v>
      </c>
      <c r="D246" s="120"/>
      <c r="E246" s="8">
        <v>14567.6</v>
      </c>
      <c r="F246" s="8">
        <v>14292.2</v>
      </c>
      <c r="G246" s="8">
        <v>13896.6</v>
      </c>
      <c r="H246" s="8">
        <v>13453.6</v>
      </c>
      <c r="I246" s="8">
        <v>13400.4</v>
      </c>
      <c r="J246" s="8">
        <v>13718.2</v>
      </c>
      <c r="K246" s="8">
        <v>14015.2</v>
      </c>
      <c r="L246" s="8">
        <v>14589.4</v>
      </c>
      <c r="M246" s="8">
        <v>15380.6</v>
      </c>
      <c r="N246" s="8">
        <v>15947.2</v>
      </c>
      <c r="O246" s="8">
        <v>16379.6</v>
      </c>
      <c r="P246" s="8">
        <v>16714.8</v>
      </c>
      <c r="Q246" s="8">
        <v>16605.599999999999</v>
      </c>
      <c r="R246" s="8">
        <v>16591</v>
      </c>
      <c r="S246" s="8">
        <v>16897</v>
      </c>
      <c r="T246" s="8">
        <v>16975.599999999999</v>
      </c>
      <c r="U246" s="8">
        <v>16551.599999999999</v>
      </c>
      <c r="V246" s="8">
        <v>16327.6</v>
      </c>
      <c r="W246" s="8">
        <v>16836.2</v>
      </c>
      <c r="X246" s="8">
        <v>16761.599999999999</v>
      </c>
      <c r="Y246" s="8">
        <v>16209.8</v>
      </c>
      <c r="Z246" s="8">
        <v>15534</v>
      </c>
      <c r="AA246" s="8">
        <v>14805.4</v>
      </c>
      <c r="AB246" s="8">
        <v>14462.8</v>
      </c>
      <c r="AC246" s="8">
        <v>1854568</v>
      </c>
      <c r="AD246" s="8">
        <v>11124131</v>
      </c>
    </row>
    <row r="247" spans="1:30" ht="15.75" thickBot="1" x14ac:dyDescent="0.3">
      <c r="B247" s="57"/>
    </row>
    <row r="248" spans="1:30" x14ac:dyDescent="0.25">
      <c r="A248" s="58"/>
      <c r="B248" s="6" t="s">
        <v>31</v>
      </c>
      <c r="C248" s="7">
        <v>21</v>
      </c>
      <c r="D248" s="118">
        <v>47604</v>
      </c>
      <c r="E248" s="8">
        <v>14629.380952380952</v>
      </c>
      <c r="F248" s="8">
        <v>14354.285714285714</v>
      </c>
      <c r="G248" s="8">
        <v>13958.428571428571</v>
      </c>
      <c r="H248" s="8">
        <v>13514</v>
      </c>
      <c r="I248" s="8">
        <v>13460.571428571429</v>
      </c>
      <c r="J248" s="8">
        <v>13780.476190476191</v>
      </c>
      <c r="K248" s="8">
        <v>14078.761904761905</v>
      </c>
      <c r="L248" s="8">
        <v>14651.857142857143</v>
      </c>
      <c r="M248" s="8">
        <v>15442.952380952382</v>
      </c>
      <c r="N248" s="8">
        <v>16007.523809523809</v>
      </c>
      <c r="O248" s="8">
        <v>16437.523809523809</v>
      </c>
      <c r="P248" s="8">
        <v>16771.142857142859</v>
      </c>
      <c r="Q248" s="8">
        <v>16660.428571428572</v>
      </c>
      <c r="R248" s="8">
        <v>16647.285714285714</v>
      </c>
      <c r="S248" s="8">
        <v>16956.095238095237</v>
      </c>
      <c r="T248" s="8">
        <v>17036.380952380954</v>
      </c>
      <c r="U248" s="8">
        <v>16611.857142857141</v>
      </c>
      <c r="V248" s="8">
        <v>16386.619047619046</v>
      </c>
      <c r="W248" s="8">
        <v>16893</v>
      </c>
      <c r="X248" s="8">
        <v>16820.571428571428</v>
      </c>
      <c r="Y248" s="8">
        <v>16266.047619047618</v>
      </c>
      <c r="Z248" s="8">
        <v>15590.571428571429</v>
      </c>
      <c r="AA248" s="8">
        <v>14862.428571428571</v>
      </c>
      <c r="AB248" s="8">
        <v>14521.190476190477</v>
      </c>
      <c r="AC248" s="8">
        <v>7819127</v>
      </c>
      <c r="AD248" s="8"/>
    </row>
    <row r="249" spans="1:30" x14ac:dyDescent="0.25">
      <c r="A249" s="52">
        <v>11539917</v>
      </c>
      <c r="B249" s="10" t="s">
        <v>32</v>
      </c>
      <c r="C249" s="11">
        <v>4</v>
      </c>
      <c r="D249" s="119"/>
      <c r="E249" s="8">
        <v>14622.5</v>
      </c>
      <c r="F249" s="8">
        <v>14347.5</v>
      </c>
      <c r="G249" s="8">
        <v>13951.5</v>
      </c>
      <c r="H249" s="8">
        <v>13507.5</v>
      </c>
      <c r="I249" s="8">
        <v>13454</v>
      </c>
      <c r="J249" s="8">
        <v>13773.5</v>
      </c>
      <c r="K249" s="8">
        <v>14071.75</v>
      </c>
      <c r="L249" s="8">
        <v>14645</v>
      </c>
      <c r="M249" s="8">
        <v>15436</v>
      </c>
      <c r="N249" s="8">
        <v>16001</v>
      </c>
      <c r="O249" s="8">
        <v>16431</v>
      </c>
      <c r="P249" s="8">
        <v>16765</v>
      </c>
      <c r="Q249" s="8">
        <v>16654.5</v>
      </c>
      <c r="R249" s="8">
        <v>16641.5</v>
      </c>
      <c r="S249" s="8">
        <v>16949.75</v>
      </c>
      <c r="T249" s="8">
        <v>17029.75</v>
      </c>
      <c r="U249" s="8">
        <v>16605.25</v>
      </c>
      <c r="V249" s="8">
        <v>16380.25</v>
      </c>
      <c r="W249" s="8">
        <v>16886.75</v>
      </c>
      <c r="X249" s="8">
        <v>16814.25</v>
      </c>
      <c r="Y249" s="8">
        <v>16259.75</v>
      </c>
      <c r="Z249" s="8">
        <v>15584.5</v>
      </c>
      <c r="AA249" s="8">
        <v>14856</v>
      </c>
      <c r="AB249" s="8">
        <v>14514.75</v>
      </c>
      <c r="AC249" s="8">
        <v>1488733</v>
      </c>
      <c r="AD249" s="8"/>
    </row>
    <row r="250" spans="1:30" ht="15.75" thickBot="1" x14ac:dyDescent="0.3">
      <c r="A250" s="60"/>
      <c r="B250" s="13" t="s">
        <v>33</v>
      </c>
      <c r="C250" s="14">
        <v>6</v>
      </c>
      <c r="D250" s="120"/>
      <c r="E250" s="8">
        <v>14615.166666666666</v>
      </c>
      <c r="F250" s="8">
        <v>14340</v>
      </c>
      <c r="G250" s="8">
        <v>13944</v>
      </c>
      <c r="H250" s="8">
        <v>13500</v>
      </c>
      <c r="I250" s="8">
        <v>13446.666666666666</v>
      </c>
      <c r="J250" s="8">
        <v>13766</v>
      </c>
      <c r="K250" s="8">
        <v>14064</v>
      </c>
      <c r="L250" s="8">
        <v>14637.333333333334</v>
      </c>
      <c r="M250" s="8">
        <v>15428.5</v>
      </c>
      <c r="N250" s="8">
        <v>15993.666666666666</v>
      </c>
      <c r="O250" s="8">
        <v>16424</v>
      </c>
      <c r="P250" s="8">
        <v>16758</v>
      </c>
      <c r="Q250" s="8">
        <v>16648</v>
      </c>
      <c r="R250" s="8">
        <v>16634.5</v>
      </c>
      <c r="S250" s="8">
        <v>16942.5</v>
      </c>
      <c r="T250" s="8">
        <v>17022.166666666668</v>
      </c>
      <c r="U250" s="8">
        <v>16597.833333333332</v>
      </c>
      <c r="V250" s="8">
        <v>16373.166666666666</v>
      </c>
      <c r="W250" s="8">
        <v>16879.833333333332</v>
      </c>
      <c r="X250" s="8">
        <v>16807.166666666668</v>
      </c>
      <c r="Y250" s="8">
        <v>16252.833333333334</v>
      </c>
      <c r="Z250" s="8">
        <v>15577.666666666666</v>
      </c>
      <c r="AA250" s="8">
        <v>14849</v>
      </c>
      <c r="AB250" s="8">
        <v>14507.5</v>
      </c>
      <c r="AC250" s="8">
        <v>2232057</v>
      </c>
      <c r="AD250" s="8">
        <v>11539917</v>
      </c>
    </row>
    <row r="251" spans="1:30" ht="15.75" thickBot="1" x14ac:dyDescent="0.3">
      <c r="B251" s="57"/>
    </row>
    <row r="252" spans="1:30" x14ac:dyDescent="0.25">
      <c r="A252" s="58"/>
      <c r="B252" s="6" t="s">
        <v>31</v>
      </c>
      <c r="C252" s="7">
        <v>19</v>
      </c>
      <c r="D252" s="118">
        <v>47635</v>
      </c>
      <c r="E252" s="8">
        <v>14688.052631578947</v>
      </c>
      <c r="F252" s="8">
        <v>14413.315789473685</v>
      </c>
      <c r="G252" s="8">
        <v>14017.105263157895</v>
      </c>
      <c r="H252" s="8">
        <v>13571.526315789473</v>
      </c>
      <c r="I252" s="8">
        <v>13518.526315789473</v>
      </c>
      <c r="J252" s="8">
        <v>13839.526315789473</v>
      </c>
      <c r="K252" s="8">
        <v>14139.105263157895</v>
      </c>
      <c r="L252" s="8">
        <v>14711.315789473685</v>
      </c>
      <c r="M252" s="8">
        <v>15502</v>
      </c>
      <c r="N252" s="8">
        <v>16064.526315789473</v>
      </c>
      <c r="O252" s="8">
        <v>16492.526315789473</v>
      </c>
      <c r="P252" s="8">
        <v>16824.842105263157</v>
      </c>
      <c r="Q252" s="8">
        <v>16712.78947368421</v>
      </c>
      <c r="R252" s="8">
        <v>16700.894736842107</v>
      </c>
      <c r="S252" s="8">
        <v>17012.263157894737</v>
      </c>
      <c r="T252" s="8">
        <v>17093.526315789473</v>
      </c>
      <c r="U252" s="8">
        <v>16669.526315789473</v>
      </c>
      <c r="V252" s="8">
        <v>16442.947368421053</v>
      </c>
      <c r="W252" s="8">
        <v>16947.052631578947</v>
      </c>
      <c r="X252" s="8">
        <v>16877.052631578947</v>
      </c>
      <c r="Y252" s="8">
        <v>16319.526315789473</v>
      </c>
      <c r="Z252" s="8">
        <v>15644.21052631579</v>
      </c>
      <c r="AA252" s="8">
        <v>14916.526315789473</v>
      </c>
      <c r="AB252" s="8">
        <v>14577</v>
      </c>
      <c r="AC252" s="8">
        <v>7100218</v>
      </c>
      <c r="AD252" s="8"/>
    </row>
    <row r="253" spans="1:30" x14ac:dyDescent="0.25">
      <c r="A253" s="52">
        <v>11211214</v>
      </c>
      <c r="B253" s="10" t="s">
        <v>32</v>
      </c>
      <c r="C253" s="11">
        <v>5</v>
      </c>
      <c r="D253" s="119"/>
      <c r="E253" s="8">
        <v>14687.6</v>
      </c>
      <c r="F253" s="8">
        <v>14412.8</v>
      </c>
      <c r="G253" s="8">
        <v>14016.8</v>
      </c>
      <c r="H253" s="8">
        <v>13571</v>
      </c>
      <c r="I253" s="8">
        <v>13518</v>
      </c>
      <c r="J253" s="8">
        <v>13839</v>
      </c>
      <c r="K253" s="8">
        <v>14138.6</v>
      </c>
      <c r="L253" s="8">
        <v>14710.8</v>
      </c>
      <c r="M253" s="8">
        <v>15501.6</v>
      </c>
      <c r="N253" s="8">
        <v>16064</v>
      </c>
      <c r="O253" s="8">
        <v>16492.2</v>
      </c>
      <c r="P253" s="8">
        <v>16824.2</v>
      </c>
      <c r="Q253" s="8">
        <v>16712.2</v>
      </c>
      <c r="R253" s="8">
        <v>16700.400000000001</v>
      </c>
      <c r="S253" s="8">
        <v>17011.8</v>
      </c>
      <c r="T253" s="8">
        <v>17093</v>
      </c>
      <c r="U253" s="8">
        <v>16669</v>
      </c>
      <c r="V253" s="8">
        <v>16442.400000000001</v>
      </c>
      <c r="W253" s="8">
        <v>16946.599999999999</v>
      </c>
      <c r="X253" s="8">
        <v>16876.599999999999</v>
      </c>
      <c r="Y253" s="8">
        <v>16319</v>
      </c>
      <c r="Z253" s="8">
        <v>15643.8</v>
      </c>
      <c r="AA253" s="8">
        <v>14916</v>
      </c>
      <c r="AB253" s="8">
        <v>14576.4</v>
      </c>
      <c r="AC253" s="8">
        <v>1868419</v>
      </c>
      <c r="AD253" s="8"/>
    </row>
    <row r="254" spans="1:30" ht="15.75" thickBot="1" x14ac:dyDescent="0.3">
      <c r="A254" s="60"/>
      <c r="B254" s="13" t="s">
        <v>33</v>
      </c>
      <c r="C254" s="14">
        <v>6</v>
      </c>
      <c r="D254" s="120"/>
      <c r="E254" s="8">
        <v>14691</v>
      </c>
      <c r="F254" s="8">
        <v>14416.166666666666</v>
      </c>
      <c r="G254" s="8">
        <v>14020.166666666666</v>
      </c>
      <c r="H254" s="8">
        <v>13574.333333333334</v>
      </c>
      <c r="I254" s="8">
        <v>13521.333333333334</v>
      </c>
      <c r="J254" s="8">
        <v>13842.5</v>
      </c>
      <c r="K254" s="8">
        <v>14142.166666666666</v>
      </c>
      <c r="L254" s="8">
        <v>14714.166666666666</v>
      </c>
      <c r="M254" s="8">
        <v>15505.166666666666</v>
      </c>
      <c r="N254" s="8">
        <v>16067.5</v>
      </c>
      <c r="O254" s="8">
        <v>16495.333333333332</v>
      </c>
      <c r="P254" s="8">
        <v>16827.333333333332</v>
      </c>
      <c r="Q254" s="8">
        <v>16715.166666666668</v>
      </c>
      <c r="R254" s="8">
        <v>16703.5</v>
      </c>
      <c r="S254" s="8">
        <v>17015.166666666668</v>
      </c>
      <c r="T254" s="8">
        <v>17096.333333333332</v>
      </c>
      <c r="U254" s="8">
        <v>16672.333333333332</v>
      </c>
      <c r="V254" s="8">
        <v>16445.666666666668</v>
      </c>
      <c r="W254" s="8">
        <v>16949.666666666668</v>
      </c>
      <c r="X254" s="8">
        <v>16879.833333333332</v>
      </c>
      <c r="Y254" s="8">
        <v>16322.166666666666</v>
      </c>
      <c r="Z254" s="8">
        <v>15646.833333333334</v>
      </c>
      <c r="AA254" s="8">
        <v>14919.333333333334</v>
      </c>
      <c r="AB254" s="8">
        <v>14579.666666666666</v>
      </c>
      <c r="AC254" s="8">
        <v>2242577</v>
      </c>
      <c r="AD254" s="8">
        <v>11211214</v>
      </c>
    </row>
    <row r="255" spans="1:30" ht="15.75" thickBot="1" x14ac:dyDescent="0.3">
      <c r="B255" s="57"/>
    </row>
    <row r="256" spans="1:30" x14ac:dyDescent="0.25">
      <c r="A256" s="50">
        <v>11629943</v>
      </c>
      <c r="B256" s="6" t="s">
        <v>31</v>
      </c>
      <c r="C256" s="7">
        <v>23</v>
      </c>
      <c r="D256" s="118">
        <v>47665</v>
      </c>
      <c r="E256" s="8">
        <v>14379.954545454546</v>
      </c>
      <c r="F256" s="8">
        <v>14103.545454545454</v>
      </c>
      <c r="G256" s="8">
        <v>13708.545454545454</v>
      </c>
      <c r="H256" s="8">
        <v>13269.363636363636</v>
      </c>
      <c r="I256" s="8">
        <v>13216.363636363636</v>
      </c>
      <c r="J256" s="8">
        <v>13529.181818181818</v>
      </c>
      <c r="K256" s="8">
        <v>13822.181818181818</v>
      </c>
      <c r="L256" s="8">
        <v>14399.40909090909</v>
      </c>
      <c r="M256" s="8">
        <v>15191.863636363636</v>
      </c>
      <c r="N256" s="8">
        <v>15763.363636363636</v>
      </c>
      <c r="O256" s="8">
        <v>16203.40909090909</v>
      </c>
      <c r="P256" s="8">
        <v>16543.272727272728</v>
      </c>
      <c r="Q256" s="8">
        <v>16438.454545454544</v>
      </c>
      <c r="R256" s="8">
        <v>16420.31818181818</v>
      </c>
      <c r="S256" s="8">
        <v>16717.5</v>
      </c>
      <c r="T256" s="8">
        <v>16792.18181818182</v>
      </c>
      <c r="U256" s="8">
        <v>16367.863636363636</v>
      </c>
      <c r="V256" s="8">
        <v>16147.90909090909</v>
      </c>
      <c r="W256" s="8">
        <v>16663.409090909092</v>
      </c>
      <c r="X256" s="8">
        <v>16581.363636363636</v>
      </c>
      <c r="Y256" s="8">
        <v>16038.727272727272</v>
      </c>
      <c r="Z256" s="8">
        <v>15362.5</v>
      </c>
      <c r="AA256" s="8">
        <v>14632.045454545454</v>
      </c>
      <c r="AB256" s="8">
        <v>14284.5</v>
      </c>
      <c r="AC256" s="8">
        <v>8431276.2272727303</v>
      </c>
      <c r="AD256" s="8"/>
    </row>
    <row r="257" spans="1:30" x14ac:dyDescent="0.25">
      <c r="A257" s="62"/>
      <c r="B257" s="10" t="s">
        <v>32</v>
      </c>
      <c r="C257" s="11">
        <v>4</v>
      </c>
      <c r="D257" s="119"/>
      <c r="E257" s="8">
        <v>14377.5</v>
      </c>
      <c r="F257" s="8">
        <v>14101</v>
      </c>
      <c r="G257" s="8">
        <v>13706</v>
      </c>
      <c r="H257" s="8">
        <v>13267</v>
      </c>
      <c r="I257" s="8">
        <v>13214</v>
      </c>
      <c r="J257" s="8">
        <v>13526.5</v>
      </c>
      <c r="K257" s="8">
        <v>13819.5</v>
      </c>
      <c r="L257" s="8">
        <v>14397</v>
      </c>
      <c r="M257" s="8">
        <v>15189.5</v>
      </c>
      <c r="N257" s="8">
        <v>15761</v>
      </c>
      <c r="O257" s="8">
        <v>16201</v>
      </c>
      <c r="P257" s="8">
        <v>16541</v>
      </c>
      <c r="Q257" s="8">
        <v>16436.5</v>
      </c>
      <c r="R257" s="8">
        <v>16418.25</v>
      </c>
      <c r="S257" s="8">
        <v>16715.25</v>
      </c>
      <c r="T257" s="8">
        <v>16789.75</v>
      </c>
      <c r="U257" s="8">
        <v>16365.5</v>
      </c>
      <c r="V257" s="8">
        <v>16145.5</v>
      </c>
      <c r="W257" s="8">
        <v>16661</v>
      </c>
      <c r="X257" s="8">
        <v>16579</v>
      </c>
      <c r="Y257" s="8">
        <v>16036.5</v>
      </c>
      <c r="Z257" s="8">
        <v>15360.5</v>
      </c>
      <c r="AA257" s="8">
        <v>14629.75</v>
      </c>
      <c r="AB257" s="8">
        <v>14282.25</v>
      </c>
      <c r="AC257" s="8">
        <v>1466083</v>
      </c>
      <c r="AD257" s="8"/>
    </row>
    <row r="258" spans="1:30" ht="15.75" thickBot="1" x14ac:dyDescent="0.3">
      <c r="A258" s="60"/>
      <c r="B258" s="13" t="s">
        <v>33</v>
      </c>
      <c r="C258" s="14">
        <v>4</v>
      </c>
      <c r="D258" s="120"/>
      <c r="E258" s="8">
        <v>14373.2</v>
      </c>
      <c r="F258" s="8">
        <v>14096.6</v>
      </c>
      <c r="G258" s="8">
        <v>13701.6</v>
      </c>
      <c r="H258" s="8">
        <v>13262.8</v>
      </c>
      <c r="I258" s="8">
        <v>13209.8</v>
      </c>
      <c r="J258" s="8">
        <v>13522.4</v>
      </c>
      <c r="K258" s="8">
        <v>13815.2</v>
      </c>
      <c r="L258" s="8">
        <v>14392.6</v>
      </c>
      <c r="M258" s="8">
        <v>15185</v>
      </c>
      <c r="N258" s="8">
        <v>15756.8</v>
      </c>
      <c r="O258" s="8">
        <v>16197</v>
      </c>
      <c r="P258" s="8">
        <v>16537.2</v>
      </c>
      <c r="Q258" s="8">
        <v>16432.599999999999</v>
      </c>
      <c r="R258" s="8">
        <v>16414.2</v>
      </c>
      <c r="S258" s="8">
        <v>16711.2</v>
      </c>
      <c r="T258" s="8">
        <v>16785.400000000001</v>
      </c>
      <c r="U258" s="8">
        <v>16361.2</v>
      </c>
      <c r="V258" s="8">
        <v>16141.4</v>
      </c>
      <c r="W258" s="8">
        <v>16657.2</v>
      </c>
      <c r="X258" s="8">
        <v>16574.8</v>
      </c>
      <c r="Y258" s="8">
        <v>16032.6</v>
      </c>
      <c r="Z258" s="8">
        <v>15356.4</v>
      </c>
      <c r="AA258" s="8">
        <v>14625.8</v>
      </c>
      <c r="AB258" s="8">
        <v>14278.2</v>
      </c>
      <c r="AC258" s="8">
        <v>1465684.8000000003</v>
      </c>
      <c r="AD258" s="8">
        <v>11363044.027272731</v>
      </c>
    </row>
    <row r="259" spans="1:30" ht="15.75" thickBot="1" x14ac:dyDescent="0.3">
      <c r="B259" s="57"/>
    </row>
    <row r="260" spans="1:30" x14ac:dyDescent="0.25">
      <c r="A260" s="58"/>
      <c r="B260" s="6" t="s">
        <v>31</v>
      </c>
      <c r="C260" s="7">
        <v>21</v>
      </c>
      <c r="D260" s="118">
        <v>47696</v>
      </c>
      <c r="E260" s="8">
        <v>14379.954545454546</v>
      </c>
      <c r="F260" s="8">
        <v>14103.545454545454</v>
      </c>
      <c r="G260" s="8">
        <v>13708.545454545454</v>
      </c>
      <c r="H260" s="8">
        <v>13269.363636363636</v>
      </c>
      <c r="I260" s="8">
        <v>13216.363636363636</v>
      </c>
      <c r="J260" s="8">
        <v>13529.181818181818</v>
      </c>
      <c r="K260" s="8">
        <v>13822.181818181818</v>
      </c>
      <c r="L260" s="8">
        <v>14399.40909090909</v>
      </c>
      <c r="M260" s="8">
        <v>15191.863636363636</v>
      </c>
      <c r="N260" s="8">
        <v>15763.363636363636</v>
      </c>
      <c r="O260" s="8">
        <v>16203.40909090909</v>
      </c>
      <c r="P260" s="8">
        <v>16543.272727272728</v>
      </c>
      <c r="Q260" s="8">
        <v>16438.454545454544</v>
      </c>
      <c r="R260" s="8">
        <v>16420.31818181818</v>
      </c>
      <c r="S260" s="8">
        <v>16717.5</v>
      </c>
      <c r="T260" s="8">
        <v>16792.18181818182</v>
      </c>
      <c r="U260" s="8">
        <v>16367.863636363636</v>
      </c>
      <c r="V260" s="8">
        <v>16147.90909090909</v>
      </c>
      <c r="W260" s="8">
        <v>16663.409090909092</v>
      </c>
      <c r="X260" s="8">
        <v>16581.363636363636</v>
      </c>
      <c r="Y260" s="8">
        <v>16038.727272727272</v>
      </c>
      <c r="Z260" s="8">
        <v>15362.5</v>
      </c>
      <c r="AA260" s="8">
        <v>14632.045454545454</v>
      </c>
      <c r="AB260" s="8">
        <v>14284.5</v>
      </c>
      <c r="AC260" s="8">
        <v>7698121.7727272753</v>
      </c>
      <c r="AD260" s="8"/>
    </row>
    <row r="261" spans="1:30" x14ac:dyDescent="0.25">
      <c r="A261" s="52">
        <v>11675653</v>
      </c>
      <c r="B261" s="10" t="s">
        <v>32</v>
      </c>
      <c r="C261" s="11">
        <v>5</v>
      </c>
      <c r="D261" s="119"/>
      <c r="E261" s="8">
        <v>14377.5</v>
      </c>
      <c r="F261" s="8">
        <v>14101</v>
      </c>
      <c r="G261" s="8">
        <v>13706</v>
      </c>
      <c r="H261" s="8">
        <v>13267</v>
      </c>
      <c r="I261" s="8">
        <v>13214</v>
      </c>
      <c r="J261" s="8">
        <v>13526.5</v>
      </c>
      <c r="K261" s="8">
        <v>13819.5</v>
      </c>
      <c r="L261" s="8">
        <v>14397</v>
      </c>
      <c r="M261" s="8">
        <v>15189.5</v>
      </c>
      <c r="N261" s="8">
        <v>15761</v>
      </c>
      <c r="O261" s="8">
        <v>16201</v>
      </c>
      <c r="P261" s="8">
        <v>16541</v>
      </c>
      <c r="Q261" s="8">
        <v>16436.5</v>
      </c>
      <c r="R261" s="8">
        <v>16418.25</v>
      </c>
      <c r="S261" s="8">
        <v>16715.25</v>
      </c>
      <c r="T261" s="8">
        <v>16789.75</v>
      </c>
      <c r="U261" s="8">
        <v>16365.5</v>
      </c>
      <c r="V261" s="8">
        <v>16145.5</v>
      </c>
      <c r="W261" s="8">
        <v>16661</v>
      </c>
      <c r="X261" s="8">
        <v>16579</v>
      </c>
      <c r="Y261" s="8">
        <v>16036.5</v>
      </c>
      <c r="Z261" s="8">
        <v>15360.5</v>
      </c>
      <c r="AA261" s="8">
        <v>14629.75</v>
      </c>
      <c r="AB261" s="8">
        <v>14282.25</v>
      </c>
      <c r="AC261" s="8">
        <v>1832603.75</v>
      </c>
      <c r="AD261" s="8"/>
    </row>
    <row r="262" spans="1:30" ht="15.75" thickBot="1" x14ac:dyDescent="0.3">
      <c r="A262" s="60"/>
      <c r="B262" s="13" t="s">
        <v>33</v>
      </c>
      <c r="C262" s="14">
        <v>5</v>
      </c>
      <c r="D262" s="120"/>
      <c r="E262" s="8">
        <v>14373.2</v>
      </c>
      <c r="F262" s="8">
        <v>14096.6</v>
      </c>
      <c r="G262" s="8">
        <v>13701.6</v>
      </c>
      <c r="H262" s="8">
        <v>13262.8</v>
      </c>
      <c r="I262" s="8">
        <v>13209.8</v>
      </c>
      <c r="J262" s="8">
        <v>13522.4</v>
      </c>
      <c r="K262" s="8">
        <v>13815.2</v>
      </c>
      <c r="L262" s="8">
        <v>14392.6</v>
      </c>
      <c r="M262" s="8">
        <v>15185</v>
      </c>
      <c r="N262" s="8">
        <v>15756.8</v>
      </c>
      <c r="O262" s="8">
        <v>16197</v>
      </c>
      <c r="P262" s="8">
        <v>16537.2</v>
      </c>
      <c r="Q262" s="8">
        <v>16432.599999999999</v>
      </c>
      <c r="R262" s="8">
        <v>16414.2</v>
      </c>
      <c r="S262" s="8">
        <v>16711.2</v>
      </c>
      <c r="T262" s="8">
        <v>16785.400000000001</v>
      </c>
      <c r="U262" s="8">
        <v>16361.2</v>
      </c>
      <c r="V262" s="8">
        <v>16141.4</v>
      </c>
      <c r="W262" s="8">
        <v>16657.2</v>
      </c>
      <c r="X262" s="8">
        <v>16574.8</v>
      </c>
      <c r="Y262" s="8">
        <v>16032.6</v>
      </c>
      <c r="Z262" s="8">
        <v>15356.4</v>
      </c>
      <c r="AA262" s="8">
        <v>14625.8</v>
      </c>
      <c r="AB262" s="8">
        <v>14278.2</v>
      </c>
      <c r="AC262" s="8">
        <v>1832106.0000000005</v>
      </c>
      <c r="AD262" s="8">
        <v>11362831.522727275</v>
      </c>
    </row>
    <row r="263" spans="1:30" ht="15.75" thickBot="1" x14ac:dyDescent="0.3">
      <c r="B263" s="57"/>
    </row>
    <row r="264" spans="1:30" x14ac:dyDescent="0.25">
      <c r="A264" s="50">
        <v>11342580</v>
      </c>
      <c r="B264" s="6" t="s">
        <v>31</v>
      </c>
      <c r="C264" s="7">
        <v>21</v>
      </c>
      <c r="D264" s="118">
        <v>47727</v>
      </c>
      <c r="E264" s="8">
        <v>14379.954545454546</v>
      </c>
      <c r="F264" s="8">
        <v>14103.545454545454</v>
      </c>
      <c r="G264" s="8">
        <v>13708.545454545454</v>
      </c>
      <c r="H264" s="8">
        <v>13269.363636363636</v>
      </c>
      <c r="I264" s="8">
        <v>13216.363636363636</v>
      </c>
      <c r="J264" s="8">
        <v>13529.181818181818</v>
      </c>
      <c r="K264" s="8">
        <v>13822.181818181818</v>
      </c>
      <c r="L264" s="8">
        <v>14399.40909090909</v>
      </c>
      <c r="M264" s="8">
        <v>15191.863636363636</v>
      </c>
      <c r="N264" s="8">
        <v>15763.363636363636</v>
      </c>
      <c r="O264" s="8">
        <v>16203.40909090909</v>
      </c>
      <c r="P264" s="8">
        <v>16543.272727272728</v>
      </c>
      <c r="Q264" s="8">
        <v>16438.454545454544</v>
      </c>
      <c r="R264" s="8">
        <v>16420.31818181818</v>
      </c>
      <c r="S264" s="8">
        <v>16717.5</v>
      </c>
      <c r="T264" s="8">
        <v>16792.18181818182</v>
      </c>
      <c r="U264" s="8">
        <v>16367.863636363636</v>
      </c>
      <c r="V264" s="8">
        <v>16147.90909090909</v>
      </c>
      <c r="W264" s="8">
        <v>16663.409090909092</v>
      </c>
      <c r="X264" s="8">
        <v>16581.363636363636</v>
      </c>
      <c r="Y264" s="8">
        <v>16038.727272727272</v>
      </c>
      <c r="Z264" s="8">
        <v>15362.5</v>
      </c>
      <c r="AA264" s="8">
        <v>14632.045454545454</v>
      </c>
      <c r="AB264" s="8">
        <v>14284.5</v>
      </c>
      <c r="AC264" s="8">
        <v>7698121.7727272753</v>
      </c>
      <c r="AD264" s="8"/>
    </row>
    <row r="265" spans="1:30" x14ac:dyDescent="0.25">
      <c r="A265" s="62"/>
      <c r="B265" s="10" t="s">
        <v>32</v>
      </c>
      <c r="C265" s="11">
        <v>4</v>
      </c>
      <c r="D265" s="119"/>
      <c r="E265" s="8">
        <v>14377.5</v>
      </c>
      <c r="F265" s="8">
        <v>14101</v>
      </c>
      <c r="G265" s="8">
        <v>13706</v>
      </c>
      <c r="H265" s="8">
        <v>13267</v>
      </c>
      <c r="I265" s="8">
        <v>13214</v>
      </c>
      <c r="J265" s="8">
        <v>13526.5</v>
      </c>
      <c r="K265" s="8">
        <v>13819.5</v>
      </c>
      <c r="L265" s="8">
        <v>14397</v>
      </c>
      <c r="M265" s="8">
        <v>15189.5</v>
      </c>
      <c r="N265" s="8">
        <v>15761</v>
      </c>
      <c r="O265" s="8">
        <v>16201</v>
      </c>
      <c r="P265" s="8">
        <v>16541</v>
      </c>
      <c r="Q265" s="8">
        <v>16436.5</v>
      </c>
      <c r="R265" s="8">
        <v>16418.25</v>
      </c>
      <c r="S265" s="8">
        <v>16715.25</v>
      </c>
      <c r="T265" s="8">
        <v>16789.75</v>
      </c>
      <c r="U265" s="8">
        <v>16365.5</v>
      </c>
      <c r="V265" s="8">
        <v>16145.5</v>
      </c>
      <c r="W265" s="8">
        <v>16661</v>
      </c>
      <c r="X265" s="8">
        <v>16579</v>
      </c>
      <c r="Y265" s="8">
        <v>16036.5</v>
      </c>
      <c r="Z265" s="8">
        <v>15360.5</v>
      </c>
      <c r="AA265" s="8">
        <v>14629.75</v>
      </c>
      <c r="AB265" s="8">
        <v>14282.25</v>
      </c>
      <c r="AC265" s="8">
        <v>1466083</v>
      </c>
      <c r="AD265" s="8"/>
    </row>
    <row r="266" spans="1:30" ht="15.75" thickBot="1" x14ac:dyDescent="0.3">
      <c r="A266" s="60"/>
      <c r="B266" s="13" t="s">
        <v>33</v>
      </c>
      <c r="C266" s="14">
        <v>5</v>
      </c>
      <c r="D266" s="120"/>
      <c r="E266" s="8">
        <v>14373.2</v>
      </c>
      <c r="F266" s="8">
        <v>14096.6</v>
      </c>
      <c r="G266" s="8">
        <v>13701.6</v>
      </c>
      <c r="H266" s="8">
        <v>13262.8</v>
      </c>
      <c r="I266" s="8">
        <v>13209.8</v>
      </c>
      <c r="J266" s="8">
        <v>13522.4</v>
      </c>
      <c r="K266" s="8">
        <v>13815.2</v>
      </c>
      <c r="L266" s="8">
        <v>14392.6</v>
      </c>
      <c r="M266" s="8">
        <v>15185</v>
      </c>
      <c r="N266" s="8">
        <v>15756.8</v>
      </c>
      <c r="O266" s="8">
        <v>16197</v>
      </c>
      <c r="P266" s="8">
        <v>16537.2</v>
      </c>
      <c r="Q266" s="8">
        <v>16432.599999999999</v>
      </c>
      <c r="R266" s="8">
        <v>16414.2</v>
      </c>
      <c r="S266" s="8">
        <v>16711.2</v>
      </c>
      <c r="T266" s="8">
        <v>16785.400000000001</v>
      </c>
      <c r="U266" s="8">
        <v>16361.2</v>
      </c>
      <c r="V266" s="8">
        <v>16141.4</v>
      </c>
      <c r="W266" s="8">
        <v>16657.2</v>
      </c>
      <c r="X266" s="8">
        <v>16574.8</v>
      </c>
      <c r="Y266" s="8">
        <v>16032.6</v>
      </c>
      <c r="Z266" s="8">
        <v>15356.4</v>
      </c>
      <c r="AA266" s="8">
        <v>14625.8</v>
      </c>
      <c r="AB266" s="8">
        <v>14278.2</v>
      </c>
      <c r="AC266" s="8">
        <v>1832106.0000000005</v>
      </c>
      <c r="AD266" s="8">
        <v>10996310.772727275</v>
      </c>
    </row>
    <row r="267" spans="1:30" ht="15.75" thickBot="1" x14ac:dyDescent="0.3">
      <c r="B267" s="57"/>
    </row>
    <row r="268" spans="1:30" x14ac:dyDescent="0.25">
      <c r="A268" s="58"/>
      <c r="B268" s="6" t="s">
        <v>31</v>
      </c>
      <c r="C268" s="7">
        <v>23</v>
      </c>
      <c r="D268" s="118">
        <v>47757</v>
      </c>
      <c r="E268" s="8">
        <v>14379.954545454546</v>
      </c>
      <c r="F268" s="8">
        <v>14103.545454545454</v>
      </c>
      <c r="G268" s="8">
        <v>13708.545454545454</v>
      </c>
      <c r="H268" s="8">
        <v>13269.363636363636</v>
      </c>
      <c r="I268" s="8">
        <v>13216.363636363636</v>
      </c>
      <c r="J268" s="8">
        <v>13529.181818181818</v>
      </c>
      <c r="K268" s="8">
        <v>13822.181818181818</v>
      </c>
      <c r="L268" s="8">
        <v>14399.40909090909</v>
      </c>
      <c r="M268" s="8">
        <v>15191.863636363636</v>
      </c>
      <c r="N268" s="8">
        <v>15763.363636363636</v>
      </c>
      <c r="O268" s="8">
        <v>16203.40909090909</v>
      </c>
      <c r="P268" s="8">
        <v>16543.272727272728</v>
      </c>
      <c r="Q268" s="8">
        <v>16438.454545454544</v>
      </c>
      <c r="R268" s="8">
        <v>16420.31818181818</v>
      </c>
      <c r="S268" s="8">
        <v>16717.5</v>
      </c>
      <c r="T268" s="8">
        <v>16792.18181818182</v>
      </c>
      <c r="U268" s="8">
        <v>16367.863636363636</v>
      </c>
      <c r="V268" s="8">
        <v>16147.90909090909</v>
      </c>
      <c r="W268" s="8">
        <v>16663.409090909092</v>
      </c>
      <c r="X268" s="8">
        <v>16581.363636363636</v>
      </c>
      <c r="Y268" s="8">
        <v>16038.727272727272</v>
      </c>
      <c r="Z268" s="8">
        <v>15362.5</v>
      </c>
      <c r="AA268" s="8">
        <v>14632.045454545454</v>
      </c>
      <c r="AB268" s="8">
        <v>14284.5</v>
      </c>
      <c r="AC268" s="8">
        <v>8431276.2272727303</v>
      </c>
      <c r="AD268" s="8"/>
    </row>
    <row r="269" spans="1:30" x14ac:dyDescent="0.25">
      <c r="A269" s="52">
        <v>11765647</v>
      </c>
      <c r="B269" s="10" t="s">
        <v>32</v>
      </c>
      <c r="C269" s="11">
        <v>4</v>
      </c>
      <c r="D269" s="119"/>
      <c r="E269" s="8">
        <v>14377.5</v>
      </c>
      <c r="F269" s="8">
        <v>14101</v>
      </c>
      <c r="G269" s="8">
        <v>13706</v>
      </c>
      <c r="H269" s="8">
        <v>13267</v>
      </c>
      <c r="I269" s="8">
        <v>13214</v>
      </c>
      <c r="J269" s="8">
        <v>13526.5</v>
      </c>
      <c r="K269" s="8">
        <v>13819.5</v>
      </c>
      <c r="L269" s="8">
        <v>14397</v>
      </c>
      <c r="M269" s="8">
        <v>15189.5</v>
      </c>
      <c r="N269" s="8">
        <v>15761</v>
      </c>
      <c r="O269" s="8">
        <v>16201</v>
      </c>
      <c r="P269" s="8">
        <v>16541</v>
      </c>
      <c r="Q269" s="8">
        <v>16436.5</v>
      </c>
      <c r="R269" s="8">
        <v>16418.25</v>
      </c>
      <c r="S269" s="8">
        <v>16715.25</v>
      </c>
      <c r="T269" s="8">
        <v>16789.75</v>
      </c>
      <c r="U269" s="8">
        <v>16365.5</v>
      </c>
      <c r="V269" s="8">
        <v>16145.5</v>
      </c>
      <c r="W269" s="8">
        <v>16661</v>
      </c>
      <c r="X269" s="8">
        <v>16579</v>
      </c>
      <c r="Y269" s="8">
        <v>16036.5</v>
      </c>
      <c r="Z269" s="8">
        <v>15360.5</v>
      </c>
      <c r="AA269" s="8">
        <v>14629.75</v>
      </c>
      <c r="AB269" s="8">
        <v>14282.25</v>
      </c>
      <c r="AC269" s="8">
        <v>1466083</v>
      </c>
      <c r="AD269" s="8"/>
    </row>
    <row r="270" spans="1:30" ht="15.75" thickBot="1" x14ac:dyDescent="0.3">
      <c r="A270" s="60"/>
      <c r="B270" s="13" t="s">
        <v>33</v>
      </c>
      <c r="C270" s="14">
        <v>4</v>
      </c>
      <c r="D270" s="120"/>
      <c r="E270" s="8">
        <v>14373.2</v>
      </c>
      <c r="F270" s="8">
        <v>14096.6</v>
      </c>
      <c r="G270" s="8">
        <v>13701.6</v>
      </c>
      <c r="H270" s="8">
        <v>13262.8</v>
      </c>
      <c r="I270" s="8">
        <v>13209.8</v>
      </c>
      <c r="J270" s="8">
        <v>13522.4</v>
      </c>
      <c r="K270" s="8">
        <v>13815.2</v>
      </c>
      <c r="L270" s="8">
        <v>14392.6</v>
      </c>
      <c r="M270" s="8">
        <v>15185</v>
      </c>
      <c r="N270" s="8">
        <v>15756.8</v>
      </c>
      <c r="O270" s="8">
        <v>16197</v>
      </c>
      <c r="P270" s="8">
        <v>16537.2</v>
      </c>
      <c r="Q270" s="8">
        <v>16432.599999999999</v>
      </c>
      <c r="R270" s="8">
        <v>16414.2</v>
      </c>
      <c r="S270" s="8">
        <v>16711.2</v>
      </c>
      <c r="T270" s="8">
        <v>16785.400000000001</v>
      </c>
      <c r="U270" s="8">
        <v>16361.2</v>
      </c>
      <c r="V270" s="8">
        <v>16141.4</v>
      </c>
      <c r="W270" s="8">
        <v>16657.2</v>
      </c>
      <c r="X270" s="8">
        <v>16574.8</v>
      </c>
      <c r="Y270" s="8">
        <v>16032.6</v>
      </c>
      <c r="Z270" s="8">
        <v>15356.4</v>
      </c>
      <c r="AA270" s="8">
        <v>14625.8</v>
      </c>
      <c r="AB270" s="8">
        <v>14278.2</v>
      </c>
      <c r="AC270" s="8">
        <v>1465684.8000000003</v>
      </c>
      <c r="AD270" s="8">
        <v>11363044.027272731</v>
      </c>
    </row>
    <row r="271" spans="1:30" ht="15.75" thickBot="1" x14ac:dyDescent="0.3">
      <c r="B271" s="57"/>
    </row>
    <row r="272" spans="1:30" x14ac:dyDescent="0.25">
      <c r="A272" s="50">
        <v>11429665</v>
      </c>
      <c r="B272" s="6" t="s">
        <v>31</v>
      </c>
      <c r="C272" s="7">
        <v>20</v>
      </c>
      <c r="D272" s="118">
        <v>47788</v>
      </c>
      <c r="E272" s="8">
        <v>14379.954545454546</v>
      </c>
      <c r="F272" s="8">
        <v>14103.545454545454</v>
      </c>
      <c r="G272" s="8">
        <v>13708.545454545454</v>
      </c>
      <c r="H272" s="8">
        <v>13269.363636363636</v>
      </c>
      <c r="I272" s="8">
        <v>13216.363636363636</v>
      </c>
      <c r="J272" s="8">
        <v>13529.181818181818</v>
      </c>
      <c r="K272" s="8">
        <v>13822.181818181818</v>
      </c>
      <c r="L272" s="8">
        <v>14399.40909090909</v>
      </c>
      <c r="M272" s="8">
        <v>15191.863636363636</v>
      </c>
      <c r="N272" s="8">
        <v>15763.363636363636</v>
      </c>
      <c r="O272" s="8">
        <v>16203.40909090909</v>
      </c>
      <c r="P272" s="8">
        <v>16543.272727272728</v>
      </c>
      <c r="Q272" s="8">
        <v>16438.454545454544</v>
      </c>
      <c r="R272" s="8">
        <v>16420.31818181818</v>
      </c>
      <c r="S272" s="8">
        <v>16717.5</v>
      </c>
      <c r="T272" s="8">
        <v>16792.18181818182</v>
      </c>
      <c r="U272" s="8">
        <v>16367.863636363636</v>
      </c>
      <c r="V272" s="8">
        <v>16147.90909090909</v>
      </c>
      <c r="W272" s="8">
        <v>16663.409090909092</v>
      </c>
      <c r="X272" s="8">
        <v>16581.363636363636</v>
      </c>
      <c r="Y272" s="8">
        <v>16038.727272727272</v>
      </c>
      <c r="Z272" s="8">
        <v>15362.5</v>
      </c>
      <c r="AA272" s="8">
        <v>14632.045454545454</v>
      </c>
      <c r="AB272" s="8">
        <v>14284.5</v>
      </c>
      <c r="AC272" s="8">
        <v>7331544.5454545487</v>
      </c>
      <c r="AD272" s="8"/>
    </row>
    <row r="273" spans="1:30" x14ac:dyDescent="0.25">
      <c r="A273" s="62"/>
      <c r="B273" s="10" t="s">
        <v>32</v>
      </c>
      <c r="C273" s="11">
        <v>5</v>
      </c>
      <c r="D273" s="119"/>
      <c r="E273" s="8">
        <v>14377.5</v>
      </c>
      <c r="F273" s="8">
        <v>14101</v>
      </c>
      <c r="G273" s="8">
        <v>13706</v>
      </c>
      <c r="H273" s="8">
        <v>13267</v>
      </c>
      <c r="I273" s="8">
        <v>13214</v>
      </c>
      <c r="J273" s="8">
        <v>13526.5</v>
      </c>
      <c r="K273" s="8">
        <v>13819.5</v>
      </c>
      <c r="L273" s="8">
        <v>14397</v>
      </c>
      <c r="M273" s="8">
        <v>15189.5</v>
      </c>
      <c r="N273" s="8">
        <v>15761</v>
      </c>
      <c r="O273" s="8">
        <v>16201</v>
      </c>
      <c r="P273" s="8">
        <v>16541</v>
      </c>
      <c r="Q273" s="8">
        <v>16436.5</v>
      </c>
      <c r="R273" s="8">
        <v>16418.25</v>
      </c>
      <c r="S273" s="8">
        <v>16715.25</v>
      </c>
      <c r="T273" s="8">
        <v>16789.75</v>
      </c>
      <c r="U273" s="8">
        <v>16365.5</v>
      </c>
      <c r="V273" s="8">
        <v>16145.5</v>
      </c>
      <c r="W273" s="8">
        <v>16661</v>
      </c>
      <c r="X273" s="8">
        <v>16579</v>
      </c>
      <c r="Y273" s="8">
        <v>16036.5</v>
      </c>
      <c r="Z273" s="8">
        <v>15360.5</v>
      </c>
      <c r="AA273" s="8">
        <v>14629.75</v>
      </c>
      <c r="AB273" s="8">
        <v>14282.25</v>
      </c>
      <c r="AC273" s="8">
        <v>1832603.75</v>
      </c>
      <c r="AD273" s="8"/>
    </row>
    <row r="274" spans="1:30" ht="15.75" thickBot="1" x14ac:dyDescent="0.3">
      <c r="A274" s="60"/>
      <c r="B274" s="13" t="s">
        <v>33</v>
      </c>
      <c r="C274" s="14">
        <v>5</v>
      </c>
      <c r="D274" s="120"/>
      <c r="E274" s="8">
        <v>14373.2</v>
      </c>
      <c r="F274" s="8">
        <v>14096.6</v>
      </c>
      <c r="G274" s="8">
        <v>13701.6</v>
      </c>
      <c r="H274" s="8">
        <v>13262.8</v>
      </c>
      <c r="I274" s="8">
        <v>13209.8</v>
      </c>
      <c r="J274" s="8">
        <v>13522.4</v>
      </c>
      <c r="K274" s="8">
        <v>13815.2</v>
      </c>
      <c r="L274" s="8">
        <v>14392.6</v>
      </c>
      <c r="M274" s="8">
        <v>15185</v>
      </c>
      <c r="N274" s="8">
        <v>15756.8</v>
      </c>
      <c r="O274" s="8">
        <v>16197</v>
      </c>
      <c r="P274" s="8">
        <v>16537.2</v>
      </c>
      <c r="Q274" s="8">
        <v>16432.599999999999</v>
      </c>
      <c r="R274" s="8">
        <v>16414.2</v>
      </c>
      <c r="S274" s="8">
        <v>16711.2</v>
      </c>
      <c r="T274" s="8">
        <v>16785.400000000001</v>
      </c>
      <c r="U274" s="8">
        <v>16361.2</v>
      </c>
      <c r="V274" s="8">
        <v>16141.4</v>
      </c>
      <c r="W274" s="8">
        <v>16657.2</v>
      </c>
      <c r="X274" s="8">
        <v>16574.8</v>
      </c>
      <c r="Y274" s="8">
        <v>16032.6</v>
      </c>
      <c r="Z274" s="8">
        <v>15356.4</v>
      </c>
      <c r="AA274" s="8">
        <v>14625.8</v>
      </c>
      <c r="AB274" s="8">
        <v>14278.2</v>
      </c>
      <c r="AC274" s="8">
        <v>1832106.0000000005</v>
      </c>
      <c r="AD274" s="8">
        <v>10996254.295454549</v>
      </c>
    </row>
    <row r="275" spans="1:30" ht="15.75" thickBot="1" x14ac:dyDescent="0.3">
      <c r="B275" s="57"/>
    </row>
    <row r="276" spans="1:30" x14ac:dyDescent="0.25">
      <c r="A276" s="58"/>
      <c r="B276" s="6" t="s">
        <v>31</v>
      </c>
      <c r="C276" s="7">
        <v>20</v>
      </c>
      <c r="D276" s="118">
        <v>47818</v>
      </c>
      <c r="E276" s="8">
        <v>14379.954545454546</v>
      </c>
      <c r="F276" s="8">
        <v>14103.545454545454</v>
      </c>
      <c r="G276" s="8">
        <v>13708.545454545454</v>
      </c>
      <c r="H276" s="8">
        <v>13269.363636363636</v>
      </c>
      <c r="I276" s="8">
        <v>13216.363636363636</v>
      </c>
      <c r="J276" s="8">
        <v>13529.181818181818</v>
      </c>
      <c r="K276" s="8">
        <v>13822.181818181818</v>
      </c>
      <c r="L276" s="8">
        <v>14399.40909090909</v>
      </c>
      <c r="M276" s="8">
        <v>15191.863636363636</v>
      </c>
      <c r="N276" s="8">
        <v>15763.363636363636</v>
      </c>
      <c r="O276" s="8">
        <v>16203.40909090909</v>
      </c>
      <c r="P276" s="8">
        <v>16543.272727272728</v>
      </c>
      <c r="Q276" s="8">
        <v>16438.454545454544</v>
      </c>
      <c r="R276" s="8">
        <v>16420.31818181818</v>
      </c>
      <c r="S276" s="8">
        <v>16717.5</v>
      </c>
      <c r="T276" s="8">
        <v>16792.18181818182</v>
      </c>
      <c r="U276" s="8">
        <v>16367.863636363636</v>
      </c>
      <c r="V276" s="8">
        <v>16147.90909090909</v>
      </c>
      <c r="W276" s="8">
        <v>16663.409090909092</v>
      </c>
      <c r="X276" s="8">
        <v>16581.363636363636</v>
      </c>
      <c r="Y276" s="8">
        <v>16038.727272727272</v>
      </c>
      <c r="Z276" s="8">
        <v>15362.5</v>
      </c>
      <c r="AA276" s="8">
        <v>14632.045454545454</v>
      </c>
      <c r="AB276" s="8">
        <v>14284.5</v>
      </c>
      <c r="AC276" s="8">
        <v>7331544.5454545487</v>
      </c>
      <c r="AD276" s="8"/>
    </row>
    <row r="277" spans="1:30" x14ac:dyDescent="0.25">
      <c r="A277" s="52">
        <v>11855660</v>
      </c>
      <c r="B277" s="10" t="s">
        <v>32</v>
      </c>
      <c r="C277" s="11">
        <v>4</v>
      </c>
      <c r="D277" s="119"/>
      <c r="E277" s="8">
        <v>14377.5</v>
      </c>
      <c r="F277" s="8">
        <v>14101</v>
      </c>
      <c r="G277" s="8">
        <v>13706</v>
      </c>
      <c r="H277" s="8">
        <v>13267</v>
      </c>
      <c r="I277" s="8">
        <v>13214</v>
      </c>
      <c r="J277" s="8">
        <v>13526.5</v>
      </c>
      <c r="K277" s="8">
        <v>13819.5</v>
      </c>
      <c r="L277" s="8">
        <v>14397</v>
      </c>
      <c r="M277" s="8">
        <v>15189.5</v>
      </c>
      <c r="N277" s="8">
        <v>15761</v>
      </c>
      <c r="O277" s="8">
        <v>16201</v>
      </c>
      <c r="P277" s="8">
        <v>16541</v>
      </c>
      <c r="Q277" s="8">
        <v>16436.5</v>
      </c>
      <c r="R277" s="8">
        <v>16418.25</v>
      </c>
      <c r="S277" s="8">
        <v>16715.25</v>
      </c>
      <c r="T277" s="8">
        <v>16789.75</v>
      </c>
      <c r="U277" s="8">
        <v>16365.5</v>
      </c>
      <c r="V277" s="8">
        <v>16145.5</v>
      </c>
      <c r="W277" s="8">
        <v>16661</v>
      </c>
      <c r="X277" s="8">
        <v>16579</v>
      </c>
      <c r="Y277" s="8">
        <v>16036.5</v>
      </c>
      <c r="Z277" s="8">
        <v>15360.5</v>
      </c>
      <c r="AA277" s="8">
        <v>14629.75</v>
      </c>
      <c r="AB277" s="8">
        <v>14282.25</v>
      </c>
      <c r="AC277" s="8">
        <v>1466083</v>
      </c>
      <c r="AD277" s="8"/>
    </row>
    <row r="278" spans="1:30" ht="15.75" thickBot="1" x14ac:dyDescent="0.3">
      <c r="A278" s="60"/>
      <c r="B278" s="13" t="s">
        <v>33</v>
      </c>
      <c r="C278" s="14">
        <v>7</v>
      </c>
      <c r="D278" s="120"/>
      <c r="E278" s="8">
        <v>14373.2</v>
      </c>
      <c r="F278" s="8">
        <v>14096.6</v>
      </c>
      <c r="G278" s="8">
        <v>13701.6</v>
      </c>
      <c r="H278" s="8">
        <v>13262.8</v>
      </c>
      <c r="I278" s="8">
        <v>13209.8</v>
      </c>
      <c r="J278" s="8">
        <v>13522.4</v>
      </c>
      <c r="K278" s="8">
        <v>13815.2</v>
      </c>
      <c r="L278" s="8">
        <v>14392.6</v>
      </c>
      <c r="M278" s="8">
        <v>15185</v>
      </c>
      <c r="N278" s="8">
        <v>15756.8</v>
      </c>
      <c r="O278" s="8">
        <v>16197</v>
      </c>
      <c r="P278" s="8">
        <v>16537.2</v>
      </c>
      <c r="Q278" s="8">
        <v>16432.599999999999</v>
      </c>
      <c r="R278" s="8">
        <v>16414.2</v>
      </c>
      <c r="S278" s="8">
        <v>16711.2</v>
      </c>
      <c r="T278" s="8">
        <v>16785.400000000001</v>
      </c>
      <c r="U278" s="8">
        <v>16361.2</v>
      </c>
      <c r="V278" s="8">
        <v>16141.4</v>
      </c>
      <c r="W278" s="8">
        <v>16657.2</v>
      </c>
      <c r="X278" s="8">
        <v>16574.8</v>
      </c>
      <c r="Y278" s="8">
        <v>16032.6</v>
      </c>
      <c r="Z278" s="8">
        <v>15356.4</v>
      </c>
      <c r="AA278" s="8">
        <v>14625.8</v>
      </c>
      <c r="AB278" s="8">
        <v>14278.2</v>
      </c>
      <c r="AC278" s="8">
        <v>2564948.4000000004</v>
      </c>
      <c r="AD278" s="8">
        <v>11362575.945454549</v>
      </c>
    </row>
    <row r="279" spans="1:30" ht="15.75" thickBot="1" x14ac:dyDescent="0.3">
      <c r="A279" s="121" t="s">
        <v>38</v>
      </c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</row>
    <row r="280" spans="1:30" x14ac:dyDescent="0.25">
      <c r="A280" s="58"/>
      <c r="B280" s="6" t="s">
        <v>31</v>
      </c>
      <c r="C280" s="7">
        <v>23</v>
      </c>
      <c r="D280" s="118">
        <v>47849</v>
      </c>
      <c r="E280" s="8">
        <v>14379.954545454546</v>
      </c>
      <c r="F280" s="8">
        <v>14103.545454545454</v>
      </c>
      <c r="G280" s="8">
        <v>13708.545454545454</v>
      </c>
      <c r="H280" s="8">
        <v>13269.363636363636</v>
      </c>
      <c r="I280" s="8">
        <v>13216.363636363636</v>
      </c>
      <c r="J280" s="8">
        <v>13529.181818181818</v>
      </c>
      <c r="K280" s="8">
        <v>13822.181818181818</v>
      </c>
      <c r="L280" s="8">
        <v>14399.40909090909</v>
      </c>
      <c r="M280" s="8">
        <v>15191.863636363636</v>
      </c>
      <c r="N280" s="8">
        <v>15763.363636363636</v>
      </c>
      <c r="O280" s="8">
        <v>16203.40909090909</v>
      </c>
      <c r="P280" s="8">
        <v>16543.272727272728</v>
      </c>
      <c r="Q280" s="8">
        <v>16438.454545454544</v>
      </c>
      <c r="R280" s="8">
        <v>16420.31818181818</v>
      </c>
      <c r="S280" s="8">
        <v>16717.5</v>
      </c>
      <c r="T280" s="8">
        <v>16792.18181818182</v>
      </c>
      <c r="U280" s="8">
        <v>16367.863636363636</v>
      </c>
      <c r="V280" s="8">
        <v>16147.90909090909</v>
      </c>
      <c r="W280" s="8">
        <v>16663.409090909092</v>
      </c>
      <c r="X280" s="8">
        <v>16581.363636363636</v>
      </c>
      <c r="Y280" s="8">
        <v>16038.727272727272</v>
      </c>
      <c r="Z280" s="8">
        <v>15362.5</v>
      </c>
      <c r="AA280" s="8">
        <v>14632.045454545454</v>
      </c>
      <c r="AB280" s="8">
        <v>14284.5</v>
      </c>
      <c r="AC280" s="8">
        <v>8431276.2272727303</v>
      </c>
      <c r="AD280" s="8"/>
    </row>
    <row r="281" spans="1:30" x14ac:dyDescent="0.25">
      <c r="A281" s="62">
        <v>11901370</v>
      </c>
      <c r="B281" s="10" t="s">
        <v>32</v>
      </c>
      <c r="C281" s="11">
        <v>4</v>
      </c>
      <c r="D281" s="119"/>
      <c r="E281" s="8">
        <v>14377.5</v>
      </c>
      <c r="F281" s="8">
        <v>14101</v>
      </c>
      <c r="G281" s="8">
        <v>13706</v>
      </c>
      <c r="H281" s="8">
        <v>13267</v>
      </c>
      <c r="I281" s="8">
        <v>13214</v>
      </c>
      <c r="J281" s="8">
        <v>13526.5</v>
      </c>
      <c r="K281" s="8">
        <v>13819.5</v>
      </c>
      <c r="L281" s="8">
        <v>14397</v>
      </c>
      <c r="M281" s="8">
        <v>15189.5</v>
      </c>
      <c r="N281" s="8">
        <v>15761</v>
      </c>
      <c r="O281" s="8">
        <v>16201</v>
      </c>
      <c r="P281" s="8">
        <v>16541</v>
      </c>
      <c r="Q281" s="8">
        <v>16436.5</v>
      </c>
      <c r="R281" s="8">
        <v>16418.25</v>
      </c>
      <c r="S281" s="8">
        <v>16715.25</v>
      </c>
      <c r="T281" s="8">
        <v>16789.75</v>
      </c>
      <c r="U281" s="8">
        <v>16365.5</v>
      </c>
      <c r="V281" s="8">
        <v>16145.5</v>
      </c>
      <c r="W281" s="8">
        <v>16661</v>
      </c>
      <c r="X281" s="8">
        <v>16579</v>
      </c>
      <c r="Y281" s="8">
        <v>16036.5</v>
      </c>
      <c r="Z281" s="8">
        <v>15360.5</v>
      </c>
      <c r="AA281" s="8">
        <v>14629.75</v>
      </c>
      <c r="AB281" s="8">
        <v>14282.25</v>
      </c>
      <c r="AC281" s="8">
        <v>1466083</v>
      </c>
      <c r="AD281" s="8"/>
    </row>
    <row r="282" spans="1:30" ht="15.75" thickBot="1" x14ac:dyDescent="0.3">
      <c r="A282" s="60"/>
      <c r="B282" s="13" t="s">
        <v>33</v>
      </c>
      <c r="C282" s="14">
        <v>6</v>
      </c>
      <c r="D282" s="120"/>
      <c r="E282" s="8">
        <v>14373.2</v>
      </c>
      <c r="F282" s="8">
        <v>14096.6</v>
      </c>
      <c r="G282" s="8">
        <v>13701.6</v>
      </c>
      <c r="H282" s="8">
        <v>13262.8</v>
      </c>
      <c r="I282" s="8">
        <v>13209.8</v>
      </c>
      <c r="J282" s="8">
        <v>13522.4</v>
      </c>
      <c r="K282" s="8">
        <v>13815.2</v>
      </c>
      <c r="L282" s="8">
        <v>14392.6</v>
      </c>
      <c r="M282" s="8">
        <v>15185</v>
      </c>
      <c r="N282" s="8">
        <v>15756.8</v>
      </c>
      <c r="O282" s="8">
        <v>16197</v>
      </c>
      <c r="P282" s="8">
        <v>16537.2</v>
      </c>
      <c r="Q282" s="8">
        <v>16432.599999999999</v>
      </c>
      <c r="R282" s="8">
        <v>16414.2</v>
      </c>
      <c r="S282" s="8">
        <v>16711.2</v>
      </c>
      <c r="T282" s="8">
        <v>16785.400000000001</v>
      </c>
      <c r="U282" s="8">
        <v>16361.2</v>
      </c>
      <c r="V282" s="8">
        <v>16141.4</v>
      </c>
      <c r="W282" s="8">
        <v>16657.2</v>
      </c>
      <c r="X282" s="8">
        <v>16574.8</v>
      </c>
      <c r="Y282" s="8">
        <v>16032.6</v>
      </c>
      <c r="Z282" s="8">
        <v>15356.4</v>
      </c>
      <c r="AA282" s="8">
        <v>14625.8</v>
      </c>
      <c r="AB282" s="8">
        <v>14278.2</v>
      </c>
      <c r="AC282" s="8">
        <v>2198527.2000000002</v>
      </c>
      <c r="AD282" s="8">
        <v>12095886.42727273</v>
      </c>
    </row>
    <row r="283" spans="1:30" ht="15.75" thickBot="1" x14ac:dyDescent="0.3">
      <c r="B283" s="57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30" x14ac:dyDescent="0.25">
      <c r="A284" s="58"/>
      <c r="B284" s="6" t="s">
        <v>31</v>
      </c>
      <c r="C284" s="7">
        <v>20</v>
      </c>
      <c r="D284" s="118">
        <v>47880</v>
      </c>
      <c r="E284" s="8">
        <v>14379.954545454546</v>
      </c>
      <c r="F284" s="8">
        <v>14103.545454545454</v>
      </c>
      <c r="G284" s="8">
        <v>13708.545454545454</v>
      </c>
      <c r="H284" s="8">
        <v>13269.363636363636</v>
      </c>
      <c r="I284" s="8">
        <v>13216.363636363636</v>
      </c>
      <c r="J284" s="8">
        <v>13529.181818181818</v>
      </c>
      <c r="K284" s="8">
        <v>13822.181818181818</v>
      </c>
      <c r="L284" s="8">
        <v>14399.40909090909</v>
      </c>
      <c r="M284" s="8">
        <v>15191.863636363636</v>
      </c>
      <c r="N284" s="8">
        <v>15763.363636363636</v>
      </c>
      <c r="O284" s="8">
        <v>16203.40909090909</v>
      </c>
      <c r="P284" s="8">
        <v>16543.272727272728</v>
      </c>
      <c r="Q284" s="8">
        <v>16438.454545454544</v>
      </c>
      <c r="R284" s="8">
        <v>16420.31818181818</v>
      </c>
      <c r="S284" s="8">
        <v>16717.5</v>
      </c>
      <c r="T284" s="8">
        <v>16792.18181818182</v>
      </c>
      <c r="U284" s="8">
        <v>16367.863636363636</v>
      </c>
      <c r="V284" s="8">
        <v>16147.90909090909</v>
      </c>
      <c r="W284" s="8">
        <v>16663.409090909092</v>
      </c>
      <c r="X284" s="8">
        <v>16581.363636363636</v>
      </c>
      <c r="Y284" s="8">
        <v>16038.727272727272</v>
      </c>
      <c r="Z284" s="8">
        <v>15362.5</v>
      </c>
      <c r="AA284" s="8">
        <v>14632.045454545454</v>
      </c>
      <c r="AB284" s="8">
        <v>14284.5</v>
      </c>
      <c r="AC284" s="8">
        <v>7331544.5454545487</v>
      </c>
      <c r="AD284" s="8"/>
    </row>
    <row r="285" spans="1:30" x14ac:dyDescent="0.25">
      <c r="A285" s="62">
        <v>10788961</v>
      </c>
      <c r="B285" s="10" t="s">
        <v>32</v>
      </c>
      <c r="C285" s="11">
        <v>4</v>
      </c>
      <c r="D285" s="119"/>
      <c r="E285" s="8">
        <v>14377.5</v>
      </c>
      <c r="F285" s="8">
        <v>14101</v>
      </c>
      <c r="G285" s="8">
        <v>13706</v>
      </c>
      <c r="H285" s="8">
        <v>13267</v>
      </c>
      <c r="I285" s="8">
        <v>13214</v>
      </c>
      <c r="J285" s="8">
        <v>13526.5</v>
      </c>
      <c r="K285" s="8">
        <v>13819.5</v>
      </c>
      <c r="L285" s="8">
        <v>14397</v>
      </c>
      <c r="M285" s="8">
        <v>15189.5</v>
      </c>
      <c r="N285" s="8">
        <v>15761</v>
      </c>
      <c r="O285" s="8">
        <v>16201</v>
      </c>
      <c r="P285" s="8">
        <v>16541</v>
      </c>
      <c r="Q285" s="8">
        <v>16436.5</v>
      </c>
      <c r="R285" s="8">
        <v>16418.25</v>
      </c>
      <c r="S285" s="8">
        <v>16715.25</v>
      </c>
      <c r="T285" s="8">
        <v>16789.75</v>
      </c>
      <c r="U285" s="8">
        <v>16365.5</v>
      </c>
      <c r="V285" s="8">
        <v>16145.5</v>
      </c>
      <c r="W285" s="8">
        <v>16661</v>
      </c>
      <c r="X285" s="8">
        <v>16579</v>
      </c>
      <c r="Y285" s="8">
        <v>16036.5</v>
      </c>
      <c r="Z285" s="8">
        <v>15360.5</v>
      </c>
      <c r="AA285" s="8">
        <v>14629.75</v>
      </c>
      <c r="AB285" s="8">
        <v>14282.25</v>
      </c>
      <c r="AC285" s="8">
        <v>1466083</v>
      </c>
      <c r="AD285" s="8"/>
    </row>
    <row r="286" spans="1:30" ht="15.75" thickBot="1" x14ac:dyDescent="0.3">
      <c r="A286" s="60"/>
      <c r="B286" s="13" t="s">
        <v>33</v>
      </c>
      <c r="C286" s="14">
        <v>4</v>
      </c>
      <c r="D286" s="120"/>
      <c r="E286" s="8">
        <v>14373.2</v>
      </c>
      <c r="F286" s="8">
        <v>14096.6</v>
      </c>
      <c r="G286" s="8">
        <v>13701.6</v>
      </c>
      <c r="H286" s="8">
        <v>13262.8</v>
      </c>
      <c r="I286" s="8">
        <v>13209.8</v>
      </c>
      <c r="J286" s="8">
        <v>13522.4</v>
      </c>
      <c r="K286" s="8">
        <v>13815.2</v>
      </c>
      <c r="L286" s="8">
        <v>14392.6</v>
      </c>
      <c r="M286" s="8">
        <v>15185</v>
      </c>
      <c r="N286" s="8">
        <v>15756.8</v>
      </c>
      <c r="O286" s="8">
        <v>16197</v>
      </c>
      <c r="P286" s="8">
        <v>16537.2</v>
      </c>
      <c r="Q286" s="8">
        <v>16432.599999999999</v>
      </c>
      <c r="R286" s="8">
        <v>16414.2</v>
      </c>
      <c r="S286" s="8">
        <v>16711.2</v>
      </c>
      <c r="T286" s="8">
        <v>16785.400000000001</v>
      </c>
      <c r="U286" s="8">
        <v>16361.2</v>
      </c>
      <c r="V286" s="8">
        <v>16141.4</v>
      </c>
      <c r="W286" s="8">
        <v>16657.2</v>
      </c>
      <c r="X286" s="8">
        <v>16574.8</v>
      </c>
      <c r="Y286" s="8">
        <v>16032.6</v>
      </c>
      <c r="Z286" s="8">
        <v>15356.4</v>
      </c>
      <c r="AA286" s="8">
        <v>14625.8</v>
      </c>
      <c r="AB286" s="8">
        <v>14278.2</v>
      </c>
      <c r="AC286" s="8">
        <v>1465684.8000000003</v>
      </c>
      <c r="AD286" s="8">
        <v>10263312.345454549</v>
      </c>
    </row>
    <row r="287" spans="1:30" ht="15.75" thickBot="1" x14ac:dyDescent="0.3">
      <c r="B287" s="57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30" x14ac:dyDescent="0.25">
      <c r="A288" s="58"/>
      <c r="B288" s="6" t="s">
        <v>31</v>
      </c>
      <c r="C288" s="7">
        <v>20</v>
      </c>
      <c r="D288" s="118">
        <v>47908</v>
      </c>
      <c r="E288" s="8">
        <v>14379.954545454546</v>
      </c>
      <c r="F288" s="8">
        <v>14103.545454545454</v>
      </c>
      <c r="G288" s="8">
        <v>13708.545454545454</v>
      </c>
      <c r="H288" s="8">
        <v>13269.363636363636</v>
      </c>
      <c r="I288" s="8">
        <v>13216.363636363636</v>
      </c>
      <c r="J288" s="8">
        <v>13529.181818181818</v>
      </c>
      <c r="K288" s="8">
        <v>13822.181818181818</v>
      </c>
      <c r="L288" s="8">
        <v>14399.40909090909</v>
      </c>
      <c r="M288" s="8">
        <v>15191.863636363636</v>
      </c>
      <c r="N288" s="8">
        <v>15763.363636363636</v>
      </c>
      <c r="O288" s="8">
        <v>16203.40909090909</v>
      </c>
      <c r="P288" s="8">
        <v>16543.272727272728</v>
      </c>
      <c r="Q288" s="8">
        <v>16438.454545454544</v>
      </c>
      <c r="R288" s="8">
        <v>16420.31818181818</v>
      </c>
      <c r="S288" s="8">
        <v>16717.5</v>
      </c>
      <c r="T288" s="8">
        <v>16792.18181818182</v>
      </c>
      <c r="U288" s="8">
        <v>16367.863636363636</v>
      </c>
      <c r="V288" s="8">
        <v>16147.90909090909</v>
      </c>
      <c r="W288" s="8">
        <v>16663.409090909092</v>
      </c>
      <c r="X288" s="8">
        <v>16581.363636363636</v>
      </c>
      <c r="Y288" s="8">
        <v>16038.727272727272</v>
      </c>
      <c r="Z288" s="8">
        <v>15362.5</v>
      </c>
      <c r="AA288" s="8">
        <v>14632.045454545454</v>
      </c>
      <c r="AB288" s="8">
        <v>14284.5</v>
      </c>
      <c r="AC288" s="8">
        <v>7331544.5454545487</v>
      </c>
      <c r="AD288" s="8"/>
    </row>
    <row r="289" spans="1:30" x14ac:dyDescent="0.25">
      <c r="A289" s="62">
        <v>11988429</v>
      </c>
      <c r="B289" s="10" t="s">
        <v>32</v>
      </c>
      <c r="C289" s="11">
        <v>5</v>
      </c>
      <c r="D289" s="119"/>
      <c r="E289" s="8">
        <v>14377.5</v>
      </c>
      <c r="F289" s="8">
        <v>14101</v>
      </c>
      <c r="G289" s="8">
        <v>13706</v>
      </c>
      <c r="H289" s="8">
        <v>13267</v>
      </c>
      <c r="I289" s="8">
        <v>13214</v>
      </c>
      <c r="J289" s="8">
        <v>13526.5</v>
      </c>
      <c r="K289" s="8">
        <v>13819.5</v>
      </c>
      <c r="L289" s="8">
        <v>14397</v>
      </c>
      <c r="M289" s="8">
        <v>15189.5</v>
      </c>
      <c r="N289" s="8">
        <v>15761</v>
      </c>
      <c r="O289" s="8">
        <v>16201</v>
      </c>
      <c r="P289" s="8">
        <v>16541</v>
      </c>
      <c r="Q289" s="8">
        <v>16436.5</v>
      </c>
      <c r="R289" s="8">
        <v>16418.25</v>
      </c>
      <c r="S289" s="8">
        <v>16715.25</v>
      </c>
      <c r="T289" s="8">
        <v>16789.75</v>
      </c>
      <c r="U289" s="8">
        <v>16365.5</v>
      </c>
      <c r="V289" s="8">
        <v>16145.5</v>
      </c>
      <c r="W289" s="8">
        <v>16661</v>
      </c>
      <c r="X289" s="8">
        <v>16579</v>
      </c>
      <c r="Y289" s="8">
        <v>16036.5</v>
      </c>
      <c r="Z289" s="8">
        <v>15360.5</v>
      </c>
      <c r="AA289" s="8">
        <v>14629.75</v>
      </c>
      <c r="AB289" s="8">
        <v>14282.25</v>
      </c>
      <c r="AC289" s="8">
        <v>1832603.75</v>
      </c>
      <c r="AD289" s="8"/>
    </row>
    <row r="290" spans="1:30" ht="15.75" thickBot="1" x14ac:dyDescent="0.3">
      <c r="A290" s="60"/>
      <c r="B290" s="13" t="s">
        <v>33</v>
      </c>
      <c r="C290" s="14">
        <v>6</v>
      </c>
      <c r="D290" s="120"/>
      <c r="E290" s="8">
        <v>14373.2</v>
      </c>
      <c r="F290" s="8">
        <v>14096.6</v>
      </c>
      <c r="G290" s="8">
        <v>13701.6</v>
      </c>
      <c r="H290" s="8">
        <v>13262.8</v>
      </c>
      <c r="I290" s="8">
        <v>13209.8</v>
      </c>
      <c r="J290" s="8">
        <v>13522.4</v>
      </c>
      <c r="K290" s="8">
        <v>13815.2</v>
      </c>
      <c r="L290" s="8">
        <v>14392.6</v>
      </c>
      <c r="M290" s="8">
        <v>15185</v>
      </c>
      <c r="N290" s="8">
        <v>15756.8</v>
      </c>
      <c r="O290" s="8">
        <v>16197</v>
      </c>
      <c r="P290" s="8">
        <v>16537.2</v>
      </c>
      <c r="Q290" s="8">
        <v>16432.599999999999</v>
      </c>
      <c r="R290" s="8">
        <v>16414.2</v>
      </c>
      <c r="S290" s="8">
        <v>16711.2</v>
      </c>
      <c r="T290" s="8">
        <v>16785.400000000001</v>
      </c>
      <c r="U290" s="8">
        <v>16361.2</v>
      </c>
      <c r="V290" s="8">
        <v>16141.4</v>
      </c>
      <c r="W290" s="8">
        <v>16657.2</v>
      </c>
      <c r="X290" s="8">
        <v>16574.8</v>
      </c>
      <c r="Y290" s="8">
        <v>16032.6</v>
      </c>
      <c r="Z290" s="8">
        <v>15356.4</v>
      </c>
      <c r="AA290" s="8">
        <v>14625.8</v>
      </c>
      <c r="AB290" s="8">
        <v>14278.2</v>
      </c>
      <c r="AC290" s="8">
        <v>2198527.2000000002</v>
      </c>
      <c r="AD290" s="8">
        <v>11362675.49545455</v>
      </c>
    </row>
    <row r="291" spans="1:30" ht="15.75" thickBot="1" x14ac:dyDescent="0.3">
      <c r="B291" s="57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30" x14ac:dyDescent="0.25">
      <c r="A292" s="58">
        <v>11645241</v>
      </c>
      <c r="B292" s="6" t="s">
        <v>31</v>
      </c>
      <c r="C292" s="7">
        <v>20</v>
      </c>
      <c r="D292" s="118">
        <v>47939</v>
      </c>
      <c r="E292" s="8">
        <v>14379.954545454546</v>
      </c>
      <c r="F292" s="8">
        <v>14103.545454545454</v>
      </c>
      <c r="G292" s="8">
        <v>13708.545454545454</v>
      </c>
      <c r="H292" s="8">
        <v>13269.363636363636</v>
      </c>
      <c r="I292" s="8">
        <v>13216.363636363636</v>
      </c>
      <c r="J292" s="8">
        <v>13529.181818181818</v>
      </c>
      <c r="K292" s="8">
        <v>13822.181818181818</v>
      </c>
      <c r="L292" s="8">
        <v>14399.40909090909</v>
      </c>
      <c r="M292" s="8">
        <v>15191.863636363636</v>
      </c>
      <c r="N292" s="8">
        <v>15763.363636363636</v>
      </c>
      <c r="O292" s="8">
        <v>16203.40909090909</v>
      </c>
      <c r="P292" s="8">
        <v>16543.272727272728</v>
      </c>
      <c r="Q292" s="8">
        <v>16438.454545454544</v>
      </c>
      <c r="R292" s="8">
        <v>16420.31818181818</v>
      </c>
      <c r="S292" s="8">
        <v>16717.5</v>
      </c>
      <c r="T292" s="8">
        <v>16792.18181818182</v>
      </c>
      <c r="U292" s="8">
        <v>16367.863636363636</v>
      </c>
      <c r="V292" s="8">
        <v>16147.90909090909</v>
      </c>
      <c r="W292" s="8">
        <v>16663.409090909092</v>
      </c>
      <c r="X292" s="8">
        <v>16581.363636363636</v>
      </c>
      <c r="Y292" s="8">
        <v>16038.727272727272</v>
      </c>
      <c r="Z292" s="8">
        <v>15362.5</v>
      </c>
      <c r="AA292" s="8">
        <v>14632.045454545454</v>
      </c>
      <c r="AB292" s="8">
        <v>14284.5</v>
      </c>
      <c r="AC292" s="8">
        <v>7331544.5454545487</v>
      </c>
      <c r="AD292" s="8"/>
    </row>
    <row r="293" spans="1:30" x14ac:dyDescent="0.25">
      <c r="A293" s="62"/>
      <c r="B293" s="10" t="s">
        <v>32</v>
      </c>
      <c r="C293" s="11">
        <v>4</v>
      </c>
      <c r="D293" s="119"/>
      <c r="E293" s="8">
        <v>14377.5</v>
      </c>
      <c r="F293" s="8">
        <v>14101</v>
      </c>
      <c r="G293" s="8">
        <v>13706</v>
      </c>
      <c r="H293" s="8">
        <v>13267</v>
      </c>
      <c r="I293" s="8">
        <v>13214</v>
      </c>
      <c r="J293" s="8">
        <v>13526.5</v>
      </c>
      <c r="K293" s="8">
        <v>13819.5</v>
      </c>
      <c r="L293" s="8">
        <v>14397</v>
      </c>
      <c r="M293" s="8">
        <v>15189.5</v>
      </c>
      <c r="N293" s="8">
        <v>15761</v>
      </c>
      <c r="O293" s="8">
        <v>16201</v>
      </c>
      <c r="P293" s="8">
        <v>16541</v>
      </c>
      <c r="Q293" s="8">
        <v>16436.5</v>
      </c>
      <c r="R293" s="8">
        <v>16418.25</v>
      </c>
      <c r="S293" s="8">
        <v>16715.25</v>
      </c>
      <c r="T293" s="8">
        <v>16789.75</v>
      </c>
      <c r="U293" s="8">
        <v>16365.5</v>
      </c>
      <c r="V293" s="8">
        <v>16145.5</v>
      </c>
      <c r="W293" s="8">
        <v>16661</v>
      </c>
      <c r="X293" s="8">
        <v>16579</v>
      </c>
      <c r="Y293" s="8">
        <v>16036.5</v>
      </c>
      <c r="Z293" s="8">
        <v>15360.5</v>
      </c>
      <c r="AA293" s="8">
        <v>14629.75</v>
      </c>
      <c r="AB293" s="8">
        <v>14282.25</v>
      </c>
      <c r="AC293" s="8">
        <v>1466083</v>
      </c>
      <c r="AD293" s="8"/>
    </row>
    <row r="294" spans="1:30" ht="15.75" thickBot="1" x14ac:dyDescent="0.3">
      <c r="A294" s="60"/>
      <c r="B294" s="13" t="s">
        <v>33</v>
      </c>
      <c r="C294" s="14">
        <v>6</v>
      </c>
      <c r="D294" s="120"/>
      <c r="E294" s="8">
        <v>14373.2</v>
      </c>
      <c r="F294" s="8">
        <v>14096.6</v>
      </c>
      <c r="G294" s="8">
        <v>13701.6</v>
      </c>
      <c r="H294" s="8">
        <v>13262.8</v>
      </c>
      <c r="I294" s="8">
        <v>13209.8</v>
      </c>
      <c r="J294" s="8">
        <v>13522.4</v>
      </c>
      <c r="K294" s="8">
        <v>13815.2</v>
      </c>
      <c r="L294" s="8">
        <v>14392.6</v>
      </c>
      <c r="M294" s="8">
        <v>15185</v>
      </c>
      <c r="N294" s="8">
        <v>15756.8</v>
      </c>
      <c r="O294" s="8">
        <v>16197</v>
      </c>
      <c r="P294" s="8">
        <v>16537.2</v>
      </c>
      <c r="Q294" s="8">
        <v>16432.599999999999</v>
      </c>
      <c r="R294" s="8">
        <v>16414.2</v>
      </c>
      <c r="S294" s="8">
        <v>16711.2</v>
      </c>
      <c r="T294" s="8">
        <v>16785.400000000001</v>
      </c>
      <c r="U294" s="8">
        <v>16361.2</v>
      </c>
      <c r="V294" s="8">
        <v>16141.4</v>
      </c>
      <c r="W294" s="8">
        <v>16657.2</v>
      </c>
      <c r="X294" s="8">
        <v>16574.8</v>
      </c>
      <c r="Y294" s="8">
        <v>16032.6</v>
      </c>
      <c r="Z294" s="8">
        <v>15356.4</v>
      </c>
      <c r="AA294" s="8">
        <v>14625.8</v>
      </c>
      <c r="AB294" s="8">
        <v>14278.2</v>
      </c>
      <c r="AC294" s="8">
        <v>2198527.2000000002</v>
      </c>
      <c r="AD294" s="8">
        <v>10996154.74545455</v>
      </c>
    </row>
    <row r="295" spans="1:30" ht="15.75" thickBot="1" x14ac:dyDescent="0.3">
      <c r="B295" s="57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30" x14ac:dyDescent="0.25">
      <c r="A296" s="58"/>
      <c r="B296" s="6" t="s">
        <v>31</v>
      </c>
      <c r="C296" s="39">
        <v>20</v>
      </c>
      <c r="D296" s="118">
        <v>47969</v>
      </c>
      <c r="E296" s="8">
        <v>14379.954545454546</v>
      </c>
      <c r="F296" s="8">
        <v>14103.545454545454</v>
      </c>
      <c r="G296" s="8">
        <v>13708.545454545454</v>
      </c>
      <c r="H296" s="8">
        <v>13269.363636363636</v>
      </c>
      <c r="I296" s="8">
        <v>13216.363636363636</v>
      </c>
      <c r="J296" s="8">
        <v>13529.181818181818</v>
      </c>
      <c r="K296" s="8">
        <v>13822.181818181818</v>
      </c>
      <c r="L296" s="8">
        <v>14399.40909090909</v>
      </c>
      <c r="M296" s="8">
        <v>15191.863636363636</v>
      </c>
      <c r="N296" s="8">
        <v>15763.363636363636</v>
      </c>
      <c r="O296" s="8">
        <v>16203.40909090909</v>
      </c>
      <c r="P296" s="8">
        <v>16543.272727272728</v>
      </c>
      <c r="Q296" s="8">
        <v>16438.454545454544</v>
      </c>
      <c r="R296" s="8">
        <v>16420.31818181818</v>
      </c>
      <c r="S296" s="8">
        <v>16717.5</v>
      </c>
      <c r="T296" s="8">
        <v>16792.18181818182</v>
      </c>
      <c r="U296" s="8">
        <v>16367.863636363636</v>
      </c>
      <c r="V296" s="8">
        <v>16147.90909090909</v>
      </c>
      <c r="W296" s="8">
        <v>16663.409090909092</v>
      </c>
      <c r="X296" s="8">
        <v>16581.363636363636</v>
      </c>
      <c r="Y296" s="8">
        <v>16038.727272727272</v>
      </c>
      <c r="Z296" s="8">
        <v>15362.5</v>
      </c>
      <c r="AA296" s="8">
        <v>14632.045454545454</v>
      </c>
      <c r="AB296" s="8">
        <v>14284.5</v>
      </c>
      <c r="AC296" s="8">
        <v>7331544.5454545487</v>
      </c>
      <c r="AD296" s="8"/>
    </row>
    <row r="297" spans="1:30" x14ac:dyDescent="0.25">
      <c r="A297" s="62">
        <v>12078421</v>
      </c>
      <c r="B297" s="10" t="s">
        <v>32</v>
      </c>
      <c r="C297" s="42">
        <v>5</v>
      </c>
      <c r="D297" s="119"/>
      <c r="E297" s="8">
        <v>14377.5</v>
      </c>
      <c r="F297" s="8">
        <v>14101</v>
      </c>
      <c r="G297" s="8">
        <v>13706</v>
      </c>
      <c r="H297" s="8">
        <v>13267</v>
      </c>
      <c r="I297" s="8">
        <v>13214</v>
      </c>
      <c r="J297" s="8">
        <v>13526.5</v>
      </c>
      <c r="K297" s="8">
        <v>13819.5</v>
      </c>
      <c r="L297" s="8">
        <v>14397</v>
      </c>
      <c r="M297" s="8">
        <v>15189.5</v>
      </c>
      <c r="N297" s="8">
        <v>15761</v>
      </c>
      <c r="O297" s="8">
        <v>16201</v>
      </c>
      <c r="P297" s="8">
        <v>16541</v>
      </c>
      <c r="Q297" s="8">
        <v>16436.5</v>
      </c>
      <c r="R297" s="8">
        <v>16418.25</v>
      </c>
      <c r="S297" s="8">
        <v>16715.25</v>
      </c>
      <c r="T297" s="8">
        <v>16789.75</v>
      </c>
      <c r="U297" s="8">
        <v>16365.5</v>
      </c>
      <c r="V297" s="8">
        <v>16145.5</v>
      </c>
      <c r="W297" s="8">
        <v>16661</v>
      </c>
      <c r="X297" s="8">
        <v>16579</v>
      </c>
      <c r="Y297" s="8">
        <v>16036.5</v>
      </c>
      <c r="Z297" s="8">
        <v>15360.5</v>
      </c>
      <c r="AA297" s="8">
        <v>14629.75</v>
      </c>
      <c r="AB297" s="8">
        <v>14282.25</v>
      </c>
      <c r="AC297" s="8">
        <v>1832603.75</v>
      </c>
      <c r="AD297" s="8"/>
    </row>
    <row r="298" spans="1:30" ht="15.75" thickBot="1" x14ac:dyDescent="0.3">
      <c r="A298" s="60"/>
      <c r="B298" s="13" t="s">
        <v>33</v>
      </c>
      <c r="C298" s="47">
        <v>6</v>
      </c>
      <c r="D298" s="120"/>
      <c r="E298" s="8">
        <v>14373.2</v>
      </c>
      <c r="F298" s="8">
        <v>14096.6</v>
      </c>
      <c r="G298" s="8">
        <v>13701.6</v>
      </c>
      <c r="H298" s="8">
        <v>13262.8</v>
      </c>
      <c r="I298" s="8">
        <v>13209.8</v>
      </c>
      <c r="J298" s="8">
        <v>13522.4</v>
      </c>
      <c r="K298" s="8">
        <v>13815.2</v>
      </c>
      <c r="L298" s="8">
        <v>14392.6</v>
      </c>
      <c r="M298" s="8">
        <v>15185</v>
      </c>
      <c r="N298" s="8">
        <v>15756.8</v>
      </c>
      <c r="O298" s="8">
        <v>16197</v>
      </c>
      <c r="P298" s="8">
        <v>16537.2</v>
      </c>
      <c r="Q298" s="8">
        <v>16432.599999999999</v>
      </c>
      <c r="R298" s="8">
        <v>16414.2</v>
      </c>
      <c r="S298" s="8">
        <v>16711.2</v>
      </c>
      <c r="T298" s="8">
        <v>16785.400000000001</v>
      </c>
      <c r="U298" s="8">
        <v>16361.2</v>
      </c>
      <c r="V298" s="8">
        <v>16141.4</v>
      </c>
      <c r="W298" s="8">
        <v>16657.2</v>
      </c>
      <c r="X298" s="8">
        <v>16574.8</v>
      </c>
      <c r="Y298" s="8">
        <v>16032.6</v>
      </c>
      <c r="Z298" s="8">
        <v>15356.4</v>
      </c>
      <c r="AA298" s="8">
        <v>14625.8</v>
      </c>
      <c r="AB298" s="8">
        <v>14278.2</v>
      </c>
      <c r="AC298" s="8">
        <v>2198527.2000000002</v>
      </c>
      <c r="AD298" s="8">
        <v>11362675.49545455</v>
      </c>
    </row>
    <row r="299" spans="1:30" ht="15.75" thickBot="1" x14ac:dyDescent="0.3">
      <c r="B299" s="57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30" x14ac:dyDescent="0.25">
      <c r="A300" s="58"/>
      <c r="B300" s="6" t="s">
        <v>31</v>
      </c>
      <c r="C300" s="7">
        <v>18</v>
      </c>
      <c r="D300" s="118">
        <v>48000</v>
      </c>
      <c r="E300" s="8">
        <v>14379.954545454546</v>
      </c>
      <c r="F300" s="8">
        <v>14103.545454545454</v>
      </c>
      <c r="G300" s="8">
        <v>13708.545454545454</v>
      </c>
      <c r="H300" s="8">
        <v>13269.363636363636</v>
      </c>
      <c r="I300" s="8">
        <v>13216.363636363636</v>
      </c>
      <c r="J300" s="8">
        <v>13529.181818181818</v>
      </c>
      <c r="K300" s="8">
        <v>13822.181818181818</v>
      </c>
      <c r="L300" s="8">
        <v>14399.40909090909</v>
      </c>
      <c r="M300" s="8">
        <v>15191.863636363636</v>
      </c>
      <c r="N300" s="8">
        <v>15763.363636363636</v>
      </c>
      <c r="O300" s="8">
        <v>16203.40909090909</v>
      </c>
      <c r="P300" s="8">
        <v>16543.272727272728</v>
      </c>
      <c r="Q300" s="8">
        <v>16438.454545454544</v>
      </c>
      <c r="R300" s="8">
        <v>16420.31818181818</v>
      </c>
      <c r="S300" s="8">
        <v>16717.5</v>
      </c>
      <c r="T300" s="8">
        <v>16792.18181818182</v>
      </c>
      <c r="U300" s="8">
        <v>16367.863636363636</v>
      </c>
      <c r="V300" s="8">
        <v>16147.90909090909</v>
      </c>
      <c r="W300" s="8">
        <v>16663.409090909092</v>
      </c>
      <c r="X300" s="8">
        <v>16581.363636363636</v>
      </c>
      <c r="Y300" s="8">
        <v>16038.727272727272</v>
      </c>
      <c r="Z300" s="8">
        <v>15362.5</v>
      </c>
      <c r="AA300" s="8">
        <v>14632.045454545454</v>
      </c>
      <c r="AB300" s="8">
        <v>14284.5</v>
      </c>
      <c r="AC300" s="8">
        <v>6598390.0909090936</v>
      </c>
      <c r="AD300" s="8"/>
    </row>
    <row r="301" spans="1:30" x14ac:dyDescent="0.25">
      <c r="A301" s="62">
        <v>11732345</v>
      </c>
      <c r="B301" s="10" t="s">
        <v>32</v>
      </c>
      <c r="C301" s="11">
        <v>4</v>
      </c>
      <c r="D301" s="119"/>
      <c r="E301" s="8">
        <v>14377.5</v>
      </c>
      <c r="F301" s="8">
        <v>14101</v>
      </c>
      <c r="G301" s="8">
        <v>13706</v>
      </c>
      <c r="H301" s="8">
        <v>13267</v>
      </c>
      <c r="I301" s="8">
        <v>13214</v>
      </c>
      <c r="J301" s="8">
        <v>13526.5</v>
      </c>
      <c r="K301" s="8">
        <v>13819.5</v>
      </c>
      <c r="L301" s="8">
        <v>14397</v>
      </c>
      <c r="M301" s="8">
        <v>15189.5</v>
      </c>
      <c r="N301" s="8">
        <v>15761</v>
      </c>
      <c r="O301" s="8">
        <v>16201</v>
      </c>
      <c r="P301" s="8">
        <v>16541</v>
      </c>
      <c r="Q301" s="8">
        <v>16436.5</v>
      </c>
      <c r="R301" s="8">
        <v>16418.25</v>
      </c>
      <c r="S301" s="8">
        <v>16715.25</v>
      </c>
      <c r="T301" s="8">
        <v>16789.75</v>
      </c>
      <c r="U301" s="8">
        <v>16365.5</v>
      </c>
      <c r="V301" s="8">
        <v>16145.5</v>
      </c>
      <c r="W301" s="8">
        <v>16661</v>
      </c>
      <c r="X301" s="8">
        <v>16579</v>
      </c>
      <c r="Y301" s="8">
        <v>16036.5</v>
      </c>
      <c r="Z301" s="8">
        <v>15360.5</v>
      </c>
      <c r="AA301" s="8">
        <v>14629.75</v>
      </c>
      <c r="AB301" s="8">
        <v>14282.25</v>
      </c>
      <c r="AC301" s="8">
        <v>1466083</v>
      </c>
      <c r="AD301" s="8"/>
    </row>
    <row r="302" spans="1:30" ht="15.75" thickBot="1" x14ac:dyDescent="0.3">
      <c r="A302" s="60"/>
      <c r="B302" s="13" t="s">
        <v>33</v>
      </c>
      <c r="C302" s="14">
        <v>8</v>
      </c>
      <c r="D302" s="120"/>
      <c r="E302" s="8">
        <v>14373.2</v>
      </c>
      <c r="F302" s="8">
        <v>14096.6</v>
      </c>
      <c r="G302" s="8">
        <v>13701.6</v>
      </c>
      <c r="H302" s="8">
        <v>13262.8</v>
      </c>
      <c r="I302" s="8">
        <v>13209.8</v>
      </c>
      <c r="J302" s="8">
        <v>13522.4</v>
      </c>
      <c r="K302" s="8">
        <v>13815.2</v>
      </c>
      <c r="L302" s="8">
        <v>14392.6</v>
      </c>
      <c r="M302" s="8">
        <v>15185</v>
      </c>
      <c r="N302" s="8">
        <v>15756.8</v>
      </c>
      <c r="O302" s="8">
        <v>16197</v>
      </c>
      <c r="P302" s="8">
        <v>16537.2</v>
      </c>
      <c r="Q302" s="8">
        <v>16432.599999999999</v>
      </c>
      <c r="R302" s="8">
        <v>16414.2</v>
      </c>
      <c r="S302" s="8">
        <v>16711.2</v>
      </c>
      <c r="T302" s="8">
        <v>16785.400000000001</v>
      </c>
      <c r="U302" s="8">
        <v>16361.2</v>
      </c>
      <c r="V302" s="8">
        <v>16141.4</v>
      </c>
      <c r="W302" s="8">
        <v>16657.2</v>
      </c>
      <c r="X302" s="8">
        <v>16574.8</v>
      </c>
      <c r="Y302" s="8">
        <v>16032.6</v>
      </c>
      <c r="Z302" s="8">
        <v>15356.4</v>
      </c>
      <c r="AA302" s="8">
        <v>14625.8</v>
      </c>
      <c r="AB302" s="8">
        <v>14278.2</v>
      </c>
      <c r="AC302" s="8">
        <v>2931369.6000000006</v>
      </c>
      <c r="AD302" s="8">
        <v>10995842.690909095</v>
      </c>
    </row>
    <row r="303" spans="1:30" ht="15.75" thickBot="1" x14ac:dyDescent="0.3">
      <c r="B303" s="57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30" x14ac:dyDescent="0.25">
      <c r="A304" s="58"/>
      <c r="B304" s="6" t="s">
        <v>31</v>
      </c>
      <c r="C304" s="7">
        <v>23</v>
      </c>
      <c r="D304" s="118">
        <v>48030</v>
      </c>
      <c r="E304" s="8">
        <v>14379.954545454546</v>
      </c>
      <c r="F304" s="8">
        <v>14103.545454545454</v>
      </c>
      <c r="G304" s="8">
        <v>13708.545454545454</v>
      </c>
      <c r="H304" s="8">
        <v>13269.363636363636</v>
      </c>
      <c r="I304" s="8">
        <v>13216.363636363636</v>
      </c>
      <c r="J304" s="8">
        <v>13529.181818181818</v>
      </c>
      <c r="K304" s="8">
        <v>13822.181818181818</v>
      </c>
      <c r="L304" s="8">
        <v>14399.40909090909</v>
      </c>
      <c r="M304" s="8">
        <v>15191.863636363636</v>
      </c>
      <c r="N304" s="8">
        <v>15763.363636363636</v>
      </c>
      <c r="O304" s="8">
        <v>16203.40909090909</v>
      </c>
      <c r="P304" s="8">
        <v>16543.272727272728</v>
      </c>
      <c r="Q304" s="8">
        <v>16438.454545454544</v>
      </c>
      <c r="R304" s="8">
        <v>16420.31818181818</v>
      </c>
      <c r="S304" s="8">
        <v>16717.5</v>
      </c>
      <c r="T304" s="8">
        <v>16792.18181818182</v>
      </c>
      <c r="U304" s="8">
        <v>16367.863636363636</v>
      </c>
      <c r="V304" s="8">
        <v>16147.90909090909</v>
      </c>
      <c r="W304" s="8">
        <v>16663.409090909092</v>
      </c>
      <c r="X304" s="8">
        <v>16581.363636363636</v>
      </c>
      <c r="Y304" s="8">
        <v>16038.727272727272</v>
      </c>
      <c r="Z304" s="8">
        <v>15362.5</v>
      </c>
      <c r="AA304" s="8">
        <v>14632.045454545454</v>
      </c>
      <c r="AB304" s="8">
        <v>14284.5</v>
      </c>
      <c r="AC304" s="8">
        <v>8431276.2272727303</v>
      </c>
      <c r="AD304" s="8"/>
    </row>
    <row r="305" spans="1:30" x14ac:dyDescent="0.25">
      <c r="A305" s="62">
        <v>12168423</v>
      </c>
      <c r="B305" s="10" t="s">
        <v>32</v>
      </c>
      <c r="C305" s="11">
        <v>4</v>
      </c>
      <c r="D305" s="119"/>
      <c r="E305" s="8">
        <v>14377.5</v>
      </c>
      <c r="F305" s="8">
        <v>14101</v>
      </c>
      <c r="G305" s="8">
        <v>13706</v>
      </c>
      <c r="H305" s="8">
        <v>13267</v>
      </c>
      <c r="I305" s="8">
        <v>13214</v>
      </c>
      <c r="J305" s="8">
        <v>13526.5</v>
      </c>
      <c r="K305" s="8">
        <v>13819.5</v>
      </c>
      <c r="L305" s="8">
        <v>14397</v>
      </c>
      <c r="M305" s="8">
        <v>15189.5</v>
      </c>
      <c r="N305" s="8">
        <v>15761</v>
      </c>
      <c r="O305" s="8">
        <v>16201</v>
      </c>
      <c r="P305" s="8">
        <v>16541</v>
      </c>
      <c r="Q305" s="8">
        <v>16436.5</v>
      </c>
      <c r="R305" s="8">
        <v>16418.25</v>
      </c>
      <c r="S305" s="8">
        <v>16715.25</v>
      </c>
      <c r="T305" s="8">
        <v>16789.75</v>
      </c>
      <c r="U305" s="8">
        <v>16365.5</v>
      </c>
      <c r="V305" s="8">
        <v>16145.5</v>
      </c>
      <c r="W305" s="8">
        <v>16661</v>
      </c>
      <c r="X305" s="8">
        <v>16579</v>
      </c>
      <c r="Y305" s="8">
        <v>16036.5</v>
      </c>
      <c r="Z305" s="8">
        <v>15360.5</v>
      </c>
      <c r="AA305" s="8">
        <v>14629.75</v>
      </c>
      <c r="AB305" s="8">
        <v>14282.25</v>
      </c>
      <c r="AC305" s="8">
        <v>1466083</v>
      </c>
      <c r="AD305" s="8"/>
    </row>
    <row r="306" spans="1:30" ht="15.75" thickBot="1" x14ac:dyDescent="0.3">
      <c r="A306" s="60"/>
      <c r="B306" s="13" t="s">
        <v>33</v>
      </c>
      <c r="C306" s="14">
        <v>8</v>
      </c>
      <c r="D306" s="120"/>
      <c r="E306" s="8">
        <v>14373.2</v>
      </c>
      <c r="F306" s="8">
        <v>14096.6</v>
      </c>
      <c r="G306" s="8">
        <v>13701.6</v>
      </c>
      <c r="H306" s="8">
        <v>13262.8</v>
      </c>
      <c r="I306" s="8">
        <v>13209.8</v>
      </c>
      <c r="J306" s="8">
        <v>13522.4</v>
      </c>
      <c r="K306" s="8">
        <v>13815.2</v>
      </c>
      <c r="L306" s="8">
        <v>14392.6</v>
      </c>
      <c r="M306" s="8">
        <v>15185</v>
      </c>
      <c r="N306" s="8">
        <v>15756.8</v>
      </c>
      <c r="O306" s="8">
        <v>16197</v>
      </c>
      <c r="P306" s="8">
        <v>16537.2</v>
      </c>
      <c r="Q306" s="8">
        <v>16432.599999999999</v>
      </c>
      <c r="R306" s="8">
        <v>16414.2</v>
      </c>
      <c r="S306" s="8">
        <v>16711.2</v>
      </c>
      <c r="T306" s="8">
        <v>16785.400000000001</v>
      </c>
      <c r="U306" s="8">
        <v>16361.2</v>
      </c>
      <c r="V306" s="8">
        <v>16141.4</v>
      </c>
      <c r="W306" s="8">
        <v>16657.2</v>
      </c>
      <c r="X306" s="8">
        <v>16574.8</v>
      </c>
      <c r="Y306" s="8">
        <v>16032.6</v>
      </c>
      <c r="Z306" s="8">
        <v>15356.4</v>
      </c>
      <c r="AA306" s="8">
        <v>14625.8</v>
      </c>
      <c r="AB306" s="8">
        <v>14278.2</v>
      </c>
      <c r="AC306" s="8">
        <v>2931369.6000000006</v>
      </c>
      <c r="AD306" s="8">
        <v>12828728.827272732</v>
      </c>
    </row>
    <row r="307" spans="1:30" ht="15.75" thickBot="1" x14ac:dyDescent="0.3">
      <c r="B307" s="57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30" x14ac:dyDescent="0.25">
      <c r="A308" s="58"/>
      <c r="B308" s="6" t="s">
        <v>31</v>
      </c>
      <c r="C308" s="7">
        <v>19</v>
      </c>
      <c r="D308" s="118">
        <v>48061</v>
      </c>
      <c r="E308" s="8">
        <v>14379.954545454546</v>
      </c>
      <c r="F308" s="8">
        <v>14103.545454545454</v>
      </c>
      <c r="G308" s="8">
        <v>13708.545454545454</v>
      </c>
      <c r="H308" s="8">
        <v>13269.363636363636</v>
      </c>
      <c r="I308" s="8">
        <v>13216.363636363636</v>
      </c>
      <c r="J308" s="8">
        <v>13529.181818181818</v>
      </c>
      <c r="K308" s="8">
        <v>13822.181818181818</v>
      </c>
      <c r="L308" s="8">
        <v>14399.40909090909</v>
      </c>
      <c r="M308" s="8">
        <v>15191.863636363636</v>
      </c>
      <c r="N308" s="8">
        <v>15763.363636363636</v>
      </c>
      <c r="O308" s="8">
        <v>16203.40909090909</v>
      </c>
      <c r="P308" s="8">
        <v>16543.272727272728</v>
      </c>
      <c r="Q308" s="8">
        <v>16438.454545454544</v>
      </c>
      <c r="R308" s="8">
        <v>16420.31818181818</v>
      </c>
      <c r="S308" s="8">
        <v>16717.5</v>
      </c>
      <c r="T308" s="8">
        <v>16792.18181818182</v>
      </c>
      <c r="U308" s="8">
        <v>16367.863636363636</v>
      </c>
      <c r="V308" s="8">
        <v>16147.90909090909</v>
      </c>
      <c r="W308" s="8">
        <v>16663.409090909092</v>
      </c>
      <c r="X308" s="8">
        <v>16581.363636363636</v>
      </c>
      <c r="Y308" s="8">
        <v>16038.727272727272</v>
      </c>
      <c r="Z308" s="8">
        <v>15362.5</v>
      </c>
      <c r="AA308" s="8">
        <v>14632.045454545454</v>
      </c>
      <c r="AB308" s="8">
        <v>14284.5</v>
      </c>
      <c r="AC308" s="8">
        <v>6964967.3181818211</v>
      </c>
      <c r="AD308" s="8"/>
    </row>
    <row r="309" spans="1:30" x14ac:dyDescent="0.25">
      <c r="A309" s="62">
        <v>12214141</v>
      </c>
      <c r="B309" s="10" t="s">
        <v>32</v>
      </c>
      <c r="C309" s="11">
        <v>5</v>
      </c>
      <c r="D309" s="119"/>
      <c r="E309" s="8">
        <v>14377.5</v>
      </c>
      <c r="F309" s="8">
        <v>14101</v>
      </c>
      <c r="G309" s="8">
        <v>13706</v>
      </c>
      <c r="H309" s="8">
        <v>13267</v>
      </c>
      <c r="I309" s="8">
        <v>13214</v>
      </c>
      <c r="J309" s="8">
        <v>13526.5</v>
      </c>
      <c r="K309" s="8">
        <v>13819.5</v>
      </c>
      <c r="L309" s="8">
        <v>14397</v>
      </c>
      <c r="M309" s="8">
        <v>15189.5</v>
      </c>
      <c r="N309" s="8">
        <v>15761</v>
      </c>
      <c r="O309" s="8">
        <v>16201</v>
      </c>
      <c r="P309" s="8">
        <v>16541</v>
      </c>
      <c r="Q309" s="8">
        <v>16436.5</v>
      </c>
      <c r="R309" s="8">
        <v>16418.25</v>
      </c>
      <c r="S309" s="8">
        <v>16715.25</v>
      </c>
      <c r="T309" s="8">
        <v>16789.75</v>
      </c>
      <c r="U309" s="8">
        <v>16365.5</v>
      </c>
      <c r="V309" s="8">
        <v>16145.5</v>
      </c>
      <c r="W309" s="8">
        <v>16661</v>
      </c>
      <c r="X309" s="8">
        <v>16579</v>
      </c>
      <c r="Y309" s="8">
        <v>16036.5</v>
      </c>
      <c r="Z309" s="8">
        <v>15360.5</v>
      </c>
      <c r="AA309" s="8">
        <v>14629.75</v>
      </c>
      <c r="AB309" s="8">
        <v>14282.25</v>
      </c>
      <c r="AC309" s="8">
        <v>1832603.75</v>
      </c>
      <c r="AD309" s="8"/>
    </row>
    <row r="310" spans="1:30" ht="15.75" thickBot="1" x14ac:dyDescent="0.3">
      <c r="A310" s="60"/>
      <c r="B310" s="13" t="s">
        <v>33</v>
      </c>
      <c r="C310" s="14">
        <v>7</v>
      </c>
      <c r="D310" s="120"/>
      <c r="E310" s="8">
        <v>14373.2</v>
      </c>
      <c r="F310" s="8">
        <v>14096.6</v>
      </c>
      <c r="G310" s="8">
        <v>13701.6</v>
      </c>
      <c r="H310" s="8">
        <v>13262.8</v>
      </c>
      <c r="I310" s="8">
        <v>13209.8</v>
      </c>
      <c r="J310" s="8">
        <v>13522.4</v>
      </c>
      <c r="K310" s="8">
        <v>13815.2</v>
      </c>
      <c r="L310" s="8">
        <v>14392.6</v>
      </c>
      <c r="M310" s="8">
        <v>15185</v>
      </c>
      <c r="N310" s="8">
        <v>15756.8</v>
      </c>
      <c r="O310" s="8">
        <v>16197</v>
      </c>
      <c r="P310" s="8">
        <v>16537.2</v>
      </c>
      <c r="Q310" s="8">
        <v>16432.599999999999</v>
      </c>
      <c r="R310" s="8">
        <v>16414.2</v>
      </c>
      <c r="S310" s="8">
        <v>16711.2</v>
      </c>
      <c r="T310" s="8">
        <v>16785.400000000001</v>
      </c>
      <c r="U310" s="8">
        <v>16361.2</v>
      </c>
      <c r="V310" s="8">
        <v>16141.4</v>
      </c>
      <c r="W310" s="8">
        <v>16657.2</v>
      </c>
      <c r="X310" s="8">
        <v>16574.8</v>
      </c>
      <c r="Y310" s="8">
        <v>16032.6</v>
      </c>
      <c r="Z310" s="8">
        <v>15356.4</v>
      </c>
      <c r="AA310" s="8">
        <v>14625.8</v>
      </c>
      <c r="AB310" s="8">
        <v>14278.2</v>
      </c>
      <c r="AC310" s="8">
        <v>2564948.4000000004</v>
      </c>
      <c r="AD310" s="8">
        <v>11362519.468181821</v>
      </c>
    </row>
    <row r="311" spans="1:30" ht="15.75" thickBot="1" x14ac:dyDescent="0.3">
      <c r="B311" s="57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30" x14ac:dyDescent="0.25">
      <c r="A312" s="58"/>
      <c r="B312" s="6" t="s">
        <v>31</v>
      </c>
      <c r="C312" s="7">
        <v>22</v>
      </c>
      <c r="D312" s="118">
        <v>48092</v>
      </c>
      <c r="E312" s="8">
        <v>14379.954545454546</v>
      </c>
      <c r="F312" s="8">
        <v>14103.545454545454</v>
      </c>
      <c r="G312" s="8">
        <v>13708.545454545454</v>
      </c>
      <c r="H312" s="8">
        <v>13269.363636363636</v>
      </c>
      <c r="I312" s="8">
        <v>13216.363636363636</v>
      </c>
      <c r="J312" s="8">
        <v>13529.181818181818</v>
      </c>
      <c r="K312" s="8">
        <v>13822.181818181818</v>
      </c>
      <c r="L312" s="8">
        <v>14399.40909090909</v>
      </c>
      <c r="M312" s="8">
        <v>15191.863636363636</v>
      </c>
      <c r="N312" s="8">
        <v>15763.363636363636</v>
      </c>
      <c r="O312" s="8">
        <v>16203.40909090909</v>
      </c>
      <c r="P312" s="8">
        <v>16543.272727272728</v>
      </c>
      <c r="Q312" s="8">
        <v>16438.454545454544</v>
      </c>
      <c r="R312" s="8">
        <v>16420.31818181818</v>
      </c>
      <c r="S312" s="8">
        <v>16717.5</v>
      </c>
      <c r="T312" s="8">
        <v>16792.18181818182</v>
      </c>
      <c r="U312" s="8">
        <v>16367.863636363636</v>
      </c>
      <c r="V312" s="8">
        <v>16147.90909090909</v>
      </c>
      <c r="W312" s="8">
        <v>16663.409090909092</v>
      </c>
      <c r="X312" s="8">
        <v>16581.363636363636</v>
      </c>
      <c r="Y312" s="8">
        <v>16038.727272727272</v>
      </c>
      <c r="Z312" s="8">
        <v>15362.5</v>
      </c>
      <c r="AA312" s="8">
        <v>14632.045454545454</v>
      </c>
      <c r="AB312" s="8">
        <v>14284.5</v>
      </c>
      <c r="AC312" s="8">
        <v>8064699.0000000028</v>
      </c>
      <c r="AD312" s="8"/>
    </row>
    <row r="313" spans="1:30" x14ac:dyDescent="0.25">
      <c r="A313" s="62">
        <v>11863708</v>
      </c>
      <c r="B313" s="10" t="s">
        <v>32</v>
      </c>
      <c r="C313" s="11">
        <v>4</v>
      </c>
      <c r="D313" s="119"/>
      <c r="E313" s="8">
        <v>14377.5</v>
      </c>
      <c r="F313" s="8">
        <v>14101</v>
      </c>
      <c r="G313" s="8">
        <v>13706</v>
      </c>
      <c r="H313" s="8">
        <v>13267</v>
      </c>
      <c r="I313" s="8">
        <v>13214</v>
      </c>
      <c r="J313" s="8">
        <v>13526.5</v>
      </c>
      <c r="K313" s="8">
        <v>13819.5</v>
      </c>
      <c r="L313" s="8">
        <v>14397</v>
      </c>
      <c r="M313" s="8">
        <v>15189.5</v>
      </c>
      <c r="N313" s="8">
        <v>15761</v>
      </c>
      <c r="O313" s="8">
        <v>16201</v>
      </c>
      <c r="P313" s="8">
        <v>16541</v>
      </c>
      <c r="Q313" s="8">
        <v>16436.5</v>
      </c>
      <c r="R313" s="8">
        <v>16418.25</v>
      </c>
      <c r="S313" s="8">
        <v>16715.25</v>
      </c>
      <c r="T313" s="8">
        <v>16789.75</v>
      </c>
      <c r="U313" s="8">
        <v>16365.5</v>
      </c>
      <c r="V313" s="8">
        <v>16145.5</v>
      </c>
      <c r="W313" s="8">
        <v>16661</v>
      </c>
      <c r="X313" s="8">
        <v>16579</v>
      </c>
      <c r="Y313" s="8">
        <v>16036.5</v>
      </c>
      <c r="Z313" s="8">
        <v>15360.5</v>
      </c>
      <c r="AA313" s="8">
        <v>14629.75</v>
      </c>
      <c r="AB313" s="8">
        <v>14282.25</v>
      </c>
      <c r="AC313" s="8">
        <v>1466083</v>
      </c>
      <c r="AD313" s="8"/>
    </row>
    <row r="314" spans="1:30" ht="15.75" thickBot="1" x14ac:dyDescent="0.3">
      <c r="A314" s="60"/>
      <c r="B314" s="13" t="s">
        <v>33</v>
      </c>
      <c r="C314" s="14">
        <v>4</v>
      </c>
      <c r="D314" s="120"/>
      <c r="E314" s="8">
        <v>14373.2</v>
      </c>
      <c r="F314" s="8">
        <v>14096.6</v>
      </c>
      <c r="G314" s="8">
        <v>13701.6</v>
      </c>
      <c r="H314" s="8">
        <v>13262.8</v>
      </c>
      <c r="I314" s="8">
        <v>13209.8</v>
      </c>
      <c r="J314" s="8">
        <v>13522.4</v>
      </c>
      <c r="K314" s="8">
        <v>13815.2</v>
      </c>
      <c r="L314" s="8">
        <v>14392.6</v>
      </c>
      <c r="M314" s="8">
        <v>15185</v>
      </c>
      <c r="N314" s="8">
        <v>15756.8</v>
      </c>
      <c r="O314" s="8">
        <v>16197</v>
      </c>
      <c r="P314" s="8">
        <v>16537.2</v>
      </c>
      <c r="Q314" s="8">
        <v>16432.599999999999</v>
      </c>
      <c r="R314" s="8">
        <v>16414.2</v>
      </c>
      <c r="S314" s="8">
        <v>16711.2</v>
      </c>
      <c r="T314" s="8">
        <v>16785.400000000001</v>
      </c>
      <c r="U314" s="8">
        <v>16361.2</v>
      </c>
      <c r="V314" s="8">
        <v>16141.4</v>
      </c>
      <c r="W314" s="8">
        <v>16657.2</v>
      </c>
      <c r="X314" s="8">
        <v>16574.8</v>
      </c>
      <c r="Y314" s="8">
        <v>16032.6</v>
      </c>
      <c r="Z314" s="8">
        <v>15356.4</v>
      </c>
      <c r="AA314" s="8">
        <v>14625.8</v>
      </c>
      <c r="AB314" s="8">
        <v>14278.2</v>
      </c>
      <c r="AC314" s="8">
        <v>1465684.8000000003</v>
      </c>
      <c r="AD314" s="8">
        <v>10996466.800000004</v>
      </c>
    </row>
    <row r="315" spans="1:30" ht="15.75" thickBot="1" x14ac:dyDescent="0.3">
      <c r="B315" s="57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30" x14ac:dyDescent="0.25">
      <c r="A316" s="58"/>
      <c r="B316" s="6" t="s">
        <v>31</v>
      </c>
      <c r="C316" s="7">
        <v>22</v>
      </c>
      <c r="D316" s="118">
        <v>48122</v>
      </c>
      <c r="E316" s="8">
        <v>14379.954545454546</v>
      </c>
      <c r="F316" s="8">
        <v>14103.545454545454</v>
      </c>
      <c r="G316" s="8">
        <v>13708.545454545454</v>
      </c>
      <c r="H316" s="8">
        <v>13269.363636363636</v>
      </c>
      <c r="I316" s="8">
        <v>13216.363636363636</v>
      </c>
      <c r="J316" s="8">
        <v>13529.181818181818</v>
      </c>
      <c r="K316" s="8">
        <v>13822.181818181818</v>
      </c>
      <c r="L316" s="8">
        <v>14399.40909090909</v>
      </c>
      <c r="M316" s="8">
        <v>15191.863636363636</v>
      </c>
      <c r="N316" s="8">
        <v>15763.363636363636</v>
      </c>
      <c r="O316" s="8">
        <v>16203.40909090909</v>
      </c>
      <c r="P316" s="8">
        <v>16543.272727272728</v>
      </c>
      <c r="Q316" s="8">
        <v>16438.454545454544</v>
      </c>
      <c r="R316" s="8">
        <v>16420.31818181818</v>
      </c>
      <c r="S316" s="8">
        <v>16717.5</v>
      </c>
      <c r="T316" s="8">
        <v>16792.18181818182</v>
      </c>
      <c r="U316" s="8">
        <v>16367.863636363636</v>
      </c>
      <c r="V316" s="8">
        <v>16147.90909090909</v>
      </c>
      <c r="W316" s="8">
        <v>16663.409090909092</v>
      </c>
      <c r="X316" s="8">
        <v>16581.363636363636</v>
      </c>
      <c r="Y316" s="8">
        <v>16038.727272727272</v>
      </c>
      <c r="Z316" s="8">
        <v>15362.5</v>
      </c>
      <c r="AA316" s="8">
        <v>14632.045454545454</v>
      </c>
      <c r="AB316" s="8">
        <v>14284.5</v>
      </c>
      <c r="AC316" s="8">
        <v>8064699.0000000028</v>
      </c>
      <c r="AD316" s="8"/>
    </row>
    <row r="317" spans="1:30" x14ac:dyDescent="0.25">
      <c r="A317" s="62">
        <v>12304135</v>
      </c>
      <c r="B317" s="10" t="s">
        <v>32</v>
      </c>
      <c r="C317" s="11">
        <v>4</v>
      </c>
      <c r="D317" s="119"/>
      <c r="E317" s="8">
        <v>14377.5</v>
      </c>
      <c r="F317" s="8">
        <v>14101</v>
      </c>
      <c r="G317" s="8">
        <v>13706</v>
      </c>
      <c r="H317" s="8">
        <v>13267</v>
      </c>
      <c r="I317" s="8">
        <v>13214</v>
      </c>
      <c r="J317" s="8">
        <v>13526.5</v>
      </c>
      <c r="K317" s="8">
        <v>13819.5</v>
      </c>
      <c r="L317" s="8">
        <v>14397</v>
      </c>
      <c r="M317" s="8">
        <v>15189.5</v>
      </c>
      <c r="N317" s="8">
        <v>15761</v>
      </c>
      <c r="O317" s="8">
        <v>16201</v>
      </c>
      <c r="P317" s="8">
        <v>16541</v>
      </c>
      <c r="Q317" s="8">
        <v>16436.5</v>
      </c>
      <c r="R317" s="8">
        <v>16418.25</v>
      </c>
      <c r="S317" s="8">
        <v>16715.25</v>
      </c>
      <c r="T317" s="8">
        <v>16789.75</v>
      </c>
      <c r="U317" s="8">
        <v>16365.5</v>
      </c>
      <c r="V317" s="8">
        <v>16145.5</v>
      </c>
      <c r="W317" s="8">
        <v>16661</v>
      </c>
      <c r="X317" s="8">
        <v>16579</v>
      </c>
      <c r="Y317" s="8">
        <v>16036.5</v>
      </c>
      <c r="Z317" s="8">
        <v>15360.5</v>
      </c>
      <c r="AA317" s="8">
        <v>14629.75</v>
      </c>
      <c r="AB317" s="8">
        <v>14282.25</v>
      </c>
      <c r="AC317" s="8">
        <v>1466083</v>
      </c>
      <c r="AD317" s="8"/>
    </row>
    <row r="318" spans="1:30" ht="15.75" thickBot="1" x14ac:dyDescent="0.3">
      <c r="A318" s="60"/>
      <c r="B318" s="13" t="s">
        <v>33</v>
      </c>
      <c r="C318" s="14">
        <v>5</v>
      </c>
      <c r="D318" s="120"/>
      <c r="E318" s="8">
        <v>14373.2</v>
      </c>
      <c r="F318" s="8">
        <v>14096.6</v>
      </c>
      <c r="G318" s="8">
        <v>13701.6</v>
      </c>
      <c r="H318" s="8">
        <v>13262.8</v>
      </c>
      <c r="I318" s="8">
        <v>13209.8</v>
      </c>
      <c r="J318" s="8">
        <v>13522.4</v>
      </c>
      <c r="K318" s="8">
        <v>13815.2</v>
      </c>
      <c r="L318" s="8">
        <v>14392.6</v>
      </c>
      <c r="M318" s="8">
        <v>15185</v>
      </c>
      <c r="N318" s="8">
        <v>15756.8</v>
      </c>
      <c r="O318" s="8">
        <v>16197</v>
      </c>
      <c r="P318" s="8">
        <v>16537.2</v>
      </c>
      <c r="Q318" s="8">
        <v>16432.599999999999</v>
      </c>
      <c r="R318" s="8">
        <v>16414.2</v>
      </c>
      <c r="S318" s="8">
        <v>16711.2</v>
      </c>
      <c r="T318" s="8">
        <v>16785.400000000001</v>
      </c>
      <c r="U318" s="8">
        <v>16361.2</v>
      </c>
      <c r="V318" s="8">
        <v>16141.4</v>
      </c>
      <c r="W318" s="8">
        <v>16657.2</v>
      </c>
      <c r="X318" s="8">
        <v>16574.8</v>
      </c>
      <c r="Y318" s="8">
        <v>16032.6</v>
      </c>
      <c r="Z318" s="8">
        <v>15356.4</v>
      </c>
      <c r="AA318" s="8">
        <v>14625.8</v>
      </c>
      <c r="AB318" s="8">
        <v>14278.2</v>
      </c>
      <c r="AC318" s="8">
        <v>1832106.0000000005</v>
      </c>
      <c r="AD318" s="8">
        <v>11362888.000000004</v>
      </c>
    </row>
    <row r="319" spans="1:30" ht="15.75" thickBot="1" x14ac:dyDescent="0.3">
      <c r="B319" s="57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30" x14ac:dyDescent="0.25">
      <c r="A320" s="58"/>
      <c r="B320" s="6" t="s">
        <v>31</v>
      </c>
      <c r="C320" s="7">
        <v>18</v>
      </c>
      <c r="D320" s="118">
        <v>48153</v>
      </c>
      <c r="E320" s="8">
        <v>14379.954545454546</v>
      </c>
      <c r="F320" s="8">
        <v>14103.545454545454</v>
      </c>
      <c r="G320" s="8">
        <v>13708.545454545454</v>
      </c>
      <c r="H320" s="8">
        <v>13269.363636363636</v>
      </c>
      <c r="I320" s="8">
        <v>13216.363636363636</v>
      </c>
      <c r="J320" s="8">
        <v>13529.181818181818</v>
      </c>
      <c r="K320" s="8">
        <v>13822.181818181818</v>
      </c>
      <c r="L320" s="8">
        <v>14399.40909090909</v>
      </c>
      <c r="M320" s="8">
        <v>15191.863636363636</v>
      </c>
      <c r="N320" s="8">
        <v>15763.363636363636</v>
      </c>
      <c r="O320" s="8">
        <v>16203.40909090909</v>
      </c>
      <c r="P320" s="8">
        <v>16543.272727272728</v>
      </c>
      <c r="Q320" s="8">
        <v>16438.454545454544</v>
      </c>
      <c r="R320" s="8">
        <v>16420.31818181818</v>
      </c>
      <c r="S320" s="8">
        <v>16717.5</v>
      </c>
      <c r="T320" s="8">
        <v>16792.18181818182</v>
      </c>
      <c r="U320" s="8">
        <v>16367.863636363636</v>
      </c>
      <c r="V320" s="8">
        <v>16147.90909090909</v>
      </c>
      <c r="W320" s="8">
        <v>16663.409090909092</v>
      </c>
      <c r="X320" s="8">
        <v>16581.363636363636</v>
      </c>
      <c r="Y320" s="8">
        <v>16038.727272727272</v>
      </c>
      <c r="Z320" s="8">
        <v>15362.5</v>
      </c>
      <c r="AA320" s="8">
        <v>14632.045454545454</v>
      </c>
      <c r="AB320" s="8">
        <v>14284.5</v>
      </c>
      <c r="AC320" s="8">
        <v>6598390.0909090936</v>
      </c>
      <c r="AD320" s="8"/>
    </row>
    <row r="321" spans="1:30" x14ac:dyDescent="0.25">
      <c r="A321" s="62">
        <v>11950759</v>
      </c>
      <c r="B321" s="10" t="s">
        <v>32</v>
      </c>
      <c r="C321" s="11">
        <v>5</v>
      </c>
      <c r="D321" s="119"/>
      <c r="E321" s="8">
        <v>14377.5</v>
      </c>
      <c r="F321" s="8">
        <v>14101</v>
      </c>
      <c r="G321" s="8">
        <v>13706</v>
      </c>
      <c r="H321" s="8">
        <v>13267</v>
      </c>
      <c r="I321" s="8">
        <v>13214</v>
      </c>
      <c r="J321" s="8">
        <v>13526.5</v>
      </c>
      <c r="K321" s="8">
        <v>13819.5</v>
      </c>
      <c r="L321" s="8">
        <v>14397</v>
      </c>
      <c r="M321" s="8">
        <v>15189.5</v>
      </c>
      <c r="N321" s="8">
        <v>15761</v>
      </c>
      <c r="O321" s="8">
        <v>16201</v>
      </c>
      <c r="P321" s="8">
        <v>16541</v>
      </c>
      <c r="Q321" s="8">
        <v>16436.5</v>
      </c>
      <c r="R321" s="8">
        <v>16418.25</v>
      </c>
      <c r="S321" s="8">
        <v>16715.25</v>
      </c>
      <c r="T321" s="8">
        <v>16789.75</v>
      </c>
      <c r="U321" s="8">
        <v>16365.5</v>
      </c>
      <c r="V321" s="8">
        <v>16145.5</v>
      </c>
      <c r="W321" s="8">
        <v>16661</v>
      </c>
      <c r="X321" s="8">
        <v>16579</v>
      </c>
      <c r="Y321" s="8">
        <v>16036.5</v>
      </c>
      <c r="Z321" s="8">
        <v>15360.5</v>
      </c>
      <c r="AA321" s="8">
        <v>14629.75</v>
      </c>
      <c r="AB321" s="8">
        <v>14282.25</v>
      </c>
      <c r="AC321" s="8">
        <v>1832603.75</v>
      </c>
      <c r="AD321" s="8"/>
    </row>
    <row r="322" spans="1:30" ht="15.75" thickBot="1" x14ac:dyDescent="0.3">
      <c r="A322" s="60"/>
      <c r="B322" s="13" t="s">
        <v>33</v>
      </c>
      <c r="C322" s="14">
        <v>5</v>
      </c>
      <c r="D322" s="120"/>
      <c r="E322" s="8">
        <v>14373.2</v>
      </c>
      <c r="F322" s="8">
        <v>14096.6</v>
      </c>
      <c r="G322" s="8">
        <v>13701.6</v>
      </c>
      <c r="H322" s="8">
        <v>13262.8</v>
      </c>
      <c r="I322" s="8">
        <v>13209.8</v>
      </c>
      <c r="J322" s="8">
        <v>13522.4</v>
      </c>
      <c r="K322" s="8">
        <v>13815.2</v>
      </c>
      <c r="L322" s="8">
        <v>14392.6</v>
      </c>
      <c r="M322" s="8">
        <v>15185</v>
      </c>
      <c r="N322" s="8">
        <v>15756.8</v>
      </c>
      <c r="O322" s="8">
        <v>16197</v>
      </c>
      <c r="P322" s="8">
        <v>16537.2</v>
      </c>
      <c r="Q322" s="8">
        <v>16432.599999999999</v>
      </c>
      <c r="R322" s="8">
        <v>16414.2</v>
      </c>
      <c r="S322" s="8">
        <v>16711.2</v>
      </c>
      <c r="T322" s="8">
        <v>16785.400000000001</v>
      </c>
      <c r="U322" s="8">
        <v>16361.2</v>
      </c>
      <c r="V322" s="8">
        <v>16141.4</v>
      </c>
      <c r="W322" s="8">
        <v>16657.2</v>
      </c>
      <c r="X322" s="8">
        <v>16574.8</v>
      </c>
      <c r="Y322" s="8">
        <v>16032.6</v>
      </c>
      <c r="Z322" s="8">
        <v>15356.4</v>
      </c>
      <c r="AA322" s="8">
        <v>14625.8</v>
      </c>
      <c r="AB322" s="8">
        <v>14278.2</v>
      </c>
      <c r="AC322" s="8">
        <v>1832106.0000000005</v>
      </c>
      <c r="AD322" s="8">
        <v>10263099.840909094</v>
      </c>
    </row>
    <row r="323" spans="1:30" ht="15.75" thickBot="1" x14ac:dyDescent="0.3">
      <c r="B323" s="57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30" x14ac:dyDescent="0.25">
      <c r="A324" s="58"/>
      <c r="B324" s="6" t="s">
        <v>31</v>
      </c>
      <c r="C324" s="7">
        <v>21</v>
      </c>
      <c r="D324" s="118">
        <v>48183</v>
      </c>
      <c r="E324" s="8">
        <v>14379.954545454546</v>
      </c>
      <c r="F324" s="8">
        <v>14103.545454545454</v>
      </c>
      <c r="G324" s="8">
        <v>13708.545454545454</v>
      </c>
      <c r="H324" s="8">
        <v>13269.363636363636</v>
      </c>
      <c r="I324" s="8">
        <v>13216.363636363636</v>
      </c>
      <c r="J324" s="8">
        <v>13529.181818181818</v>
      </c>
      <c r="K324" s="8">
        <v>13822.181818181818</v>
      </c>
      <c r="L324" s="8">
        <v>14399.40909090909</v>
      </c>
      <c r="M324" s="8">
        <v>15191.863636363636</v>
      </c>
      <c r="N324" s="8">
        <v>15763.363636363636</v>
      </c>
      <c r="O324" s="8">
        <v>16203.40909090909</v>
      </c>
      <c r="P324" s="8">
        <v>16543.272727272728</v>
      </c>
      <c r="Q324" s="8">
        <v>16438.454545454544</v>
      </c>
      <c r="R324" s="8">
        <v>16420.31818181818</v>
      </c>
      <c r="S324" s="8">
        <v>16717.5</v>
      </c>
      <c r="T324" s="8">
        <v>16792.18181818182</v>
      </c>
      <c r="U324" s="8">
        <v>16367.863636363636</v>
      </c>
      <c r="V324" s="8">
        <v>16147.90909090909</v>
      </c>
      <c r="W324" s="8">
        <v>16663.409090909092</v>
      </c>
      <c r="X324" s="8">
        <v>16581.363636363636</v>
      </c>
      <c r="Y324" s="8">
        <v>16038.727272727272</v>
      </c>
      <c r="Z324" s="8">
        <v>15362.5</v>
      </c>
      <c r="AA324" s="8">
        <v>14632.045454545454</v>
      </c>
      <c r="AB324" s="8">
        <v>14284.5</v>
      </c>
      <c r="AC324" s="8">
        <v>7698121.7727272753</v>
      </c>
      <c r="AD324" s="8"/>
    </row>
    <row r="325" spans="1:30" x14ac:dyDescent="0.25">
      <c r="A325" s="62">
        <v>12413660</v>
      </c>
      <c r="B325" s="10" t="s">
        <v>32</v>
      </c>
      <c r="C325" s="11">
        <v>4</v>
      </c>
      <c r="D325" s="119"/>
      <c r="E325" s="8">
        <v>14377.5</v>
      </c>
      <c r="F325" s="8">
        <v>14101</v>
      </c>
      <c r="G325" s="8">
        <v>13706</v>
      </c>
      <c r="H325" s="8">
        <v>13267</v>
      </c>
      <c r="I325" s="8">
        <v>13214</v>
      </c>
      <c r="J325" s="8">
        <v>13526.5</v>
      </c>
      <c r="K325" s="8">
        <v>13819.5</v>
      </c>
      <c r="L325" s="8">
        <v>14397</v>
      </c>
      <c r="M325" s="8">
        <v>15189.5</v>
      </c>
      <c r="N325" s="8">
        <v>15761</v>
      </c>
      <c r="O325" s="8">
        <v>16201</v>
      </c>
      <c r="P325" s="8">
        <v>16541</v>
      </c>
      <c r="Q325" s="8">
        <v>16436.5</v>
      </c>
      <c r="R325" s="8">
        <v>16418.25</v>
      </c>
      <c r="S325" s="8">
        <v>16715.25</v>
      </c>
      <c r="T325" s="8">
        <v>16789.75</v>
      </c>
      <c r="U325" s="8">
        <v>16365.5</v>
      </c>
      <c r="V325" s="8">
        <v>16145.5</v>
      </c>
      <c r="W325" s="8">
        <v>16661</v>
      </c>
      <c r="X325" s="8">
        <v>16579</v>
      </c>
      <c r="Y325" s="8">
        <v>16036.5</v>
      </c>
      <c r="Z325" s="8">
        <v>15360.5</v>
      </c>
      <c r="AA325" s="8">
        <v>14629.75</v>
      </c>
      <c r="AB325" s="8">
        <v>14282.25</v>
      </c>
      <c r="AC325" s="8">
        <v>1466083</v>
      </c>
      <c r="AD325" s="8"/>
    </row>
    <row r="326" spans="1:30" ht="15.75" thickBot="1" x14ac:dyDescent="0.3">
      <c r="A326" s="60"/>
      <c r="B326" s="13" t="s">
        <v>33</v>
      </c>
      <c r="C326" s="14">
        <v>6</v>
      </c>
      <c r="D326" s="120"/>
      <c r="E326" s="8">
        <v>14373.2</v>
      </c>
      <c r="F326" s="8">
        <v>14096.6</v>
      </c>
      <c r="G326" s="8">
        <v>13701.6</v>
      </c>
      <c r="H326" s="8">
        <v>13262.8</v>
      </c>
      <c r="I326" s="8">
        <v>13209.8</v>
      </c>
      <c r="J326" s="8">
        <v>13522.4</v>
      </c>
      <c r="K326" s="8">
        <v>13815.2</v>
      </c>
      <c r="L326" s="8">
        <v>14392.6</v>
      </c>
      <c r="M326" s="8">
        <v>15185</v>
      </c>
      <c r="N326" s="8">
        <v>15756.8</v>
      </c>
      <c r="O326" s="8">
        <v>16197</v>
      </c>
      <c r="P326" s="8">
        <v>16537.2</v>
      </c>
      <c r="Q326" s="8">
        <v>16432.599999999999</v>
      </c>
      <c r="R326" s="8">
        <v>16414.2</v>
      </c>
      <c r="S326" s="8">
        <v>16711.2</v>
      </c>
      <c r="T326" s="8">
        <v>16785.400000000001</v>
      </c>
      <c r="U326" s="8">
        <v>16361.2</v>
      </c>
      <c r="V326" s="8">
        <v>16141.4</v>
      </c>
      <c r="W326" s="8">
        <v>16657.2</v>
      </c>
      <c r="X326" s="8">
        <v>16574.8</v>
      </c>
      <c r="Y326" s="8">
        <v>16032.6</v>
      </c>
      <c r="Z326" s="8">
        <v>15356.4</v>
      </c>
      <c r="AA326" s="8">
        <v>14625.8</v>
      </c>
      <c r="AB326" s="8">
        <v>14278.2</v>
      </c>
      <c r="AC326" s="8">
        <v>2198527.2000000002</v>
      </c>
      <c r="AD326" s="8">
        <v>11362731.972727276</v>
      </c>
    </row>
  </sheetData>
  <autoFilter ref="A1:AD5" xr:uid="{37C8AF55-BF93-46EC-B40A-5DABE14DA766}"/>
  <mergeCells count="82">
    <mergeCell ref="D3:D5"/>
    <mergeCell ref="D7:D9"/>
    <mergeCell ref="D31:D33"/>
    <mergeCell ref="D35:D37"/>
    <mergeCell ref="A2:AD2"/>
    <mergeCell ref="D60:D62"/>
    <mergeCell ref="A39:AD39"/>
    <mergeCell ref="D40:D42"/>
    <mergeCell ref="D44:D46"/>
    <mergeCell ref="D48:D50"/>
    <mergeCell ref="D52:D54"/>
    <mergeCell ref="D56:D58"/>
    <mergeCell ref="D104:D106"/>
    <mergeCell ref="D64:D66"/>
    <mergeCell ref="D68:D70"/>
    <mergeCell ref="D72:D74"/>
    <mergeCell ref="D76:D78"/>
    <mergeCell ref="D80:D82"/>
    <mergeCell ref="D84:D86"/>
    <mergeCell ref="A87:AD87"/>
    <mergeCell ref="D88:D90"/>
    <mergeCell ref="D92:D94"/>
    <mergeCell ref="D96:D98"/>
    <mergeCell ref="D100:D102"/>
    <mergeCell ref="D148:D150"/>
    <mergeCell ref="D108:D110"/>
    <mergeCell ref="D112:D114"/>
    <mergeCell ref="D116:D118"/>
    <mergeCell ref="D120:D122"/>
    <mergeCell ref="D124:D126"/>
    <mergeCell ref="D128:D130"/>
    <mergeCell ref="D132:D134"/>
    <mergeCell ref="A135:AD135"/>
    <mergeCell ref="D136:D138"/>
    <mergeCell ref="D140:D142"/>
    <mergeCell ref="D144:D146"/>
    <mergeCell ref="D192:D194"/>
    <mergeCell ref="D152:D154"/>
    <mergeCell ref="D156:D158"/>
    <mergeCell ref="D160:D162"/>
    <mergeCell ref="D164:D166"/>
    <mergeCell ref="D168:D170"/>
    <mergeCell ref="D172:D174"/>
    <mergeCell ref="D176:D178"/>
    <mergeCell ref="D180:D182"/>
    <mergeCell ref="A183:AD183"/>
    <mergeCell ref="D184:D186"/>
    <mergeCell ref="D188:D190"/>
    <mergeCell ref="D240:D242"/>
    <mergeCell ref="D196:D198"/>
    <mergeCell ref="D200:D202"/>
    <mergeCell ref="D204:D206"/>
    <mergeCell ref="D208:D210"/>
    <mergeCell ref="D212:D214"/>
    <mergeCell ref="D216:D218"/>
    <mergeCell ref="D220:D222"/>
    <mergeCell ref="D224:D226"/>
    <mergeCell ref="D228:D230"/>
    <mergeCell ref="D232:D234"/>
    <mergeCell ref="D236:D238"/>
    <mergeCell ref="D284:D286"/>
    <mergeCell ref="D244:D246"/>
    <mergeCell ref="D248:D250"/>
    <mergeCell ref="D252:D254"/>
    <mergeCell ref="D256:D258"/>
    <mergeCell ref="D260:D262"/>
    <mergeCell ref="D264:D266"/>
    <mergeCell ref="D268:D270"/>
    <mergeCell ref="D272:D274"/>
    <mergeCell ref="D276:D278"/>
    <mergeCell ref="A279:AD279"/>
    <mergeCell ref="D280:D282"/>
    <mergeCell ref="D312:D314"/>
    <mergeCell ref="D316:D318"/>
    <mergeCell ref="D320:D322"/>
    <mergeCell ref="D324:D326"/>
    <mergeCell ref="D288:D290"/>
    <mergeCell ref="D292:D294"/>
    <mergeCell ref="D296:D298"/>
    <mergeCell ref="D300:D302"/>
    <mergeCell ref="D304:D306"/>
    <mergeCell ref="D308:D3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9DFE-E002-49D2-B17E-F49C8634EFDD}">
  <dimension ref="A1:I110"/>
  <sheetViews>
    <sheetView topLeftCell="A97" zoomScale="126" zoomScaleNormal="110" workbookViewId="0">
      <selection activeCell="B2" sqref="B2:F106"/>
    </sheetView>
  </sheetViews>
  <sheetFormatPr baseColWidth="10" defaultRowHeight="15" x14ac:dyDescent="0.25"/>
  <cols>
    <col min="2" max="2" width="15.85546875" customWidth="1"/>
    <col min="3" max="3" width="16.28515625" style="29" customWidth="1"/>
    <col min="4" max="4" width="13.85546875" customWidth="1"/>
    <col min="5" max="5" width="18.85546875" customWidth="1"/>
    <col min="6" max="6" width="24.42578125" customWidth="1"/>
    <col min="7" max="7" width="13.85546875" bestFit="1" customWidth="1"/>
  </cols>
  <sheetData>
    <row r="1" spans="1:7" x14ac:dyDescent="0.25">
      <c r="A1" s="137"/>
      <c r="B1" s="137"/>
      <c r="C1" s="137"/>
      <c r="D1" s="137"/>
      <c r="E1" s="137"/>
      <c r="F1" s="137"/>
      <c r="G1" s="137"/>
    </row>
    <row r="2" spans="1:7" ht="16.5" x14ac:dyDescent="0.25">
      <c r="D2" s="69" t="s">
        <v>63</v>
      </c>
      <c r="E2" s="69"/>
    </row>
    <row r="3" spans="1:7" ht="16.5" x14ac:dyDescent="0.25">
      <c r="D3" s="69" t="s">
        <v>39</v>
      </c>
      <c r="E3" s="69"/>
    </row>
    <row r="5" spans="1:7" ht="16.5" x14ac:dyDescent="0.25">
      <c r="B5" s="70" t="s">
        <v>40</v>
      </c>
      <c r="C5" s="92"/>
      <c r="D5" s="138" t="s">
        <v>58</v>
      </c>
      <c r="E5" s="138"/>
      <c r="F5" s="138"/>
    </row>
    <row r="6" spans="1:7" ht="16.5" x14ac:dyDescent="0.25">
      <c r="B6" s="70" t="s">
        <v>41</v>
      </c>
      <c r="C6" s="92"/>
      <c r="D6" s="139" t="s">
        <v>42</v>
      </c>
      <c r="E6" s="139"/>
      <c r="F6" s="139"/>
    </row>
    <row r="7" spans="1:7" ht="16.5" x14ac:dyDescent="0.25">
      <c r="B7" s="70" t="s">
        <v>43</v>
      </c>
      <c r="C7" s="92"/>
      <c r="D7" s="139" t="s">
        <v>44</v>
      </c>
      <c r="E7" s="139"/>
      <c r="F7" s="139"/>
    </row>
    <row r="8" spans="1:7" ht="16.5" x14ac:dyDescent="0.25">
      <c r="B8" s="70" t="s">
        <v>45</v>
      </c>
      <c r="C8" s="92"/>
      <c r="D8" s="139" t="s">
        <v>53</v>
      </c>
      <c r="E8" s="139"/>
      <c r="F8" s="139"/>
    </row>
    <row r="9" spans="1:7" ht="15.75" thickBot="1" x14ac:dyDescent="0.3"/>
    <row r="10" spans="1:7" ht="15" customHeight="1" thickBot="1" x14ac:dyDescent="0.3">
      <c r="B10" s="140" t="s">
        <v>46</v>
      </c>
      <c r="C10" s="141"/>
      <c r="D10" s="141"/>
      <c r="E10" s="141"/>
      <c r="F10" s="142"/>
    </row>
    <row r="11" spans="1:7" ht="60.75" thickBot="1" x14ac:dyDescent="0.3">
      <c r="B11" s="72" t="s">
        <v>47</v>
      </c>
      <c r="C11" s="93" t="s">
        <v>55</v>
      </c>
      <c r="D11" s="73" t="s">
        <v>56</v>
      </c>
      <c r="E11" s="73" t="s">
        <v>57</v>
      </c>
      <c r="F11" s="73" t="s">
        <v>54</v>
      </c>
    </row>
    <row r="12" spans="1:7" s="159" customFormat="1" ht="17.25" thickBot="1" x14ac:dyDescent="0.3">
      <c r="B12" s="161">
        <v>45748</v>
      </c>
      <c r="C12" s="162">
        <f>+'Cantidades - Producto 2'!AD5</f>
        <v>2592000</v>
      </c>
      <c r="D12" s="160"/>
      <c r="E12" s="75">
        <v>0</v>
      </c>
      <c r="F12" s="160"/>
    </row>
    <row r="13" spans="1:7" s="159" customFormat="1" ht="17.25" thickBot="1" x14ac:dyDescent="0.3">
      <c r="B13" s="161">
        <v>45778</v>
      </c>
      <c r="C13" s="162">
        <f>+'Cantidades - Producto 2'!AD9</f>
        <v>1339200</v>
      </c>
      <c r="D13" s="160"/>
      <c r="E13" s="75">
        <v>0</v>
      </c>
      <c r="F13" s="160"/>
    </row>
    <row r="14" spans="1:7" s="159" customFormat="1" ht="17.25" thickBot="1" x14ac:dyDescent="0.3">
      <c r="B14" s="161">
        <v>45809</v>
      </c>
      <c r="C14" s="162">
        <f>+'Cantidades - Producto 2'!AD13</f>
        <v>1080000</v>
      </c>
      <c r="D14" s="160"/>
      <c r="E14" s="75">
        <v>0</v>
      </c>
      <c r="F14" s="160"/>
    </row>
    <row r="15" spans="1:7" s="159" customFormat="1" ht="17.25" thickBot="1" x14ac:dyDescent="0.3">
      <c r="B15" s="161">
        <v>45839</v>
      </c>
      <c r="C15" s="162">
        <f>+'Cantidades - Producto 2'!AD17</f>
        <v>1116000</v>
      </c>
      <c r="D15" s="160"/>
      <c r="E15" s="75">
        <v>0</v>
      </c>
      <c r="F15" s="160"/>
    </row>
    <row r="16" spans="1:7" s="159" customFormat="1" ht="17.25" thickBot="1" x14ac:dyDescent="0.3">
      <c r="B16" s="161">
        <v>45870</v>
      </c>
      <c r="C16" s="162">
        <f>+'Cantidades - Producto 2'!AD21</f>
        <v>1116000</v>
      </c>
      <c r="D16" s="160"/>
      <c r="E16" s="75">
        <v>0</v>
      </c>
      <c r="F16" s="160"/>
    </row>
    <row r="17" spans="2:9" s="159" customFormat="1" ht="17.25" thickBot="1" x14ac:dyDescent="0.3">
      <c r="B17" s="161">
        <v>45901</v>
      </c>
      <c r="C17" s="162">
        <f>+'Cantidades - Producto 2'!AD25</f>
        <v>1080000</v>
      </c>
      <c r="D17" s="160"/>
      <c r="E17" s="75">
        <v>0</v>
      </c>
      <c r="F17" s="160"/>
    </row>
    <row r="18" spans="2:9" s="159" customFormat="1" ht="17.25" thickBot="1" x14ac:dyDescent="0.3">
      <c r="B18" s="161">
        <v>45931</v>
      </c>
      <c r="C18" s="162">
        <f>+'Cantidades - Producto 2'!AD29</f>
        <v>1116000</v>
      </c>
      <c r="D18" s="160"/>
      <c r="E18" s="75">
        <v>0</v>
      </c>
      <c r="F18" s="160"/>
    </row>
    <row r="19" spans="2:9" s="159" customFormat="1" ht="17.25" thickBot="1" x14ac:dyDescent="0.3">
      <c r="B19" s="161">
        <v>45962</v>
      </c>
      <c r="C19" s="162">
        <f>+'Cantidades - Producto 2'!AD33</f>
        <v>1080000</v>
      </c>
      <c r="D19" s="160"/>
      <c r="E19" s="75">
        <v>0</v>
      </c>
      <c r="F19" s="160"/>
    </row>
    <row r="20" spans="2:9" s="159" customFormat="1" ht="17.25" thickBot="1" x14ac:dyDescent="0.3">
      <c r="B20" s="161">
        <v>45992</v>
      </c>
      <c r="C20" s="162">
        <f>+'Cantidades - Producto 2'!AD37</f>
        <v>4092000</v>
      </c>
      <c r="D20" s="160"/>
      <c r="E20" s="75">
        <v>0</v>
      </c>
      <c r="F20" s="160"/>
    </row>
    <row r="21" spans="2:9" ht="17.25" thickBot="1" x14ac:dyDescent="0.3">
      <c r="B21" s="76">
        <v>2025</v>
      </c>
      <c r="C21" s="95">
        <f>SUM(C12:C20)</f>
        <v>14611200</v>
      </c>
      <c r="D21" s="77"/>
      <c r="E21" s="77"/>
      <c r="F21" s="78"/>
      <c r="G21" s="29"/>
      <c r="I21" s="29"/>
    </row>
    <row r="22" spans="2:9" ht="17.25" thickBot="1" x14ac:dyDescent="0.3">
      <c r="B22" s="74">
        <v>46023</v>
      </c>
      <c r="C22" s="96">
        <v>1545777.7607664</v>
      </c>
      <c r="D22" s="75"/>
      <c r="E22" s="75">
        <v>0</v>
      </c>
      <c r="F22" s="75"/>
      <c r="G22" s="29"/>
      <c r="I22" s="29"/>
    </row>
    <row r="23" spans="2:9" ht="17.25" thickBot="1" x14ac:dyDescent="0.3">
      <c r="B23" s="74">
        <v>46054</v>
      </c>
      <c r="C23" s="96">
        <v>2886806.5897440026</v>
      </c>
      <c r="D23" s="75"/>
      <c r="E23" s="75">
        <v>0</v>
      </c>
      <c r="F23" s="75"/>
      <c r="G23" s="29"/>
      <c r="I23" s="29"/>
    </row>
    <row r="24" spans="2:9" ht="17.25" thickBot="1" x14ac:dyDescent="0.3">
      <c r="B24" s="74">
        <v>46082</v>
      </c>
      <c r="C24" s="96">
        <v>1041600</v>
      </c>
      <c r="D24" s="75"/>
      <c r="E24" s="75">
        <v>0</v>
      </c>
      <c r="F24" s="75"/>
      <c r="G24" s="29"/>
      <c r="I24" s="29"/>
    </row>
    <row r="25" spans="2:9" ht="17.25" thickBot="1" x14ac:dyDescent="0.3">
      <c r="B25" s="74">
        <v>46113</v>
      </c>
      <c r="C25" s="96">
        <v>2286927.7595640006</v>
      </c>
      <c r="D25" s="75"/>
      <c r="E25" s="75">
        <v>0</v>
      </c>
      <c r="F25" s="75"/>
      <c r="G25" s="29"/>
      <c r="I25" s="29"/>
    </row>
    <row r="26" spans="2:9" ht="17.25" thickBot="1" x14ac:dyDescent="0.3">
      <c r="B26" s="74">
        <v>46143</v>
      </c>
      <c r="C26" s="96">
        <v>2368061.8245568424</v>
      </c>
      <c r="D26" s="75"/>
      <c r="E26" s="75">
        <v>0</v>
      </c>
      <c r="F26" s="75"/>
      <c r="G26" s="29"/>
      <c r="I26" s="29"/>
    </row>
    <row r="27" spans="2:9" ht="17.25" thickBot="1" x14ac:dyDescent="0.3">
      <c r="B27" s="74">
        <v>46174</v>
      </c>
      <c r="C27" s="96">
        <v>1368000</v>
      </c>
      <c r="D27" s="75"/>
      <c r="E27" s="75">
        <v>0</v>
      </c>
      <c r="F27" s="75"/>
      <c r="G27" s="29"/>
      <c r="I27" s="29"/>
    </row>
    <row r="28" spans="2:9" ht="17.25" thickBot="1" x14ac:dyDescent="0.3">
      <c r="B28" s="74">
        <v>46204</v>
      </c>
      <c r="C28" s="96">
        <v>1621587.375117817</v>
      </c>
      <c r="D28" s="75"/>
      <c r="E28" s="75">
        <v>0</v>
      </c>
      <c r="F28" s="75"/>
      <c r="G28" s="29"/>
      <c r="I28" s="29"/>
    </row>
    <row r="29" spans="2:9" ht="17.25" thickBot="1" x14ac:dyDescent="0.3">
      <c r="B29" s="74">
        <v>46235</v>
      </c>
      <c r="C29" s="96">
        <v>2433501.9403976849</v>
      </c>
      <c r="D29" s="75"/>
      <c r="E29" s="75">
        <v>0</v>
      </c>
      <c r="F29" s="75"/>
      <c r="G29" s="29"/>
      <c r="I29" s="29"/>
    </row>
    <row r="30" spans="2:9" ht="17.25" thickBot="1" x14ac:dyDescent="0.3">
      <c r="B30" s="74">
        <v>46266</v>
      </c>
      <c r="C30" s="96">
        <v>2625087.9220650005</v>
      </c>
      <c r="D30" s="75"/>
      <c r="E30" s="75">
        <v>0</v>
      </c>
      <c r="F30" s="75"/>
      <c r="G30" s="29"/>
      <c r="I30" s="29"/>
    </row>
    <row r="31" spans="2:9" ht="17.25" thickBot="1" x14ac:dyDescent="0.3">
      <c r="B31" s="74">
        <v>46296</v>
      </c>
      <c r="C31" s="96">
        <v>2792680.9536465001</v>
      </c>
      <c r="D31" s="75"/>
      <c r="E31" s="75">
        <v>0</v>
      </c>
      <c r="F31" s="75"/>
      <c r="G31" s="29"/>
      <c r="I31" s="29"/>
    </row>
    <row r="32" spans="2:9" ht="17.25" thickBot="1" x14ac:dyDescent="0.3">
      <c r="B32" s="74">
        <v>46327</v>
      </c>
      <c r="C32" s="96">
        <v>2247215.1322054733</v>
      </c>
      <c r="D32" s="75"/>
      <c r="E32" s="75">
        <v>0</v>
      </c>
      <c r="F32" s="75"/>
      <c r="G32" s="29"/>
      <c r="I32" s="29"/>
    </row>
    <row r="33" spans="2:9" ht="17.25" thickBot="1" x14ac:dyDescent="0.3">
      <c r="B33" s="74">
        <v>46357</v>
      </c>
      <c r="C33" s="96">
        <v>4034473.758057503</v>
      </c>
      <c r="D33" s="75"/>
      <c r="E33" s="75">
        <v>0</v>
      </c>
      <c r="F33" s="75"/>
      <c r="G33" s="29"/>
      <c r="I33" s="29"/>
    </row>
    <row r="34" spans="2:9" ht="17.25" thickBot="1" x14ac:dyDescent="0.3">
      <c r="B34" s="76">
        <v>2026</v>
      </c>
      <c r="C34" s="95">
        <f>SUM(C22:C33)</f>
        <v>27251721.016121224</v>
      </c>
      <c r="D34" s="77"/>
      <c r="E34" s="77"/>
      <c r="F34" s="78"/>
      <c r="G34" s="29"/>
      <c r="I34" s="29"/>
    </row>
    <row r="35" spans="2:9" ht="17.25" thickBot="1" x14ac:dyDescent="0.3">
      <c r="B35" s="74">
        <v>46388</v>
      </c>
      <c r="C35" s="96">
        <v>5050364.2565949988</v>
      </c>
      <c r="D35" s="75"/>
      <c r="E35" s="75">
        <v>0</v>
      </c>
      <c r="F35" s="75"/>
      <c r="G35" s="29"/>
      <c r="I35" s="29"/>
    </row>
    <row r="36" spans="2:9" ht="17.25" thickBot="1" x14ac:dyDescent="0.3">
      <c r="B36" s="74">
        <v>46419</v>
      </c>
      <c r="C36" s="96">
        <v>3779657.0221099984</v>
      </c>
      <c r="D36" s="75"/>
      <c r="E36" s="75">
        <v>0</v>
      </c>
      <c r="F36" s="75"/>
      <c r="G36" s="29"/>
      <c r="I36" s="29"/>
    </row>
    <row r="37" spans="2:9" ht="17.25" thickBot="1" x14ac:dyDescent="0.3">
      <c r="B37" s="74">
        <v>46447</v>
      </c>
      <c r="C37" s="96">
        <v>798072.28774000076</v>
      </c>
      <c r="D37" s="75"/>
      <c r="E37" s="75">
        <v>0</v>
      </c>
      <c r="F37" s="75"/>
      <c r="G37" s="29"/>
      <c r="I37" s="29"/>
    </row>
    <row r="38" spans="2:9" ht="17.25" thickBot="1" x14ac:dyDescent="0.3">
      <c r="B38" s="74">
        <v>46478</v>
      </c>
      <c r="C38" s="96">
        <v>1863664.1277659994</v>
      </c>
      <c r="D38" s="75"/>
      <c r="E38" s="75">
        <v>0</v>
      </c>
      <c r="F38" s="75"/>
      <c r="G38" s="29"/>
      <c r="I38" s="29"/>
    </row>
    <row r="39" spans="2:9" ht="17.25" thickBot="1" x14ac:dyDescent="0.3">
      <c r="B39" s="74">
        <v>46508</v>
      </c>
      <c r="C39" s="96">
        <v>1936750.3861859997</v>
      </c>
      <c r="D39" s="75"/>
      <c r="E39" s="75">
        <v>0</v>
      </c>
      <c r="F39" s="75"/>
      <c r="G39" s="29"/>
      <c r="I39" s="29"/>
    </row>
    <row r="40" spans="2:9" ht="17.25" thickBot="1" x14ac:dyDescent="0.3">
      <c r="B40" s="74">
        <v>46539</v>
      </c>
      <c r="C40" s="96">
        <v>2827913.5252620005</v>
      </c>
      <c r="D40" s="75"/>
      <c r="E40" s="75">
        <v>0</v>
      </c>
      <c r="F40" s="75"/>
      <c r="G40" s="29"/>
      <c r="I40" s="29"/>
    </row>
    <row r="41" spans="2:9" ht="17.25" thickBot="1" x14ac:dyDescent="0.3">
      <c r="B41" s="74">
        <v>46569</v>
      </c>
      <c r="C41" s="96">
        <v>1157609.2291899996</v>
      </c>
      <c r="D41" s="75"/>
      <c r="E41" s="75">
        <v>0</v>
      </c>
      <c r="F41" s="75"/>
      <c r="G41" s="29"/>
      <c r="I41" s="29"/>
    </row>
    <row r="42" spans="2:9" ht="17.25" thickBot="1" x14ac:dyDescent="0.3">
      <c r="B42" s="74">
        <v>46600</v>
      </c>
      <c r="C42" s="96">
        <v>2953856.5236180001</v>
      </c>
      <c r="D42" s="75"/>
      <c r="E42" s="75">
        <v>0</v>
      </c>
      <c r="F42" s="75"/>
      <c r="G42" s="29"/>
      <c r="I42" s="29"/>
    </row>
    <row r="43" spans="2:9" ht="17.25" thickBot="1" x14ac:dyDescent="0.3">
      <c r="B43" s="74">
        <v>46631</v>
      </c>
      <c r="C43" s="96">
        <v>2874102.4397925008</v>
      </c>
      <c r="D43" s="75"/>
      <c r="E43" s="75">
        <v>0</v>
      </c>
      <c r="F43" s="75"/>
      <c r="G43" s="29"/>
      <c r="I43" s="29"/>
    </row>
    <row r="44" spans="2:9" ht="17.25" thickBot="1" x14ac:dyDescent="0.3">
      <c r="B44" s="74">
        <v>46661</v>
      </c>
      <c r="C44" s="96">
        <v>3105843.6337599992</v>
      </c>
      <c r="D44" s="75"/>
      <c r="E44" s="75">
        <v>0</v>
      </c>
      <c r="F44" s="75"/>
      <c r="G44" s="29"/>
      <c r="I44" s="29"/>
    </row>
    <row r="45" spans="2:9" ht="17.25" thickBot="1" x14ac:dyDescent="0.3">
      <c r="B45" s="74">
        <v>46692</v>
      </c>
      <c r="C45" s="96">
        <v>2906491.7210805006</v>
      </c>
      <c r="D45" s="75"/>
      <c r="E45" s="75">
        <v>0</v>
      </c>
      <c r="F45" s="75"/>
      <c r="G45" s="29"/>
      <c r="I45" s="29"/>
    </row>
    <row r="46" spans="2:9" ht="17.25" thickBot="1" x14ac:dyDescent="0.3">
      <c r="B46" s="74">
        <v>46722</v>
      </c>
      <c r="C46" s="96">
        <v>3019041.4303035</v>
      </c>
      <c r="D46" s="75"/>
      <c r="E46" s="75">
        <v>0</v>
      </c>
      <c r="F46" s="75"/>
      <c r="G46" s="29"/>
      <c r="I46" s="29"/>
    </row>
    <row r="47" spans="2:9" ht="17.25" thickBot="1" x14ac:dyDescent="0.3">
      <c r="B47" s="79">
        <v>2027</v>
      </c>
      <c r="C47" s="97">
        <f>SUM(C35:C46)</f>
        <v>32273366.583403502</v>
      </c>
      <c r="D47" s="80"/>
      <c r="E47" s="80"/>
      <c r="F47" s="81"/>
      <c r="G47" s="29"/>
      <c r="I47" s="29"/>
    </row>
    <row r="48" spans="2:9" ht="17.25" thickBot="1" x14ac:dyDescent="0.3">
      <c r="B48" s="82">
        <v>46753</v>
      </c>
      <c r="C48" s="98">
        <v>5666831.7352050012</v>
      </c>
      <c r="D48" s="83"/>
      <c r="E48" s="75">
        <v>0</v>
      </c>
      <c r="F48" s="83"/>
      <c r="G48" s="29"/>
      <c r="I48" s="29"/>
    </row>
    <row r="49" spans="2:9" ht="17.25" thickBot="1" x14ac:dyDescent="0.3">
      <c r="B49" s="74">
        <v>46784</v>
      </c>
      <c r="C49" s="96">
        <v>5065184.8440450011</v>
      </c>
      <c r="D49" s="75"/>
      <c r="E49" s="75">
        <v>0</v>
      </c>
      <c r="F49" s="75"/>
      <c r="G49" s="29"/>
      <c r="I49" s="29"/>
    </row>
    <row r="50" spans="2:9" ht="17.25" thickBot="1" x14ac:dyDescent="0.3">
      <c r="B50" s="74">
        <v>46813</v>
      </c>
      <c r="C50" s="96">
        <v>5777312.6212800024</v>
      </c>
      <c r="D50" s="75"/>
      <c r="E50" s="75">
        <v>0</v>
      </c>
      <c r="F50" s="75"/>
      <c r="G50" s="29"/>
      <c r="I50" s="29"/>
    </row>
    <row r="51" spans="2:9" ht="17.25" thickBot="1" x14ac:dyDescent="0.3">
      <c r="B51" s="74">
        <v>46844</v>
      </c>
      <c r="C51" s="96">
        <v>5498556.7111500008</v>
      </c>
      <c r="D51" s="75"/>
      <c r="E51" s="75">
        <v>0</v>
      </c>
      <c r="F51" s="75"/>
      <c r="G51" s="29"/>
      <c r="I51" s="29"/>
    </row>
    <row r="52" spans="2:9" ht="17.25" thickBot="1" x14ac:dyDescent="0.3">
      <c r="B52" s="74">
        <v>46874</v>
      </c>
      <c r="C52" s="96">
        <v>3782018.6196450014</v>
      </c>
      <c r="D52" s="75"/>
      <c r="E52" s="75">
        <v>0</v>
      </c>
      <c r="F52" s="75"/>
      <c r="G52" s="29"/>
      <c r="I52" s="29"/>
    </row>
    <row r="53" spans="2:9" ht="17.25" thickBot="1" x14ac:dyDescent="0.3">
      <c r="B53" s="74">
        <v>46905</v>
      </c>
      <c r="C53" s="96">
        <v>781537.475355</v>
      </c>
      <c r="D53" s="75"/>
      <c r="E53" s="75">
        <v>0</v>
      </c>
      <c r="F53" s="75"/>
      <c r="G53" s="29"/>
      <c r="I53" s="29"/>
    </row>
    <row r="54" spans="2:9" ht="17.25" thickBot="1" x14ac:dyDescent="0.3">
      <c r="B54" s="74">
        <v>46935</v>
      </c>
      <c r="C54" s="96">
        <v>3892341.1370549994</v>
      </c>
      <c r="D54" s="75"/>
      <c r="E54" s="75">
        <v>0</v>
      </c>
      <c r="F54" s="75"/>
      <c r="G54" s="29"/>
      <c r="I54" s="29"/>
    </row>
    <row r="55" spans="2:9" ht="17.25" thickBot="1" x14ac:dyDescent="0.3">
      <c r="B55" s="74">
        <v>46966</v>
      </c>
      <c r="C55" s="96">
        <v>6034176.0236849999</v>
      </c>
      <c r="D55" s="75"/>
      <c r="E55" s="75">
        <v>0</v>
      </c>
      <c r="F55" s="75"/>
      <c r="G55" s="29"/>
      <c r="I55" s="29"/>
    </row>
    <row r="56" spans="2:9" ht="17.25" thickBot="1" x14ac:dyDescent="0.3">
      <c r="B56" s="74">
        <v>46997</v>
      </c>
      <c r="C56" s="96">
        <v>902137.33281000005</v>
      </c>
      <c r="D56" s="75"/>
      <c r="E56" s="75">
        <v>0</v>
      </c>
      <c r="F56" s="75"/>
      <c r="G56" s="29"/>
      <c r="I56" s="29"/>
    </row>
    <row r="57" spans="2:9" ht="17.25" thickBot="1" x14ac:dyDescent="0.3">
      <c r="B57" s="74">
        <v>47027</v>
      </c>
      <c r="C57" s="96">
        <v>1168160.4807550011</v>
      </c>
      <c r="D57" s="75"/>
      <c r="E57" s="75">
        <v>0</v>
      </c>
      <c r="F57" s="75"/>
      <c r="G57" s="29"/>
      <c r="I57" s="29"/>
    </row>
    <row r="58" spans="2:9" ht="17.25" thickBot="1" x14ac:dyDescent="0.3">
      <c r="B58" s="74">
        <v>47058</v>
      </c>
      <c r="C58" s="96">
        <v>3763696.7405250012</v>
      </c>
      <c r="D58" s="75"/>
      <c r="E58" s="75">
        <v>0</v>
      </c>
      <c r="F58" s="75"/>
      <c r="G58" s="29"/>
      <c r="I58" s="29"/>
    </row>
    <row r="59" spans="2:9" ht="17.25" thickBot="1" x14ac:dyDescent="0.3">
      <c r="B59" s="74">
        <v>47088</v>
      </c>
      <c r="C59" s="96">
        <v>5914753.7472599996</v>
      </c>
      <c r="D59" s="75"/>
      <c r="E59" s="75">
        <v>0</v>
      </c>
      <c r="F59" s="75"/>
      <c r="G59" s="29"/>
      <c r="I59" s="29"/>
    </row>
    <row r="60" spans="2:9" ht="17.25" thickBot="1" x14ac:dyDescent="0.3">
      <c r="B60" s="84">
        <v>2028</v>
      </c>
      <c r="C60" s="99">
        <f>SUM(C48:C59)</f>
        <v>48246707.468769997</v>
      </c>
      <c r="D60" s="85"/>
      <c r="E60" s="85"/>
      <c r="F60" s="85"/>
      <c r="G60" s="29"/>
      <c r="I60" s="29"/>
    </row>
    <row r="61" spans="2:9" ht="17.25" thickBot="1" x14ac:dyDescent="0.3">
      <c r="B61" s="82">
        <v>47119</v>
      </c>
      <c r="C61" s="98">
        <v>5710375.3026599996</v>
      </c>
      <c r="D61" s="83"/>
      <c r="E61" s="75">
        <v>0</v>
      </c>
      <c r="F61" s="83"/>
      <c r="G61" s="29"/>
      <c r="I61" s="29"/>
    </row>
    <row r="62" spans="2:9" ht="17.25" thickBot="1" x14ac:dyDescent="0.3">
      <c r="B62" s="74">
        <v>47150</v>
      </c>
      <c r="C62" s="96">
        <v>4872166.7520749988</v>
      </c>
      <c r="D62" s="75"/>
      <c r="E62" s="75">
        <v>0</v>
      </c>
      <c r="F62" s="75"/>
      <c r="G62" s="29"/>
      <c r="I62" s="29"/>
    </row>
    <row r="63" spans="2:9" ht="17.25" thickBot="1" x14ac:dyDescent="0.3">
      <c r="B63" s="74">
        <v>47178</v>
      </c>
      <c r="C63" s="96">
        <v>5970148.7583149988</v>
      </c>
      <c r="D63" s="75"/>
      <c r="E63" s="75">
        <v>0</v>
      </c>
      <c r="F63" s="75"/>
      <c r="G63" s="29"/>
      <c r="I63" s="29"/>
    </row>
    <row r="64" spans="2:9" ht="17.25" thickBot="1" x14ac:dyDescent="0.3">
      <c r="B64" s="74">
        <v>47209</v>
      </c>
      <c r="C64" s="96">
        <v>5673422.5065599987</v>
      </c>
      <c r="D64" s="75"/>
      <c r="E64" s="75">
        <v>0</v>
      </c>
      <c r="F64" s="75"/>
      <c r="G64" s="29"/>
      <c r="I64" s="29"/>
    </row>
    <row r="65" spans="2:9" ht="17.25" thickBot="1" x14ac:dyDescent="0.3">
      <c r="B65" s="74">
        <v>47239</v>
      </c>
      <c r="C65" s="96">
        <v>1882405.6634100014</v>
      </c>
      <c r="D65" s="75"/>
      <c r="E65" s="75">
        <v>0</v>
      </c>
      <c r="F65" s="75"/>
      <c r="G65" s="29"/>
      <c r="I65" s="29"/>
    </row>
    <row r="66" spans="2:9" ht="17.25" thickBot="1" x14ac:dyDescent="0.3">
      <c r="B66" s="74">
        <v>47270</v>
      </c>
      <c r="C66" s="96">
        <v>1579024.1765849977</v>
      </c>
      <c r="D66" s="75"/>
      <c r="E66" s="75">
        <v>0</v>
      </c>
      <c r="F66" s="75"/>
      <c r="G66" s="29"/>
      <c r="I66" s="29"/>
    </row>
    <row r="67" spans="2:9" ht="17.25" thickBot="1" x14ac:dyDescent="0.3">
      <c r="B67" s="74">
        <v>47300</v>
      </c>
      <c r="C67" s="96">
        <v>1986949.5227250021</v>
      </c>
      <c r="D67" s="75"/>
      <c r="E67" s="75">
        <v>0</v>
      </c>
      <c r="F67" s="75"/>
      <c r="G67" s="29"/>
      <c r="I67" s="29"/>
    </row>
    <row r="68" spans="2:9" ht="17.25" thickBot="1" x14ac:dyDescent="0.3">
      <c r="B68" s="74">
        <v>47331</v>
      </c>
      <c r="C68" s="96">
        <v>2041049.1799800016</v>
      </c>
      <c r="D68" s="75"/>
      <c r="E68" s="75">
        <v>0</v>
      </c>
      <c r="F68" s="75"/>
      <c r="G68" s="29"/>
      <c r="I68" s="29"/>
    </row>
    <row r="69" spans="2:9" ht="17.25" thickBot="1" x14ac:dyDescent="0.3">
      <c r="B69" s="74">
        <v>47362</v>
      </c>
      <c r="C69" s="96">
        <v>1721455.1999999979</v>
      </c>
      <c r="D69" s="75"/>
      <c r="E69" s="75">
        <v>0</v>
      </c>
      <c r="F69" s="75"/>
      <c r="G69" s="29"/>
      <c r="I69" s="29"/>
    </row>
    <row r="70" spans="2:9" ht="17.25" thickBot="1" x14ac:dyDescent="0.3">
      <c r="B70" s="74">
        <v>47392</v>
      </c>
      <c r="C70" s="96">
        <v>2127145.0800000024</v>
      </c>
      <c r="D70" s="75"/>
      <c r="E70" s="75">
        <v>0</v>
      </c>
      <c r="F70" s="75"/>
      <c r="G70" s="29"/>
      <c r="I70" s="29"/>
    </row>
    <row r="71" spans="2:9" ht="17.25" thickBot="1" x14ac:dyDescent="0.3">
      <c r="B71" s="74">
        <v>47423</v>
      </c>
      <c r="C71" s="96">
        <v>1808545.1999999976</v>
      </c>
      <c r="D71" s="75"/>
      <c r="E71" s="75">
        <v>0</v>
      </c>
      <c r="F71" s="75"/>
      <c r="G71" s="29"/>
      <c r="I71" s="29"/>
    </row>
    <row r="72" spans="2:9" ht="17.25" thickBot="1" x14ac:dyDescent="0.3">
      <c r="B72" s="74">
        <v>47453</v>
      </c>
      <c r="C72" s="96">
        <v>5717144.2799999975</v>
      </c>
      <c r="D72" s="75"/>
      <c r="E72" s="75">
        <v>0</v>
      </c>
      <c r="F72" s="75"/>
      <c r="G72" s="29"/>
      <c r="I72" s="29"/>
    </row>
    <row r="73" spans="2:9" ht="17.25" thickBot="1" x14ac:dyDescent="0.3">
      <c r="B73" s="84">
        <v>2029</v>
      </c>
      <c r="C73" s="100">
        <f>SUM(C61:C72)</f>
        <v>41089831.622309998</v>
      </c>
      <c r="D73" s="85"/>
      <c r="E73" s="85"/>
      <c r="F73" s="85"/>
      <c r="G73" s="29"/>
      <c r="I73" s="29"/>
    </row>
    <row r="74" spans="2:9" ht="17.25" thickBot="1" x14ac:dyDescent="0.3">
      <c r="B74" s="82">
        <v>47484</v>
      </c>
      <c r="C74" s="96">
        <v>11362888.000000004</v>
      </c>
      <c r="D74" s="75"/>
      <c r="E74" s="75">
        <v>0</v>
      </c>
      <c r="F74" s="75"/>
      <c r="G74" s="29"/>
      <c r="I74" s="29"/>
    </row>
    <row r="75" spans="2:9" ht="17.25" thickBot="1" x14ac:dyDescent="0.3">
      <c r="B75" s="74">
        <v>47515</v>
      </c>
      <c r="C75" s="96">
        <v>10302568</v>
      </c>
      <c r="D75" s="75"/>
      <c r="E75" s="75">
        <v>0</v>
      </c>
      <c r="F75" s="75"/>
      <c r="G75" s="29"/>
      <c r="I75" s="29"/>
    </row>
    <row r="76" spans="2:9" ht="17.25" thickBot="1" x14ac:dyDescent="0.3">
      <c r="B76" s="74">
        <v>47543</v>
      </c>
      <c r="C76" s="96">
        <v>11449930</v>
      </c>
      <c r="D76" s="75"/>
      <c r="E76" s="75">
        <v>0</v>
      </c>
      <c r="F76" s="75"/>
      <c r="G76" s="29"/>
      <c r="I76" s="29"/>
    </row>
    <row r="77" spans="2:9" ht="17.25" thickBot="1" x14ac:dyDescent="0.3">
      <c r="B77" s="74">
        <v>47574</v>
      </c>
      <c r="C77" s="96">
        <v>11124131</v>
      </c>
      <c r="D77" s="75"/>
      <c r="E77" s="75">
        <v>0</v>
      </c>
      <c r="F77" s="75"/>
      <c r="G77" s="29"/>
      <c r="I77" s="29"/>
    </row>
    <row r="78" spans="2:9" ht="17.25" thickBot="1" x14ac:dyDescent="0.3">
      <c r="B78" s="74">
        <v>47604</v>
      </c>
      <c r="C78" s="96">
        <v>11539917</v>
      </c>
      <c r="D78" s="75"/>
      <c r="E78" s="75">
        <v>0</v>
      </c>
      <c r="F78" s="75"/>
      <c r="G78" s="29"/>
      <c r="I78" s="29"/>
    </row>
    <row r="79" spans="2:9" ht="17.25" thickBot="1" x14ac:dyDescent="0.3">
      <c r="B79" s="74">
        <v>47635</v>
      </c>
      <c r="C79" s="96">
        <v>11211214</v>
      </c>
      <c r="D79" s="75"/>
      <c r="E79" s="75">
        <v>0</v>
      </c>
      <c r="F79" s="75"/>
      <c r="G79" s="29"/>
      <c r="I79" s="29"/>
    </row>
    <row r="80" spans="2:9" ht="17.25" thickBot="1" x14ac:dyDescent="0.3">
      <c r="B80" s="74">
        <v>47665</v>
      </c>
      <c r="C80" s="96">
        <v>11363044.027272731</v>
      </c>
      <c r="D80" s="75"/>
      <c r="E80" s="75">
        <v>0</v>
      </c>
      <c r="F80" s="75"/>
      <c r="G80" s="29"/>
      <c r="I80" s="29"/>
    </row>
    <row r="81" spans="2:9" ht="17.25" thickBot="1" x14ac:dyDescent="0.3">
      <c r="B81" s="74">
        <v>47696</v>
      </c>
      <c r="C81" s="96">
        <v>11362831.522727275</v>
      </c>
      <c r="D81" s="75"/>
      <c r="E81" s="75">
        <v>0</v>
      </c>
      <c r="F81" s="75"/>
      <c r="G81" s="29"/>
      <c r="I81" s="29"/>
    </row>
    <row r="82" spans="2:9" ht="17.25" thickBot="1" x14ac:dyDescent="0.3">
      <c r="B82" s="74">
        <v>47727</v>
      </c>
      <c r="C82" s="96">
        <v>10996310.772727275</v>
      </c>
      <c r="D82" s="75"/>
      <c r="E82" s="75">
        <v>0</v>
      </c>
      <c r="F82" s="75"/>
      <c r="G82" s="29"/>
      <c r="I82" s="29"/>
    </row>
    <row r="83" spans="2:9" ht="17.25" thickBot="1" x14ac:dyDescent="0.3">
      <c r="B83" s="74">
        <v>47757</v>
      </c>
      <c r="C83" s="96">
        <v>11363044.027272731</v>
      </c>
      <c r="D83" s="75"/>
      <c r="E83" s="75">
        <v>0</v>
      </c>
      <c r="F83" s="75"/>
      <c r="G83" s="29"/>
      <c r="I83" s="29"/>
    </row>
    <row r="84" spans="2:9" ht="17.25" thickBot="1" x14ac:dyDescent="0.3">
      <c r="B84" s="74">
        <v>47788</v>
      </c>
      <c r="C84" s="96">
        <v>10996254.295454549</v>
      </c>
      <c r="D84" s="75"/>
      <c r="E84" s="75">
        <v>0</v>
      </c>
      <c r="F84" s="75"/>
      <c r="G84" s="29"/>
      <c r="I84" s="29"/>
    </row>
    <row r="85" spans="2:9" ht="17.25" thickBot="1" x14ac:dyDescent="0.3">
      <c r="B85" s="74">
        <v>47818</v>
      </c>
      <c r="C85" s="96">
        <v>11362575.945454549</v>
      </c>
      <c r="D85" s="75"/>
      <c r="E85" s="75">
        <v>0</v>
      </c>
      <c r="F85" s="75"/>
      <c r="G85" s="29"/>
      <c r="I85" s="29"/>
    </row>
    <row r="86" spans="2:9" ht="17.25" thickBot="1" x14ac:dyDescent="0.3">
      <c r="B86" s="86">
        <v>2030</v>
      </c>
      <c r="C86" s="101">
        <f>SUM(C74:C85)</f>
        <v>134434708.59090912</v>
      </c>
      <c r="D86" s="87"/>
      <c r="E86" s="87"/>
      <c r="F86" s="87"/>
      <c r="G86" s="29"/>
      <c r="I86" s="29"/>
    </row>
    <row r="87" spans="2:9" ht="17.25" thickBot="1" x14ac:dyDescent="0.3">
      <c r="B87" s="82">
        <v>47849</v>
      </c>
      <c r="C87" s="96">
        <v>12095886.42727273</v>
      </c>
      <c r="D87" s="75"/>
      <c r="E87" s="75">
        <v>0</v>
      </c>
      <c r="F87" s="75"/>
      <c r="G87" s="29"/>
      <c r="I87" s="29"/>
    </row>
    <row r="88" spans="2:9" ht="17.25" thickBot="1" x14ac:dyDescent="0.3">
      <c r="B88" s="74">
        <v>47880</v>
      </c>
      <c r="C88" s="96">
        <v>10263312.345454549</v>
      </c>
      <c r="D88" s="75"/>
      <c r="E88" s="75">
        <v>0</v>
      </c>
      <c r="F88" s="75"/>
      <c r="G88" s="29"/>
      <c r="I88" s="29"/>
    </row>
    <row r="89" spans="2:9" ht="17.25" thickBot="1" x14ac:dyDescent="0.3">
      <c r="B89" s="74">
        <v>47908</v>
      </c>
      <c r="C89" s="96">
        <v>11362675.49545455</v>
      </c>
      <c r="D89" s="75"/>
      <c r="E89" s="75">
        <v>0</v>
      </c>
      <c r="F89" s="75"/>
      <c r="G89" s="29"/>
      <c r="I89" s="29"/>
    </row>
    <row r="90" spans="2:9" ht="17.25" thickBot="1" x14ac:dyDescent="0.3">
      <c r="B90" s="74">
        <v>47939</v>
      </c>
      <c r="C90" s="96">
        <v>10996154.74545455</v>
      </c>
      <c r="D90" s="75"/>
      <c r="E90" s="75">
        <v>0</v>
      </c>
      <c r="F90" s="75"/>
      <c r="G90" s="29"/>
      <c r="I90" s="29"/>
    </row>
    <row r="91" spans="2:9" ht="17.25" thickBot="1" x14ac:dyDescent="0.3">
      <c r="B91" s="74">
        <v>47969</v>
      </c>
      <c r="C91" s="96">
        <v>11362675.49545455</v>
      </c>
      <c r="D91" s="75"/>
      <c r="E91" s="75">
        <v>0</v>
      </c>
      <c r="F91" s="75"/>
      <c r="G91" s="29"/>
      <c r="I91" s="29"/>
    </row>
    <row r="92" spans="2:9" ht="17.25" thickBot="1" x14ac:dyDescent="0.3">
      <c r="B92" s="74">
        <v>48000</v>
      </c>
      <c r="C92" s="96">
        <v>10995842.690909095</v>
      </c>
      <c r="D92" s="75"/>
      <c r="E92" s="75">
        <v>0</v>
      </c>
      <c r="F92" s="75"/>
      <c r="G92" s="29"/>
      <c r="I92" s="29"/>
    </row>
    <row r="93" spans="2:9" ht="17.25" thickBot="1" x14ac:dyDescent="0.3">
      <c r="B93" s="74">
        <v>48030</v>
      </c>
      <c r="C93" s="96">
        <v>12828728.827272732</v>
      </c>
      <c r="D93" s="75"/>
      <c r="E93" s="75">
        <v>0</v>
      </c>
      <c r="F93" s="75"/>
      <c r="G93" s="29"/>
      <c r="I93" s="29"/>
    </row>
    <row r="94" spans="2:9" ht="17.25" thickBot="1" x14ac:dyDescent="0.3">
      <c r="B94" s="74">
        <v>48061</v>
      </c>
      <c r="C94" s="96">
        <v>11362519.468181821</v>
      </c>
      <c r="D94" s="75"/>
      <c r="E94" s="75">
        <v>0</v>
      </c>
      <c r="F94" s="75"/>
      <c r="G94" s="29"/>
      <c r="I94" s="29"/>
    </row>
    <row r="95" spans="2:9" ht="17.25" thickBot="1" x14ac:dyDescent="0.3">
      <c r="B95" s="74">
        <v>48092</v>
      </c>
      <c r="C95" s="96">
        <v>10996466.800000004</v>
      </c>
      <c r="D95" s="75"/>
      <c r="E95" s="75">
        <v>0</v>
      </c>
      <c r="F95" s="75"/>
      <c r="G95" s="29"/>
      <c r="I95" s="29"/>
    </row>
    <row r="96" spans="2:9" ht="17.25" thickBot="1" x14ac:dyDescent="0.3">
      <c r="B96" s="74">
        <v>48122</v>
      </c>
      <c r="C96" s="96">
        <v>11362888.000000004</v>
      </c>
      <c r="D96" s="75"/>
      <c r="E96" s="75">
        <v>0</v>
      </c>
      <c r="F96" s="75"/>
      <c r="G96" s="29"/>
      <c r="I96" s="29"/>
    </row>
    <row r="97" spans="2:9" ht="17.25" thickBot="1" x14ac:dyDescent="0.3">
      <c r="B97" s="74">
        <v>48153</v>
      </c>
      <c r="C97" s="96">
        <v>10263099.840909094</v>
      </c>
      <c r="D97" s="75"/>
      <c r="E97" s="75">
        <v>0</v>
      </c>
      <c r="F97" s="75"/>
      <c r="G97" s="29"/>
      <c r="I97" s="29"/>
    </row>
    <row r="98" spans="2:9" ht="17.25" thickBot="1" x14ac:dyDescent="0.3">
      <c r="B98" s="74">
        <v>48183</v>
      </c>
      <c r="C98" s="96">
        <v>11362731.972727276</v>
      </c>
      <c r="D98" s="75"/>
      <c r="E98" s="75">
        <v>0</v>
      </c>
      <c r="F98" s="75"/>
      <c r="G98" s="29"/>
      <c r="I98" s="29"/>
    </row>
    <row r="99" spans="2:9" ht="17.25" thickBot="1" x14ac:dyDescent="0.3">
      <c r="B99" s="86">
        <v>2031</v>
      </c>
      <c r="C99" s="101">
        <f>SUM(C87:C98)</f>
        <v>135252982.10909095</v>
      </c>
      <c r="D99" s="87"/>
      <c r="E99" s="87"/>
      <c r="F99" s="87"/>
      <c r="G99" s="29"/>
      <c r="I99" s="29"/>
    </row>
    <row r="100" spans="2:9" ht="17.25" thickBot="1" x14ac:dyDescent="0.3">
      <c r="B100" s="88" t="s">
        <v>49</v>
      </c>
      <c r="C100" s="102">
        <f>+C21+C34+C47+C60+C73+C86+C99</f>
        <v>433160517.39060473</v>
      </c>
      <c r="D100" s="81"/>
      <c r="E100" s="71"/>
      <c r="F100" s="81"/>
      <c r="G100" s="29"/>
      <c r="I100" s="29"/>
    </row>
    <row r="101" spans="2:9" x14ac:dyDescent="0.25">
      <c r="I101" s="29"/>
    </row>
    <row r="102" spans="2:9" ht="27.95" customHeight="1" x14ac:dyDescent="0.25">
      <c r="B102" s="136" t="s">
        <v>50</v>
      </c>
      <c r="C102" s="136"/>
      <c r="D102" s="136"/>
      <c r="E102" s="136"/>
      <c r="F102" s="136"/>
      <c r="I102" s="29"/>
    </row>
    <row r="103" spans="2:9" ht="25.5" customHeight="1" x14ac:dyDescent="0.25">
      <c r="B103" s="136" t="s">
        <v>59</v>
      </c>
      <c r="C103" s="136"/>
      <c r="D103" s="136"/>
      <c r="E103" s="136"/>
      <c r="F103" s="136"/>
      <c r="I103" s="29"/>
    </row>
    <row r="104" spans="2:9" ht="27" customHeight="1" x14ac:dyDescent="0.25">
      <c r="B104" s="136" t="s">
        <v>51</v>
      </c>
      <c r="C104" s="136"/>
      <c r="D104" s="136"/>
      <c r="E104" s="136"/>
      <c r="F104" s="136"/>
      <c r="I104" s="29"/>
    </row>
    <row r="105" spans="2:9" ht="25.5" customHeight="1" x14ac:dyDescent="0.25">
      <c r="B105" s="136" t="s">
        <v>60</v>
      </c>
      <c r="C105" s="136"/>
      <c r="D105" s="136"/>
      <c r="E105" s="136"/>
      <c r="F105" s="136"/>
      <c r="I105" s="29"/>
    </row>
    <row r="106" spans="2:9" ht="30.75" customHeight="1" x14ac:dyDescent="0.3">
      <c r="B106" s="145" t="s">
        <v>61</v>
      </c>
      <c r="C106" s="145"/>
      <c r="D106" s="145"/>
      <c r="E106" s="145"/>
      <c r="F106" s="145"/>
      <c r="I106" s="29"/>
    </row>
    <row r="107" spans="2:9" ht="27.75" customHeight="1" x14ac:dyDescent="0.3">
      <c r="B107" s="144"/>
      <c r="C107" s="144"/>
      <c r="D107" s="144"/>
      <c r="E107" s="144"/>
      <c r="F107" s="144"/>
      <c r="I107" s="29"/>
    </row>
    <row r="108" spans="2:9" x14ac:dyDescent="0.25">
      <c r="I108" s="29"/>
    </row>
    <row r="109" spans="2:9" x14ac:dyDescent="0.25">
      <c r="B109" s="89"/>
      <c r="C109" s="103"/>
      <c r="I109" s="29"/>
    </row>
    <row r="110" spans="2:9" x14ac:dyDescent="0.25">
      <c r="B110" t="s">
        <v>52</v>
      </c>
      <c r="I110" s="29"/>
    </row>
  </sheetData>
  <mergeCells count="12">
    <mergeCell ref="B106:F106"/>
    <mergeCell ref="B107:F107"/>
    <mergeCell ref="A1:G1"/>
    <mergeCell ref="D5:F5"/>
    <mergeCell ref="D6:F6"/>
    <mergeCell ref="D7:F7"/>
    <mergeCell ref="D8:F8"/>
    <mergeCell ref="B10:F10"/>
    <mergeCell ref="B102:F102"/>
    <mergeCell ref="B103:F103"/>
    <mergeCell ref="B104:F104"/>
    <mergeCell ref="B105:F10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D065-680E-4455-88BA-2BF97C8A895A}">
  <dimension ref="A1:AE38"/>
  <sheetViews>
    <sheetView workbookViewId="0">
      <pane xSplit="4" ySplit="2" topLeftCell="V3" activePane="bottomRight" state="frozen"/>
      <selection pane="topRight" activeCell="E1" sqref="E1"/>
      <selection pane="bottomLeft" activeCell="A3" sqref="A3"/>
      <selection pane="bottomRight" activeCell="J28" sqref="J28"/>
    </sheetView>
  </sheetViews>
  <sheetFormatPr baseColWidth="10" defaultRowHeight="15" x14ac:dyDescent="0.25"/>
  <cols>
    <col min="30" max="30" width="14.5703125" bestFit="1" customWidth="1"/>
  </cols>
  <sheetData>
    <row r="1" spans="1:31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4" t="s">
        <v>29</v>
      </c>
    </row>
    <row r="2" spans="1:31" ht="15.75" customHeight="1" thickBot="1" x14ac:dyDescent="0.3">
      <c r="A2" s="121" t="s">
        <v>30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>
        <v>2025</v>
      </c>
    </row>
    <row r="3" spans="1:31" x14ac:dyDescent="0.25">
      <c r="A3" s="5"/>
      <c r="B3" s="6" t="s">
        <v>31</v>
      </c>
      <c r="C3" s="7">
        <v>20</v>
      </c>
      <c r="D3" s="124">
        <v>45748</v>
      </c>
      <c r="E3" s="8">
        <v>3752.35</v>
      </c>
      <c r="F3" s="8">
        <v>3752.35</v>
      </c>
      <c r="G3" s="8">
        <v>3752.35</v>
      </c>
      <c r="H3" s="8">
        <v>3752.35</v>
      </c>
      <c r="I3" s="8">
        <v>3752.35</v>
      </c>
      <c r="J3" s="8">
        <v>3752.35</v>
      </c>
      <c r="K3" s="8">
        <v>3752.35</v>
      </c>
      <c r="L3" s="8">
        <v>4878.0550000000003</v>
      </c>
      <c r="M3" s="8">
        <v>4878.0550000000003</v>
      </c>
      <c r="N3" s="8">
        <v>4878.0550000000003</v>
      </c>
      <c r="O3" s="8">
        <v>4878.0550000000003</v>
      </c>
      <c r="P3" s="8">
        <v>4878.0550000000003</v>
      </c>
      <c r="Q3" s="8">
        <v>4878.0550000000003</v>
      </c>
      <c r="R3" s="8">
        <v>4878.0550000000003</v>
      </c>
      <c r="S3" s="8">
        <v>4878.0550000000003</v>
      </c>
      <c r="T3" s="8">
        <v>4878.0550000000003</v>
      </c>
      <c r="U3" s="8">
        <v>4878.0550000000003</v>
      </c>
      <c r="V3" s="8">
        <v>3564.7324999999996</v>
      </c>
      <c r="W3" s="8">
        <v>3564.7324999999996</v>
      </c>
      <c r="X3" s="8">
        <v>3564.7324999999996</v>
      </c>
      <c r="Y3" s="8">
        <v>3564.7324999999996</v>
      </c>
      <c r="Z3" s="8">
        <v>3564.7324999999996</v>
      </c>
      <c r="AA3" s="8">
        <v>3564.7324999999996</v>
      </c>
      <c r="AB3" s="8">
        <v>3564.7324999999996</v>
      </c>
      <c r="AC3" s="8">
        <f>SUM(E3:AB3)*C3</f>
        <v>2000002.5499999998</v>
      </c>
      <c r="AD3" s="8"/>
    </row>
    <row r="4" spans="1:31" x14ac:dyDescent="0.25">
      <c r="A4" s="9"/>
      <c r="B4" s="10" t="s">
        <v>32</v>
      </c>
      <c r="C4" s="11">
        <v>4</v>
      </c>
      <c r="D4" s="125"/>
      <c r="E4" s="8">
        <v>3752.35</v>
      </c>
      <c r="F4" s="8">
        <v>3752.35</v>
      </c>
      <c r="G4" s="8">
        <v>3752.35</v>
      </c>
      <c r="H4" s="8">
        <v>3752.35</v>
      </c>
      <c r="I4" s="8">
        <v>3752.35</v>
      </c>
      <c r="J4" s="8">
        <v>3752.35</v>
      </c>
      <c r="K4" s="8">
        <v>3752.35</v>
      </c>
      <c r="L4" s="8">
        <v>4878.0550000000003</v>
      </c>
      <c r="M4" s="8">
        <v>4878.0550000000003</v>
      </c>
      <c r="N4" s="8">
        <v>4878.0550000000003</v>
      </c>
      <c r="O4" s="8">
        <v>4878.0550000000003</v>
      </c>
      <c r="P4" s="8">
        <v>4878.0550000000003</v>
      </c>
      <c r="Q4" s="8">
        <v>4878.0550000000003</v>
      </c>
      <c r="R4" s="8">
        <v>4878.0550000000003</v>
      </c>
      <c r="S4" s="8">
        <v>4878.0550000000003</v>
      </c>
      <c r="T4" s="8">
        <v>4878.0550000000003</v>
      </c>
      <c r="U4" s="8">
        <v>4878.0550000000003</v>
      </c>
      <c r="V4" s="8">
        <v>3564.7324999999996</v>
      </c>
      <c r="W4" s="8">
        <v>3564.7324999999996</v>
      </c>
      <c r="X4" s="8">
        <v>3564.7324999999996</v>
      </c>
      <c r="Y4" s="8">
        <v>3564.7324999999996</v>
      </c>
      <c r="Z4" s="8">
        <v>3564.7324999999996</v>
      </c>
      <c r="AA4" s="8">
        <v>3564.7324999999996</v>
      </c>
      <c r="AB4" s="8">
        <v>3564.7324999999996</v>
      </c>
      <c r="AC4" s="8">
        <f t="shared" ref="AC4:AC5" si="0">SUM(E4:AB4)*C4</f>
        <v>400000.50999999995</v>
      </c>
      <c r="AD4" s="8"/>
    </row>
    <row r="5" spans="1:31" ht="15.75" thickBot="1" x14ac:dyDescent="0.3">
      <c r="A5" s="12"/>
      <c r="B5" s="13" t="s">
        <v>33</v>
      </c>
      <c r="C5" s="14">
        <v>6</v>
      </c>
      <c r="D5" s="126"/>
      <c r="E5" s="8">
        <v>3752.35</v>
      </c>
      <c r="F5" s="8">
        <v>3752.35</v>
      </c>
      <c r="G5" s="8">
        <v>3752.35</v>
      </c>
      <c r="H5" s="8">
        <v>3752.35</v>
      </c>
      <c r="I5" s="8">
        <v>3752.35</v>
      </c>
      <c r="J5" s="8">
        <v>3752.35</v>
      </c>
      <c r="K5" s="8">
        <v>3752.35</v>
      </c>
      <c r="L5" s="8">
        <v>4878.0550000000003</v>
      </c>
      <c r="M5" s="8">
        <v>4878.0550000000003</v>
      </c>
      <c r="N5" s="8">
        <v>4878.0550000000003</v>
      </c>
      <c r="O5" s="8">
        <v>4878.0550000000003</v>
      </c>
      <c r="P5" s="8">
        <v>4878.0550000000003</v>
      </c>
      <c r="Q5" s="8">
        <v>4878.0550000000003</v>
      </c>
      <c r="R5" s="8">
        <v>4878.0550000000003</v>
      </c>
      <c r="S5" s="8">
        <v>4878.0550000000003</v>
      </c>
      <c r="T5" s="8">
        <v>4878.0550000000003</v>
      </c>
      <c r="U5" s="8">
        <v>4878.0550000000003</v>
      </c>
      <c r="V5" s="8">
        <v>3564.7324999999996</v>
      </c>
      <c r="W5" s="8">
        <v>3564.7324999999996</v>
      </c>
      <c r="X5" s="8">
        <v>3564.7324999999996</v>
      </c>
      <c r="Y5" s="8">
        <v>3564.7324999999996</v>
      </c>
      <c r="Z5" s="8">
        <v>3564.7324999999996</v>
      </c>
      <c r="AA5" s="8">
        <v>3564.7324999999996</v>
      </c>
      <c r="AB5" s="8">
        <v>3564.7324999999996</v>
      </c>
      <c r="AC5" s="8">
        <f t="shared" si="0"/>
        <v>600000.7649999999</v>
      </c>
      <c r="AD5" s="146">
        <f>+AC3+AC4+AC5</f>
        <v>3000003.8249999993</v>
      </c>
    </row>
    <row r="6" spans="1:31" ht="15.75" thickBot="1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7"/>
    </row>
    <row r="7" spans="1:31" x14ac:dyDescent="0.25">
      <c r="A7" s="18"/>
      <c r="B7" s="6" t="s">
        <v>31</v>
      </c>
      <c r="C7" s="7">
        <v>21</v>
      </c>
      <c r="D7" s="127">
        <v>45778</v>
      </c>
      <c r="E7" s="8">
        <v>4841.7299999999996</v>
      </c>
      <c r="F7" s="8">
        <v>4841.7299999999996</v>
      </c>
      <c r="G7" s="8">
        <v>4841.7299999999996</v>
      </c>
      <c r="H7" s="8">
        <v>4841.7299999999996</v>
      </c>
      <c r="I7" s="8">
        <v>4841.7299999999996</v>
      </c>
      <c r="J7" s="8">
        <v>4841.7299999999996</v>
      </c>
      <c r="K7" s="8">
        <v>4841.7299999999996</v>
      </c>
      <c r="L7" s="8">
        <v>6294.2489999999998</v>
      </c>
      <c r="M7" s="8">
        <v>6294.2489999999998</v>
      </c>
      <c r="N7" s="8">
        <v>6294.2489999999998</v>
      </c>
      <c r="O7" s="8">
        <v>6294.2489999999998</v>
      </c>
      <c r="P7" s="8">
        <v>6294.2489999999998</v>
      </c>
      <c r="Q7" s="8">
        <v>6294.2489999999998</v>
      </c>
      <c r="R7" s="8">
        <v>6294.2489999999998</v>
      </c>
      <c r="S7" s="8">
        <v>6294.2489999999998</v>
      </c>
      <c r="T7" s="8">
        <v>6294.2489999999998</v>
      </c>
      <c r="U7" s="8">
        <v>6294.2489999999998</v>
      </c>
      <c r="V7" s="8">
        <v>4599.6434999999992</v>
      </c>
      <c r="W7" s="8">
        <v>4599.6434999999992</v>
      </c>
      <c r="X7" s="8">
        <v>4599.6434999999992</v>
      </c>
      <c r="Y7" s="8">
        <v>4599.6434999999992</v>
      </c>
      <c r="Z7" s="8">
        <v>4599.6434999999992</v>
      </c>
      <c r="AA7" s="8">
        <v>4599.6434999999992</v>
      </c>
      <c r="AB7" s="8">
        <v>4599.6434999999992</v>
      </c>
      <c r="AC7" s="8">
        <v>2580642.09</v>
      </c>
      <c r="AD7" s="8"/>
    </row>
    <row r="8" spans="1:31" x14ac:dyDescent="0.25">
      <c r="A8" s="19"/>
      <c r="B8" s="10" t="s">
        <v>32</v>
      </c>
      <c r="C8" s="11">
        <v>5</v>
      </c>
      <c r="D8" s="128"/>
      <c r="E8" s="8">
        <v>4841.7299999999996</v>
      </c>
      <c r="F8" s="8">
        <v>4841.7299999999996</v>
      </c>
      <c r="G8" s="8">
        <v>4841.7299999999996</v>
      </c>
      <c r="H8" s="8">
        <v>4841.7299999999996</v>
      </c>
      <c r="I8" s="8">
        <v>4841.7299999999996</v>
      </c>
      <c r="J8" s="8">
        <v>4841.7299999999996</v>
      </c>
      <c r="K8" s="8">
        <v>4841.7299999999996</v>
      </c>
      <c r="L8" s="8">
        <v>6294.2489999999998</v>
      </c>
      <c r="M8" s="8">
        <v>6294.2489999999998</v>
      </c>
      <c r="N8" s="8">
        <v>6294.2489999999998</v>
      </c>
      <c r="O8" s="8">
        <v>6294.2489999999998</v>
      </c>
      <c r="P8" s="8">
        <v>6294.2489999999998</v>
      </c>
      <c r="Q8" s="8">
        <v>6294.2489999999998</v>
      </c>
      <c r="R8" s="8">
        <v>6294.2489999999998</v>
      </c>
      <c r="S8" s="8">
        <v>6294.2489999999998</v>
      </c>
      <c r="T8" s="8">
        <v>6294.2489999999998</v>
      </c>
      <c r="U8" s="8">
        <v>6294.2489999999998</v>
      </c>
      <c r="V8" s="8">
        <v>4599.6434999999992</v>
      </c>
      <c r="W8" s="8">
        <v>4599.6434999999992</v>
      </c>
      <c r="X8" s="8">
        <v>4599.6434999999992</v>
      </c>
      <c r="Y8" s="8">
        <v>4599.6434999999992</v>
      </c>
      <c r="Z8" s="8">
        <v>4599.6434999999992</v>
      </c>
      <c r="AA8" s="8">
        <v>4599.6434999999992</v>
      </c>
      <c r="AB8" s="8">
        <v>4599.6434999999992</v>
      </c>
      <c r="AC8" s="8">
        <v>645160.52249999996</v>
      </c>
      <c r="AD8" s="8"/>
    </row>
    <row r="9" spans="1:31" ht="15.75" thickBot="1" x14ac:dyDescent="0.3">
      <c r="A9" s="20"/>
      <c r="B9" s="13" t="s">
        <v>33</v>
      </c>
      <c r="C9" s="14">
        <v>5</v>
      </c>
      <c r="D9" s="129"/>
      <c r="E9" s="8">
        <v>4841.7299999999996</v>
      </c>
      <c r="F9" s="8">
        <v>4841.7299999999996</v>
      </c>
      <c r="G9" s="8">
        <v>4841.7299999999996</v>
      </c>
      <c r="H9" s="8">
        <v>4841.7299999999996</v>
      </c>
      <c r="I9" s="8">
        <v>4841.7299999999996</v>
      </c>
      <c r="J9" s="8">
        <v>4841.7299999999996</v>
      </c>
      <c r="K9" s="8">
        <v>4841.7299999999996</v>
      </c>
      <c r="L9" s="8">
        <v>6294.2489999999998</v>
      </c>
      <c r="M9" s="8">
        <v>6294.2489999999998</v>
      </c>
      <c r="N9" s="8">
        <v>6294.2489999999998</v>
      </c>
      <c r="O9" s="8">
        <v>6294.2489999999998</v>
      </c>
      <c r="P9" s="8">
        <v>6294.2489999999998</v>
      </c>
      <c r="Q9" s="8">
        <v>6294.2489999999998</v>
      </c>
      <c r="R9" s="8">
        <v>6294.2489999999998</v>
      </c>
      <c r="S9" s="8">
        <v>6294.2489999999998</v>
      </c>
      <c r="T9" s="8">
        <v>6294.2489999999998</v>
      </c>
      <c r="U9" s="8">
        <v>6294.2489999999998</v>
      </c>
      <c r="V9" s="8">
        <v>4599.6434999999992</v>
      </c>
      <c r="W9" s="8">
        <v>4599.6434999999992</v>
      </c>
      <c r="X9" s="8">
        <v>4599.6434999999992</v>
      </c>
      <c r="Y9" s="8">
        <v>4599.6434999999992</v>
      </c>
      <c r="Z9" s="8">
        <v>4599.6434999999992</v>
      </c>
      <c r="AA9" s="8">
        <v>4599.6434999999992</v>
      </c>
      <c r="AB9" s="8">
        <v>4599.6434999999992</v>
      </c>
      <c r="AC9" s="8">
        <v>774192.62699999998</v>
      </c>
      <c r="AD9" s="8">
        <v>3999995.2394999997</v>
      </c>
    </row>
    <row r="10" spans="1:31" ht="15.75" thickBo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7"/>
    </row>
    <row r="11" spans="1:31" x14ac:dyDescent="0.25">
      <c r="A11" s="21"/>
      <c r="B11" s="6" t="s">
        <v>31</v>
      </c>
      <c r="C11" s="7">
        <v>18</v>
      </c>
      <c r="D11" s="22"/>
      <c r="E11" s="8">
        <v>6253.91</v>
      </c>
      <c r="F11" s="8">
        <v>6253.91</v>
      </c>
      <c r="G11" s="8">
        <v>6253.91</v>
      </c>
      <c r="H11" s="8">
        <v>6253.91</v>
      </c>
      <c r="I11" s="8">
        <v>6253.91</v>
      </c>
      <c r="J11" s="8">
        <v>6253.91</v>
      </c>
      <c r="K11" s="8">
        <v>6253.91</v>
      </c>
      <c r="L11" s="8">
        <v>8130.0830000000005</v>
      </c>
      <c r="M11" s="8">
        <v>8130.0830000000005</v>
      </c>
      <c r="N11" s="8">
        <v>8130.0830000000005</v>
      </c>
      <c r="O11" s="8">
        <v>8130.0830000000005</v>
      </c>
      <c r="P11" s="8">
        <v>8130.0830000000005</v>
      </c>
      <c r="Q11" s="8">
        <v>8130.0830000000005</v>
      </c>
      <c r="R11" s="8">
        <v>8130.0830000000005</v>
      </c>
      <c r="S11" s="8">
        <v>8130.0830000000005</v>
      </c>
      <c r="T11" s="8">
        <v>8130.0830000000005</v>
      </c>
      <c r="U11" s="8">
        <v>8130.0830000000005</v>
      </c>
      <c r="V11" s="8">
        <v>5941.2144999999991</v>
      </c>
      <c r="W11" s="8">
        <v>5941.2144999999991</v>
      </c>
      <c r="X11" s="8">
        <v>5941.2144999999991</v>
      </c>
      <c r="Y11" s="8">
        <v>5941.2144999999991</v>
      </c>
      <c r="Z11" s="8">
        <v>5941.2144999999991</v>
      </c>
      <c r="AA11" s="8">
        <v>5941.2144999999991</v>
      </c>
      <c r="AB11" s="8">
        <v>5941.2144999999991</v>
      </c>
      <c r="AC11" s="8">
        <v>3000000.6269999999</v>
      </c>
      <c r="AD11" s="8"/>
    </row>
    <row r="12" spans="1:31" x14ac:dyDescent="0.25">
      <c r="A12" s="19"/>
      <c r="B12" s="10" t="s">
        <v>32</v>
      </c>
      <c r="C12" s="11">
        <v>4</v>
      </c>
      <c r="D12" s="23">
        <v>45809</v>
      </c>
      <c r="E12" s="8">
        <v>6253.91</v>
      </c>
      <c r="F12" s="8">
        <v>6253.91</v>
      </c>
      <c r="G12" s="8">
        <v>6253.91</v>
      </c>
      <c r="H12" s="8">
        <v>6253.91</v>
      </c>
      <c r="I12" s="8">
        <v>6253.91</v>
      </c>
      <c r="J12" s="8">
        <v>6253.91</v>
      </c>
      <c r="K12" s="8">
        <v>6253.91</v>
      </c>
      <c r="L12" s="8">
        <v>8130.0830000000005</v>
      </c>
      <c r="M12" s="8">
        <v>8130.0830000000005</v>
      </c>
      <c r="N12" s="8">
        <v>8130.0830000000005</v>
      </c>
      <c r="O12" s="8">
        <v>8130.0830000000005</v>
      </c>
      <c r="P12" s="8">
        <v>8130.0830000000005</v>
      </c>
      <c r="Q12" s="8">
        <v>8130.0830000000005</v>
      </c>
      <c r="R12" s="8">
        <v>8130.0830000000005</v>
      </c>
      <c r="S12" s="8">
        <v>8130.0830000000005</v>
      </c>
      <c r="T12" s="8">
        <v>8130.0830000000005</v>
      </c>
      <c r="U12" s="8">
        <v>8130.0830000000005</v>
      </c>
      <c r="V12" s="8">
        <v>5941.2144999999991</v>
      </c>
      <c r="W12" s="8">
        <v>5941.2144999999991</v>
      </c>
      <c r="X12" s="8">
        <v>5941.2144999999991</v>
      </c>
      <c r="Y12" s="8">
        <v>5941.2144999999991</v>
      </c>
      <c r="Z12" s="8">
        <v>5941.2144999999991</v>
      </c>
      <c r="AA12" s="8">
        <v>5941.2144999999991</v>
      </c>
      <c r="AB12" s="8">
        <v>5941.2144999999991</v>
      </c>
      <c r="AC12" s="8">
        <v>666666.80599999998</v>
      </c>
      <c r="AD12" s="8"/>
    </row>
    <row r="13" spans="1:31" ht="15.75" thickBot="1" x14ac:dyDescent="0.3">
      <c r="A13" s="20"/>
      <c r="B13" s="13" t="s">
        <v>33</v>
      </c>
      <c r="C13" s="14">
        <v>8</v>
      </c>
      <c r="D13" s="24"/>
      <c r="E13" s="8">
        <v>6253.91</v>
      </c>
      <c r="F13" s="8">
        <v>6253.91</v>
      </c>
      <c r="G13" s="8">
        <v>6253.91</v>
      </c>
      <c r="H13" s="8">
        <v>6253.91</v>
      </c>
      <c r="I13" s="8">
        <v>6253.91</v>
      </c>
      <c r="J13" s="8">
        <v>6253.91</v>
      </c>
      <c r="K13" s="8">
        <v>6253.91</v>
      </c>
      <c r="L13" s="8">
        <v>8130.0830000000005</v>
      </c>
      <c r="M13" s="8">
        <v>8130.0830000000005</v>
      </c>
      <c r="N13" s="8">
        <v>8130.0830000000005</v>
      </c>
      <c r="O13" s="8">
        <v>8130.0830000000005</v>
      </c>
      <c r="P13" s="8">
        <v>8130.0830000000005</v>
      </c>
      <c r="Q13" s="8">
        <v>8130.0830000000005</v>
      </c>
      <c r="R13" s="8">
        <v>8130.0830000000005</v>
      </c>
      <c r="S13" s="8">
        <v>8130.0830000000005</v>
      </c>
      <c r="T13" s="8">
        <v>8130.0830000000005</v>
      </c>
      <c r="U13" s="8">
        <v>8130.0830000000005</v>
      </c>
      <c r="V13" s="8">
        <v>5941.2144999999991</v>
      </c>
      <c r="W13" s="8">
        <v>5941.2144999999991</v>
      </c>
      <c r="X13" s="8">
        <v>5941.2144999999991</v>
      </c>
      <c r="Y13" s="8">
        <v>5941.2144999999991</v>
      </c>
      <c r="Z13" s="8">
        <v>5941.2144999999991</v>
      </c>
      <c r="AA13" s="8">
        <v>5941.2144999999991</v>
      </c>
      <c r="AB13" s="8">
        <v>5941.2144999999991</v>
      </c>
      <c r="AC13" s="8">
        <v>1333333.612</v>
      </c>
      <c r="AD13" s="8">
        <v>5000001.0449999999</v>
      </c>
    </row>
    <row r="14" spans="1:31" ht="15.75" thickBot="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7"/>
    </row>
    <row r="15" spans="1:31" x14ac:dyDescent="0.25">
      <c r="A15" s="21"/>
      <c r="B15" s="6" t="s">
        <v>31</v>
      </c>
      <c r="C15" s="7">
        <v>23</v>
      </c>
      <c r="D15" s="22"/>
      <c r="E15" s="8">
        <v>6052.17</v>
      </c>
      <c r="F15" s="8">
        <v>6052.17</v>
      </c>
      <c r="G15" s="8">
        <v>6052.17</v>
      </c>
      <c r="H15" s="8">
        <v>6052.17</v>
      </c>
      <c r="I15" s="8">
        <v>6052.17</v>
      </c>
      <c r="J15" s="8">
        <v>6052.17</v>
      </c>
      <c r="K15" s="8">
        <v>6052.17</v>
      </c>
      <c r="L15" s="8">
        <v>7867.8209999999999</v>
      </c>
      <c r="M15" s="8">
        <v>7867.8209999999999</v>
      </c>
      <c r="N15" s="8">
        <v>7867.8209999999999</v>
      </c>
      <c r="O15" s="8">
        <v>7867.8209999999999</v>
      </c>
      <c r="P15" s="8">
        <v>7867.8209999999999</v>
      </c>
      <c r="Q15" s="8">
        <v>7867.8209999999999</v>
      </c>
      <c r="R15" s="8">
        <v>7867.8209999999999</v>
      </c>
      <c r="S15" s="8">
        <v>7867.8209999999999</v>
      </c>
      <c r="T15" s="8">
        <v>7867.8209999999999</v>
      </c>
      <c r="U15" s="8">
        <v>7867.8209999999999</v>
      </c>
      <c r="V15" s="8">
        <v>5749.5614999999998</v>
      </c>
      <c r="W15" s="8">
        <v>5749.5614999999998</v>
      </c>
      <c r="X15" s="8">
        <v>5749.5614999999998</v>
      </c>
      <c r="Y15" s="8">
        <v>5749.5614999999998</v>
      </c>
      <c r="Z15" s="8">
        <v>5749.5614999999998</v>
      </c>
      <c r="AA15" s="8">
        <v>5749.5614999999998</v>
      </c>
      <c r="AB15" s="8">
        <v>5749.5614999999998</v>
      </c>
      <c r="AC15" s="8">
        <v>3709677.6015000003</v>
      </c>
      <c r="AD15" s="8"/>
    </row>
    <row r="16" spans="1:31" x14ac:dyDescent="0.25">
      <c r="A16" s="19"/>
      <c r="B16" s="10" t="s">
        <v>32</v>
      </c>
      <c r="C16" s="11">
        <v>4</v>
      </c>
      <c r="D16" s="23">
        <v>45839</v>
      </c>
      <c r="E16" s="8">
        <v>6052.17</v>
      </c>
      <c r="F16" s="8">
        <v>6052.17</v>
      </c>
      <c r="G16" s="8">
        <v>6052.17</v>
      </c>
      <c r="H16" s="8">
        <v>6052.17</v>
      </c>
      <c r="I16" s="8">
        <v>6052.17</v>
      </c>
      <c r="J16" s="8">
        <v>6052.17</v>
      </c>
      <c r="K16" s="8">
        <v>6052.17</v>
      </c>
      <c r="L16" s="8">
        <v>7867.8209999999999</v>
      </c>
      <c r="M16" s="8">
        <v>7867.8209999999999</v>
      </c>
      <c r="N16" s="8">
        <v>7867.8209999999999</v>
      </c>
      <c r="O16" s="8">
        <v>7867.8209999999999</v>
      </c>
      <c r="P16" s="8">
        <v>7867.8209999999999</v>
      </c>
      <c r="Q16" s="8">
        <v>7867.8209999999999</v>
      </c>
      <c r="R16" s="8">
        <v>7867.8209999999999</v>
      </c>
      <c r="S16" s="8">
        <v>7867.8209999999999</v>
      </c>
      <c r="T16" s="8">
        <v>7867.8209999999999</v>
      </c>
      <c r="U16" s="8">
        <v>7867.8209999999999</v>
      </c>
      <c r="V16" s="8">
        <v>5749.5614999999998</v>
      </c>
      <c r="W16" s="8">
        <v>5749.5614999999998</v>
      </c>
      <c r="X16" s="8">
        <v>5749.5614999999998</v>
      </c>
      <c r="Y16" s="8">
        <v>5749.5614999999998</v>
      </c>
      <c r="Z16" s="8">
        <v>5749.5614999999998</v>
      </c>
      <c r="AA16" s="8">
        <v>5749.5614999999998</v>
      </c>
      <c r="AB16" s="8">
        <v>5749.5614999999998</v>
      </c>
      <c r="AC16" s="8">
        <v>645161.32200000004</v>
      </c>
      <c r="AD16" s="8"/>
    </row>
    <row r="17" spans="1:30" ht="15.75" thickBot="1" x14ac:dyDescent="0.3">
      <c r="A17" s="20"/>
      <c r="B17" s="13" t="s">
        <v>33</v>
      </c>
      <c r="C17" s="14">
        <v>4</v>
      </c>
      <c r="D17" s="24"/>
      <c r="E17" s="8">
        <v>6052.17</v>
      </c>
      <c r="F17" s="8">
        <v>6052.17</v>
      </c>
      <c r="G17" s="8">
        <v>6052.17</v>
      </c>
      <c r="H17" s="8">
        <v>6052.17</v>
      </c>
      <c r="I17" s="8">
        <v>6052.17</v>
      </c>
      <c r="J17" s="8">
        <v>6052.17</v>
      </c>
      <c r="K17" s="8">
        <v>6052.17</v>
      </c>
      <c r="L17" s="8">
        <v>7867.8209999999999</v>
      </c>
      <c r="M17" s="8">
        <v>7867.8209999999999</v>
      </c>
      <c r="N17" s="8">
        <v>7867.8209999999999</v>
      </c>
      <c r="O17" s="8">
        <v>7867.8209999999999</v>
      </c>
      <c r="P17" s="8">
        <v>7867.8209999999999</v>
      </c>
      <c r="Q17" s="8">
        <v>7867.8209999999999</v>
      </c>
      <c r="R17" s="8">
        <v>7867.8209999999999</v>
      </c>
      <c r="S17" s="8">
        <v>7867.8209999999999</v>
      </c>
      <c r="T17" s="8">
        <v>7867.8209999999999</v>
      </c>
      <c r="U17" s="8">
        <v>7867.8209999999999</v>
      </c>
      <c r="V17" s="8">
        <v>5749.5614999999998</v>
      </c>
      <c r="W17" s="8">
        <v>5749.5614999999998</v>
      </c>
      <c r="X17" s="8">
        <v>5749.5614999999998</v>
      </c>
      <c r="Y17" s="8">
        <v>5749.5614999999998</v>
      </c>
      <c r="Z17" s="8">
        <v>5749.5614999999998</v>
      </c>
      <c r="AA17" s="8">
        <v>5749.5614999999998</v>
      </c>
      <c r="AB17" s="8">
        <v>5749.5614999999998</v>
      </c>
      <c r="AC17" s="8">
        <v>645161.32200000004</v>
      </c>
      <c r="AD17" s="8">
        <v>5000000.2455000002</v>
      </c>
    </row>
    <row r="18" spans="1:30" ht="15.75" thickBot="1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7"/>
    </row>
    <row r="19" spans="1:30" x14ac:dyDescent="0.25">
      <c r="A19" s="21"/>
      <c r="B19" s="6" t="s">
        <v>31</v>
      </c>
      <c r="C19" s="7">
        <v>20</v>
      </c>
      <c r="D19" s="22"/>
      <c r="E19" s="8">
        <v>6052.17</v>
      </c>
      <c r="F19" s="8">
        <v>6052.17</v>
      </c>
      <c r="G19" s="8">
        <v>6052.17</v>
      </c>
      <c r="H19" s="8">
        <v>6052.17</v>
      </c>
      <c r="I19" s="8">
        <v>6052.17</v>
      </c>
      <c r="J19" s="8">
        <v>6052.17</v>
      </c>
      <c r="K19" s="8">
        <v>6052.17</v>
      </c>
      <c r="L19" s="8">
        <v>7867.8209999999999</v>
      </c>
      <c r="M19" s="8">
        <v>7867.8209999999999</v>
      </c>
      <c r="N19" s="8">
        <v>7867.8209999999999</v>
      </c>
      <c r="O19" s="8">
        <v>7867.8209999999999</v>
      </c>
      <c r="P19" s="8">
        <v>7867.8209999999999</v>
      </c>
      <c r="Q19" s="8">
        <v>7867.8209999999999</v>
      </c>
      <c r="R19" s="8">
        <v>7867.8209999999999</v>
      </c>
      <c r="S19" s="8">
        <v>7867.8209999999999</v>
      </c>
      <c r="T19" s="8">
        <v>7867.8209999999999</v>
      </c>
      <c r="U19" s="8">
        <v>7867.8209999999999</v>
      </c>
      <c r="V19" s="8">
        <v>5749.5614999999998</v>
      </c>
      <c r="W19" s="8">
        <v>5749.5614999999998</v>
      </c>
      <c r="X19" s="8">
        <v>5749.5614999999998</v>
      </c>
      <c r="Y19" s="8">
        <v>5749.5614999999998</v>
      </c>
      <c r="Z19" s="8">
        <v>5749.5614999999998</v>
      </c>
      <c r="AA19" s="8">
        <v>5749.5614999999998</v>
      </c>
      <c r="AB19" s="8">
        <v>5749.5614999999998</v>
      </c>
      <c r="AC19" s="8">
        <v>3225806.6100000003</v>
      </c>
      <c r="AD19" s="8"/>
    </row>
    <row r="20" spans="1:30" x14ac:dyDescent="0.25">
      <c r="A20" s="19"/>
      <c r="B20" s="10" t="s">
        <v>32</v>
      </c>
      <c r="C20" s="11">
        <v>5</v>
      </c>
      <c r="D20" s="23">
        <v>45870</v>
      </c>
      <c r="E20" s="8">
        <v>6052.17</v>
      </c>
      <c r="F20" s="8">
        <v>6052.17</v>
      </c>
      <c r="G20" s="8">
        <v>6052.17</v>
      </c>
      <c r="H20" s="8">
        <v>6052.17</v>
      </c>
      <c r="I20" s="8">
        <v>6052.17</v>
      </c>
      <c r="J20" s="8">
        <v>6052.17</v>
      </c>
      <c r="K20" s="8">
        <v>6052.17</v>
      </c>
      <c r="L20" s="8">
        <v>7867.8209999999999</v>
      </c>
      <c r="M20" s="8">
        <v>7867.8209999999999</v>
      </c>
      <c r="N20" s="8">
        <v>7867.8209999999999</v>
      </c>
      <c r="O20" s="8">
        <v>7867.8209999999999</v>
      </c>
      <c r="P20" s="8">
        <v>7867.8209999999999</v>
      </c>
      <c r="Q20" s="8">
        <v>7867.8209999999999</v>
      </c>
      <c r="R20" s="8">
        <v>7867.8209999999999</v>
      </c>
      <c r="S20" s="8">
        <v>7867.8209999999999</v>
      </c>
      <c r="T20" s="8">
        <v>7867.8209999999999</v>
      </c>
      <c r="U20" s="8">
        <v>7867.8209999999999</v>
      </c>
      <c r="V20" s="8">
        <v>5749.5614999999998</v>
      </c>
      <c r="W20" s="8">
        <v>5749.5614999999998</v>
      </c>
      <c r="X20" s="8">
        <v>5749.5614999999998</v>
      </c>
      <c r="Y20" s="8">
        <v>5749.5614999999998</v>
      </c>
      <c r="Z20" s="8">
        <v>5749.5614999999998</v>
      </c>
      <c r="AA20" s="8">
        <v>5749.5614999999998</v>
      </c>
      <c r="AB20" s="8">
        <v>5749.5614999999998</v>
      </c>
      <c r="AC20" s="8">
        <v>806451.65250000008</v>
      </c>
      <c r="AD20" s="8"/>
    </row>
    <row r="21" spans="1:30" ht="15.75" thickBot="1" x14ac:dyDescent="0.3">
      <c r="A21" s="20"/>
      <c r="B21" s="13" t="s">
        <v>33</v>
      </c>
      <c r="C21" s="14">
        <v>6</v>
      </c>
      <c r="D21" s="24"/>
      <c r="E21" s="8">
        <v>6052.17</v>
      </c>
      <c r="F21" s="8">
        <v>6052.17</v>
      </c>
      <c r="G21" s="8">
        <v>6052.17</v>
      </c>
      <c r="H21" s="8">
        <v>6052.17</v>
      </c>
      <c r="I21" s="8">
        <v>6052.17</v>
      </c>
      <c r="J21" s="8">
        <v>6052.17</v>
      </c>
      <c r="K21" s="8">
        <v>6052.17</v>
      </c>
      <c r="L21" s="8">
        <v>7867.8209999999999</v>
      </c>
      <c r="M21" s="8">
        <v>7867.8209999999999</v>
      </c>
      <c r="N21" s="8">
        <v>7867.8209999999999</v>
      </c>
      <c r="O21" s="8">
        <v>7867.8209999999999</v>
      </c>
      <c r="P21" s="8">
        <v>7867.8209999999999</v>
      </c>
      <c r="Q21" s="8">
        <v>7867.8209999999999</v>
      </c>
      <c r="R21" s="8">
        <v>7867.8209999999999</v>
      </c>
      <c r="S21" s="8">
        <v>7867.8209999999999</v>
      </c>
      <c r="T21" s="8">
        <v>7867.8209999999999</v>
      </c>
      <c r="U21" s="8">
        <v>7867.8209999999999</v>
      </c>
      <c r="V21" s="8">
        <v>5749.5614999999998</v>
      </c>
      <c r="W21" s="8">
        <v>5749.5614999999998</v>
      </c>
      <c r="X21" s="8">
        <v>5749.5614999999998</v>
      </c>
      <c r="Y21" s="8">
        <v>5749.5614999999998</v>
      </c>
      <c r="Z21" s="8">
        <v>5749.5614999999998</v>
      </c>
      <c r="AA21" s="8">
        <v>5749.5614999999998</v>
      </c>
      <c r="AB21" s="8">
        <v>5749.5614999999998</v>
      </c>
      <c r="AC21" s="8">
        <v>967741.98300000001</v>
      </c>
      <c r="AD21" s="8">
        <v>5000000.2455000002</v>
      </c>
    </row>
    <row r="22" spans="1:30" ht="15.75" thickBot="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7"/>
    </row>
    <row r="23" spans="1:30" x14ac:dyDescent="0.25">
      <c r="A23" s="21"/>
      <c r="B23" s="6" t="s">
        <v>31</v>
      </c>
      <c r="C23" s="7">
        <v>22</v>
      </c>
      <c r="D23" s="22"/>
      <c r="E23" s="8">
        <v>6253.91</v>
      </c>
      <c r="F23" s="8">
        <v>6253.91</v>
      </c>
      <c r="G23" s="8">
        <v>6253.91</v>
      </c>
      <c r="H23" s="8">
        <v>6253.91</v>
      </c>
      <c r="I23" s="8">
        <v>6253.91</v>
      </c>
      <c r="J23" s="8">
        <v>6253.91</v>
      </c>
      <c r="K23" s="8">
        <v>6253.91</v>
      </c>
      <c r="L23" s="8">
        <v>8130.0830000000005</v>
      </c>
      <c r="M23" s="8">
        <v>8130.0830000000005</v>
      </c>
      <c r="N23" s="8">
        <v>8130.0830000000005</v>
      </c>
      <c r="O23" s="8">
        <v>8130.0830000000005</v>
      </c>
      <c r="P23" s="8">
        <v>8130.0830000000005</v>
      </c>
      <c r="Q23" s="8">
        <v>8130.0830000000005</v>
      </c>
      <c r="R23" s="8">
        <v>8130.0830000000005</v>
      </c>
      <c r="S23" s="8">
        <v>8130.0830000000005</v>
      </c>
      <c r="T23" s="8">
        <v>8130.0830000000005</v>
      </c>
      <c r="U23" s="8">
        <v>8130.0830000000005</v>
      </c>
      <c r="V23" s="8">
        <v>5941.2144999999991</v>
      </c>
      <c r="W23" s="8">
        <v>5941.2144999999991</v>
      </c>
      <c r="X23" s="8">
        <v>5941.2144999999991</v>
      </c>
      <c r="Y23" s="8">
        <v>5941.2144999999991</v>
      </c>
      <c r="Z23" s="8">
        <v>5941.2144999999991</v>
      </c>
      <c r="AA23" s="8">
        <v>5941.2144999999991</v>
      </c>
      <c r="AB23" s="8">
        <v>5941.2144999999991</v>
      </c>
      <c r="AC23" s="8">
        <v>3666667.4329999997</v>
      </c>
      <c r="AD23" s="8"/>
    </row>
    <row r="24" spans="1:30" x14ac:dyDescent="0.25">
      <c r="A24" s="19"/>
      <c r="B24" s="10" t="s">
        <v>32</v>
      </c>
      <c r="C24" s="11">
        <v>4</v>
      </c>
      <c r="D24" s="23">
        <v>45901</v>
      </c>
      <c r="E24" s="8">
        <v>6253.91</v>
      </c>
      <c r="F24" s="8">
        <v>6253.91</v>
      </c>
      <c r="G24" s="8">
        <v>6253.91</v>
      </c>
      <c r="H24" s="8">
        <v>6253.91</v>
      </c>
      <c r="I24" s="8">
        <v>6253.91</v>
      </c>
      <c r="J24" s="8">
        <v>6253.91</v>
      </c>
      <c r="K24" s="8">
        <v>6253.91</v>
      </c>
      <c r="L24" s="8">
        <v>8130.0830000000005</v>
      </c>
      <c r="M24" s="8">
        <v>8130.0830000000005</v>
      </c>
      <c r="N24" s="8">
        <v>8130.0830000000005</v>
      </c>
      <c r="O24" s="8">
        <v>8130.0830000000005</v>
      </c>
      <c r="P24" s="8">
        <v>8130.0830000000005</v>
      </c>
      <c r="Q24" s="8">
        <v>8130.0830000000005</v>
      </c>
      <c r="R24" s="8">
        <v>8130.0830000000005</v>
      </c>
      <c r="S24" s="8">
        <v>8130.0830000000005</v>
      </c>
      <c r="T24" s="8">
        <v>8130.0830000000005</v>
      </c>
      <c r="U24" s="8">
        <v>8130.0830000000005</v>
      </c>
      <c r="V24" s="8">
        <v>5941.2144999999991</v>
      </c>
      <c r="W24" s="8">
        <v>5941.2144999999991</v>
      </c>
      <c r="X24" s="8">
        <v>5941.2144999999991</v>
      </c>
      <c r="Y24" s="8">
        <v>5941.2144999999991</v>
      </c>
      <c r="Z24" s="8">
        <v>5941.2144999999991</v>
      </c>
      <c r="AA24" s="8">
        <v>5941.2144999999991</v>
      </c>
      <c r="AB24" s="8">
        <v>5941.2144999999991</v>
      </c>
      <c r="AC24" s="8">
        <v>666666.80599999998</v>
      </c>
      <c r="AD24" s="8"/>
    </row>
    <row r="25" spans="1:30" ht="15.75" thickBot="1" x14ac:dyDescent="0.3">
      <c r="A25" s="20"/>
      <c r="B25" s="13" t="s">
        <v>33</v>
      </c>
      <c r="C25" s="14">
        <v>4</v>
      </c>
      <c r="D25" s="24"/>
      <c r="E25" s="8">
        <v>6253.91</v>
      </c>
      <c r="F25" s="8">
        <v>6253.91</v>
      </c>
      <c r="G25" s="8">
        <v>6253.91</v>
      </c>
      <c r="H25" s="8">
        <v>6253.91</v>
      </c>
      <c r="I25" s="8">
        <v>6253.91</v>
      </c>
      <c r="J25" s="8">
        <v>6253.91</v>
      </c>
      <c r="K25" s="8">
        <v>6253.91</v>
      </c>
      <c r="L25" s="8">
        <v>8130.0830000000005</v>
      </c>
      <c r="M25" s="8">
        <v>8130.0830000000005</v>
      </c>
      <c r="N25" s="8">
        <v>8130.0830000000005</v>
      </c>
      <c r="O25" s="8">
        <v>8130.0830000000005</v>
      </c>
      <c r="P25" s="8">
        <v>8130.0830000000005</v>
      </c>
      <c r="Q25" s="8">
        <v>8130.0830000000005</v>
      </c>
      <c r="R25" s="8">
        <v>8130.0830000000005</v>
      </c>
      <c r="S25" s="8">
        <v>8130.0830000000005</v>
      </c>
      <c r="T25" s="8">
        <v>8130.0830000000005</v>
      </c>
      <c r="U25" s="8">
        <v>8130.0830000000005</v>
      </c>
      <c r="V25" s="8">
        <v>5941.2144999999991</v>
      </c>
      <c r="W25" s="8">
        <v>5941.2144999999991</v>
      </c>
      <c r="X25" s="8">
        <v>5941.2144999999991</v>
      </c>
      <c r="Y25" s="8">
        <v>5941.2144999999991</v>
      </c>
      <c r="Z25" s="8">
        <v>5941.2144999999991</v>
      </c>
      <c r="AA25" s="8">
        <v>5941.2144999999991</v>
      </c>
      <c r="AB25" s="8">
        <v>5941.2144999999991</v>
      </c>
      <c r="AC25" s="8">
        <v>666666.80599999998</v>
      </c>
      <c r="AD25" s="8">
        <v>5000001.0449999999</v>
      </c>
    </row>
    <row r="26" spans="1:30" ht="15.75" thickBot="1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7"/>
    </row>
    <row r="27" spans="1:30" x14ac:dyDescent="0.25">
      <c r="A27" s="21"/>
      <c r="B27" s="6" t="s">
        <v>31</v>
      </c>
      <c r="C27" s="7">
        <v>22</v>
      </c>
      <c r="D27" s="22"/>
      <c r="E27" s="8">
        <v>6052.17</v>
      </c>
      <c r="F27" s="8">
        <v>6052.17</v>
      </c>
      <c r="G27" s="8">
        <v>6052.17</v>
      </c>
      <c r="H27" s="8">
        <v>6052.17</v>
      </c>
      <c r="I27" s="8">
        <v>6052.17</v>
      </c>
      <c r="J27" s="8">
        <v>6052.17</v>
      </c>
      <c r="K27" s="8">
        <v>6052.17</v>
      </c>
      <c r="L27" s="8">
        <v>7867.8209999999999</v>
      </c>
      <c r="M27" s="8">
        <v>7867.8209999999999</v>
      </c>
      <c r="N27" s="8">
        <v>7867.8209999999999</v>
      </c>
      <c r="O27" s="8">
        <v>7867.8209999999999</v>
      </c>
      <c r="P27" s="8">
        <v>7867.8209999999999</v>
      </c>
      <c r="Q27" s="8">
        <v>7867.8209999999999</v>
      </c>
      <c r="R27" s="8">
        <v>7867.8209999999999</v>
      </c>
      <c r="S27" s="8">
        <v>7867.8209999999999</v>
      </c>
      <c r="T27" s="8">
        <v>7867.8209999999999</v>
      </c>
      <c r="U27" s="8">
        <v>7867.8209999999999</v>
      </c>
      <c r="V27" s="8">
        <v>5749.5614999999998</v>
      </c>
      <c r="W27" s="8">
        <v>5749.5614999999998</v>
      </c>
      <c r="X27" s="8">
        <v>5749.5614999999998</v>
      </c>
      <c r="Y27" s="8">
        <v>5749.5614999999998</v>
      </c>
      <c r="Z27" s="8">
        <v>5749.5614999999998</v>
      </c>
      <c r="AA27" s="8">
        <v>5749.5614999999998</v>
      </c>
      <c r="AB27" s="8">
        <v>5749.5614999999998</v>
      </c>
      <c r="AC27" s="8">
        <v>3548387.2710000002</v>
      </c>
      <c r="AD27" s="8"/>
    </row>
    <row r="28" spans="1:30" x14ac:dyDescent="0.25">
      <c r="A28" s="19"/>
      <c r="B28" s="10" t="s">
        <v>32</v>
      </c>
      <c r="C28" s="11">
        <v>4</v>
      </c>
      <c r="D28" s="23">
        <v>45931</v>
      </c>
      <c r="E28" s="8">
        <v>6052.17</v>
      </c>
      <c r="F28" s="8">
        <v>6052.17</v>
      </c>
      <c r="G28" s="8">
        <v>6052.17</v>
      </c>
      <c r="H28" s="8">
        <v>6052.17</v>
      </c>
      <c r="I28" s="8">
        <v>6052.17</v>
      </c>
      <c r="J28" s="8">
        <v>6052.17</v>
      </c>
      <c r="K28" s="8">
        <v>6052.17</v>
      </c>
      <c r="L28" s="8">
        <v>7867.8209999999999</v>
      </c>
      <c r="M28" s="8">
        <v>7867.8209999999999</v>
      </c>
      <c r="N28" s="8">
        <v>7867.8209999999999</v>
      </c>
      <c r="O28" s="8">
        <v>7867.8209999999999</v>
      </c>
      <c r="P28" s="8">
        <v>7867.8209999999999</v>
      </c>
      <c r="Q28" s="8">
        <v>7867.8209999999999</v>
      </c>
      <c r="R28" s="8">
        <v>7867.8209999999999</v>
      </c>
      <c r="S28" s="8">
        <v>7867.8209999999999</v>
      </c>
      <c r="T28" s="8">
        <v>7867.8209999999999</v>
      </c>
      <c r="U28" s="8">
        <v>7867.8209999999999</v>
      </c>
      <c r="V28" s="8">
        <v>5749.5614999999998</v>
      </c>
      <c r="W28" s="8">
        <v>5749.5614999999998</v>
      </c>
      <c r="X28" s="8">
        <v>5749.5614999999998</v>
      </c>
      <c r="Y28" s="8">
        <v>5749.5614999999998</v>
      </c>
      <c r="Z28" s="8">
        <v>5749.5614999999998</v>
      </c>
      <c r="AA28" s="8">
        <v>5749.5614999999998</v>
      </c>
      <c r="AB28" s="8">
        <v>5749.5614999999998</v>
      </c>
      <c r="AC28" s="8">
        <v>645161.32200000004</v>
      </c>
      <c r="AD28" s="8"/>
    </row>
    <row r="29" spans="1:30" ht="15.75" thickBot="1" x14ac:dyDescent="0.3">
      <c r="A29" s="20"/>
      <c r="B29" s="13" t="s">
        <v>33</v>
      </c>
      <c r="C29" s="14">
        <v>5</v>
      </c>
      <c r="D29" s="24"/>
      <c r="E29" s="8">
        <v>6052.17</v>
      </c>
      <c r="F29" s="8">
        <v>6052.17</v>
      </c>
      <c r="G29" s="8">
        <v>6052.17</v>
      </c>
      <c r="H29" s="8">
        <v>6052.17</v>
      </c>
      <c r="I29" s="8">
        <v>6052.17</v>
      </c>
      <c r="J29" s="8">
        <v>6052.17</v>
      </c>
      <c r="K29" s="8">
        <v>6052.17</v>
      </c>
      <c r="L29" s="8">
        <v>7867.8209999999999</v>
      </c>
      <c r="M29" s="8">
        <v>7867.8209999999999</v>
      </c>
      <c r="N29" s="8">
        <v>7867.8209999999999</v>
      </c>
      <c r="O29" s="8">
        <v>7867.8209999999999</v>
      </c>
      <c r="P29" s="8">
        <v>7867.8209999999999</v>
      </c>
      <c r="Q29" s="8">
        <v>7867.8209999999999</v>
      </c>
      <c r="R29" s="8">
        <v>7867.8209999999999</v>
      </c>
      <c r="S29" s="8">
        <v>7867.8209999999999</v>
      </c>
      <c r="T29" s="8">
        <v>7867.8209999999999</v>
      </c>
      <c r="U29" s="8">
        <v>7867.8209999999999</v>
      </c>
      <c r="V29" s="8">
        <v>5749.5614999999998</v>
      </c>
      <c r="W29" s="8">
        <v>5749.5614999999998</v>
      </c>
      <c r="X29" s="8">
        <v>5749.5614999999998</v>
      </c>
      <c r="Y29" s="8">
        <v>5749.5614999999998</v>
      </c>
      <c r="Z29" s="8">
        <v>5749.5614999999998</v>
      </c>
      <c r="AA29" s="8">
        <v>5749.5614999999998</v>
      </c>
      <c r="AB29" s="8">
        <v>5749.5614999999998</v>
      </c>
      <c r="AC29" s="8">
        <v>806451.65250000008</v>
      </c>
      <c r="AD29" s="8">
        <v>5000000.2455000002</v>
      </c>
    </row>
    <row r="30" spans="1:30" ht="15.75" thickBot="1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7"/>
    </row>
    <row r="31" spans="1:30" x14ac:dyDescent="0.25">
      <c r="A31" s="21"/>
      <c r="B31" s="6" t="s">
        <v>31</v>
      </c>
      <c r="C31" s="7">
        <v>18</v>
      </c>
      <c r="D31" s="127">
        <v>45962</v>
      </c>
      <c r="E31" s="8">
        <v>6253.91</v>
      </c>
      <c r="F31" s="8">
        <v>6253.91</v>
      </c>
      <c r="G31" s="8">
        <v>6253.91</v>
      </c>
      <c r="H31" s="8">
        <v>6253.91</v>
      </c>
      <c r="I31" s="8">
        <v>6253.91</v>
      </c>
      <c r="J31" s="8">
        <v>6253.91</v>
      </c>
      <c r="K31" s="8">
        <v>6253.91</v>
      </c>
      <c r="L31" s="8">
        <v>8130.0830000000005</v>
      </c>
      <c r="M31" s="8">
        <v>8130.0830000000005</v>
      </c>
      <c r="N31" s="8">
        <v>8130.0830000000005</v>
      </c>
      <c r="O31" s="8">
        <v>8130.0830000000005</v>
      </c>
      <c r="P31" s="8">
        <v>8130.0830000000005</v>
      </c>
      <c r="Q31" s="8">
        <v>8130.0830000000005</v>
      </c>
      <c r="R31" s="8">
        <v>8130.0830000000005</v>
      </c>
      <c r="S31" s="8">
        <v>8130.0830000000005</v>
      </c>
      <c r="T31" s="8">
        <v>8130.0830000000005</v>
      </c>
      <c r="U31" s="8">
        <v>8130.0830000000005</v>
      </c>
      <c r="V31" s="8">
        <v>5941.2144999999991</v>
      </c>
      <c r="W31" s="8">
        <v>5941.2144999999991</v>
      </c>
      <c r="X31" s="8">
        <v>5941.2144999999991</v>
      </c>
      <c r="Y31" s="8">
        <v>5941.2144999999991</v>
      </c>
      <c r="Z31" s="8">
        <v>5941.2144999999991</v>
      </c>
      <c r="AA31" s="8">
        <v>5941.2144999999991</v>
      </c>
      <c r="AB31" s="8">
        <v>5941.2144999999991</v>
      </c>
      <c r="AC31" s="8">
        <v>3000000.6269999999</v>
      </c>
      <c r="AD31" s="8"/>
    </row>
    <row r="32" spans="1:30" x14ac:dyDescent="0.25">
      <c r="A32" s="19"/>
      <c r="B32" s="10" t="s">
        <v>32</v>
      </c>
      <c r="C32" s="11">
        <v>5</v>
      </c>
      <c r="D32" s="128"/>
      <c r="E32" s="8">
        <v>6253.91</v>
      </c>
      <c r="F32" s="8">
        <v>6253.91</v>
      </c>
      <c r="G32" s="8">
        <v>6253.91</v>
      </c>
      <c r="H32" s="8">
        <v>6253.91</v>
      </c>
      <c r="I32" s="8">
        <v>6253.91</v>
      </c>
      <c r="J32" s="8">
        <v>6253.91</v>
      </c>
      <c r="K32" s="8">
        <v>6253.91</v>
      </c>
      <c r="L32" s="8">
        <v>8130.0830000000005</v>
      </c>
      <c r="M32" s="8">
        <v>8130.0830000000005</v>
      </c>
      <c r="N32" s="8">
        <v>8130.0830000000005</v>
      </c>
      <c r="O32" s="8">
        <v>8130.0830000000005</v>
      </c>
      <c r="P32" s="8">
        <v>8130.0830000000005</v>
      </c>
      <c r="Q32" s="8">
        <v>8130.0830000000005</v>
      </c>
      <c r="R32" s="8">
        <v>8130.0830000000005</v>
      </c>
      <c r="S32" s="8">
        <v>8130.0830000000005</v>
      </c>
      <c r="T32" s="8">
        <v>8130.0830000000005</v>
      </c>
      <c r="U32" s="8">
        <v>8130.0830000000005</v>
      </c>
      <c r="V32" s="8">
        <v>5941.2144999999991</v>
      </c>
      <c r="W32" s="8">
        <v>5941.2144999999991</v>
      </c>
      <c r="X32" s="8">
        <v>5941.2144999999991</v>
      </c>
      <c r="Y32" s="8">
        <v>5941.2144999999991</v>
      </c>
      <c r="Z32" s="8">
        <v>5941.2144999999991</v>
      </c>
      <c r="AA32" s="8">
        <v>5941.2144999999991</v>
      </c>
      <c r="AB32" s="8">
        <v>5941.2144999999991</v>
      </c>
      <c r="AC32" s="8">
        <v>833333.50749999995</v>
      </c>
      <c r="AD32" s="8"/>
    </row>
    <row r="33" spans="1:30" ht="15.75" thickBot="1" x14ac:dyDescent="0.3">
      <c r="A33" s="20"/>
      <c r="B33" s="13" t="s">
        <v>33</v>
      </c>
      <c r="C33" s="14">
        <v>7</v>
      </c>
      <c r="D33" s="129"/>
      <c r="E33" s="8">
        <v>6253.91</v>
      </c>
      <c r="F33" s="8">
        <v>6253.91</v>
      </c>
      <c r="G33" s="8">
        <v>6253.91</v>
      </c>
      <c r="H33" s="8">
        <v>6253.91</v>
      </c>
      <c r="I33" s="8">
        <v>6253.91</v>
      </c>
      <c r="J33" s="8">
        <v>6253.91</v>
      </c>
      <c r="K33" s="8">
        <v>6253.91</v>
      </c>
      <c r="L33" s="8">
        <v>8130.0830000000005</v>
      </c>
      <c r="M33" s="8">
        <v>8130.0830000000005</v>
      </c>
      <c r="N33" s="8">
        <v>8130.0830000000005</v>
      </c>
      <c r="O33" s="8">
        <v>8130.0830000000005</v>
      </c>
      <c r="P33" s="8">
        <v>8130.0830000000005</v>
      </c>
      <c r="Q33" s="8">
        <v>8130.0830000000005</v>
      </c>
      <c r="R33" s="8">
        <v>8130.0830000000005</v>
      </c>
      <c r="S33" s="8">
        <v>8130.0830000000005</v>
      </c>
      <c r="T33" s="8">
        <v>8130.0830000000005</v>
      </c>
      <c r="U33" s="8">
        <v>8130.0830000000005</v>
      </c>
      <c r="V33" s="8">
        <v>5941.2144999999991</v>
      </c>
      <c r="W33" s="8">
        <v>5941.2144999999991</v>
      </c>
      <c r="X33" s="8">
        <v>5941.2144999999991</v>
      </c>
      <c r="Y33" s="8">
        <v>5941.2144999999991</v>
      </c>
      <c r="Z33" s="8">
        <v>5941.2144999999991</v>
      </c>
      <c r="AA33" s="8">
        <v>5941.2144999999991</v>
      </c>
      <c r="AB33" s="8">
        <v>5941.2144999999991</v>
      </c>
      <c r="AC33" s="8">
        <v>1166666.9105</v>
      </c>
      <c r="AD33" s="8">
        <v>5000001.0449999999</v>
      </c>
    </row>
    <row r="34" spans="1:30" ht="15.75" thickBot="1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7"/>
    </row>
    <row r="35" spans="1:30" x14ac:dyDescent="0.25">
      <c r="A35" s="21"/>
      <c r="B35" s="6" t="s">
        <v>31</v>
      </c>
      <c r="C35" s="7">
        <v>21</v>
      </c>
      <c r="D35" s="127">
        <v>45992</v>
      </c>
      <c r="E35" s="8">
        <v>3631.3018217031017</v>
      </c>
      <c r="F35" s="8">
        <v>3631.3018217031017</v>
      </c>
      <c r="G35" s="8">
        <v>3631.3018217031017</v>
      </c>
      <c r="H35" s="8">
        <v>3631.3018217031017</v>
      </c>
      <c r="I35" s="8">
        <v>3631.3018217031017</v>
      </c>
      <c r="J35" s="8">
        <v>3631.3018217031017</v>
      </c>
      <c r="K35" s="8">
        <v>3631.3018217031017</v>
      </c>
      <c r="L35" s="8">
        <v>4720.6923682140323</v>
      </c>
      <c r="M35" s="8">
        <v>4720.6923682140323</v>
      </c>
      <c r="N35" s="8">
        <v>4720.6923682140323</v>
      </c>
      <c r="O35" s="8">
        <v>4720.6923682140323</v>
      </c>
      <c r="P35" s="8">
        <v>4720.6923682140323</v>
      </c>
      <c r="Q35" s="8">
        <v>4720.6923682140323</v>
      </c>
      <c r="R35" s="8">
        <v>4720.6923682140323</v>
      </c>
      <c r="S35" s="8">
        <v>4720.6923682140323</v>
      </c>
      <c r="T35" s="8">
        <v>4720.6923682140323</v>
      </c>
      <c r="U35" s="8">
        <v>4720.6923682140323</v>
      </c>
      <c r="V35" s="8">
        <v>3449.7367306179463</v>
      </c>
      <c r="W35" s="8">
        <v>3449.7367306179463</v>
      </c>
      <c r="X35" s="8">
        <v>3449.7367306179463</v>
      </c>
      <c r="Y35" s="8">
        <v>3449.7367306179463</v>
      </c>
      <c r="Z35" s="8">
        <v>3449.7367306179463</v>
      </c>
      <c r="AA35" s="8">
        <v>3449.7367306179463</v>
      </c>
      <c r="AB35" s="8">
        <v>3449.7367306179463</v>
      </c>
      <c r="AC35" s="8">
        <v>2032258.0645161418</v>
      </c>
      <c r="AD35" s="8"/>
    </row>
    <row r="36" spans="1:30" x14ac:dyDescent="0.25">
      <c r="A36" s="19"/>
      <c r="B36" s="10" t="s">
        <v>32</v>
      </c>
      <c r="C36" s="11">
        <v>4</v>
      </c>
      <c r="D36" s="128"/>
      <c r="E36" s="8">
        <v>3631.3018217031017</v>
      </c>
      <c r="F36" s="8">
        <v>3631.3018217031017</v>
      </c>
      <c r="G36" s="8">
        <v>3631.3018217031017</v>
      </c>
      <c r="H36" s="8">
        <v>3631.3018217031017</v>
      </c>
      <c r="I36" s="8">
        <v>3631.3018217031017</v>
      </c>
      <c r="J36" s="8">
        <v>3631.3018217031017</v>
      </c>
      <c r="K36" s="8">
        <v>3631.3018217031017</v>
      </c>
      <c r="L36" s="8">
        <v>4720.6923682140323</v>
      </c>
      <c r="M36" s="8">
        <v>4720.6923682140323</v>
      </c>
      <c r="N36" s="8">
        <v>4720.6923682140323</v>
      </c>
      <c r="O36" s="8">
        <v>4720.6923682140323</v>
      </c>
      <c r="P36" s="8">
        <v>4720.6923682140323</v>
      </c>
      <c r="Q36" s="8">
        <v>4720.6923682140323</v>
      </c>
      <c r="R36" s="8">
        <v>4720.6923682140323</v>
      </c>
      <c r="S36" s="8">
        <v>4720.6923682140323</v>
      </c>
      <c r="T36" s="8">
        <v>4720.6923682140323</v>
      </c>
      <c r="U36" s="8">
        <v>4720.6923682140323</v>
      </c>
      <c r="V36" s="8">
        <v>3449.7367306179463</v>
      </c>
      <c r="W36" s="8">
        <v>3449.7367306179463</v>
      </c>
      <c r="X36" s="8">
        <v>3449.7367306179463</v>
      </c>
      <c r="Y36" s="8">
        <v>3449.7367306179463</v>
      </c>
      <c r="Z36" s="8">
        <v>3449.7367306179463</v>
      </c>
      <c r="AA36" s="8">
        <v>3449.7367306179463</v>
      </c>
      <c r="AB36" s="8">
        <v>3449.7367306179463</v>
      </c>
      <c r="AC36" s="8">
        <v>387096.77419355081</v>
      </c>
      <c r="AD36" s="8"/>
    </row>
    <row r="37" spans="1:30" ht="15.75" thickBot="1" x14ac:dyDescent="0.3">
      <c r="A37" s="20"/>
      <c r="B37" s="13" t="s">
        <v>33</v>
      </c>
      <c r="C37" s="14">
        <v>6</v>
      </c>
      <c r="D37" s="129"/>
      <c r="E37" s="8">
        <v>3631.3018217031017</v>
      </c>
      <c r="F37" s="8">
        <v>3631.3018217031017</v>
      </c>
      <c r="G37" s="8">
        <v>3631.3018217031017</v>
      </c>
      <c r="H37" s="8">
        <v>3631.3018217031017</v>
      </c>
      <c r="I37" s="8">
        <v>3631.3018217031017</v>
      </c>
      <c r="J37" s="8">
        <v>3631.3018217031017</v>
      </c>
      <c r="K37" s="8">
        <v>3631.3018217031017</v>
      </c>
      <c r="L37" s="8">
        <v>4720.6923682140323</v>
      </c>
      <c r="M37" s="8">
        <v>4720.6923682140323</v>
      </c>
      <c r="N37" s="8">
        <v>4720.6923682140323</v>
      </c>
      <c r="O37" s="8">
        <v>4720.6923682140323</v>
      </c>
      <c r="P37" s="8">
        <v>4720.6923682140323</v>
      </c>
      <c r="Q37" s="8">
        <v>4720.6923682140323</v>
      </c>
      <c r="R37" s="8">
        <v>4720.6923682140323</v>
      </c>
      <c r="S37" s="8">
        <v>4720.6923682140323</v>
      </c>
      <c r="T37" s="8">
        <v>4720.6923682140323</v>
      </c>
      <c r="U37" s="8">
        <v>4720.6923682140323</v>
      </c>
      <c r="V37" s="8">
        <v>3449.7367306179463</v>
      </c>
      <c r="W37" s="8">
        <v>3449.7367306179463</v>
      </c>
      <c r="X37" s="8">
        <v>3449.7367306179463</v>
      </c>
      <c r="Y37" s="8">
        <v>3449.7367306179463</v>
      </c>
      <c r="Z37" s="8">
        <v>3449.7367306179463</v>
      </c>
      <c r="AA37" s="8">
        <v>3449.7367306179463</v>
      </c>
      <c r="AB37" s="8">
        <v>3449.7367306179463</v>
      </c>
      <c r="AC37" s="8">
        <v>580645.16129032616</v>
      </c>
      <c r="AD37" s="8">
        <v>3000000.0000000186</v>
      </c>
    </row>
    <row r="38" spans="1:30" ht="15.75" customHeight="1" x14ac:dyDescent="0.25">
      <c r="A38" s="121" t="s">
        <v>34</v>
      </c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</row>
  </sheetData>
  <mergeCells count="6">
    <mergeCell ref="A38:AD38"/>
    <mergeCell ref="A2:AD2"/>
    <mergeCell ref="D3:D5"/>
    <mergeCell ref="D7:D9"/>
    <mergeCell ref="D31:D33"/>
    <mergeCell ref="D35:D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62403-9682-4E49-889E-B883C652D5FA}">
  <dimension ref="A1:G32"/>
  <sheetViews>
    <sheetView tabSelected="1" zoomScale="110" zoomScaleNormal="110" workbookViewId="0">
      <selection activeCell="I10" sqref="I10"/>
    </sheetView>
  </sheetViews>
  <sheetFormatPr baseColWidth="10" defaultRowHeight="15" x14ac:dyDescent="0.25"/>
  <cols>
    <col min="2" max="2" width="15.85546875" customWidth="1"/>
    <col min="3" max="3" width="16.28515625" style="29" customWidth="1"/>
    <col min="4" max="4" width="13.85546875" customWidth="1"/>
    <col min="5" max="5" width="18.85546875" customWidth="1"/>
    <col min="6" max="6" width="24.42578125" customWidth="1"/>
    <col min="7" max="7" width="13.85546875" bestFit="1" customWidth="1"/>
  </cols>
  <sheetData>
    <row r="1" spans="1:7" x14ac:dyDescent="0.25">
      <c r="A1" s="137"/>
      <c r="B1" s="137"/>
      <c r="C1" s="137"/>
      <c r="D1" s="137"/>
      <c r="E1" s="137"/>
      <c r="F1" s="137"/>
      <c r="G1" s="137"/>
    </row>
    <row r="2" spans="1:7" ht="16.5" x14ac:dyDescent="0.25">
      <c r="D2" s="69" t="s">
        <v>63</v>
      </c>
      <c r="E2" s="69"/>
    </row>
    <row r="3" spans="1:7" ht="16.5" x14ac:dyDescent="0.25">
      <c r="D3" s="69" t="s">
        <v>39</v>
      </c>
      <c r="E3" s="69"/>
    </row>
    <row r="5" spans="1:7" ht="16.5" x14ac:dyDescent="0.25">
      <c r="B5" s="70" t="s">
        <v>40</v>
      </c>
      <c r="C5" s="92"/>
      <c r="D5" s="138" t="s">
        <v>58</v>
      </c>
      <c r="E5" s="138"/>
      <c r="F5" s="138"/>
    </row>
    <row r="6" spans="1:7" ht="16.5" x14ac:dyDescent="0.25">
      <c r="B6" s="70" t="s">
        <v>41</v>
      </c>
      <c r="C6" s="92"/>
      <c r="D6" s="139" t="s">
        <v>42</v>
      </c>
      <c r="E6" s="139"/>
      <c r="F6" s="139"/>
    </row>
    <row r="7" spans="1:7" ht="16.5" x14ac:dyDescent="0.25">
      <c r="B7" s="70" t="s">
        <v>43</v>
      </c>
      <c r="C7" s="92"/>
      <c r="D7" s="139" t="s">
        <v>44</v>
      </c>
      <c r="E7" s="139"/>
      <c r="F7" s="139"/>
    </row>
    <row r="8" spans="1:7" ht="16.5" x14ac:dyDescent="0.25">
      <c r="B8" s="70" t="s">
        <v>45</v>
      </c>
      <c r="C8" s="92"/>
      <c r="D8" s="139" t="s">
        <v>53</v>
      </c>
      <c r="E8" s="139"/>
      <c r="F8" s="139"/>
    </row>
    <row r="9" spans="1:7" ht="15.75" thickBot="1" x14ac:dyDescent="0.3"/>
    <row r="10" spans="1:7" ht="15" customHeight="1" thickBot="1" x14ac:dyDescent="0.3">
      <c r="B10" s="140" t="s">
        <v>46</v>
      </c>
      <c r="C10" s="141"/>
      <c r="D10" s="141"/>
      <c r="E10" s="141"/>
      <c r="F10" s="142"/>
    </row>
    <row r="11" spans="1:7" ht="60.75" thickBot="1" x14ac:dyDescent="0.3">
      <c r="B11" s="72" t="s">
        <v>47</v>
      </c>
      <c r="C11" s="93" t="s">
        <v>55</v>
      </c>
      <c r="D11" s="73" t="s">
        <v>56</v>
      </c>
      <c r="E11" s="73" t="s">
        <v>57</v>
      </c>
      <c r="F11" s="73" t="s">
        <v>54</v>
      </c>
    </row>
    <row r="12" spans="1:7" ht="17.25" thickBot="1" x14ac:dyDescent="0.3">
      <c r="B12" s="74">
        <v>45748</v>
      </c>
      <c r="C12" s="94">
        <f>'Cantidades - Producto 3'!AD5</f>
        <v>3000003.8249999993</v>
      </c>
      <c r="D12" s="75"/>
      <c r="E12" s="91">
        <v>0</v>
      </c>
      <c r="F12" s="75"/>
      <c r="G12" s="29"/>
    </row>
    <row r="13" spans="1:7" ht="17.25" thickBot="1" x14ac:dyDescent="0.3">
      <c r="B13" s="74">
        <v>45778</v>
      </c>
      <c r="C13" s="94">
        <f>'Cantidades - Producto 3'!AD9</f>
        <v>3999995.2394999997</v>
      </c>
      <c r="D13" s="75"/>
      <c r="E13" s="91">
        <v>0</v>
      </c>
      <c r="F13" s="75"/>
      <c r="G13" s="29"/>
    </row>
    <row r="14" spans="1:7" ht="17.25" thickBot="1" x14ac:dyDescent="0.3">
      <c r="B14" s="74">
        <v>45809</v>
      </c>
      <c r="C14" s="94">
        <f>'Cantidades - Producto 3'!AD13</f>
        <v>5000001.0449999999</v>
      </c>
      <c r="D14" s="75"/>
      <c r="E14" s="91">
        <v>0</v>
      </c>
      <c r="F14" s="75"/>
      <c r="G14" s="29"/>
    </row>
    <row r="15" spans="1:7" ht="17.25" thickBot="1" x14ac:dyDescent="0.3">
      <c r="B15" s="74">
        <v>45839</v>
      </c>
      <c r="C15" s="94">
        <f>'Cantidades - Producto 3'!AD17</f>
        <v>5000000.2455000002</v>
      </c>
      <c r="D15" s="75"/>
      <c r="E15" s="91">
        <v>0</v>
      </c>
      <c r="F15" s="75"/>
      <c r="G15" s="29"/>
    </row>
    <row r="16" spans="1:7" ht="17.25" thickBot="1" x14ac:dyDescent="0.3">
      <c r="B16" s="74">
        <v>45870</v>
      </c>
      <c r="C16" s="94">
        <f>'Cantidades - Producto 3'!AD21</f>
        <v>5000000.2455000002</v>
      </c>
      <c r="D16" s="75"/>
      <c r="E16" s="91">
        <v>0</v>
      </c>
      <c r="F16" s="75"/>
      <c r="G16" s="29"/>
    </row>
    <row r="17" spans="2:7" ht="17.25" thickBot="1" x14ac:dyDescent="0.3">
      <c r="B17" s="74">
        <v>45901</v>
      </c>
      <c r="C17" s="94">
        <f>'Cantidades - Producto 3'!AD25</f>
        <v>5000001.0449999999</v>
      </c>
      <c r="D17" s="75"/>
      <c r="E17" s="91">
        <v>0</v>
      </c>
      <c r="F17" s="75"/>
      <c r="G17" s="29"/>
    </row>
    <row r="18" spans="2:7" ht="17.25" thickBot="1" x14ac:dyDescent="0.3">
      <c r="B18" s="74">
        <v>45931</v>
      </c>
      <c r="C18" s="94">
        <f>'Cantidades - Producto 3'!AD29</f>
        <v>5000000.2455000002</v>
      </c>
      <c r="D18" s="75"/>
      <c r="E18" s="91">
        <v>0</v>
      </c>
      <c r="F18" s="75"/>
      <c r="G18" s="29"/>
    </row>
    <row r="19" spans="2:7" ht="17.25" thickBot="1" x14ac:dyDescent="0.3">
      <c r="B19" s="74">
        <v>45962</v>
      </c>
      <c r="C19" s="94">
        <f>'Cantidades - Producto 3'!AD33</f>
        <v>5000001.0449999999</v>
      </c>
      <c r="D19" s="75"/>
      <c r="E19" s="91">
        <v>0</v>
      </c>
      <c r="F19" s="75"/>
      <c r="G19" s="29"/>
    </row>
    <row r="20" spans="2:7" ht="17.25" thickBot="1" x14ac:dyDescent="0.3">
      <c r="B20" s="74">
        <v>45992</v>
      </c>
      <c r="C20" s="94">
        <f>'Cantidades - Producto 3'!AD37</f>
        <v>3000000.0000000186</v>
      </c>
      <c r="D20" s="75"/>
      <c r="E20" s="91">
        <v>0</v>
      </c>
      <c r="F20" s="75"/>
      <c r="G20" s="29"/>
    </row>
    <row r="21" spans="2:7" ht="17.25" thickBot="1" x14ac:dyDescent="0.3">
      <c r="B21" s="76" t="s">
        <v>48</v>
      </c>
      <c r="C21" s="95">
        <f>SUM(C12:C20)</f>
        <v>40000002.936000019</v>
      </c>
      <c r="D21" s="77"/>
      <c r="E21" s="77"/>
      <c r="F21" s="78"/>
      <c r="G21" s="104"/>
    </row>
    <row r="22" spans="2:7" ht="17.25" thickBot="1" x14ac:dyDescent="0.3">
      <c r="B22" s="88" t="s">
        <v>49</v>
      </c>
      <c r="C22" s="102">
        <f>C21</f>
        <v>40000002.936000019</v>
      </c>
      <c r="D22" s="81"/>
      <c r="E22" s="71"/>
      <c r="F22" s="81"/>
      <c r="G22" s="29"/>
    </row>
    <row r="24" spans="2:7" ht="27.95" customHeight="1" x14ac:dyDescent="0.25">
      <c r="B24" s="136" t="s">
        <v>50</v>
      </c>
      <c r="C24" s="136"/>
      <c r="D24" s="136"/>
      <c r="E24" s="136"/>
      <c r="F24" s="136"/>
    </row>
    <row r="25" spans="2:7" ht="25.5" customHeight="1" x14ac:dyDescent="0.25">
      <c r="B25" s="136" t="s">
        <v>59</v>
      </c>
      <c r="C25" s="136"/>
      <c r="D25" s="136"/>
      <c r="E25" s="136"/>
      <c r="F25" s="136"/>
    </row>
    <row r="26" spans="2:7" ht="27" customHeight="1" x14ac:dyDescent="0.25">
      <c r="B26" s="136" t="s">
        <v>51</v>
      </c>
      <c r="C26" s="136"/>
      <c r="D26" s="136"/>
      <c r="E26" s="136"/>
      <c r="F26" s="136"/>
    </row>
    <row r="27" spans="2:7" ht="36" customHeight="1" x14ac:dyDescent="0.25">
      <c r="B27" s="136" t="s">
        <v>60</v>
      </c>
      <c r="C27" s="136"/>
      <c r="D27" s="136"/>
      <c r="E27" s="136"/>
      <c r="F27" s="136"/>
    </row>
    <row r="28" spans="2:7" ht="30.75" customHeight="1" x14ac:dyDescent="0.3">
      <c r="B28" s="143" t="s">
        <v>65</v>
      </c>
      <c r="C28" s="143"/>
      <c r="D28" s="143"/>
      <c r="E28" s="143"/>
      <c r="F28" s="143"/>
    </row>
    <row r="29" spans="2:7" ht="38.25" customHeight="1" x14ac:dyDescent="0.3">
      <c r="B29" s="143" t="s">
        <v>64</v>
      </c>
      <c r="C29" s="143"/>
      <c r="D29" s="143"/>
      <c r="E29" s="143"/>
      <c r="F29" s="143"/>
    </row>
    <row r="31" spans="2:7" x14ac:dyDescent="0.25">
      <c r="B31" s="89"/>
      <c r="C31" s="103"/>
    </row>
    <row r="32" spans="2:7" x14ac:dyDescent="0.25">
      <c r="B32" t="s">
        <v>52</v>
      </c>
    </row>
  </sheetData>
  <mergeCells count="12">
    <mergeCell ref="B29:F29"/>
    <mergeCell ref="A1:G1"/>
    <mergeCell ref="D5:F5"/>
    <mergeCell ref="D6:F6"/>
    <mergeCell ref="D7:F7"/>
    <mergeCell ref="D8:F8"/>
    <mergeCell ref="B10:F10"/>
    <mergeCell ref="B24:F24"/>
    <mergeCell ref="B25:F25"/>
    <mergeCell ref="B26:F26"/>
    <mergeCell ref="B27:F27"/>
    <mergeCell ref="B28:F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Cantidades - Producto 1</vt:lpstr>
      <vt:lpstr>Anexo 3 Oferta P1</vt:lpstr>
      <vt:lpstr>Cantidades - Producto 2</vt:lpstr>
      <vt:lpstr>Anexo 3 Oferta P2</vt:lpstr>
      <vt:lpstr>Cantidades - Producto 3</vt:lpstr>
      <vt:lpstr>Anexo 3 Oferta 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andres graciano lozano</dc:creator>
  <cp:lastModifiedBy>asus office</cp:lastModifiedBy>
  <dcterms:created xsi:type="dcterms:W3CDTF">2025-01-14T16:36:07Z</dcterms:created>
  <dcterms:modified xsi:type="dcterms:W3CDTF">2025-01-24T23:41:43Z</dcterms:modified>
</cp:coreProperties>
</file>