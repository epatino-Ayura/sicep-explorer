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itoqueesp1-my.sharepoint.com/personal/dsolano_ruitoqueesp_com/Documents/Mercado Mayorista - One Drive/10.SICEP-CONVOCATORIAS/Convocatorias 2025/CP-RTQC2025-003/Pliego de condiciones de consulta/"/>
    </mc:Choice>
  </mc:AlternateContent>
  <xr:revisionPtr revIDLastSave="1271" documentId="13_ncr:1_{11F35ADC-379E-4BD7-8991-7E8EB018DC3C}" xr6:coauthVersionLast="47" xr6:coauthVersionMax="47" xr10:uidLastSave="{0D6BF5F3-236A-4C25-97D8-4CF98C53ED97}"/>
  <bookViews>
    <workbookView xWindow="-110" yWindow="-110" windowWidth="19420" windowHeight="11500" firstSheet="6" activeTab="7" xr2:uid="{117BC80B-6DD0-4D14-894B-3D9BEC6851BA}"/>
  </bookViews>
  <sheets>
    <sheet name="Producto 1 Plano 26" sheetId="18" r:id="rId1"/>
    <sheet name="Anexo 2 Producto 1" sheetId="21" r:id="rId2"/>
    <sheet name="Producto 2 Plano 27" sheetId="22" r:id="rId3"/>
    <sheet name="Anexo 2 Producto 2" sheetId="23" r:id="rId4"/>
    <sheet name="Producto 3 Plano 28" sheetId="24" r:id="rId5"/>
    <sheet name="Anexo 2 Producto 3" sheetId="25" r:id="rId6"/>
    <sheet name="Producto 4 Plano 29" sheetId="26" r:id="rId7"/>
    <sheet name="Anexo 2 Producto 4" sheetId="27" r:id="rId8"/>
    <sheet name="Producto 5 Plano 30" sheetId="28" r:id="rId9"/>
    <sheet name="Anexo 2 Producto 5" sheetId="29" r:id="rId10"/>
  </sheets>
  <definedNames>
    <definedName name="_xlnm._FilterDatabase" localSheetId="0" hidden="1">'Producto 1 Plano 26'!$B$2:$B$5</definedName>
    <definedName name="_xlnm._FilterDatabase" localSheetId="2" hidden="1">'Producto 2 Plano 27'!$B$2:$B$5</definedName>
    <definedName name="_xlnm._FilterDatabase" localSheetId="4" hidden="1">'Producto 3 Plano 28'!$B$2:$B$5</definedName>
    <definedName name="_xlnm._FilterDatabase" localSheetId="6" hidden="1">'Producto 4 Plano 29'!$B$2:$B$5</definedName>
    <definedName name="_xlnm._FilterDatabase" localSheetId="8" hidden="1">'Producto 5 Plano 30'!$B$2:$B$5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2" i="29" l="1"/>
  <c r="D21" i="29"/>
  <c r="D20" i="29"/>
  <c r="F20" i="29" s="1"/>
  <c r="D19" i="29"/>
  <c r="F19" i="29" s="1"/>
  <c r="D18" i="29"/>
  <c r="F18" i="29" s="1"/>
  <c r="D17" i="29"/>
  <c r="F17" i="29" s="1"/>
  <c r="D16" i="29"/>
  <c r="D15" i="29"/>
  <c r="D14" i="29"/>
  <c r="D13" i="29"/>
  <c r="D12" i="29"/>
  <c r="D11" i="29"/>
  <c r="D22" i="27"/>
  <c r="D21" i="27"/>
  <c r="D20" i="27"/>
  <c r="D19" i="27"/>
  <c r="D18" i="27"/>
  <c r="D17" i="27"/>
  <c r="D16" i="27"/>
  <c r="D15" i="27"/>
  <c r="D14" i="27"/>
  <c r="D13" i="27"/>
  <c r="D12" i="27"/>
  <c r="D11" i="27"/>
  <c r="D22" i="25"/>
  <c r="D21" i="25"/>
  <c r="D20" i="25"/>
  <c r="D19" i="25"/>
  <c r="D18" i="25"/>
  <c r="D17" i="25"/>
  <c r="D16" i="25"/>
  <c r="D15" i="25"/>
  <c r="D14" i="25"/>
  <c r="D13" i="25"/>
  <c r="D12" i="25"/>
  <c r="D11" i="25"/>
  <c r="D22" i="23"/>
  <c r="D21" i="23"/>
  <c r="D20" i="23"/>
  <c r="D19" i="23"/>
  <c r="D18" i="23"/>
  <c r="D17" i="23"/>
  <c r="D16" i="23"/>
  <c r="D15" i="23"/>
  <c r="D14" i="23"/>
  <c r="D13" i="23"/>
  <c r="D12" i="23"/>
  <c r="D11" i="23"/>
  <c r="F22" i="29"/>
  <c r="F21" i="29"/>
  <c r="F16" i="29"/>
  <c r="F15" i="29"/>
  <c r="F14" i="29"/>
  <c r="F13" i="29"/>
  <c r="F12" i="29"/>
  <c r="AB53" i="28"/>
  <c r="AB52" i="28"/>
  <c r="AB51" i="28"/>
  <c r="AB50" i="28"/>
  <c r="AB49" i="28"/>
  <c r="AB48" i="28"/>
  <c r="AB47" i="28"/>
  <c r="AB46" i="28"/>
  <c r="AD46" i="28" s="1"/>
  <c r="AE16" i="28" s="1"/>
  <c r="AB45" i="28"/>
  <c r="AB44" i="28"/>
  <c r="AB43" i="28"/>
  <c r="AB42" i="28"/>
  <c r="AD42" i="28" s="1"/>
  <c r="AE15" i="28" s="1"/>
  <c r="AB41" i="28"/>
  <c r="AB40" i="28"/>
  <c r="AB39" i="28"/>
  <c r="AB38" i="28"/>
  <c r="AD38" i="28" s="1"/>
  <c r="AE14" i="28" s="1"/>
  <c r="AB37" i="28"/>
  <c r="AB36" i="28"/>
  <c r="AB35" i="28"/>
  <c r="AB34" i="28"/>
  <c r="AD34" i="28" s="1"/>
  <c r="AE13" i="28" s="1"/>
  <c r="AB33" i="28"/>
  <c r="AB32" i="28"/>
  <c r="AB31" i="28"/>
  <c r="AB30" i="28"/>
  <c r="AD30" i="28" s="1"/>
  <c r="AE12" i="28" s="1"/>
  <c r="AB29" i="28"/>
  <c r="AB28" i="28"/>
  <c r="AB27" i="28"/>
  <c r="AB26" i="28"/>
  <c r="AB25" i="28"/>
  <c r="AB24" i="28"/>
  <c r="AB23" i="28"/>
  <c r="AB22" i="28"/>
  <c r="AD22" i="28" s="1"/>
  <c r="AE10" i="28" s="1"/>
  <c r="AB21" i="28"/>
  <c r="AB20" i="28"/>
  <c r="AB19" i="28"/>
  <c r="AB18" i="28"/>
  <c r="AD18" i="28" s="1"/>
  <c r="AE9" i="28" s="1"/>
  <c r="AB17" i="28"/>
  <c r="AB16" i="28"/>
  <c r="AB15" i="28"/>
  <c r="AB14" i="28"/>
  <c r="AD14" i="28" s="1"/>
  <c r="AE8" i="28" s="1"/>
  <c r="AB13" i="28"/>
  <c r="AB12" i="28"/>
  <c r="AB11" i="28"/>
  <c r="AB10" i="28"/>
  <c r="AD10" i="28" s="1"/>
  <c r="AE7" i="28" s="1"/>
  <c r="AB9" i="28"/>
  <c r="AB8" i="28"/>
  <c r="AB7" i="28"/>
  <c r="AB6" i="28"/>
  <c r="AB53" i="26"/>
  <c r="AB52" i="26"/>
  <c r="AB51" i="26"/>
  <c r="AB50" i="26"/>
  <c r="AD50" i="26" s="1"/>
  <c r="AE17" i="26" s="1"/>
  <c r="AB49" i="26"/>
  <c r="AB48" i="26"/>
  <c r="AB47" i="26"/>
  <c r="AB46" i="26"/>
  <c r="AD46" i="26" s="1"/>
  <c r="AE16" i="26" s="1"/>
  <c r="AB45" i="26"/>
  <c r="AB44" i="26"/>
  <c r="AB43" i="26"/>
  <c r="AB42" i="26"/>
  <c r="AD42" i="26" s="1"/>
  <c r="AE15" i="26" s="1"/>
  <c r="AB41" i="26"/>
  <c r="AB40" i="26"/>
  <c r="AB39" i="26"/>
  <c r="AB38" i="26"/>
  <c r="AB37" i="26"/>
  <c r="AB36" i="26"/>
  <c r="AB35" i="26"/>
  <c r="AB34" i="26"/>
  <c r="AB33" i="26"/>
  <c r="AB32" i="26"/>
  <c r="AB31" i="26"/>
  <c r="AB30" i="26"/>
  <c r="AD30" i="26" s="1"/>
  <c r="AE12" i="26" s="1"/>
  <c r="AB29" i="26"/>
  <c r="AB28" i="26"/>
  <c r="AB27" i="26"/>
  <c r="AB26" i="26"/>
  <c r="AD26" i="26" s="1"/>
  <c r="AE11" i="26" s="1"/>
  <c r="AB25" i="26"/>
  <c r="AB24" i="26"/>
  <c r="AB23" i="26"/>
  <c r="AB22" i="26"/>
  <c r="AD22" i="26" s="1"/>
  <c r="AE10" i="26" s="1"/>
  <c r="AB21" i="26"/>
  <c r="AB20" i="26"/>
  <c r="AB19" i="26"/>
  <c r="AB18" i="26"/>
  <c r="AB17" i="26"/>
  <c r="AB16" i="26"/>
  <c r="AB15" i="26"/>
  <c r="AB14" i="26"/>
  <c r="AD14" i="26" s="1"/>
  <c r="AE8" i="26" s="1"/>
  <c r="AB13" i="26"/>
  <c r="AB12" i="26"/>
  <c r="AB11" i="26"/>
  <c r="AB10" i="26"/>
  <c r="AB9" i="26"/>
  <c r="AB8" i="26"/>
  <c r="AB7" i="26"/>
  <c r="AB6" i="26"/>
  <c r="AD6" i="26" s="1"/>
  <c r="AE6" i="26" s="1"/>
  <c r="AB53" i="24"/>
  <c r="AB52" i="24"/>
  <c r="AB51" i="24"/>
  <c r="AB50" i="24"/>
  <c r="AD50" i="24" s="1"/>
  <c r="AE17" i="24" s="1"/>
  <c r="AB49" i="24"/>
  <c r="AB48" i="24"/>
  <c r="AB47" i="24"/>
  <c r="AB46" i="24"/>
  <c r="AB45" i="24"/>
  <c r="AB44" i="24"/>
  <c r="AB43" i="24"/>
  <c r="AB42" i="24"/>
  <c r="AB41" i="24"/>
  <c r="AB40" i="24"/>
  <c r="AB39" i="24"/>
  <c r="AB38" i="24"/>
  <c r="AB37" i="24"/>
  <c r="AB36" i="24"/>
  <c r="AB35" i="24"/>
  <c r="AB34" i="24"/>
  <c r="AB33" i="24"/>
  <c r="AB32" i="24"/>
  <c r="AB31" i="24"/>
  <c r="AB30" i="24"/>
  <c r="AB29" i="24"/>
  <c r="AB28" i="24"/>
  <c r="AB27" i="24"/>
  <c r="AB26" i="24"/>
  <c r="AD26" i="24" s="1"/>
  <c r="AE11" i="24" s="1"/>
  <c r="AB25" i="24"/>
  <c r="AB24" i="24"/>
  <c r="AB23" i="24"/>
  <c r="AB22" i="24"/>
  <c r="AB21" i="24"/>
  <c r="AB20" i="24"/>
  <c r="AB19" i="24"/>
  <c r="AB18" i="24"/>
  <c r="AB17" i="24"/>
  <c r="AB16" i="24"/>
  <c r="AB15" i="24"/>
  <c r="AB14" i="24"/>
  <c r="AD14" i="24" s="1"/>
  <c r="AE8" i="24" s="1"/>
  <c r="AB13" i="24"/>
  <c r="AB12" i="24"/>
  <c r="AB11" i="24"/>
  <c r="AB10" i="24"/>
  <c r="AD10" i="24" s="1"/>
  <c r="AE7" i="24" s="1"/>
  <c r="AB9" i="24"/>
  <c r="AB8" i="24"/>
  <c r="AB7" i="24"/>
  <c r="AB6" i="24"/>
  <c r="AD6" i="24" s="1"/>
  <c r="AE6" i="24" s="1"/>
  <c r="AB53" i="22"/>
  <c r="AB52" i="22"/>
  <c r="AB51" i="22"/>
  <c r="AB50" i="22"/>
  <c r="AB49" i="22"/>
  <c r="AB48" i="22"/>
  <c r="AB47" i="22"/>
  <c r="AB46" i="22"/>
  <c r="AB45" i="22"/>
  <c r="AB44" i="22"/>
  <c r="AB43" i="22"/>
  <c r="AB42" i="22"/>
  <c r="AB41" i="22"/>
  <c r="AB40" i="22"/>
  <c r="AB39" i="22"/>
  <c r="AB38" i="22"/>
  <c r="AB37" i="22"/>
  <c r="AB36" i="22"/>
  <c r="AB35" i="22"/>
  <c r="AB34" i="22"/>
  <c r="AB33" i="22"/>
  <c r="AB32" i="22"/>
  <c r="AB31" i="22"/>
  <c r="AB30" i="22"/>
  <c r="AB29" i="22"/>
  <c r="AB28" i="22"/>
  <c r="AB27" i="22"/>
  <c r="AB26" i="22"/>
  <c r="AB25" i="22"/>
  <c r="AB24" i="22"/>
  <c r="AB23" i="22"/>
  <c r="AB22" i="22"/>
  <c r="AD22" i="22" s="1"/>
  <c r="AE10" i="22" s="1"/>
  <c r="AB21" i="22"/>
  <c r="AB20" i="22"/>
  <c r="AB19" i="22"/>
  <c r="AB18" i="22"/>
  <c r="AB17" i="22"/>
  <c r="AB16" i="22"/>
  <c r="AB15" i="22"/>
  <c r="AB14" i="22"/>
  <c r="AB13" i="22"/>
  <c r="AB12" i="22"/>
  <c r="AB11" i="22"/>
  <c r="AB10" i="22"/>
  <c r="AB9" i="22"/>
  <c r="AB8" i="22"/>
  <c r="AB7" i="22"/>
  <c r="AB6" i="22"/>
  <c r="H22" i="29" l="1"/>
  <c r="I22" i="29" s="1"/>
  <c r="AD26" i="28"/>
  <c r="AE11" i="28" s="1"/>
  <c r="AD6" i="28"/>
  <c r="AE6" i="28" s="1"/>
  <c r="AD50" i="28"/>
  <c r="AE17" i="28" s="1"/>
  <c r="AD34" i="26"/>
  <c r="AE13" i="26" s="1"/>
  <c r="AD10" i="26"/>
  <c r="AE7" i="26" s="1"/>
  <c r="AD38" i="26"/>
  <c r="AE14" i="26" s="1"/>
  <c r="AD18" i="26"/>
  <c r="AE9" i="26" s="1"/>
  <c r="AD34" i="24"/>
  <c r="AE13" i="24" s="1"/>
  <c r="AD18" i="24"/>
  <c r="AE9" i="24" s="1"/>
  <c r="AD42" i="24"/>
  <c r="AE15" i="24" s="1"/>
  <c r="AD30" i="24"/>
  <c r="AE12" i="24" s="1"/>
  <c r="AD22" i="24"/>
  <c r="AE10" i="24" s="1"/>
  <c r="AD46" i="24"/>
  <c r="AE16" i="24" s="1"/>
  <c r="AD6" i="22"/>
  <c r="AE6" i="22" s="1"/>
  <c r="AD50" i="22"/>
  <c r="AE17" i="22" s="1"/>
  <c r="AD34" i="22"/>
  <c r="AE13" i="22" s="1"/>
  <c r="AD30" i="22"/>
  <c r="AE12" i="22" s="1"/>
  <c r="AD10" i="22"/>
  <c r="AE7" i="22" s="1"/>
  <c r="AD46" i="22"/>
  <c r="AE16" i="22" s="1"/>
  <c r="AD26" i="22"/>
  <c r="AE11" i="22" s="1"/>
  <c r="AD14" i="22"/>
  <c r="AE8" i="22" s="1"/>
  <c r="AD38" i="22"/>
  <c r="AE14" i="22" s="1"/>
  <c r="AD18" i="22"/>
  <c r="AE9" i="22" s="1"/>
  <c r="AD42" i="22"/>
  <c r="AE15" i="22" s="1"/>
  <c r="F11" i="29"/>
  <c r="AD38" i="24"/>
  <c r="AE14" i="24" s="1"/>
  <c r="AD54" i="28" l="1"/>
  <c r="AD54" i="22"/>
  <c r="AD54" i="26"/>
  <c r="AD54" i="24"/>
  <c r="AE27" i="18" l="1"/>
  <c r="AE22" i="18"/>
  <c r="AE18" i="18"/>
  <c r="AE29" i="18"/>
  <c r="AE25" i="18"/>
  <c r="AE28" i="18"/>
  <c r="AE20" i="18"/>
  <c r="AE26" i="18"/>
  <c r="AE21" i="18"/>
  <c r="AE23" i="18"/>
  <c r="AE19" i="18"/>
  <c r="AE24" i="18"/>
  <c r="F15" i="23" l="1"/>
  <c r="F20" i="23"/>
  <c r="F17" i="23"/>
  <c r="F12" i="23"/>
  <c r="F16" i="23"/>
  <c r="F14" i="23"/>
  <c r="F19" i="23"/>
  <c r="F13" i="23"/>
  <c r="F21" i="23"/>
  <c r="F18" i="23"/>
  <c r="F22" i="23"/>
  <c r="AB53" i="18"/>
  <c r="AB52" i="18"/>
  <c r="AB51" i="18"/>
  <c r="AB50" i="18"/>
  <c r="AB49" i="18"/>
  <c r="AB48" i="18"/>
  <c r="AB47" i="18"/>
  <c r="AB46" i="18"/>
  <c r="AB45" i="18"/>
  <c r="AB44" i="18"/>
  <c r="AB43" i="18"/>
  <c r="AB42" i="18"/>
  <c r="AB41" i="18"/>
  <c r="AB40" i="18"/>
  <c r="AB39" i="18"/>
  <c r="AB38" i="18"/>
  <c r="AB37" i="18"/>
  <c r="AB36" i="18"/>
  <c r="AB35" i="18"/>
  <c r="AB34" i="18"/>
  <c r="AB33" i="18"/>
  <c r="AB32" i="18"/>
  <c r="AB31" i="18"/>
  <c r="AB30" i="18"/>
  <c r="AB29" i="18"/>
  <c r="AB28" i="18"/>
  <c r="AB27" i="18"/>
  <c r="AB26" i="18"/>
  <c r="AB25" i="18"/>
  <c r="AB24" i="18"/>
  <c r="AB23" i="18"/>
  <c r="AB22" i="18"/>
  <c r="AB21" i="18"/>
  <c r="AB20" i="18"/>
  <c r="AB19" i="18"/>
  <c r="AB18" i="18"/>
  <c r="AB17" i="18"/>
  <c r="AB16" i="18"/>
  <c r="AB15" i="18"/>
  <c r="AB14" i="18"/>
  <c r="AB13" i="18"/>
  <c r="AB12" i="18"/>
  <c r="AB11" i="18"/>
  <c r="AB10" i="18"/>
  <c r="AB9" i="18"/>
  <c r="AB8" i="18"/>
  <c r="AB7" i="18"/>
  <c r="AB6" i="18"/>
  <c r="H22" i="23" l="1"/>
  <c r="I22" i="23" s="1"/>
  <c r="F11" i="23"/>
  <c r="AE43" i="18"/>
  <c r="AE51" i="18"/>
  <c r="AE45" i="18"/>
  <c r="AE49" i="18"/>
  <c r="AE39" i="18"/>
  <c r="AE53" i="18"/>
  <c r="AE31" i="18"/>
  <c r="AE41" i="18"/>
  <c r="AE47" i="18"/>
  <c r="AE50" i="18"/>
  <c r="AE52" i="18"/>
  <c r="AE40" i="18"/>
  <c r="AE42" i="18"/>
  <c r="AE44" i="18"/>
  <c r="AE46" i="18"/>
  <c r="AE48" i="18"/>
  <c r="AE33" i="18"/>
  <c r="AE35" i="18"/>
  <c r="AE37" i="18"/>
  <c r="AE30" i="18"/>
  <c r="AE32" i="18"/>
  <c r="AE34" i="18"/>
  <c r="AE36" i="18"/>
  <c r="AE38" i="18"/>
  <c r="AD38" i="18"/>
  <c r="AE14" i="18" s="1"/>
  <c r="AD34" i="18"/>
  <c r="AE13" i="18" s="1"/>
  <c r="AD6" i="18"/>
  <c r="AE6" i="18" s="1"/>
  <c r="AD30" i="18"/>
  <c r="AE12" i="18" s="1"/>
  <c r="AD14" i="18"/>
  <c r="AE8" i="18" s="1"/>
  <c r="AD22" i="18"/>
  <c r="AE10" i="18" s="1"/>
  <c r="AD46" i="18"/>
  <c r="AE16" i="18" s="1"/>
  <c r="AD10" i="18"/>
  <c r="AE7" i="18" s="1"/>
  <c r="AD18" i="18"/>
  <c r="AE9" i="18" s="1"/>
  <c r="AD26" i="18"/>
  <c r="AE11" i="18" s="1"/>
  <c r="AD42" i="18"/>
  <c r="AE15" i="18" s="1"/>
  <c r="AD50" i="18"/>
  <c r="AE17" i="18" s="1"/>
  <c r="F22" i="25" l="1"/>
  <c r="F16" i="25"/>
  <c r="F15" i="27"/>
  <c r="D22" i="21"/>
  <c r="F13" i="27"/>
  <c r="D20" i="21"/>
  <c r="F20" i="25"/>
  <c r="F21" i="25"/>
  <c r="F18" i="27"/>
  <c r="F21" i="27"/>
  <c r="F14" i="27"/>
  <c r="F19" i="27"/>
  <c r="D13" i="21"/>
  <c r="F12" i="27"/>
  <c r="F18" i="25"/>
  <c r="F12" i="25"/>
  <c r="F22" i="27"/>
  <c r="F14" i="25"/>
  <c r="F17" i="27"/>
  <c r="D16" i="21"/>
  <c r="D14" i="21"/>
  <c r="D12" i="21"/>
  <c r="F20" i="27"/>
  <c r="D21" i="21"/>
  <c r="D15" i="21"/>
  <c r="D17" i="21"/>
  <c r="D18" i="21"/>
  <c r="D19" i="21"/>
  <c r="F19" i="25"/>
  <c r="F17" i="25"/>
  <c r="F15" i="25"/>
  <c r="F16" i="27"/>
  <c r="F13" i="25"/>
  <c r="D11" i="21"/>
  <c r="AD54" i="18"/>
  <c r="H22" i="27" l="1"/>
  <c r="I22" i="27" s="1"/>
  <c r="F11" i="27"/>
  <c r="D23" i="27"/>
  <c r="I23" i="27" s="1"/>
  <c r="D23" i="23"/>
  <c r="I23" i="23" s="1"/>
  <c r="H22" i="25"/>
  <c r="I22" i="25" s="1"/>
  <c r="F11" i="25"/>
  <c r="D23" i="29"/>
  <c r="I23" i="29" s="1"/>
  <c r="D23" i="25"/>
  <c r="I23" i="25" s="1"/>
  <c r="D23" i="21"/>
  <c r="I23" i="21" s="1"/>
  <c r="F22" i="21"/>
  <c r="F16" i="21"/>
  <c r="F17" i="21"/>
  <c r="F13" i="21"/>
  <c r="F15" i="21"/>
  <c r="F19" i="21"/>
  <c r="F20" i="21"/>
  <c r="F12" i="21"/>
  <c r="F14" i="21"/>
  <c r="F18" i="21"/>
  <c r="F21" i="21"/>
  <c r="H22" i="21"/>
  <c r="I22" i="21" s="1"/>
  <c r="F11" i="21"/>
</calcChain>
</file>

<file path=xl/sharedStrings.xml><?xml version="1.0" encoding="utf-8"?>
<sst xmlns="http://schemas.openxmlformats.org/spreadsheetml/2006/main" count="420" uniqueCount="64">
  <si>
    <t>ANEXO 1 - CANTIDADES DE  ENERGÍA SOLICITADA EN kWh</t>
  </si>
  <si>
    <t>DIA</t>
  </si>
  <si>
    <t>Total</t>
  </si>
  <si>
    <t>No. DÍAS</t>
  </si>
  <si>
    <t>domingo</t>
  </si>
  <si>
    <t>Hábil</t>
  </si>
  <si>
    <t>Sábado</t>
  </si>
  <si>
    <t>Domingo</t>
  </si>
  <si>
    <t>Festivo</t>
  </si>
  <si>
    <t>NOMBRE DEL OFERENTE</t>
  </si>
  <si>
    <t xml:space="preserve"> PRECIOS Y CANTIDADES DE ENERGIA OFERTADA</t>
  </si>
  <si>
    <t>PRODUCTO  1</t>
  </si>
  <si>
    <t>AÑO</t>
  </si>
  <si>
    <t>MES</t>
  </si>
  <si>
    <t>E. Solicitada
[kWh]</t>
  </si>
  <si>
    <t>% E. Ofertado</t>
  </si>
  <si>
    <t>E. Ofertada
[kWh]</t>
  </si>
  <si>
    <t>$/kWh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</si>
  <si>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</si>
  <si>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</si>
  <si>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</si>
  <si>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</si>
  <si>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</si>
  <si>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</si>
  <si>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</si>
  <si>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</si>
  <si>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</si>
  <si>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</si>
  <si>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</si>
  <si>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</si>
  <si>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E. Solicitada = Energía solicitada por RUITOQUE para el producto.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</si>
  <si>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</si>
  <si>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</si>
  <si>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mes.</t>
  </si>
  <si>
    <t>PRODUCTO 1</t>
  </si>
  <si>
    <t>Total Producto 1</t>
  </si>
  <si>
    <t>ANEXO 2 - OFERTA PRODUCTO 1</t>
  </si>
  <si>
    <t>EN PESOS DE ENERO 2025</t>
  </si>
  <si>
    <t>PERIODO  01 DE ENERO DEL 2026 A DICIEMBRE 31 DE 2026</t>
  </si>
  <si>
    <t>PRODUCTO 2</t>
  </si>
  <si>
    <t>PERIODO  01 DE ENERO DEL 2027 A DICIEMBRE 31 DE 2027</t>
  </si>
  <si>
    <t>ANEXO 2 - OFERTA PRODUCTO 2</t>
  </si>
  <si>
    <t>PRODUCTO  2</t>
  </si>
  <si>
    <t>Total Producto 2</t>
  </si>
  <si>
    <t>PERIODO  01 DE ENERO DEL 2028 A DICIEMBRE 31 DE 2028</t>
  </si>
  <si>
    <t>ANEXO 2 - OFERTA PRODUCTO 3</t>
  </si>
  <si>
    <t>PRODUCTO  3</t>
  </si>
  <si>
    <t>Total Producto 3</t>
  </si>
  <si>
    <t>PRODUCTO 3</t>
  </si>
  <si>
    <t>ANEXO 2 - OFERTA PRODUCTO 4</t>
  </si>
  <si>
    <t>PRODUCTO  4</t>
  </si>
  <si>
    <t>Total Producto 4</t>
  </si>
  <si>
    <t>PRODUCTO 4</t>
  </si>
  <si>
    <t>PERIODO  01 DE ENERO DEL 2029 A DICIEMBRE 31 DE 2029</t>
  </si>
  <si>
    <t>PERIODO  01 DE ENERO DEL 2030 A DICIEMBRE 31 DE 2030</t>
  </si>
  <si>
    <t>PRODUCTO 5</t>
  </si>
  <si>
    <t>ANEXO 2 - OFERTA PRODUCTO 5</t>
  </si>
  <si>
    <t>PRODUCTO  5</t>
  </si>
  <si>
    <t>Total Producto 5</t>
  </si>
  <si>
    <t>PERIODO 2026</t>
  </si>
  <si>
    <t>PERIODO 2027</t>
  </si>
  <si>
    <t>PERIODO 2028</t>
  </si>
  <si>
    <t>PERIODO 2029</t>
  </si>
  <si>
    <t>PERIODO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</si>
</sst>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DIN-Regular"/>
      <family val="2"/>
    </font>
    <font>
      <b/>
      <sz val="10"/>
      <color theme="0"/>
      <name val="DIN-Regular"/>
    </font>
    <font>
      <sz val="10"/>
      <name val="DIN-Regular"/>
      <family val="2"/>
    </font>
    <font>
      <b/>
      <sz val="10"/>
      <color theme="1"/>
      <name val="DIN-Regula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1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5">
    <xf numFmtId="0" fontId="0" fillId="0" borderId="0" xfId="0"/>
    <xf numFmtId="17" fontId="5" fillId="0" borderId="1" xfId="0" applyNumberFormat="1" applyFont="1" applyBorder="1" applyAlignment="1">
      <alignment horizontal="center" vertical="center"/>
    </xf>
    <xf numFmtId="41" fontId="0" fillId="0" borderId="1" xfId="1" applyFont="1" applyBorder="1"/>
    <xf numFmtId="3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3" fontId="7" fillId="0" borderId="4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41" fontId="0" fillId="0" borderId="4" xfId="1" applyFont="1" applyBorder="1"/>
    <xf numFmtId="17" fontId="5" fillId="0" borderId="4" xfId="0" applyNumberFormat="1" applyFont="1" applyBorder="1" applyAlignment="1">
      <alignment horizontal="center" vertical="center"/>
    </xf>
    <xf numFmtId="17" fontId="5" fillId="0" borderId="11" xfId="0" applyNumberFormat="1" applyFont="1" applyBorder="1" applyAlignment="1">
      <alignment horizontal="center" vertical="center"/>
    </xf>
    <xf numFmtId="41" fontId="0" fillId="0" borderId="11" xfId="1" applyFont="1" applyBorder="1"/>
    <xf numFmtId="41" fontId="0" fillId="0" borderId="3" xfId="1" applyFont="1" applyBorder="1"/>
    <xf numFmtId="41" fontId="0" fillId="0" borderId="7" xfId="1" applyFont="1" applyBorder="1"/>
    <xf numFmtId="41" fontId="0" fillId="0" borderId="10" xfId="1" applyFont="1" applyBorder="1"/>
    <xf numFmtId="3" fontId="5" fillId="6" borderId="1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3" fontId="2" fillId="0" borderId="13" xfId="0" applyNumberFormat="1" applyFont="1" applyBorder="1"/>
    <xf numFmtId="0" fontId="0" fillId="8" borderId="0" xfId="0" applyFill="1"/>
    <xf numFmtId="0" fontId="12" fillId="0" borderId="24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4" fillId="0" borderId="32" xfId="1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41" fontId="14" fillId="0" borderId="35" xfId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1" fontId="14" fillId="0" borderId="37" xfId="1" applyFont="1" applyBorder="1" applyAlignment="1">
      <alignment horizontal="center" vertical="center"/>
    </xf>
    <xf numFmtId="41" fontId="2" fillId="0" borderId="28" xfId="1" applyFont="1" applyBorder="1"/>
    <xf numFmtId="4" fontId="4" fillId="2" borderId="14" xfId="0" applyNumberFormat="1" applyFont="1" applyFill="1" applyBorder="1" applyAlignment="1">
      <alignment horizontal="center" vertical="center"/>
    </xf>
    <xf numFmtId="4" fontId="5" fillId="2" borderId="15" xfId="0" applyNumberFormat="1" applyFont="1" applyFill="1" applyBorder="1" applyAlignment="1">
      <alignment horizontal="center" vertical="center"/>
    </xf>
    <xf numFmtId="3" fontId="5" fillId="3" borderId="15" xfId="0" applyNumberFormat="1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3" fontId="6" fillId="5" borderId="15" xfId="0" applyNumberFormat="1" applyFont="1" applyFill="1" applyBorder="1" applyAlignment="1">
      <alignment horizontal="center" vertical="center"/>
    </xf>
    <xf numFmtId="3" fontId="5" fillId="3" borderId="38" xfId="0" applyNumberFormat="1" applyFont="1" applyFill="1" applyBorder="1" applyAlignment="1">
      <alignment horizontal="center" vertical="center"/>
    </xf>
    <xf numFmtId="164" fontId="0" fillId="8" borderId="0" xfId="9" applyNumberFormat="1" applyFont="1" applyFill="1"/>
    <xf numFmtId="41" fontId="0" fillId="0" borderId="0" xfId="0" applyNumberFormat="1"/>
    <xf numFmtId="0" fontId="16" fillId="0" borderId="0" xfId="0" applyFont="1"/>
    <xf numFmtId="3" fontId="16" fillId="0" borderId="0" xfId="0" applyNumberFormat="1" applyFont="1"/>
    <xf numFmtId="17" fontId="4" fillId="0" borderId="2" xfId="0" applyNumberFormat="1" applyFont="1" applyBorder="1" applyAlignment="1">
      <alignment horizontal="center" vertical="center" wrapText="1"/>
    </xf>
    <xf numFmtId="17" fontId="4" fillId="0" borderId="6" xfId="0" applyNumberFormat="1" applyFont="1" applyBorder="1" applyAlignment="1">
      <alignment horizontal="center" vertical="center" wrapText="1"/>
    </xf>
    <xf numFmtId="17" fontId="4" fillId="0" borderId="9" xfId="0" applyNumberFormat="1" applyFont="1" applyBorder="1" applyAlignment="1">
      <alignment horizontal="center" vertical="center" wrapText="1"/>
    </xf>
    <xf numFmtId="3" fontId="5" fillId="7" borderId="5" xfId="0" applyNumberFormat="1" applyFont="1" applyFill="1" applyBorder="1" applyAlignment="1">
      <alignment horizontal="center" vertical="center"/>
    </xf>
    <xf numFmtId="3" fontId="5" fillId="7" borderId="8" xfId="0" applyNumberFormat="1" applyFont="1" applyFill="1" applyBorder="1" applyAlignment="1">
      <alignment horizontal="center" vertical="center"/>
    </xf>
    <xf numFmtId="3" fontId="5" fillId="7" borderId="1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7" fontId="12" fillId="0" borderId="21" xfId="0" applyNumberFormat="1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12" fillId="9" borderId="20" xfId="0" applyFont="1" applyFill="1" applyBorder="1" applyAlignment="1">
      <alignment horizontal="center"/>
    </xf>
    <xf numFmtId="0" fontId="12" fillId="8" borderId="19" xfId="0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2" fillId="8" borderId="22" xfId="0" applyFont="1" applyFill="1" applyBorder="1" applyAlignment="1">
      <alignment horizontal="center"/>
    </xf>
    <xf numFmtId="0" fontId="12" fillId="8" borderId="23" xfId="0" applyFont="1" applyFill="1" applyBorder="1" applyAlignment="1">
      <alignment horizontal="center"/>
    </xf>
    <xf numFmtId="0" fontId="13" fillId="11" borderId="24" xfId="0" applyFont="1" applyFill="1" applyBorder="1" applyAlignment="1">
      <alignment horizontal="center" vertical="center"/>
    </xf>
    <xf numFmtId="0" fontId="13" fillId="11" borderId="25" xfId="0" applyFont="1" applyFill="1" applyBorder="1" applyAlignment="1">
      <alignment horizontal="center" vertical="center"/>
    </xf>
    <xf numFmtId="0" fontId="13" fillId="11" borderId="26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9" fontId="15" fillId="10" borderId="33" xfId="8" applyFont="1" applyFill="1" applyBorder="1" applyAlignment="1">
      <alignment horizontal="center" vertical="center"/>
    </xf>
    <xf numFmtId="9" fontId="15" fillId="10" borderId="28" xfId="8" applyFont="1" applyFill="1" applyBorder="1" applyAlignment="1">
      <alignment horizontal="center" vertical="center"/>
    </xf>
    <xf numFmtId="164" fontId="16" fillId="0" borderId="0" xfId="9" applyNumberFormat="1" applyFont="1"/>
    <xf numFmtId="0" fontId="16" fillId="8" borderId="0" xfId="0" applyFont="1" applyFill="1"/>
    <xf numFmtId="164" fontId="16" fillId="8" borderId="0" xfId="9" applyNumberFormat="1" applyFont="1" applyFill="1"/>
    <xf numFmtId="164" fontId="17" fillId="8" borderId="0" xfId="9" applyNumberFormat="1" applyFont="1" applyFill="1"/>
    <xf numFmtId="3" fontId="17" fillId="0" borderId="0" xfId="0" applyNumberFormat="1" applyFont="1"/>
    <xf numFmtId="0" fontId="17" fillId="0" borderId="0" xfId="0" applyFont="1"/>
  </cellXfs>
  <cellStyles count="11">
    <cellStyle name="Millares" xfId="9" builtinId="3"/>
    <cellStyle name="Millares [0]" xfId="1" builtinId="6"/>
    <cellStyle name="Millares [0] 2" xfId="2" xr:uid="{93D7F860-1C75-4263-816A-682942E58CDA}"/>
    <cellStyle name="Millares [0] 7" xfId="6" xr:uid="{BE9FF9FF-1DFD-4DF0-A618-BAF44101473C}"/>
    <cellStyle name="Millares 2" xfId="4" xr:uid="{35D2CDD0-437D-4DCC-A7AB-A40A1DEC75AF}"/>
    <cellStyle name="Moneda 2" xfId="10" xr:uid="{2AA553C9-4FC6-45EB-AA21-F42F23335B5E}"/>
    <cellStyle name="Normal" xfId="0" builtinId="0"/>
    <cellStyle name="Normal 2" xfId="3" xr:uid="{A42F6DA4-C1E6-4FB1-818D-8A2216579E1C}"/>
    <cellStyle name="Normal 2 2" xfId="7" xr:uid="{3AD0BB55-2400-427C-878A-EDFD953A55F8}"/>
    <cellStyle name="Normal 8" xfId="5" xr:uid="{A206338F-67B4-40FF-B862-7F1FD294666E}"/>
    <cellStyle name="Porcentaje" xfId="8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64557</xdr:rowOff>
    </xdr:to>
    <xdr:pic>
      <xdr:nvPicPr>
        <xdr:cNvPr id="4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B8CCD243-25BF-BAFF-19FC-9E9D975E84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28947" cy="61700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64557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290849D1-36BB-49AD-A2DE-43B587CA9B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32122" cy="62335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64557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537F5286-A6D9-4601-8164-B49627E5EA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32122" cy="62335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64557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860AC759-2D96-48B7-B5D6-0C5A83BA82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23655" cy="62194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64557</xdr:rowOff>
    </xdr:to>
    <xdr:pic>
      <xdr:nvPicPr>
        <xdr:cNvPr id="2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C24155C3-E13E-4BA6-97C5-327337DFCD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32122" cy="62335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2768-C87A-4B8F-8A46-5C28EF066F4A}">
  <dimension ref="B2:BH54"/>
  <sheetViews>
    <sheetView showGridLines="0" zoomScale="40" zoomScaleNormal="40" workbookViewId="0">
      <pane ySplit="5" topLeftCell="A8" activePane="bottomLeft" state="frozen"/>
      <selection activeCell="M103" sqref="M103"/>
      <selection pane="bottomLeft" activeCell="B2" sqref="B2:AD54"/>
    </sheetView>
  </sheetViews>
  <sheetFormatPr baseColWidth="10" defaultRowHeight="14.5"/>
  <cols>
    <col min="1" max="1" width="1.81640625" customWidth="1"/>
    <col min="2" max="2" width="10" style="4" customWidth="1"/>
    <col min="3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style="45" customWidth="1"/>
    <col min="32" max="32" width="17.453125" bestFit="1" customWidth="1"/>
    <col min="250" max="250" width="1.81640625" customWidth="1"/>
    <col min="251" max="251" width="8" customWidth="1"/>
    <col min="252" max="252" width="8" bestFit="1" customWidth="1"/>
    <col min="253" max="253" width="9" bestFit="1" customWidth="1"/>
    <col min="254" max="254" width="12" bestFit="1" customWidth="1"/>
    <col min="255" max="276" width="9" bestFit="1" customWidth="1"/>
    <col min="277" max="277" width="7.81640625" bestFit="1" customWidth="1"/>
    <col min="278" max="278" width="4.54296875" bestFit="1" customWidth="1"/>
    <col min="279" max="279" width="14.1796875" bestFit="1" customWidth="1"/>
    <col min="506" max="506" width="1.81640625" customWidth="1"/>
    <col min="507" max="507" width="8" customWidth="1"/>
    <col min="508" max="508" width="8" bestFit="1" customWidth="1"/>
    <col min="509" max="509" width="9" bestFit="1" customWidth="1"/>
    <col min="510" max="510" width="12" bestFit="1" customWidth="1"/>
    <col min="511" max="532" width="9" bestFit="1" customWidth="1"/>
    <col min="533" max="533" width="7.81640625" bestFit="1" customWidth="1"/>
    <col min="534" max="534" width="4.54296875" bestFit="1" customWidth="1"/>
    <col min="535" max="535" width="14.1796875" bestFit="1" customWidth="1"/>
    <col min="762" max="762" width="1.81640625" customWidth="1"/>
    <col min="763" max="763" width="8" customWidth="1"/>
    <col min="764" max="764" width="8" bestFit="1" customWidth="1"/>
    <col min="765" max="765" width="9" bestFit="1" customWidth="1"/>
    <col min="766" max="766" width="12" bestFit="1" customWidth="1"/>
    <col min="767" max="788" width="9" bestFit="1" customWidth="1"/>
    <col min="789" max="789" width="7.81640625" bestFit="1" customWidth="1"/>
    <col min="790" max="790" width="4.54296875" bestFit="1" customWidth="1"/>
    <col min="791" max="791" width="14.1796875" bestFit="1" customWidth="1"/>
    <col min="1018" max="1018" width="1.81640625" customWidth="1"/>
    <col min="1019" max="1019" width="8" customWidth="1"/>
    <col min="1020" max="1020" width="8" bestFit="1" customWidth="1"/>
    <col min="1021" max="1021" width="9" bestFit="1" customWidth="1"/>
    <col min="1022" max="1022" width="12" bestFit="1" customWidth="1"/>
    <col min="1023" max="1044" width="9" bestFit="1" customWidth="1"/>
    <col min="1045" max="1045" width="7.81640625" bestFit="1" customWidth="1"/>
    <col min="1046" max="1046" width="4.54296875" bestFit="1" customWidth="1"/>
    <col min="1047" max="1047" width="14.1796875" bestFit="1" customWidth="1"/>
    <col min="1274" max="1274" width="1.81640625" customWidth="1"/>
    <col min="1275" max="1275" width="8" customWidth="1"/>
    <col min="1276" max="1276" width="8" bestFit="1" customWidth="1"/>
    <col min="1277" max="1277" width="9" bestFit="1" customWidth="1"/>
    <col min="1278" max="1278" width="12" bestFit="1" customWidth="1"/>
    <col min="1279" max="1300" width="9" bestFit="1" customWidth="1"/>
    <col min="1301" max="1301" width="7.81640625" bestFit="1" customWidth="1"/>
    <col min="1302" max="1302" width="4.54296875" bestFit="1" customWidth="1"/>
    <col min="1303" max="1303" width="14.1796875" bestFit="1" customWidth="1"/>
    <col min="1530" max="1530" width="1.81640625" customWidth="1"/>
    <col min="1531" max="1531" width="8" customWidth="1"/>
    <col min="1532" max="1532" width="8" bestFit="1" customWidth="1"/>
    <col min="1533" max="1533" width="9" bestFit="1" customWidth="1"/>
    <col min="1534" max="1534" width="12" bestFit="1" customWidth="1"/>
    <col min="1535" max="1556" width="9" bestFit="1" customWidth="1"/>
    <col min="1557" max="1557" width="7.81640625" bestFit="1" customWidth="1"/>
    <col min="1558" max="1558" width="4.54296875" bestFit="1" customWidth="1"/>
    <col min="1559" max="1559" width="14.1796875" bestFit="1" customWidth="1"/>
    <col min="1786" max="1786" width="1.81640625" customWidth="1"/>
    <col min="1787" max="1787" width="8" customWidth="1"/>
    <col min="1788" max="1788" width="8" bestFit="1" customWidth="1"/>
    <col min="1789" max="1789" width="9" bestFit="1" customWidth="1"/>
    <col min="1790" max="1790" width="12" bestFit="1" customWidth="1"/>
    <col min="1791" max="1812" width="9" bestFit="1" customWidth="1"/>
    <col min="1813" max="1813" width="7.81640625" bestFit="1" customWidth="1"/>
    <col min="1814" max="1814" width="4.54296875" bestFit="1" customWidth="1"/>
    <col min="1815" max="1815" width="14.1796875" bestFit="1" customWidth="1"/>
    <col min="2042" max="2042" width="1.81640625" customWidth="1"/>
    <col min="2043" max="2043" width="8" customWidth="1"/>
    <col min="2044" max="2044" width="8" bestFit="1" customWidth="1"/>
    <col min="2045" max="2045" width="9" bestFit="1" customWidth="1"/>
    <col min="2046" max="2046" width="12" bestFit="1" customWidth="1"/>
    <col min="2047" max="2068" width="9" bestFit="1" customWidth="1"/>
    <col min="2069" max="2069" width="7.81640625" bestFit="1" customWidth="1"/>
    <col min="2070" max="2070" width="4.54296875" bestFit="1" customWidth="1"/>
    <col min="2071" max="2071" width="14.1796875" bestFit="1" customWidth="1"/>
    <col min="2298" max="2298" width="1.81640625" customWidth="1"/>
    <col min="2299" max="2299" width="8" customWidth="1"/>
    <col min="2300" max="2300" width="8" bestFit="1" customWidth="1"/>
    <col min="2301" max="2301" width="9" bestFit="1" customWidth="1"/>
    <col min="2302" max="2302" width="12" bestFit="1" customWidth="1"/>
    <col min="2303" max="2324" width="9" bestFit="1" customWidth="1"/>
    <col min="2325" max="2325" width="7.81640625" bestFit="1" customWidth="1"/>
    <col min="2326" max="2326" width="4.54296875" bestFit="1" customWidth="1"/>
    <col min="2327" max="2327" width="14.1796875" bestFit="1" customWidth="1"/>
    <col min="2554" max="2554" width="1.81640625" customWidth="1"/>
    <col min="2555" max="2555" width="8" customWidth="1"/>
    <col min="2556" max="2556" width="8" bestFit="1" customWidth="1"/>
    <col min="2557" max="2557" width="9" bestFit="1" customWidth="1"/>
    <col min="2558" max="2558" width="12" bestFit="1" customWidth="1"/>
    <col min="2559" max="2580" width="9" bestFit="1" customWidth="1"/>
    <col min="2581" max="2581" width="7.81640625" bestFit="1" customWidth="1"/>
    <col min="2582" max="2582" width="4.54296875" bestFit="1" customWidth="1"/>
    <col min="2583" max="2583" width="14.1796875" bestFit="1" customWidth="1"/>
    <col min="2810" max="2810" width="1.81640625" customWidth="1"/>
    <col min="2811" max="2811" width="8" customWidth="1"/>
    <col min="2812" max="2812" width="8" bestFit="1" customWidth="1"/>
    <col min="2813" max="2813" width="9" bestFit="1" customWidth="1"/>
    <col min="2814" max="2814" width="12" bestFit="1" customWidth="1"/>
    <col min="2815" max="2836" width="9" bestFit="1" customWidth="1"/>
    <col min="2837" max="2837" width="7.81640625" bestFit="1" customWidth="1"/>
    <col min="2838" max="2838" width="4.54296875" bestFit="1" customWidth="1"/>
    <col min="2839" max="2839" width="14.1796875" bestFit="1" customWidth="1"/>
    <col min="3066" max="3066" width="1.81640625" customWidth="1"/>
    <col min="3067" max="3067" width="8" customWidth="1"/>
    <col min="3068" max="3068" width="8" bestFit="1" customWidth="1"/>
    <col min="3069" max="3069" width="9" bestFit="1" customWidth="1"/>
    <col min="3070" max="3070" width="12" bestFit="1" customWidth="1"/>
    <col min="3071" max="3092" width="9" bestFit="1" customWidth="1"/>
    <col min="3093" max="3093" width="7.81640625" bestFit="1" customWidth="1"/>
    <col min="3094" max="3094" width="4.54296875" bestFit="1" customWidth="1"/>
    <col min="3095" max="3095" width="14.1796875" bestFit="1" customWidth="1"/>
    <col min="3322" max="3322" width="1.81640625" customWidth="1"/>
    <col min="3323" max="3323" width="8" customWidth="1"/>
    <col min="3324" max="3324" width="8" bestFit="1" customWidth="1"/>
    <col min="3325" max="3325" width="9" bestFit="1" customWidth="1"/>
    <col min="3326" max="3326" width="12" bestFit="1" customWidth="1"/>
    <col min="3327" max="3348" width="9" bestFit="1" customWidth="1"/>
    <col min="3349" max="3349" width="7.81640625" bestFit="1" customWidth="1"/>
    <col min="3350" max="3350" width="4.54296875" bestFit="1" customWidth="1"/>
    <col min="3351" max="3351" width="14.1796875" bestFit="1" customWidth="1"/>
    <col min="3578" max="3578" width="1.81640625" customWidth="1"/>
    <col min="3579" max="3579" width="8" customWidth="1"/>
    <col min="3580" max="3580" width="8" bestFit="1" customWidth="1"/>
    <col min="3581" max="3581" width="9" bestFit="1" customWidth="1"/>
    <col min="3582" max="3582" width="12" bestFit="1" customWidth="1"/>
    <col min="3583" max="3604" width="9" bestFit="1" customWidth="1"/>
    <col min="3605" max="3605" width="7.81640625" bestFit="1" customWidth="1"/>
    <col min="3606" max="3606" width="4.54296875" bestFit="1" customWidth="1"/>
    <col min="3607" max="3607" width="14.1796875" bestFit="1" customWidth="1"/>
    <col min="3834" max="3834" width="1.81640625" customWidth="1"/>
    <col min="3835" max="3835" width="8" customWidth="1"/>
    <col min="3836" max="3836" width="8" bestFit="1" customWidth="1"/>
    <col min="3837" max="3837" width="9" bestFit="1" customWidth="1"/>
    <col min="3838" max="3838" width="12" bestFit="1" customWidth="1"/>
    <col min="3839" max="3860" width="9" bestFit="1" customWidth="1"/>
    <col min="3861" max="3861" width="7.81640625" bestFit="1" customWidth="1"/>
    <col min="3862" max="3862" width="4.54296875" bestFit="1" customWidth="1"/>
    <col min="3863" max="3863" width="14.1796875" bestFit="1" customWidth="1"/>
    <col min="4090" max="4090" width="1.81640625" customWidth="1"/>
    <col min="4091" max="4091" width="8" customWidth="1"/>
    <col min="4092" max="4092" width="8" bestFit="1" customWidth="1"/>
    <col min="4093" max="4093" width="9" bestFit="1" customWidth="1"/>
    <col min="4094" max="4094" width="12" bestFit="1" customWidth="1"/>
    <col min="4095" max="4116" width="9" bestFit="1" customWidth="1"/>
    <col min="4117" max="4117" width="7.81640625" bestFit="1" customWidth="1"/>
    <col min="4118" max="4118" width="4.54296875" bestFit="1" customWidth="1"/>
    <col min="4119" max="4119" width="14.1796875" bestFit="1" customWidth="1"/>
    <col min="4346" max="4346" width="1.81640625" customWidth="1"/>
    <col min="4347" max="4347" width="8" customWidth="1"/>
    <col min="4348" max="4348" width="8" bestFit="1" customWidth="1"/>
    <col min="4349" max="4349" width="9" bestFit="1" customWidth="1"/>
    <col min="4350" max="4350" width="12" bestFit="1" customWidth="1"/>
    <col min="4351" max="4372" width="9" bestFit="1" customWidth="1"/>
    <col min="4373" max="4373" width="7.81640625" bestFit="1" customWidth="1"/>
    <col min="4374" max="4374" width="4.54296875" bestFit="1" customWidth="1"/>
    <col min="4375" max="4375" width="14.1796875" bestFit="1" customWidth="1"/>
    <col min="4602" max="4602" width="1.81640625" customWidth="1"/>
    <col min="4603" max="4603" width="8" customWidth="1"/>
    <col min="4604" max="4604" width="8" bestFit="1" customWidth="1"/>
    <col min="4605" max="4605" width="9" bestFit="1" customWidth="1"/>
    <col min="4606" max="4606" width="12" bestFit="1" customWidth="1"/>
    <col min="4607" max="4628" width="9" bestFit="1" customWidth="1"/>
    <col min="4629" max="4629" width="7.81640625" bestFit="1" customWidth="1"/>
    <col min="4630" max="4630" width="4.54296875" bestFit="1" customWidth="1"/>
    <col min="4631" max="4631" width="14.1796875" bestFit="1" customWidth="1"/>
    <col min="4858" max="4858" width="1.81640625" customWidth="1"/>
    <col min="4859" max="4859" width="8" customWidth="1"/>
    <col min="4860" max="4860" width="8" bestFit="1" customWidth="1"/>
    <col min="4861" max="4861" width="9" bestFit="1" customWidth="1"/>
    <col min="4862" max="4862" width="12" bestFit="1" customWidth="1"/>
    <col min="4863" max="4884" width="9" bestFit="1" customWidth="1"/>
    <col min="4885" max="4885" width="7.81640625" bestFit="1" customWidth="1"/>
    <col min="4886" max="4886" width="4.54296875" bestFit="1" customWidth="1"/>
    <col min="4887" max="4887" width="14.1796875" bestFit="1" customWidth="1"/>
    <col min="5114" max="5114" width="1.81640625" customWidth="1"/>
    <col min="5115" max="5115" width="8" customWidth="1"/>
    <col min="5116" max="5116" width="8" bestFit="1" customWidth="1"/>
    <col min="5117" max="5117" width="9" bestFit="1" customWidth="1"/>
    <col min="5118" max="5118" width="12" bestFit="1" customWidth="1"/>
    <col min="5119" max="5140" width="9" bestFit="1" customWidth="1"/>
    <col min="5141" max="5141" width="7.81640625" bestFit="1" customWidth="1"/>
    <col min="5142" max="5142" width="4.54296875" bestFit="1" customWidth="1"/>
    <col min="5143" max="5143" width="14.1796875" bestFit="1" customWidth="1"/>
    <col min="5370" max="5370" width="1.81640625" customWidth="1"/>
    <col min="5371" max="5371" width="8" customWidth="1"/>
    <col min="5372" max="5372" width="8" bestFit="1" customWidth="1"/>
    <col min="5373" max="5373" width="9" bestFit="1" customWidth="1"/>
    <col min="5374" max="5374" width="12" bestFit="1" customWidth="1"/>
    <col min="5375" max="5396" width="9" bestFit="1" customWidth="1"/>
    <col min="5397" max="5397" width="7.81640625" bestFit="1" customWidth="1"/>
    <col min="5398" max="5398" width="4.54296875" bestFit="1" customWidth="1"/>
    <col min="5399" max="5399" width="14.1796875" bestFit="1" customWidth="1"/>
    <col min="5626" max="5626" width="1.81640625" customWidth="1"/>
    <col min="5627" max="5627" width="8" customWidth="1"/>
    <col min="5628" max="5628" width="8" bestFit="1" customWidth="1"/>
    <col min="5629" max="5629" width="9" bestFit="1" customWidth="1"/>
    <col min="5630" max="5630" width="12" bestFit="1" customWidth="1"/>
    <col min="5631" max="5652" width="9" bestFit="1" customWidth="1"/>
    <col min="5653" max="5653" width="7.81640625" bestFit="1" customWidth="1"/>
    <col min="5654" max="5654" width="4.54296875" bestFit="1" customWidth="1"/>
    <col min="5655" max="5655" width="14.1796875" bestFit="1" customWidth="1"/>
    <col min="5882" max="5882" width="1.81640625" customWidth="1"/>
    <col min="5883" max="5883" width="8" customWidth="1"/>
    <col min="5884" max="5884" width="8" bestFit="1" customWidth="1"/>
    <col min="5885" max="5885" width="9" bestFit="1" customWidth="1"/>
    <col min="5886" max="5886" width="12" bestFit="1" customWidth="1"/>
    <col min="5887" max="5908" width="9" bestFit="1" customWidth="1"/>
    <col min="5909" max="5909" width="7.81640625" bestFit="1" customWidth="1"/>
    <col min="5910" max="5910" width="4.54296875" bestFit="1" customWidth="1"/>
    <col min="5911" max="5911" width="14.1796875" bestFit="1" customWidth="1"/>
    <col min="6138" max="6138" width="1.81640625" customWidth="1"/>
    <col min="6139" max="6139" width="8" customWidth="1"/>
    <col min="6140" max="6140" width="8" bestFit="1" customWidth="1"/>
    <col min="6141" max="6141" width="9" bestFit="1" customWidth="1"/>
    <col min="6142" max="6142" width="12" bestFit="1" customWidth="1"/>
    <col min="6143" max="6164" width="9" bestFit="1" customWidth="1"/>
    <col min="6165" max="6165" width="7.81640625" bestFit="1" customWidth="1"/>
    <col min="6166" max="6166" width="4.54296875" bestFit="1" customWidth="1"/>
    <col min="6167" max="6167" width="14.1796875" bestFit="1" customWidth="1"/>
    <col min="6394" max="6394" width="1.81640625" customWidth="1"/>
    <col min="6395" max="6395" width="8" customWidth="1"/>
    <col min="6396" max="6396" width="8" bestFit="1" customWidth="1"/>
    <col min="6397" max="6397" width="9" bestFit="1" customWidth="1"/>
    <col min="6398" max="6398" width="12" bestFit="1" customWidth="1"/>
    <col min="6399" max="6420" width="9" bestFit="1" customWidth="1"/>
    <col min="6421" max="6421" width="7.81640625" bestFit="1" customWidth="1"/>
    <col min="6422" max="6422" width="4.54296875" bestFit="1" customWidth="1"/>
    <col min="6423" max="6423" width="14.1796875" bestFit="1" customWidth="1"/>
    <col min="6650" max="6650" width="1.81640625" customWidth="1"/>
    <col min="6651" max="6651" width="8" customWidth="1"/>
    <col min="6652" max="6652" width="8" bestFit="1" customWidth="1"/>
    <col min="6653" max="6653" width="9" bestFit="1" customWidth="1"/>
    <col min="6654" max="6654" width="12" bestFit="1" customWidth="1"/>
    <col min="6655" max="6676" width="9" bestFit="1" customWidth="1"/>
    <col min="6677" max="6677" width="7.81640625" bestFit="1" customWidth="1"/>
    <col min="6678" max="6678" width="4.54296875" bestFit="1" customWidth="1"/>
    <col min="6679" max="6679" width="14.1796875" bestFit="1" customWidth="1"/>
    <col min="6906" max="6906" width="1.81640625" customWidth="1"/>
    <col min="6907" max="6907" width="8" customWidth="1"/>
    <col min="6908" max="6908" width="8" bestFit="1" customWidth="1"/>
    <col min="6909" max="6909" width="9" bestFit="1" customWidth="1"/>
    <col min="6910" max="6910" width="12" bestFit="1" customWidth="1"/>
    <col min="6911" max="6932" width="9" bestFit="1" customWidth="1"/>
    <col min="6933" max="6933" width="7.81640625" bestFit="1" customWidth="1"/>
    <col min="6934" max="6934" width="4.54296875" bestFit="1" customWidth="1"/>
    <col min="6935" max="6935" width="14.1796875" bestFit="1" customWidth="1"/>
    <col min="7162" max="7162" width="1.81640625" customWidth="1"/>
    <col min="7163" max="7163" width="8" customWidth="1"/>
    <col min="7164" max="7164" width="8" bestFit="1" customWidth="1"/>
    <col min="7165" max="7165" width="9" bestFit="1" customWidth="1"/>
    <col min="7166" max="7166" width="12" bestFit="1" customWidth="1"/>
    <col min="7167" max="7188" width="9" bestFit="1" customWidth="1"/>
    <col min="7189" max="7189" width="7.81640625" bestFit="1" customWidth="1"/>
    <col min="7190" max="7190" width="4.54296875" bestFit="1" customWidth="1"/>
    <col min="7191" max="7191" width="14.1796875" bestFit="1" customWidth="1"/>
    <col min="7418" max="7418" width="1.81640625" customWidth="1"/>
    <col min="7419" max="7419" width="8" customWidth="1"/>
    <col min="7420" max="7420" width="8" bestFit="1" customWidth="1"/>
    <col min="7421" max="7421" width="9" bestFit="1" customWidth="1"/>
    <col min="7422" max="7422" width="12" bestFit="1" customWidth="1"/>
    <col min="7423" max="7444" width="9" bestFit="1" customWidth="1"/>
    <col min="7445" max="7445" width="7.81640625" bestFit="1" customWidth="1"/>
    <col min="7446" max="7446" width="4.54296875" bestFit="1" customWidth="1"/>
    <col min="7447" max="7447" width="14.1796875" bestFit="1" customWidth="1"/>
    <col min="7674" max="7674" width="1.81640625" customWidth="1"/>
    <col min="7675" max="7675" width="8" customWidth="1"/>
    <col min="7676" max="7676" width="8" bestFit="1" customWidth="1"/>
    <col min="7677" max="7677" width="9" bestFit="1" customWidth="1"/>
    <col min="7678" max="7678" width="12" bestFit="1" customWidth="1"/>
    <col min="7679" max="7700" width="9" bestFit="1" customWidth="1"/>
    <col min="7701" max="7701" width="7.81640625" bestFit="1" customWidth="1"/>
    <col min="7702" max="7702" width="4.54296875" bestFit="1" customWidth="1"/>
    <col min="7703" max="7703" width="14.1796875" bestFit="1" customWidth="1"/>
    <col min="7930" max="7930" width="1.81640625" customWidth="1"/>
    <col min="7931" max="7931" width="8" customWidth="1"/>
    <col min="7932" max="7932" width="8" bestFit="1" customWidth="1"/>
    <col min="7933" max="7933" width="9" bestFit="1" customWidth="1"/>
    <col min="7934" max="7934" width="12" bestFit="1" customWidth="1"/>
    <col min="7935" max="7956" width="9" bestFit="1" customWidth="1"/>
    <col min="7957" max="7957" width="7.81640625" bestFit="1" customWidth="1"/>
    <col min="7958" max="7958" width="4.54296875" bestFit="1" customWidth="1"/>
    <col min="7959" max="7959" width="14.1796875" bestFit="1" customWidth="1"/>
    <col min="8186" max="8186" width="1.81640625" customWidth="1"/>
    <col min="8187" max="8187" width="8" customWidth="1"/>
    <col min="8188" max="8188" width="8" bestFit="1" customWidth="1"/>
    <col min="8189" max="8189" width="9" bestFit="1" customWidth="1"/>
    <col min="8190" max="8190" width="12" bestFit="1" customWidth="1"/>
    <col min="8191" max="8212" width="9" bestFit="1" customWidth="1"/>
    <col min="8213" max="8213" width="7.81640625" bestFit="1" customWidth="1"/>
    <col min="8214" max="8214" width="4.54296875" bestFit="1" customWidth="1"/>
    <col min="8215" max="8215" width="14.1796875" bestFit="1" customWidth="1"/>
    <col min="8442" max="8442" width="1.81640625" customWidth="1"/>
    <col min="8443" max="8443" width="8" customWidth="1"/>
    <col min="8444" max="8444" width="8" bestFit="1" customWidth="1"/>
    <col min="8445" max="8445" width="9" bestFit="1" customWidth="1"/>
    <col min="8446" max="8446" width="12" bestFit="1" customWidth="1"/>
    <col min="8447" max="8468" width="9" bestFit="1" customWidth="1"/>
    <col min="8469" max="8469" width="7.81640625" bestFit="1" customWidth="1"/>
    <col min="8470" max="8470" width="4.54296875" bestFit="1" customWidth="1"/>
    <col min="8471" max="8471" width="14.1796875" bestFit="1" customWidth="1"/>
    <col min="8698" max="8698" width="1.81640625" customWidth="1"/>
    <col min="8699" max="8699" width="8" customWidth="1"/>
    <col min="8700" max="8700" width="8" bestFit="1" customWidth="1"/>
    <col min="8701" max="8701" width="9" bestFit="1" customWidth="1"/>
    <col min="8702" max="8702" width="12" bestFit="1" customWidth="1"/>
    <col min="8703" max="8724" width="9" bestFit="1" customWidth="1"/>
    <col min="8725" max="8725" width="7.81640625" bestFit="1" customWidth="1"/>
    <col min="8726" max="8726" width="4.54296875" bestFit="1" customWidth="1"/>
    <col min="8727" max="8727" width="14.1796875" bestFit="1" customWidth="1"/>
    <col min="8954" max="8954" width="1.81640625" customWidth="1"/>
    <col min="8955" max="8955" width="8" customWidth="1"/>
    <col min="8956" max="8956" width="8" bestFit="1" customWidth="1"/>
    <col min="8957" max="8957" width="9" bestFit="1" customWidth="1"/>
    <col min="8958" max="8958" width="12" bestFit="1" customWidth="1"/>
    <col min="8959" max="8980" width="9" bestFit="1" customWidth="1"/>
    <col min="8981" max="8981" width="7.81640625" bestFit="1" customWidth="1"/>
    <col min="8982" max="8982" width="4.54296875" bestFit="1" customWidth="1"/>
    <col min="8983" max="8983" width="14.1796875" bestFit="1" customWidth="1"/>
    <col min="9210" max="9210" width="1.81640625" customWidth="1"/>
    <col min="9211" max="9211" width="8" customWidth="1"/>
    <col min="9212" max="9212" width="8" bestFit="1" customWidth="1"/>
    <col min="9213" max="9213" width="9" bestFit="1" customWidth="1"/>
    <col min="9214" max="9214" width="12" bestFit="1" customWidth="1"/>
    <col min="9215" max="9236" width="9" bestFit="1" customWidth="1"/>
    <col min="9237" max="9237" width="7.81640625" bestFit="1" customWidth="1"/>
    <col min="9238" max="9238" width="4.54296875" bestFit="1" customWidth="1"/>
    <col min="9239" max="9239" width="14.1796875" bestFit="1" customWidth="1"/>
    <col min="9466" max="9466" width="1.81640625" customWidth="1"/>
    <col min="9467" max="9467" width="8" customWidth="1"/>
    <col min="9468" max="9468" width="8" bestFit="1" customWidth="1"/>
    <col min="9469" max="9469" width="9" bestFit="1" customWidth="1"/>
    <col min="9470" max="9470" width="12" bestFit="1" customWidth="1"/>
    <col min="9471" max="9492" width="9" bestFit="1" customWidth="1"/>
    <col min="9493" max="9493" width="7.81640625" bestFit="1" customWidth="1"/>
    <col min="9494" max="9494" width="4.54296875" bestFit="1" customWidth="1"/>
    <col min="9495" max="9495" width="14.1796875" bestFit="1" customWidth="1"/>
    <col min="9722" max="9722" width="1.81640625" customWidth="1"/>
    <col min="9723" max="9723" width="8" customWidth="1"/>
    <col min="9724" max="9724" width="8" bestFit="1" customWidth="1"/>
    <col min="9725" max="9725" width="9" bestFit="1" customWidth="1"/>
    <col min="9726" max="9726" width="12" bestFit="1" customWidth="1"/>
    <col min="9727" max="9748" width="9" bestFit="1" customWidth="1"/>
    <col min="9749" max="9749" width="7.81640625" bestFit="1" customWidth="1"/>
    <col min="9750" max="9750" width="4.54296875" bestFit="1" customWidth="1"/>
    <col min="9751" max="9751" width="14.1796875" bestFit="1" customWidth="1"/>
    <col min="9978" max="9978" width="1.81640625" customWidth="1"/>
    <col min="9979" max="9979" width="8" customWidth="1"/>
    <col min="9980" max="9980" width="8" bestFit="1" customWidth="1"/>
    <col min="9981" max="9981" width="9" bestFit="1" customWidth="1"/>
    <col min="9982" max="9982" width="12" bestFit="1" customWidth="1"/>
    <col min="9983" max="10004" width="9" bestFit="1" customWidth="1"/>
    <col min="10005" max="10005" width="7.81640625" bestFit="1" customWidth="1"/>
    <col min="10006" max="10006" width="4.54296875" bestFit="1" customWidth="1"/>
    <col min="10007" max="10007" width="14.1796875" bestFit="1" customWidth="1"/>
    <col min="10234" max="10234" width="1.81640625" customWidth="1"/>
    <col min="10235" max="10235" width="8" customWidth="1"/>
    <col min="10236" max="10236" width="8" bestFit="1" customWidth="1"/>
    <col min="10237" max="10237" width="9" bestFit="1" customWidth="1"/>
    <col min="10238" max="10238" width="12" bestFit="1" customWidth="1"/>
    <col min="10239" max="10260" width="9" bestFit="1" customWidth="1"/>
    <col min="10261" max="10261" width="7.81640625" bestFit="1" customWidth="1"/>
    <col min="10262" max="10262" width="4.54296875" bestFit="1" customWidth="1"/>
    <col min="10263" max="10263" width="14.1796875" bestFit="1" customWidth="1"/>
    <col min="10490" max="10490" width="1.81640625" customWidth="1"/>
    <col min="10491" max="10491" width="8" customWidth="1"/>
    <col min="10492" max="10492" width="8" bestFit="1" customWidth="1"/>
    <col min="10493" max="10493" width="9" bestFit="1" customWidth="1"/>
    <col min="10494" max="10494" width="12" bestFit="1" customWidth="1"/>
    <col min="10495" max="10516" width="9" bestFit="1" customWidth="1"/>
    <col min="10517" max="10517" width="7.81640625" bestFit="1" customWidth="1"/>
    <col min="10518" max="10518" width="4.54296875" bestFit="1" customWidth="1"/>
    <col min="10519" max="10519" width="14.1796875" bestFit="1" customWidth="1"/>
    <col min="10746" max="10746" width="1.81640625" customWidth="1"/>
    <col min="10747" max="10747" width="8" customWidth="1"/>
    <col min="10748" max="10748" width="8" bestFit="1" customWidth="1"/>
    <col min="10749" max="10749" width="9" bestFit="1" customWidth="1"/>
    <col min="10750" max="10750" width="12" bestFit="1" customWidth="1"/>
    <col min="10751" max="10772" width="9" bestFit="1" customWidth="1"/>
    <col min="10773" max="10773" width="7.81640625" bestFit="1" customWidth="1"/>
    <col min="10774" max="10774" width="4.54296875" bestFit="1" customWidth="1"/>
    <col min="10775" max="10775" width="14.1796875" bestFit="1" customWidth="1"/>
    <col min="11002" max="11002" width="1.81640625" customWidth="1"/>
    <col min="11003" max="11003" width="8" customWidth="1"/>
    <col min="11004" max="11004" width="8" bestFit="1" customWidth="1"/>
    <col min="11005" max="11005" width="9" bestFit="1" customWidth="1"/>
    <col min="11006" max="11006" width="12" bestFit="1" customWidth="1"/>
    <col min="11007" max="11028" width="9" bestFit="1" customWidth="1"/>
    <col min="11029" max="11029" width="7.81640625" bestFit="1" customWidth="1"/>
    <col min="11030" max="11030" width="4.54296875" bestFit="1" customWidth="1"/>
    <col min="11031" max="11031" width="14.1796875" bestFit="1" customWidth="1"/>
    <col min="11258" max="11258" width="1.81640625" customWidth="1"/>
    <col min="11259" max="11259" width="8" customWidth="1"/>
    <col min="11260" max="11260" width="8" bestFit="1" customWidth="1"/>
    <col min="11261" max="11261" width="9" bestFit="1" customWidth="1"/>
    <col min="11262" max="11262" width="12" bestFit="1" customWidth="1"/>
    <col min="11263" max="11284" width="9" bestFit="1" customWidth="1"/>
    <col min="11285" max="11285" width="7.81640625" bestFit="1" customWidth="1"/>
    <col min="11286" max="11286" width="4.54296875" bestFit="1" customWidth="1"/>
    <col min="11287" max="11287" width="14.1796875" bestFit="1" customWidth="1"/>
    <col min="11514" max="11514" width="1.81640625" customWidth="1"/>
    <col min="11515" max="11515" width="8" customWidth="1"/>
    <col min="11516" max="11516" width="8" bestFit="1" customWidth="1"/>
    <col min="11517" max="11517" width="9" bestFit="1" customWidth="1"/>
    <col min="11518" max="11518" width="12" bestFit="1" customWidth="1"/>
    <col min="11519" max="11540" width="9" bestFit="1" customWidth="1"/>
    <col min="11541" max="11541" width="7.81640625" bestFit="1" customWidth="1"/>
    <col min="11542" max="11542" width="4.54296875" bestFit="1" customWidth="1"/>
    <col min="11543" max="11543" width="14.1796875" bestFit="1" customWidth="1"/>
    <col min="11770" max="11770" width="1.81640625" customWidth="1"/>
    <col min="11771" max="11771" width="8" customWidth="1"/>
    <col min="11772" max="11772" width="8" bestFit="1" customWidth="1"/>
    <col min="11773" max="11773" width="9" bestFit="1" customWidth="1"/>
    <col min="11774" max="11774" width="12" bestFit="1" customWidth="1"/>
    <col min="11775" max="11796" width="9" bestFit="1" customWidth="1"/>
    <col min="11797" max="11797" width="7.81640625" bestFit="1" customWidth="1"/>
    <col min="11798" max="11798" width="4.54296875" bestFit="1" customWidth="1"/>
    <col min="11799" max="11799" width="14.1796875" bestFit="1" customWidth="1"/>
    <col min="12026" max="12026" width="1.81640625" customWidth="1"/>
    <col min="12027" max="12027" width="8" customWidth="1"/>
    <col min="12028" max="12028" width="8" bestFit="1" customWidth="1"/>
    <col min="12029" max="12029" width="9" bestFit="1" customWidth="1"/>
    <col min="12030" max="12030" width="12" bestFit="1" customWidth="1"/>
    <col min="12031" max="12052" width="9" bestFit="1" customWidth="1"/>
    <col min="12053" max="12053" width="7.81640625" bestFit="1" customWidth="1"/>
    <col min="12054" max="12054" width="4.54296875" bestFit="1" customWidth="1"/>
    <col min="12055" max="12055" width="14.1796875" bestFit="1" customWidth="1"/>
    <col min="12282" max="12282" width="1.81640625" customWidth="1"/>
    <col min="12283" max="12283" width="8" customWidth="1"/>
    <col min="12284" max="12284" width="8" bestFit="1" customWidth="1"/>
    <col min="12285" max="12285" width="9" bestFit="1" customWidth="1"/>
    <col min="12286" max="12286" width="12" bestFit="1" customWidth="1"/>
    <col min="12287" max="12308" width="9" bestFit="1" customWidth="1"/>
    <col min="12309" max="12309" width="7.81640625" bestFit="1" customWidth="1"/>
    <col min="12310" max="12310" width="4.54296875" bestFit="1" customWidth="1"/>
    <col min="12311" max="12311" width="14.1796875" bestFit="1" customWidth="1"/>
    <col min="12538" max="12538" width="1.81640625" customWidth="1"/>
    <col min="12539" max="12539" width="8" customWidth="1"/>
    <col min="12540" max="12540" width="8" bestFit="1" customWidth="1"/>
    <col min="12541" max="12541" width="9" bestFit="1" customWidth="1"/>
    <col min="12542" max="12542" width="12" bestFit="1" customWidth="1"/>
    <col min="12543" max="12564" width="9" bestFit="1" customWidth="1"/>
    <col min="12565" max="12565" width="7.81640625" bestFit="1" customWidth="1"/>
    <col min="12566" max="12566" width="4.54296875" bestFit="1" customWidth="1"/>
    <col min="12567" max="12567" width="14.1796875" bestFit="1" customWidth="1"/>
    <col min="12794" max="12794" width="1.81640625" customWidth="1"/>
    <col min="12795" max="12795" width="8" customWidth="1"/>
    <col min="12796" max="12796" width="8" bestFit="1" customWidth="1"/>
    <col min="12797" max="12797" width="9" bestFit="1" customWidth="1"/>
    <col min="12798" max="12798" width="12" bestFit="1" customWidth="1"/>
    <col min="12799" max="12820" width="9" bestFit="1" customWidth="1"/>
    <col min="12821" max="12821" width="7.81640625" bestFit="1" customWidth="1"/>
    <col min="12822" max="12822" width="4.54296875" bestFit="1" customWidth="1"/>
    <col min="12823" max="12823" width="14.1796875" bestFit="1" customWidth="1"/>
    <col min="13050" max="13050" width="1.81640625" customWidth="1"/>
    <col min="13051" max="13051" width="8" customWidth="1"/>
    <col min="13052" max="13052" width="8" bestFit="1" customWidth="1"/>
    <col min="13053" max="13053" width="9" bestFit="1" customWidth="1"/>
    <col min="13054" max="13054" width="12" bestFit="1" customWidth="1"/>
    <col min="13055" max="13076" width="9" bestFit="1" customWidth="1"/>
    <col min="13077" max="13077" width="7.81640625" bestFit="1" customWidth="1"/>
    <col min="13078" max="13078" width="4.54296875" bestFit="1" customWidth="1"/>
    <col min="13079" max="13079" width="14.1796875" bestFit="1" customWidth="1"/>
    <col min="13306" max="13306" width="1.81640625" customWidth="1"/>
    <col min="13307" max="13307" width="8" customWidth="1"/>
    <col min="13308" max="13308" width="8" bestFit="1" customWidth="1"/>
    <col min="13309" max="13309" width="9" bestFit="1" customWidth="1"/>
    <col min="13310" max="13310" width="12" bestFit="1" customWidth="1"/>
    <col min="13311" max="13332" width="9" bestFit="1" customWidth="1"/>
    <col min="13333" max="13333" width="7.81640625" bestFit="1" customWidth="1"/>
    <col min="13334" max="13334" width="4.54296875" bestFit="1" customWidth="1"/>
    <col min="13335" max="13335" width="14.1796875" bestFit="1" customWidth="1"/>
    <col min="13562" max="13562" width="1.81640625" customWidth="1"/>
    <col min="13563" max="13563" width="8" customWidth="1"/>
    <col min="13564" max="13564" width="8" bestFit="1" customWidth="1"/>
    <col min="13565" max="13565" width="9" bestFit="1" customWidth="1"/>
    <col min="13566" max="13566" width="12" bestFit="1" customWidth="1"/>
    <col min="13567" max="13588" width="9" bestFit="1" customWidth="1"/>
    <col min="13589" max="13589" width="7.81640625" bestFit="1" customWidth="1"/>
    <col min="13590" max="13590" width="4.54296875" bestFit="1" customWidth="1"/>
    <col min="13591" max="13591" width="14.1796875" bestFit="1" customWidth="1"/>
    <col min="13818" max="13818" width="1.81640625" customWidth="1"/>
    <col min="13819" max="13819" width="8" customWidth="1"/>
    <col min="13820" max="13820" width="8" bestFit="1" customWidth="1"/>
    <col min="13821" max="13821" width="9" bestFit="1" customWidth="1"/>
    <col min="13822" max="13822" width="12" bestFit="1" customWidth="1"/>
    <col min="13823" max="13844" width="9" bestFit="1" customWidth="1"/>
    <col min="13845" max="13845" width="7.81640625" bestFit="1" customWidth="1"/>
    <col min="13846" max="13846" width="4.54296875" bestFit="1" customWidth="1"/>
    <col min="13847" max="13847" width="14.1796875" bestFit="1" customWidth="1"/>
    <col min="14074" max="14074" width="1.81640625" customWidth="1"/>
    <col min="14075" max="14075" width="8" customWidth="1"/>
    <col min="14076" max="14076" width="8" bestFit="1" customWidth="1"/>
    <col min="14077" max="14077" width="9" bestFit="1" customWidth="1"/>
    <col min="14078" max="14078" width="12" bestFit="1" customWidth="1"/>
    <col min="14079" max="14100" width="9" bestFit="1" customWidth="1"/>
    <col min="14101" max="14101" width="7.81640625" bestFit="1" customWidth="1"/>
    <col min="14102" max="14102" width="4.54296875" bestFit="1" customWidth="1"/>
    <col min="14103" max="14103" width="14.1796875" bestFit="1" customWidth="1"/>
    <col min="14330" max="14330" width="1.81640625" customWidth="1"/>
    <col min="14331" max="14331" width="8" customWidth="1"/>
    <col min="14332" max="14332" width="8" bestFit="1" customWidth="1"/>
    <col min="14333" max="14333" width="9" bestFit="1" customWidth="1"/>
    <col min="14334" max="14334" width="12" bestFit="1" customWidth="1"/>
    <col min="14335" max="14356" width="9" bestFit="1" customWidth="1"/>
    <col min="14357" max="14357" width="7.81640625" bestFit="1" customWidth="1"/>
    <col min="14358" max="14358" width="4.54296875" bestFit="1" customWidth="1"/>
    <col min="14359" max="14359" width="14.1796875" bestFit="1" customWidth="1"/>
    <col min="14586" max="14586" width="1.81640625" customWidth="1"/>
    <col min="14587" max="14587" width="8" customWidth="1"/>
    <col min="14588" max="14588" width="8" bestFit="1" customWidth="1"/>
    <col min="14589" max="14589" width="9" bestFit="1" customWidth="1"/>
    <col min="14590" max="14590" width="12" bestFit="1" customWidth="1"/>
    <col min="14591" max="14612" width="9" bestFit="1" customWidth="1"/>
    <col min="14613" max="14613" width="7.81640625" bestFit="1" customWidth="1"/>
    <col min="14614" max="14614" width="4.54296875" bestFit="1" customWidth="1"/>
    <col min="14615" max="14615" width="14.1796875" bestFit="1" customWidth="1"/>
    <col min="14842" max="14842" width="1.81640625" customWidth="1"/>
    <col min="14843" max="14843" width="8" customWidth="1"/>
    <col min="14844" max="14844" width="8" bestFit="1" customWidth="1"/>
    <col min="14845" max="14845" width="9" bestFit="1" customWidth="1"/>
    <col min="14846" max="14846" width="12" bestFit="1" customWidth="1"/>
    <col min="14847" max="14868" width="9" bestFit="1" customWidth="1"/>
    <col min="14869" max="14869" width="7.81640625" bestFit="1" customWidth="1"/>
    <col min="14870" max="14870" width="4.54296875" bestFit="1" customWidth="1"/>
    <col min="14871" max="14871" width="14.1796875" bestFit="1" customWidth="1"/>
    <col min="15098" max="15098" width="1.81640625" customWidth="1"/>
    <col min="15099" max="15099" width="8" customWidth="1"/>
    <col min="15100" max="15100" width="8" bestFit="1" customWidth="1"/>
    <col min="15101" max="15101" width="9" bestFit="1" customWidth="1"/>
    <col min="15102" max="15102" width="12" bestFit="1" customWidth="1"/>
    <col min="15103" max="15124" width="9" bestFit="1" customWidth="1"/>
    <col min="15125" max="15125" width="7.81640625" bestFit="1" customWidth="1"/>
    <col min="15126" max="15126" width="4.54296875" bestFit="1" customWidth="1"/>
    <col min="15127" max="15127" width="14.1796875" bestFit="1" customWidth="1"/>
    <col min="15354" max="15354" width="1.81640625" customWidth="1"/>
    <col min="15355" max="15355" width="8" customWidth="1"/>
    <col min="15356" max="15356" width="8" bestFit="1" customWidth="1"/>
    <col min="15357" max="15357" width="9" bestFit="1" customWidth="1"/>
    <col min="15358" max="15358" width="12" bestFit="1" customWidth="1"/>
    <col min="15359" max="15380" width="9" bestFit="1" customWidth="1"/>
    <col min="15381" max="15381" width="7.81640625" bestFit="1" customWidth="1"/>
    <col min="15382" max="15382" width="4.54296875" bestFit="1" customWidth="1"/>
    <col min="15383" max="15383" width="14.1796875" bestFit="1" customWidth="1"/>
    <col min="15610" max="15610" width="1.81640625" customWidth="1"/>
    <col min="15611" max="15611" width="8" customWidth="1"/>
    <col min="15612" max="15612" width="8" bestFit="1" customWidth="1"/>
    <col min="15613" max="15613" width="9" bestFit="1" customWidth="1"/>
    <col min="15614" max="15614" width="12" bestFit="1" customWidth="1"/>
    <col min="15615" max="15636" width="9" bestFit="1" customWidth="1"/>
    <col min="15637" max="15637" width="7.81640625" bestFit="1" customWidth="1"/>
    <col min="15638" max="15638" width="4.54296875" bestFit="1" customWidth="1"/>
    <col min="15639" max="15639" width="14.1796875" bestFit="1" customWidth="1"/>
    <col min="15866" max="15866" width="1.81640625" customWidth="1"/>
    <col min="15867" max="15867" width="8" customWidth="1"/>
    <col min="15868" max="15868" width="8" bestFit="1" customWidth="1"/>
    <col min="15869" max="15869" width="9" bestFit="1" customWidth="1"/>
    <col min="15870" max="15870" width="12" bestFit="1" customWidth="1"/>
    <col min="15871" max="15892" width="9" bestFit="1" customWidth="1"/>
    <col min="15893" max="15893" width="7.81640625" bestFit="1" customWidth="1"/>
    <col min="15894" max="15894" width="4.54296875" bestFit="1" customWidth="1"/>
    <col min="15895" max="15895" width="14.1796875" bestFit="1" customWidth="1"/>
    <col min="16122" max="16122" width="1.81640625" customWidth="1"/>
    <col min="16123" max="16123" width="8" customWidth="1"/>
    <col min="16124" max="16124" width="8" bestFit="1" customWidth="1"/>
    <col min="16125" max="16125" width="9" bestFit="1" customWidth="1"/>
    <col min="16126" max="16126" width="12" bestFit="1" customWidth="1"/>
    <col min="16127" max="16148" width="9" bestFit="1" customWidth="1"/>
    <col min="16149" max="16149" width="7.81640625" bestFit="1" customWidth="1"/>
    <col min="16150" max="16150" width="4.54296875" bestFit="1" customWidth="1"/>
    <col min="16151" max="16151" width="14.1796875" bestFit="1" customWidth="1"/>
  </cols>
  <sheetData>
    <row r="2" spans="2:60" ht="15.5">
      <c r="B2" s="53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2:60" ht="15.5">
      <c r="B3" s="53" t="s">
        <v>34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2:60" ht="16" thickBot="1">
      <c r="B4" s="54" t="s">
        <v>38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</row>
    <row r="5" spans="2:60" ht="25.5" customHeight="1" thickBot="1">
      <c r="B5" s="37"/>
      <c r="C5" s="38" t="s">
        <v>1</v>
      </c>
      <c r="D5" s="39">
        <v>1</v>
      </c>
      <c r="E5" s="39">
        <v>2</v>
      </c>
      <c r="F5" s="39">
        <v>3</v>
      </c>
      <c r="G5" s="39">
        <v>4</v>
      </c>
      <c r="H5" s="39">
        <v>5</v>
      </c>
      <c r="I5" s="39">
        <v>6</v>
      </c>
      <c r="J5" s="40">
        <v>7</v>
      </c>
      <c r="K5" s="40">
        <v>8</v>
      </c>
      <c r="L5" s="40">
        <v>9</v>
      </c>
      <c r="M5" s="40">
        <v>10</v>
      </c>
      <c r="N5" s="40">
        <v>11</v>
      </c>
      <c r="O5" s="40">
        <v>12</v>
      </c>
      <c r="P5" s="40">
        <v>13</v>
      </c>
      <c r="Q5" s="40">
        <v>14</v>
      </c>
      <c r="R5" s="40">
        <v>15</v>
      </c>
      <c r="S5" s="40">
        <v>16</v>
      </c>
      <c r="T5" s="40">
        <v>17</v>
      </c>
      <c r="U5" s="40">
        <v>18</v>
      </c>
      <c r="V5" s="41">
        <v>19</v>
      </c>
      <c r="W5" s="41">
        <v>20</v>
      </c>
      <c r="X5" s="41">
        <v>21</v>
      </c>
      <c r="Y5" s="39">
        <v>22</v>
      </c>
      <c r="Z5" s="39">
        <v>23</v>
      </c>
      <c r="AA5" s="42">
        <v>24</v>
      </c>
      <c r="AB5" s="14" t="s">
        <v>2</v>
      </c>
      <c r="AC5" s="15" t="s">
        <v>3</v>
      </c>
      <c r="AD5" s="16" t="s">
        <v>2</v>
      </c>
    </row>
    <row r="6" spans="2:60">
      <c r="B6" s="47">
        <v>46023</v>
      </c>
      <c r="C6" s="8" t="s">
        <v>5</v>
      </c>
      <c r="D6" s="7">
        <v>5647.26</v>
      </c>
      <c r="E6" s="7">
        <v>5647.26</v>
      </c>
      <c r="F6" s="7">
        <v>5647.26</v>
      </c>
      <c r="G6" s="7">
        <v>5647.26</v>
      </c>
      <c r="H6" s="7">
        <v>5647.26</v>
      </c>
      <c r="I6" s="7">
        <v>5647.26</v>
      </c>
      <c r="J6" s="7">
        <v>5647.26</v>
      </c>
      <c r="K6" s="7">
        <v>5647.26</v>
      </c>
      <c r="L6" s="7">
        <v>5647.26</v>
      </c>
      <c r="M6" s="7">
        <v>5647.26</v>
      </c>
      <c r="N6" s="7">
        <v>5647.26</v>
      </c>
      <c r="O6" s="7">
        <v>5647.26</v>
      </c>
      <c r="P6" s="7">
        <v>5647.26</v>
      </c>
      <c r="Q6" s="7">
        <v>5647.26</v>
      </c>
      <c r="R6" s="7">
        <v>5647.26</v>
      </c>
      <c r="S6" s="7">
        <v>5647.26</v>
      </c>
      <c r="T6" s="7">
        <v>5647.26</v>
      </c>
      <c r="U6" s="7">
        <v>5647.26</v>
      </c>
      <c r="V6" s="7">
        <v>5647.26</v>
      </c>
      <c r="W6" s="7">
        <v>5647.26</v>
      </c>
      <c r="X6" s="7">
        <v>5647.26</v>
      </c>
      <c r="Y6" s="7">
        <v>5647.26</v>
      </c>
      <c r="Z6" s="7">
        <v>5647.26</v>
      </c>
      <c r="AA6" s="11">
        <v>5647.26</v>
      </c>
      <c r="AB6" s="5">
        <f t="shared" ref="AB6:AB53" si="0">(SUM(D6:AA6))</f>
        <v>135534.23999999996</v>
      </c>
      <c r="AC6" s="5">
        <v>20</v>
      </c>
      <c r="AD6" s="50">
        <f>(AB6*AC6)+(AB7*AC7)+(AB8*AC8)+(AB9*AC9)</f>
        <v>4201561.4399999985</v>
      </c>
      <c r="AE6" s="46">
        <f>+AD6</f>
        <v>4201561.4399999985</v>
      </c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</row>
    <row r="7" spans="2:60">
      <c r="B7" s="48"/>
      <c r="C7" s="1" t="s">
        <v>6</v>
      </c>
      <c r="D7" s="2">
        <v>5647.26</v>
      </c>
      <c r="E7" s="2">
        <v>5647.26</v>
      </c>
      <c r="F7" s="2">
        <v>5647.26</v>
      </c>
      <c r="G7" s="2">
        <v>5647.26</v>
      </c>
      <c r="H7" s="2">
        <v>5647.26</v>
      </c>
      <c r="I7" s="2">
        <v>5647.26</v>
      </c>
      <c r="J7" s="2">
        <v>5647.26</v>
      </c>
      <c r="K7" s="2">
        <v>5647.26</v>
      </c>
      <c r="L7" s="2">
        <v>5647.26</v>
      </c>
      <c r="M7" s="2">
        <v>5647.26</v>
      </c>
      <c r="N7" s="2">
        <v>5647.26</v>
      </c>
      <c r="O7" s="2">
        <v>5647.26</v>
      </c>
      <c r="P7" s="2">
        <v>5647.26</v>
      </c>
      <c r="Q7" s="2">
        <v>5647.26</v>
      </c>
      <c r="R7" s="2">
        <v>5647.26</v>
      </c>
      <c r="S7" s="2">
        <v>5647.26</v>
      </c>
      <c r="T7" s="2">
        <v>5647.26</v>
      </c>
      <c r="U7" s="2">
        <v>5647.26</v>
      </c>
      <c r="V7" s="2">
        <v>5647.26</v>
      </c>
      <c r="W7" s="2">
        <v>5647.26</v>
      </c>
      <c r="X7" s="2">
        <v>5647.26</v>
      </c>
      <c r="Y7" s="2">
        <v>5647.26</v>
      </c>
      <c r="Z7" s="2">
        <v>5647.26</v>
      </c>
      <c r="AA7" s="12">
        <v>5647.26</v>
      </c>
      <c r="AB7" s="3">
        <f t="shared" si="0"/>
        <v>135534.23999999996</v>
      </c>
      <c r="AC7" s="3">
        <v>5</v>
      </c>
      <c r="AD7" s="51"/>
      <c r="AE7" s="46">
        <f>+AD10</f>
        <v>3794958.7199999993</v>
      </c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</row>
    <row r="8" spans="2:60">
      <c r="B8" s="48"/>
      <c r="C8" s="1" t="s">
        <v>7</v>
      </c>
      <c r="D8" s="2">
        <v>5647.26</v>
      </c>
      <c r="E8" s="2">
        <v>5647.26</v>
      </c>
      <c r="F8" s="2">
        <v>5647.26</v>
      </c>
      <c r="G8" s="2">
        <v>5647.26</v>
      </c>
      <c r="H8" s="2">
        <v>5647.26</v>
      </c>
      <c r="I8" s="2">
        <v>5647.26</v>
      </c>
      <c r="J8" s="2">
        <v>5647.26</v>
      </c>
      <c r="K8" s="2">
        <v>5647.26</v>
      </c>
      <c r="L8" s="2">
        <v>5647.26</v>
      </c>
      <c r="M8" s="2">
        <v>5647.26</v>
      </c>
      <c r="N8" s="2">
        <v>5647.26</v>
      </c>
      <c r="O8" s="2">
        <v>5647.26</v>
      </c>
      <c r="P8" s="2">
        <v>5647.26</v>
      </c>
      <c r="Q8" s="2">
        <v>5647.26</v>
      </c>
      <c r="R8" s="2">
        <v>5647.26</v>
      </c>
      <c r="S8" s="2">
        <v>5647.26</v>
      </c>
      <c r="T8" s="2">
        <v>5647.26</v>
      </c>
      <c r="U8" s="2">
        <v>5647.26</v>
      </c>
      <c r="V8" s="2">
        <v>5647.26</v>
      </c>
      <c r="W8" s="2">
        <v>5647.26</v>
      </c>
      <c r="X8" s="2">
        <v>5647.26</v>
      </c>
      <c r="Y8" s="2">
        <v>5647.26</v>
      </c>
      <c r="Z8" s="2">
        <v>5647.26</v>
      </c>
      <c r="AA8" s="12">
        <v>5647.26</v>
      </c>
      <c r="AB8" s="3">
        <f t="shared" si="0"/>
        <v>135534.23999999996</v>
      </c>
      <c r="AC8" s="3">
        <v>4</v>
      </c>
      <c r="AD8" s="51"/>
      <c r="AE8" s="46">
        <f>+AD14</f>
        <v>4201561.4399999985</v>
      </c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</row>
    <row r="9" spans="2:60" ht="15" thickBot="1">
      <c r="B9" s="49"/>
      <c r="C9" s="9" t="s">
        <v>8</v>
      </c>
      <c r="D9" s="10">
        <v>5647.26</v>
      </c>
      <c r="E9" s="10">
        <v>5647.26</v>
      </c>
      <c r="F9" s="10">
        <v>5647.26</v>
      </c>
      <c r="G9" s="10">
        <v>5647.26</v>
      </c>
      <c r="H9" s="10">
        <v>5647.26</v>
      </c>
      <c r="I9" s="10">
        <v>5647.26</v>
      </c>
      <c r="J9" s="10">
        <v>5647.26</v>
      </c>
      <c r="K9" s="10">
        <v>5647.26</v>
      </c>
      <c r="L9" s="10">
        <v>5647.26</v>
      </c>
      <c r="M9" s="10">
        <v>5647.26</v>
      </c>
      <c r="N9" s="10">
        <v>5647.26</v>
      </c>
      <c r="O9" s="10">
        <v>5647.26</v>
      </c>
      <c r="P9" s="10">
        <v>5647.26</v>
      </c>
      <c r="Q9" s="10">
        <v>5647.26</v>
      </c>
      <c r="R9" s="10">
        <v>5647.26</v>
      </c>
      <c r="S9" s="10">
        <v>5647.26</v>
      </c>
      <c r="T9" s="10">
        <v>5647.26</v>
      </c>
      <c r="U9" s="10">
        <v>5647.26</v>
      </c>
      <c r="V9" s="10">
        <v>5647.26</v>
      </c>
      <c r="W9" s="10">
        <v>5647.26</v>
      </c>
      <c r="X9" s="10">
        <v>5647.26</v>
      </c>
      <c r="Y9" s="10">
        <v>5647.26</v>
      </c>
      <c r="Z9" s="10">
        <v>5647.26</v>
      </c>
      <c r="AA9" s="13">
        <v>5647.26</v>
      </c>
      <c r="AB9" s="6">
        <f t="shared" si="0"/>
        <v>135534.23999999996</v>
      </c>
      <c r="AC9" s="6">
        <v>2</v>
      </c>
      <c r="AD9" s="52"/>
      <c r="AE9" s="46">
        <f>+AD18</f>
        <v>4066027.1999999993</v>
      </c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</row>
    <row r="10" spans="2:60">
      <c r="B10" s="47">
        <v>46054</v>
      </c>
      <c r="C10" s="8" t="s">
        <v>5</v>
      </c>
      <c r="D10" s="7">
        <v>5647.26</v>
      </c>
      <c r="E10" s="7">
        <v>5647.26</v>
      </c>
      <c r="F10" s="7">
        <v>5647.26</v>
      </c>
      <c r="G10" s="7">
        <v>5647.26</v>
      </c>
      <c r="H10" s="7">
        <v>5647.26</v>
      </c>
      <c r="I10" s="7">
        <v>5647.26</v>
      </c>
      <c r="J10" s="7">
        <v>5647.26</v>
      </c>
      <c r="K10" s="7">
        <v>5647.26</v>
      </c>
      <c r="L10" s="7">
        <v>5647.26</v>
      </c>
      <c r="M10" s="7">
        <v>5647.26</v>
      </c>
      <c r="N10" s="7">
        <v>5647.26</v>
      </c>
      <c r="O10" s="7">
        <v>5647.26</v>
      </c>
      <c r="P10" s="7">
        <v>5647.26</v>
      </c>
      <c r="Q10" s="7">
        <v>5647.26</v>
      </c>
      <c r="R10" s="7">
        <v>5647.26</v>
      </c>
      <c r="S10" s="7">
        <v>5647.26</v>
      </c>
      <c r="T10" s="7">
        <v>5647.26</v>
      </c>
      <c r="U10" s="7">
        <v>5647.26</v>
      </c>
      <c r="V10" s="7">
        <v>5647.26</v>
      </c>
      <c r="W10" s="7">
        <v>5647.26</v>
      </c>
      <c r="X10" s="7">
        <v>5647.26</v>
      </c>
      <c r="Y10" s="7">
        <v>5647.26</v>
      </c>
      <c r="Z10" s="7">
        <v>5647.26</v>
      </c>
      <c r="AA10" s="11">
        <v>5647.26</v>
      </c>
      <c r="AB10" s="5">
        <f t="shared" si="0"/>
        <v>135534.23999999996</v>
      </c>
      <c r="AC10" s="5">
        <v>20</v>
      </c>
      <c r="AD10" s="50">
        <f>(AB10*AC10)+(AB11*AC11)+(AB12*AC12)+(AB13*AC13)</f>
        <v>3794958.7199999993</v>
      </c>
      <c r="AE10" s="46">
        <f>+AD22</f>
        <v>4201561.4399999985</v>
      </c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</row>
    <row r="11" spans="2:60">
      <c r="B11" s="48"/>
      <c r="C11" s="1" t="s">
        <v>6</v>
      </c>
      <c r="D11" s="2">
        <v>5647.26</v>
      </c>
      <c r="E11" s="2">
        <v>5647.26</v>
      </c>
      <c r="F11" s="2">
        <v>5647.26</v>
      </c>
      <c r="G11" s="2">
        <v>5647.26</v>
      </c>
      <c r="H11" s="2">
        <v>5647.26</v>
      </c>
      <c r="I11" s="2">
        <v>5647.26</v>
      </c>
      <c r="J11" s="2">
        <v>5647.26</v>
      </c>
      <c r="K11" s="2">
        <v>5647.26</v>
      </c>
      <c r="L11" s="2">
        <v>5647.26</v>
      </c>
      <c r="M11" s="2">
        <v>5647.26</v>
      </c>
      <c r="N11" s="2">
        <v>5647.26</v>
      </c>
      <c r="O11" s="2">
        <v>5647.26</v>
      </c>
      <c r="P11" s="2">
        <v>5647.26</v>
      </c>
      <c r="Q11" s="2">
        <v>5647.26</v>
      </c>
      <c r="R11" s="2">
        <v>5647.26</v>
      </c>
      <c r="S11" s="2">
        <v>5647.26</v>
      </c>
      <c r="T11" s="2">
        <v>5647.26</v>
      </c>
      <c r="U11" s="2">
        <v>5647.26</v>
      </c>
      <c r="V11" s="2">
        <v>5647.26</v>
      </c>
      <c r="W11" s="2">
        <v>5647.26</v>
      </c>
      <c r="X11" s="2">
        <v>5647.26</v>
      </c>
      <c r="Y11" s="2">
        <v>5647.26</v>
      </c>
      <c r="Z11" s="2">
        <v>5647.26</v>
      </c>
      <c r="AA11" s="12">
        <v>5647.26</v>
      </c>
      <c r="AB11" s="3">
        <f t="shared" si="0"/>
        <v>135534.23999999996</v>
      </c>
      <c r="AC11" s="3">
        <v>4</v>
      </c>
      <c r="AD11" s="51"/>
      <c r="AE11" s="46">
        <f>+AD26</f>
        <v>4066027.1999999988</v>
      </c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</row>
    <row r="12" spans="2:60">
      <c r="B12" s="48"/>
      <c r="C12" s="1" t="s">
        <v>7</v>
      </c>
      <c r="D12" s="2">
        <v>5647.26</v>
      </c>
      <c r="E12" s="2">
        <v>5647.26</v>
      </c>
      <c r="F12" s="2">
        <v>5647.26</v>
      </c>
      <c r="G12" s="2">
        <v>5647.26</v>
      </c>
      <c r="H12" s="2">
        <v>5647.26</v>
      </c>
      <c r="I12" s="2">
        <v>5647.26</v>
      </c>
      <c r="J12" s="2">
        <v>5647.26</v>
      </c>
      <c r="K12" s="2">
        <v>5647.26</v>
      </c>
      <c r="L12" s="2">
        <v>5647.26</v>
      </c>
      <c r="M12" s="2">
        <v>5647.26</v>
      </c>
      <c r="N12" s="2">
        <v>5647.26</v>
      </c>
      <c r="O12" s="2">
        <v>5647.26</v>
      </c>
      <c r="P12" s="2">
        <v>5647.26</v>
      </c>
      <c r="Q12" s="2">
        <v>5647.26</v>
      </c>
      <c r="R12" s="2">
        <v>5647.26</v>
      </c>
      <c r="S12" s="2">
        <v>5647.26</v>
      </c>
      <c r="T12" s="2">
        <v>5647.26</v>
      </c>
      <c r="U12" s="2">
        <v>5647.26</v>
      </c>
      <c r="V12" s="2">
        <v>5647.26</v>
      </c>
      <c r="W12" s="2">
        <v>5647.26</v>
      </c>
      <c r="X12" s="2">
        <v>5647.26</v>
      </c>
      <c r="Y12" s="2">
        <v>5647.26</v>
      </c>
      <c r="Z12" s="2">
        <v>5647.26</v>
      </c>
      <c r="AA12" s="12">
        <v>5647.26</v>
      </c>
      <c r="AB12" s="3">
        <f t="shared" si="0"/>
        <v>135534.23999999996</v>
      </c>
      <c r="AC12" s="3">
        <v>4</v>
      </c>
      <c r="AD12" s="51"/>
      <c r="AE12" s="46">
        <f>+AD30</f>
        <v>4201561.4399999995</v>
      </c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</row>
    <row r="13" spans="2:60" ht="15" thickBot="1">
      <c r="B13" s="49"/>
      <c r="C13" s="9" t="s">
        <v>8</v>
      </c>
      <c r="D13" s="10">
        <v>5647.26</v>
      </c>
      <c r="E13" s="10">
        <v>5647.26</v>
      </c>
      <c r="F13" s="10">
        <v>5647.26</v>
      </c>
      <c r="G13" s="10">
        <v>5647.26</v>
      </c>
      <c r="H13" s="10">
        <v>5647.26</v>
      </c>
      <c r="I13" s="10">
        <v>5647.26</v>
      </c>
      <c r="J13" s="10">
        <v>5647.26</v>
      </c>
      <c r="K13" s="10">
        <v>5647.26</v>
      </c>
      <c r="L13" s="10">
        <v>5647.26</v>
      </c>
      <c r="M13" s="10">
        <v>5647.26</v>
      </c>
      <c r="N13" s="10">
        <v>5647.26</v>
      </c>
      <c r="O13" s="10">
        <v>5647.26</v>
      </c>
      <c r="P13" s="10">
        <v>5647.26</v>
      </c>
      <c r="Q13" s="10">
        <v>5647.26</v>
      </c>
      <c r="R13" s="10">
        <v>5647.26</v>
      </c>
      <c r="S13" s="10">
        <v>5647.26</v>
      </c>
      <c r="T13" s="10">
        <v>5647.26</v>
      </c>
      <c r="U13" s="10">
        <v>5647.26</v>
      </c>
      <c r="V13" s="10">
        <v>5647.26</v>
      </c>
      <c r="W13" s="10">
        <v>5647.26</v>
      </c>
      <c r="X13" s="10">
        <v>5647.26</v>
      </c>
      <c r="Y13" s="10">
        <v>5647.26</v>
      </c>
      <c r="Z13" s="10">
        <v>5647.26</v>
      </c>
      <c r="AA13" s="13">
        <v>5647.26</v>
      </c>
      <c r="AB13" s="6">
        <f t="shared" si="0"/>
        <v>135534.23999999996</v>
      </c>
      <c r="AC13" s="6">
        <v>0</v>
      </c>
      <c r="AD13" s="52"/>
      <c r="AE13" s="46">
        <f>+AD34</f>
        <v>4201561.4399999985</v>
      </c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</row>
    <row r="14" spans="2:60">
      <c r="B14" s="47">
        <v>46082</v>
      </c>
      <c r="C14" s="8" t="s">
        <v>5</v>
      </c>
      <c r="D14" s="7">
        <v>5647.26</v>
      </c>
      <c r="E14" s="7">
        <v>5647.26</v>
      </c>
      <c r="F14" s="7">
        <v>5647.26</v>
      </c>
      <c r="G14" s="7">
        <v>5647.26</v>
      </c>
      <c r="H14" s="7">
        <v>5647.26</v>
      </c>
      <c r="I14" s="7">
        <v>5647.26</v>
      </c>
      <c r="J14" s="7">
        <v>5647.26</v>
      </c>
      <c r="K14" s="7">
        <v>5647.26</v>
      </c>
      <c r="L14" s="7">
        <v>5647.26</v>
      </c>
      <c r="M14" s="7">
        <v>5647.26</v>
      </c>
      <c r="N14" s="7">
        <v>5647.26</v>
      </c>
      <c r="O14" s="7">
        <v>5647.26</v>
      </c>
      <c r="P14" s="7">
        <v>5647.26</v>
      </c>
      <c r="Q14" s="7">
        <v>5647.26</v>
      </c>
      <c r="R14" s="7">
        <v>5647.26</v>
      </c>
      <c r="S14" s="7">
        <v>5647.26</v>
      </c>
      <c r="T14" s="7">
        <v>5647.26</v>
      </c>
      <c r="U14" s="7">
        <v>5647.26</v>
      </c>
      <c r="V14" s="7">
        <v>5647.26</v>
      </c>
      <c r="W14" s="7">
        <v>5647.26</v>
      </c>
      <c r="X14" s="7">
        <v>5647.26</v>
      </c>
      <c r="Y14" s="7">
        <v>5647.26</v>
      </c>
      <c r="Z14" s="7">
        <v>5647.26</v>
      </c>
      <c r="AA14" s="11">
        <v>5647.26</v>
      </c>
      <c r="AB14" s="5">
        <f t="shared" si="0"/>
        <v>135534.23999999996</v>
      </c>
      <c r="AC14" s="5">
        <v>21</v>
      </c>
      <c r="AD14" s="50">
        <f>(AB14*AC14)+(AB15*AC15)+(AB16*AC16)+(AB17*AC17)</f>
        <v>4201561.4399999985</v>
      </c>
      <c r="AE14" s="46">
        <f>+AD38</f>
        <v>4066027.1999999993</v>
      </c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</row>
    <row r="15" spans="2:60">
      <c r="B15" s="48"/>
      <c r="C15" s="1" t="s">
        <v>6</v>
      </c>
      <c r="D15" s="2">
        <v>5647.26</v>
      </c>
      <c r="E15" s="2">
        <v>5647.26</v>
      </c>
      <c r="F15" s="2">
        <v>5647.26</v>
      </c>
      <c r="G15" s="2">
        <v>5647.26</v>
      </c>
      <c r="H15" s="2">
        <v>5647.26</v>
      </c>
      <c r="I15" s="2">
        <v>5647.26</v>
      </c>
      <c r="J15" s="2">
        <v>5647.26</v>
      </c>
      <c r="K15" s="2">
        <v>5647.26</v>
      </c>
      <c r="L15" s="2">
        <v>5647.26</v>
      </c>
      <c r="M15" s="2">
        <v>5647.26</v>
      </c>
      <c r="N15" s="2">
        <v>5647.26</v>
      </c>
      <c r="O15" s="2">
        <v>5647.26</v>
      </c>
      <c r="P15" s="2">
        <v>5647.26</v>
      </c>
      <c r="Q15" s="2">
        <v>5647.26</v>
      </c>
      <c r="R15" s="2">
        <v>5647.26</v>
      </c>
      <c r="S15" s="2">
        <v>5647.26</v>
      </c>
      <c r="T15" s="2">
        <v>5647.26</v>
      </c>
      <c r="U15" s="2">
        <v>5647.26</v>
      </c>
      <c r="V15" s="2">
        <v>5647.26</v>
      </c>
      <c r="W15" s="2">
        <v>5647.26</v>
      </c>
      <c r="X15" s="2">
        <v>5647.26</v>
      </c>
      <c r="Y15" s="2">
        <v>5647.26</v>
      </c>
      <c r="Z15" s="2">
        <v>5647.26</v>
      </c>
      <c r="AA15" s="12">
        <v>5647.26</v>
      </c>
      <c r="AB15" s="3">
        <f t="shared" si="0"/>
        <v>135534.23999999996</v>
      </c>
      <c r="AC15" s="3">
        <v>4</v>
      </c>
      <c r="AD15" s="51"/>
      <c r="AE15" s="46">
        <f>+AD42</f>
        <v>4201561.4399999985</v>
      </c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</row>
    <row r="16" spans="2:60">
      <c r="B16" s="48"/>
      <c r="C16" s="1" t="s">
        <v>7</v>
      </c>
      <c r="D16" s="2">
        <v>5647.26</v>
      </c>
      <c r="E16" s="2">
        <v>5647.26</v>
      </c>
      <c r="F16" s="2">
        <v>5647.26</v>
      </c>
      <c r="G16" s="2">
        <v>5647.26</v>
      </c>
      <c r="H16" s="2">
        <v>5647.26</v>
      </c>
      <c r="I16" s="2">
        <v>5647.26</v>
      </c>
      <c r="J16" s="2">
        <v>5647.26</v>
      </c>
      <c r="K16" s="2">
        <v>5647.26</v>
      </c>
      <c r="L16" s="2">
        <v>5647.26</v>
      </c>
      <c r="M16" s="2">
        <v>5647.26</v>
      </c>
      <c r="N16" s="2">
        <v>5647.26</v>
      </c>
      <c r="O16" s="2">
        <v>5647.26</v>
      </c>
      <c r="P16" s="2">
        <v>5647.26</v>
      </c>
      <c r="Q16" s="2">
        <v>5647.26</v>
      </c>
      <c r="R16" s="2">
        <v>5647.26</v>
      </c>
      <c r="S16" s="2">
        <v>5647.26</v>
      </c>
      <c r="T16" s="2">
        <v>5647.26</v>
      </c>
      <c r="U16" s="2">
        <v>5647.26</v>
      </c>
      <c r="V16" s="2">
        <v>5647.26</v>
      </c>
      <c r="W16" s="2">
        <v>5647.26</v>
      </c>
      <c r="X16" s="2">
        <v>5647.26</v>
      </c>
      <c r="Y16" s="2">
        <v>5647.26</v>
      </c>
      <c r="Z16" s="2">
        <v>5647.26</v>
      </c>
      <c r="AA16" s="12">
        <v>5647.26</v>
      </c>
      <c r="AB16" s="3">
        <f t="shared" si="0"/>
        <v>135534.23999999996</v>
      </c>
      <c r="AC16" s="3">
        <v>5</v>
      </c>
      <c r="AD16" s="51"/>
      <c r="AE16" s="46">
        <f>+AD46</f>
        <v>4066027.1999999988</v>
      </c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</row>
    <row r="17" spans="2:60" ht="15" thickBot="1">
      <c r="B17" s="49"/>
      <c r="C17" s="9" t="s">
        <v>8</v>
      </c>
      <c r="D17" s="10">
        <v>5647.26</v>
      </c>
      <c r="E17" s="10">
        <v>5647.26</v>
      </c>
      <c r="F17" s="10">
        <v>5647.26</v>
      </c>
      <c r="G17" s="10">
        <v>5647.26</v>
      </c>
      <c r="H17" s="10">
        <v>5647.26</v>
      </c>
      <c r="I17" s="10">
        <v>5647.26</v>
      </c>
      <c r="J17" s="10">
        <v>5647.26</v>
      </c>
      <c r="K17" s="10">
        <v>5647.26</v>
      </c>
      <c r="L17" s="10">
        <v>5647.26</v>
      </c>
      <c r="M17" s="10">
        <v>5647.26</v>
      </c>
      <c r="N17" s="10">
        <v>5647.26</v>
      </c>
      <c r="O17" s="10">
        <v>5647.26</v>
      </c>
      <c r="P17" s="10">
        <v>5647.26</v>
      </c>
      <c r="Q17" s="10">
        <v>5647.26</v>
      </c>
      <c r="R17" s="10">
        <v>5647.26</v>
      </c>
      <c r="S17" s="10">
        <v>5647.26</v>
      </c>
      <c r="T17" s="10">
        <v>5647.26</v>
      </c>
      <c r="U17" s="10">
        <v>5647.26</v>
      </c>
      <c r="V17" s="10">
        <v>5647.26</v>
      </c>
      <c r="W17" s="10">
        <v>5647.26</v>
      </c>
      <c r="X17" s="10">
        <v>5647.26</v>
      </c>
      <c r="Y17" s="10">
        <v>5647.26</v>
      </c>
      <c r="Z17" s="10">
        <v>5647.26</v>
      </c>
      <c r="AA17" s="13">
        <v>5647.26</v>
      </c>
      <c r="AB17" s="6">
        <f t="shared" si="0"/>
        <v>135534.23999999996</v>
      </c>
      <c r="AC17" s="6">
        <v>1</v>
      </c>
      <c r="AD17" s="52"/>
      <c r="AE17" s="46">
        <f>+AD50</f>
        <v>4201561.4399999985</v>
      </c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</row>
    <row r="18" spans="2:60">
      <c r="B18" s="47">
        <v>46113</v>
      </c>
      <c r="C18" s="8" t="s">
        <v>5</v>
      </c>
      <c r="D18" s="7">
        <v>5647.26</v>
      </c>
      <c r="E18" s="7">
        <v>5647.26</v>
      </c>
      <c r="F18" s="7">
        <v>5647.26</v>
      </c>
      <c r="G18" s="7">
        <v>5647.26</v>
      </c>
      <c r="H18" s="7">
        <v>5647.26</v>
      </c>
      <c r="I18" s="7">
        <v>5647.26</v>
      </c>
      <c r="J18" s="7">
        <v>5647.26</v>
      </c>
      <c r="K18" s="7">
        <v>5647.26</v>
      </c>
      <c r="L18" s="7">
        <v>5647.26</v>
      </c>
      <c r="M18" s="7">
        <v>5647.26</v>
      </c>
      <c r="N18" s="7">
        <v>5647.26</v>
      </c>
      <c r="O18" s="7">
        <v>5647.26</v>
      </c>
      <c r="P18" s="7">
        <v>5647.26</v>
      </c>
      <c r="Q18" s="7">
        <v>5647.26</v>
      </c>
      <c r="R18" s="7">
        <v>5647.26</v>
      </c>
      <c r="S18" s="7">
        <v>5647.26</v>
      </c>
      <c r="T18" s="7">
        <v>5647.26</v>
      </c>
      <c r="U18" s="7">
        <v>5647.26</v>
      </c>
      <c r="V18" s="7">
        <v>5647.26</v>
      </c>
      <c r="W18" s="7">
        <v>5647.26</v>
      </c>
      <c r="X18" s="7">
        <v>5647.26</v>
      </c>
      <c r="Y18" s="7">
        <v>5647.26</v>
      </c>
      <c r="Z18" s="7">
        <v>5647.26</v>
      </c>
      <c r="AA18" s="11">
        <v>5647.26</v>
      </c>
      <c r="AB18" s="5">
        <f t="shared" si="0"/>
        <v>135534.23999999996</v>
      </c>
      <c r="AC18" s="5">
        <v>20</v>
      </c>
      <c r="AD18" s="50">
        <f>(AB18*AC18)+(AB19*AC19)+(AB20*AC20)+(AB21*AC21)</f>
        <v>4066027.1999999993</v>
      </c>
      <c r="AE18" s="46" t="e">
        <f>+#REF!</f>
        <v>#REF!</v>
      </c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</row>
    <row r="19" spans="2:60">
      <c r="B19" s="48"/>
      <c r="C19" s="1" t="s">
        <v>6</v>
      </c>
      <c r="D19" s="2">
        <v>5647.26</v>
      </c>
      <c r="E19" s="2">
        <v>5647.26</v>
      </c>
      <c r="F19" s="2">
        <v>5647.26</v>
      </c>
      <c r="G19" s="2">
        <v>5647.26</v>
      </c>
      <c r="H19" s="2">
        <v>5647.26</v>
      </c>
      <c r="I19" s="2">
        <v>5647.26</v>
      </c>
      <c r="J19" s="2">
        <v>5647.26</v>
      </c>
      <c r="K19" s="2">
        <v>5647.26</v>
      </c>
      <c r="L19" s="2">
        <v>5647.26</v>
      </c>
      <c r="M19" s="2">
        <v>5647.26</v>
      </c>
      <c r="N19" s="2">
        <v>5647.26</v>
      </c>
      <c r="O19" s="2">
        <v>5647.26</v>
      </c>
      <c r="P19" s="2">
        <v>5647.26</v>
      </c>
      <c r="Q19" s="2">
        <v>5647.26</v>
      </c>
      <c r="R19" s="2">
        <v>5647.26</v>
      </c>
      <c r="S19" s="2">
        <v>5647.26</v>
      </c>
      <c r="T19" s="2">
        <v>5647.26</v>
      </c>
      <c r="U19" s="2">
        <v>5647.26</v>
      </c>
      <c r="V19" s="2">
        <v>5647.26</v>
      </c>
      <c r="W19" s="2">
        <v>5647.26</v>
      </c>
      <c r="X19" s="2">
        <v>5647.26</v>
      </c>
      <c r="Y19" s="2">
        <v>5647.26</v>
      </c>
      <c r="Z19" s="2">
        <v>5647.26</v>
      </c>
      <c r="AA19" s="12">
        <v>5647.26</v>
      </c>
      <c r="AB19" s="3">
        <f t="shared" si="0"/>
        <v>135534.23999999996</v>
      </c>
      <c r="AC19" s="3">
        <v>4</v>
      </c>
      <c r="AD19" s="51"/>
      <c r="AE19" s="46" t="e">
        <f>+#REF!</f>
        <v>#REF!</v>
      </c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</row>
    <row r="20" spans="2:60">
      <c r="B20" s="48"/>
      <c r="C20" s="1" t="s">
        <v>7</v>
      </c>
      <c r="D20" s="2">
        <v>5647.26</v>
      </c>
      <c r="E20" s="2">
        <v>5647.26</v>
      </c>
      <c r="F20" s="2">
        <v>5647.26</v>
      </c>
      <c r="G20" s="2">
        <v>5647.26</v>
      </c>
      <c r="H20" s="2">
        <v>5647.26</v>
      </c>
      <c r="I20" s="2">
        <v>5647.26</v>
      </c>
      <c r="J20" s="2">
        <v>5647.26</v>
      </c>
      <c r="K20" s="2">
        <v>5647.26</v>
      </c>
      <c r="L20" s="2">
        <v>5647.26</v>
      </c>
      <c r="M20" s="2">
        <v>5647.26</v>
      </c>
      <c r="N20" s="2">
        <v>5647.26</v>
      </c>
      <c r="O20" s="2">
        <v>5647.26</v>
      </c>
      <c r="P20" s="2">
        <v>5647.26</v>
      </c>
      <c r="Q20" s="2">
        <v>5647.26</v>
      </c>
      <c r="R20" s="2">
        <v>5647.26</v>
      </c>
      <c r="S20" s="2">
        <v>5647.26</v>
      </c>
      <c r="T20" s="2">
        <v>5647.26</v>
      </c>
      <c r="U20" s="2">
        <v>5647.26</v>
      </c>
      <c r="V20" s="2">
        <v>5647.26</v>
      </c>
      <c r="W20" s="2">
        <v>5647.26</v>
      </c>
      <c r="X20" s="2">
        <v>5647.26</v>
      </c>
      <c r="Y20" s="2">
        <v>5647.26</v>
      </c>
      <c r="Z20" s="2">
        <v>5647.26</v>
      </c>
      <c r="AA20" s="12">
        <v>5647.26</v>
      </c>
      <c r="AB20" s="3">
        <f t="shared" si="0"/>
        <v>135534.23999999996</v>
      </c>
      <c r="AC20" s="3">
        <v>4</v>
      </c>
      <c r="AD20" s="51"/>
      <c r="AE20" s="46" t="e">
        <f>+#REF!</f>
        <v>#REF!</v>
      </c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</row>
    <row r="21" spans="2:60" ht="15" thickBot="1">
      <c r="B21" s="49"/>
      <c r="C21" s="9" t="s">
        <v>8</v>
      </c>
      <c r="D21" s="10">
        <v>5647.26</v>
      </c>
      <c r="E21" s="10">
        <v>5647.26</v>
      </c>
      <c r="F21" s="10">
        <v>5647.26</v>
      </c>
      <c r="G21" s="10">
        <v>5647.26</v>
      </c>
      <c r="H21" s="10">
        <v>5647.26</v>
      </c>
      <c r="I21" s="10">
        <v>5647.26</v>
      </c>
      <c r="J21" s="10">
        <v>5647.26</v>
      </c>
      <c r="K21" s="10">
        <v>5647.26</v>
      </c>
      <c r="L21" s="10">
        <v>5647.26</v>
      </c>
      <c r="M21" s="10">
        <v>5647.26</v>
      </c>
      <c r="N21" s="10">
        <v>5647.26</v>
      </c>
      <c r="O21" s="10">
        <v>5647.26</v>
      </c>
      <c r="P21" s="10">
        <v>5647.26</v>
      </c>
      <c r="Q21" s="10">
        <v>5647.26</v>
      </c>
      <c r="R21" s="10">
        <v>5647.26</v>
      </c>
      <c r="S21" s="10">
        <v>5647.26</v>
      </c>
      <c r="T21" s="10">
        <v>5647.26</v>
      </c>
      <c r="U21" s="10">
        <v>5647.26</v>
      </c>
      <c r="V21" s="10">
        <v>5647.26</v>
      </c>
      <c r="W21" s="10">
        <v>5647.26</v>
      </c>
      <c r="X21" s="10">
        <v>5647.26</v>
      </c>
      <c r="Y21" s="10">
        <v>5647.26</v>
      </c>
      <c r="Z21" s="10">
        <v>5647.26</v>
      </c>
      <c r="AA21" s="13">
        <v>5647.26</v>
      </c>
      <c r="AB21" s="6">
        <f t="shared" si="0"/>
        <v>135534.23999999996</v>
      </c>
      <c r="AC21" s="6">
        <v>2</v>
      </c>
      <c r="AD21" s="52"/>
      <c r="AE21" s="46" t="e">
        <f>+#REF!</f>
        <v>#REF!</v>
      </c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</row>
    <row r="22" spans="2:60">
      <c r="B22" s="47">
        <v>46143</v>
      </c>
      <c r="C22" s="8" t="s">
        <v>5</v>
      </c>
      <c r="D22" s="7">
        <v>5647.26</v>
      </c>
      <c r="E22" s="7">
        <v>5647.26</v>
      </c>
      <c r="F22" s="7">
        <v>5647.26</v>
      </c>
      <c r="G22" s="7">
        <v>5647.26</v>
      </c>
      <c r="H22" s="7">
        <v>5647.26</v>
      </c>
      <c r="I22" s="7">
        <v>5647.26</v>
      </c>
      <c r="J22" s="7">
        <v>5647.26</v>
      </c>
      <c r="K22" s="7">
        <v>5647.26</v>
      </c>
      <c r="L22" s="7">
        <v>5647.26</v>
      </c>
      <c r="M22" s="7">
        <v>5647.26</v>
      </c>
      <c r="N22" s="7">
        <v>5647.26</v>
      </c>
      <c r="O22" s="7">
        <v>5647.26</v>
      </c>
      <c r="P22" s="7">
        <v>5647.26</v>
      </c>
      <c r="Q22" s="7">
        <v>5647.26</v>
      </c>
      <c r="R22" s="7">
        <v>5647.26</v>
      </c>
      <c r="S22" s="7">
        <v>5647.26</v>
      </c>
      <c r="T22" s="7">
        <v>5647.26</v>
      </c>
      <c r="U22" s="7">
        <v>5647.26</v>
      </c>
      <c r="V22" s="7">
        <v>5647.26</v>
      </c>
      <c r="W22" s="7">
        <v>5647.26</v>
      </c>
      <c r="X22" s="7">
        <v>5647.26</v>
      </c>
      <c r="Y22" s="7">
        <v>5647.26</v>
      </c>
      <c r="Z22" s="7">
        <v>5647.26</v>
      </c>
      <c r="AA22" s="11">
        <v>5647.26</v>
      </c>
      <c r="AB22" s="5">
        <f t="shared" si="0"/>
        <v>135534.23999999996</v>
      </c>
      <c r="AC22" s="5">
        <v>19</v>
      </c>
      <c r="AD22" s="50">
        <f>(AB22*AC22)+(AB23*AC23)+(AB24*AC24)+(AB25*AC25)</f>
        <v>4201561.4399999985</v>
      </c>
      <c r="AE22" s="46" t="e">
        <f>+#REF!</f>
        <v>#REF!</v>
      </c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</row>
    <row r="23" spans="2:60">
      <c r="B23" s="48"/>
      <c r="C23" s="1" t="s">
        <v>6</v>
      </c>
      <c r="D23" s="2">
        <v>5647.26</v>
      </c>
      <c r="E23" s="2">
        <v>5647.26</v>
      </c>
      <c r="F23" s="2">
        <v>5647.26</v>
      </c>
      <c r="G23" s="2">
        <v>5647.26</v>
      </c>
      <c r="H23" s="2">
        <v>5647.26</v>
      </c>
      <c r="I23" s="2">
        <v>5647.26</v>
      </c>
      <c r="J23" s="2">
        <v>5647.26</v>
      </c>
      <c r="K23" s="2">
        <v>5647.26</v>
      </c>
      <c r="L23" s="2">
        <v>5647.26</v>
      </c>
      <c r="M23" s="2">
        <v>5647.26</v>
      </c>
      <c r="N23" s="2">
        <v>5647.26</v>
      </c>
      <c r="O23" s="2">
        <v>5647.26</v>
      </c>
      <c r="P23" s="2">
        <v>5647.26</v>
      </c>
      <c r="Q23" s="2">
        <v>5647.26</v>
      </c>
      <c r="R23" s="2">
        <v>5647.26</v>
      </c>
      <c r="S23" s="2">
        <v>5647.26</v>
      </c>
      <c r="T23" s="2">
        <v>5647.26</v>
      </c>
      <c r="U23" s="2">
        <v>5647.26</v>
      </c>
      <c r="V23" s="2">
        <v>5647.26</v>
      </c>
      <c r="W23" s="2">
        <v>5647.26</v>
      </c>
      <c r="X23" s="2">
        <v>5647.26</v>
      </c>
      <c r="Y23" s="2">
        <v>5647.26</v>
      </c>
      <c r="Z23" s="2">
        <v>5647.26</v>
      </c>
      <c r="AA23" s="12">
        <v>5647.26</v>
      </c>
      <c r="AB23" s="3">
        <f t="shared" si="0"/>
        <v>135534.23999999996</v>
      </c>
      <c r="AC23" s="3">
        <v>5</v>
      </c>
      <c r="AD23" s="51"/>
      <c r="AE23" s="46" t="e">
        <f>+#REF!</f>
        <v>#REF!</v>
      </c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</row>
    <row r="24" spans="2:60">
      <c r="B24" s="48"/>
      <c r="C24" s="1" t="s">
        <v>7</v>
      </c>
      <c r="D24" s="2">
        <v>5647.26</v>
      </c>
      <c r="E24" s="2">
        <v>5647.26</v>
      </c>
      <c r="F24" s="2">
        <v>5647.26</v>
      </c>
      <c r="G24" s="2">
        <v>5647.26</v>
      </c>
      <c r="H24" s="2">
        <v>5647.26</v>
      </c>
      <c r="I24" s="2">
        <v>5647.26</v>
      </c>
      <c r="J24" s="2">
        <v>5647.26</v>
      </c>
      <c r="K24" s="2">
        <v>5647.26</v>
      </c>
      <c r="L24" s="2">
        <v>5647.26</v>
      </c>
      <c r="M24" s="2">
        <v>5647.26</v>
      </c>
      <c r="N24" s="2">
        <v>5647.26</v>
      </c>
      <c r="O24" s="2">
        <v>5647.26</v>
      </c>
      <c r="P24" s="2">
        <v>5647.26</v>
      </c>
      <c r="Q24" s="2">
        <v>5647.26</v>
      </c>
      <c r="R24" s="2">
        <v>5647.26</v>
      </c>
      <c r="S24" s="2">
        <v>5647.26</v>
      </c>
      <c r="T24" s="2">
        <v>5647.26</v>
      </c>
      <c r="U24" s="2">
        <v>5647.26</v>
      </c>
      <c r="V24" s="2">
        <v>5647.26</v>
      </c>
      <c r="W24" s="2">
        <v>5647.26</v>
      </c>
      <c r="X24" s="2">
        <v>5647.26</v>
      </c>
      <c r="Y24" s="2">
        <v>5647.26</v>
      </c>
      <c r="Z24" s="2">
        <v>5647.26</v>
      </c>
      <c r="AA24" s="12">
        <v>5647.26</v>
      </c>
      <c r="AB24" s="3">
        <f t="shared" si="0"/>
        <v>135534.23999999996</v>
      </c>
      <c r="AC24" s="3">
        <v>5</v>
      </c>
      <c r="AD24" s="51"/>
      <c r="AE24" s="46" t="e">
        <f>+#REF!</f>
        <v>#REF!</v>
      </c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</row>
    <row r="25" spans="2:60" ht="15" thickBot="1">
      <c r="B25" s="49"/>
      <c r="C25" s="9" t="s">
        <v>8</v>
      </c>
      <c r="D25" s="10">
        <v>5647.26</v>
      </c>
      <c r="E25" s="10">
        <v>5647.26</v>
      </c>
      <c r="F25" s="10">
        <v>5647.26</v>
      </c>
      <c r="G25" s="10">
        <v>5647.26</v>
      </c>
      <c r="H25" s="10">
        <v>5647.26</v>
      </c>
      <c r="I25" s="10">
        <v>5647.26</v>
      </c>
      <c r="J25" s="10">
        <v>5647.26</v>
      </c>
      <c r="K25" s="10">
        <v>5647.26</v>
      </c>
      <c r="L25" s="10">
        <v>5647.26</v>
      </c>
      <c r="M25" s="10">
        <v>5647.26</v>
      </c>
      <c r="N25" s="10">
        <v>5647.26</v>
      </c>
      <c r="O25" s="10">
        <v>5647.26</v>
      </c>
      <c r="P25" s="10">
        <v>5647.26</v>
      </c>
      <c r="Q25" s="10">
        <v>5647.26</v>
      </c>
      <c r="R25" s="10">
        <v>5647.26</v>
      </c>
      <c r="S25" s="10">
        <v>5647.26</v>
      </c>
      <c r="T25" s="10">
        <v>5647.26</v>
      </c>
      <c r="U25" s="10">
        <v>5647.26</v>
      </c>
      <c r="V25" s="10">
        <v>5647.26</v>
      </c>
      <c r="W25" s="10">
        <v>5647.26</v>
      </c>
      <c r="X25" s="10">
        <v>5647.26</v>
      </c>
      <c r="Y25" s="10">
        <v>5647.26</v>
      </c>
      <c r="Z25" s="10">
        <v>5647.26</v>
      </c>
      <c r="AA25" s="13">
        <v>5647.26</v>
      </c>
      <c r="AB25" s="6">
        <f t="shared" si="0"/>
        <v>135534.23999999996</v>
      </c>
      <c r="AC25" s="6">
        <v>2</v>
      </c>
      <c r="AD25" s="52"/>
      <c r="AE25" s="46" t="e">
        <f>+#REF!</f>
        <v>#REF!</v>
      </c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</row>
    <row r="26" spans="2:60">
      <c r="B26" s="47">
        <v>46174</v>
      </c>
      <c r="C26" s="8" t="s">
        <v>5</v>
      </c>
      <c r="D26" s="7">
        <v>5647.26</v>
      </c>
      <c r="E26" s="7">
        <v>5647.26</v>
      </c>
      <c r="F26" s="7">
        <v>5647.26</v>
      </c>
      <c r="G26" s="7">
        <v>5647.26</v>
      </c>
      <c r="H26" s="7">
        <v>5647.26</v>
      </c>
      <c r="I26" s="7">
        <v>5647.26</v>
      </c>
      <c r="J26" s="7">
        <v>5647.26</v>
      </c>
      <c r="K26" s="7">
        <v>5647.26</v>
      </c>
      <c r="L26" s="7">
        <v>5647.26</v>
      </c>
      <c r="M26" s="7">
        <v>5647.26</v>
      </c>
      <c r="N26" s="7">
        <v>5647.26</v>
      </c>
      <c r="O26" s="7">
        <v>5647.26</v>
      </c>
      <c r="P26" s="7">
        <v>5647.26</v>
      </c>
      <c r="Q26" s="7">
        <v>5647.26</v>
      </c>
      <c r="R26" s="7">
        <v>5647.26</v>
      </c>
      <c r="S26" s="7">
        <v>5647.26</v>
      </c>
      <c r="T26" s="7">
        <v>5647.26</v>
      </c>
      <c r="U26" s="7">
        <v>5647.26</v>
      </c>
      <c r="V26" s="7">
        <v>5647.26</v>
      </c>
      <c r="W26" s="7">
        <v>5647.26</v>
      </c>
      <c r="X26" s="7">
        <v>5647.26</v>
      </c>
      <c r="Y26" s="7">
        <v>5647.26</v>
      </c>
      <c r="Z26" s="7">
        <v>5647.26</v>
      </c>
      <c r="AA26" s="11">
        <v>5647.26</v>
      </c>
      <c r="AB26" s="5">
        <f t="shared" si="0"/>
        <v>135534.23999999996</v>
      </c>
      <c r="AC26" s="5">
        <v>19</v>
      </c>
      <c r="AD26" s="50">
        <f>(AB26*AC26)+(AB27*AC27)+(AB28*AC28)+(AB29*AC29)</f>
        <v>4066027.1999999988</v>
      </c>
      <c r="AE26" s="46" t="e">
        <f>+#REF!</f>
        <v>#REF!</v>
      </c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</row>
    <row r="27" spans="2:60">
      <c r="B27" s="48"/>
      <c r="C27" s="1" t="s">
        <v>6</v>
      </c>
      <c r="D27" s="2">
        <v>5647.26</v>
      </c>
      <c r="E27" s="2">
        <v>5647.26</v>
      </c>
      <c r="F27" s="2">
        <v>5647.26</v>
      </c>
      <c r="G27" s="2">
        <v>5647.26</v>
      </c>
      <c r="H27" s="2">
        <v>5647.26</v>
      </c>
      <c r="I27" s="2">
        <v>5647.26</v>
      </c>
      <c r="J27" s="2">
        <v>5647.26</v>
      </c>
      <c r="K27" s="2">
        <v>5647.26</v>
      </c>
      <c r="L27" s="2">
        <v>5647.26</v>
      </c>
      <c r="M27" s="2">
        <v>5647.26</v>
      </c>
      <c r="N27" s="2">
        <v>5647.26</v>
      </c>
      <c r="O27" s="2">
        <v>5647.26</v>
      </c>
      <c r="P27" s="2">
        <v>5647.26</v>
      </c>
      <c r="Q27" s="2">
        <v>5647.26</v>
      </c>
      <c r="R27" s="2">
        <v>5647.26</v>
      </c>
      <c r="S27" s="2">
        <v>5647.26</v>
      </c>
      <c r="T27" s="2">
        <v>5647.26</v>
      </c>
      <c r="U27" s="2">
        <v>5647.26</v>
      </c>
      <c r="V27" s="2">
        <v>5647.26</v>
      </c>
      <c r="W27" s="2">
        <v>5647.26</v>
      </c>
      <c r="X27" s="2">
        <v>5647.26</v>
      </c>
      <c r="Y27" s="2">
        <v>5647.26</v>
      </c>
      <c r="Z27" s="2">
        <v>5647.26</v>
      </c>
      <c r="AA27" s="12">
        <v>5647.26</v>
      </c>
      <c r="AB27" s="3">
        <f t="shared" si="0"/>
        <v>135534.23999999996</v>
      </c>
      <c r="AC27" s="3">
        <v>4</v>
      </c>
      <c r="AD27" s="51"/>
      <c r="AE27" s="46" t="e">
        <f>+#REF!</f>
        <v>#REF!</v>
      </c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</row>
    <row r="28" spans="2:60">
      <c r="B28" s="48"/>
      <c r="C28" s="1" t="s">
        <v>7</v>
      </c>
      <c r="D28" s="2">
        <v>5647.26</v>
      </c>
      <c r="E28" s="2">
        <v>5647.26</v>
      </c>
      <c r="F28" s="2">
        <v>5647.26</v>
      </c>
      <c r="G28" s="2">
        <v>5647.26</v>
      </c>
      <c r="H28" s="2">
        <v>5647.26</v>
      </c>
      <c r="I28" s="2">
        <v>5647.26</v>
      </c>
      <c r="J28" s="2">
        <v>5647.26</v>
      </c>
      <c r="K28" s="2">
        <v>5647.26</v>
      </c>
      <c r="L28" s="2">
        <v>5647.26</v>
      </c>
      <c r="M28" s="2">
        <v>5647.26</v>
      </c>
      <c r="N28" s="2">
        <v>5647.26</v>
      </c>
      <c r="O28" s="2">
        <v>5647.26</v>
      </c>
      <c r="P28" s="2">
        <v>5647.26</v>
      </c>
      <c r="Q28" s="2">
        <v>5647.26</v>
      </c>
      <c r="R28" s="2">
        <v>5647.26</v>
      </c>
      <c r="S28" s="2">
        <v>5647.26</v>
      </c>
      <c r="T28" s="2">
        <v>5647.26</v>
      </c>
      <c r="U28" s="2">
        <v>5647.26</v>
      </c>
      <c r="V28" s="2">
        <v>5647.26</v>
      </c>
      <c r="W28" s="2">
        <v>5647.26</v>
      </c>
      <c r="X28" s="2">
        <v>5647.26</v>
      </c>
      <c r="Y28" s="2">
        <v>5647.26</v>
      </c>
      <c r="Z28" s="2">
        <v>5647.26</v>
      </c>
      <c r="AA28" s="12">
        <v>5647.26</v>
      </c>
      <c r="AB28" s="3">
        <f t="shared" si="0"/>
        <v>135534.23999999996</v>
      </c>
      <c r="AC28" s="3">
        <v>4</v>
      </c>
      <c r="AD28" s="51"/>
      <c r="AE28" s="46" t="e">
        <f>+#REF!</f>
        <v>#REF!</v>
      </c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</row>
    <row r="29" spans="2:60" ht="15" thickBot="1">
      <c r="B29" s="49"/>
      <c r="C29" s="9" t="s">
        <v>8</v>
      </c>
      <c r="D29" s="10">
        <v>5647.26</v>
      </c>
      <c r="E29" s="10">
        <v>5647.26</v>
      </c>
      <c r="F29" s="10">
        <v>5647.26</v>
      </c>
      <c r="G29" s="10">
        <v>5647.26</v>
      </c>
      <c r="H29" s="10">
        <v>5647.26</v>
      </c>
      <c r="I29" s="10">
        <v>5647.26</v>
      </c>
      <c r="J29" s="10">
        <v>5647.26</v>
      </c>
      <c r="K29" s="10">
        <v>5647.26</v>
      </c>
      <c r="L29" s="10">
        <v>5647.26</v>
      </c>
      <c r="M29" s="10">
        <v>5647.26</v>
      </c>
      <c r="N29" s="10">
        <v>5647.26</v>
      </c>
      <c r="O29" s="10">
        <v>5647.26</v>
      </c>
      <c r="P29" s="10">
        <v>5647.26</v>
      </c>
      <c r="Q29" s="10">
        <v>5647.26</v>
      </c>
      <c r="R29" s="10">
        <v>5647.26</v>
      </c>
      <c r="S29" s="10">
        <v>5647.26</v>
      </c>
      <c r="T29" s="10">
        <v>5647.26</v>
      </c>
      <c r="U29" s="10">
        <v>5647.26</v>
      </c>
      <c r="V29" s="10">
        <v>5647.26</v>
      </c>
      <c r="W29" s="10">
        <v>5647.26</v>
      </c>
      <c r="X29" s="10">
        <v>5647.26</v>
      </c>
      <c r="Y29" s="10">
        <v>5647.26</v>
      </c>
      <c r="Z29" s="10">
        <v>5647.26</v>
      </c>
      <c r="AA29" s="13">
        <v>5647.26</v>
      </c>
      <c r="AB29" s="6">
        <f t="shared" si="0"/>
        <v>135534.23999999996</v>
      </c>
      <c r="AC29" s="6">
        <v>3</v>
      </c>
      <c r="AD29" s="52"/>
      <c r="AE29" s="46" t="e">
        <f>+#REF!</f>
        <v>#REF!</v>
      </c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</row>
    <row r="30" spans="2:60">
      <c r="B30" s="47">
        <v>46204</v>
      </c>
      <c r="C30" s="8" t="s">
        <v>5</v>
      </c>
      <c r="D30" s="7">
        <v>5647.26</v>
      </c>
      <c r="E30" s="7">
        <v>5647.26</v>
      </c>
      <c r="F30" s="7">
        <v>5647.26</v>
      </c>
      <c r="G30" s="7">
        <v>5647.26</v>
      </c>
      <c r="H30" s="7">
        <v>5647.26</v>
      </c>
      <c r="I30" s="7">
        <v>5647.26</v>
      </c>
      <c r="J30" s="7">
        <v>5647.26</v>
      </c>
      <c r="K30" s="7">
        <v>5647.26</v>
      </c>
      <c r="L30" s="7">
        <v>5647.26</v>
      </c>
      <c r="M30" s="7">
        <v>5647.26</v>
      </c>
      <c r="N30" s="7">
        <v>5647.26</v>
      </c>
      <c r="O30" s="7">
        <v>5647.26</v>
      </c>
      <c r="P30" s="7">
        <v>5647.26</v>
      </c>
      <c r="Q30" s="7">
        <v>5647.26</v>
      </c>
      <c r="R30" s="7">
        <v>5647.26</v>
      </c>
      <c r="S30" s="7">
        <v>5647.26</v>
      </c>
      <c r="T30" s="7">
        <v>5647.26</v>
      </c>
      <c r="U30" s="7">
        <v>5647.26</v>
      </c>
      <c r="V30" s="7">
        <v>5647.26</v>
      </c>
      <c r="W30" s="7">
        <v>5647.26</v>
      </c>
      <c r="X30" s="7">
        <v>5647.26</v>
      </c>
      <c r="Y30" s="7">
        <v>5647.26</v>
      </c>
      <c r="Z30" s="7">
        <v>5647.26</v>
      </c>
      <c r="AA30" s="11">
        <v>5647.26</v>
      </c>
      <c r="AB30" s="5">
        <f t="shared" si="0"/>
        <v>135534.23999999996</v>
      </c>
      <c r="AC30" s="5">
        <v>22</v>
      </c>
      <c r="AD30" s="50">
        <f>(AB30*AC30)+(AB31*AC31)+(AB32*AC32)+(AB33*AC33)</f>
        <v>4201561.4399999995</v>
      </c>
      <c r="AE30" s="46" t="e">
        <f>+#REF!</f>
        <v>#REF!</v>
      </c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</row>
    <row r="31" spans="2:60">
      <c r="B31" s="48"/>
      <c r="C31" s="1" t="s">
        <v>6</v>
      </c>
      <c r="D31" s="2">
        <v>5647.26</v>
      </c>
      <c r="E31" s="2">
        <v>5647.26</v>
      </c>
      <c r="F31" s="2">
        <v>5647.26</v>
      </c>
      <c r="G31" s="2">
        <v>5647.26</v>
      </c>
      <c r="H31" s="2">
        <v>5647.26</v>
      </c>
      <c r="I31" s="2">
        <v>5647.26</v>
      </c>
      <c r="J31" s="2">
        <v>5647.26</v>
      </c>
      <c r="K31" s="2">
        <v>5647.26</v>
      </c>
      <c r="L31" s="2">
        <v>5647.26</v>
      </c>
      <c r="M31" s="2">
        <v>5647.26</v>
      </c>
      <c r="N31" s="2">
        <v>5647.26</v>
      </c>
      <c r="O31" s="2">
        <v>5647.26</v>
      </c>
      <c r="P31" s="2">
        <v>5647.26</v>
      </c>
      <c r="Q31" s="2">
        <v>5647.26</v>
      </c>
      <c r="R31" s="2">
        <v>5647.26</v>
      </c>
      <c r="S31" s="2">
        <v>5647.26</v>
      </c>
      <c r="T31" s="2">
        <v>5647.26</v>
      </c>
      <c r="U31" s="2">
        <v>5647.26</v>
      </c>
      <c r="V31" s="2">
        <v>5647.26</v>
      </c>
      <c r="W31" s="2">
        <v>5647.26</v>
      </c>
      <c r="X31" s="2">
        <v>5647.26</v>
      </c>
      <c r="Y31" s="2">
        <v>5647.26</v>
      </c>
      <c r="Z31" s="2">
        <v>5647.26</v>
      </c>
      <c r="AA31" s="12">
        <v>5647.26</v>
      </c>
      <c r="AB31" s="3">
        <f t="shared" si="0"/>
        <v>135534.23999999996</v>
      </c>
      <c r="AC31" s="3">
        <v>4</v>
      </c>
      <c r="AD31" s="51"/>
      <c r="AE31" s="46" t="e">
        <f>+#REF!</f>
        <v>#REF!</v>
      </c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</row>
    <row r="32" spans="2:60">
      <c r="B32" s="48"/>
      <c r="C32" s="1" t="s">
        <v>4</v>
      </c>
      <c r="D32" s="2">
        <v>5647.26</v>
      </c>
      <c r="E32" s="2">
        <v>5647.26</v>
      </c>
      <c r="F32" s="2">
        <v>5647.26</v>
      </c>
      <c r="G32" s="2">
        <v>5647.26</v>
      </c>
      <c r="H32" s="2">
        <v>5647.26</v>
      </c>
      <c r="I32" s="2">
        <v>5647.26</v>
      </c>
      <c r="J32" s="2">
        <v>5647.26</v>
      </c>
      <c r="K32" s="2">
        <v>5647.26</v>
      </c>
      <c r="L32" s="2">
        <v>5647.26</v>
      </c>
      <c r="M32" s="2">
        <v>5647.26</v>
      </c>
      <c r="N32" s="2">
        <v>5647.26</v>
      </c>
      <c r="O32" s="2">
        <v>5647.26</v>
      </c>
      <c r="P32" s="2">
        <v>5647.26</v>
      </c>
      <c r="Q32" s="2">
        <v>5647.26</v>
      </c>
      <c r="R32" s="2">
        <v>5647.26</v>
      </c>
      <c r="S32" s="2">
        <v>5647.26</v>
      </c>
      <c r="T32" s="2">
        <v>5647.26</v>
      </c>
      <c r="U32" s="2">
        <v>5647.26</v>
      </c>
      <c r="V32" s="2">
        <v>5647.26</v>
      </c>
      <c r="W32" s="2">
        <v>5647.26</v>
      </c>
      <c r="X32" s="2">
        <v>5647.26</v>
      </c>
      <c r="Y32" s="2">
        <v>5647.26</v>
      </c>
      <c r="Z32" s="2">
        <v>5647.26</v>
      </c>
      <c r="AA32" s="12">
        <v>5647.26</v>
      </c>
      <c r="AB32" s="3">
        <f t="shared" si="0"/>
        <v>135534.23999999996</v>
      </c>
      <c r="AC32" s="3">
        <v>4</v>
      </c>
      <c r="AD32" s="51"/>
      <c r="AE32" s="46" t="e">
        <f>+#REF!</f>
        <v>#REF!</v>
      </c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</row>
    <row r="33" spans="2:60" ht="15" thickBot="1">
      <c r="B33" s="49"/>
      <c r="C33" s="9" t="s">
        <v>8</v>
      </c>
      <c r="D33" s="10">
        <v>5647.26</v>
      </c>
      <c r="E33" s="10">
        <v>5647.26</v>
      </c>
      <c r="F33" s="10">
        <v>5647.26</v>
      </c>
      <c r="G33" s="10">
        <v>5647.26</v>
      </c>
      <c r="H33" s="10">
        <v>5647.26</v>
      </c>
      <c r="I33" s="10">
        <v>5647.26</v>
      </c>
      <c r="J33" s="10">
        <v>5647.26</v>
      </c>
      <c r="K33" s="10">
        <v>5647.26</v>
      </c>
      <c r="L33" s="10">
        <v>5647.26</v>
      </c>
      <c r="M33" s="10">
        <v>5647.26</v>
      </c>
      <c r="N33" s="10">
        <v>5647.26</v>
      </c>
      <c r="O33" s="10">
        <v>5647.26</v>
      </c>
      <c r="P33" s="10">
        <v>5647.26</v>
      </c>
      <c r="Q33" s="10">
        <v>5647.26</v>
      </c>
      <c r="R33" s="10">
        <v>5647.26</v>
      </c>
      <c r="S33" s="10">
        <v>5647.26</v>
      </c>
      <c r="T33" s="10">
        <v>5647.26</v>
      </c>
      <c r="U33" s="10">
        <v>5647.26</v>
      </c>
      <c r="V33" s="10">
        <v>5647.26</v>
      </c>
      <c r="W33" s="10">
        <v>5647.26</v>
      </c>
      <c r="X33" s="10">
        <v>5647.26</v>
      </c>
      <c r="Y33" s="10">
        <v>5647.26</v>
      </c>
      <c r="Z33" s="10">
        <v>5647.26</v>
      </c>
      <c r="AA33" s="13">
        <v>5647.26</v>
      </c>
      <c r="AB33" s="6">
        <f t="shared" si="0"/>
        <v>135534.23999999996</v>
      </c>
      <c r="AC33" s="6">
        <v>1</v>
      </c>
      <c r="AD33" s="52"/>
      <c r="AE33" s="46" t="e">
        <f>+#REF!</f>
        <v>#REF!</v>
      </c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</row>
    <row r="34" spans="2:60">
      <c r="B34" s="47">
        <v>46235</v>
      </c>
      <c r="C34" s="8" t="s">
        <v>5</v>
      </c>
      <c r="D34" s="7">
        <v>5647.26</v>
      </c>
      <c r="E34" s="7">
        <v>5647.26</v>
      </c>
      <c r="F34" s="7">
        <v>5647.26</v>
      </c>
      <c r="G34" s="7">
        <v>5647.26</v>
      </c>
      <c r="H34" s="7">
        <v>5647.26</v>
      </c>
      <c r="I34" s="7">
        <v>5647.26</v>
      </c>
      <c r="J34" s="7">
        <v>5647.26</v>
      </c>
      <c r="K34" s="7">
        <v>5647.26</v>
      </c>
      <c r="L34" s="7">
        <v>5647.26</v>
      </c>
      <c r="M34" s="7">
        <v>5647.26</v>
      </c>
      <c r="N34" s="7">
        <v>5647.26</v>
      </c>
      <c r="O34" s="7">
        <v>5647.26</v>
      </c>
      <c r="P34" s="7">
        <v>5647.26</v>
      </c>
      <c r="Q34" s="7">
        <v>5647.26</v>
      </c>
      <c r="R34" s="7">
        <v>5647.26</v>
      </c>
      <c r="S34" s="7">
        <v>5647.26</v>
      </c>
      <c r="T34" s="7">
        <v>5647.26</v>
      </c>
      <c r="U34" s="7">
        <v>5647.26</v>
      </c>
      <c r="V34" s="7">
        <v>5647.26</v>
      </c>
      <c r="W34" s="7">
        <v>5647.26</v>
      </c>
      <c r="X34" s="7">
        <v>5647.26</v>
      </c>
      <c r="Y34" s="7">
        <v>5647.26</v>
      </c>
      <c r="Z34" s="7">
        <v>5647.26</v>
      </c>
      <c r="AA34" s="11">
        <v>5647.26</v>
      </c>
      <c r="AB34" s="5">
        <f t="shared" si="0"/>
        <v>135534.23999999996</v>
      </c>
      <c r="AC34" s="5">
        <v>19</v>
      </c>
      <c r="AD34" s="50">
        <f>(AB34*AC34)+(AB35*AC35)+(AB36*AC36)+(AB37*AC37)</f>
        <v>4201561.4399999985</v>
      </c>
      <c r="AE34" s="46" t="e">
        <f>+#REF!</f>
        <v>#REF!</v>
      </c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</row>
    <row r="35" spans="2:60">
      <c r="B35" s="48"/>
      <c r="C35" s="1" t="s">
        <v>6</v>
      </c>
      <c r="D35" s="2">
        <v>5647.26</v>
      </c>
      <c r="E35" s="2">
        <v>5647.26</v>
      </c>
      <c r="F35" s="2">
        <v>5647.26</v>
      </c>
      <c r="G35" s="2">
        <v>5647.26</v>
      </c>
      <c r="H35" s="2">
        <v>5647.26</v>
      </c>
      <c r="I35" s="2">
        <v>5647.26</v>
      </c>
      <c r="J35" s="2">
        <v>5647.26</v>
      </c>
      <c r="K35" s="2">
        <v>5647.26</v>
      </c>
      <c r="L35" s="2">
        <v>5647.26</v>
      </c>
      <c r="M35" s="2">
        <v>5647.26</v>
      </c>
      <c r="N35" s="2">
        <v>5647.26</v>
      </c>
      <c r="O35" s="2">
        <v>5647.26</v>
      </c>
      <c r="P35" s="2">
        <v>5647.26</v>
      </c>
      <c r="Q35" s="2">
        <v>5647.26</v>
      </c>
      <c r="R35" s="2">
        <v>5647.26</v>
      </c>
      <c r="S35" s="2">
        <v>5647.26</v>
      </c>
      <c r="T35" s="2">
        <v>5647.26</v>
      </c>
      <c r="U35" s="2">
        <v>5647.26</v>
      </c>
      <c r="V35" s="2">
        <v>5647.26</v>
      </c>
      <c r="W35" s="2">
        <v>5647.26</v>
      </c>
      <c r="X35" s="2">
        <v>5647.26</v>
      </c>
      <c r="Y35" s="2">
        <v>5647.26</v>
      </c>
      <c r="Z35" s="2">
        <v>5647.26</v>
      </c>
      <c r="AA35" s="12">
        <v>5647.26</v>
      </c>
      <c r="AB35" s="3">
        <f t="shared" si="0"/>
        <v>135534.23999999996</v>
      </c>
      <c r="AC35" s="3">
        <v>5</v>
      </c>
      <c r="AD35" s="51"/>
      <c r="AE35" s="46" t="e">
        <f>+#REF!</f>
        <v>#REF!</v>
      </c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</row>
    <row r="36" spans="2:60">
      <c r="B36" s="48"/>
      <c r="C36" s="1" t="s">
        <v>7</v>
      </c>
      <c r="D36" s="2">
        <v>5647.26</v>
      </c>
      <c r="E36" s="2">
        <v>5647.26</v>
      </c>
      <c r="F36" s="2">
        <v>5647.26</v>
      </c>
      <c r="G36" s="2">
        <v>5647.26</v>
      </c>
      <c r="H36" s="2">
        <v>5647.26</v>
      </c>
      <c r="I36" s="2">
        <v>5647.26</v>
      </c>
      <c r="J36" s="2">
        <v>5647.26</v>
      </c>
      <c r="K36" s="2">
        <v>5647.26</v>
      </c>
      <c r="L36" s="2">
        <v>5647.26</v>
      </c>
      <c r="M36" s="2">
        <v>5647.26</v>
      </c>
      <c r="N36" s="2">
        <v>5647.26</v>
      </c>
      <c r="O36" s="2">
        <v>5647.26</v>
      </c>
      <c r="P36" s="2">
        <v>5647.26</v>
      </c>
      <c r="Q36" s="2">
        <v>5647.26</v>
      </c>
      <c r="R36" s="2">
        <v>5647.26</v>
      </c>
      <c r="S36" s="2">
        <v>5647.26</v>
      </c>
      <c r="T36" s="2">
        <v>5647.26</v>
      </c>
      <c r="U36" s="2">
        <v>5647.26</v>
      </c>
      <c r="V36" s="2">
        <v>5647.26</v>
      </c>
      <c r="W36" s="2">
        <v>5647.26</v>
      </c>
      <c r="X36" s="2">
        <v>5647.26</v>
      </c>
      <c r="Y36" s="2">
        <v>5647.26</v>
      </c>
      <c r="Z36" s="2">
        <v>5647.26</v>
      </c>
      <c r="AA36" s="12">
        <v>5647.26</v>
      </c>
      <c r="AB36" s="3">
        <f t="shared" si="0"/>
        <v>135534.23999999996</v>
      </c>
      <c r="AC36" s="3">
        <v>5</v>
      </c>
      <c r="AD36" s="51"/>
      <c r="AE36" s="46" t="e">
        <f>+#REF!</f>
        <v>#REF!</v>
      </c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</row>
    <row r="37" spans="2:60" ht="15" thickBot="1">
      <c r="B37" s="49"/>
      <c r="C37" s="9" t="s">
        <v>8</v>
      </c>
      <c r="D37" s="10">
        <v>5647.26</v>
      </c>
      <c r="E37" s="10">
        <v>5647.26</v>
      </c>
      <c r="F37" s="10">
        <v>5647.26</v>
      </c>
      <c r="G37" s="10">
        <v>5647.26</v>
      </c>
      <c r="H37" s="10">
        <v>5647.26</v>
      </c>
      <c r="I37" s="10">
        <v>5647.26</v>
      </c>
      <c r="J37" s="10">
        <v>5647.26</v>
      </c>
      <c r="K37" s="10">
        <v>5647.26</v>
      </c>
      <c r="L37" s="10">
        <v>5647.26</v>
      </c>
      <c r="M37" s="10">
        <v>5647.26</v>
      </c>
      <c r="N37" s="10">
        <v>5647.26</v>
      </c>
      <c r="O37" s="10">
        <v>5647.26</v>
      </c>
      <c r="P37" s="10">
        <v>5647.26</v>
      </c>
      <c r="Q37" s="10">
        <v>5647.26</v>
      </c>
      <c r="R37" s="10">
        <v>5647.26</v>
      </c>
      <c r="S37" s="10">
        <v>5647.26</v>
      </c>
      <c r="T37" s="10">
        <v>5647.26</v>
      </c>
      <c r="U37" s="10">
        <v>5647.26</v>
      </c>
      <c r="V37" s="10">
        <v>5647.26</v>
      </c>
      <c r="W37" s="10">
        <v>5647.26</v>
      </c>
      <c r="X37" s="10">
        <v>5647.26</v>
      </c>
      <c r="Y37" s="10">
        <v>5647.26</v>
      </c>
      <c r="Z37" s="10">
        <v>5647.26</v>
      </c>
      <c r="AA37" s="13">
        <v>5647.26</v>
      </c>
      <c r="AB37" s="6">
        <f t="shared" si="0"/>
        <v>135534.23999999996</v>
      </c>
      <c r="AC37" s="6">
        <v>2</v>
      </c>
      <c r="AD37" s="52"/>
      <c r="AE37" s="46" t="e">
        <f>+#REF!</f>
        <v>#REF!</v>
      </c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</row>
    <row r="38" spans="2:60">
      <c r="B38" s="47">
        <v>46266</v>
      </c>
      <c r="C38" s="8" t="s">
        <v>5</v>
      </c>
      <c r="D38" s="7">
        <v>5647.26</v>
      </c>
      <c r="E38" s="7">
        <v>5647.26</v>
      </c>
      <c r="F38" s="7">
        <v>5647.26</v>
      </c>
      <c r="G38" s="7">
        <v>5647.26</v>
      </c>
      <c r="H38" s="7">
        <v>5647.26</v>
      </c>
      <c r="I38" s="7">
        <v>5647.26</v>
      </c>
      <c r="J38" s="7">
        <v>5647.26</v>
      </c>
      <c r="K38" s="7">
        <v>5647.26</v>
      </c>
      <c r="L38" s="7">
        <v>5647.26</v>
      </c>
      <c r="M38" s="7">
        <v>5647.26</v>
      </c>
      <c r="N38" s="7">
        <v>5647.26</v>
      </c>
      <c r="O38" s="7">
        <v>5647.26</v>
      </c>
      <c r="P38" s="7">
        <v>5647.26</v>
      </c>
      <c r="Q38" s="7">
        <v>5647.26</v>
      </c>
      <c r="R38" s="7">
        <v>5647.26</v>
      </c>
      <c r="S38" s="7">
        <v>5647.26</v>
      </c>
      <c r="T38" s="7">
        <v>5647.26</v>
      </c>
      <c r="U38" s="7">
        <v>5647.26</v>
      </c>
      <c r="V38" s="7">
        <v>5647.26</v>
      </c>
      <c r="W38" s="7">
        <v>5647.26</v>
      </c>
      <c r="X38" s="7">
        <v>5647.26</v>
      </c>
      <c r="Y38" s="7">
        <v>5647.26</v>
      </c>
      <c r="Z38" s="7">
        <v>5647.26</v>
      </c>
      <c r="AA38" s="11">
        <v>5647.26</v>
      </c>
      <c r="AB38" s="5">
        <f t="shared" si="0"/>
        <v>135534.23999999996</v>
      </c>
      <c r="AC38" s="5">
        <v>22</v>
      </c>
      <c r="AD38" s="50">
        <f>(AB38*AC38)+(AB39*AC39)+(AB40*AC40)+(AB41*AC41)</f>
        <v>4066027.1999999993</v>
      </c>
      <c r="AE38" s="46" t="e">
        <f>+#REF!</f>
        <v>#REF!</v>
      </c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</row>
    <row r="39" spans="2:60">
      <c r="B39" s="48"/>
      <c r="C39" s="1" t="s">
        <v>6</v>
      </c>
      <c r="D39" s="2">
        <v>5647.26</v>
      </c>
      <c r="E39" s="2">
        <v>5647.26</v>
      </c>
      <c r="F39" s="2">
        <v>5647.26</v>
      </c>
      <c r="G39" s="2">
        <v>5647.26</v>
      </c>
      <c r="H39" s="2">
        <v>5647.26</v>
      </c>
      <c r="I39" s="2">
        <v>5647.26</v>
      </c>
      <c r="J39" s="2">
        <v>5647.26</v>
      </c>
      <c r="K39" s="2">
        <v>5647.26</v>
      </c>
      <c r="L39" s="2">
        <v>5647.26</v>
      </c>
      <c r="M39" s="2">
        <v>5647.26</v>
      </c>
      <c r="N39" s="2">
        <v>5647.26</v>
      </c>
      <c r="O39" s="2">
        <v>5647.26</v>
      </c>
      <c r="P39" s="2">
        <v>5647.26</v>
      </c>
      <c r="Q39" s="2">
        <v>5647.26</v>
      </c>
      <c r="R39" s="2">
        <v>5647.26</v>
      </c>
      <c r="S39" s="2">
        <v>5647.26</v>
      </c>
      <c r="T39" s="2">
        <v>5647.26</v>
      </c>
      <c r="U39" s="2">
        <v>5647.26</v>
      </c>
      <c r="V39" s="2">
        <v>5647.26</v>
      </c>
      <c r="W39" s="2">
        <v>5647.26</v>
      </c>
      <c r="X39" s="2">
        <v>5647.26</v>
      </c>
      <c r="Y39" s="2">
        <v>5647.26</v>
      </c>
      <c r="Z39" s="2">
        <v>5647.26</v>
      </c>
      <c r="AA39" s="12">
        <v>5647.26</v>
      </c>
      <c r="AB39" s="3">
        <f t="shared" si="0"/>
        <v>135534.23999999996</v>
      </c>
      <c r="AC39" s="3">
        <v>4</v>
      </c>
      <c r="AD39" s="51"/>
      <c r="AE39" s="46" t="e">
        <f>+#REF!</f>
        <v>#REF!</v>
      </c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</row>
    <row r="40" spans="2:60">
      <c r="B40" s="48"/>
      <c r="C40" s="1" t="s">
        <v>7</v>
      </c>
      <c r="D40" s="2">
        <v>5647.26</v>
      </c>
      <c r="E40" s="2">
        <v>5647.26</v>
      </c>
      <c r="F40" s="2">
        <v>5647.26</v>
      </c>
      <c r="G40" s="2">
        <v>5647.26</v>
      </c>
      <c r="H40" s="2">
        <v>5647.26</v>
      </c>
      <c r="I40" s="2">
        <v>5647.26</v>
      </c>
      <c r="J40" s="2">
        <v>5647.26</v>
      </c>
      <c r="K40" s="2">
        <v>5647.26</v>
      </c>
      <c r="L40" s="2">
        <v>5647.26</v>
      </c>
      <c r="M40" s="2">
        <v>5647.26</v>
      </c>
      <c r="N40" s="2">
        <v>5647.26</v>
      </c>
      <c r="O40" s="2">
        <v>5647.26</v>
      </c>
      <c r="P40" s="2">
        <v>5647.26</v>
      </c>
      <c r="Q40" s="2">
        <v>5647.26</v>
      </c>
      <c r="R40" s="2">
        <v>5647.26</v>
      </c>
      <c r="S40" s="2">
        <v>5647.26</v>
      </c>
      <c r="T40" s="2">
        <v>5647.26</v>
      </c>
      <c r="U40" s="2">
        <v>5647.26</v>
      </c>
      <c r="V40" s="2">
        <v>5647.26</v>
      </c>
      <c r="W40" s="2">
        <v>5647.26</v>
      </c>
      <c r="X40" s="2">
        <v>5647.26</v>
      </c>
      <c r="Y40" s="2">
        <v>5647.26</v>
      </c>
      <c r="Z40" s="2">
        <v>5647.26</v>
      </c>
      <c r="AA40" s="12">
        <v>5647.26</v>
      </c>
      <c r="AB40" s="3">
        <f t="shared" si="0"/>
        <v>135534.23999999996</v>
      </c>
      <c r="AC40" s="3">
        <v>4</v>
      </c>
      <c r="AD40" s="51"/>
      <c r="AE40" s="46" t="e">
        <f>+#REF!</f>
        <v>#REF!</v>
      </c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</row>
    <row r="41" spans="2:60" ht="15" thickBot="1">
      <c r="B41" s="49"/>
      <c r="C41" s="9" t="s">
        <v>8</v>
      </c>
      <c r="D41" s="10">
        <v>5647.26</v>
      </c>
      <c r="E41" s="10">
        <v>5647.26</v>
      </c>
      <c r="F41" s="10">
        <v>5647.26</v>
      </c>
      <c r="G41" s="10">
        <v>5647.26</v>
      </c>
      <c r="H41" s="10">
        <v>5647.26</v>
      </c>
      <c r="I41" s="10">
        <v>5647.26</v>
      </c>
      <c r="J41" s="10">
        <v>5647.26</v>
      </c>
      <c r="K41" s="10">
        <v>5647.26</v>
      </c>
      <c r="L41" s="10">
        <v>5647.26</v>
      </c>
      <c r="M41" s="10">
        <v>5647.26</v>
      </c>
      <c r="N41" s="10">
        <v>5647.26</v>
      </c>
      <c r="O41" s="10">
        <v>5647.26</v>
      </c>
      <c r="P41" s="10">
        <v>5647.26</v>
      </c>
      <c r="Q41" s="10">
        <v>5647.26</v>
      </c>
      <c r="R41" s="10">
        <v>5647.26</v>
      </c>
      <c r="S41" s="10">
        <v>5647.26</v>
      </c>
      <c r="T41" s="10">
        <v>5647.26</v>
      </c>
      <c r="U41" s="10">
        <v>5647.26</v>
      </c>
      <c r="V41" s="10">
        <v>5647.26</v>
      </c>
      <c r="W41" s="10">
        <v>5647.26</v>
      </c>
      <c r="X41" s="10">
        <v>5647.26</v>
      </c>
      <c r="Y41" s="10">
        <v>5647.26</v>
      </c>
      <c r="Z41" s="10">
        <v>5647.26</v>
      </c>
      <c r="AA41" s="13">
        <v>5647.26</v>
      </c>
      <c r="AB41" s="6">
        <f t="shared" si="0"/>
        <v>135534.23999999996</v>
      </c>
      <c r="AC41" s="6">
        <v>0</v>
      </c>
      <c r="AD41" s="52"/>
      <c r="AE41" s="46" t="e">
        <f>+#REF!</f>
        <v>#REF!</v>
      </c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</row>
    <row r="42" spans="2:60">
      <c r="B42" s="47">
        <v>46296</v>
      </c>
      <c r="C42" s="8" t="s">
        <v>5</v>
      </c>
      <c r="D42" s="7">
        <v>5647.26</v>
      </c>
      <c r="E42" s="7">
        <v>5647.26</v>
      </c>
      <c r="F42" s="7">
        <v>5647.26</v>
      </c>
      <c r="G42" s="7">
        <v>5647.26</v>
      </c>
      <c r="H42" s="7">
        <v>5647.26</v>
      </c>
      <c r="I42" s="7">
        <v>5647.26</v>
      </c>
      <c r="J42" s="7">
        <v>5647.26</v>
      </c>
      <c r="K42" s="7">
        <v>5647.26</v>
      </c>
      <c r="L42" s="7">
        <v>5647.26</v>
      </c>
      <c r="M42" s="7">
        <v>5647.26</v>
      </c>
      <c r="N42" s="7">
        <v>5647.26</v>
      </c>
      <c r="O42" s="7">
        <v>5647.26</v>
      </c>
      <c r="P42" s="7">
        <v>5647.26</v>
      </c>
      <c r="Q42" s="7">
        <v>5647.26</v>
      </c>
      <c r="R42" s="7">
        <v>5647.26</v>
      </c>
      <c r="S42" s="7">
        <v>5647.26</v>
      </c>
      <c r="T42" s="7">
        <v>5647.26</v>
      </c>
      <c r="U42" s="7">
        <v>5647.26</v>
      </c>
      <c r="V42" s="7">
        <v>5647.26</v>
      </c>
      <c r="W42" s="7">
        <v>5647.26</v>
      </c>
      <c r="X42" s="7">
        <v>5647.26</v>
      </c>
      <c r="Y42" s="7">
        <v>5647.26</v>
      </c>
      <c r="Z42" s="7">
        <v>5647.26</v>
      </c>
      <c r="AA42" s="11">
        <v>5647.26</v>
      </c>
      <c r="AB42" s="5">
        <f t="shared" si="0"/>
        <v>135534.23999999996</v>
      </c>
      <c r="AC42" s="5">
        <v>21</v>
      </c>
      <c r="AD42" s="50">
        <f>(AB42*AC42)+(AB43*AC43)+(AB44*AC44)+(AB45*AC45)</f>
        <v>4201561.4399999985</v>
      </c>
      <c r="AE42" s="46" t="e">
        <f>+#REF!</f>
        <v>#REF!</v>
      </c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</row>
    <row r="43" spans="2:60">
      <c r="B43" s="48"/>
      <c r="C43" s="1" t="s">
        <v>6</v>
      </c>
      <c r="D43" s="2">
        <v>5647.26</v>
      </c>
      <c r="E43" s="2">
        <v>5647.26</v>
      </c>
      <c r="F43" s="2">
        <v>5647.26</v>
      </c>
      <c r="G43" s="2">
        <v>5647.26</v>
      </c>
      <c r="H43" s="2">
        <v>5647.26</v>
      </c>
      <c r="I43" s="2">
        <v>5647.26</v>
      </c>
      <c r="J43" s="2">
        <v>5647.26</v>
      </c>
      <c r="K43" s="2">
        <v>5647.26</v>
      </c>
      <c r="L43" s="2">
        <v>5647.26</v>
      </c>
      <c r="M43" s="2">
        <v>5647.26</v>
      </c>
      <c r="N43" s="2">
        <v>5647.26</v>
      </c>
      <c r="O43" s="2">
        <v>5647.26</v>
      </c>
      <c r="P43" s="2">
        <v>5647.26</v>
      </c>
      <c r="Q43" s="2">
        <v>5647.26</v>
      </c>
      <c r="R43" s="2">
        <v>5647.26</v>
      </c>
      <c r="S43" s="2">
        <v>5647.26</v>
      </c>
      <c r="T43" s="2">
        <v>5647.26</v>
      </c>
      <c r="U43" s="2">
        <v>5647.26</v>
      </c>
      <c r="V43" s="2">
        <v>5647.26</v>
      </c>
      <c r="W43" s="2">
        <v>5647.26</v>
      </c>
      <c r="X43" s="2">
        <v>5647.26</v>
      </c>
      <c r="Y43" s="2">
        <v>5647.26</v>
      </c>
      <c r="Z43" s="2">
        <v>5647.26</v>
      </c>
      <c r="AA43" s="12">
        <v>5647.26</v>
      </c>
      <c r="AB43" s="3">
        <f t="shared" si="0"/>
        <v>135534.23999999996</v>
      </c>
      <c r="AC43" s="3">
        <v>5</v>
      </c>
      <c r="AD43" s="51"/>
      <c r="AE43" s="46" t="e">
        <f>+#REF!</f>
        <v>#REF!</v>
      </c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</row>
    <row r="44" spans="2:60">
      <c r="B44" s="48"/>
      <c r="C44" s="1" t="s">
        <v>7</v>
      </c>
      <c r="D44" s="2">
        <v>5647.26</v>
      </c>
      <c r="E44" s="2">
        <v>5647.26</v>
      </c>
      <c r="F44" s="2">
        <v>5647.26</v>
      </c>
      <c r="G44" s="2">
        <v>5647.26</v>
      </c>
      <c r="H44" s="2">
        <v>5647.26</v>
      </c>
      <c r="I44" s="2">
        <v>5647.26</v>
      </c>
      <c r="J44" s="2">
        <v>5647.26</v>
      </c>
      <c r="K44" s="2">
        <v>5647.26</v>
      </c>
      <c r="L44" s="2">
        <v>5647.26</v>
      </c>
      <c r="M44" s="2">
        <v>5647.26</v>
      </c>
      <c r="N44" s="2">
        <v>5647.26</v>
      </c>
      <c r="O44" s="2">
        <v>5647.26</v>
      </c>
      <c r="P44" s="2">
        <v>5647.26</v>
      </c>
      <c r="Q44" s="2">
        <v>5647.26</v>
      </c>
      <c r="R44" s="2">
        <v>5647.26</v>
      </c>
      <c r="S44" s="2">
        <v>5647.26</v>
      </c>
      <c r="T44" s="2">
        <v>5647.26</v>
      </c>
      <c r="U44" s="2">
        <v>5647.26</v>
      </c>
      <c r="V44" s="2">
        <v>5647.26</v>
      </c>
      <c r="W44" s="2">
        <v>5647.26</v>
      </c>
      <c r="X44" s="2">
        <v>5647.26</v>
      </c>
      <c r="Y44" s="2">
        <v>5647.26</v>
      </c>
      <c r="Z44" s="2">
        <v>5647.26</v>
      </c>
      <c r="AA44" s="12">
        <v>5647.26</v>
      </c>
      <c r="AB44" s="3">
        <f t="shared" si="0"/>
        <v>135534.23999999996</v>
      </c>
      <c r="AC44" s="3">
        <v>4</v>
      </c>
      <c r="AD44" s="51"/>
      <c r="AE44" s="46" t="e">
        <f>+#REF!</f>
        <v>#REF!</v>
      </c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</row>
    <row r="45" spans="2:60" ht="15" thickBot="1">
      <c r="B45" s="49"/>
      <c r="C45" s="9" t="s">
        <v>8</v>
      </c>
      <c r="D45" s="10">
        <v>5647.26</v>
      </c>
      <c r="E45" s="10">
        <v>5647.26</v>
      </c>
      <c r="F45" s="10">
        <v>5647.26</v>
      </c>
      <c r="G45" s="10">
        <v>5647.26</v>
      </c>
      <c r="H45" s="10">
        <v>5647.26</v>
      </c>
      <c r="I45" s="10">
        <v>5647.26</v>
      </c>
      <c r="J45" s="10">
        <v>5647.26</v>
      </c>
      <c r="K45" s="10">
        <v>5647.26</v>
      </c>
      <c r="L45" s="10">
        <v>5647.26</v>
      </c>
      <c r="M45" s="10">
        <v>5647.26</v>
      </c>
      <c r="N45" s="10">
        <v>5647.26</v>
      </c>
      <c r="O45" s="10">
        <v>5647.26</v>
      </c>
      <c r="P45" s="10">
        <v>5647.26</v>
      </c>
      <c r="Q45" s="10">
        <v>5647.26</v>
      </c>
      <c r="R45" s="10">
        <v>5647.26</v>
      </c>
      <c r="S45" s="10">
        <v>5647.26</v>
      </c>
      <c r="T45" s="10">
        <v>5647.26</v>
      </c>
      <c r="U45" s="10">
        <v>5647.26</v>
      </c>
      <c r="V45" s="10">
        <v>5647.26</v>
      </c>
      <c r="W45" s="10">
        <v>5647.26</v>
      </c>
      <c r="X45" s="10">
        <v>5647.26</v>
      </c>
      <c r="Y45" s="10">
        <v>5647.26</v>
      </c>
      <c r="Z45" s="10">
        <v>5647.26</v>
      </c>
      <c r="AA45" s="13">
        <v>5647.26</v>
      </c>
      <c r="AB45" s="6">
        <f t="shared" si="0"/>
        <v>135534.23999999996</v>
      </c>
      <c r="AC45" s="6">
        <v>1</v>
      </c>
      <c r="AD45" s="52"/>
      <c r="AE45" s="46" t="e">
        <f>+#REF!</f>
        <v>#REF!</v>
      </c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</row>
    <row r="46" spans="2:60">
      <c r="B46" s="47">
        <v>46327</v>
      </c>
      <c r="C46" s="8" t="s">
        <v>5</v>
      </c>
      <c r="D46" s="7">
        <v>5647.26</v>
      </c>
      <c r="E46" s="7">
        <v>5647.26</v>
      </c>
      <c r="F46" s="7">
        <v>5647.26</v>
      </c>
      <c r="G46" s="7">
        <v>5647.26</v>
      </c>
      <c r="H46" s="7">
        <v>5647.26</v>
      </c>
      <c r="I46" s="7">
        <v>5647.26</v>
      </c>
      <c r="J46" s="7">
        <v>5647.26</v>
      </c>
      <c r="K46" s="7">
        <v>5647.26</v>
      </c>
      <c r="L46" s="7">
        <v>5647.26</v>
      </c>
      <c r="M46" s="7">
        <v>5647.26</v>
      </c>
      <c r="N46" s="7">
        <v>5647.26</v>
      </c>
      <c r="O46" s="7">
        <v>5647.26</v>
      </c>
      <c r="P46" s="7">
        <v>5647.26</v>
      </c>
      <c r="Q46" s="7">
        <v>5647.26</v>
      </c>
      <c r="R46" s="7">
        <v>5647.26</v>
      </c>
      <c r="S46" s="7">
        <v>5647.26</v>
      </c>
      <c r="T46" s="7">
        <v>5647.26</v>
      </c>
      <c r="U46" s="7">
        <v>5647.26</v>
      </c>
      <c r="V46" s="7">
        <v>5647.26</v>
      </c>
      <c r="W46" s="7">
        <v>5647.26</v>
      </c>
      <c r="X46" s="7">
        <v>5647.26</v>
      </c>
      <c r="Y46" s="7">
        <v>5647.26</v>
      </c>
      <c r="Z46" s="7">
        <v>5647.26</v>
      </c>
      <c r="AA46" s="11">
        <v>5647.26</v>
      </c>
      <c r="AB46" s="5">
        <f t="shared" si="0"/>
        <v>135534.23999999996</v>
      </c>
      <c r="AC46" s="5">
        <v>19</v>
      </c>
      <c r="AD46" s="50">
        <f>(AB46*AC46)+(AB47*AC47)+(AB48*AC48)+(AB49*AC49)</f>
        <v>4066027.1999999988</v>
      </c>
      <c r="AE46" s="46" t="e">
        <f>+#REF!</f>
        <v>#REF!</v>
      </c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</row>
    <row r="47" spans="2:60">
      <c r="B47" s="48"/>
      <c r="C47" s="1" t="s">
        <v>6</v>
      </c>
      <c r="D47" s="2">
        <v>5647.26</v>
      </c>
      <c r="E47" s="2">
        <v>5647.26</v>
      </c>
      <c r="F47" s="2">
        <v>5647.26</v>
      </c>
      <c r="G47" s="2">
        <v>5647.26</v>
      </c>
      <c r="H47" s="2">
        <v>5647.26</v>
      </c>
      <c r="I47" s="2">
        <v>5647.26</v>
      </c>
      <c r="J47" s="2">
        <v>5647.26</v>
      </c>
      <c r="K47" s="2">
        <v>5647.26</v>
      </c>
      <c r="L47" s="2">
        <v>5647.26</v>
      </c>
      <c r="M47" s="2">
        <v>5647.26</v>
      </c>
      <c r="N47" s="2">
        <v>5647.26</v>
      </c>
      <c r="O47" s="2">
        <v>5647.26</v>
      </c>
      <c r="P47" s="2">
        <v>5647.26</v>
      </c>
      <c r="Q47" s="2">
        <v>5647.26</v>
      </c>
      <c r="R47" s="2">
        <v>5647.26</v>
      </c>
      <c r="S47" s="2">
        <v>5647.26</v>
      </c>
      <c r="T47" s="2">
        <v>5647.26</v>
      </c>
      <c r="U47" s="2">
        <v>5647.26</v>
      </c>
      <c r="V47" s="2">
        <v>5647.26</v>
      </c>
      <c r="W47" s="2">
        <v>5647.26</v>
      </c>
      <c r="X47" s="2">
        <v>5647.26</v>
      </c>
      <c r="Y47" s="2">
        <v>5647.26</v>
      </c>
      <c r="Z47" s="2">
        <v>5647.26</v>
      </c>
      <c r="AA47" s="12">
        <v>5647.26</v>
      </c>
      <c r="AB47" s="3">
        <f t="shared" si="0"/>
        <v>135534.23999999996</v>
      </c>
      <c r="AC47" s="3">
        <v>4</v>
      </c>
      <c r="AD47" s="51"/>
      <c r="AE47" s="46" t="e">
        <f>+#REF!</f>
        <v>#REF!</v>
      </c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</row>
    <row r="48" spans="2:60">
      <c r="B48" s="48"/>
      <c r="C48" s="1" t="s">
        <v>7</v>
      </c>
      <c r="D48" s="2">
        <v>5647.26</v>
      </c>
      <c r="E48" s="2">
        <v>5647.26</v>
      </c>
      <c r="F48" s="2">
        <v>5647.26</v>
      </c>
      <c r="G48" s="2">
        <v>5647.26</v>
      </c>
      <c r="H48" s="2">
        <v>5647.26</v>
      </c>
      <c r="I48" s="2">
        <v>5647.26</v>
      </c>
      <c r="J48" s="2">
        <v>5647.26</v>
      </c>
      <c r="K48" s="2">
        <v>5647.26</v>
      </c>
      <c r="L48" s="2">
        <v>5647.26</v>
      </c>
      <c r="M48" s="2">
        <v>5647.26</v>
      </c>
      <c r="N48" s="2">
        <v>5647.26</v>
      </c>
      <c r="O48" s="2">
        <v>5647.26</v>
      </c>
      <c r="P48" s="2">
        <v>5647.26</v>
      </c>
      <c r="Q48" s="2">
        <v>5647.26</v>
      </c>
      <c r="R48" s="2">
        <v>5647.26</v>
      </c>
      <c r="S48" s="2">
        <v>5647.26</v>
      </c>
      <c r="T48" s="2">
        <v>5647.26</v>
      </c>
      <c r="U48" s="2">
        <v>5647.26</v>
      </c>
      <c r="V48" s="2">
        <v>5647.26</v>
      </c>
      <c r="W48" s="2">
        <v>5647.26</v>
      </c>
      <c r="X48" s="2">
        <v>5647.26</v>
      </c>
      <c r="Y48" s="2">
        <v>5647.26</v>
      </c>
      <c r="Z48" s="2">
        <v>5647.26</v>
      </c>
      <c r="AA48" s="12">
        <v>5647.26</v>
      </c>
      <c r="AB48" s="3">
        <f t="shared" si="0"/>
        <v>135534.23999999996</v>
      </c>
      <c r="AC48" s="3">
        <v>5</v>
      </c>
      <c r="AD48" s="51"/>
      <c r="AE48" s="46" t="e">
        <f>+#REF!</f>
        <v>#REF!</v>
      </c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</row>
    <row r="49" spans="2:60" ht="15" thickBot="1">
      <c r="B49" s="49"/>
      <c r="C49" s="9" t="s">
        <v>8</v>
      </c>
      <c r="D49" s="10">
        <v>5647.26</v>
      </c>
      <c r="E49" s="10">
        <v>5647.26</v>
      </c>
      <c r="F49" s="10">
        <v>5647.26</v>
      </c>
      <c r="G49" s="10">
        <v>5647.26</v>
      </c>
      <c r="H49" s="10">
        <v>5647.26</v>
      </c>
      <c r="I49" s="10">
        <v>5647.26</v>
      </c>
      <c r="J49" s="10">
        <v>5647.26</v>
      </c>
      <c r="K49" s="10">
        <v>5647.26</v>
      </c>
      <c r="L49" s="10">
        <v>5647.26</v>
      </c>
      <c r="M49" s="10">
        <v>5647.26</v>
      </c>
      <c r="N49" s="10">
        <v>5647.26</v>
      </c>
      <c r="O49" s="10">
        <v>5647.26</v>
      </c>
      <c r="P49" s="10">
        <v>5647.26</v>
      </c>
      <c r="Q49" s="10">
        <v>5647.26</v>
      </c>
      <c r="R49" s="10">
        <v>5647.26</v>
      </c>
      <c r="S49" s="10">
        <v>5647.26</v>
      </c>
      <c r="T49" s="10">
        <v>5647.26</v>
      </c>
      <c r="U49" s="10">
        <v>5647.26</v>
      </c>
      <c r="V49" s="10">
        <v>5647.26</v>
      </c>
      <c r="W49" s="10">
        <v>5647.26</v>
      </c>
      <c r="X49" s="10">
        <v>5647.26</v>
      </c>
      <c r="Y49" s="10">
        <v>5647.26</v>
      </c>
      <c r="Z49" s="10">
        <v>5647.26</v>
      </c>
      <c r="AA49" s="13">
        <v>5647.26</v>
      </c>
      <c r="AB49" s="6">
        <f t="shared" si="0"/>
        <v>135534.23999999996</v>
      </c>
      <c r="AC49" s="6">
        <v>2</v>
      </c>
      <c r="AD49" s="52"/>
      <c r="AE49" s="46" t="e">
        <f>+#REF!</f>
        <v>#REF!</v>
      </c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</row>
    <row r="50" spans="2:60">
      <c r="B50" s="47">
        <v>46357</v>
      </c>
      <c r="C50" s="8" t="s">
        <v>5</v>
      </c>
      <c r="D50" s="7">
        <v>5647.26</v>
      </c>
      <c r="E50" s="7">
        <v>5647.26</v>
      </c>
      <c r="F50" s="7">
        <v>5647.26</v>
      </c>
      <c r="G50" s="7">
        <v>5647.26</v>
      </c>
      <c r="H50" s="7">
        <v>5647.26</v>
      </c>
      <c r="I50" s="7">
        <v>5647.26</v>
      </c>
      <c r="J50" s="7">
        <v>5647.26</v>
      </c>
      <c r="K50" s="7">
        <v>5647.26</v>
      </c>
      <c r="L50" s="7">
        <v>5647.26</v>
      </c>
      <c r="M50" s="7">
        <v>5647.26</v>
      </c>
      <c r="N50" s="7">
        <v>5647.26</v>
      </c>
      <c r="O50" s="7">
        <v>5647.26</v>
      </c>
      <c r="P50" s="7">
        <v>5647.26</v>
      </c>
      <c r="Q50" s="7">
        <v>5647.26</v>
      </c>
      <c r="R50" s="7">
        <v>5647.26</v>
      </c>
      <c r="S50" s="7">
        <v>5647.26</v>
      </c>
      <c r="T50" s="7">
        <v>5647.26</v>
      </c>
      <c r="U50" s="7">
        <v>5647.26</v>
      </c>
      <c r="V50" s="7">
        <v>5647.26</v>
      </c>
      <c r="W50" s="7">
        <v>5647.26</v>
      </c>
      <c r="X50" s="7">
        <v>5647.26</v>
      </c>
      <c r="Y50" s="7">
        <v>5647.26</v>
      </c>
      <c r="Z50" s="7">
        <v>5647.26</v>
      </c>
      <c r="AA50" s="11">
        <v>5647.26</v>
      </c>
      <c r="AB50" s="5">
        <f t="shared" si="0"/>
        <v>135534.23999999996</v>
      </c>
      <c r="AC50" s="5">
        <v>21</v>
      </c>
      <c r="AD50" s="50">
        <f>(AB50*AC50)+(AB51*AC51)+(AB52*AC52)+(AB53*AC53)</f>
        <v>4201561.4399999985</v>
      </c>
      <c r="AE50" s="46" t="e">
        <f>+#REF!</f>
        <v>#REF!</v>
      </c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</row>
    <row r="51" spans="2:60">
      <c r="B51" s="48"/>
      <c r="C51" s="1" t="s">
        <v>6</v>
      </c>
      <c r="D51" s="2">
        <v>5647.26</v>
      </c>
      <c r="E51" s="2">
        <v>5647.26</v>
      </c>
      <c r="F51" s="2">
        <v>5647.26</v>
      </c>
      <c r="G51" s="2">
        <v>5647.26</v>
      </c>
      <c r="H51" s="2">
        <v>5647.26</v>
      </c>
      <c r="I51" s="2">
        <v>5647.26</v>
      </c>
      <c r="J51" s="2">
        <v>5647.26</v>
      </c>
      <c r="K51" s="2">
        <v>5647.26</v>
      </c>
      <c r="L51" s="2">
        <v>5647.26</v>
      </c>
      <c r="M51" s="2">
        <v>5647.26</v>
      </c>
      <c r="N51" s="2">
        <v>5647.26</v>
      </c>
      <c r="O51" s="2">
        <v>5647.26</v>
      </c>
      <c r="P51" s="2">
        <v>5647.26</v>
      </c>
      <c r="Q51" s="2">
        <v>5647.26</v>
      </c>
      <c r="R51" s="2">
        <v>5647.26</v>
      </c>
      <c r="S51" s="2">
        <v>5647.26</v>
      </c>
      <c r="T51" s="2">
        <v>5647.26</v>
      </c>
      <c r="U51" s="2">
        <v>5647.26</v>
      </c>
      <c r="V51" s="2">
        <v>5647.26</v>
      </c>
      <c r="W51" s="2">
        <v>5647.26</v>
      </c>
      <c r="X51" s="2">
        <v>5647.26</v>
      </c>
      <c r="Y51" s="2">
        <v>5647.26</v>
      </c>
      <c r="Z51" s="2">
        <v>5647.26</v>
      </c>
      <c r="AA51" s="12">
        <v>5647.26</v>
      </c>
      <c r="AB51" s="3">
        <f t="shared" si="0"/>
        <v>135534.23999999996</v>
      </c>
      <c r="AC51" s="3">
        <v>4</v>
      </c>
      <c r="AD51" s="51"/>
      <c r="AE51" s="46" t="e">
        <f>+#REF!</f>
        <v>#REF!</v>
      </c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</row>
    <row r="52" spans="2:60">
      <c r="B52" s="48"/>
      <c r="C52" s="1" t="s">
        <v>7</v>
      </c>
      <c r="D52" s="2">
        <v>5647.26</v>
      </c>
      <c r="E52" s="2">
        <v>5647.26</v>
      </c>
      <c r="F52" s="2">
        <v>5647.26</v>
      </c>
      <c r="G52" s="2">
        <v>5647.26</v>
      </c>
      <c r="H52" s="2">
        <v>5647.26</v>
      </c>
      <c r="I52" s="2">
        <v>5647.26</v>
      </c>
      <c r="J52" s="2">
        <v>5647.26</v>
      </c>
      <c r="K52" s="2">
        <v>5647.26</v>
      </c>
      <c r="L52" s="2">
        <v>5647.26</v>
      </c>
      <c r="M52" s="2">
        <v>5647.26</v>
      </c>
      <c r="N52" s="2">
        <v>5647.26</v>
      </c>
      <c r="O52" s="2">
        <v>5647.26</v>
      </c>
      <c r="P52" s="2">
        <v>5647.26</v>
      </c>
      <c r="Q52" s="2">
        <v>5647.26</v>
      </c>
      <c r="R52" s="2">
        <v>5647.26</v>
      </c>
      <c r="S52" s="2">
        <v>5647.26</v>
      </c>
      <c r="T52" s="2">
        <v>5647.26</v>
      </c>
      <c r="U52" s="2">
        <v>5647.26</v>
      </c>
      <c r="V52" s="2">
        <v>5647.26</v>
      </c>
      <c r="W52" s="2">
        <v>5647.26</v>
      </c>
      <c r="X52" s="2">
        <v>5647.26</v>
      </c>
      <c r="Y52" s="2">
        <v>5647.26</v>
      </c>
      <c r="Z52" s="2">
        <v>5647.26</v>
      </c>
      <c r="AA52" s="12">
        <v>5647.26</v>
      </c>
      <c r="AB52" s="3">
        <f t="shared" si="0"/>
        <v>135534.23999999996</v>
      </c>
      <c r="AC52" s="3">
        <v>4</v>
      </c>
      <c r="AD52" s="51"/>
      <c r="AE52" s="46" t="e">
        <f>+#REF!</f>
        <v>#REF!</v>
      </c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</row>
    <row r="53" spans="2:60" ht="15" thickBot="1">
      <c r="B53" s="49"/>
      <c r="C53" s="9" t="s">
        <v>8</v>
      </c>
      <c r="D53" s="10">
        <v>5647.26</v>
      </c>
      <c r="E53" s="10">
        <v>5647.26</v>
      </c>
      <c r="F53" s="10">
        <v>5647.26</v>
      </c>
      <c r="G53" s="10">
        <v>5647.26</v>
      </c>
      <c r="H53" s="10">
        <v>5647.26</v>
      </c>
      <c r="I53" s="10">
        <v>5647.26</v>
      </c>
      <c r="J53" s="10">
        <v>5647.26</v>
      </c>
      <c r="K53" s="10">
        <v>5647.26</v>
      </c>
      <c r="L53" s="10">
        <v>5647.26</v>
      </c>
      <c r="M53" s="10">
        <v>5647.26</v>
      </c>
      <c r="N53" s="10">
        <v>5647.26</v>
      </c>
      <c r="O53" s="10">
        <v>5647.26</v>
      </c>
      <c r="P53" s="10">
        <v>5647.26</v>
      </c>
      <c r="Q53" s="10">
        <v>5647.26</v>
      </c>
      <c r="R53" s="10">
        <v>5647.26</v>
      </c>
      <c r="S53" s="10">
        <v>5647.26</v>
      </c>
      <c r="T53" s="10">
        <v>5647.26</v>
      </c>
      <c r="U53" s="10">
        <v>5647.26</v>
      </c>
      <c r="V53" s="10">
        <v>5647.26</v>
      </c>
      <c r="W53" s="10">
        <v>5647.26</v>
      </c>
      <c r="X53" s="10">
        <v>5647.26</v>
      </c>
      <c r="Y53" s="10">
        <v>5647.26</v>
      </c>
      <c r="Z53" s="10">
        <v>5647.26</v>
      </c>
      <c r="AA53" s="13">
        <v>5647.26</v>
      </c>
      <c r="AB53" s="6">
        <f t="shared" si="0"/>
        <v>135534.23999999996</v>
      </c>
      <c r="AC53" s="6">
        <v>2</v>
      </c>
      <c r="AD53" s="52"/>
      <c r="AE53" s="46" t="e">
        <f>+#REF!</f>
        <v>#REF!</v>
      </c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</row>
    <row r="54" spans="2:60" ht="15" thickBot="1">
      <c r="AD54" s="17">
        <f>SUM(AD6:AD53)</f>
        <v>49469997.599999987</v>
      </c>
    </row>
  </sheetData>
  <mergeCells count="27">
    <mergeCell ref="B30:B33"/>
    <mergeCell ref="AD30:AD33"/>
    <mergeCell ref="B2:AB2"/>
    <mergeCell ref="B3:AB3"/>
    <mergeCell ref="B4:AB4"/>
    <mergeCell ref="B6:B9"/>
    <mergeCell ref="AD6:AD9"/>
    <mergeCell ref="B10:B13"/>
    <mergeCell ref="AD10:AD13"/>
    <mergeCell ref="B14:B17"/>
    <mergeCell ref="AD14:AD17"/>
    <mergeCell ref="B18:B21"/>
    <mergeCell ref="AD18:AD21"/>
    <mergeCell ref="B22:B25"/>
    <mergeCell ref="AD22:AD25"/>
    <mergeCell ref="B26:B29"/>
    <mergeCell ref="AD26:AD29"/>
    <mergeCell ref="B46:B49"/>
    <mergeCell ref="AD46:AD49"/>
    <mergeCell ref="B50:B53"/>
    <mergeCell ref="AD50:AD53"/>
    <mergeCell ref="B34:B37"/>
    <mergeCell ref="AD34:AD37"/>
    <mergeCell ref="B38:B41"/>
    <mergeCell ref="AD38:AD41"/>
    <mergeCell ref="B42:B45"/>
    <mergeCell ref="AD42:AD45"/>
  </mergeCells>
  <phoneticPr fontId="9" type="noConversion"/>
  <conditionalFormatting sqref="D6:AA53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DF29-3962-48C6-91B0-432C77D06C94}">
  <dimension ref="B3:I30"/>
  <sheetViews>
    <sheetView showGridLines="0" topLeftCell="A2" zoomScale="90" zoomScaleNormal="90" workbookViewId="0">
      <selection activeCell="B4" sqref="B4:G23"/>
    </sheetView>
  </sheetViews>
  <sheetFormatPr baseColWidth="10" defaultColWidth="11.453125" defaultRowHeight="14.5"/>
  <cols>
    <col min="1" max="3" width="11.453125" style="18"/>
    <col min="4" max="4" width="15.26953125" style="18" customWidth="1"/>
    <col min="5" max="5" width="11.453125" style="18"/>
    <col min="6" max="6" width="12.7265625" style="18" bestFit="1" customWidth="1"/>
    <col min="7" max="7" width="11.453125" style="18"/>
    <col min="8" max="8" width="14.1796875" style="79" bestFit="1" customWidth="1"/>
    <col min="9" max="9" width="11.453125" style="80"/>
    <col min="10" max="16384" width="11.453125" style="18"/>
  </cols>
  <sheetData>
    <row r="3" spans="2:7" ht="15" thickBot="1"/>
    <row r="4" spans="2:7">
      <c r="B4" s="57" t="s">
        <v>36</v>
      </c>
      <c r="C4" s="58"/>
      <c r="D4" s="58"/>
      <c r="E4" s="58"/>
      <c r="F4" s="58"/>
      <c r="G4" s="59"/>
    </row>
    <row r="5" spans="2:7">
      <c r="B5" s="60" t="s">
        <v>9</v>
      </c>
      <c r="C5" s="61"/>
      <c r="D5" s="61"/>
      <c r="E5" s="61"/>
      <c r="F5" s="61"/>
      <c r="G5" s="62"/>
    </row>
    <row r="6" spans="2:7">
      <c r="B6" s="63" t="s">
        <v>10</v>
      </c>
      <c r="C6" s="64"/>
      <c r="D6" s="64"/>
      <c r="E6" s="64"/>
      <c r="F6" s="64"/>
      <c r="G6" s="65"/>
    </row>
    <row r="7" spans="2:7" ht="15" thickBot="1">
      <c r="B7" s="66" t="s">
        <v>37</v>
      </c>
      <c r="C7" s="67"/>
      <c r="D7" s="67"/>
      <c r="E7" s="67"/>
      <c r="F7" s="67"/>
      <c r="G7" s="68"/>
    </row>
    <row r="8" spans="2:7" ht="15" thickBot="1">
      <c r="B8" s="69" t="s">
        <v>11</v>
      </c>
      <c r="C8" s="70"/>
      <c r="D8" s="70"/>
      <c r="E8" s="70"/>
      <c r="F8" s="70"/>
      <c r="G8" s="71"/>
    </row>
    <row r="9" spans="2:7" ht="15.75" customHeight="1" thickBot="1">
      <c r="B9" s="72" t="s">
        <v>12</v>
      </c>
      <c r="C9" s="72" t="s">
        <v>13</v>
      </c>
      <c r="D9" s="75" t="s">
        <v>59</v>
      </c>
      <c r="E9" s="75"/>
      <c r="F9" s="75"/>
      <c r="G9" s="76"/>
    </row>
    <row r="10" spans="2:7" ht="26.5" thickBot="1">
      <c r="B10" s="73"/>
      <c r="C10" s="74"/>
      <c r="D10" s="19" t="s">
        <v>14</v>
      </c>
      <c r="E10" s="21" t="s">
        <v>15</v>
      </c>
      <c r="F10" s="20" t="s">
        <v>16</v>
      </c>
      <c r="G10" s="22" t="s">
        <v>17</v>
      </c>
    </row>
    <row r="11" spans="2:7">
      <c r="B11" s="33">
        <v>2026</v>
      </c>
      <c r="C11" s="34" t="s">
        <v>25</v>
      </c>
      <c r="D11" s="35">
        <f>+'Producto 1 Plano 26'!AE6</f>
        <v>4201561.4399999985</v>
      </c>
      <c r="E11" s="77"/>
      <c r="F11" s="26">
        <f t="shared" ref="F11:F22" si="0">+E11*D11</f>
        <v>0</v>
      </c>
      <c r="G11" s="27"/>
    </row>
    <row r="12" spans="2:7">
      <c r="B12" s="23">
        <v>2026</v>
      </c>
      <c r="C12" s="24" t="s">
        <v>26</v>
      </c>
      <c r="D12" s="25">
        <f>+'Producto 1 Plano 26'!AE7</f>
        <v>3794958.7199999993</v>
      </c>
      <c r="E12" s="77"/>
      <c r="F12" s="26">
        <f t="shared" si="0"/>
        <v>0</v>
      </c>
      <c r="G12" s="27"/>
    </row>
    <row r="13" spans="2:7">
      <c r="B13" s="23">
        <v>2026</v>
      </c>
      <c r="C13" s="24" t="s">
        <v>27</v>
      </c>
      <c r="D13" s="25">
        <f>+'Producto 1 Plano 26'!AE8</f>
        <v>4201561.4399999985</v>
      </c>
      <c r="E13" s="77"/>
      <c r="F13" s="26">
        <f t="shared" si="0"/>
        <v>0</v>
      </c>
      <c r="G13" s="27"/>
    </row>
    <row r="14" spans="2:7">
      <c r="B14" s="23">
        <v>2026</v>
      </c>
      <c r="C14" s="24" t="s">
        <v>28</v>
      </c>
      <c r="D14" s="25">
        <f>+'Producto 1 Plano 26'!AE9</f>
        <v>4066027.1999999993</v>
      </c>
      <c r="E14" s="77"/>
      <c r="F14" s="26">
        <f t="shared" si="0"/>
        <v>0</v>
      </c>
      <c r="G14" s="27"/>
    </row>
    <row r="15" spans="2:7">
      <c r="B15" s="23">
        <v>2026</v>
      </c>
      <c r="C15" s="24" t="s">
        <v>29</v>
      </c>
      <c r="D15" s="25">
        <f>+'Producto 1 Plano 26'!AE10</f>
        <v>4201561.4399999985</v>
      </c>
      <c r="E15" s="77"/>
      <c r="F15" s="26">
        <f t="shared" si="0"/>
        <v>0</v>
      </c>
      <c r="G15" s="27"/>
    </row>
    <row r="16" spans="2:7">
      <c r="B16" s="23">
        <v>2026</v>
      </c>
      <c r="C16" s="24" t="s">
        <v>18</v>
      </c>
      <c r="D16" s="25">
        <f>+'Producto 1 Plano 26'!AE11</f>
        <v>4066027.1999999988</v>
      </c>
      <c r="E16" s="77"/>
      <c r="F16" s="26">
        <f t="shared" si="0"/>
        <v>0</v>
      </c>
      <c r="G16" s="27"/>
    </row>
    <row r="17" spans="2:9">
      <c r="B17" s="23">
        <v>2026</v>
      </c>
      <c r="C17" s="24" t="s">
        <v>19</v>
      </c>
      <c r="D17" s="25">
        <f>+'Producto 1 Plano 26'!AE12</f>
        <v>4201561.4399999995</v>
      </c>
      <c r="E17" s="77"/>
      <c r="F17" s="26">
        <f t="shared" si="0"/>
        <v>0</v>
      </c>
      <c r="G17" s="27"/>
    </row>
    <row r="18" spans="2:9">
      <c r="B18" s="23">
        <v>2026</v>
      </c>
      <c r="C18" s="24" t="s">
        <v>20</v>
      </c>
      <c r="D18" s="25">
        <f>+'Producto 1 Plano 26'!AE13</f>
        <v>4201561.4399999985</v>
      </c>
      <c r="E18" s="77"/>
      <c r="F18" s="26">
        <f t="shared" si="0"/>
        <v>0</v>
      </c>
      <c r="G18" s="27"/>
    </row>
    <row r="19" spans="2:9">
      <c r="B19" s="23">
        <v>2026</v>
      </c>
      <c r="C19" s="24" t="s">
        <v>21</v>
      </c>
      <c r="D19" s="25">
        <f>+'Producto 1 Plano 26'!AE14</f>
        <v>4066027.1999999993</v>
      </c>
      <c r="E19" s="77"/>
      <c r="F19" s="26">
        <f t="shared" si="0"/>
        <v>0</v>
      </c>
      <c r="G19" s="27"/>
    </row>
    <row r="20" spans="2:9">
      <c r="B20" s="23">
        <v>2026</v>
      </c>
      <c r="C20" s="24" t="s">
        <v>22</v>
      </c>
      <c r="D20" s="25">
        <f>+'Producto 1 Plano 26'!AE15</f>
        <v>4201561.4399999985</v>
      </c>
      <c r="E20" s="77"/>
      <c r="F20" s="26">
        <f t="shared" si="0"/>
        <v>0</v>
      </c>
      <c r="G20" s="27"/>
    </row>
    <row r="21" spans="2:9">
      <c r="B21" s="23">
        <v>2026</v>
      </c>
      <c r="C21" s="24" t="s">
        <v>23</v>
      </c>
      <c r="D21" s="25">
        <f>+'Producto 1 Plano 26'!AE16</f>
        <v>4066027.1999999988</v>
      </c>
      <c r="E21" s="77"/>
      <c r="F21" s="26">
        <f t="shared" si="0"/>
        <v>0</v>
      </c>
      <c r="G21" s="27"/>
    </row>
    <row r="22" spans="2:9" ht="15" thickBot="1">
      <c r="B22" s="28">
        <v>2026</v>
      </c>
      <c r="C22" s="29" t="s">
        <v>24</v>
      </c>
      <c r="D22" s="30">
        <f>+'Producto 1 Plano 26'!AE17</f>
        <v>4201561.4399999985</v>
      </c>
      <c r="E22" s="78"/>
      <c r="F22" s="31">
        <f t="shared" si="0"/>
        <v>0</v>
      </c>
      <c r="G22" s="32"/>
      <c r="H22" s="79">
        <f>SUM(D11:D22)</f>
        <v>49469997.599999987</v>
      </c>
      <c r="I22" s="81">
        <f>+H22/1000</f>
        <v>49469.997599999988</v>
      </c>
    </row>
    <row r="23" spans="2:9" ht="15" thickBot="1">
      <c r="B23" s="55" t="s">
        <v>35</v>
      </c>
      <c r="C23" s="56"/>
      <c r="D23" s="36">
        <f>+SUM(D11:D22)</f>
        <v>49469997.599999987</v>
      </c>
      <c r="I23" s="81">
        <f>+D23/1000</f>
        <v>49469.997599999988</v>
      </c>
    </row>
    <row r="25" spans="2:9">
      <c r="B25" s="18" t="s">
        <v>30</v>
      </c>
    </row>
    <row r="26" spans="2:9">
      <c r="B26" s="18" t="s">
        <v>31</v>
      </c>
    </row>
    <row r="27" spans="2:9">
      <c r="B27" s="18" t="s">
        <v>32</v>
      </c>
    </row>
    <row r="28" spans="2:9">
      <c r="B28" s="18" t="s">
        <v>33</v>
      </c>
    </row>
    <row r="30" spans="2:9">
      <c r="D30" s="43"/>
    </row>
  </sheetData>
  <mergeCells count="10">
    <mergeCell ref="B23:C23"/>
    <mergeCell ref="B4:G4"/>
    <mergeCell ref="B5:G5"/>
    <mergeCell ref="B6:G6"/>
    <mergeCell ref="B7:G7"/>
    <mergeCell ref="B8:G8"/>
    <mergeCell ref="B9:B10"/>
    <mergeCell ref="C9:C10"/>
    <mergeCell ref="D9:G9"/>
    <mergeCell ref="E11:E22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8C2D-6783-41BB-B19B-7A2725550DAF}">
  <dimension ref="B2:BH54"/>
  <sheetViews>
    <sheetView showGridLines="0" zoomScale="40" zoomScaleNormal="40" workbookViewId="0">
      <pane ySplit="5" topLeftCell="A8" activePane="bottomLeft" state="frozen"/>
      <selection activeCell="M103" sqref="M103"/>
      <selection pane="bottomLeft" activeCell="B2" sqref="B2:AD54"/>
    </sheetView>
  </sheetViews>
  <sheetFormatPr baseColWidth="10" defaultRowHeight="14.5"/>
  <cols>
    <col min="1" max="1" width="1.81640625" customWidth="1"/>
    <col min="2" max="2" width="10" style="4" customWidth="1"/>
    <col min="3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style="45" customWidth="1"/>
    <col min="32" max="32" width="17.453125" bestFit="1" customWidth="1"/>
    <col min="250" max="250" width="1.81640625" customWidth="1"/>
    <col min="251" max="251" width="8" customWidth="1"/>
    <col min="252" max="252" width="8" bestFit="1" customWidth="1"/>
    <col min="253" max="253" width="9" bestFit="1" customWidth="1"/>
    <col min="254" max="254" width="12" bestFit="1" customWidth="1"/>
    <col min="255" max="276" width="9" bestFit="1" customWidth="1"/>
    <col min="277" max="277" width="7.81640625" bestFit="1" customWidth="1"/>
    <col min="278" max="278" width="4.54296875" bestFit="1" customWidth="1"/>
    <col min="279" max="279" width="14.1796875" bestFit="1" customWidth="1"/>
    <col min="506" max="506" width="1.81640625" customWidth="1"/>
    <col min="507" max="507" width="8" customWidth="1"/>
    <col min="508" max="508" width="8" bestFit="1" customWidth="1"/>
    <col min="509" max="509" width="9" bestFit="1" customWidth="1"/>
    <col min="510" max="510" width="12" bestFit="1" customWidth="1"/>
    <col min="511" max="532" width="9" bestFit="1" customWidth="1"/>
    <col min="533" max="533" width="7.81640625" bestFit="1" customWidth="1"/>
    <col min="534" max="534" width="4.54296875" bestFit="1" customWidth="1"/>
    <col min="535" max="535" width="14.1796875" bestFit="1" customWidth="1"/>
    <col min="762" max="762" width="1.81640625" customWidth="1"/>
    <col min="763" max="763" width="8" customWidth="1"/>
    <col min="764" max="764" width="8" bestFit="1" customWidth="1"/>
    <col min="765" max="765" width="9" bestFit="1" customWidth="1"/>
    <col min="766" max="766" width="12" bestFit="1" customWidth="1"/>
    <col min="767" max="788" width="9" bestFit="1" customWidth="1"/>
    <col min="789" max="789" width="7.81640625" bestFit="1" customWidth="1"/>
    <col min="790" max="790" width="4.54296875" bestFit="1" customWidth="1"/>
    <col min="791" max="791" width="14.1796875" bestFit="1" customWidth="1"/>
    <col min="1018" max="1018" width="1.81640625" customWidth="1"/>
    <col min="1019" max="1019" width="8" customWidth="1"/>
    <col min="1020" max="1020" width="8" bestFit="1" customWidth="1"/>
    <col min="1021" max="1021" width="9" bestFit="1" customWidth="1"/>
    <col min="1022" max="1022" width="12" bestFit="1" customWidth="1"/>
    <col min="1023" max="1044" width="9" bestFit="1" customWidth="1"/>
    <col min="1045" max="1045" width="7.81640625" bestFit="1" customWidth="1"/>
    <col min="1046" max="1046" width="4.54296875" bestFit="1" customWidth="1"/>
    <col min="1047" max="1047" width="14.1796875" bestFit="1" customWidth="1"/>
    <col min="1274" max="1274" width="1.81640625" customWidth="1"/>
    <col min="1275" max="1275" width="8" customWidth="1"/>
    <col min="1276" max="1276" width="8" bestFit="1" customWidth="1"/>
    <col min="1277" max="1277" width="9" bestFit="1" customWidth="1"/>
    <col min="1278" max="1278" width="12" bestFit="1" customWidth="1"/>
    <col min="1279" max="1300" width="9" bestFit="1" customWidth="1"/>
    <col min="1301" max="1301" width="7.81640625" bestFit="1" customWidth="1"/>
    <col min="1302" max="1302" width="4.54296875" bestFit="1" customWidth="1"/>
    <col min="1303" max="1303" width="14.1796875" bestFit="1" customWidth="1"/>
    <col min="1530" max="1530" width="1.81640625" customWidth="1"/>
    <col min="1531" max="1531" width="8" customWidth="1"/>
    <col min="1532" max="1532" width="8" bestFit="1" customWidth="1"/>
    <col min="1533" max="1533" width="9" bestFit="1" customWidth="1"/>
    <col min="1534" max="1534" width="12" bestFit="1" customWidth="1"/>
    <col min="1535" max="1556" width="9" bestFit="1" customWidth="1"/>
    <col min="1557" max="1557" width="7.81640625" bestFit="1" customWidth="1"/>
    <col min="1558" max="1558" width="4.54296875" bestFit="1" customWidth="1"/>
    <col min="1559" max="1559" width="14.1796875" bestFit="1" customWidth="1"/>
    <col min="1786" max="1786" width="1.81640625" customWidth="1"/>
    <col min="1787" max="1787" width="8" customWidth="1"/>
    <col min="1788" max="1788" width="8" bestFit="1" customWidth="1"/>
    <col min="1789" max="1789" width="9" bestFit="1" customWidth="1"/>
    <col min="1790" max="1790" width="12" bestFit="1" customWidth="1"/>
    <col min="1791" max="1812" width="9" bestFit="1" customWidth="1"/>
    <col min="1813" max="1813" width="7.81640625" bestFit="1" customWidth="1"/>
    <col min="1814" max="1814" width="4.54296875" bestFit="1" customWidth="1"/>
    <col min="1815" max="1815" width="14.1796875" bestFit="1" customWidth="1"/>
    <col min="2042" max="2042" width="1.81640625" customWidth="1"/>
    <col min="2043" max="2043" width="8" customWidth="1"/>
    <col min="2044" max="2044" width="8" bestFit="1" customWidth="1"/>
    <col min="2045" max="2045" width="9" bestFit="1" customWidth="1"/>
    <col min="2046" max="2046" width="12" bestFit="1" customWidth="1"/>
    <col min="2047" max="2068" width="9" bestFit="1" customWidth="1"/>
    <col min="2069" max="2069" width="7.81640625" bestFit="1" customWidth="1"/>
    <col min="2070" max="2070" width="4.54296875" bestFit="1" customWidth="1"/>
    <col min="2071" max="2071" width="14.1796875" bestFit="1" customWidth="1"/>
    <col min="2298" max="2298" width="1.81640625" customWidth="1"/>
    <col min="2299" max="2299" width="8" customWidth="1"/>
    <col min="2300" max="2300" width="8" bestFit="1" customWidth="1"/>
    <col min="2301" max="2301" width="9" bestFit="1" customWidth="1"/>
    <col min="2302" max="2302" width="12" bestFit="1" customWidth="1"/>
    <col min="2303" max="2324" width="9" bestFit="1" customWidth="1"/>
    <col min="2325" max="2325" width="7.81640625" bestFit="1" customWidth="1"/>
    <col min="2326" max="2326" width="4.54296875" bestFit="1" customWidth="1"/>
    <col min="2327" max="2327" width="14.1796875" bestFit="1" customWidth="1"/>
    <col min="2554" max="2554" width="1.81640625" customWidth="1"/>
    <col min="2555" max="2555" width="8" customWidth="1"/>
    <col min="2556" max="2556" width="8" bestFit="1" customWidth="1"/>
    <col min="2557" max="2557" width="9" bestFit="1" customWidth="1"/>
    <col min="2558" max="2558" width="12" bestFit="1" customWidth="1"/>
    <col min="2559" max="2580" width="9" bestFit="1" customWidth="1"/>
    <col min="2581" max="2581" width="7.81640625" bestFit="1" customWidth="1"/>
    <col min="2582" max="2582" width="4.54296875" bestFit="1" customWidth="1"/>
    <col min="2583" max="2583" width="14.1796875" bestFit="1" customWidth="1"/>
    <col min="2810" max="2810" width="1.81640625" customWidth="1"/>
    <col min="2811" max="2811" width="8" customWidth="1"/>
    <col min="2812" max="2812" width="8" bestFit="1" customWidth="1"/>
    <col min="2813" max="2813" width="9" bestFit="1" customWidth="1"/>
    <col min="2814" max="2814" width="12" bestFit="1" customWidth="1"/>
    <col min="2815" max="2836" width="9" bestFit="1" customWidth="1"/>
    <col min="2837" max="2837" width="7.81640625" bestFit="1" customWidth="1"/>
    <col min="2838" max="2838" width="4.54296875" bestFit="1" customWidth="1"/>
    <col min="2839" max="2839" width="14.1796875" bestFit="1" customWidth="1"/>
    <col min="3066" max="3066" width="1.81640625" customWidth="1"/>
    <col min="3067" max="3067" width="8" customWidth="1"/>
    <col min="3068" max="3068" width="8" bestFit="1" customWidth="1"/>
    <col min="3069" max="3069" width="9" bestFit="1" customWidth="1"/>
    <col min="3070" max="3070" width="12" bestFit="1" customWidth="1"/>
    <col min="3071" max="3092" width="9" bestFit="1" customWidth="1"/>
    <col min="3093" max="3093" width="7.81640625" bestFit="1" customWidth="1"/>
    <col min="3094" max="3094" width="4.54296875" bestFit="1" customWidth="1"/>
    <col min="3095" max="3095" width="14.1796875" bestFit="1" customWidth="1"/>
    <col min="3322" max="3322" width="1.81640625" customWidth="1"/>
    <col min="3323" max="3323" width="8" customWidth="1"/>
    <col min="3324" max="3324" width="8" bestFit="1" customWidth="1"/>
    <col min="3325" max="3325" width="9" bestFit="1" customWidth="1"/>
    <col min="3326" max="3326" width="12" bestFit="1" customWidth="1"/>
    <col min="3327" max="3348" width="9" bestFit="1" customWidth="1"/>
    <col min="3349" max="3349" width="7.81640625" bestFit="1" customWidth="1"/>
    <col min="3350" max="3350" width="4.54296875" bestFit="1" customWidth="1"/>
    <col min="3351" max="3351" width="14.1796875" bestFit="1" customWidth="1"/>
    <col min="3578" max="3578" width="1.81640625" customWidth="1"/>
    <col min="3579" max="3579" width="8" customWidth="1"/>
    <col min="3580" max="3580" width="8" bestFit="1" customWidth="1"/>
    <col min="3581" max="3581" width="9" bestFit="1" customWidth="1"/>
    <col min="3582" max="3582" width="12" bestFit="1" customWidth="1"/>
    <col min="3583" max="3604" width="9" bestFit="1" customWidth="1"/>
    <col min="3605" max="3605" width="7.81640625" bestFit="1" customWidth="1"/>
    <col min="3606" max="3606" width="4.54296875" bestFit="1" customWidth="1"/>
    <col min="3607" max="3607" width="14.1796875" bestFit="1" customWidth="1"/>
    <col min="3834" max="3834" width="1.81640625" customWidth="1"/>
    <col min="3835" max="3835" width="8" customWidth="1"/>
    <col min="3836" max="3836" width="8" bestFit="1" customWidth="1"/>
    <col min="3837" max="3837" width="9" bestFit="1" customWidth="1"/>
    <col min="3838" max="3838" width="12" bestFit="1" customWidth="1"/>
    <col min="3839" max="3860" width="9" bestFit="1" customWidth="1"/>
    <col min="3861" max="3861" width="7.81640625" bestFit="1" customWidth="1"/>
    <col min="3862" max="3862" width="4.54296875" bestFit="1" customWidth="1"/>
    <col min="3863" max="3863" width="14.1796875" bestFit="1" customWidth="1"/>
    <col min="4090" max="4090" width="1.81640625" customWidth="1"/>
    <col min="4091" max="4091" width="8" customWidth="1"/>
    <col min="4092" max="4092" width="8" bestFit="1" customWidth="1"/>
    <col min="4093" max="4093" width="9" bestFit="1" customWidth="1"/>
    <col min="4094" max="4094" width="12" bestFit="1" customWidth="1"/>
    <col min="4095" max="4116" width="9" bestFit="1" customWidth="1"/>
    <col min="4117" max="4117" width="7.81640625" bestFit="1" customWidth="1"/>
    <col min="4118" max="4118" width="4.54296875" bestFit="1" customWidth="1"/>
    <col min="4119" max="4119" width="14.1796875" bestFit="1" customWidth="1"/>
    <col min="4346" max="4346" width="1.81640625" customWidth="1"/>
    <col min="4347" max="4347" width="8" customWidth="1"/>
    <col min="4348" max="4348" width="8" bestFit="1" customWidth="1"/>
    <col min="4349" max="4349" width="9" bestFit="1" customWidth="1"/>
    <col min="4350" max="4350" width="12" bestFit="1" customWidth="1"/>
    <col min="4351" max="4372" width="9" bestFit="1" customWidth="1"/>
    <col min="4373" max="4373" width="7.81640625" bestFit="1" customWidth="1"/>
    <col min="4374" max="4374" width="4.54296875" bestFit="1" customWidth="1"/>
    <col min="4375" max="4375" width="14.1796875" bestFit="1" customWidth="1"/>
    <col min="4602" max="4602" width="1.81640625" customWidth="1"/>
    <col min="4603" max="4603" width="8" customWidth="1"/>
    <col min="4604" max="4604" width="8" bestFit="1" customWidth="1"/>
    <col min="4605" max="4605" width="9" bestFit="1" customWidth="1"/>
    <col min="4606" max="4606" width="12" bestFit="1" customWidth="1"/>
    <col min="4607" max="4628" width="9" bestFit="1" customWidth="1"/>
    <col min="4629" max="4629" width="7.81640625" bestFit="1" customWidth="1"/>
    <col min="4630" max="4630" width="4.54296875" bestFit="1" customWidth="1"/>
    <col min="4631" max="4631" width="14.1796875" bestFit="1" customWidth="1"/>
    <col min="4858" max="4858" width="1.81640625" customWidth="1"/>
    <col min="4859" max="4859" width="8" customWidth="1"/>
    <col min="4860" max="4860" width="8" bestFit="1" customWidth="1"/>
    <col min="4861" max="4861" width="9" bestFit="1" customWidth="1"/>
    <col min="4862" max="4862" width="12" bestFit="1" customWidth="1"/>
    <col min="4863" max="4884" width="9" bestFit="1" customWidth="1"/>
    <col min="4885" max="4885" width="7.81640625" bestFit="1" customWidth="1"/>
    <col min="4886" max="4886" width="4.54296875" bestFit="1" customWidth="1"/>
    <col min="4887" max="4887" width="14.1796875" bestFit="1" customWidth="1"/>
    <col min="5114" max="5114" width="1.81640625" customWidth="1"/>
    <col min="5115" max="5115" width="8" customWidth="1"/>
    <col min="5116" max="5116" width="8" bestFit="1" customWidth="1"/>
    <col min="5117" max="5117" width="9" bestFit="1" customWidth="1"/>
    <col min="5118" max="5118" width="12" bestFit="1" customWidth="1"/>
    <col min="5119" max="5140" width="9" bestFit="1" customWidth="1"/>
    <col min="5141" max="5141" width="7.81640625" bestFit="1" customWidth="1"/>
    <col min="5142" max="5142" width="4.54296875" bestFit="1" customWidth="1"/>
    <col min="5143" max="5143" width="14.1796875" bestFit="1" customWidth="1"/>
    <col min="5370" max="5370" width="1.81640625" customWidth="1"/>
    <col min="5371" max="5371" width="8" customWidth="1"/>
    <col min="5372" max="5372" width="8" bestFit="1" customWidth="1"/>
    <col min="5373" max="5373" width="9" bestFit="1" customWidth="1"/>
    <col min="5374" max="5374" width="12" bestFit="1" customWidth="1"/>
    <col min="5375" max="5396" width="9" bestFit="1" customWidth="1"/>
    <col min="5397" max="5397" width="7.81640625" bestFit="1" customWidth="1"/>
    <col min="5398" max="5398" width="4.54296875" bestFit="1" customWidth="1"/>
    <col min="5399" max="5399" width="14.1796875" bestFit="1" customWidth="1"/>
    <col min="5626" max="5626" width="1.81640625" customWidth="1"/>
    <col min="5627" max="5627" width="8" customWidth="1"/>
    <col min="5628" max="5628" width="8" bestFit="1" customWidth="1"/>
    <col min="5629" max="5629" width="9" bestFit="1" customWidth="1"/>
    <col min="5630" max="5630" width="12" bestFit="1" customWidth="1"/>
    <col min="5631" max="5652" width="9" bestFit="1" customWidth="1"/>
    <col min="5653" max="5653" width="7.81640625" bestFit="1" customWidth="1"/>
    <col min="5654" max="5654" width="4.54296875" bestFit="1" customWidth="1"/>
    <col min="5655" max="5655" width="14.1796875" bestFit="1" customWidth="1"/>
    <col min="5882" max="5882" width="1.81640625" customWidth="1"/>
    <col min="5883" max="5883" width="8" customWidth="1"/>
    <col min="5884" max="5884" width="8" bestFit="1" customWidth="1"/>
    <col min="5885" max="5885" width="9" bestFit="1" customWidth="1"/>
    <col min="5886" max="5886" width="12" bestFit="1" customWidth="1"/>
    <col min="5887" max="5908" width="9" bestFit="1" customWidth="1"/>
    <col min="5909" max="5909" width="7.81640625" bestFit="1" customWidth="1"/>
    <col min="5910" max="5910" width="4.54296875" bestFit="1" customWidth="1"/>
    <col min="5911" max="5911" width="14.1796875" bestFit="1" customWidth="1"/>
    <col min="6138" max="6138" width="1.81640625" customWidth="1"/>
    <col min="6139" max="6139" width="8" customWidth="1"/>
    <col min="6140" max="6140" width="8" bestFit="1" customWidth="1"/>
    <col min="6141" max="6141" width="9" bestFit="1" customWidth="1"/>
    <col min="6142" max="6142" width="12" bestFit="1" customWidth="1"/>
    <col min="6143" max="6164" width="9" bestFit="1" customWidth="1"/>
    <col min="6165" max="6165" width="7.81640625" bestFit="1" customWidth="1"/>
    <col min="6166" max="6166" width="4.54296875" bestFit="1" customWidth="1"/>
    <col min="6167" max="6167" width="14.1796875" bestFit="1" customWidth="1"/>
    <col min="6394" max="6394" width="1.81640625" customWidth="1"/>
    <col min="6395" max="6395" width="8" customWidth="1"/>
    <col min="6396" max="6396" width="8" bestFit="1" customWidth="1"/>
    <col min="6397" max="6397" width="9" bestFit="1" customWidth="1"/>
    <col min="6398" max="6398" width="12" bestFit="1" customWidth="1"/>
    <col min="6399" max="6420" width="9" bestFit="1" customWidth="1"/>
    <col min="6421" max="6421" width="7.81640625" bestFit="1" customWidth="1"/>
    <col min="6422" max="6422" width="4.54296875" bestFit="1" customWidth="1"/>
    <col min="6423" max="6423" width="14.1796875" bestFit="1" customWidth="1"/>
    <col min="6650" max="6650" width="1.81640625" customWidth="1"/>
    <col min="6651" max="6651" width="8" customWidth="1"/>
    <col min="6652" max="6652" width="8" bestFit="1" customWidth="1"/>
    <col min="6653" max="6653" width="9" bestFit="1" customWidth="1"/>
    <col min="6654" max="6654" width="12" bestFit="1" customWidth="1"/>
    <col min="6655" max="6676" width="9" bestFit="1" customWidth="1"/>
    <col min="6677" max="6677" width="7.81640625" bestFit="1" customWidth="1"/>
    <col min="6678" max="6678" width="4.54296875" bestFit="1" customWidth="1"/>
    <col min="6679" max="6679" width="14.1796875" bestFit="1" customWidth="1"/>
    <col min="6906" max="6906" width="1.81640625" customWidth="1"/>
    <col min="6907" max="6907" width="8" customWidth="1"/>
    <col min="6908" max="6908" width="8" bestFit="1" customWidth="1"/>
    <col min="6909" max="6909" width="9" bestFit="1" customWidth="1"/>
    <col min="6910" max="6910" width="12" bestFit="1" customWidth="1"/>
    <col min="6911" max="6932" width="9" bestFit="1" customWidth="1"/>
    <col min="6933" max="6933" width="7.81640625" bestFit="1" customWidth="1"/>
    <col min="6934" max="6934" width="4.54296875" bestFit="1" customWidth="1"/>
    <col min="6935" max="6935" width="14.1796875" bestFit="1" customWidth="1"/>
    <col min="7162" max="7162" width="1.81640625" customWidth="1"/>
    <col min="7163" max="7163" width="8" customWidth="1"/>
    <col min="7164" max="7164" width="8" bestFit="1" customWidth="1"/>
    <col min="7165" max="7165" width="9" bestFit="1" customWidth="1"/>
    <col min="7166" max="7166" width="12" bestFit="1" customWidth="1"/>
    <col min="7167" max="7188" width="9" bestFit="1" customWidth="1"/>
    <col min="7189" max="7189" width="7.81640625" bestFit="1" customWidth="1"/>
    <col min="7190" max="7190" width="4.54296875" bestFit="1" customWidth="1"/>
    <col min="7191" max="7191" width="14.1796875" bestFit="1" customWidth="1"/>
    <col min="7418" max="7418" width="1.81640625" customWidth="1"/>
    <col min="7419" max="7419" width="8" customWidth="1"/>
    <col min="7420" max="7420" width="8" bestFit="1" customWidth="1"/>
    <col min="7421" max="7421" width="9" bestFit="1" customWidth="1"/>
    <col min="7422" max="7422" width="12" bestFit="1" customWidth="1"/>
    <col min="7423" max="7444" width="9" bestFit="1" customWidth="1"/>
    <col min="7445" max="7445" width="7.81640625" bestFit="1" customWidth="1"/>
    <col min="7446" max="7446" width="4.54296875" bestFit="1" customWidth="1"/>
    <col min="7447" max="7447" width="14.1796875" bestFit="1" customWidth="1"/>
    <col min="7674" max="7674" width="1.81640625" customWidth="1"/>
    <col min="7675" max="7675" width="8" customWidth="1"/>
    <col min="7676" max="7676" width="8" bestFit="1" customWidth="1"/>
    <col min="7677" max="7677" width="9" bestFit="1" customWidth="1"/>
    <col min="7678" max="7678" width="12" bestFit="1" customWidth="1"/>
    <col min="7679" max="7700" width="9" bestFit="1" customWidth="1"/>
    <col min="7701" max="7701" width="7.81640625" bestFit="1" customWidth="1"/>
    <col min="7702" max="7702" width="4.54296875" bestFit="1" customWidth="1"/>
    <col min="7703" max="7703" width="14.1796875" bestFit="1" customWidth="1"/>
    <col min="7930" max="7930" width="1.81640625" customWidth="1"/>
    <col min="7931" max="7931" width="8" customWidth="1"/>
    <col min="7932" max="7932" width="8" bestFit="1" customWidth="1"/>
    <col min="7933" max="7933" width="9" bestFit="1" customWidth="1"/>
    <col min="7934" max="7934" width="12" bestFit="1" customWidth="1"/>
    <col min="7935" max="7956" width="9" bestFit="1" customWidth="1"/>
    <col min="7957" max="7957" width="7.81640625" bestFit="1" customWidth="1"/>
    <col min="7958" max="7958" width="4.54296875" bestFit="1" customWidth="1"/>
    <col min="7959" max="7959" width="14.1796875" bestFit="1" customWidth="1"/>
    <col min="8186" max="8186" width="1.81640625" customWidth="1"/>
    <col min="8187" max="8187" width="8" customWidth="1"/>
    <col min="8188" max="8188" width="8" bestFit="1" customWidth="1"/>
    <col min="8189" max="8189" width="9" bestFit="1" customWidth="1"/>
    <col min="8190" max="8190" width="12" bestFit="1" customWidth="1"/>
    <col min="8191" max="8212" width="9" bestFit="1" customWidth="1"/>
    <col min="8213" max="8213" width="7.81640625" bestFit="1" customWidth="1"/>
    <col min="8214" max="8214" width="4.54296875" bestFit="1" customWidth="1"/>
    <col min="8215" max="8215" width="14.1796875" bestFit="1" customWidth="1"/>
    <col min="8442" max="8442" width="1.81640625" customWidth="1"/>
    <col min="8443" max="8443" width="8" customWidth="1"/>
    <col min="8444" max="8444" width="8" bestFit="1" customWidth="1"/>
    <col min="8445" max="8445" width="9" bestFit="1" customWidth="1"/>
    <col min="8446" max="8446" width="12" bestFit="1" customWidth="1"/>
    <col min="8447" max="8468" width="9" bestFit="1" customWidth="1"/>
    <col min="8469" max="8469" width="7.81640625" bestFit="1" customWidth="1"/>
    <col min="8470" max="8470" width="4.54296875" bestFit="1" customWidth="1"/>
    <col min="8471" max="8471" width="14.1796875" bestFit="1" customWidth="1"/>
    <col min="8698" max="8698" width="1.81640625" customWidth="1"/>
    <col min="8699" max="8699" width="8" customWidth="1"/>
    <col min="8700" max="8700" width="8" bestFit="1" customWidth="1"/>
    <col min="8701" max="8701" width="9" bestFit="1" customWidth="1"/>
    <col min="8702" max="8702" width="12" bestFit="1" customWidth="1"/>
    <col min="8703" max="8724" width="9" bestFit="1" customWidth="1"/>
    <col min="8725" max="8725" width="7.81640625" bestFit="1" customWidth="1"/>
    <col min="8726" max="8726" width="4.54296875" bestFit="1" customWidth="1"/>
    <col min="8727" max="8727" width="14.1796875" bestFit="1" customWidth="1"/>
    <col min="8954" max="8954" width="1.81640625" customWidth="1"/>
    <col min="8955" max="8955" width="8" customWidth="1"/>
    <col min="8956" max="8956" width="8" bestFit="1" customWidth="1"/>
    <col min="8957" max="8957" width="9" bestFit="1" customWidth="1"/>
    <col min="8958" max="8958" width="12" bestFit="1" customWidth="1"/>
    <col min="8959" max="8980" width="9" bestFit="1" customWidth="1"/>
    <col min="8981" max="8981" width="7.81640625" bestFit="1" customWidth="1"/>
    <col min="8982" max="8982" width="4.54296875" bestFit="1" customWidth="1"/>
    <col min="8983" max="8983" width="14.1796875" bestFit="1" customWidth="1"/>
    <col min="9210" max="9210" width="1.81640625" customWidth="1"/>
    <col min="9211" max="9211" width="8" customWidth="1"/>
    <col min="9212" max="9212" width="8" bestFit="1" customWidth="1"/>
    <col min="9213" max="9213" width="9" bestFit="1" customWidth="1"/>
    <col min="9214" max="9214" width="12" bestFit="1" customWidth="1"/>
    <col min="9215" max="9236" width="9" bestFit="1" customWidth="1"/>
    <col min="9237" max="9237" width="7.81640625" bestFit="1" customWidth="1"/>
    <col min="9238" max="9238" width="4.54296875" bestFit="1" customWidth="1"/>
    <col min="9239" max="9239" width="14.1796875" bestFit="1" customWidth="1"/>
    <col min="9466" max="9466" width="1.81640625" customWidth="1"/>
    <col min="9467" max="9467" width="8" customWidth="1"/>
    <col min="9468" max="9468" width="8" bestFit="1" customWidth="1"/>
    <col min="9469" max="9469" width="9" bestFit="1" customWidth="1"/>
    <col min="9470" max="9470" width="12" bestFit="1" customWidth="1"/>
    <col min="9471" max="9492" width="9" bestFit="1" customWidth="1"/>
    <col min="9493" max="9493" width="7.81640625" bestFit="1" customWidth="1"/>
    <col min="9494" max="9494" width="4.54296875" bestFit="1" customWidth="1"/>
    <col min="9495" max="9495" width="14.1796875" bestFit="1" customWidth="1"/>
    <col min="9722" max="9722" width="1.81640625" customWidth="1"/>
    <col min="9723" max="9723" width="8" customWidth="1"/>
    <col min="9724" max="9724" width="8" bestFit="1" customWidth="1"/>
    <col min="9725" max="9725" width="9" bestFit="1" customWidth="1"/>
    <col min="9726" max="9726" width="12" bestFit="1" customWidth="1"/>
    <col min="9727" max="9748" width="9" bestFit="1" customWidth="1"/>
    <col min="9749" max="9749" width="7.81640625" bestFit="1" customWidth="1"/>
    <col min="9750" max="9750" width="4.54296875" bestFit="1" customWidth="1"/>
    <col min="9751" max="9751" width="14.1796875" bestFit="1" customWidth="1"/>
    <col min="9978" max="9978" width="1.81640625" customWidth="1"/>
    <col min="9979" max="9979" width="8" customWidth="1"/>
    <col min="9980" max="9980" width="8" bestFit="1" customWidth="1"/>
    <col min="9981" max="9981" width="9" bestFit="1" customWidth="1"/>
    <col min="9982" max="9982" width="12" bestFit="1" customWidth="1"/>
    <col min="9983" max="10004" width="9" bestFit="1" customWidth="1"/>
    <col min="10005" max="10005" width="7.81640625" bestFit="1" customWidth="1"/>
    <col min="10006" max="10006" width="4.54296875" bestFit="1" customWidth="1"/>
    <col min="10007" max="10007" width="14.1796875" bestFit="1" customWidth="1"/>
    <col min="10234" max="10234" width="1.81640625" customWidth="1"/>
    <col min="10235" max="10235" width="8" customWidth="1"/>
    <col min="10236" max="10236" width="8" bestFit="1" customWidth="1"/>
    <col min="10237" max="10237" width="9" bestFit="1" customWidth="1"/>
    <col min="10238" max="10238" width="12" bestFit="1" customWidth="1"/>
    <col min="10239" max="10260" width="9" bestFit="1" customWidth="1"/>
    <col min="10261" max="10261" width="7.81640625" bestFit="1" customWidth="1"/>
    <col min="10262" max="10262" width="4.54296875" bestFit="1" customWidth="1"/>
    <col min="10263" max="10263" width="14.1796875" bestFit="1" customWidth="1"/>
    <col min="10490" max="10490" width="1.81640625" customWidth="1"/>
    <col min="10491" max="10491" width="8" customWidth="1"/>
    <col min="10492" max="10492" width="8" bestFit="1" customWidth="1"/>
    <col min="10493" max="10493" width="9" bestFit="1" customWidth="1"/>
    <col min="10494" max="10494" width="12" bestFit="1" customWidth="1"/>
    <col min="10495" max="10516" width="9" bestFit="1" customWidth="1"/>
    <col min="10517" max="10517" width="7.81640625" bestFit="1" customWidth="1"/>
    <col min="10518" max="10518" width="4.54296875" bestFit="1" customWidth="1"/>
    <col min="10519" max="10519" width="14.1796875" bestFit="1" customWidth="1"/>
    <col min="10746" max="10746" width="1.81640625" customWidth="1"/>
    <col min="10747" max="10747" width="8" customWidth="1"/>
    <col min="10748" max="10748" width="8" bestFit="1" customWidth="1"/>
    <col min="10749" max="10749" width="9" bestFit="1" customWidth="1"/>
    <col min="10750" max="10750" width="12" bestFit="1" customWidth="1"/>
    <col min="10751" max="10772" width="9" bestFit="1" customWidth="1"/>
    <col min="10773" max="10773" width="7.81640625" bestFit="1" customWidth="1"/>
    <col min="10774" max="10774" width="4.54296875" bestFit="1" customWidth="1"/>
    <col min="10775" max="10775" width="14.1796875" bestFit="1" customWidth="1"/>
    <col min="11002" max="11002" width="1.81640625" customWidth="1"/>
    <col min="11003" max="11003" width="8" customWidth="1"/>
    <col min="11004" max="11004" width="8" bestFit="1" customWidth="1"/>
    <col min="11005" max="11005" width="9" bestFit="1" customWidth="1"/>
    <col min="11006" max="11006" width="12" bestFit="1" customWidth="1"/>
    <col min="11007" max="11028" width="9" bestFit="1" customWidth="1"/>
    <col min="11029" max="11029" width="7.81640625" bestFit="1" customWidth="1"/>
    <col min="11030" max="11030" width="4.54296875" bestFit="1" customWidth="1"/>
    <col min="11031" max="11031" width="14.1796875" bestFit="1" customWidth="1"/>
    <col min="11258" max="11258" width="1.81640625" customWidth="1"/>
    <col min="11259" max="11259" width="8" customWidth="1"/>
    <col min="11260" max="11260" width="8" bestFit="1" customWidth="1"/>
    <col min="11261" max="11261" width="9" bestFit="1" customWidth="1"/>
    <col min="11262" max="11262" width="12" bestFit="1" customWidth="1"/>
    <col min="11263" max="11284" width="9" bestFit="1" customWidth="1"/>
    <col min="11285" max="11285" width="7.81640625" bestFit="1" customWidth="1"/>
    <col min="11286" max="11286" width="4.54296875" bestFit="1" customWidth="1"/>
    <col min="11287" max="11287" width="14.1796875" bestFit="1" customWidth="1"/>
    <col min="11514" max="11514" width="1.81640625" customWidth="1"/>
    <col min="11515" max="11515" width="8" customWidth="1"/>
    <col min="11516" max="11516" width="8" bestFit="1" customWidth="1"/>
    <col min="11517" max="11517" width="9" bestFit="1" customWidth="1"/>
    <col min="11518" max="11518" width="12" bestFit="1" customWidth="1"/>
    <col min="11519" max="11540" width="9" bestFit="1" customWidth="1"/>
    <col min="11541" max="11541" width="7.81640625" bestFit="1" customWidth="1"/>
    <col min="11542" max="11542" width="4.54296875" bestFit="1" customWidth="1"/>
    <col min="11543" max="11543" width="14.1796875" bestFit="1" customWidth="1"/>
    <col min="11770" max="11770" width="1.81640625" customWidth="1"/>
    <col min="11771" max="11771" width="8" customWidth="1"/>
    <col min="11772" max="11772" width="8" bestFit="1" customWidth="1"/>
    <col min="11773" max="11773" width="9" bestFit="1" customWidth="1"/>
    <col min="11774" max="11774" width="12" bestFit="1" customWidth="1"/>
    <col min="11775" max="11796" width="9" bestFit="1" customWidth="1"/>
    <col min="11797" max="11797" width="7.81640625" bestFit="1" customWidth="1"/>
    <col min="11798" max="11798" width="4.54296875" bestFit="1" customWidth="1"/>
    <col min="11799" max="11799" width="14.1796875" bestFit="1" customWidth="1"/>
    <col min="12026" max="12026" width="1.81640625" customWidth="1"/>
    <col min="12027" max="12027" width="8" customWidth="1"/>
    <col min="12028" max="12028" width="8" bestFit="1" customWidth="1"/>
    <col min="12029" max="12029" width="9" bestFit="1" customWidth="1"/>
    <col min="12030" max="12030" width="12" bestFit="1" customWidth="1"/>
    <col min="12031" max="12052" width="9" bestFit="1" customWidth="1"/>
    <col min="12053" max="12053" width="7.81640625" bestFit="1" customWidth="1"/>
    <col min="12054" max="12054" width="4.54296875" bestFit="1" customWidth="1"/>
    <col min="12055" max="12055" width="14.1796875" bestFit="1" customWidth="1"/>
    <col min="12282" max="12282" width="1.81640625" customWidth="1"/>
    <col min="12283" max="12283" width="8" customWidth="1"/>
    <col min="12284" max="12284" width="8" bestFit="1" customWidth="1"/>
    <col min="12285" max="12285" width="9" bestFit="1" customWidth="1"/>
    <col min="12286" max="12286" width="12" bestFit="1" customWidth="1"/>
    <col min="12287" max="12308" width="9" bestFit="1" customWidth="1"/>
    <col min="12309" max="12309" width="7.81640625" bestFit="1" customWidth="1"/>
    <col min="12310" max="12310" width="4.54296875" bestFit="1" customWidth="1"/>
    <col min="12311" max="12311" width="14.1796875" bestFit="1" customWidth="1"/>
    <col min="12538" max="12538" width="1.81640625" customWidth="1"/>
    <col min="12539" max="12539" width="8" customWidth="1"/>
    <col min="12540" max="12540" width="8" bestFit="1" customWidth="1"/>
    <col min="12541" max="12541" width="9" bestFit="1" customWidth="1"/>
    <col min="12542" max="12542" width="12" bestFit="1" customWidth="1"/>
    <col min="12543" max="12564" width="9" bestFit="1" customWidth="1"/>
    <col min="12565" max="12565" width="7.81640625" bestFit="1" customWidth="1"/>
    <col min="12566" max="12566" width="4.54296875" bestFit="1" customWidth="1"/>
    <col min="12567" max="12567" width="14.1796875" bestFit="1" customWidth="1"/>
    <col min="12794" max="12794" width="1.81640625" customWidth="1"/>
    <col min="12795" max="12795" width="8" customWidth="1"/>
    <col min="12796" max="12796" width="8" bestFit="1" customWidth="1"/>
    <col min="12797" max="12797" width="9" bestFit="1" customWidth="1"/>
    <col min="12798" max="12798" width="12" bestFit="1" customWidth="1"/>
    <col min="12799" max="12820" width="9" bestFit="1" customWidth="1"/>
    <col min="12821" max="12821" width="7.81640625" bestFit="1" customWidth="1"/>
    <col min="12822" max="12822" width="4.54296875" bestFit="1" customWidth="1"/>
    <col min="12823" max="12823" width="14.1796875" bestFit="1" customWidth="1"/>
    <col min="13050" max="13050" width="1.81640625" customWidth="1"/>
    <col min="13051" max="13051" width="8" customWidth="1"/>
    <col min="13052" max="13052" width="8" bestFit="1" customWidth="1"/>
    <col min="13053" max="13053" width="9" bestFit="1" customWidth="1"/>
    <col min="13054" max="13054" width="12" bestFit="1" customWidth="1"/>
    <col min="13055" max="13076" width="9" bestFit="1" customWidth="1"/>
    <col min="13077" max="13077" width="7.81640625" bestFit="1" customWidth="1"/>
    <col min="13078" max="13078" width="4.54296875" bestFit="1" customWidth="1"/>
    <col min="13079" max="13079" width="14.1796875" bestFit="1" customWidth="1"/>
    <col min="13306" max="13306" width="1.81640625" customWidth="1"/>
    <col min="13307" max="13307" width="8" customWidth="1"/>
    <col min="13308" max="13308" width="8" bestFit="1" customWidth="1"/>
    <col min="13309" max="13309" width="9" bestFit="1" customWidth="1"/>
    <col min="13310" max="13310" width="12" bestFit="1" customWidth="1"/>
    <col min="13311" max="13332" width="9" bestFit="1" customWidth="1"/>
    <col min="13333" max="13333" width="7.81640625" bestFit="1" customWidth="1"/>
    <col min="13334" max="13334" width="4.54296875" bestFit="1" customWidth="1"/>
    <col min="13335" max="13335" width="14.1796875" bestFit="1" customWidth="1"/>
    <col min="13562" max="13562" width="1.81640625" customWidth="1"/>
    <col min="13563" max="13563" width="8" customWidth="1"/>
    <col min="13564" max="13564" width="8" bestFit="1" customWidth="1"/>
    <col min="13565" max="13565" width="9" bestFit="1" customWidth="1"/>
    <col min="13566" max="13566" width="12" bestFit="1" customWidth="1"/>
    <col min="13567" max="13588" width="9" bestFit="1" customWidth="1"/>
    <col min="13589" max="13589" width="7.81640625" bestFit="1" customWidth="1"/>
    <col min="13590" max="13590" width="4.54296875" bestFit="1" customWidth="1"/>
    <col min="13591" max="13591" width="14.1796875" bestFit="1" customWidth="1"/>
    <col min="13818" max="13818" width="1.81640625" customWidth="1"/>
    <col min="13819" max="13819" width="8" customWidth="1"/>
    <col min="13820" max="13820" width="8" bestFit="1" customWidth="1"/>
    <col min="13821" max="13821" width="9" bestFit="1" customWidth="1"/>
    <col min="13822" max="13822" width="12" bestFit="1" customWidth="1"/>
    <col min="13823" max="13844" width="9" bestFit="1" customWidth="1"/>
    <col min="13845" max="13845" width="7.81640625" bestFit="1" customWidth="1"/>
    <col min="13846" max="13846" width="4.54296875" bestFit="1" customWidth="1"/>
    <col min="13847" max="13847" width="14.1796875" bestFit="1" customWidth="1"/>
    <col min="14074" max="14074" width="1.81640625" customWidth="1"/>
    <col min="14075" max="14075" width="8" customWidth="1"/>
    <col min="14076" max="14076" width="8" bestFit="1" customWidth="1"/>
    <col min="14077" max="14077" width="9" bestFit="1" customWidth="1"/>
    <col min="14078" max="14078" width="12" bestFit="1" customWidth="1"/>
    <col min="14079" max="14100" width="9" bestFit="1" customWidth="1"/>
    <col min="14101" max="14101" width="7.81640625" bestFit="1" customWidth="1"/>
    <col min="14102" max="14102" width="4.54296875" bestFit="1" customWidth="1"/>
    <col min="14103" max="14103" width="14.1796875" bestFit="1" customWidth="1"/>
    <col min="14330" max="14330" width="1.81640625" customWidth="1"/>
    <col min="14331" max="14331" width="8" customWidth="1"/>
    <col min="14332" max="14332" width="8" bestFit="1" customWidth="1"/>
    <col min="14333" max="14333" width="9" bestFit="1" customWidth="1"/>
    <col min="14334" max="14334" width="12" bestFit="1" customWidth="1"/>
    <col min="14335" max="14356" width="9" bestFit="1" customWidth="1"/>
    <col min="14357" max="14357" width="7.81640625" bestFit="1" customWidth="1"/>
    <col min="14358" max="14358" width="4.54296875" bestFit="1" customWidth="1"/>
    <col min="14359" max="14359" width="14.1796875" bestFit="1" customWidth="1"/>
    <col min="14586" max="14586" width="1.81640625" customWidth="1"/>
    <col min="14587" max="14587" width="8" customWidth="1"/>
    <col min="14588" max="14588" width="8" bestFit="1" customWidth="1"/>
    <col min="14589" max="14589" width="9" bestFit="1" customWidth="1"/>
    <col min="14590" max="14590" width="12" bestFit="1" customWidth="1"/>
    <col min="14591" max="14612" width="9" bestFit="1" customWidth="1"/>
    <col min="14613" max="14613" width="7.81640625" bestFit="1" customWidth="1"/>
    <col min="14614" max="14614" width="4.54296875" bestFit="1" customWidth="1"/>
    <col min="14615" max="14615" width="14.1796875" bestFit="1" customWidth="1"/>
    <col min="14842" max="14842" width="1.81640625" customWidth="1"/>
    <col min="14843" max="14843" width="8" customWidth="1"/>
    <col min="14844" max="14844" width="8" bestFit="1" customWidth="1"/>
    <col min="14845" max="14845" width="9" bestFit="1" customWidth="1"/>
    <col min="14846" max="14846" width="12" bestFit="1" customWidth="1"/>
    <col min="14847" max="14868" width="9" bestFit="1" customWidth="1"/>
    <col min="14869" max="14869" width="7.81640625" bestFit="1" customWidth="1"/>
    <col min="14870" max="14870" width="4.54296875" bestFit="1" customWidth="1"/>
    <col min="14871" max="14871" width="14.1796875" bestFit="1" customWidth="1"/>
    <col min="15098" max="15098" width="1.81640625" customWidth="1"/>
    <col min="15099" max="15099" width="8" customWidth="1"/>
    <col min="15100" max="15100" width="8" bestFit="1" customWidth="1"/>
    <col min="15101" max="15101" width="9" bestFit="1" customWidth="1"/>
    <col min="15102" max="15102" width="12" bestFit="1" customWidth="1"/>
    <col min="15103" max="15124" width="9" bestFit="1" customWidth="1"/>
    <col min="15125" max="15125" width="7.81640625" bestFit="1" customWidth="1"/>
    <col min="15126" max="15126" width="4.54296875" bestFit="1" customWidth="1"/>
    <col min="15127" max="15127" width="14.1796875" bestFit="1" customWidth="1"/>
    <col min="15354" max="15354" width="1.81640625" customWidth="1"/>
    <col min="15355" max="15355" width="8" customWidth="1"/>
    <col min="15356" max="15356" width="8" bestFit="1" customWidth="1"/>
    <col min="15357" max="15357" width="9" bestFit="1" customWidth="1"/>
    <col min="15358" max="15358" width="12" bestFit="1" customWidth="1"/>
    <col min="15359" max="15380" width="9" bestFit="1" customWidth="1"/>
    <col min="15381" max="15381" width="7.81640625" bestFit="1" customWidth="1"/>
    <col min="15382" max="15382" width="4.54296875" bestFit="1" customWidth="1"/>
    <col min="15383" max="15383" width="14.1796875" bestFit="1" customWidth="1"/>
    <col min="15610" max="15610" width="1.81640625" customWidth="1"/>
    <col min="15611" max="15611" width="8" customWidth="1"/>
    <col min="15612" max="15612" width="8" bestFit="1" customWidth="1"/>
    <col min="15613" max="15613" width="9" bestFit="1" customWidth="1"/>
    <col min="15614" max="15614" width="12" bestFit="1" customWidth="1"/>
    <col min="15615" max="15636" width="9" bestFit="1" customWidth="1"/>
    <col min="15637" max="15637" width="7.81640625" bestFit="1" customWidth="1"/>
    <col min="15638" max="15638" width="4.54296875" bestFit="1" customWidth="1"/>
    <col min="15639" max="15639" width="14.1796875" bestFit="1" customWidth="1"/>
    <col min="15866" max="15866" width="1.81640625" customWidth="1"/>
    <col min="15867" max="15867" width="8" customWidth="1"/>
    <col min="15868" max="15868" width="8" bestFit="1" customWidth="1"/>
    <col min="15869" max="15869" width="9" bestFit="1" customWidth="1"/>
    <col min="15870" max="15870" width="12" bestFit="1" customWidth="1"/>
    <col min="15871" max="15892" width="9" bestFit="1" customWidth="1"/>
    <col min="15893" max="15893" width="7.81640625" bestFit="1" customWidth="1"/>
    <col min="15894" max="15894" width="4.54296875" bestFit="1" customWidth="1"/>
    <col min="15895" max="15895" width="14.1796875" bestFit="1" customWidth="1"/>
    <col min="16122" max="16122" width="1.81640625" customWidth="1"/>
    <col min="16123" max="16123" width="8" customWidth="1"/>
    <col min="16124" max="16124" width="8" bestFit="1" customWidth="1"/>
    <col min="16125" max="16125" width="9" bestFit="1" customWidth="1"/>
    <col min="16126" max="16126" width="12" bestFit="1" customWidth="1"/>
    <col min="16127" max="16148" width="9" bestFit="1" customWidth="1"/>
    <col min="16149" max="16149" width="7.81640625" bestFit="1" customWidth="1"/>
    <col min="16150" max="16150" width="4.54296875" bestFit="1" customWidth="1"/>
    <col min="16151" max="16151" width="14.1796875" bestFit="1" customWidth="1"/>
  </cols>
  <sheetData>
    <row r="2" spans="2:60" ht="15.5">
      <c r="B2" s="53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2:60" ht="15.5">
      <c r="B3" s="53" t="s">
        <v>39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2:60" ht="16" thickBot="1">
      <c r="B4" s="54" t="s">
        <v>40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</row>
    <row r="5" spans="2:60" ht="25.5" customHeight="1" thickBot="1">
      <c r="B5" s="37"/>
      <c r="C5" s="38" t="s">
        <v>1</v>
      </c>
      <c r="D5" s="39">
        <v>1</v>
      </c>
      <c r="E5" s="39">
        <v>2</v>
      </c>
      <c r="F5" s="39">
        <v>3</v>
      </c>
      <c r="G5" s="39">
        <v>4</v>
      </c>
      <c r="H5" s="39">
        <v>5</v>
      </c>
      <c r="I5" s="39">
        <v>6</v>
      </c>
      <c r="J5" s="40">
        <v>7</v>
      </c>
      <c r="K5" s="40">
        <v>8</v>
      </c>
      <c r="L5" s="40">
        <v>9</v>
      </c>
      <c r="M5" s="40">
        <v>10</v>
      </c>
      <c r="N5" s="40">
        <v>11</v>
      </c>
      <c r="O5" s="40">
        <v>12</v>
      </c>
      <c r="P5" s="40">
        <v>13</v>
      </c>
      <c r="Q5" s="40">
        <v>14</v>
      </c>
      <c r="R5" s="40">
        <v>15</v>
      </c>
      <c r="S5" s="40">
        <v>16</v>
      </c>
      <c r="T5" s="40">
        <v>17</v>
      </c>
      <c r="U5" s="40">
        <v>18</v>
      </c>
      <c r="V5" s="41">
        <v>19</v>
      </c>
      <c r="W5" s="41">
        <v>20</v>
      </c>
      <c r="X5" s="41">
        <v>21</v>
      </c>
      <c r="Y5" s="39">
        <v>22</v>
      </c>
      <c r="Z5" s="39">
        <v>23</v>
      </c>
      <c r="AA5" s="42">
        <v>24</v>
      </c>
      <c r="AB5" s="14" t="s">
        <v>2</v>
      </c>
      <c r="AC5" s="15" t="s">
        <v>3</v>
      </c>
      <c r="AD5" s="16" t="s">
        <v>2</v>
      </c>
    </row>
    <row r="6" spans="2:60">
      <c r="B6" s="47">
        <v>46388</v>
      </c>
      <c r="C6" s="8" t="s">
        <v>5</v>
      </c>
      <c r="D6" s="7">
        <v>994.29</v>
      </c>
      <c r="E6" s="7">
        <v>994.29</v>
      </c>
      <c r="F6" s="7">
        <v>994.29</v>
      </c>
      <c r="G6" s="7">
        <v>994.29</v>
      </c>
      <c r="H6" s="7">
        <v>994.29</v>
      </c>
      <c r="I6" s="7">
        <v>994.29</v>
      </c>
      <c r="J6" s="7">
        <v>994.29</v>
      </c>
      <c r="K6" s="7">
        <v>994.29</v>
      </c>
      <c r="L6" s="7">
        <v>994.29</v>
      </c>
      <c r="M6" s="7">
        <v>994.29</v>
      </c>
      <c r="N6" s="7">
        <v>994.29</v>
      </c>
      <c r="O6" s="7">
        <v>994.29</v>
      </c>
      <c r="P6" s="7">
        <v>994.29</v>
      </c>
      <c r="Q6" s="7">
        <v>994.29</v>
      </c>
      <c r="R6" s="7">
        <v>994.29</v>
      </c>
      <c r="S6" s="7">
        <v>994.29</v>
      </c>
      <c r="T6" s="7">
        <v>994.29</v>
      </c>
      <c r="U6" s="7">
        <v>994.29</v>
      </c>
      <c r="V6" s="7">
        <v>994.29</v>
      </c>
      <c r="W6" s="7">
        <v>994.29</v>
      </c>
      <c r="X6" s="7">
        <v>994.29</v>
      </c>
      <c r="Y6" s="7">
        <v>994.29</v>
      </c>
      <c r="Z6" s="7">
        <v>994.29</v>
      </c>
      <c r="AA6" s="11">
        <v>994.29</v>
      </c>
      <c r="AB6" s="5">
        <f t="shared" ref="AB6:AB21" si="0">(SUM(D6:AA6))</f>
        <v>23862.960000000014</v>
      </c>
      <c r="AC6" s="5">
        <v>19</v>
      </c>
      <c r="AD6" s="50">
        <f>(AB6*AC6)+(AB7*AC7)+(AB8*AC8)+(AB9*AC9)</f>
        <v>739751.76000000047</v>
      </c>
      <c r="AE6" s="83">
        <f>+AD6</f>
        <v>739751.76000000047</v>
      </c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</row>
    <row r="7" spans="2:60">
      <c r="B7" s="48"/>
      <c r="C7" s="1" t="s">
        <v>6</v>
      </c>
      <c r="D7" s="2">
        <v>994.29</v>
      </c>
      <c r="E7" s="2">
        <v>994.29</v>
      </c>
      <c r="F7" s="2">
        <v>994.29</v>
      </c>
      <c r="G7" s="2">
        <v>994.29</v>
      </c>
      <c r="H7" s="2">
        <v>994.29</v>
      </c>
      <c r="I7" s="2">
        <v>994.29</v>
      </c>
      <c r="J7" s="2">
        <v>994.29</v>
      </c>
      <c r="K7" s="2">
        <v>994.29</v>
      </c>
      <c r="L7" s="2">
        <v>994.29</v>
      </c>
      <c r="M7" s="2">
        <v>994.29</v>
      </c>
      <c r="N7" s="2">
        <v>994.29</v>
      </c>
      <c r="O7" s="2">
        <v>994.29</v>
      </c>
      <c r="P7" s="2">
        <v>994.29</v>
      </c>
      <c r="Q7" s="2">
        <v>994.29</v>
      </c>
      <c r="R7" s="2">
        <v>994.29</v>
      </c>
      <c r="S7" s="2">
        <v>994.29</v>
      </c>
      <c r="T7" s="2">
        <v>994.29</v>
      </c>
      <c r="U7" s="2">
        <v>994.29</v>
      </c>
      <c r="V7" s="2">
        <v>994.29</v>
      </c>
      <c r="W7" s="2">
        <v>994.29</v>
      </c>
      <c r="X7" s="2">
        <v>994.29</v>
      </c>
      <c r="Y7" s="2">
        <v>994.29</v>
      </c>
      <c r="Z7" s="2">
        <v>994.29</v>
      </c>
      <c r="AA7" s="12">
        <v>994.29</v>
      </c>
      <c r="AB7" s="3">
        <f t="shared" si="0"/>
        <v>23862.960000000014</v>
      </c>
      <c r="AC7" s="3">
        <v>5</v>
      </c>
      <c r="AD7" s="51"/>
      <c r="AE7" s="83">
        <f>+AD10</f>
        <v>668162.88000000047</v>
      </c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</row>
    <row r="8" spans="2:60">
      <c r="B8" s="48"/>
      <c r="C8" s="1" t="s">
        <v>7</v>
      </c>
      <c r="D8" s="2">
        <v>994.29</v>
      </c>
      <c r="E8" s="2">
        <v>994.29</v>
      </c>
      <c r="F8" s="2">
        <v>994.29</v>
      </c>
      <c r="G8" s="2">
        <v>994.29</v>
      </c>
      <c r="H8" s="2">
        <v>994.29</v>
      </c>
      <c r="I8" s="2">
        <v>994.29</v>
      </c>
      <c r="J8" s="2">
        <v>994.29</v>
      </c>
      <c r="K8" s="2">
        <v>994.29</v>
      </c>
      <c r="L8" s="2">
        <v>994.29</v>
      </c>
      <c r="M8" s="2">
        <v>994.29</v>
      </c>
      <c r="N8" s="2">
        <v>994.29</v>
      </c>
      <c r="O8" s="2">
        <v>994.29</v>
      </c>
      <c r="P8" s="2">
        <v>994.29</v>
      </c>
      <c r="Q8" s="2">
        <v>994.29</v>
      </c>
      <c r="R8" s="2">
        <v>994.29</v>
      </c>
      <c r="S8" s="2">
        <v>994.29</v>
      </c>
      <c r="T8" s="2">
        <v>994.29</v>
      </c>
      <c r="U8" s="2">
        <v>994.29</v>
      </c>
      <c r="V8" s="2">
        <v>994.29</v>
      </c>
      <c r="W8" s="2">
        <v>994.29</v>
      </c>
      <c r="X8" s="2">
        <v>994.29</v>
      </c>
      <c r="Y8" s="2">
        <v>994.29</v>
      </c>
      <c r="Z8" s="2">
        <v>994.29</v>
      </c>
      <c r="AA8" s="12">
        <v>994.29</v>
      </c>
      <c r="AB8" s="3">
        <f t="shared" si="0"/>
        <v>23862.960000000014</v>
      </c>
      <c r="AC8" s="3">
        <v>5</v>
      </c>
      <c r="AD8" s="51"/>
      <c r="AE8" s="83">
        <f>+AD14</f>
        <v>739751.76000000047</v>
      </c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</row>
    <row r="9" spans="2:60" ht="15" thickBot="1">
      <c r="B9" s="49"/>
      <c r="C9" s="9" t="s">
        <v>8</v>
      </c>
      <c r="D9" s="10">
        <v>994.29</v>
      </c>
      <c r="E9" s="10">
        <v>994.29</v>
      </c>
      <c r="F9" s="10">
        <v>994.29</v>
      </c>
      <c r="G9" s="10">
        <v>994.29</v>
      </c>
      <c r="H9" s="10">
        <v>994.29</v>
      </c>
      <c r="I9" s="10">
        <v>994.29</v>
      </c>
      <c r="J9" s="10">
        <v>994.29</v>
      </c>
      <c r="K9" s="10">
        <v>994.29</v>
      </c>
      <c r="L9" s="10">
        <v>994.29</v>
      </c>
      <c r="M9" s="10">
        <v>994.29</v>
      </c>
      <c r="N9" s="10">
        <v>994.29</v>
      </c>
      <c r="O9" s="10">
        <v>994.29</v>
      </c>
      <c r="P9" s="10">
        <v>994.29</v>
      </c>
      <c r="Q9" s="10">
        <v>994.29</v>
      </c>
      <c r="R9" s="10">
        <v>994.29</v>
      </c>
      <c r="S9" s="10">
        <v>994.29</v>
      </c>
      <c r="T9" s="10">
        <v>994.29</v>
      </c>
      <c r="U9" s="10">
        <v>994.29</v>
      </c>
      <c r="V9" s="10">
        <v>994.29</v>
      </c>
      <c r="W9" s="10">
        <v>994.29</v>
      </c>
      <c r="X9" s="10">
        <v>994.29</v>
      </c>
      <c r="Y9" s="10">
        <v>994.29</v>
      </c>
      <c r="Z9" s="10">
        <v>994.29</v>
      </c>
      <c r="AA9" s="13">
        <v>994.29</v>
      </c>
      <c r="AB9" s="6">
        <f t="shared" si="0"/>
        <v>23862.960000000014</v>
      </c>
      <c r="AC9" s="6">
        <v>2</v>
      </c>
      <c r="AD9" s="52"/>
      <c r="AE9" s="83">
        <f>+AD18</f>
        <v>715888.80000000051</v>
      </c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</row>
    <row r="10" spans="2:60">
      <c r="B10" s="47">
        <v>46419</v>
      </c>
      <c r="C10" s="8" t="s">
        <v>5</v>
      </c>
      <c r="D10" s="7">
        <v>994.29</v>
      </c>
      <c r="E10" s="7">
        <v>994.29</v>
      </c>
      <c r="F10" s="7">
        <v>994.29</v>
      </c>
      <c r="G10" s="7">
        <v>994.29</v>
      </c>
      <c r="H10" s="7">
        <v>994.29</v>
      </c>
      <c r="I10" s="7">
        <v>994.29</v>
      </c>
      <c r="J10" s="7">
        <v>994.29</v>
      </c>
      <c r="K10" s="7">
        <v>994.29</v>
      </c>
      <c r="L10" s="7">
        <v>994.29</v>
      </c>
      <c r="M10" s="7">
        <v>994.29</v>
      </c>
      <c r="N10" s="7">
        <v>994.29</v>
      </c>
      <c r="O10" s="7">
        <v>994.29</v>
      </c>
      <c r="P10" s="7">
        <v>994.29</v>
      </c>
      <c r="Q10" s="7">
        <v>994.29</v>
      </c>
      <c r="R10" s="7">
        <v>994.29</v>
      </c>
      <c r="S10" s="7">
        <v>994.29</v>
      </c>
      <c r="T10" s="7">
        <v>994.29</v>
      </c>
      <c r="U10" s="7">
        <v>994.29</v>
      </c>
      <c r="V10" s="7">
        <v>994.29</v>
      </c>
      <c r="W10" s="7">
        <v>994.29</v>
      </c>
      <c r="X10" s="7">
        <v>994.29</v>
      </c>
      <c r="Y10" s="7">
        <v>994.29</v>
      </c>
      <c r="Z10" s="7">
        <v>994.29</v>
      </c>
      <c r="AA10" s="11">
        <v>994.29</v>
      </c>
      <c r="AB10" s="5">
        <f t="shared" si="0"/>
        <v>23862.960000000014</v>
      </c>
      <c r="AC10" s="5">
        <v>20</v>
      </c>
      <c r="AD10" s="50">
        <f>(AB10*AC10)+(AB11*AC11)+(AB12*AC12)+(AB13*AC13)</f>
        <v>668162.88000000047</v>
      </c>
      <c r="AE10" s="83">
        <f>+AD22</f>
        <v>739751.76000000036</v>
      </c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</row>
    <row r="11" spans="2:60">
      <c r="B11" s="48"/>
      <c r="C11" s="1" t="s">
        <v>6</v>
      </c>
      <c r="D11" s="2">
        <v>994.29</v>
      </c>
      <c r="E11" s="2">
        <v>994.29</v>
      </c>
      <c r="F11" s="2">
        <v>994.29</v>
      </c>
      <c r="G11" s="2">
        <v>994.29</v>
      </c>
      <c r="H11" s="2">
        <v>994.29</v>
      </c>
      <c r="I11" s="2">
        <v>994.29</v>
      </c>
      <c r="J11" s="2">
        <v>994.29</v>
      </c>
      <c r="K11" s="2">
        <v>994.29</v>
      </c>
      <c r="L11" s="2">
        <v>994.29</v>
      </c>
      <c r="M11" s="2">
        <v>994.29</v>
      </c>
      <c r="N11" s="2">
        <v>994.29</v>
      </c>
      <c r="O11" s="2">
        <v>994.29</v>
      </c>
      <c r="P11" s="2">
        <v>994.29</v>
      </c>
      <c r="Q11" s="2">
        <v>994.29</v>
      </c>
      <c r="R11" s="2">
        <v>994.29</v>
      </c>
      <c r="S11" s="2">
        <v>994.29</v>
      </c>
      <c r="T11" s="2">
        <v>994.29</v>
      </c>
      <c r="U11" s="2">
        <v>994.29</v>
      </c>
      <c r="V11" s="2">
        <v>994.29</v>
      </c>
      <c r="W11" s="2">
        <v>994.29</v>
      </c>
      <c r="X11" s="2">
        <v>994.29</v>
      </c>
      <c r="Y11" s="2">
        <v>994.29</v>
      </c>
      <c r="Z11" s="2">
        <v>994.29</v>
      </c>
      <c r="AA11" s="12">
        <v>994.29</v>
      </c>
      <c r="AB11" s="3">
        <f t="shared" si="0"/>
        <v>23862.960000000014</v>
      </c>
      <c r="AC11" s="3">
        <v>4</v>
      </c>
      <c r="AD11" s="51"/>
      <c r="AE11" s="83">
        <f>+AD26</f>
        <v>715888.8000000004</v>
      </c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</row>
    <row r="12" spans="2:60">
      <c r="B12" s="48"/>
      <c r="C12" s="1" t="s">
        <v>7</v>
      </c>
      <c r="D12" s="2">
        <v>994.29</v>
      </c>
      <c r="E12" s="2">
        <v>994.29</v>
      </c>
      <c r="F12" s="2">
        <v>994.29</v>
      </c>
      <c r="G12" s="2">
        <v>994.29</v>
      </c>
      <c r="H12" s="2">
        <v>994.29</v>
      </c>
      <c r="I12" s="2">
        <v>994.29</v>
      </c>
      <c r="J12" s="2">
        <v>994.29</v>
      </c>
      <c r="K12" s="2">
        <v>994.29</v>
      </c>
      <c r="L12" s="2">
        <v>994.29</v>
      </c>
      <c r="M12" s="2">
        <v>994.29</v>
      </c>
      <c r="N12" s="2">
        <v>994.29</v>
      </c>
      <c r="O12" s="2">
        <v>994.29</v>
      </c>
      <c r="P12" s="2">
        <v>994.29</v>
      </c>
      <c r="Q12" s="2">
        <v>994.29</v>
      </c>
      <c r="R12" s="2">
        <v>994.29</v>
      </c>
      <c r="S12" s="2">
        <v>994.29</v>
      </c>
      <c r="T12" s="2">
        <v>994.29</v>
      </c>
      <c r="U12" s="2">
        <v>994.29</v>
      </c>
      <c r="V12" s="2">
        <v>994.29</v>
      </c>
      <c r="W12" s="2">
        <v>994.29</v>
      </c>
      <c r="X12" s="2">
        <v>994.29</v>
      </c>
      <c r="Y12" s="2">
        <v>994.29</v>
      </c>
      <c r="Z12" s="2">
        <v>994.29</v>
      </c>
      <c r="AA12" s="12">
        <v>994.29</v>
      </c>
      <c r="AB12" s="3">
        <f t="shared" si="0"/>
        <v>23862.960000000014</v>
      </c>
      <c r="AC12" s="3">
        <v>4</v>
      </c>
      <c r="AD12" s="51"/>
      <c r="AE12" s="83">
        <f>+AD30</f>
        <v>739751.76000000047</v>
      </c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</row>
    <row r="13" spans="2:60" ht="15" thickBot="1">
      <c r="B13" s="49"/>
      <c r="C13" s="9" t="s">
        <v>8</v>
      </c>
      <c r="D13" s="10">
        <v>994.29</v>
      </c>
      <c r="E13" s="10">
        <v>994.29</v>
      </c>
      <c r="F13" s="10">
        <v>994.29</v>
      </c>
      <c r="G13" s="10">
        <v>994.29</v>
      </c>
      <c r="H13" s="10">
        <v>994.29</v>
      </c>
      <c r="I13" s="10">
        <v>994.29</v>
      </c>
      <c r="J13" s="10">
        <v>994.29</v>
      </c>
      <c r="K13" s="10">
        <v>994.29</v>
      </c>
      <c r="L13" s="10">
        <v>994.29</v>
      </c>
      <c r="M13" s="10">
        <v>994.29</v>
      </c>
      <c r="N13" s="10">
        <v>994.29</v>
      </c>
      <c r="O13" s="10">
        <v>994.29</v>
      </c>
      <c r="P13" s="10">
        <v>994.29</v>
      </c>
      <c r="Q13" s="10">
        <v>994.29</v>
      </c>
      <c r="R13" s="10">
        <v>994.29</v>
      </c>
      <c r="S13" s="10">
        <v>994.29</v>
      </c>
      <c r="T13" s="10">
        <v>994.29</v>
      </c>
      <c r="U13" s="10">
        <v>994.29</v>
      </c>
      <c r="V13" s="10">
        <v>994.29</v>
      </c>
      <c r="W13" s="10">
        <v>994.29</v>
      </c>
      <c r="X13" s="10">
        <v>994.29</v>
      </c>
      <c r="Y13" s="10">
        <v>994.29</v>
      </c>
      <c r="Z13" s="10">
        <v>994.29</v>
      </c>
      <c r="AA13" s="13">
        <v>994.29</v>
      </c>
      <c r="AB13" s="6">
        <f t="shared" si="0"/>
        <v>23862.960000000014</v>
      </c>
      <c r="AC13" s="6">
        <v>0</v>
      </c>
      <c r="AD13" s="52"/>
      <c r="AE13" s="83">
        <f>+AD34</f>
        <v>739751.76000000036</v>
      </c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</row>
    <row r="14" spans="2:60">
      <c r="B14" s="47">
        <v>46447</v>
      </c>
      <c r="C14" s="8" t="s">
        <v>5</v>
      </c>
      <c r="D14" s="7">
        <v>994.29</v>
      </c>
      <c r="E14" s="7">
        <v>994.29</v>
      </c>
      <c r="F14" s="7">
        <v>994.29</v>
      </c>
      <c r="G14" s="7">
        <v>994.29</v>
      </c>
      <c r="H14" s="7">
        <v>994.29</v>
      </c>
      <c r="I14" s="7">
        <v>994.29</v>
      </c>
      <c r="J14" s="7">
        <v>994.29</v>
      </c>
      <c r="K14" s="7">
        <v>994.29</v>
      </c>
      <c r="L14" s="7">
        <v>994.29</v>
      </c>
      <c r="M14" s="7">
        <v>994.29</v>
      </c>
      <c r="N14" s="7">
        <v>994.29</v>
      </c>
      <c r="O14" s="7">
        <v>994.29</v>
      </c>
      <c r="P14" s="7">
        <v>994.29</v>
      </c>
      <c r="Q14" s="7">
        <v>994.29</v>
      </c>
      <c r="R14" s="7">
        <v>994.29</v>
      </c>
      <c r="S14" s="7">
        <v>994.29</v>
      </c>
      <c r="T14" s="7">
        <v>994.29</v>
      </c>
      <c r="U14" s="7">
        <v>994.29</v>
      </c>
      <c r="V14" s="7">
        <v>994.29</v>
      </c>
      <c r="W14" s="7">
        <v>994.29</v>
      </c>
      <c r="X14" s="7">
        <v>994.29</v>
      </c>
      <c r="Y14" s="7">
        <v>994.29</v>
      </c>
      <c r="Z14" s="7">
        <v>994.29</v>
      </c>
      <c r="AA14" s="11">
        <v>994.29</v>
      </c>
      <c r="AB14" s="5">
        <f t="shared" si="0"/>
        <v>23862.960000000014</v>
      </c>
      <c r="AC14" s="5">
        <v>20</v>
      </c>
      <c r="AD14" s="50">
        <f>(AB14*AC14)+(AB15*AC15)+(AB16*AC16)+(AB17*AC17)</f>
        <v>739751.76000000047</v>
      </c>
      <c r="AE14" s="83">
        <f>+AD38</f>
        <v>715888.80000000051</v>
      </c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</row>
    <row r="15" spans="2:60">
      <c r="B15" s="48"/>
      <c r="C15" s="1" t="s">
        <v>6</v>
      </c>
      <c r="D15" s="2">
        <v>994.29</v>
      </c>
      <c r="E15" s="2">
        <v>994.29</v>
      </c>
      <c r="F15" s="2">
        <v>994.29</v>
      </c>
      <c r="G15" s="2">
        <v>994.29</v>
      </c>
      <c r="H15" s="2">
        <v>994.29</v>
      </c>
      <c r="I15" s="2">
        <v>994.29</v>
      </c>
      <c r="J15" s="2">
        <v>994.29</v>
      </c>
      <c r="K15" s="2">
        <v>994.29</v>
      </c>
      <c r="L15" s="2">
        <v>994.29</v>
      </c>
      <c r="M15" s="2">
        <v>994.29</v>
      </c>
      <c r="N15" s="2">
        <v>994.29</v>
      </c>
      <c r="O15" s="2">
        <v>994.29</v>
      </c>
      <c r="P15" s="2">
        <v>994.29</v>
      </c>
      <c r="Q15" s="2">
        <v>994.29</v>
      </c>
      <c r="R15" s="2">
        <v>994.29</v>
      </c>
      <c r="S15" s="2">
        <v>994.29</v>
      </c>
      <c r="T15" s="2">
        <v>994.29</v>
      </c>
      <c r="U15" s="2">
        <v>994.29</v>
      </c>
      <c r="V15" s="2">
        <v>994.29</v>
      </c>
      <c r="W15" s="2">
        <v>994.29</v>
      </c>
      <c r="X15" s="2">
        <v>994.29</v>
      </c>
      <c r="Y15" s="2">
        <v>994.29</v>
      </c>
      <c r="Z15" s="2">
        <v>994.29</v>
      </c>
      <c r="AA15" s="12">
        <v>994.29</v>
      </c>
      <c r="AB15" s="3">
        <f t="shared" si="0"/>
        <v>23862.960000000014</v>
      </c>
      <c r="AC15" s="3">
        <v>4</v>
      </c>
      <c r="AD15" s="51"/>
      <c r="AE15" s="83">
        <f>+AD42</f>
        <v>739751.76000000036</v>
      </c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</row>
    <row r="16" spans="2:60">
      <c r="B16" s="48"/>
      <c r="C16" s="1" t="s">
        <v>7</v>
      </c>
      <c r="D16" s="2">
        <v>994.29</v>
      </c>
      <c r="E16" s="2">
        <v>994.29</v>
      </c>
      <c r="F16" s="2">
        <v>994.29</v>
      </c>
      <c r="G16" s="2">
        <v>994.29</v>
      </c>
      <c r="H16" s="2">
        <v>994.29</v>
      </c>
      <c r="I16" s="2">
        <v>994.29</v>
      </c>
      <c r="J16" s="2">
        <v>994.29</v>
      </c>
      <c r="K16" s="2">
        <v>994.29</v>
      </c>
      <c r="L16" s="2">
        <v>994.29</v>
      </c>
      <c r="M16" s="2">
        <v>994.29</v>
      </c>
      <c r="N16" s="2">
        <v>994.29</v>
      </c>
      <c r="O16" s="2">
        <v>994.29</v>
      </c>
      <c r="P16" s="2">
        <v>994.29</v>
      </c>
      <c r="Q16" s="2">
        <v>994.29</v>
      </c>
      <c r="R16" s="2">
        <v>994.29</v>
      </c>
      <c r="S16" s="2">
        <v>994.29</v>
      </c>
      <c r="T16" s="2">
        <v>994.29</v>
      </c>
      <c r="U16" s="2">
        <v>994.29</v>
      </c>
      <c r="V16" s="2">
        <v>994.29</v>
      </c>
      <c r="W16" s="2">
        <v>994.29</v>
      </c>
      <c r="X16" s="2">
        <v>994.29</v>
      </c>
      <c r="Y16" s="2">
        <v>994.29</v>
      </c>
      <c r="Z16" s="2">
        <v>994.29</v>
      </c>
      <c r="AA16" s="12">
        <v>994.29</v>
      </c>
      <c r="AB16" s="3">
        <f t="shared" si="0"/>
        <v>23862.960000000014</v>
      </c>
      <c r="AC16" s="3">
        <v>4</v>
      </c>
      <c r="AD16" s="51"/>
      <c r="AE16" s="83">
        <f>+AD46</f>
        <v>715888.80000000051</v>
      </c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</row>
    <row r="17" spans="2:60" ht="15" thickBot="1">
      <c r="B17" s="49"/>
      <c r="C17" s="9" t="s">
        <v>8</v>
      </c>
      <c r="D17" s="10">
        <v>994.29</v>
      </c>
      <c r="E17" s="10">
        <v>994.29</v>
      </c>
      <c r="F17" s="10">
        <v>994.29</v>
      </c>
      <c r="G17" s="10">
        <v>994.29</v>
      </c>
      <c r="H17" s="10">
        <v>994.29</v>
      </c>
      <c r="I17" s="10">
        <v>994.29</v>
      </c>
      <c r="J17" s="10">
        <v>994.29</v>
      </c>
      <c r="K17" s="10">
        <v>994.29</v>
      </c>
      <c r="L17" s="10">
        <v>994.29</v>
      </c>
      <c r="M17" s="10">
        <v>994.29</v>
      </c>
      <c r="N17" s="10">
        <v>994.29</v>
      </c>
      <c r="O17" s="10">
        <v>994.29</v>
      </c>
      <c r="P17" s="10">
        <v>994.29</v>
      </c>
      <c r="Q17" s="10">
        <v>994.29</v>
      </c>
      <c r="R17" s="10">
        <v>994.29</v>
      </c>
      <c r="S17" s="10">
        <v>994.29</v>
      </c>
      <c r="T17" s="10">
        <v>994.29</v>
      </c>
      <c r="U17" s="10">
        <v>994.29</v>
      </c>
      <c r="V17" s="10">
        <v>994.29</v>
      </c>
      <c r="W17" s="10">
        <v>994.29</v>
      </c>
      <c r="X17" s="10">
        <v>994.29</v>
      </c>
      <c r="Y17" s="10">
        <v>994.29</v>
      </c>
      <c r="Z17" s="10">
        <v>994.29</v>
      </c>
      <c r="AA17" s="13">
        <v>994.29</v>
      </c>
      <c r="AB17" s="6">
        <f t="shared" si="0"/>
        <v>23862.960000000014</v>
      </c>
      <c r="AC17" s="6">
        <v>3</v>
      </c>
      <c r="AD17" s="52"/>
      <c r="AE17" s="83">
        <f>+AD50</f>
        <v>739751.76000000047</v>
      </c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</row>
    <row r="18" spans="2:60">
      <c r="B18" s="47">
        <v>46478</v>
      </c>
      <c r="C18" s="8" t="s">
        <v>5</v>
      </c>
      <c r="D18" s="7">
        <v>994.29</v>
      </c>
      <c r="E18" s="7">
        <v>994.29</v>
      </c>
      <c r="F18" s="7">
        <v>994.29</v>
      </c>
      <c r="G18" s="7">
        <v>994.29</v>
      </c>
      <c r="H18" s="7">
        <v>994.29</v>
      </c>
      <c r="I18" s="7">
        <v>994.29</v>
      </c>
      <c r="J18" s="7">
        <v>994.29</v>
      </c>
      <c r="K18" s="7">
        <v>994.29</v>
      </c>
      <c r="L18" s="7">
        <v>994.29</v>
      </c>
      <c r="M18" s="7">
        <v>994.29</v>
      </c>
      <c r="N18" s="7">
        <v>994.29</v>
      </c>
      <c r="O18" s="7">
        <v>994.29</v>
      </c>
      <c r="P18" s="7">
        <v>994.29</v>
      </c>
      <c r="Q18" s="7">
        <v>994.29</v>
      </c>
      <c r="R18" s="7">
        <v>994.29</v>
      </c>
      <c r="S18" s="7">
        <v>994.29</v>
      </c>
      <c r="T18" s="7">
        <v>994.29</v>
      </c>
      <c r="U18" s="7">
        <v>994.29</v>
      </c>
      <c r="V18" s="7">
        <v>994.29</v>
      </c>
      <c r="W18" s="7">
        <v>994.29</v>
      </c>
      <c r="X18" s="7">
        <v>994.29</v>
      </c>
      <c r="Y18" s="7">
        <v>994.29</v>
      </c>
      <c r="Z18" s="7">
        <v>994.29</v>
      </c>
      <c r="AA18" s="11">
        <v>994.29</v>
      </c>
      <c r="AB18" s="5">
        <f t="shared" si="0"/>
        <v>23862.960000000014</v>
      </c>
      <c r="AC18" s="5">
        <v>22</v>
      </c>
      <c r="AD18" s="50">
        <f>(AB18*AC18)+(AB19*AC19)+(AB20*AC20)+(AB21*AC21)</f>
        <v>715888.80000000051</v>
      </c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</row>
    <row r="19" spans="2:60">
      <c r="B19" s="48"/>
      <c r="C19" s="1" t="s">
        <v>6</v>
      </c>
      <c r="D19" s="2">
        <v>994.29</v>
      </c>
      <c r="E19" s="2">
        <v>994.29</v>
      </c>
      <c r="F19" s="2">
        <v>994.29</v>
      </c>
      <c r="G19" s="2">
        <v>994.29</v>
      </c>
      <c r="H19" s="2">
        <v>994.29</v>
      </c>
      <c r="I19" s="2">
        <v>994.29</v>
      </c>
      <c r="J19" s="2">
        <v>994.29</v>
      </c>
      <c r="K19" s="2">
        <v>994.29</v>
      </c>
      <c r="L19" s="2">
        <v>994.29</v>
      </c>
      <c r="M19" s="2">
        <v>994.29</v>
      </c>
      <c r="N19" s="2">
        <v>994.29</v>
      </c>
      <c r="O19" s="2">
        <v>994.29</v>
      </c>
      <c r="P19" s="2">
        <v>994.29</v>
      </c>
      <c r="Q19" s="2">
        <v>994.29</v>
      </c>
      <c r="R19" s="2">
        <v>994.29</v>
      </c>
      <c r="S19" s="2">
        <v>994.29</v>
      </c>
      <c r="T19" s="2">
        <v>994.29</v>
      </c>
      <c r="U19" s="2">
        <v>994.29</v>
      </c>
      <c r="V19" s="2">
        <v>994.29</v>
      </c>
      <c r="W19" s="2">
        <v>994.29</v>
      </c>
      <c r="X19" s="2">
        <v>994.29</v>
      </c>
      <c r="Y19" s="2">
        <v>994.29</v>
      </c>
      <c r="Z19" s="2">
        <v>994.29</v>
      </c>
      <c r="AA19" s="12">
        <v>994.29</v>
      </c>
      <c r="AB19" s="3">
        <f t="shared" si="0"/>
        <v>23862.960000000014</v>
      </c>
      <c r="AC19" s="3">
        <v>4</v>
      </c>
      <c r="AD19" s="51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</row>
    <row r="20" spans="2:60">
      <c r="B20" s="48"/>
      <c r="C20" s="1" t="s">
        <v>7</v>
      </c>
      <c r="D20" s="2">
        <v>994.29</v>
      </c>
      <c r="E20" s="2">
        <v>994.29</v>
      </c>
      <c r="F20" s="2">
        <v>994.29</v>
      </c>
      <c r="G20" s="2">
        <v>994.29</v>
      </c>
      <c r="H20" s="2">
        <v>994.29</v>
      </c>
      <c r="I20" s="2">
        <v>994.29</v>
      </c>
      <c r="J20" s="2">
        <v>994.29</v>
      </c>
      <c r="K20" s="2">
        <v>994.29</v>
      </c>
      <c r="L20" s="2">
        <v>994.29</v>
      </c>
      <c r="M20" s="2">
        <v>994.29</v>
      </c>
      <c r="N20" s="2">
        <v>994.29</v>
      </c>
      <c r="O20" s="2">
        <v>994.29</v>
      </c>
      <c r="P20" s="2">
        <v>994.29</v>
      </c>
      <c r="Q20" s="2">
        <v>994.29</v>
      </c>
      <c r="R20" s="2">
        <v>994.29</v>
      </c>
      <c r="S20" s="2">
        <v>994.29</v>
      </c>
      <c r="T20" s="2">
        <v>994.29</v>
      </c>
      <c r="U20" s="2">
        <v>994.29</v>
      </c>
      <c r="V20" s="2">
        <v>994.29</v>
      </c>
      <c r="W20" s="2">
        <v>994.29</v>
      </c>
      <c r="X20" s="2">
        <v>994.29</v>
      </c>
      <c r="Y20" s="2">
        <v>994.29</v>
      </c>
      <c r="Z20" s="2">
        <v>994.29</v>
      </c>
      <c r="AA20" s="12">
        <v>994.29</v>
      </c>
      <c r="AB20" s="3">
        <f t="shared" si="0"/>
        <v>23862.960000000014</v>
      </c>
      <c r="AC20" s="3">
        <v>4</v>
      </c>
      <c r="AD20" s="51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</row>
    <row r="21" spans="2:60" ht="15" thickBot="1">
      <c r="B21" s="49"/>
      <c r="C21" s="9" t="s">
        <v>8</v>
      </c>
      <c r="D21" s="10">
        <v>994.29</v>
      </c>
      <c r="E21" s="10">
        <v>994.29</v>
      </c>
      <c r="F21" s="10">
        <v>994.29</v>
      </c>
      <c r="G21" s="10">
        <v>994.29</v>
      </c>
      <c r="H21" s="10">
        <v>994.29</v>
      </c>
      <c r="I21" s="10">
        <v>994.29</v>
      </c>
      <c r="J21" s="10">
        <v>994.29</v>
      </c>
      <c r="K21" s="10">
        <v>994.29</v>
      </c>
      <c r="L21" s="10">
        <v>994.29</v>
      </c>
      <c r="M21" s="10">
        <v>994.29</v>
      </c>
      <c r="N21" s="10">
        <v>994.29</v>
      </c>
      <c r="O21" s="10">
        <v>994.29</v>
      </c>
      <c r="P21" s="10">
        <v>994.29</v>
      </c>
      <c r="Q21" s="10">
        <v>994.29</v>
      </c>
      <c r="R21" s="10">
        <v>994.29</v>
      </c>
      <c r="S21" s="10">
        <v>994.29</v>
      </c>
      <c r="T21" s="10">
        <v>994.29</v>
      </c>
      <c r="U21" s="10">
        <v>994.29</v>
      </c>
      <c r="V21" s="10">
        <v>994.29</v>
      </c>
      <c r="W21" s="10">
        <v>994.29</v>
      </c>
      <c r="X21" s="10">
        <v>994.29</v>
      </c>
      <c r="Y21" s="10">
        <v>994.29</v>
      </c>
      <c r="Z21" s="10">
        <v>994.29</v>
      </c>
      <c r="AA21" s="13">
        <v>994.29</v>
      </c>
      <c r="AB21" s="6">
        <f t="shared" si="0"/>
        <v>23862.960000000014</v>
      </c>
      <c r="AC21" s="6">
        <v>0</v>
      </c>
      <c r="AD21" s="52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</row>
    <row r="22" spans="2:60">
      <c r="B22" s="47">
        <v>46508</v>
      </c>
      <c r="C22" s="8" t="s">
        <v>5</v>
      </c>
      <c r="D22" s="7">
        <v>994.29</v>
      </c>
      <c r="E22" s="7">
        <v>994.29</v>
      </c>
      <c r="F22" s="7">
        <v>994.29</v>
      </c>
      <c r="G22" s="7">
        <v>994.29</v>
      </c>
      <c r="H22" s="7">
        <v>994.29</v>
      </c>
      <c r="I22" s="7">
        <v>994.29</v>
      </c>
      <c r="J22" s="7">
        <v>994.29</v>
      </c>
      <c r="K22" s="7">
        <v>994.29</v>
      </c>
      <c r="L22" s="7">
        <v>994.29</v>
      </c>
      <c r="M22" s="7">
        <v>994.29</v>
      </c>
      <c r="N22" s="7">
        <v>994.29</v>
      </c>
      <c r="O22" s="7">
        <v>994.29</v>
      </c>
      <c r="P22" s="7">
        <v>994.29</v>
      </c>
      <c r="Q22" s="7">
        <v>994.29</v>
      </c>
      <c r="R22" s="7">
        <v>994.29</v>
      </c>
      <c r="S22" s="7">
        <v>994.29</v>
      </c>
      <c r="T22" s="7">
        <v>994.29</v>
      </c>
      <c r="U22" s="7">
        <v>994.29</v>
      </c>
      <c r="V22" s="7">
        <v>994.29</v>
      </c>
      <c r="W22" s="7">
        <v>994.29</v>
      </c>
      <c r="X22" s="7">
        <v>994.29</v>
      </c>
      <c r="Y22" s="7">
        <v>994.29</v>
      </c>
      <c r="Z22" s="7">
        <v>994.29</v>
      </c>
      <c r="AA22" s="11">
        <v>994.29</v>
      </c>
      <c r="AB22" s="5">
        <f t="shared" ref="AB22:AB53" si="1">(SUM(D22:AA22))</f>
        <v>23862.960000000014</v>
      </c>
      <c r="AC22" s="5">
        <v>19</v>
      </c>
      <c r="AD22" s="50">
        <f>(AB22*AC22)+(AB23*AC23)+(AB24*AC24)+(AB25*AC25)</f>
        <v>739751.76000000036</v>
      </c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</row>
    <row r="23" spans="2:60">
      <c r="B23" s="48"/>
      <c r="C23" s="1" t="s">
        <v>6</v>
      </c>
      <c r="D23" s="2">
        <v>994.29</v>
      </c>
      <c r="E23" s="2">
        <v>994.29</v>
      </c>
      <c r="F23" s="2">
        <v>994.29</v>
      </c>
      <c r="G23" s="2">
        <v>994.29</v>
      </c>
      <c r="H23" s="2">
        <v>994.29</v>
      </c>
      <c r="I23" s="2">
        <v>994.29</v>
      </c>
      <c r="J23" s="2">
        <v>994.29</v>
      </c>
      <c r="K23" s="2">
        <v>994.29</v>
      </c>
      <c r="L23" s="2">
        <v>994.29</v>
      </c>
      <c r="M23" s="2">
        <v>994.29</v>
      </c>
      <c r="N23" s="2">
        <v>994.29</v>
      </c>
      <c r="O23" s="2">
        <v>994.29</v>
      </c>
      <c r="P23" s="2">
        <v>994.29</v>
      </c>
      <c r="Q23" s="2">
        <v>994.29</v>
      </c>
      <c r="R23" s="2">
        <v>994.29</v>
      </c>
      <c r="S23" s="2">
        <v>994.29</v>
      </c>
      <c r="T23" s="2">
        <v>994.29</v>
      </c>
      <c r="U23" s="2">
        <v>994.29</v>
      </c>
      <c r="V23" s="2">
        <v>994.29</v>
      </c>
      <c r="W23" s="2">
        <v>994.29</v>
      </c>
      <c r="X23" s="2">
        <v>994.29</v>
      </c>
      <c r="Y23" s="2">
        <v>994.29</v>
      </c>
      <c r="Z23" s="2">
        <v>994.29</v>
      </c>
      <c r="AA23" s="12">
        <v>994.29</v>
      </c>
      <c r="AB23" s="3">
        <f t="shared" si="1"/>
        <v>23862.960000000014</v>
      </c>
      <c r="AC23" s="3">
        <v>4</v>
      </c>
      <c r="AD23" s="51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</row>
    <row r="24" spans="2:60">
      <c r="B24" s="48"/>
      <c r="C24" s="1" t="s">
        <v>7</v>
      </c>
      <c r="D24" s="2">
        <v>994.29</v>
      </c>
      <c r="E24" s="2">
        <v>994.29</v>
      </c>
      <c r="F24" s="2">
        <v>994.29</v>
      </c>
      <c r="G24" s="2">
        <v>994.29</v>
      </c>
      <c r="H24" s="2">
        <v>994.29</v>
      </c>
      <c r="I24" s="2">
        <v>994.29</v>
      </c>
      <c r="J24" s="2">
        <v>994.29</v>
      </c>
      <c r="K24" s="2">
        <v>994.29</v>
      </c>
      <c r="L24" s="2">
        <v>994.29</v>
      </c>
      <c r="M24" s="2">
        <v>994.29</v>
      </c>
      <c r="N24" s="2">
        <v>994.29</v>
      </c>
      <c r="O24" s="2">
        <v>994.29</v>
      </c>
      <c r="P24" s="2">
        <v>994.29</v>
      </c>
      <c r="Q24" s="2">
        <v>994.29</v>
      </c>
      <c r="R24" s="2">
        <v>994.29</v>
      </c>
      <c r="S24" s="2">
        <v>994.29</v>
      </c>
      <c r="T24" s="2">
        <v>994.29</v>
      </c>
      <c r="U24" s="2">
        <v>994.29</v>
      </c>
      <c r="V24" s="2">
        <v>994.29</v>
      </c>
      <c r="W24" s="2">
        <v>994.29</v>
      </c>
      <c r="X24" s="2">
        <v>994.29</v>
      </c>
      <c r="Y24" s="2">
        <v>994.29</v>
      </c>
      <c r="Z24" s="2">
        <v>994.29</v>
      </c>
      <c r="AA24" s="12">
        <v>994.29</v>
      </c>
      <c r="AB24" s="3">
        <f t="shared" si="1"/>
        <v>23862.960000000014</v>
      </c>
      <c r="AC24" s="3">
        <v>5</v>
      </c>
      <c r="AD24" s="51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</row>
    <row r="25" spans="2:60" ht="15" thickBot="1">
      <c r="B25" s="49"/>
      <c r="C25" s="9" t="s">
        <v>8</v>
      </c>
      <c r="D25" s="10">
        <v>994.29</v>
      </c>
      <c r="E25" s="10">
        <v>994.29</v>
      </c>
      <c r="F25" s="10">
        <v>994.29</v>
      </c>
      <c r="G25" s="10">
        <v>994.29</v>
      </c>
      <c r="H25" s="10">
        <v>994.29</v>
      </c>
      <c r="I25" s="10">
        <v>994.29</v>
      </c>
      <c r="J25" s="10">
        <v>994.29</v>
      </c>
      <c r="K25" s="10">
        <v>994.29</v>
      </c>
      <c r="L25" s="10">
        <v>994.29</v>
      </c>
      <c r="M25" s="10">
        <v>994.29</v>
      </c>
      <c r="N25" s="10">
        <v>994.29</v>
      </c>
      <c r="O25" s="10">
        <v>994.29</v>
      </c>
      <c r="P25" s="10">
        <v>994.29</v>
      </c>
      <c r="Q25" s="10">
        <v>994.29</v>
      </c>
      <c r="R25" s="10">
        <v>994.29</v>
      </c>
      <c r="S25" s="10">
        <v>994.29</v>
      </c>
      <c r="T25" s="10">
        <v>994.29</v>
      </c>
      <c r="U25" s="10">
        <v>994.29</v>
      </c>
      <c r="V25" s="10">
        <v>994.29</v>
      </c>
      <c r="W25" s="10">
        <v>994.29</v>
      </c>
      <c r="X25" s="10">
        <v>994.29</v>
      </c>
      <c r="Y25" s="10">
        <v>994.29</v>
      </c>
      <c r="Z25" s="10">
        <v>994.29</v>
      </c>
      <c r="AA25" s="13">
        <v>994.29</v>
      </c>
      <c r="AB25" s="6">
        <f t="shared" si="1"/>
        <v>23862.960000000014</v>
      </c>
      <c r="AC25" s="6">
        <v>3</v>
      </c>
      <c r="AD25" s="52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</row>
    <row r="26" spans="2:60">
      <c r="B26" s="47">
        <v>46539</v>
      </c>
      <c r="C26" s="8" t="s">
        <v>5</v>
      </c>
      <c r="D26" s="7">
        <v>994.29</v>
      </c>
      <c r="E26" s="7">
        <v>994.29</v>
      </c>
      <c r="F26" s="7">
        <v>994.29</v>
      </c>
      <c r="G26" s="7">
        <v>994.29</v>
      </c>
      <c r="H26" s="7">
        <v>994.29</v>
      </c>
      <c r="I26" s="7">
        <v>994.29</v>
      </c>
      <c r="J26" s="7">
        <v>994.29</v>
      </c>
      <c r="K26" s="7">
        <v>994.29</v>
      </c>
      <c r="L26" s="7">
        <v>994.29</v>
      </c>
      <c r="M26" s="7">
        <v>994.29</v>
      </c>
      <c r="N26" s="7">
        <v>994.29</v>
      </c>
      <c r="O26" s="7">
        <v>994.29</v>
      </c>
      <c r="P26" s="7">
        <v>994.29</v>
      </c>
      <c r="Q26" s="7">
        <v>994.29</v>
      </c>
      <c r="R26" s="7">
        <v>994.29</v>
      </c>
      <c r="S26" s="7">
        <v>994.29</v>
      </c>
      <c r="T26" s="7">
        <v>994.29</v>
      </c>
      <c r="U26" s="7">
        <v>994.29</v>
      </c>
      <c r="V26" s="7">
        <v>994.29</v>
      </c>
      <c r="W26" s="7">
        <v>994.29</v>
      </c>
      <c r="X26" s="7">
        <v>994.29</v>
      </c>
      <c r="Y26" s="7">
        <v>994.29</v>
      </c>
      <c r="Z26" s="7">
        <v>994.29</v>
      </c>
      <c r="AA26" s="11">
        <v>994.29</v>
      </c>
      <c r="AB26" s="5">
        <f t="shared" si="1"/>
        <v>23862.960000000014</v>
      </c>
      <c r="AC26" s="5">
        <v>21</v>
      </c>
      <c r="AD26" s="50">
        <f>(AB26*AC26)+(AB27*AC27)+(AB28*AC28)+(AB29*AC29)</f>
        <v>715888.8000000004</v>
      </c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</row>
    <row r="27" spans="2:60">
      <c r="B27" s="48"/>
      <c r="C27" s="1" t="s">
        <v>6</v>
      </c>
      <c r="D27" s="2">
        <v>994.29</v>
      </c>
      <c r="E27" s="2">
        <v>994.29</v>
      </c>
      <c r="F27" s="2">
        <v>994.29</v>
      </c>
      <c r="G27" s="2">
        <v>994.29</v>
      </c>
      <c r="H27" s="2">
        <v>994.29</v>
      </c>
      <c r="I27" s="2">
        <v>994.29</v>
      </c>
      <c r="J27" s="2">
        <v>994.29</v>
      </c>
      <c r="K27" s="2">
        <v>994.29</v>
      </c>
      <c r="L27" s="2">
        <v>994.29</v>
      </c>
      <c r="M27" s="2">
        <v>994.29</v>
      </c>
      <c r="N27" s="2">
        <v>994.29</v>
      </c>
      <c r="O27" s="2">
        <v>994.29</v>
      </c>
      <c r="P27" s="2">
        <v>994.29</v>
      </c>
      <c r="Q27" s="2">
        <v>994.29</v>
      </c>
      <c r="R27" s="2">
        <v>994.29</v>
      </c>
      <c r="S27" s="2">
        <v>994.29</v>
      </c>
      <c r="T27" s="2">
        <v>994.29</v>
      </c>
      <c r="U27" s="2">
        <v>994.29</v>
      </c>
      <c r="V27" s="2">
        <v>994.29</v>
      </c>
      <c r="W27" s="2">
        <v>994.29</v>
      </c>
      <c r="X27" s="2">
        <v>994.29</v>
      </c>
      <c r="Y27" s="2">
        <v>994.29</v>
      </c>
      <c r="Z27" s="2">
        <v>994.29</v>
      </c>
      <c r="AA27" s="12">
        <v>994.29</v>
      </c>
      <c r="AB27" s="3">
        <f t="shared" si="1"/>
        <v>23862.960000000014</v>
      </c>
      <c r="AC27" s="3">
        <v>4</v>
      </c>
      <c r="AD27" s="51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</row>
    <row r="28" spans="2:60">
      <c r="B28" s="48"/>
      <c r="C28" s="1" t="s">
        <v>7</v>
      </c>
      <c r="D28" s="2">
        <v>994.29</v>
      </c>
      <c r="E28" s="2">
        <v>994.29</v>
      </c>
      <c r="F28" s="2">
        <v>994.29</v>
      </c>
      <c r="G28" s="2">
        <v>994.29</v>
      </c>
      <c r="H28" s="2">
        <v>994.29</v>
      </c>
      <c r="I28" s="2">
        <v>994.29</v>
      </c>
      <c r="J28" s="2">
        <v>994.29</v>
      </c>
      <c r="K28" s="2">
        <v>994.29</v>
      </c>
      <c r="L28" s="2">
        <v>994.29</v>
      </c>
      <c r="M28" s="2">
        <v>994.29</v>
      </c>
      <c r="N28" s="2">
        <v>994.29</v>
      </c>
      <c r="O28" s="2">
        <v>994.29</v>
      </c>
      <c r="P28" s="2">
        <v>994.29</v>
      </c>
      <c r="Q28" s="2">
        <v>994.29</v>
      </c>
      <c r="R28" s="2">
        <v>994.29</v>
      </c>
      <c r="S28" s="2">
        <v>994.29</v>
      </c>
      <c r="T28" s="2">
        <v>994.29</v>
      </c>
      <c r="U28" s="2">
        <v>994.29</v>
      </c>
      <c r="V28" s="2">
        <v>994.29</v>
      </c>
      <c r="W28" s="2">
        <v>994.29</v>
      </c>
      <c r="X28" s="2">
        <v>994.29</v>
      </c>
      <c r="Y28" s="2">
        <v>994.29</v>
      </c>
      <c r="Z28" s="2">
        <v>994.29</v>
      </c>
      <c r="AA28" s="12">
        <v>994.29</v>
      </c>
      <c r="AB28" s="3">
        <f t="shared" si="1"/>
        <v>23862.960000000014</v>
      </c>
      <c r="AC28" s="3">
        <v>4</v>
      </c>
      <c r="AD28" s="51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</row>
    <row r="29" spans="2:60" ht="15" thickBot="1">
      <c r="B29" s="49"/>
      <c r="C29" s="9" t="s">
        <v>8</v>
      </c>
      <c r="D29" s="10">
        <v>994.29</v>
      </c>
      <c r="E29" s="10">
        <v>994.29</v>
      </c>
      <c r="F29" s="10">
        <v>994.29</v>
      </c>
      <c r="G29" s="10">
        <v>994.29</v>
      </c>
      <c r="H29" s="10">
        <v>994.29</v>
      </c>
      <c r="I29" s="10">
        <v>994.29</v>
      </c>
      <c r="J29" s="10">
        <v>994.29</v>
      </c>
      <c r="K29" s="10">
        <v>994.29</v>
      </c>
      <c r="L29" s="10">
        <v>994.29</v>
      </c>
      <c r="M29" s="10">
        <v>994.29</v>
      </c>
      <c r="N29" s="10">
        <v>994.29</v>
      </c>
      <c r="O29" s="10">
        <v>994.29</v>
      </c>
      <c r="P29" s="10">
        <v>994.29</v>
      </c>
      <c r="Q29" s="10">
        <v>994.29</v>
      </c>
      <c r="R29" s="10">
        <v>994.29</v>
      </c>
      <c r="S29" s="10">
        <v>994.29</v>
      </c>
      <c r="T29" s="10">
        <v>994.29</v>
      </c>
      <c r="U29" s="10">
        <v>994.29</v>
      </c>
      <c r="V29" s="10">
        <v>994.29</v>
      </c>
      <c r="W29" s="10">
        <v>994.29</v>
      </c>
      <c r="X29" s="10">
        <v>994.29</v>
      </c>
      <c r="Y29" s="10">
        <v>994.29</v>
      </c>
      <c r="Z29" s="10">
        <v>994.29</v>
      </c>
      <c r="AA29" s="13">
        <v>994.29</v>
      </c>
      <c r="AB29" s="6">
        <f t="shared" si="1"/>
        <v>23862.960000000014</v>
      </c>
      <c r="AC29" s="6">
        <v>1</v>
      </c>
      <c r="AD29" s="52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</row>
    <row r="30" spans="2:60">
      <c r="B30" s="47">
        <v>46569</v>
      </c>
      <c r="C30" s="8" t="s">
        <v>5</v>
      </c>
      <c r="D30" s="7">
        <v>994.29</v>
      </c>
      <c r="E30" s="7">
        <v>994.29</v>
      </c>
      <c r="F30" s="7">
        <v>994.29</v>
      </c>
      <c r="G30" s="7">
        <v>994.29</v>
      </c>
      <c r="H30" s="7">
        <v>994.29</v>
      </c>
      <c r="I30" s="7">
        <v>994.29</v>
      </c>
      <c r="J30" s="7">
        <v>994.29</v>
      </c>
      <c r="K30" s="7">
        <v>994.29</v>
      </c>
      <c r="L30" s="7">
        <v>994.29</v>
      </c>
      <c r="M30" s="7">
        <v>994.29</v>
      </c>
      <c r="N30" s="7">
        <v>994.29</v>
      </c>
      <c r="O30" s="7">
        <v>994.29</v>
      </c>
      <c r="P30" s="7">
        <v>994.29</v>
      </c>
      <c r="Q30" s="7">
        <v>994.29</v>
      </c>
      <c r="R30" s="7">
        <v>994.29</v>
      </c>
      <c r="S30" s="7">
        <v>994.29</v>
      </c>
      <c r="T30" s="7">
        <v>994.29</v>
      </c>
      <c r="U30" s="7">
        <v>994.29</v>
      </c>
      <c r="V30" s="7">
        <v>994.29</v>
      </c>
      <c r="W30" s="7">
        <v>994.29</v>
      </c>
      <c r="X30" s="7">
        <v>994.29</v>
      </c>
      <c r="Y30" s="7">
        <v>994.29</v>
      </c>
      <c r="Z30" s="7">
        <v>994.29</v>
      </c>
      <c r="AA30" s="11">
        <v>994.29</v>
      </c>
      <c r="AB30" s="5">
        <f t="shared" si="1"/>
        <v>23862.960000000014</v>
      </c>
      <c r="AC30" s="5">
        <v>20</v>
      </c>
      <c r="AD30" s="50">
        <f>(AB30*AC30)+(AB31*AC31)+(AB32*AC32)+(AB33*AC33)</f>
        <v>739751.76000000047</v>
      </c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</row>
    <row r="31" spans="2:60">
      <c r="B31" s="48"/>
      <c r="C31" s="1" t="s">
        <v>6</v>
      </c>
      <c r="D31" s="2">
        <v>994.29</v>
      </c>
      <c r="E31" s="2">
        <v>994.29</v>
      </c>
      <c r="F31" s="2">
        <v>994.29</v>
      </c>
      <c r="G31" s="2">
        <v>994.29</v>
      </c>
      <c r="H31" s="2">
        <v>994.29</v>
      </c>
      <c r="I31" s="2">
        <v>994.29</v>
      </c>
      <c r="J31" s="2">
        <v>994.29</v>
      </c>
      <c r="K31" s="2">
        <v>994.29</v>
      </c>
      <c r="L31" s="2">
        <v>994.29</v>
      </c>
      <c r="M31" s="2">
        <v>994.29</v>
      </c>
      <c r="N31" s="2">
        <v>994.29</v>
      </c>
      <c r="O31" s="2">
        <v>994.29</v>
      </c>
      <c r="P31" s="2">
        <v>994.29</v>
      </c>
      <c r="Q31" s="2">
        <v>994.29</v>
      </c>
      <c r="R31" s="2">
        <v>994.29</v>
      </c>
      <c r="S31" s="2">
        <v>994.29</v>
      </c>
      <c r="T31" s="2">
        <v>994.29</v>
      </c>
      <c r="U31" s="2">
        <v>994.29</v>
      </c>
      <c r="V31" s="2">
        <v>994.29</v>
      </c>
      <c r="W31" s="2">
        <v>994.29</v>
      </c>
      <c r="X31" s="2">
        <v>994.29</v>
      </c>
      <c r="Y31" s="2">
        <v>994.29</v>
      </c>
      <c r="Z31" s="2">
        <v>994.29</v>
      </c>
      <c r="AA31" s="12">
        <v>994.29</v>
      </c>
      <c r="AB31" s="3">
        <f t="shared" si="1"/>
        <v>23862.960000000014</v>
      </c>
      <c r="AC31" s="3">
        <v>5</v>
      </c>
      <c r="AD31" s="51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</row>
    <row r="32" spans="2:60">
      <c r="B32" s="48"/>
      <c r="C32" s="1" t="s">
        <v>4</v>
      </c>
      <c r="D32" s="2">
        <v>994.29</v>
      </c>
      <c r="E32" s="2">
        <v>994.29</v>
      </c>
      <c r="F32" s="2">
        <v>994.29</v>
      </c>
      <c r="G32" s="2">
        <v>994.29</v>
      </c>
      <c r="H32" s="2">
        <v>994.29</v>
      </c>
      <c r="I32" s="2">
        <v>994.29</v>
      </c>
      <c r="J32" s="2">
        <v>994.29</v>
      </c>
      <c r="K32" s="2">
        <v>994.29</v>
      </c>
      <c r="L32" s="2">
        <v>994.29</v>
      </c>
      <c r="M32" s="2">
        <v>994.29</v>
      </c>
      <c r="N32" s="2">
        <v>994.29</v>
      </c>
      <c r="O32" s="2">
        <v>994.29</v>
      </c>
      <c r="P32" s="2">
        <v>994.29</v>
      </c>
      <c r="Q32" s="2">
        <v>994.29</v>
      </c>
      <c r="R32" s="2">
        <v>994.29</v>
      </c>
      <c r="S32" s="2">
        <v>994.29</v>
      </c>
      <c r="T32" s="2">
        <v>994.29</v>
      </c>
      <c r="U32" s="2">
        <v>994.29</v>
      </c>
      <c r="V32" s="2">
        <v>994.29</v>
      </c>
      <c r="W32" s="2">
        <v>994.29</v>
      </c>
      <c r="X32" s="2">
        <v>994.29</v>
      </c>
      <c r="Y32" s="2">
        <v>994.29</v>
      </c>
      <c r="Z32" s="2">
        <v>994.29</v>
      </c>
      <c r="AA32" s="12">
        <v>994.29</v>
      </c>
      <c r="AB32" s="3">
        <f t="shared" si="1"/>
        <v>23862.960000000014</v>
      </c>
      <c r="AC32" s="3">
        <v>4</v>
      </c>
      <c r="AD32" s="51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</row>
    <row r="33" spans="2:60" ht="15" thickBot="1">
      <c r="B33" s="49"/>
      <c r="C33" s="9" t="s">
        <v>8</v>
      </c>
      <c r="D33" s="10">
        <v>994.29</v>
      </c>
      <c r="E33" s="10">
        <v>994.29</v>
      </c>
      <c r="F33" s="10">
        <v>994.29</v>
      </c>
      <c r="G33" s="10">
        <v>994.29</v>
      </c>
      <c r="H33" s="10">
        <v>994.29</v>
      </c>
      <c r="I33" s="10">
        <v>994.29</v>
      </c>
      <c r="J33" s="10">
        <v>994.29</v>
      </c>
      <c r="K33" s="10">
        <v>994.29</v>
      </c>
      <c r="L33" s="10">
        <v>994.29</v>
      </c>
      <c r="M33" s="10">
        <v>994.29</v>
      </c>
      <c r="N33" s="10">
        <v>994.29</v>
      </c>
      <c r="O33" s="10">
        <v>994.29</v>
      </c>
      <c r="P33" s="10">
        <v>994.29</v>
      </c>
      <c r="Q33" s="10">
        <v>994.29</v>
      </c>
      <c r="R33" s="10">
        <v>994.29</v>
      </c>
      <c r="S33" s="10">
        <v>994.29</v>
      </c>
      <c r="T33" s="10">
        <v>994.29</v>
      </c>
      <c r="U33" s="10">
        <v>994.29</v>
      </c>
      <c r="V33" s="10">
        <v>994.29</v>
      </c>
      <c r="W33" s="10">
        <v>994.29</v>
      </c>
      <c r="X33" s="10">
        <v>994.29</v>
      </c>
      <c r="Y33" s="10">
        <v>994.29</v>
      </c>
      <c r="Z33" s="10">
        <v>994.29</v>
      </c>
      <c r="AA33" s="13">
        <v>994.29</v>
      </c>
      <c r="AB33" s="6">
        <f t="shared" si="1"/>
        <v>23862.960000000014</v>
      </c>
      <c r="AC33" s="6">
        <v>2</v>
      </c>
      <c r="AD33" s="52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</row>
    <row r="34" spans="2:60">
      <c r="B34" s="47">
        <v>46600</v>
      </c>
      <c r="C34" s="8" t="s">
        <v>5</v>
      </c>
      <c r="D34" s="7">
        <v>994.29</v>
      </c>
      <c r="E34" s="7">
        <v>994.29</v>
      </c>
      <c r="F34" s="7">
        <v>994.29</v>
      </c>
      <c r="G34" s="7">
        <v>994.29</v>
      </c>
      <c r="H34" s="7">
        <v>994.29</v>
      </c>
      <c r="I34" s="7">
        <v>994.29</v>
      </c>
      <c r="J34" s="7">
        <v>994.29</v>
      </c>
      <c r="K34" s="7">
        <v>994.29</v>
      </c>
      <c r="L34" s="7">
        <v>994.29</v>
      </c>
      <c r="M34" s="7">
        <v>994.29</v>
      </c>
      <c r="N34" s="7">
        <v>994.29</v>
      </c>
      <c r="O34" s="7">
        <v>994.29</v>
      </c>
      <c r="P34" s="7">
        <v>994.29</v>
      </c>
      <c r="Q34" s="7">
        <v>994.29</v>
      </c>
      <c r="R34" s="7">
        <v>994.29</v>
      </c>
      <c r="S34" s="7">
        <v>994.29</v>
      </c>
      <c r="T34" s="7">
        <v>994.29</v>
      </c>
      <c r="U34" s="7">
        <v>994.29</v>
      </c>
      <c r="V34" s="7">
        <v>994.29</v>
      </c>
      <c r="W34" s="7">
        <v>994.29</v>
      </c>
      <c r="X34" s="7">
        <v>994.29</v>
      </c>
      <c r="Y34" s="7">
        <v>994.29</v>
      </c>
      <c r="Z34" s="7">
        <v>994.29</v>
      </c>
      <c r="AA34" s="11">
        <v>994.29</v>
      </c>
      <c r="AB34" s="5">
        <f t="shared" si="1"/>
        <v>23862.960000000014</v>
      </c>
      <c r="AC34" s="5">
        <v>21</v>
      </c>
      <c r="AD34" s="50">
        <f>(AB34*AC34)+(AB35*AC35)+(AB36*AC36)+(AB37*AC37)</f>
        <v>739751.76000000036</v>
      </c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</row>
    <row r="35" spans="2:60">
      <c r="B35" s="48"/>
      <c r="C35" s="1" t="s">
        <v>6</v>
      </c>
      <c r="D35" s="2">
        <v>994.29</v>
      </c>
      <c r="E35" s="2">
        <v>994.29</v>
      </c>
      <c r="F35" s="2">
        <v>994.29</v>
      </c>
      <c r="G35" s="2">
        <v>994.29</v>
      </c>
      <c r="H35" s="2">
        <v>994.29</v>
      </c>
      <c r="I35" s="2">
        <v>994.29</v>
      </c>
      <c r="J35" s="2">
        <v>994.29</v>
      </c>
      <c r="K35" s="2">
        <v>994.29</v>
      </c>
      <c r="L35" s="2">
        <v>994.29</v>
      </c>
      <c r="M35" s="2">
        <v>994.29</v>
      </c>
      <c r="N35" s="2">
        <v>994.29</v>
      </c>
      <c r="O35" s="2">
        <v>994.29</v>
      </c>
      <c r="P35" s="2">
        <v>994.29</v>
      </c>
      <c r="Q35" s="2">
        <v>994.29</v>
      </c>
      <c r="R35" s="2">
        <v>994.29</v>
      </c>
      <c r="S35" s="2">
        <v>994.29</v>
      </c>
      <c r="T35" s="2">
        <v>994.29</v>
      </c>
      <c r="U35" s="2">
        <v>994.29</v>
      </c>
      <c r="V35" s="2">
        <v>994.29</v>
      </c>
      <c r="W35" s="2">
        <v>994.29</v>
      </c>
      <c r="X35" s="2">
        <v>994.29</v>
      </c>
      <c r="Y35" s="2">
        <v>994.29</v>
      </c>
      <c r="Z35" s="2">
        <v>994.29</v>
      </c>
      <c r="AA35" s="12">
        <v>994.29</v>
      </c>
      <c r="AB35" s="3">
        <f t="shared" si="1"/>
        <v>23862.960000000014</v>
      </c>
      <c r="AC35" s="3">
        <v>3</v>
      </c>
      <c r="AD35" s="51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</row>
    <row r="36" spans="2:60">
      <c r="B36" s="48"/>
      <c r="C36" s="1" t="s">
        <v>7</v>
      </c>
      <c r="D36" s="2">
        <v>994.29</v>
      </c>
      <c r="E36" s="2">
        <v>994.29</v>
      </c>
      <c r="F36" s="2">
        <v>994.29</v>
      </c>
      <c r="G36" s="2">
        <v>994.29</v>
      </c>
      <c r="H36" s="2">
        <v>994.29</v>
      </c>
      <c r="I36" s="2">
        <v>994.29</v>
      </c>
      <c r="J36" s="2">
        <v>994.29</v>
      </c>
      <c r="K36" s="2">
        <v>994.29</v>
      </c>
      <c r="L36" s="2">
        <v>994.29</v>
      </c>
      <c r="M36" s="2">
        <v>994.29</v>
      </c>
      <c r="N36" s="2">
        <v>994.29</v>
      </c>
      <c r="O36" s="2">
        <v>994.29</v>
      </c>
      <c r="P36" s="2">
        <v>994.29</v>
      </c>
      <c r="Q36" s="2">
        <v>994.29</v>
      </c>
      <c r="R36" s="2">
        <v>994.29</v>
      </c>
      <c r="S36" s="2">
        <v>994.29</v>
      </c>
      <c r="T36" s="2">
        <v>994.29</v>
      </c>
      <c r="U36" s="2">
        <v>994.29</v>
      </c>
      <c r="V36" s="2">
        <v>994.29</v>
      </c>
      <c r="W36" s="2">
        <v>994.29</v>
      </c>
      <c r="X36" s="2">
        <v>994.29</v>
      </c>
      <c r="Y36" s="2">
        <v>994.29</v>
      </c>
      <c r="Z36" s="2">
        <v>994.29</v>
      </c>
      <c r="AA36" s="12">
        <v>994.29</v>
      </c>
      <c r="AB36" s="3">
        <f t="shared" si="1"/>
        <v>23862.960000000014</v>
      </c>
      <c r="AC36" s="3">
        <v>5</v>
      </c>
      <c r="AD36" s="51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</row>
    <row r="37" spans="2:60" ht="15" thickBot="1">
      <c r="B37" s="49"/>
      <c r="C37" s="9" t="s">
        <v>8</v>
      </c>
      <c r="D37" s="10">
        <v>994.29</v>
      </c>
      <c r="E37" s="10">
        <v>994.29</v>
      </c>
      <c r="F37" s="10">
        <v>994.29</v>
      </c>
      <c r="G37" s="10">
        <v>994.29</v>
      </c>
      <c r="H37" s="10">
        <v>994.29</v>
      </c>
      <c r="I37" s="10">
        <v>994.29</v>
      </c>
      <c r="J37" s="10">
        <v>994.29</v>
      </c>
      <c r="K37" s="10">
        <v>994.29</v>
      </c>
      <c r="L37" s="10">
        <v>994.29</v>
      </c>
      <c r="M37" s="10">
        <v>994.29</v>
      </c>
      <c r="N37" s="10">
        <v>994.29</v>
      </c>
      <c r="O37" s="10">
        <v>994.29</v>
      </c>
      <c r="P37" s="10">
        <v>994.29</v>
      </c>
      <c r="Q37" s="10">
        <v>994.29</v>
      </c>
      <c r="R37" s="10">
        <v>994.29</v>
      </c>
      <c r="S37" s="10">
        <v>994.29</v>
      </c>
      <c r="T37" s="10">
        <v>994.29</v>
      </c>
      <c r="U37" s="10">
        <v>994.29</v>
      </c>
      <c r="V37" s="10">
        <v>994.29</v>
      </c>
      <c r="W37" s="10">
        <v>994.29</v>
      </c>
      <c r="X37" s="10">
        <v>994.29</v>
      </c>
      <c r="Y37" s="10">
        <v>994.29</v>
      </c>
      <c r="Z37" s="10">
        <v>994.29</v>
      </c>
      <c r="AA37" s="13">
        <v>994.29</v>
      </c>
      <c r="AB37" s="6">
        <f t="shared" si="1"/>
        <v>23862.960000000014</v>
      </c>
      <c r="AC37" s="6">
        <v>2</v>
      </c>
      <c r="AD37" s="52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</row>
    <row r="38" spans="2:60">
      <c r="B38" s="47">
        <v>46631</v>
      </c>
      <c r="C38" s="8" t="s">
        <v>5</v>
      </c>
      <c r="D38" s="7">
        <v>994.29</v>
      </c>
      <c r="E38" s="7">
        <v>994.29</v>
      </c>
      <c r="F38" s="7">
        <v>994.29</v>
      </c>
      <c r="G38" s="7">
        <v>994.29</v>
      </c>
      <c r="H38" s="7">
        <v>994.29</v>
      </c>
      <c r="I38" s="7">
        <v>994.29</v>
      </c>
      <c r="J38" s="7">
        <v>994.29</v>
      </c>
      <c r="K38" s="7">
        <v>994.29</v>
      </c>
      <c r="L38" s="7">
        <v>994.29</v>
      </c>
      <c r="M38" s="7">
        <v>994.29</v>
      </c>
      <c r="N38" s="7">
        <v>994.29</v>
      </c>
      <c r="O38" s="7">
        <v>994.29</v>
      </c>
      <c r="P38" s="7">
        <v>994.29</v>
      </c>
      <c r="Q38" s="7">
        <v>994.29</v>
      </c>
      <c r="R38" s="7">
        <v>994.29</v>
      </c>
      <c r="S38" s="7">
        <v>994.29</v>
      </c>
      <c r="T38" s="7">
        <v>994.29</v>
      </c>
      <c r="U38" s="7">
        <v>994.29</v>
      </c>
      <c r="V38" s="7">
        <v>994.29</v>
      </c>
      <c r="W38" s="7">
        <v>994.29</v>
      </c>
      <c r="X38" s="7">
        <v>994.29</v>
      </c>
      <c r="Y38" s="7">
        <v>994.29</v>
      </c>
      <c r="Z38" s="7">
        <v>994.29</v>
      </c>
      <c r="AA38" s="11">
        <v>994.29</v>
      </c>
      <c r="AB38" s="5">
        <f t="shared" si="1"/>
        <v>23862.960000000014</v>
      </c>
      <c r="AC38" s="5">
        <v>22</v>
      </c>
      <c r="AD38" s="50">
        <f>(AB38*AC38)+(AB39*AC39)+(AB40*AC40)+(AB41*AC41)</f>
        <v>715888.80000000051</v>
      </c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</row>
    <row r="39" spans="2:60">
      <c r="B39" s="48"/>
      <c r="C39" s="1" t="s">
        <v>6</v>
      </c>
      <c r="D39" s="2">
        <v>994.29</v>
      </c>
      <c r="E39" s="2">
        <v>994.29</v>
      </c>
      <c r="F39" s="2">
        <v>994.29</v>
      </c>
      <c r="G39" s="2">
        <v>994.29</v>
      </c>
      <c r="H39" s="2">
        <v>994.29</v>
      </c>
      <c r="I39" s="2">
        <v>994.29</v>
      </c>
      <c r="J39" s="2">
        <v>994.29</v>
      </c>
      <c r="K39" s="2">
        <v>994.29</v>
      </c>
      <c r="L39" s="2">
        <v>994.29</v>
      </c>
      <c r="M39" s="2">
        <v>994.29</v>
      </c>
      <c r="N39" s="2">
        <v>994.29</v>
      </c>
      <c r="O39" s="2">
        <v>994.29</v>
      </c>
      <c r="P39" s="2">
        <v>994.29</v>
      </c>
      <c r="Q39" s="2">
        <v>994.29</v>
      </c>
      <c r="R39" s="2">
        <v>994.29</v>
      </c>
      <c r="S39" s="2">
        <v>994.29</v>
      </c>
      <c r="T39" s="2">
        <v>994.29</v>
      </c>
      <c r="U39" s="2">
        <v>994.29</v>
      </c>
      <c r="V39" s="2">
        <v>994.29</v>
      </c>
      <c r="W39" s="2">
        <v>994.29</v>
      </c>
      <c r="X39" s="2">
        <v>994.29</v>
      </c>
      <c r="Y39" s="2">
        <v>994.29</v>
      </c>
      <c r="Z39" s="2">
        <v>994.29</v>
      </c>
      <c r="AA39" s="12">
        <v>994.29</v>
      </c>
      <c r="AB39" s="3">
        <f t="shared" si="1"/>
        <v>23862.960000000014</v>
      </c>
      <c r="AC39" s="3">
        <v>4</v>
      </c>
      <c r="AD39" s="51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</row>
    <row r="40" spans="2:60">
      <c r="B40" s="48"/>
      <c r="C40" s="1" t="s">
        <v>7</v>
      </c>
      <c r="D40" s="2">
        <v>994.29</v>
      </c>
      <c r="E40" s="2">
        <v>994.29</v>
      </c>
      <c r="F40" s="2">
        <v>994.29</v>
      </c>
      <c r="G40" s="2">
        <v>994.29</v>
      </c>
      <c r="H40" s="2">
        <v>994.29</v>
      </c>
      <c r="I40" s="2">
        <v>994.29</v>
      </c>
      <c r="J40" s="2">
        <v>994.29</v>
      </c>
      <c r="K40" s="2">
        <v>994.29</v>
      </c>
      <c r="L40" s="2">
        <v>994.29</v>
      </c>
      <c r="M40" s="2">
        <v>994.29</v>
      </c>
      <c r="N40" s="2">
        <v>994.29</v>
      </c>
      <c r="O40" s="2">
        <v>994.29</v>
      </c>
      <c r="P40" s="2">
        <v>994.29</v>
      </c>
      <c r="Q40" s="2">
        <v>994.29</v>
      </c>
      <c r="R40" s="2">
        <v>994.29</v>
      </c>
      <c r="S40" s="2">
        <v>994.29</v>
      </c>
      <c r="T40" s="2">
        <v>994.29</v>
      </c>
      <c r="U40" s="2">
        <v>994.29</v>
      </c>
      <c r="V40" s="2">
        <v>994.29</v>
      </c>
      <c r="W40" s="2">
        <v>994.29</v>
      </c>
      <c r="X40" s="2">
        <v>994.29</v>
      </c>
      <c r="Y40" s="2">
        <v>994.29</v>
      </c>
      <c r="Z40" s="2">
        <v>994.29</v>
      </c>
      <c r="AA40" s="12">
        <v>994.29</v>
      </c>
      <c r="AB40" s="3">
        <f t="shared" si="1"/>
        <v>23862.960000000014</v>
      </c>
      <c r="AC40" s="3">
        <v>4</v>
      </c>
      <c r="AD40" s="51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</row>
    <row r="41" spans="2:60" ht="15" thickBot="1">
      <c r="B41" s="49"/>
      <c r="C41" s="9" t="s">
        <v>8</v>
      </c>
      <c r="D41" s="10">
        <v>994.29</v>
      </c>
      <c r="E41" s="10">
        <v>994.29</v>
      </c>
      <c r="F41" s="10">
        <v>994.29</v>
      </c>
      <c r="G41" s="10">
        <v>994.29</v>
      </c>
      <c r="H41" s="10">
        <v>994.29</v>
      </c>
      <c r="I41" s="10">
        <v>994.29</v>
      </c>
      <c r="J41" s="10">
        <v>994.29</v>
      </c>
      <c r="K41" s="10">
        <v>994.29</v>
      </c>
      <c r="L41" s="10">
        <v>994.29</v>
      </c>
      <c r="M41" s="10">
        <v>994.29</v>
      </c>
      <c r="N41" s="10">
        <v>994.29</v>
      </c>
      <c r="O41" s="10">
        <v>994.29</v>
      </c>
      <c r="P41" s="10">
        <v>994.29</v>
      </c>
      <c r="Q41" s="10">
        <v>994.29</v>
      </c>
      <c r="R41" s="10">
        <v>994.29</v>
      </c>
      <c r="S41" s="10">
        <v>994.29</v>
      </c>
      <c r="T41" s="10">
        <v>994.29</v>
      </c>
      <c r="U41" s="10">
        <v>994.29</v>
      </c>
      <c r="V41" s="10">
        <v>994.29</v>
      </c>
      <c r="W41" s="10">
        <v>994.29</v>
      </c>
      <c r="X41" s="10">
        <v>994.29</v>
      </c>
      <c r="Y41" s="10">
        <v>994.29</v>
      </c>
      <c r="Z41" s="10">
        <v>994.29</v>
      </c>
      <c r="AA41" s="13">
        <v>994.29</v>
      </c>
      <c r="AB41" s="6">
        <f t="shared" si="1"/>
        <v>23862.960000000014</v>
      </c>
      <c r="AC41" s="6">
        <v>0</v>
      </c>
      <c r="AD41" s="52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</row>
    <row r="42" spans="2:60">
      <c r="B42" s="47">
        <v>46661</v>
      </c>
      <c r="C42" s="8" t="s">
        <v>5</v>
      </c>
      <c r="D42" s="7">
        <v>994.29</v>
      </c>
      <c r="E42" s="7">
        <v>994.29</v>
      </c>
      <c r="F42" s="7">
        <v>994.29</v>
      </c>
      <c r="G42" s="7">
        <v>994.29</v>
      </c>
      <c r="H42" s="7">
        <v>994.29</v>
      </c>
      <c r="I42" s="7">
        <v>994.29</v>
      </c>
      <c r="J42" s="7">
        <v>994.29</v>
      </c>
      <c r="K42" s="7">
        <v>994.29</v>
      </c>
      <c r="L42" s="7">
        <v>994.29</v>
      </c>
      <c r="M42" s="7">
        <v>994.29</v>
      </c>
      <c r="N42" s="7">
        <v>994.29</v>
      </c>
      <c r="O42" s="7">
        <v>994.29</v>
      </c>
      <c r="P42" s="7">
        <v>994.29</v>
      </c>
      <c r="Q42" s="7">
        <v>994.29</v>
      </c>
      <c r="R42" s="7">
        <v>994.29</v>
      </c>
      <c r="S42" s="7">
        <v>994.29</v>
      </c>
      <c r="T42" s="7">
        <v>994.29</v>
      </c>
      <c r="U42" s="7">
        <v>994.29</v>
      </c>
      <c r="V42" s="7">
        <v>994.29</v>
      </c>
      <c r="W42" s="7">
        <v>994.29</v>
      </c>
      <c r="X42" s="7">
        <v>994.29</v>
      </c>
      <c r="Y42" s="7">
        <v>994.29</v>
      </c>
      <c r="Z42" s="7">
        <v>994.29</v>
      </c>
      <c r="AA42" s="11">
        <v>994.29</v>
      </c>
      <c r="AB42" s="5">
        <f t="shared" si="1"/>
        <v>23862.960000000014</v>
      </c>
      <c r="AC42" s="5">
        <v>20</v>
      </c>
      <c r="AD42" s="50">
        <f>(AB42*AC42)+(AB43*AC43)+(AB44*AC44)+(AB45*AC45)</f>
        <v>739751.76000000036</v>
      </c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</row>
    <row r="43" spans="2:60">
      <c r="B43" s="48"/>
      <c r="C43" s="1" t="s">
        <v>6</v>
      </c>
      <c r="D43" s="2">
        <v>994.29</v>
      </c>
      <c r="E43" s="2">
        <v>994.29</v>
      </c>
      <c r="F43" s="2">
        <v>994.29</v>
      </c>
      <c r="G43" s="2">
        <v>994.29</v>
      </c>
      <c r="H43" s="2">
        <v>994.29</v>
      </c>
      <c r="I43" s="2">
        <v>994.29</v>
      </c>
      <c r="J43" s="2">
        <v>994.29</v>
      </c>
      <c r="K43" s="2">
        <v>994.29</v>
      </c>
      <c r="L43" s="2">
        <v>994.29</v>
      </c>
      <c r="M43" s="2">
        <v>994.29</v>
      </c>
      <c r="N43" s="2">
        <v>994.29</v>
      </c>
      <c r="O43" s="2">
        <v>994.29</v>
      </c>
      <c r="P43" s="2">
        <v>994.29</v>
      </c>
      <c r="Q43" s="2">
        <v>994.29</v>
      </c>
      <c r="R43" s="2">
        <v>994.29</v>
      </c>
      <c r="S43" s="2">
        <v>994.29</v>
      </c>
      <c r="T43" s="2">
        <v>994.29</v>
      </c>
      <c r="U43" s="2">
        <v>994.29</v>
      </c>
      <c r="V43" s="2">
        <v>994.29</v>
      </c>
      <c r="W43" s="2">
        <v>994.29</v>
      </c>
      <c r="X43" s="2">
        <v>994.29</v>
      </c>
      <c r="Y43" s="2">
        <v>994.29</v>
      </c>
      <c r="Z43" s="2">
        <v>994.29</v>
      </c>
      <c r="AA43" s="12">
        <v>994.29</v>
      </c>
      <c r="AB43" s="3">
        <f t="shared" si="1"/>
        <v>23862.960000000014</v>
      </c>
      <c r="AC43" s="3">
        <v>5</v>
      </c>
      <c r="AD43" s="51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</row>
    <row r="44" spans="2:60">
      <c r="B44" s="48"/>
      <c r="C44" s="1" t="s">
        <v>7</v>
      </c>
      <c r="D44" s="2">
        <v>994.29</v>
      </c>
      <c r="E44" s="2">
        <v>994.29</v>
      </c>
      <c r="F44" s="2">
        <v>994.29</v>
      </c>
      <c r="G44" s="2">
        <v>994.29</v>
      </c>
      <c r="H44" s="2">
        <v>994.29</v>
      </c>
      <c r="I44" s="2">
        <v>994.29</v>
      </c>
      <c r="J44" s="2">
        <v>994.29</v>
      </c>
      <c r="K44" s="2">
        <v>994.29</v>
      </c>
      <c r="L44" s="2">
        <v>994.29</v>
      </c>
      <c r="M44" s="2">
        <v>994.29</v>
      </c>
      <c r="N44" s="2">
        <v>994.29</v>
      </c>
      <c r="O44" s="2">
        <v>994.29</v>
      </c>
      <c r="P44" s="2">
        <v>994.29</v>
      </c>
      <c r="Q44" s="2">
        <v>994.29</v>
      </c>
      <c r="R44" s="2">
        <v>994.29</v>
      </c>
      <c r="S44" s="2">
        <v>994.29</v>
      </c>
      <c r="T44" s="2">
        <v>994.29</v>
      </c>
      <c r="U44" s="2">
        <v>994.29</v>
      </c>
      <c r="V44" s="2">
        <v>994.29</v>
      </c>
      <c r="W44" s="2">
        <v>994.29</v>
      </c>
      <c r="X44" s="2">
        <v>994.29</v>
      </c>
      <c r="Y44" s="2">
        <v>994.29</v>
      </c>
      <c r="Z44" s="2">
        <v>994.29</v>
      </c>
      <c r="AA44" s="12">
        <v>994.29</v>
      </c>
      <c r="AB44" s="3">
        <f t="shared" si="1"/>
        <v>23862.960000000014</v>
      </c>
      <c r="AC44" s="3">
        <v>5</v>
      </c>
      <c r="AD44" s="51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</row>
    <row r="45" spans="2:60" ht="15" thickBot="1">
      <c r="B45" s="49"/>
      <c r="C45" s="9" t="s">
        <v>8</v>
      </c>
      <c r="D45" s="10">
        <v>994.29</v>
      </c>
      <c r="E45" s="10">
        <v>994.29</v>
      </c>
      <c r="F45" s="10">
        <v>994.29</v>
      </c>
      <c r="G45" s="10">
        <v>994.29</v>
      </c>
      <c r="H45" s="10">
        <v>994.29</v>
      </c>
      <c r="I45" s="10">
        <v>994.29</v>
      </c>
      <c r="J45" s="10">
        <v>994.29</v>
      </c>
      <c r="K45" s="10">
        <v>994.29</v>
      </c>
      <c r="L45" s="10">
        <v>994.29</v>
      </c>
      <c r="M45" s="10">
        <v>994.29</v>
      </c>
      <c r="N45" s="10">
        <v>994.29</v>
      </c>
      <c r="O45" s="10">
        <v>994.29</v>
      </c>
      <c r="P45" s="10">
        <v>994.29</v>
      </c>
      <c r="Q45" s="10">
        <v>994.29</v>
      </c>
      <c r="R45" s="10">
        <v>994.29</v>
      </c>
      <c r="S45" s="10">
        <v>994.29</v>
      </c>
      <c r="T45" s="10">
        <v>994.29</v>
      </c>
      <c r="U45" s="10">
        <v>994.29</v>
      </c>
      <c r="V45" s="10">
        <v>994.29</v>
      </c>
      <c r="W45" s="10">
        <v>994.29</v>
      </c>
      <c r="X45" s="10">
        <v>994.29</v>
      </c>
      <c r="Y45" s="10">
        <v>994.29</v>
      </c>
      <c r="Z45" s="10">
        <v>994.29</v>
      </c>
      <c r="AA45" s="13">
        <v>994.29</v>
      </c>
      <c r="AB45" s="6">
        <f t="shared" si="1"/>
        <v>23862.960000000014</v>
      </c>
      <c r="AC45" s="6">
        <v>1</v>
      </c>
      <c r="AD45" s="52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</row>
    <row r="46" spans="2:60">
      <c r="B46" s="47">
        <v>46692</v>
      </c>
      <c r="C46" s="8" t="s">
        <v>5</v>
      </c>
      <c r="D46" s="7">
        <v>994.29</v>
      </c>
      <c r="E46" s="7">
        <v>994.29</v>
      </c>
      <c r="F46" s="7">
        <v>994.29</v>
      </c>
      <c r="G46" s="7">
        <v>994.29</v>
      </c>
      <c r="H46" s="7">
        <v>994.29</v>
      </c>
      <c r="I46" s="7">
        <v>994.29</v>
      </c>
      <c r="J46" s="7">
        <v>994.29</v>
      </c>
      <c r="K46" s="7">
        <v>994.29</v>
      </c>
      <c r="L46" s="7">
        <v>994.29</v>
      </c>
      <c r="M46" s="7">
        <v>994.29</v>
      </c>
      <c r="N46" s="7">
        <v>994.29</v>
      </c>
      <c r="O46" s="7">
        <v>994.29</v>
      </c>
      <c r="P46" s="7">
        <v>994.29</v>
      </c>
      <c r="Q46" s="7">
        <v>994.29</v>
      </c>
      <c r="R46" s="7">
        <v>994.29</v>
      </c>
      <c r="S46" s="7">
        <v>994.29</v>
      </c>
      <c r="T46" s="7">
        <v>994.29</v>
      </c>
      <c r="U46" s="7">
        <v>994.29</v>
      </c>
      <c r="V46" s="7">
        <v>994.29</v>
      </c>
      <c r="W46" s="7">
        <v>994.29</v>
      </c>
      <c r="X46" s="7">
        <v>994.29</v>
      </c>
      <c r="Y46" s="7">
        <v>994.29</v>
      </c>
      <c r="Z46" s="7">
        <v>994.29</v>
      </c>
      <c r="AA46" s="11">
        <v>994.29</v>
      </c>
      <c r="AB46" s="5">
        <f t="shared" si="1"/>
        <v>23862.960000000014</v>
      </c>
      <c r="AC46" s="5">
        <v>20</v>
      </c>
      <c r="AD46" s="50">
        <f>(AB46*AC46)+(AB47*AC47)+(AB48*AC48)+(AB49*AC49)</f>
        <v>715888.80000000051</v>
      </c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</row>
    <row r="47" spans="2:60">
      <c r="B47" s="48"/>
      <c r="C47" s="1" t="s">
        <v>6</v>
      </c>
      <c r="D47" s="2">
        <v>994.29</v>
      </c>
      <c r="E47" s="2">
        <v>994.29</v>
      </c>
      <c r="F47" s="2">
        <v>994.29</v>
      </c>
      <c r="G47" s="2">
        <v>994.29</v>
      </c>
      <c r="H47" s="2">
        <v>994.29</v>
      </c>
      <c r="I47" s="2">
        <v>994.29</v>
      </c>
      <c r="J47" s="2">
        <v>994.29</v>
      </c>
      <c r="K47" s="2">
        <v>994.29</v>
      </c>
      <c r="L47" s="2">
        <v>994.29</v>
      </c>
      <c r="M47" s="2">
        <v>994.29</v>
      </c>
      <c r="N47" s="2">
        <v>994.29</v>
      </c>
      <c r="O47" s="2">
        <v>994.29</v>
      </c>
      <c r="P47" s="2">
        <v>994.29</v>
      </c>
      <c r="Q47" s="2">
        <v>994.29</v>
      </c>
      <c r="R47" s="2">
        <v>994.29</v>
      </c>
      <c r="S47" s="2">
        <v>994.29</v>
      </c>
      <c r="T47" s="2">
        <v>994.29</v>
      </c>
      <c r="U47" s="2">
        <v>994.29</v>
      </c>
      <c r="V47" s="2">
        <v>994.29</v>
      </c>
      <c r="W47" s="2">
        <v>994.29</v>
      </c>
      <c r="X47" s="2">
        <v>994.29</v>
      </c>
      <c r="Y47" s="2">
        <v>994.29</v>
      </c>
      <c r="Z47" s="2">
        <v>994.29</v>
      </c>
      <c r="AA47" s="12">
        <v>994.29</v>
      </c>
      <c r="AB47" s="3">
        <f t="shared" si="1"/>
        <v>23862.960000000014</v>
      </c>
      <c r="AC47" s="3">
        <v>4</v>
      </c>
      <c r="AD47" s="51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</row>
    <row r="48" spans="2:60">
      <c r="B48" s="48"/>
      <c r="C48" s="1" t="s">
        <v>7</v>
      </c>
      <c r="D48" s="2">
        <v>994.29</v>
      </c>
      <c r="E48" s="2">
        <v>994.29</v>
      </c>
      <c r="F48" s="2">
        <v>994.29</v>
      </c>
      <c r="G48" s="2">
        <v>994.29</v>
      </c>
      <c r="H48" s="2">
        <v>994.29</v>
      </c>
      <c r="I48" s="2">
        <v>994.29</v>
      </c>
      <c r="J48" s="2">
        <v>994.29</v>
      </c>
      <c r="K48" s="2">
        <v>994.29</v>
      </c>
      <c r="L48" s="2">
        <v>994.29</v>
      </c>
      <c r="M48" s="2">
        <v>994.29</v>
      </c>
      <c r="N48" s="2">
        <v>994.29</v>
      </c>
      <c r="O48" s="2">
        <v>994.29</v>
      </c>
      <c r="P48" s="2">
        <v>994.29</v>
      </c>
      <c r="Q48" s="2">
        <v>994.29</v>
      </c>
      <c r="R48" s="2">
        <v>994.29</v>
      </c>
      <c r="S48" s="2">
        <v>994.29</v>
      </c>
      <c r="T48" s="2">
        <v>994.29</v>
      </c>
      <c r="U48" s="2">
        <v>994.29</v>
      </c>
      <c r="V48" s="2">
        <v>994.29</v>
      </c>
      <c r="W48" s="2">
        <v>994.29</v>
      </c>
      <c r="X48" s="2">
        <v>994.29</v>
      </c>
      <c r="Y48" s="2">
        <v>994.29</v>
      </c>
      <c r="Z48" s="2">
        <v>994.29</v>
      </c>
      <c r="AA48" s="12">
        <v>994.29</v>
      </c>
      <c r="AB48" s="3">
        <f t="shared" si="1"/>
        <v>23862.960000000014</v>
      </c>
      <c r="AC48" s="3">
        <v>4</v>
      </c>
      <c r="AD48" s="51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</row>
    <row r="49" spans="2:60" ht="15" thickBot="1">
      <c r="B49" s="49"/>
      <c r="C49" s="9" t="s">
        <v>8</v>
      </c>
      <c r="D49" s="10">
        <v>994.29</v>
      </c>
      <c r="E49" s="10">
        <v>994.29</v>
      </c>
      <c r="F49" s="10">
        <v>994.29</v>
      </c>
      <c r="G49" s="10">
        <v>994.29</v>
      </c>
      <c r="H49" s="10">
        <v>994.29</v>
      </c>
      <c r="I49" s="10">
        <v>994.29</v>
      </c>
      <c r="J49" s="10">
        <v>994.29</v>
      </c>
      <c r="K49" s="10">
        <v>994.29</v>
      </c>
      <c r="L49" s="10">
        <v>994.29</v>
      </c>
      <c r="M49" s="10">
        <v>994.29</v>
      </c>
      <c r="N49" s="10">
        <v>994.29</v>
      </c>
      <c r="O49" s="10">
        <v>994.29</v>
      </c>
      <c r="P49" s="10">
        <v>994.29</v>
      </c>
      <c r="Q49" s="10">
        <v>994.29</v>
      </c>
      <c r="R49" s="10">
        <v>994.29</v>
      </c>
      <c r="S49" s="10">
        <v>994.29</v>
      </c>
      <c r="T49" s="10">
        <v>994.29</v>
      </c>
      <c r="U49" s="10">
        <v>994.29</v>
      </c>
      <c r="V49" s="10">
        <v>994.29</v>
      </c>
      <c r="W49" s="10">
        <v>994.29</v>
      </c>
      <c r="X49" s="10">
        <v>994.29</v>
      </c>
      <c r="Y49" s="10">
        <v>994.29</v>
      </c>
      <c r="Z49" s="10">
        <v>994.29</v>
      </c>
      <c r="AA49" s="13">
        <v>994.29</v>
      </c>
      <c r="AB49" s="6">
        <f t="shared" si="1"/>
        <v>23862.960000000014</v>
      </c>
      <c r="AC49" s="6">
        <v>2</v>
      </c>
      <c r="AD49" s="52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</row>
    <row r="50" spans="2:60">
      <c r="B50" s="47">
        <v>46722</v>
      </c>
      <c r="C50" s="8" t="s">
        <v>5</v>
      </c>
      <c r="D50" s="7">
        <v>994.29</v>
      </c>
      <c r="E50" s="7">
        <v>994.29</v>
      </c>
      <c r="F50" s="7">
        <v>994.29</v>
      </c>
      <c r="G50" s="7">
        <v>994.29</v>
      </c>
      <c r="H50" s="7">
        <v>994.29</v>
      </c>
      <c r="I50" s="7">
        <v>994.29</v>
      </c>
      <c r="J50" s="7">
        <v>994.29</v>
      </c>
      <c r="K50" s="7">
        <v>994.29</v>
      </c>
      <c r="L50" s="7">
        <v>994.29</v>
      </c>
      <c r="M50" s="7">
        <v>994.29</v>
      </c>
      <c r="N50" s="7">
        <v>994.29</v>
      </c>
      <c r="O50" s="7">
        <v>994.29</v>
      </c>
      <c r="P50" s="7">
        <v>994.29</v>
      </c>
      <c r="Q50" s="7">
        <v>994.29</v>
      </c>
      <c r="R50" s="7">
        <v>994.29</v>
      </c>
      <c r="S50" s="7">
        <v>994.29</v>
      </c>
      <c r="T50" s="7">
        <v>994.29</v>
      </c>
      <c r="U50" s="7">
        <v>994.29</v>
      </c>
      <c r="V50" s="7">
        <v>994.29</v>
      </c>
      <c r="W50" s="7">
        <v>994.29</v>
      </c>
      <c r="X50" s="7">
        <v>994.29</v>
      </c>
      <c r="Y50" s="7">
        <v>994.29</v>
      </c>
      <c r="Z50" s="7">
        <v>994.29</v>
      </c>
      <c r="AA50" s="11">
        <v>994.29</v>
      </c>
      <c r="AB50" s="5">
        <f t="shared" si="1"/>
        <v>23862.960000000014</v>
      </c>
      <c r="AC50" s="5">
        <v>22</v>
      </c>
      <c r="AD50" s="50">
        <f>(AB50*AC50)+(AB51*AC51)+(AB52*AC52)+(AB53*AC53)</f>
        <v>739751.76000000047</v>
      </c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</row>
    <row r="51" spans="2:60">
      <c r="B51" s="48"/>
      <c r="C51" s="1" t="s">
        <v>6</v>
      </c>
      <c r="D51" s="2">
        <v>994.29</v>
      </c>
      <c r="E51" s="2">
        <v>994.29</v>
      </c>
      <c r="F51" s="2">
        <v>994.29</v>
      </c>
      <c r="G51" s="2">
        <v>994.29</v>
      </c>
      <c r="H51" s="2">
        <v>994.29</v>
      </c>
      <c r="I51" s="2">
        <v>994.29</v>
      </c>
      <c r="J51" s="2">
        <v>994.29</v>
      </c>
      <c r="K51" s="2">
        <v>994.29</v>
      </c>
      <c r="L51" s="2">
        <v>994.29</v>
      </c>
      <c r="M51" s="2">
        <v>994.29</v>
      </c>
      <c r="N51" s="2">
        <v>994.29</v>
      </c>
      <c r="O51" s="2">
        <v>994.29</v>
      </c>
      <c r="P51" s="2">
        <v>994.29</v>
      </c>
      <c r="Q51" s="2">
        <v>994.29</v>
      </c>
      <c r="R51" s="2">
        <v>994.29</v>
      </c>
      <c r="S51" s="2">
        <v>994.29</v>
      </c>
      <c r="T51" s="2">
        <v>994.29</v>
      </c>
      <c r="U51" s="2">
        <v>994.29</v>
      </c>
      <c r="V51" s="2">
        <v>994.29</v>
      </c>
      <c r="W51" s="2">
        <v>994.29</v>
      </c>
      <c r="X51" s="2">
        <v>994.29</v>
      </c>
      <c r="Y51" s="2">
        <v>994.29</v>
      </c>
      <c r="Z51" s="2">
        <v>994.29</v>
      </c>
      <c r="AA51" s="12">
        <v>994.29</v>
      </c>
      <c r="AB51" s="3">
        <f t="shared" si="1"/>
        <v>23862.960000000014</v>
      </c>
      <c r="AC51" s="3">
        <v>3</v>
      </c>
      <c r="AD51" s="51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</row>
    <row r="52" spans="2:60">
      <c r="B52" s="48"/>
      <c r="C52" s="1" t="s">
        <v>7</v>
      </c>
      <c r="D52" s="2">
        <v>994.29</v>
      </c>
      <c r="E52" s="2">
        <v>994.29</v>
      </c>
      <c r="F52" s="2">
        <v>994.29</v>
      </c>
      <c r="G52" s="2">
        <v>994.29</v>
      </c>
      <c r="H52" s="2">
        <v>994.29</v>
      </c>
      <c r="I52" s="2">
        <v>994.29</v>
      </c>
      <c r="J52" s="2">
        <v>994.29</v>
      </c>
      <c r="K52" s="2">
        <v>994.29</v>
      </c>
      <c r="L52" s="2">
        <v>994.29</v>
      </c>
      <c r="M52" s="2">
        <v>994.29</v>
      </c>
      <c r="N52" s="2">
        <v>994.29</v>
      </c>
      <c r="O52" s="2">
        <v>994.29</v>
      </c>
      <c r="P52" s="2">
        <v>994.29</v>
      </c>
      <c r="Q52" s="2">
        <v>994.29</v>
      </c>
      <c r="R52" s="2">
        <v>994.29</v>
      </c>
      <c r="S52" s="2">
        <v>994.29</v>
      </c>
      <c r="T52" s="2">
        <v>994.29</v>
      </c>
      <c r="U52" s="2">
        <v>994.29</v>
      </c>
      <c r="V52" s="2">
        <v>994.29</v>
      </c>
      <c r="W52" s="2">
        <v>994.29</v>
      </c>
      <c r="X52" s="2">
        <v>994.29</v>
      </c>
      <c r="Y52" s="2">
        <v>994.29</v>
      </c>
      <c r="Z52" s="2">
        <v>994.29</v>
      </c>
      <c r="AA52" s="12">
        <v>994.29</v>
      </c>
      <c r="AB52" s="3">
        <f t="shared" si="1"/>
        <v>23862.960000000014</v>
      </c>
      <c r="AC52" s="3">
        <v>4</v>
      </c>
      <c r="AD52" s="51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</row>
    <row r="53" spans="2:60" ht="15" thickBot="1">
      <c r="B53" s="49"/>
      <c r="C53" s="9" t="s">
        <v>8</v>
      </c>
      <c r="D53" s="10">
        <v>994.29</v>
      </c>
      <c r="E53" s="10">
        <v>994.29</v>
      </c>
      <c r="F53" s="10">
        <v>994.29</v>
      </c>
      <c r="G53" s="10">
        <v>994.29</v>
      </c>
      <c r="H53" s="10">
        <v>994.29</v>
      </c>
      <c r="I53" s="10">
        <v>994.29</v>
      </c>
      <c r="J53" s="10">
        <v>994.29</v>
      </c>
      <c r="K53" s="10">
        <v>994.29</v>
      </c>
      <c r="L53" s="10">
        <v>994.29</v>
      </c>
      <c r="M53" s="10">
        <v>994.29</v>
      </c>
      <c r="N53" s="10">
        <v>994.29</v>
      </c>
      <c r="O53" s="10">
        <v>994.29</v>
      </c>
      <c r="P53" s="10">
        <v>994.29</v>
      </c>
      <c r="Q53" s="10">
        <v>994.29</v>
      </c>
      <c r="R53" s="10">
        <v>994.29</v>
      </c>
      <c r="S53" s="10">
        <v>994.29</v>
      </c>
      <c r="T53" s="10">
        <v>994.29</v>
      </c>
      <c r="U53" s="10">
        <v>994.29</v>
      </c>
      <c r="V53" s="10">
        <v>994.29</v>
      </c>
      <c r="W53" s="10">
        <v>994.29</v>
      </c>
      <c r="X53" s="10">
        <v>994.29</v>
      </c>
      <c r="Y53" s="10">
        <v>994.29</v>
      </c>
      <c r="Z53" s="10">
        <v>994.29</v>
      </c>
      <c r="AA53" s="13">
        <v>994.29</v>
      </c>
      <c r="AB53" s="6">
        <f t="shared" si="1"/>
        <v>23862.960000000014</v>
      </c>
      <c r="AC53" s="6">
        <v>2</v>
      </c>
      <c r="AD53" s="52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</row>
    <row r="54" spans="2:60" ht="15" thickBot="1">
      <c r="AD54" s="17">
        <f>SUM(AD6:AD53)</f>
        <v>8709980.400000006</v>
      </c>
    </row>
  </sheetData>
  <mergeCells count="27">
    <mergeCell ref="B50:B53"/>
    <mergeCell ref="AD50:AD53"/>
    <mergeCell ref="B38:B41"/>
    <mergeCell ref="AD38:AD41"/>
    <mergeCell ref="B42:B45"/>
    <mergeCell ref="AD42:AD45"/>
    <mergeCell ref="B46:B49"/>
    <mergeCell ref="AD46:AD49"/>
    <mergeCell ref="B26:B29"/>
    <mergeCell ref="AD26:AD29"/>
    <mergeCell ref="B30:B33"/>
    <mergeCell ref="AD30:AD33"/>
    <mergeCell ref="B34:B37"/>
    <mergeCell ref="AD34:AD37"/>
    <mergeCell ref="B14:B17"/>
    <mergeCell ref="AD14:AD17"/>
    <mergeCell ref="B18:B21"/>
    <mergeCell ref="AD18:AD21"/>
    <mergeCell ref="B22:B25"/>
    <mergeCell ref="AD22:AD25"/>
    <mergeCell ref="B6:B9"/>
    <mergeCell ref="AD6:AD9"/>
    <mergeCell ref="B10:B13"/>
    <mergeCell ref="AD10:AD13"/>
    <mergeCell ref="B2:AB2"/>
    <mergeCell ref="B3:AB3"/>
    <mergeCell ref="B4:AB4"/>
  </mergeCells>
  <conditionalFormatting sqref="D6:AA53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5A1F-1B99-43E8-91B7-472980DF8E86}">
  <dimension ref="B3:I30"/>
  <sheetViews>
    <sheetView showGridLines="0" zoomScale="90" zoomScaleNormal="90" workbookViewId="0">
      <selection activeCell="B4" sqref="B4:G23"/>
    </sheetView>
  </sheetViews>
  <sheetFormatPr baseColWidth="10" defaultColWidth="11.453125" defaultRowHeight="14.5"/>
  <cols>
    <col min="1" max="3" width="11.453125" style="18"/>
    <col min="4" max="4" width="15.26953125" style="18" customWidth="1"/>
    <col min="5" max="5" width="11.453125" style="18"/>
    <col min="6" max="6" width="12.7265625" style="18" bestFit="1" customWidth="1"/>
    <col min="7" max="7" width="11.453125" style="18"/>
    <col min="8" max="8" width="14.1796875" style="79" bestFit="1" customWidth="1"/>
    <col min="9" max="9" width="11.453125" style="80"/>
    <col min="10" max="16384" width="11.453125" style="18"/>
  </cols>
  <sheetData>
    <row r="3" spans="2:7" ht="15" thickBot="1"/>
    <row r="4" spans="2:7">
      <c r="B4" s="57" t="s">
        <v>41</v>
      </c>
      <c r="C4" s="58"/>
      <c r="D4" s="58"/>
      <c r="E4" s="58"/>
      <c r="F4" s="58"/>
      <c r="G4" s="59"/>
    </row>
    <row r="5" spans="2:7">
      <c r="B5" s="60" t="s">
        <v>9</v>
      </c>
      <c r="C5" s="61"/>
      <c r="D5" s="61"/>
      <c r="E5" s="61"/>
      <c r="F5" s="61"/>
      <c r="G5" s="62"/>
    </row>
    <row r="6" spans="2:7">
      <c r="B6" s="63" t="s">
        <v>10</v>
      </c>
      <c r="C6" s="64"/>
      <c r="D6" s="64"/>
      <c r="E6" s="64"/>
      <c r="F6" s="64"/>
      <c r="G6" s="65"/>
    </row>
    <row r="7" spans="2:7" ht="15" thickBot="1">
      <c r="B7" s="66" t="s">
        <v>37</v>
      </c>
      <c r="C7" s="67"/>
      <c r="D7" s="67"/>
      <c r="E7" s="67"/>
      <c r="F7" s="67"/>
      <c r="G7" s="68"/>
    </row>
    <row r="8" spans="2:7" ht="15" thickBot="1">
      <c r="B8" s="69" t="s">
        <v>42</v>
      </c>
      <c r="C8" s="70"/>
      <c r="D8" s="70"/>
      <c r="E8" s="70"/>
      <c r="F8" s="70"/>
      <c r="G8" s="71"/>
    </row>
    <row r="9" spans="2:7" ht="15.75" customHeight="1" thickBot="1">
      <c r="B9" s="72" t="s">
        <v>12</v>
      </c>
      <c r="C9" s="72" t="s">
        <v>13</v>
      </c>
      <c r="D9" s="75" t="s">
        <v>60</v>
      </c>
      <c r="E9" s="75"/>
      <c r="F9" s="75"/>
      <c r="G9" s="76"/>
    </row>
    <row r="10" spans="2:7" ht="26.5" thickBot="1">
      <c r="B10" s="73"/>
      <c r="C10" s="74"/>
      <c r="D10" s="19" t="s">
        <v>14</v>
      </c>
      <c r="E10" s="21" t="s">
        <v>15</v>
      </c>
      <c r="F10" s="20" t="s">
        <v>16</v>
      </c>
      <c r="G10" s="22" t="s">
        <v>17</v>
      </c>
    </row>
    <row r="11" spans="2:7">
      <c r="B11" s="33">
        <v>2027</v>
      </c>
      <c r="C11" s="34" t="s">
        <v>25</v>
      </c>
      <c r="D11" s="35">
        <f>+'Producto 2 Plano 27'!AE6</f>
        <v>739751.76000000047</v>
      </c>
      <c r="E11" s="77"/>
      <c r="F11" s="26">
        <f t="shared" ref="F11:F22" si="0">+E11*D11</f>
        <v>0</v>
      </c>
      <c r="G11" s="27"/>
    </row>
    <row r="12" spans="2:7">
      <c r="B12" s="23">
        <v>2027</v>
      </c>
      <c r="C12" s="24" t="s">
        <v>26</v>
      </c>
      <c r="D12" s="25">
        <f>+'Producto 2 Plano 27'!AE7</f>
        <v>668162.88000000047</v>
      </c>
      <c r="E12" s="77"/>
      <c r="F12" s="26">
        <f t="shared" si="0"/>
        <v>0</v>
      </c>
      <c r="G12" s="27"/>
    </row>
    <row r="13" spans="2:7">
      <c r="B13" s="23">
        <v>2027</v>
      </c>
      <c r="C13" s="24" t="s">
        <v>27</v>
      </c>
      <c r="D13" s="25">
        <f>+'Producto 2 Plano 27'!AE8</f>
        <v>739751.76000000047</v>
      </c>
      <c r="E13" s="77"/>
      <c r="F13" s="26">
        <f t="shared" si="0"/>
        <v>0</v>
      </c>
      <c r="G13" s="27"/>
    </row>
    <row r="14" spans="2:7">
      <c r="B14" s="23">
        <v>2027</v>
      </c>
      <c r="C14" s="24" t="s">
        <v>28</v>
      </c>
      <c r="D14" s="25">
        <f>+'Producto 2 Plano 27'!AE9</f>
        <v>715888.80000000051</v>
      </c>
      <c r="E14" s="77"/>
      <c r="F14" s="26">
        <f t="shared" si="0"/>
        <v>0</v>
      </c>
      <c r="G14" s="27"/>
    </row>
    <row r="15" spans="2:7">
      <c r="B15" s="23">
        <v>2027</v>
      </c>
      <c r="C15" s="24" t="s">
        <v>29</v>
      </c>
      <c r="D15" s="25">
        <f>+'Producto 2 Plano 27'!AE10</f>
        <v>739751.76000000036</v>
      </c>
      <c r="E15" s="77"/>
      <c r="F15" s="26">
        <f t="shared" si="0"/>
        <v>0</v>
      </c>
      <c r="G15" s="27"/>
    </row>
    <row r="16" spans="2:7">
      <c r="B16" s="23">
        <v>2027</v>
      </c>
      <c r="C16" s="24" t="s">
        <v>18</v>
      </c>
      <c r="D16" s="25">
        <f>+'Producto 2 Plano 27'!AE11</f>
        <v>715888.8000000004</v>
      </c>
      <c r="E16" s="77"/>
      <c r="F16" s="26">
        <f t="shared" si="0"/>
        <v>0</v>
      </c>
      <c r="G16" s="27"/>
    </row>
    <row r="17" spans="2:9">
      <c r="B17" s="23">
        <v>2027</v>
      </c>
      <c r="C17" s="24" t="s">
        <v>19</v>
      </c>
      <c r="D17" s="25">
        <f>+'Producto 2 Plano 27'!AE12</f>
        <v>739751.76000000047</v>
      </c>
      <c r="E17" s="77"/>
      <c r="F17" s="26">
        <f t="shared" si="0"/>
        <v>0</v>
      </c>
      <c r="G17" s="27"/>
    </row>
    <row r="18" spans="2:9">
      <c r="B18" s="23">
        <v>2027</v>
      </c>
      <c r="C18" s="24" t="s">
        <v>20</v>
      </c>
      <c r="D18" s="25">
        <f>+'Producto 2 Plano 27'!AE13</f>
        <v>739751.76000000036</v>
      </c>
      <c r="E18" s="77"/>
      <c r="F18" s="26">
        <f t="shared" si="0"/>
        <v>0</v>
      </c>
      <c r="G18" s="27"/>
    </row>
    <row r="19" spans="2:9">
      <c r="B19" s="23">
        <v>2027</v>
      </c>
      <c r="C19" s="24" t="s">
        <v>21</v>
      </c>
      <c r="D19" s="25">
        <f>+'Producto 2 Plano 27'!AE14</f>
        <v>715888.80000000051</v>
      </c>
      <c r="E19" s="77"/>
      <c r="F19" s="26">
        <f t="shared" si="0"/>
        <v>0</v>
      </c>
      <c r="G19" s="27"/>
    </row>
    <row r="20" spans="2:9">
      <c r="B20" s="23">
        <v>2027</v>
      </c>
      <c r="C20" s="24" t="s">
        <v>22</v>
      </c>
      <c r="D20" s="25">
        <f>+'Producto 2 Plano 27'!AE15</f>
        <v>739751.76000000036</v>
      </c>
      <c r="E20" s="77"/>
      <c r="F20" s="26">
        <f t="shared" si="0"/>
        <v>0</v>
      </c>
      <c r="G20" s="27"/>
    </row>
    <row r="21" spans="2:9">
      <c r="B21" s="23">
        <v>2027</v>
      </c>
      <c r="C21" s="24" t="s">
        <v>23</v>
      </c>
      <c r="D21" s="25">
        <f>+'Producto 2 Plano 27'!AE16</f>
        <v>715888.80000000051</v>
      </c>
      <c r="E21" s="77"/>
      <c r="F21" s="26">
        <f t="shared" si="0"/>
        <v>0</v>
      </c>
      <c r="G21" s="27"/>
    </row>
    <row r="22" spans="2:9" ht="15" thickBot="1">
      <c r="B22" s="28">
        <v>2027</v>
      </c>
      <c r="C22" s="29" t="s">
        <v>24</v>
      </c>
      <c r="D22" s="30">
        <f>+'Producto 2 Plano 27'!AE17</f>
        <v>739751.76000000047</v>
      </c>
      <c r="E22" s="78"/>
      <c r="F22" s="31">
        <f t="shared" si="0"/>
        <v>0</v>
      </c>
      <c r="G22" s="32"/>
      <c r="H22" s="79">
        <f>SUM(D11:D22)</f>
        <v>8709980.400000006</v>
      </c>
      <c r="I22" s="81">
        <f>+H22/1000</f>
        <v>8709.9804000000058</v>
      </c>
    </row>
    <row r="23" spans="2:9" ht="15" thickBot="1">
      <c r="B23" s="55" t="s">
        <v>43</v>
      </c>
      <c r="C23" s="56"/>
      <c r="D23" s="36">
        <f>+SUM(D11:D22)</f>
        <v>8709980.400000006</v>
      </c>
      <c r="I23" s="81">
        <f>+D23/1000</f>
        <v>8709.9804000000058</v>
      </c>
    </row>
    <row r="25" spans="2:9">
      <c r="B25" s="18" t="s">
        <v>30</v>
      </c>
    </row>
    <row r="26" spans="2:9">
      <c r="B26" s="18" t="s">
        <v>31</v>
      </c>
    </row>
    <row r="27" spans="2:9">
      <c r="B27" s="18" t="s">
        <v>32</v>
      </c>
    </row>
    <row r="28" spans="2:9">
      <c r="B28" s="18" t="s">
        <v>33</v>
      </c>
    </row>
    <row r="30" spans="2:9">
      <c r="D30" s="43"/>
    </row>
  </sheetData>
  <mergeCells count="10">
    <mergeCell ref="E11:E22"/>
    <mergeCell ref="B23:C23"/>
    <mergeCell ref="B4:G4"/>
    <mergeCell ref="B5:G5"/>
    <mergeCell ref="B6:G6"/>
    <mergeCell ref="B7:G7"/>
    <mergeCell ref="B8:G8"/>
    <mergeCell ref="B9:B10"/>
    <mergeCell ref="C9:C10"/>
    <mergeCell ref="D9:G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C4C8-B2C9-45CD-9E87-0239C96B9046}">
  <dimension ref="B2:BH149"/>
  <sheetViews>
    <sheetView showGridLines="0" zoomScale="40" zoomScaleNormal="40" workbookViewId="0">
      <pane ySplit="5" topLeftCell="A8" activePane="bottomLeft" state="frozen"/>
      <selection activeCell="M103" sqref="M103"/>
      <selection pane="bottomLeft" activeCell="B2" sqref="B2:AD54"/>
    </sheetView>
  </sheetViews>
  <sheetFormatPr baseColWidth="10" defaultRowHeight="14.5"/>
  <cols>
    <col min="1" max="1" width="1.81640625" customWidth="1"/>
    <col min="2" max="2" width="10" style="4" customWidth="1"/>
    <col min="3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style="84" customWidth="1"/>
    <col min="32" max="32" width="17.453125" bestFit="1" customWidth="1"/>
    <col min="250" max="250" width="1.81640625" customWidth="1"/>
    <col min="251" max="251" width="8" customWidth="1"/>
    <col min="252" max="252" width="8" bestFit="1" customWidth="1"/>
    <col min="253" max="253" width="9" bestFit="1" customWidth="1"/>
    <col min="254" max="254" width="12" bestFit="1" customWidth="1"/>
    <col min="255" max="276" width="9" bestFit="1" customWidth="1"/>
    <col min="277" max="277" width="7.81640625" bestFit="1" customWidth="1"/>
    <col min="278" max="278" width="4.54296875" bestFit="1" customWidth="1"/>
    <col min="279" max="279" width="14.1796875" bestFit="1" customWidth="1"/>
    <col min="506" max="506" width="1.81640625" customWidth="1"/>
    <col min="507" max="507" width="8" customWidth="1"/>
    <col min="508" max="508" width="8" bestFit="1" customWidth="1"/>
    <col min="509" max="509" width="9" bestFit="1" customWidth="1"/>
    <col min="510" max="510" width="12" bestFit="1" customWidth="1"/>
    <col min="511" max="532" width="9" bestFit="1" customWidth="1"/>
    <col min="533" max="533" width="7.81640625" bestFit="1" customWidth="1"/>
    <col min="534" max="534" width="4.54296875" bestFit="1" customWidth="1"/>
    <col min="535" max="535" width="14.1796875" bestFit="1" customWidth="1"/>
    <col min="762" max="762" width="1.81640625" customWidth="1"/>
    <col min="763" max="763" width="8" customWidth="1"/>
    <col min="764" max="764" width="8" bestFit="1" customWidth="1"/>
    <col min="765" max="765" width="9" bestFit="1" customWidth="1"/>
    <col min="766" max="766" width="12" bestFit="1" customWidth="1"/>
    <col min="767" max="788" width="9" bestFit="1" customWidth="1"/>
    <col min="789" max="789" width="7.81640625" bestFit="1" customWidth="1"/>
    <col min="790" max="790" width="4.54296875" bestFit="1" customWidth="1"/>
    <col min="791" max="791" width="14.1796875" bestFit="1" customWidth="1"/>
    <col min="1018" max="1018" width="1.81640625" customWidth="1"/>
    <col min="1019" max="1019" width="8" customWidth="1"/>
    <col min="1020" max="1020" width="8" bestFit="1" customWidth="1"/>
    <col min="1021" max="1021" width="9" bestFit="1" customWidth="1"/>
    <col min="1022" max="1022" width="12" bestFit="1" customWidth="1"/>
    <col min="1023" max="1044" width="9" bestFit="1" customWidth="1"/>
    <col min="1045" max="1045" width="7.81640625" bestFit="1" customWidth="1"/>
    <col min="1046" max="1046" width="4.54296875" bestFit="1" customWidth="1"/>
    <col min="1047" max="1047" width="14.1796875" bestFit="1" customWidth="1"/>
    <col min="1274" max="1274" width="1.81640625" customWidth="1"/>
    <col min="1275" max="1275" width="8" customWidth="1"/>
    <col min="1276" max="1276" width="8" bestFit="1" customWidth="1"/>
    <col min="1277" max="1277" width="9" bestFit="1" customWidth="1"/>
    <col min="1278" max="1278" width="12" bestFit="1" customWidth="1"/>
    <col min="1279" max="1300" width="9" bestFit="1" customWidth="1"/>
    <col min="1301" max="1301" width="7.81640625" bestFit="1" customWidth="1"/>
    <col min="1302" max="1302" width="4.54296875" bestFit="1" customWidth="1"/>
    <col min="1303" max="1303" width="14.1796875" bestFit="1" customWidth="1"/>
    <col min="1530" max="1530" width="1.81640625" customWidth="1"/>
    <col min="1531" max="1531" width="8" customWidth="1"/>
    <col min="1532" max="1532" width="8" bestFit="1" customWidth="1"/>
    <col min="1533" max="1533" width="9" bestFit="1" customWidth="1"/>
    <col min="1534" max="1534" width="12" bestFit="1" customWidth="1"/>
    <col min="1535" max="1556" width="9" bestFit="1" customWidth="1"/>
    <col min="1557" max="1557" width="7.81640625" bestFit="1" customWidth="1"/>
    <col min="1558" max="1558" width="4.54296875" bestFit="1" customWidth="1"/>
    <col min="1559" max="1559" width="14.1796875" bestFit="1" customWidth="1"/>
    <col min="1786" max="1786" width="1.81640625" customWidth="1"/>
    <col min="1787" max="1787" width="8" customWidth="1"/>
    <col min="1788" max="1788" width="8" bestFit="1" customWidth="1"/>
    <col min="1789" max="1789" width="9" bestFit="1" customWidth="1"/>
    <col min="1790" max="1790" width="12" bestFit="1" customWidth="1"/>
    <col min="1791" max="1812" width="9" bestFit="1" customWidth="1"/>
    <col min="1813" max="1813" width="7.81640625" bestFit="1" customWidth="1"/>
    <col min="1814" max="1814" width="4.54296875" bestFit="1" customWidth="1"/>
    <col min="1815" max="1815" width="14.1796875" bestFit="1" customWidth="1"/>
    <col min="2042" max="2042" width="1.81640625" customWidth="1"/>
    <col min="2043" max="2043" width="8" customWidth="1"/>
    <col min="2044" max="2044" width="8" bestFit="1" customWidth="1"/>
    <col min="2045" max="2045" width="9" bestFit="1" customWidth="1"/>
    <col min="2046" max="2046" width="12" bestFit="1" customWidth="1"/>
    <col min="2047" max="2068" width="9" bestFit="1" customWidth="1"/>
    <col min="2069" max="2069" width="7.81640625" bestFit="1" customWidth="1"/>
    <col min="2070" max="2070" width="4.54296875" bestFit="1" customWidth="1"/>
    <col min="2071" max="2071" width="14.1796875" bestFit="1" customWidth="1"/>
    <col min="2298" max="2298" width="1.81640625" customWidth="1"/>
    <col min="2299" max="2299" width="8" customWidth="1"/>
    <col min="2300" max="2300" width="8" bestFit="1" customWidth="1"/>
    <col min="2301" max="2301" width="9" bestFit="1" customWidth="1"/>
    <col min="2302" max="2302" width="12" bestFit="1" customWidth="1"/>
    <col min="2303" max="2324" width="9" bestFit="1" customWidth="1"/>
    <col min="2325" max="2325" width="7.81640625" bestFit="1" customWidth="1"/>
    <col min="2326" max="2326" width="4.54296875" bestFit="1" customWidth="1"/>
    <col min="2327" max="2327" width="14.1796875" bestFit="1" customWidth="1"/>
    <col min="2554" max="2554" width="1.81640625" customWidth="1"/>
    <col min="2555" max="2555" width="8" customWidth="1"/>
    <col min="2556" max="2556" width="8" bestFit="1" customWidth="1"/>
    <col min="2557" max="2557" width="9" bestFit="1" customWidth="1"/>
    <col min="2558" max="2558" width="12" bestFit="1" customWidth="1"/>
    <col min="2559" max="2580" width="9" bestFit="1" customWidth="1"/>
    <col min="2581" max="2581" width="7.81640625" bestFit="1" customWidth="1"/>
    <col min="2582" max="2582" width="4.54296875" bestFit="1" customWidth="1"/>
    <col min="2583" max="2583" width="14.1796875" bestFit="1" customWidth="1"/>
    <col min="2810" max="2810" width="1.81640625" customWidth="1"/>
    <col min="2811" max="2811" width="8" customWidth="1"/>
    <col min="2812" max="2812" width="8" bestFit="1" customWidth="1"/>
    <col min="2813" max="2813" width="9" bestFit="1" customWidth="1"/>
    <col min="2814" max="2814" width="12" bestFit="1" customWidth="1"/>
    <col min="2815" max="2836" width="9" bestFit="1" customWidth="1"/>
    <col min="2837" max="2837" width="7.81640625" bestFit="1" customWidth="1"/>
    <col min="2838" max="2838" width="4.54296875" bestFit="1" customWidth="1"/>
    <col min="2839" max="2839" width="14.1796875" bestFit="1" customWidth="1"/>
    <col min="3066" max="3066" width="1.81640625" customWidth="1"/>
    <col min="3067" max="3067" width="8" customWidth="1"/>
    <col min="3068" max="3068" width="8" bestFit="1" customWidth="1"/>
    <col min="3069" max="3069" width="9" bestFit="1" customWidth="1"/>
    <col min="3070" max="3070" width="12" bestFit="1" customWidth="1"/>
    <col min="3071" max="3092" width="9" bestFit="1" customWidth="1"/>
    <col min="3093" max="3093" width="7.81640625" bestFit="1" customWidth="1"/>
    <col min="3094" max="3094" width="4.54296875" bestFit="1" customWidth="1"/>
    <col min="3095" max="3095" width="14.1796875" bestFit="1" customWidth="1"/>
    <col min="3322" max="3322" width="1.81640625" customWidth="1"/>
    <col min="3323" max="3323" width="8" customWidth="1"/>
    <col min="3324" max="3324" width="8" bestFit="1" customWidth="1"/>
    <col min="3325" max="3325" width="9" bestFit="1" customWidth="1"/>
    <col min="3326" max="3326" width="12" bestFit="1" customWidth="1"/>
    <col min="3327" max="3348" width="9" bestFit="1" customWidth="1"/>
    <col min="3349" max="3349" width="7.81640625" bestFit="1" customWidth="1"/>
    <col min="3350" max="3350" width="4.54296875" bestFit="1" customWidth="1"/>
    <col min="3351" max="3351" width="14.1796875" bestFit="1" customWidth="1"/>
    <col min="3578" max="3578" width="1.81640625" customWidth="1"/>
    <col min="3579" max="3579" width="8" customWidth="1"/>
    <col min="3580" max="3580" width="8" bestFit="1" customWidth="1"/>
    <col min="3581" max="3581" width="9" bestFit="1" customWidth="1"/>
    <col min="3582" max="3582" width="12" bestFit="1" customWidth="1"/>
    <col min="3583" max="3604" width="9" bestFit="1" customWidth="1"/>
    <col min="3605" max="3605" width="7.81640625" bestFit="1" customWidth="1"/>
    <col min="3606" max="3606" width="4.54296875" bestFit="1" customWidth="1"/>
    <col min="3607" max="3607" width="14.1796875" bestFit="1" customWidth="1"/>
    <col min="3834" max="3834" width="1.81640625" customWidth="1"/>
    <col min="3835" max="3835" width="8" customWidth="1"/>
    <col min="3836" max="3836" width="8" bestFit="1" customWidth="1"/>
    <col min="3837" max="3837" width="9" bestFit="1" customWidth="1"/>
    <col min="3838" max="3838" width="12" bestFit="1" customWidth="1"/>
    <col min="3839" max="3860" width="9" bestFit="1" customWidth="1"/>
    <col min="3861" max="3861" width="7.81640625" bestFit="1" customWidth="1"/>
    <col min="3862" max="3862" width="4.54296875" bestFit="1" customWidth="1"/>
    <col min="3863" max="3863" width="14.1796875" bestFit="1" customWidth="1"/>
    <col min="4090" max="4090" width="1.81640625" customWidth="1"/>
    <col min="4091" max="4091" width="8" customWidth="1"/>
    <col min="4092" max="4092" width="8" bestFit="1" customWidth="1"/>
    <col min="4093" max="4093" width="9" bestFit="1" customWidth="1"/>
    <col min="4094" max="4094" width="12" bestFit="1" customWidth="1"/>
    <col min="4095" max="4116" width="9" bestFit="1" customWidth="1"/>
    <col min="4117" max="4117" width="7.81640625" bestFit="1" customWidth="1"/>
    <col min="4118" max="4118" width="4.54296875" bestFit="1" customWidth="1"/>
    <col min="4119" max="4119" width="14.1796875" bestFit="1" customWidth="1"/>
    <col min="4346" max="4346" width="1.81640625" customWidth="1"/>
    <col min="4347" max="4347" width="8" customWidth="1"/>
    <col min="4348" max="4348" width="8" bestFit="1" customWidth="1"/>
    <col min="4349" max="4349" width="9" bestFit="1" customWidth="1"/>
    <col min="4350" max="4350" width="12" bestFit="1" customWidth="1"/>
    <col min="4351" max="4372" width="9" bestFit="1" customWidth="1"/>
    <col min="4373" max="4373" width="7.81640625" bestFit="1" customWidth="1"/>
    <col min="4374" max="4374" width="4.54296875" bestFit="1" customWidth="1"/>
    <col min="4375" max="4375" width="14.1796875" bestFit="1" customWidth="1"/>
    <col min="4602" max="4602" width="1.81640625" customWidth="1"/>
    <col min="4603" max="4603" width="8" customWidth="1"/>
    <col min="4604" max="4604" width="8" bestFit="1" customWidth="1"/>
    <col min="4605" max="4605" width="9" bestFit="1" customWidth="1"/>
    <col min="4606" max="4606" width="12" bestFit="1" customWidth="1"/>
    <col min="4607" max="4628" width="9" bestFit="1" customWidth="1"/>
    <col min="4629" max="4629" width="7.81640625" bestFit="1" customWidth="1"/>
    <col min="4630" max="4630" width="4.54296875" bestFit="1" customWidth="1"/>
    <col min="4631" max="4631" width="14.1796875" bestFit="1" customWidth="1"/>
    <col min="4858" max="4858" width="1.81640625" customWidth="1"/>
    <col min="4859" max="4859" width="8" customWidth="1"/>
    <col min="4860" max="4860" width="8" bestFit="1" customWidth="1"/>
    <col min="4861" max="4861" width="9" bestFit="1" customWidth="1"/>
    <col min="4862" max="4862" width="12" bestFit="1" customWidth="1"/>
    <col min="4863" max="4884" width="9" bestFit="1" customWidth="1"/>
    <col min="4885" max="4885" width="7.81640625" bestFit="1" customWidth="1"/>
    <col min="4886" max="4886" width="4.54296875" bestFit="1" customWidth="1"/>
    <col min="4887" max="4887" width="14.1796875" bestFit="1" customWidth="1"/>
    <col min="5114" max="5114" width="1.81640625" customWidth="1"/>
    <col min="5115" max="5115" width="8" customWidth="1"/>
    <col min="5116" max="5116" width="8" bestFit="1" customWidth="1"/>
    <col min="5117" max="5117" width="9" bestFit="1" customWidth="1"/>
    <col min="5118" max="5118" width="12" bestFit="1" customWidth="1"/>
    <col min="5119" max="5140" width="9" bestFit="1" customWidth="1"/>
    <col min="5141" max="5141" width="7.81640625" bestFit="1" customWidth="1"/>
    <col min="5142" max="5142" width="4.54296875" bestFit="1" customWidth="1"/>
    <col min="5143" max="5143" width="14.1796875" bestFit="1" customWidth="1"/>
    <col min="5370" max="5370" width="1.81640625" customWidth="1"/>
    <col min="5371" max="5371" width="8" customWidth="1"/>
    <col min="5372" max="5372" width="8" bestFit="1" customWidth="1"/>
    <col min="5373" max="5373" width="9" bestFit="1" customWidth="1"/>
    <col min="5374" max="5374" width="12" bestFit="1" customWidth="1"/>
    <col min="5375" max="5396" width="9" bestFit="1" customWidth="1"/>
    <col min="5397" max="5397" width="7.81640625" bestFit="1" customWidth="1"/>
    <col min="5398" max="5398" width="4.54296875" bestFit="1" customWidth="1"/>
    <col min="5399" max="5399" width="14.1796875" bestFit="1" customWidth="1"/>
    <col min="5626" max="5626" width="1.81640625" customWidth="1"/>
    <col min="5627" max="5627" width="8" customWidth="1"/>
    <col min="5628" max="5628" width="8" bestFit="1" customWidth="1"/>
    <col min="5629" max="5629" width="9" bestFit="1" customWidth="1"/>
    <col min="5630" max="5630" width="12" bestFit="1" customWidth="1"/>
    <col min="5631" max="5652" width="9" bestFit="1" customWidth="1"/>
    <col min="5653" max="5653" width="7.81640625" bestFit="1" customWidth="1"/>
    <col min="5654" max="5654" width="4.54296875" bestFit="1" customWidth="1"/>
    <col min="5655" max="5655" width="14.1796875" bestFit="1" customWidth="1"/>
    <col min="5882" max="5882" width="1.81640625" customWidth="1"/>
    <col min="5883" max="5883" width="8" customWidth="1"/>
    <col min="5884" max="5884" width="8" bestFit="1" customWidth="1"/>
    <col min="5885" max="5885" width="9" bestFit="1" customWidth="1"/>
    <col min="5886" max="5886" width="12" bestFit="1" customWidth="1"/>
    <col min="5887" max="5908" width="9" bestFit="1" customWidth="1"/>
    <col min="5909" max="5909" width="7.81640625" bestFit="1" customWidth="1"/>
    <col min="5910" max="5910" width="4.54296875" bestFit="1" customWidth="1"/>
    <col min="5911" max="5911" width="14.1796875" bestFit="1" customWidth="1"/>
    <col min="6138" max="6138" width="1.81640625" customWidth="1"/>
    <col min="6139" max="6139" width="8" customWidth="1"/>
    <col min="6140" max="6140" width="8" bestFit="1" customWidth="1"/>
    <col min="6141" max="6141" width="9" bestFit="1" customWidth="1"/>
    <col min="6142" max="6142" width="12" bestFit="1" customWidth="1"/>
    <col min="6143" max="6164" width="9" bestFit="1" customWidth="1"/>
    <col min="6165" max="6165" width="7.81640625" bestFit="1" customWidth="1"/>
    <col min="6166" max="6166" width="4.54296875" bestFit="1" customWidth="1"/>
    <col min="6167" max="6167" width="14.1796875" bestFit="1" customWidth="1"/>
    <col min="6394" max="6394" width="1.81640625" customWidth="1"/>
    <col min="6395" max="6395" width="8" customWidth="1"/>
    <col min="6396" max="6396" width="8" bestFit="1" customWidth="1"/>
    <col min="6397" max="6397" width="9" bestFit="1" customWidth="1"/>
    <col min="6398" max="6398" width="12" bestFit="1" customWidth="1"/>
    <col min="6399" max="6420" width="9" bestFit="1" customWidth="1"/>
    <col min="6421" max="6421" width="7.81640625" bestFit="1" customWidth="1"/>
    <col min="6422" max="6422" width="4.54296875" bestFit="1" customWidth="1"/>
    <col min="6423" max="6423" width="14.1796875" bestFit="1" customWidth="1"/>
    <col min="6650" max="6650" width="1.81640625" customWidth="1"/>
    <col min="6651" max="6651" width="8" customWidth="1"/>
    <col min="6652" max="6652" width="8" bestFit="1" customWidth="1"/>
    <col min="6653" max="6653" width="9" bestFit="1" customWidth="1"/>
    <col min="6654" max="6654" width="12" bestFit="1" customWidth="1"/>
    <col min="6655" max="6676" width="9" bestFit="1" customWidth="1"/>
    <col min="6677" max="6677" width="7.81640625" bestFit="1" customWidth="1"/>
    <col min="6678" max="6678" width="4.54296875" bestFit="1" customWidth="1"/>
    <col min="6679" max="6679" width="14.1796875" bestFit="1" customWidth="1"/>
    <col min="6906" max="6906" width="1.81640625" customWidth="1"/>
    <col min="6907" max="6907" width="8" customWidth="1"/>
    <col min="6908" max="6908" width="8" bestFit="1" customWidth="1"/>
    <col min="6909" max="6909" width="9" bestFit="1" customWidth="1"/>
    <col min="6910" max="6910" width="12" bestFit="1" customWidth="1"/>
    <col min="6911" max="6932" width="9" bestFit="1" customWidth="1"/>
    <col min="6933" max="6933" width="7.81640625" bestFit="1" customWidth="1"/>
    <col min="6934" max="6934" width="4.54296875" bestFit="1" customWidth="1"/>
    <col min="6935" max="6935" width="14.1796875" bestFit="1" customWidth="1"/>
    <col min="7162" max="7162" width="1.81640625" customWidth="1"/>
    <col min="7163" max="7163" width="8" customWidth="1"/>
    <col min="7164" max="7164" width="8" bestFit="1" customWidth="1"/>
    <col min="7165" max="7165" width="9" bestFit="1" customWidth="1"/>
    <col min="7166" max="7166" width="12" bestFit="1" customWidth="1"/>
    <col min="7167" max="7188" width="9" bestFit="1" customWidth="1"/>
    <col min="7189" max="7189" width="7.81640625" bestFit="1" customWidth="1"/>
    <col min="7190" max="7190" width="4.54296875" bestFit="1" customWidth="1"/>
    <col min="7191" max="7191" width="14.1796875" bestFit="1" customWidth="1"/>
    <col min="7418" max="7418" width="1.81640625" customWidth="1"/>
    <col min="7419" max="7419" width="8" customWidth="1"/>
    <col min="7420" max="7420" width="8" bestFit="1" customWidth="1"/>
    <col min="7421" max="7421" width="9" bestFit="1" customWidth="1"/>
    <col min="7422" max="7422" width="12" bestFit="1" customWidth="1"/>
    <col min="7423" max="7444" width="9" bestFit="1" customWidth="1"/>
    <col min="7445" max="7445" width="7.81640625" bestFit="1" customWidth="1"/>
    <col min="7446" max="7446" width="4.54296875" bestFit="1" customWidth="1"/>
    <col min="7447" max="7447" width="14.1796875" bestFit="1" customWidth="1"/>
    <col min="7674" max="7674" width="1.81640625" customWidth="1"/>
    <col min="7675" max="7675" width="8" customWidth="1"/>
    <col min="7676" max="7676" width="8" bestFit="1" customWidth="1"/>
    <col min="7677" max="7677" width="9" bestFit="1" customWidth="1"/>
    <col min="7678" max="7678" width="12" bestFit="1" customWidth="1"/>
    <col min="7679" max="7700" width="9" bestFit="1" customWidth="1"/>
    <col min="7701" max="7701" width="7.81640625" bestFit="1" customWidth="1"/>
    <col min="7702" max="7702" width="4.54296875" bestFit="1" customWidth="1"/>
    <col min="7703" max="7703" width="14.1796875" bestFit="1" customWidth="1"/>
    <col min="7930" max="7930" width="1.81640625" customWidth="1"/>
    <col min="7931" max="7931" width="8" customWidth="1"/>
    <col min="7932" max="7932" width="8" bestFit="1" customWidth="1"/>
    <col min="7933" max="7933" width="9" bestFit="1" customWidth="1"/>
    <col min="7934" max="7934" width="12" bestFit="1" customWidth="1"/>
    <col min="7935" max="7956" width="9" bestFit="1" customWidth="1"/>
    <col min="7957" max="7957" width="7.81640625" bestFit="1" customWidth="1"/>
    <col min="7958" max="7958" width="4.54296875" bestFit="1" customWidth="1"/>
    <col min="7959" max="7959" width="14.1796875" bestFit="1" customWidth="1"/>
    <col min="8186" max="8186" width="1.81640625" customWidth="1"/>
    <col min="8187" max="8187" width="8" customWidth="1"/>
    <col min="8188" max="8188" width="8" bestFit="1" customWidth="1"/>
    <col min="8189" max="8189" width="9" bestFit="1" customWidth="1"/>
    <col min="8190" max="8190" width="12" bestFit="1" customWidth="1"/>
    <col min="8191" max="8212" width="9" bestFit="1" customWidth="1"/>
    <col min="8213" max="8213" width="7.81640625" bestFit="1" customWidth="1"/>
    <col min="8214" max="8214" width="4.54296875" bestFit="1" customWidth="1"/>
    <col min="8215" max="8215" width="14.1796875" bestFit="1" customWidth="1"/>
    <col min="8442" max="8442" width="1.81640625" customWidth="1"/>
    <col min="8443" max="8443" width="8" customWidth="1"/>
    <col min="8444" max="8444" width="8" bestFit="1" customWidth="1"/>
    <col min="8445" max="8445" width="9" bestFit="1" customWidth="1"/>
    <col min="8446" max="8446" width="12" bestFit="1" customWidth="1"/>
    <col min="8447" max="8468" width="9" bestFit="1" customWidth="1"/>
    <col min="8469" max="8469" width="7.81640625" bestFit="1" customWidth="1"/>
    <col min="8470" max="8470" width="4.54296875" bestFit="1" customWidth="1"/>
    <col min="8471" max="8471" width="14.1796875" bestFit="1" customWidth="1"/>
    <col min="8698" max="8698" width="1.81640625" customWidth="1"/>
    <col min="8699" max="8699" width="8" customWidth="1"/>
    <col min="8700" max="8700" width="8" bestFit="1" customWidth="1"/>
    <col min="8701" max="8701" width="9" bestFit="1" customWidth="1"/>
    <col min="8702" max="8702" width="12" bestFit="1" customWidth="1"/>
    <col min="8703" max="8724" width="9" bestFit="1" customWidth="1"/>
    <col min="8725" max="8725" width="7.81640625" bestFit="1" customWidth="1"/>
    <col min="8726" max="8726" width="4.54296875" bestFit="1" customWidth="1"/>
    <col min="8727" max="8727" width="14.1796875" bestFit="1" customWidth="1"/>
    <col min="8954" max="8954" width="1.81640625" customWidth="1"/>
    <col min="8955" max="8955" width="8" customWidth="1"/>
    <col min="8956" max="8956" width="8" bestFit="1" customWidth="1"/>
    <col min="8957" max="8957" width="9" bestFit="1" customWidth="1"/>
    <col min="8958" max="8958" width="12" bestFit="1" customWidth="1"/>
    <col min="8959" max="8980" width="9" bestFit="1" customWidth="1"/>
    <col min="8981" max="8981" width="7.81640625" bestFit="1" customWidth="1"/>
    <col min="8982" max="8982" width="4.54296875" bestFit="1" customWidth="1"/>
    <col min="8983" max="8983" width="14.1796875" bestFit="1" customWidth="1"/>
    <col min="9210" max="9210" width="1.81640625" customWidth="1"/>
    <col min="9211" max="9211" width="8" customWidth="1"/>
    <col min="9212" max="9212" width="8" bestFit="1" customWidth="1"/>
    <col min="9213" max="9213" width="9" bestFit="1" customWidth="1"/>
    <col min="9214" max="9214" width="12" bestFit="1" customWidth="1"/>
    <col min="9215" max="9236" width="9" bestFit="1" customWidth="1"/>
    <col min="9237" max="9237" width="7.81640625" bestFit="1" customWidth="1"/>
    <col min="9238" max="9238" width="4.54296875" bestFit="1" customWidth="1"/>
    <col min="9239" max="9239" width="14.1796875" bestFit="1" customWidth="1"/>
    <col min="9466" max="9466" width="1.81640625" customWidth="1"/>
    <col min="9467" max="9467" width="8" customWidth="1"/>
    <col min="9468" max="9468" width="8" bestFit="1" customWidth="1"/>
    <col min="9469" max="9469" width="9" bestFit="1" customWidth="1"/>
    <col min="9470" max="9470" width="12" bestFit="1" customWidth="1"/>
    <col min="9471" max="9492" width="9" bestFit="1" customWidth="1"/>
    <col min="9493" max="9493" width="7.81640625" bestFit="1" customWidth="1"/>
    <col min="9494" max="9494" width="4.54296875" bestFit="1" customWidth="1"/>
    <col min="9495" max="9495" width="14.1796875" bestFit="1" customWidth="1"/>
    <col min="9722" max="9722" width="1.81640625" customWidth="1"/>
    <col min="9723" max="9723" width="8" customWidth="1"/>
    <col min="9724" max="9724" width="8" bestFit="1" customWidth="1"/>
    <col min="9725" max="9725" width="9" bestFit="1" customWidth="1"/>
    <col min="9726" max="9726" width="12" bestFit="1" customWidth="1"/>
    <col min="9727" max="9748" width="9" bestFit="1" customWidth="1"/>
    <col min="9749" max="9749" width="7.81640625" bestFit="1" customWidth="1"/>
    <col min="9750" max="9750" width="4.54296875" bestFit="1" customWidth="1"/>
    <col min="9751" max="9751" width="14.1796875" bestFit="1" customWidth="1"/>
    <col min="9978" max="9978" width="1.81640625" customWidth="1"/>
    <col min="9979" max="9979" width="8" customWidth="1"/>
    <col min="9980" max="9980" width="8" bestFit="1" customWidth="1"/>
    <col min="9981" max="9981" width="9" bestFit="1" customWidth="1"/>
    <col min="9982" max="9982" width="12" bestFit="1" customWidth="1"/>
    <col min="9983" max="10004" width="9" bestFit="1" customWidth="1"/>
    <col min="10005" max="10005" width="7.81640625" bestFit="1" customWidth="1"/>
    <col min="10006" max="10006" width="4.54296875" bestFit="1" customWidth="1"/>
    <col min="10007" max="10007" width="14.1796875" bestFit="1" customWidth="1"/>
    <col min="10234" max="10234" width="1.81640625" customWidth="1"/>
    <col min="10235" max="10235" width="8" customWidth="1"/>
    <col min="10236" max="10236" width="8" bestFit="1" customWidth="1"/>
    <col min="10237" max="10237" width="9" bestFit="1" customWidth="1"/>
    <col min="10238" max="10238" width="12" bestFit="1" customWidth="1"/>
    <col min="10239" max="10260" width="9" bestFit="1" customWidth="1"/>
    <col min="10261" max="10261" width="7.81640625" bestFit="1" customWidth="1"/>
    <col min="10262" max="10262" width="4.54296875" bestFit="1" customWidth="1"/>
    <col min="10263" max="10263" width="14.1796875" bestFit="1" customWidth="1"/>
    <col min="10490" max="10490" width="1.81640625" customWidth="1"/>
    <col min="10491" max="10491" width="8" customWidth="1"/>
    <col min="10492" max="10492" width="8" bestFit="1" customWidth="1"/>
    <col min="10493" max="10493" width="9" bestFit="1" customWidth="1"/>
    <col min="10494" max="10494" width="12" bestFit="1" customWidth="1"/>
    <col min="10495" max="10516" width="9" bestFit="1" customWidth="1"/>
    <col min="10517" max="10517" width="7.81640625" bestFit="1" customWidth="1"/>
    <col min="10518" max="10518" width="4.54296875" bestFit="1" customWidth="1"/>
    <col min="10519" max="10519" width="14.1796875" bestFit="1" customWidth="1"/>
    <col min="10746" max="10746" width="1.81640625" customWidth="1"/>
    <col min="10747" max="10747" width="8" customWidth="1"/>
    <col min="10748" max="10748" width="8" bestFit="1" customWidth="1"/>
    <col min="10749" max="10749" width="9" bestFit="1" customWidth="1"/>
    <col min="10750" max="10750" width="12" bestFit="1" customWidth="1"/>
    <col min="10751" max="10772" width="9" bestFit="1" customWidth="1"/>
    <col min="10773" max="10773" width="7.81640625" bestFit="1" customWidth="1"/>
    <col min="10774" max="10774" width="4.54296875" bestFit="1" customWidth="1"/>
    <col min="10775" max="10775" width="14.1796875" bestFit="1" customWidth="1"/>
    <col min="11002" max="11002" width="1.81640625" customWidth="1"/>
    <col min="11003" max="11003" width="8" customWidth="1"/>
    <col min="11004" max="11004" width="8" bestFit="1" customWidth="1"/>
    <col min="11005" max="11005" width="9" bestFit="1" customWidth="1"/>
    <col min="11006" max="11006" width="12" bestFit="1" customWidth="1"/>
    <col min="11007" max="11028" width="9" bestFit="1" customWidth="1"/>
    <col min="11029" max="11029" width="7.81640625" bestFit="1" customWidth="1"/>
    <col min="11030" max="11030" width="4.54296875" bestFit="1" customWidth="1"/>
    <col min="11031" max="11031" width="14.1796875" bestFit="1" customWidth="1"/>
    <col min="11258" max="11258" width="1.81640625" customWidth="1"/>
    <col min="11259" max="11259" width="8" customWidth="1"/>
    <col min="11260" max="11260" width="8" bestFit="1" customWidth="1"/>
    <col min="11261" max="11261" width="9" bestFit="1" customWidth="1"/>
    <col min="11262" max="11262" width="12" bestFit="1" customWidth="1"/>
    <col min="11263" max="11284" width="9" bestFit="1" customWidth="1"/>
    <col min="11285" max="11285" width="7.81640625" bestFit="1" customWidth="1"/>
    <col min="11286" max="11286" width="4.54296875" bestFit="1" customWidth="1"/>
    <col min="11287" max="11287" width="14.1796875" bestFit="1" customWidth="1"/>
    <col min="11514" max="11514" width="1.81640625" customWidth="1"/>
    <col min="11515" max="11515" width="8" customWidth="1"/>
    <col min="11516" max="11516" width="8" bestFit="1" customWidth="1"/>
    <col min="11517" max="11517" width="9" bestFit="1" customWidth="1"/>
    <col min="11518" max="11518" width="12" bestFit="1" customWidth="1"/>
    <col min="11519" max="11540" width="9" bestFit="1" customWidth="1"/>
    <col min="11541" max="11541" width="7.81640625" bestFit="1" customWidth="1"/>
    <col min="11542" max="11542" width="4.54296875" bestFit="1" customWidth="1"/>
    <col min="11543" max="11543" width="14.1796875" bestFit="1" customWidth="1"/>
    <col min="11770" max="11770" width="1.81640625" customWidth="1"/>
    <col min="11771" max="11771" width="8" customWidth="1"/>
    <col min="11772" max="11772" width="8" bestFit="1" customWidth="1"/>
    <col min="11773" max="11773" width="9" bestFit="1" customWidth="1"/>
    <col min="11774" max="11774" width="12" bestFit="1" customWidth="1"/>
    <col min="11775" max="11796" width="9" bestFit="1" customWidth="1"/>
    <col min="11797" max="11797" width="7.81640625" bestFit="1" customWidth="1"/>
    <col min="11798" max="11798" width="4.54296875" bestFit="1" customWidth="1"/>
    <col min="11799" max="11799" width="14.1796875" bestFit="1" customWidth="1"/>
    <col min="12026" max="12026" width="1.81640625" customWidth="1"/>
    <col min="12027" max="12027" width="8" customWidth="1"/>
    <col min="12028" max="12028" width="8" bestFit="1" customWidth="1"/>
    <col min="12029" max="12029" width="9" bestFit="1" customWidth="1"/>
    <col min="12030" max="12030" width="12" bestFit="1" customWidth="1"/>
    <col min="12031" max="12052" width="9" bestFit="1" customWidth="1"/>
    <col min="12053" max="12053" width="7.81640625" bestFit="1" customWidth="1"/>
    <col min="12054" max="12054" width="4.54296875" bestFit="1" customWidth="1"/>
    <col min="12055" max="12055" width="14.1796875" bestFit="1" customWidth="1"/>
    <col min="12282" max="12282" width="1.81640625" customWidth="1"/>
    <col min="12283" max="12283" width="8" customWidth="1"/>
    <col min="12284" max="12284" width="8" bestFit="1" customWidth="1"/>
    <col min="12285" max="12285" width="9" bestFit="1" customWidth="1"/>
    <col min="12286" max="12286" width="12" bestFit="1" customWidth="1"/>
    <col min="12287" max="12308" width="9" bestFit="1" customWidth="1"/>
    <col min="12309" max="12309" width="7.81640625" bestFit="1" customWidth="1"/>
    <col min="12310" max="12310" width="4.54296875" bestFit="1" customWidth="1"/>
    <col min="12311" max="12311" width="14.1796875" bestFit="1" customWidth="1"/>
    <col min="12538" max="12538" width="1.81640625" customWidth="1"/>
    <col min="12539" max="12539" width="8" customWidth="1"/>
    <col min="12540" max="12540" width="8" bestFit="1" customWidth="1"/>
    <col min="12541" max="12541" width="9" bestFit="1" customWidth="1"/>
    <col min="12542" max="12542" width="12" bestFit="1" customWidth="1"/>
    <col min="12543" max="12564" width="9" bestFit="1" customWidth="1"/>
    <col min="12565" max="12565" width="7.81640625" bestFit="1" customWidth="1"/>
    <col min="12566" max="12566" width="4.54296875" bestFit="1" customWidth="1"/>
    <col min="12567" max="12567" width="14.1796875" bestFit="1" customWidth="1"/>
    <col min="12794" max="12794" width="1.81640625" customWidth="1"/>
    <col min="12795" max="12795" width="8" customWidth="1"/>
    <col min="12796" max="12796" width="8" bestFit="1" customWidth="1"/>
    <col min="12797" max="12797" width="9" bestFit="1" customWidth="1"/>
    <col min="12798" max="12798" width="12" bestFit="1" customWidth="1"/>
    <col min="12799" max="12820" width="9" bestFit="1" customWidth="1"/>
    <col min="12821" max="12821" width="7.81640625" bestFit="1" customWidth="1"/>
    <col min="12822" max="12822" width="4.54296875" bestFit="1" customWidth="1"/>
    <col min="12823" max="12823" width="14.1796875" bestFit="1" customWidth="1"/>
    <col min="13050" max="13050" width="1.81640625" customWidth="1"/>
    <col min="13051" max="13051" width="8" customWidth="1"/>
    <col min="13052" max="13052" width="8" bestFit="1" customWidth="1"/>
    <col min="13053" max="13053" width="9" bestFit="1" customWidth="1"/>
    <col min="13054" max="13054" width="12" bestFit="1" customWidth="1"/>
    <col min="13055" max="13076" width="9" bestFit="1" customWidth="1"/>
    <col min="13077" max="13077" width="7.81640625" bestFit="1" customWidth="1"/>
    <col min="13078" max="13078" width="4.54296875" bestFit="1" customWidth="1"/>
    <col min="13079" max="13079" width="14.1796875" bestFit="1" customWidth="1"/>
    <col min="13306" max="13306" width="1.81640625" customWidth="1"/>
    <col min="13307" max="13307" width="8" customWidth="1"/>
    <col min="13308" max="13308" width="8" bestFit="1" customWidth="1"/>
    <col min="13309" max="13309" width="9" bestFit="1" customWidth="1"/>
    <col min="13310" max="13310" width="12" bestFit="1" customWidth="1"/>
    <col min="13311" max="13332" width="9" bestFit="1" customWidth="1"/>
    <col min="13333" max="13333" width="7.81640625" bestFit="1" customWidth="1"/>
    <col min="13334" max="13334" width="4.54296875" bestFit="1" customWidth="1"/>
    <col min="13335" max="13335" width="14.1796875" bestFit="1" customWidth="1"/>
    <col min="13562" max="13562" width="1.81640625" customWidth="1"/>
    <col min="13563" max="13563" width="8" customWidth="1"/>
    <col min="13564" max="13564" width="8" bestFit="1" customWidth="1"/>
    <col min="13565" max="13565" width="9" bestFit="1" customWidth="1"/>
    <col min="13566" max="13566" width="12" bestFit="1" customWidth="1"/>
    <col min="13567" max="13588" width="9" bestFit="1" customWidth="1"/>
    <col min="13589" max="13589" width="7.81640625" bestFit="1" customWidth="1"/>
    <col min="13590" max="13590" width="4.54296875" bestFit="1" customWidth="1"/>
    <col min="13591" max="13591" width="14.1796875" bestFit="1" customWidth="1"/>
    <col min="13818" max="13818" width="1.81640625" customWidth="1"/>
    <col min="13819" max="13819" width="8" customWidth="1"/>
    <col min="13820" max="13820" width="8" bestFit="1" customWidth="1"/>
    <col min="13821" max="13821" width="9" bestFit="1" customWidth="1"/>
    <col min="13822" max="13822" width="12" bestFit="1" customWidth="1"/>
    <col min="13823" max="13844" width="9" bestFit="1" customWidth="1"/>
    <col min="13845" max="13845" width="7.81640625" bestFit="1" customWidth="1"/>
    <col min="13846" max="13846" width="4.54296875" bestFit="1" customWidth="1"/>
    <col min="13847" max="13847" width="14.1796875" bestFit="1" customWidth="1"/>
    <col min="14074" max="14074" width="1.81640625" customWidth="1"/>
    <col min="14075" max="14075" width="8" customWidth="1"/>
    <col min="14076" max="14076" width="8" bestFit="1" customWidth="1"/>
    <col min="14077" max="14077" width="9" bestFit="1" customWidth="1"/>
    <col min="14078" max="14078" width="12" bestFit="1" customWidth="1"/>
    <col min="14079" max="14100" width="9" bestFit="1" customWidth="1"/>
    <col min="14101" max="14101" width="7.81640625" bestFit="1" customWidth="1"/>
    <col min="14102" max="14102" width="4.54296875" bestFit="1" customWidth="1"/>
    <col min="14103" max="14103" width="14.1796875" bestFit="1" customWidth="1"/>
    <col min="14330" max="14330" width="1.81640625" customWidth="1"/>
    <col min="14331" max="14331" width="8" customWidth="1"/>
    <col min="14332" max="14332" width="8" bestFit="1" customWidth="1"/>
    <col min="14333" max="14333" width="9" bestFit="1" customWidth="1"/>
    <col min="14334" max="14334" width="12" bestFit="1" customWidth="1"/>
    <col min="14335" max="14356" width="9" bestFit="1" customWidth="1"/>
    <col min="14357" max="14357" width="7.81640625" bestFit="1" customWidth="1"/>
    <col min="14358" max="14358" width="4.54296875" bestFit="1" customWidth="1"/>
    <col min="14359" max="14359" width="14.1796875" bestFit="1" customWidth="1"/>
    <col min="14586" max="14586" width="1.81640625" customWidth="1"/>
    <col min="14587" max="14587" width="8" customWidth="1"/>
    <col min="14588" max="14588" width="8" bestFit="1" customWidth="1"/>
    <col min="14589" max="14589" width="9" bestFit="1" customWidth="1"/>
    <col min="14590" max="14590" width="12" bestFit="1" customWidth="1"/>
    <col min="14591" max="14612" width="9" bestFit="1" customWidth="1"/>
    <col min="14613" max="14613" width="7.81640625" bestFit="1" customWidth="1"/>
    <col min="14614" max="14614" width="4.54296875" bestFit="1" customWidth="1"/>
    <col min="14615" max="14615" width="14.1796875" bestFit="1" customWidth="1"/>
    <col min="14842" max="14842" width="1.81640625" customWidth="1"/>
    <col min="14843" max="14843" width="8" customWidth="1"/>
    <col min="14844" max="14844" width="8" bestFit="1" customWidth="1"/>
    <col min="14845" max="14845" width="9" bestFit="1" customWidth="1"/>
    <col min="14846" max="14846" width="12" bestFit="1" customWidth="1"/>
    <col min="14847" max="14868" width="9" bestFit="1" customWidth="1"/>
    <col min="14869" max="14869" width="7.81640625" bestFit="1" customWidth="1"/>
    <col min="14870" max="14870" width="4.54296875" bestFit="1" customWidth="1"/>
    <col min="14871" max="14871" width="14.1796875" bestFit="1" customWidth="1"/>
    <col min="15098" max="15098" width="1.81640625" customWidth="1"/>
    <col min="15099" max="15099" width="8" customWidth="1"/>
    <col min="15100" max="15100" width="8" bestFit="1" customWidth="1"/>
    <col min="15101" max="15101" width="9" bestFit="1" customWidth="1"/>
    <col min="15102" max="15102" width="12" bestFit="1" customWidth="1"/>
    <col min="15103" max="15124" width="9" bestFit="1" customWidth="1"/>
    <col min="15125" max="15125" width="7.81640625" bestFit="1" customWidth="1"/>
    <col min="15126" max="15126" width="4.54296875" bestFit="1" customWidth="1"/>
    <col min="15127" max="15127" width="14.1796875" bestFit="1" customWidth="1"/>
    <col min="15354" max="15354" width="1.81640625" customWidth="1"/>
    <col min="15355" max="15355" width="8" customWidth="1"/>
    <col min="15356" max="15356" width="8" bestFit="1" customWidth="1"/>
    <col min="15357" max="15357" width="9" bestFit="1" customWidth="1"/>
    <col min="15358" max="15358" width="12" bestFit="1" customWidth="1"/>
    <col min="15359" max="15380" width="9" bestFit="1" customWidth="1"/>
    <col min="15381" max="15381" width="7.81640625" bestFit="1" customWidth="1"/>
    <col min="15382" max="15382" width="4.54296875" bestFit="1" customWidth="1"/>
    <col min="15383" max="15383" width="14.1796875" bestFit="1" customWidth="1"/>
    <col min="15610" max="15610" width="1.81640625" customWidth="1"/>
    <col min="15611" max="15611" width="8" customWidth="1"/>
    <col min="15612" max="15612" width="8" bestFit="1" customWidth="1"/>
    <col min="15613" max="15613" width="9" bestFit="1" customWidth="1"/>
    <col min="15614" max="15614" width="12" bestFit="1" customWidth="1"/>
    <col min="15615" max="15636" width="9" bestFit="1" customWidth="1"/>
    <col min="15637" max="15637" width="7.81640625" bestFit="1" customWidth="1"/>
    <col min="15638" max="15638" width="4.54296875" bestFit="1" customWidth="1"/>
    <col min="15639" max="15639" width="14.1796875" bestFit="1" customWidth="1"/>
    <col min="15866" max="15866" width="1.81640625" customWidth="1"/>
    <col min="15867" max="15867" width="8" customWidth="1"/>
    <col min="15868" max="15868" width="8" bestFit="1" customWidth="1"/>
    <col min="15869" max="15869" width="9" bestFit="1" customWidth="1"/>
    <col min="15870" max="15870" width="12" bestFit="1" customWidth="1"/>
    <col min="15871" max="15892" width="9" bestFit="1" customWidth="1"/>
    <col min="15893" max="15893" width="7.81640625" bestFit="1" customWidth="1"/>
    <col min="15894" max="15894" width="4.54296875" bestFit="1" customWidth="1"/>
    <col min="15895" max="15895" width="14.1796875" bestFit="1" customWidth="1"/>
    <col min="16122" max="16122" width="1.81640625" customWidth="1"/>
    <col min="16123" max="16123" width="8" customWidth="1"/>
    <col min="16124" max="16124" width="8" bestFit="1" customWidth="1"/>
    <col min="16125" max="16125" width="9" bestFit="1" customWidth="1"/>
    <col min="16126" max="16126" width="12" bestFit="1" customWidth="1"/>
    <col min="16127" max="16148" width="9" bestFit="1" customWidth="1"/>
    <col min="16149" max="16149" width="7.81640625" bestFit="1" customWidth="1"/>
    <col min="16150" max="16150" width="4.54296875" bestFit="1" customWidth="1"/>
    <col min="16151" max="16151" width="14.1796875" bestFit="1" customWidth="1"/>
  </cols>
  <sheetData>
    <row r="2" spans="2:60" ht="15.5">
      <c r="B2" s="53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2:60" ht="15.5">
      <c r="B3" s="53" t="s">
        <v>48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2:60" ht="16" thickBot="1">
      <c r="B4" s="54" t="s">
        <v>44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</row>
    <row r="5" spans="2:60" ht="25.5" customHeight="1" thickBot="1">
      <c r="B5" s="37"/>
      <c r="C5" s="38" t="s">
        <v>1</v>
      </c>
      <c r="D5" s="39">
        <v>1</v>
      </c>
      <c r="E5" s="39">
        <v>2</v>
      </c>
      <c r="F5" s="39">
        <v>3</v>
      </c>
      <c r="G5" s="39">
        <v>4</v>
      </c>
      <c r="H5" s="39">
        <v>5</v>
      </c>
      <c r="I5" s="39">
        <v>6</v>
      </c>
      <c r="J5" s="40">
        <v>7</v>
      </c>
      <c r="K5" s="40">
        <v>8</v>
      </c>
      <c r="L5" s="40">
        <v>9</v>
      </c>
      <c r="M5" s="40">
        <v>10</v>
      </c>
      <c r="N5" s="40">
        <v>11</v>
      </c>
      <c r="O5" s="40">
        <v>12</v>
      </c>
      <c r="P5" s="40">
        <v>13</v>
      </c>
      <c r="Q5" s="40">
        <v>14</v>
      </c>
      <c r="R5" s="40">
        <v>15</v>
      </c>
      <c r="S5" s="40">
        <v>16</v>
      </c>
      <c r="T5" s="40">
        <v>17</v>
      </c>
      <c r="U5" s="40">
        <v>18</v>
      </c>
      <c r="V5" s="41">
        <v>19</v>
      </c>
      <c r="W5" s="41">
        <v>20</v>
      </c>
      <c r="X5" s="41">
        <v>21</v>
      </c>
      <c r="Y5" s="39">
        <v>22</v>
      </c>
      <c r="Z5" s="39">
        <v>23</v>
      </c>
      <c r="AA5" s="42">
        <v>24</v>
      </c>
      <c r="AB5" s="14" t="s">
        <v>2</v>
      </c>
      <c r="AC5" s="15" t="s">
        <v>3</v>
      </c>
      <c r="AD5" s="16" t="s">
        <v>2</v>
      </c>
    </row>
    <row r="6" spans="2:60">
      <c r="B6" s="47">
        <v>46753</v>
      </c>
      <c r="C6" s="8" t="s">
        <v>5</v>
      </c>
      <c r="D6" s="7">
        <v>5227.17</v>
      </c>
      <c r="E6" s="7">
        <v>5227.17</v>
      </c>
      <c r="F6" s="7">
        <v>5227.17</v>
      </c>
      <c r="G6" s="7">
        <v>5227.17</v>
      </c>
      <c r="H6" s="7">
        <v>5227.17</v>
      </c>
      <c r="I6" s="7">
        <v>5227.17</v>
      </c>
      <c r="J6" s="7">
        <v>5227.17</v>
      </c>
      <c r="K6" s="7">
        <v>5227.17</v>
      </c>
      <c r="L6" s="7">
        <v>5227.17</v>
      </c>
      <c r="M6" s="7">
        <v>5227.17</v>
      </c>
      <c r="N6" s="7">
        <v>5227.17</v>
      </c>
      <c r="O6" s="7">
        <v>5227.17</v>
      </c>
      <c r="P6" s="7">
        <v>5227.17</v>
      </c>
      <c r="Q6" s="7">
        <v>5227.17</v>
      </c>
      <c r="R6" s="7">
        <v>5227.17</v>
      </c>
      <c r="S6" s="7">
        <v>5227.17</v>
      </c>
      <c r="T6" s="7">
        <v>5227.17</v>
      </c>
      <c r="U6" s="7">
        <v>5227.17</v>
      </c>
      <c r="V6" s="7">
        <v>5227.17</v>
      </c>
      <c r="W6" s="7">
        <v>5227.17</v>
      </c>
      <c r="X6" s="7">
        <v>5227.17</v>
      </c>
      <c r="Y6" s="7">
        <v>5227.17</v>
      </c>
      <c r="Z6" s="7">
        <v>5227.17</v>
      </c>
      <c r="AA6" s="11">
        <v>5227.17</v>
      </c>
      <c r="AB6" s="5">
        <f t="shared" ref="AB6:AB53" si="0">(SUM(D6:AA6))</f>
        <v>125452.07999999997</v>
      </c>
      <c r="AC6" s="5">
        <v>20</v>
      </c>
      <c r="AD6" s="50">
        <f>(AB6*AC6)+(AB7*AC7)+(AB8*AC8)+(AB9*AC9)</f>
        <v>3889014.4799999995</v>
      </c>
      <c r="AE6" s="83">
        <f>+AD6</f>
        <v>3889014.4799999995</v>
      </c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</row>
    <row r="7" spans="2:60">
      <c r="B7" s="48"/>
      <c r="C7" s="1" t="s">
        <v>6</v>
      </c>
      <c r="D7" s="2">
        <v>5227.17</v>
      </c>
      <c r="E7" s="2">
        <v>5227.17</v>
      </c>
      <c r="F7" s="2">
        <v>5227.17</v>
      </c>
      <c r="G7" s="2">
        <v>5227.17</v>
      </c>
      <c r="H7" s="2">
        <v>5227.17</v>
      </c>
      <c r="I7" s="2">
        <v>5227.17</v>
      </c>
      <c r="J7" s="2">
        <v>5227.17</v>
      </c>
      <c r="K7" s="2">
        <v>5227.17</v>
      </c>
      <c r="L7" s="2">
        <v>5227.17</v>
      </c>
      <c r="M7" s="2">
        <v>5227.17</v>
      </c>
      <c r="N7" s="2">
        <v>5227.17</v>
      </c>
      <c r="O7" s="2">
        <v>5227.17</v>
      </c>
      <c r="P7" s="2">
        <v>5227.17</v>
      </c>
      <c r="Q7" s="2">
        <v>5227.17</v>
      </c>
      <c r="R7" s="2">
        <v>5227.17</v>
      </c>
      <c r="S7" s="2">
        <v>5227.17</v>
      </c>
      <c r="T7" s="2">
        <v>5227.17</v>
      </c>
      <c r="U7" s="2">
        <v>5227.17</v>
      </c>
      <c r="V7" s="2">
        <v>5227.17</v>
      </c>
      <c r="W7" s="2">
        <v>5227.17</v>
      </c>
      <c r="X7" s="2">
        <v>5227.17</v>
      </c>
      <c r="Y7" s="2">
        <v>5227.17</v>
      </c>
      <c r="Z7" s="2">
        <v>5227.17</v>
      </c>
      <c r="AA7" s="12">
        <v>5227.17</v>
      </c>
      <c r="AB7" s="3">
        <f t="shared" si="0"/>
        <v>125452.07999999997</v>
      </c>
      <c r="AC7" s="3">
        <v>4</v>
      </c>
      <c r="AD7" s="51"/>
      <c r="AE7" s="83">
        <f>+AD10</f>
        <v>3638110.3199999989</v>
      </c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</row>
    <row r="8" spans="2:60">
      <c r="B8" s="48"/>
      <c r="C8" s="1" t="s">
        <v>7</v>
      </c>
      <c r="D8" s="2">
        <v>5227.17</v>
      </c>
      <c r="E8" s="2">
        <v>5227.17</v>
      </c>
      <c r="F8" s="2">
        <v>5227.17</v>
      </c>
      <c r="G8" s="2">
        <v>5227.17</v>
      </c>
      <c r="H8" s="2">
        <v>5227.17</v>
      </c>
      <c r="I8" s="2">
        <v>5227.17</v>
      </c>
      <c r="J8" s="2">
        <v>5227.17</v>
      </c>
      <c r="K8" s="2">
        <v>5227.17</v>
      </c>
      <c r="L8" s="2">
        <v>5227.17</v>
      </c>
      <c r="M8" s="2">
        <v>5227.17</v>
      </c>
      <c r="N8" s="2">
        <v>5227.17</v>
      </c>
      <c r="O8" s="2">
        <v>5227.17</v>
      </c>
      <c r="P8" s="2">
        <v>5227.17</v>
      </c>
      <c r="Q8" s="2">
        <v>5227.17</v>
      </c>
      <c r="R8" s="2">
        <v>5227.17</v>
      </c>
      <c r="S8" s="2">
        <v>5227.17</v>
      </c>
      <c r="T8" s="2">
        <v>5227.17</v>
      </c>
      <c r="U8" s="2">
        <v>5227.17</v>
      </c>
      <c r="V8" s="2">
        <v>5227.17</v>
      </c>
      <c r="W8" s="2">
        <v>5227.17</v>
      </c>
      <c r="X8" s="2">
        <v>5227.17</v>
      </c>
      <c r="Y8" s="2">
        <v>5227.17</v>
      </c>
      <c r="Z8" s="2">
        <v>5227.17</v>
      </c>
      <c r="AA8" s="12">
        <v>5227.17</v>
      </c>
      <c r="AB8" s="3">
        <f t="shared" si="0"/>
        <v>125452.07999999997</v>
      </c>
      <c r="AC8" s="3">
        <v>5</v>
      </c>
      <c r="AD8" s="51"/>
      <c r="AE8" s="83">
        <f>+AD14</f>
        <v>3889014.4799999991</v>
      </c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</row>
    <row r="9" spans="2:60" ht="15" thickBot="1">
      <c r="B9" s="49"/>
      <c r="C9" s="9" t="s">
        <v>8</v>
      </c>
      <c r="D9" s="10">
        <v>5227.17</v>
      </c>
      <c r="E9" s="10">
        <v>5227.17</v>
      </c>
      <c r="F9" s="10">
        <v>5227.17</v>
      </c>
      <c r="G9" s="10">
        <v>5227.17</v>
      </c>
      <c r="H9" s="10">
        <v>5227.17</v>
      </c>
      <c r="I9" s="10">
        <v>5227.17</v>
      </c>
      <c r="J9" s="10">
        <v>5227.17</v>
      </c>
      <c r="K9" s="10">
        <v>5227.17</v>
      </c>
      <c r="L9" s="10">
        <v>5227.17</v>
      </c>
      <c r="M9" s="10">
        <v>5227.17</v>
      </c>
      <c r="N9" s="10">
        <v>5227.17</v>
      </c>
      <c r="O9" s="10">
        <v>5227.17</v>
      </c>
      <c r="P9" s="10">
        <v>5227.17</v>
      </c>
      <c r="Q9" s="10">
        <v>5227.17</v>
      </c>
      <c r="R9" s="10">
        <v>5227.17</v>
      </c>
      <c r="S9" s="10">
        <v>5227.17</v>
      </c>
      <c r="T9" s="10">
        <v>5227.17</v>
      </c>
      <c r="U9" s="10">
        <v>5227.17</v>
      </c>
      <c r="V9" s="10">
        <v>5227.17</v>
      </c>
      <c r="W9" s="10">
        <v>5227.17</v>
      </c>
      <c r="X9" s="10">
        <v>5227.17</v>
      </c>
      <c r="Y9" s="10">
        <v>5227.17</v>
      </c>
      <c r="Z9" s="10">
        <v>5227.17</v>
      </c>
      <c r="AA9" s="13">
        <v>5227.17</v>
      </c>
      <c r="AB9" s="6">
        <f t="shared" si="0"/>
        <v>125452.07999999997</v>
      </c>
      <c r="AC9" s="6">
        <v>2</v>
      </c>
      <c r="AD9" s="52"/>
      <c r="AE9" s="83">
        <f>+AD18</f>
        <v>3763562.3999999994</v>
      </c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</row>
    <row r="10" spans="2:60">
      <c r="B10" s="47">
        <v>46784</v>
      </c>
      <c r="C10" s="8" t="s">
        <v>5</v>
      </c>
      <c r="D10" s="7">
        <v>5227.17</v>
      </c>
      <c r="E10" s="7">
        <v>5227.17</v>
      </c>
      <c r="F10" s="7">
        <v>5227.17</v>
      </c>
      <c r="G10" s="7">
        <v>5227.17</v>
      </c>
      <c r="H10" s="7">
        <v>5227.17</v>
      </c>
      <c r="I10" s="7">
        <v>5227.17</v>
      </c>
      <c r="J10" s="7">
        <v>5227.17</v>
      </c>
      <c r="K10" s="7">
        <v>5227.17</v>
      </c>
      <c r="L10" s="7">
        <v>5227.17</v>
      </c>
      <c r="M10" s="7">
        <v>5227.17</v>
      </c>
      <c r="N10" s="7">
        <v>5227.17</v>
      </c>
      <c r="O10" s="7">
        <v>5227.17</v>
      </c>
      <c r="P10" s="7">
        <v>5227.17</v>
      </c>
      <c r="Q10" s="7">
        <v>5227.17</v>
      </c>
      <c r="R10" s="7">
        <v>5227.17</v>
      </c>
      <c r="S10" s="7">
        <v>5227.17</v>
      </c>
      <c r="T10" s="7">
        <v>5227.17</v>
      </c>
      <c r="U10" s="7">
        <v>5227.17</v>
      </c>
      <c r="V10" s="7">
        <v>5227.17</v>
      </c>
      <c r="W10" s="7">
        <v>5227.17</v>
      </c>
      <c r="X10" s="7">
        <v>5227.17</v>
      </c>
      <c r="Y10" s="7">
        <v>5227.17</v>
      </c>
      <c r="Z10" s="7">
        <v>5227.17</v>
      </c>
      <c r="AA10" s="11">
        <v>5227.17</v>
      </c>
      <c r="AB10" s="5">
        <f t="shared" si="0"/>
        <v>125452.07999999997</v>
      </c>
      <c r="AC10" s="5">
        <v>21</v>
      </c>
      <c r="AD10" s="50">
        <f>(AB10*AC10)+(AB11*AC11)+(AB12*AC12)+(AB13*AC13)</f>
        <v>3638110.3199999989</v>
      </c>
      <c r="AE10" s="83">
        <f>+AD22</f>
        <v>3889014.4799999991</v>
      </c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</row>
    <row r="11" spans="2:60">
      <c r="B11" s="48"/>
      <c r="C11" s="1" t="s">
        <v>6</v>
      </c>
      <c r="D11" s="2">
        <v>5227.17</v>
      </c>
      <c r="E11" s="2">
        <v>5227.17</v>
      </c>
      <c r="F11" s="2">
        <v>5227.17</v>
      </c>
      <c r="G11" s="2">
        <v>5227.17</v>
      </c>
      <c r="H11" s="2">
        <v>5227.17</v>
      </c>
      <c r="I11" s="2">
        <v>5227.17</v>
      </c>
      <c r="J11" s="2">
        <v>5227.17</v>
      </c>
      <c r="K11" s="2">
        <v>5227.17</v>
      </c>
      <c r="L11" s="2">
        <v>5227.17</v>
      </c>
      <c r="M11" s="2">
        <v>5227.17</v>
      </c>
      <c r="N11" s="2">
        <v>5227.17</v>
      </c>
      <c r="O11" s="2">
        <v>5227.17</v>
      </c>
      <c r="P11" s="2">
        <v>5227.17</v>
      </c>
      <c r="Q11" s="2">
        <v>5227.17</v>
      </c>
      <c r="R11" s="2">
        <v>5227.17</v>
      </c>
      <c r="S11" s="2">
        <v>5227.17</v>
      </c>
      <c r="T11" s="2">
        <v>5227.17</v>
      </c>
      <c r="U11" s="2">
        <v>5227.17</v>
      </c>
      <c r="V11" s="2">
        <v>5227.17</v>
      </c>
      <c r="W11" s="2">
        <v>5227.17</v>
      </c>
      <c r="X11" s="2">
        <v>5227.17</v>
      </c>
      <c r="Y11" s="2">
        <v>5227.17</v>
      </c>
      <c r="Z11" s="2">
        <v>5227.17</v>
      </c>
      <c r="AA11" s="12">
        <v>5227.17</v>
      </c>
      <c r="AB11" s="3">
        <f t="shared" si="0"/>
        <v>125452.07999999997</v>
      </c>
      <c r="AC11" s="3">
        <v>4</v>
      </c>
      <c r="AD11" s="51"/>
      <c r="AE11" s="83">
        <f>+AD26</f>
        <v>3763562.3999999994</v>
      </c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</row>
    <row r="12" spans="2:60">
      <c r="B12" s="48"/>
      <c r="C12" s="1" t="s">
        <v>7</v>
      </c>
      <c r="D12" s="2">
        <v>5227.17</v>
      </c>
      <c r="E12" s="2">
        <v>5227.17</v>
      </c>
      <c r="F12" s="2">
        <v>5227.17</v>
      </c>
      <c r="G12" s="2">
        <v>5227.17</v>
      </c>
      <c r="H12" s="2">
        <v>5227.17</v>
      </c>
      <c r="I12" s="2">
        <v>5227.17</v>
      </c>
      <c r="J12" s="2">
        <v>5227.17</v>
      </c>
      <c r="K12" s="2">
        <v>5227.17</v>
      </c>
      <c r="L12" s="2">
        <v>5227.17</v>
      </c>
      <c r="M12" s="2">
        <v>5227.17</v>
      </c>
      <c r="N12" s="2">
        <v>5227.17</v>
      </c>
      <c r="O12" s="2">
        <v>5227.17</v>
      </c>
      <c r="P12" s="2">
        <v>5227.17</v>
      </c>
      <c r="Q12" s="2">
        <v>5227.17</v>
      </c>
      <c r="R12" s="2">
        <v>5227.17</v>
      </c>
      <c r="S12" s="2">
        <v>5227.17</v>
      </c>
      <c r="T12" s="2">
        <v>5227.17</v>
      </c>
      <c r="U12" s="2">
        <v>5227.17</v>
      </c>
      <c r="V12" s="2">
        <v>5227.17</v>
      </c>
      <c r="W12" s="2">
        <v>5227.17</v>
      </c>
      <c r="X12" s="2">
        <v>5227.17</v>
      </c>
      <c r="Y12" s="2">
        <v>5227.17</v>
      </c>
      <c r="Z12" s="2">
        <v>5227.17</v>
      </c>
      <c r="AA12" s="12">
        <v>5227.17</v>
      </c>
      <c r="AB12" s="3">
        <f t="shared" si="0"/>
        <v>125452.07999999997</v>
      </c>
      <c r="AC12" s="3">
        <v>4</v>
      </c>
      <c r="AD12" s="51"/>
      <c r="AE12" s="83">
        <f>+AD30</f>
        <v>3889014.4799999995</v>
      </c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</row>
    <row r="13" spans="2:60" ht="15" thickBot="1">
      <c r="B13" s="49"/>
      <c r="C13" s="9" t="s">
        <v>8</v>
      </c>
      <c r="D13" s="10">
        <v>5227.17</v>
      </c>
      <c r="E13" s="10">
        <v>5227.17</v>
      </c>
      <c r="F13" s="10">
        <v>5227.17</v>
      </c>
      <c r="G13" s="10">
        <v>5227.17</v>
      </c>
      <c r="H13" s="10">
        <v>5227.17</v>
      </c>
      <c r="I13" s="10">
        <v>5227.17</v>
      </c>
      <c r="J13" s="10">
        <v>5227.17</v>
      </c>
      <c r="K13" s="10">
        <v>5227.17</v>
      </c>
      <c r="L13" s="10">
        <v>5227.17</v>
      </c>
      <c r="M13" s="10">
        <v>5227.17</v>
      </c>
      <c r="N13" s="10">
        <v>5227.17</v>
      </c>
      <c r="O13" s="10">
        <v>5227.17</v>
      </c>
      <c r="P13" s="10">
        <v>5227.17</v>
      </c>
      <c r="Q13" s="10">
        <v>5227.17</v>
      </c>
      <c r="R13" s="10">
        <v>5227.17</v>
      </c>
      <c r="S13" s="10">
        <v>5227.17</v>
      </c>
      <c r="T13" s="10">
        <v>5227.17</v>
      </c>
      <c r="U13" s="10">
        <v>5227.17</v>
      </c>
      <c r="V13" s="10">
        <v>5227.17</v>
      </c>
      <c r="W13" s="10">
        <v>5227.17</v>
      </c>
      <c r="X13" s="10">
        <v>5227.17</v>
      </c>
      <c r="Y13" s="10">
        <v>5227.17</v>
      </c>
      <c r="Z13" s="10">
        <v>5227.17</v>
      </c>
      <c r="AA13" s="13">
        <v>5227.17</v>
      </c>
      <c r="AB13" s="6">
        <f t="shared" si="0"/>
        <v>125452.07999999997</v>
      </c>
      <c r="AC13" s="6">
        <v>0</v>
      </c>
      <c r="AD13" s="52"/>
      <c r="AE13" s="83">
        <f>+AD34</f>
        <v>3889014.4799999991</v>
      </c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</row>
    <row r="14" spans="2:60">
      <c r="B14" s="47">
        <v>46813</v>
      </c>
      <c r="C14" s="8" t="s">
        <v>5</v>
      </c>
      <c r="D14" s="7">
        <v>5227.17</v>
      </c>
      <c r="E14" s="7">
        <v>5227.17</v>
      </c>
      <c r="F14" s="7">
        <v>5227.17</v>
      </c>
      <c r="G14" s="7">
        <v>5227.17</v>
      </c>
      <c r="H14" s="7">
        <v>5227.17</v>
      </c>
      <c r="I14" s="7">
        <v>5227.17</v>
      </c>
      <c r="J14" s="7">
        <v>5227.17</v>
      </c>
      <c r="K14" s="7">
        <v>5227.17</v>
      </c>
      <c r="L14" s="7">
        <v>5227.17</v>
      </c>
      <c r="M14" s="7">
        <v>5227.17</v>
      </c>
      <c r="N14" s="7">
        <v>5227.17</v>
      </c>
      <c r="O14" s="7">
        <v>5227.17</v>
      </c>
      <c r="P14" s="7">
        <v>5227.17</v>
      </c>
      <c r="Q14" s="7">
        <v>5227.17</v>
      </c>
      <c r="R14" s="7">
        <v>5227.17</v>
      </c>
      <c r="S14" s="7">
        <v>5227.17</v>
      </c>
      <c r="T14" s="7">
        <v>5227.17</v>
      </c>
      <c r="U14" s="7">
        <v>5227.17</v>
      </c>
      <c r="V14" s="7">
        <v>5227.17</v>
      </c>
      <c r="W14" s="7">
        <v>5227.17</v>
      </c>
      <c r="X14" s="7">
        <v>5227.17</v>
      </c>
      <c r="Y14" s="7">
        <v>5227.17</v>
      </c>
      <c r="Z14" s="7">
        <v>5227.17</v>
      </c>
      <c r="AA14" s="11">
        <v>5227.17</v>
      </c>
      <c r="AB14" s="5">
        <f t="shared" si="0"/>
        <v>125452.07999999997</v>
      </c>
      <c r="AC14" s="5">
        <v>22</v>
      </c>
      <c r="AD14" s="50">
        <f>(AB14*AC14)+(AB15*AC15)+(AB16*AC16)+(AB17*AC17)</f>
        <v>3889014.4799999991</v>
      </c>
      <c r="AE14" s="83">
        <f>+AD38</f>
        <v>3763562.399999999</v>
      </c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</row>
    <row r="15" spans="2:60">
      <c r="B15" s="48"/>
      <c r="C15" s="1" t="s">
        <v>6</v>
      </c>
      <c r="D15" s="2">
        <v>5227.17</v>
      </c>
      <c r="E15" s="2">
        <v>5227.17</v>
      </c>
      <c r="F15" s="2">
        <v>5227.17</v>
      </c>
      <c r="G15" s="2">
        <v>5227.17</v>
      </c>
      <c r="H15" s="2">
        <v>5227.17</v>
      </c>
      <c r="I15" s="2">
        <v>5227.17</v>
      </c>
      <c r="J15" s="2">
        <v>5227.17</v>
      </c>
      <c r="K15" s="2">
        <v>5227.17</v>
      </c>
      <c r="L15" s="2">
        <v>5227.17</v>
      </c>
      <c r="M15" s="2">
        <v>5227.17</v>
      </c>
      <c r="N15" s="2">
        <v>5227.17</v>
      </c>
      <c r="O15" s="2">
        <v>5227.17</v>
      </c>
      <c r="P15" s="2">
        <v>5227.17</v>
      </c>
      <c r="Q15" s="2">
        <v>5227.17</v>
      </c>
      <c r="R15" s="2">
        <v>5227.17</v>
      </c>
      <c r="S15" s="2">
        <v>5227.17</v>
      </c>
      <c r="T15" s="2">
        <v>5227.17</v>
      </c>
      <c r="U15" s="2">
        <v>5227.17</v>
      </c>
      <c r="V15" s="2">
        <v>5227.17</v>
      </c>
      <c r="W15" s="2">
        <v>5227.17</v>
      </c>
      <c r="X15" s="2">
        <v>5227.17</v>
      </c>
      <c r="Y15" s="2">
        <v>5227.17</v>
      </c>
      <c r="Z15" s="2">
        <v>5227.17</v>
      </c>
      <c r="AA15" s="12">
        <v>5227.17</v>
      </c>
      <c r="AB15" s="3">
        <f t="shared" si="0"/>
        <v>125452.07999999997</v>
      </c>
      <c r="AC15" s="3">
        <v>4</v>
      </c>
      <c r="AD15" s="51"/>
      <c r="AE15" s="83">
        <f>+AD42</f>
        <v>3889014.4799999991</v>
      </c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</row>
    <row r="16" spans="2:60">
      <c r="B16" s="48"/>
      <c r="C16" s="1" t="s">
        <v>7</v>
      </c>
      <c r="D16" s="2">
        <v>5227.17</v>
      </c>
      <c r="E16" s="2">
        <v>5227.17</v>
      </c>
      <c r="F16" s="2">
        <v>5227.17</v>
      </c>
      <c r="G16" s="2">
        <v>5227.17</v>
      </c>
      <c r="H16" s="2">
        <v>5227.17</v>
      </c>
      <c r="I16" s="2">
        <v>5227.17</v>
      </c>
      <c r="J16" s="2">
        <v>5227.17</v>
      </c>
      <c r="K16" s="2">
        <v>5227.17</v>
      </c>
      <c r="L16" s="2">
        <v>5227.17</v>
      </c>
      <c r="M16" s="2">
        <v>5227.17</v>
      </c>
      <c r="N16" s="2">
        <v>5227.17</v>
      </c>
      <c r="O16" s="2">
        <v>5227.17</v>
      </c>
      <c r="P16" s="2">
        <v>5227.17</v>
      </c>
      <c r="Q16" s="2">
        <v>5227.17</v>
      </c>
      <c r="R16" s="2">
        <v>5227.17</v>
      </c>
      <c r="S16" s="2">
        <v>5227.17</v>
      </c>
      <c r="T16" s="2">
        <v>5227.17</v>
      </c>
      <c r="U16" s="2">
        <v>5227.17</v>
      </c>
      <c r="V16" s="2">
        <v>5227.17</v>
      </c>
      <c r="W16" s="2">
        <v>5227.17</v>
      </c>
      <c r="X16" s="2">
        <v>5227.17</v>
      </c>
      <c r="Y16" s="2">
        <v>5227.17</v>
      </c>
      <c r="Z16" s="2">
        <v>5227.17</v>
      </c>
      <c r="AA16" s="12">
        <v>5227.17</v>
      </c>
      <c r="AB16" s="3">
        <f t="shared" si="0"/>
        <v>125452.07999999997</v>
      </c>
      <c r="AC16" s="3">
        <v>4</v>
      </c>
      <c r="AD16" s="51"/>
      <c r="AE16" s="83">
        <f>+AD46</f>
        <v>3763562.3999999994</v>
      </c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</row>
    <row r="17" spans="2:60" ht="15" thickBot="1">
      <c r="B17" s="49"/>
      <c r="C17" s="9" t="s">
        <v>8</v>
      </c>
      <c r="D17" s="10">
        <v>5227.17</v>
      </c>
      <c r="E17" s="10">
        <v>5227.17</v>
      </c>
      <c r="F17" s="10">
        <v>5227.17</v>
      </c>
      <c r="G17" s="10">
        <v>5227.17</v>
      </c>
      <c r="H17" s="10">
        <v>5227.17</v>
      </c>
      <c r="I17" s="10">
        <v>5227.17</v>
      </c>
      <c r="J17" s="10">
        <v>5227.17</v>
      </c>
      <c r="K17" s="10">
        <v>5227.17</v>
      </c>
      <c r="L17" s="10">
        <v>5227.17</v>
      </c>
      <c r="M17" s="10">
        <v>5227.17</v>
      </c>
      <c r="N17" s="10">
        <v>5227.17</v>
      </c>
      <c r="O17" s="10">
        <v>5227.17</v>
      </c>
      <c r="P17" s="10">
        <v>5227.17</v>
      </c>
      <c r="Q17" s="10">
        <v>5227.17</v>
      </c>
      <c r="R17" s="10">
        <v>5227.17</v>
      </c>
      <c r="S17" s="10">
        <v>5227.17</v>
      </c>
      <c r="T17" s="10">
        <v>5227.17</v>
      </c>
      <c r="U17" s="10">
        <v>5227.17</v>
      </c>
      <c r="V17" s="10">
        <v>5227.17</v>
      </c>
      <c r="W17" s="10">
        <v>5227.17</v>
      </c>
      <c r="X17" s="10">
        <v>5227.17</v>
      </c>
      <c r="Y17" s="10">
        <v>5227.17</v>
      </c>
      <c r="Z17" s="10">
        <v>5227.17</v>
      </c>
      <c r="AA17" s="13">
        <v>5227.17</v>
      </c>
      <c r="AB17" s="6">
        <f t="shared" si="0"/>
        <v>125452.07999999997</v>
      </c>
      <c r="AC17" s="6">
        <v>1</v>
      </c>
      <c r="AD17" s="52"/>
      <c r="AE17" s="83">
        <f>+AD50</f>
        <v>3889014.4799999995</v>
      </c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</row>
    <row r="18" spans="2:60">
      <c r="B18" s="47">
        <v>46844</v>
      </c>
      <c r="C18" s="8" t="s">
        <v>5</v>
      </c>
      <c r="D18" s="7">
        <v>5227.17</v>
      </c>
      <c r="E18" s="7">
        <v>5227.17</v>
      </c>
      <c r="F18" s="7">
        <v>5227.17</v>
      </c>
      <c r="G18" s="7">
        <v>5227.17</v>
      </c>
      <c r="H18" s="7">
        <v>5227.17</v>
      </c>
      <c r="I18" s="7">
        <v>5227.17</v>
      </c>
      <c r="J18" s="7">
        <v>5227.17</v>
      </c>
      <c r="K18" s="7">
        <v>5227.17</v>
      </c>
      <c r="L18" s="7">
        <v>5227.17</v>
      </c>
      <c r="M18" s="7">
        <v>5227.17</v>
      </c>
      <c r="N18" s="7">
        <v>5227.17</v>
      </c>
      <c r="O18" s="7">
        <v>5227.17</v>
      </c>
      <c r="P18" s="7">
        <v>5227.17</v>
      </c>
      <c r="Q18" s="7">
        <v>5227.17</v>
      </c>
      <c r="R18" s="7">
        <v>5227.17</v>
      </c>
      <c r="S18" s="7">
        <v>5227.17</v>
      </c>
      <c r="T18" s="7">
        <v>5227.17</v>
      </c>
      <c r="U18" s="7">
        <v>5227.17</v>
      </c>
      <c r="V18" s="7">
        <v>5227.17</v>
      </c>
      <c r="W18" s="7">
        <v>5227.17</v>
      </c>
      <c r="X18" s="7">
        <v>5227.17</v>
      </c>
      <c r="Y18" s="7">
        <v>5227.17</v>
      </c>
      <c r="Z18" s="7">
        <v>5227.17</v>
      </c>
      <c r="AA18" s="11">
        <v>5227.17</v>
      </c>
      <c r="AB18" s="5">
        <f t="shared" si="0"/>
        <v>125452.07999999997</v>
      </c>
      <c r="AC18" s="5">
        <v>18</v>
      </c>
      <c r="AD18" s="50">
        <f>(AB18*AC18)+(AB19*AC19)+(AB20*AC20)+(AB21*AC21)</f>
        <v>3763562.3999999994</v>
      </c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</row>
    <row r="19" spans="2:60">
      <c r="B19" s="48"/>
      <c r="C19" s="1" t="s">
        <v>6</v>
      </c>
      <c r="D19" s="2">
        <v>5227.17</v>
      </c>
      <c r="E19" s="2">
        <v>5227.17</v>
      </c>
      <c r="F19" s="2">
        <v>5227.17</v>
      </c>
      <c r="G19" s="2">
        <v>5227.17</v>
      </c>
      <c r="H19" s="2">
        <v>5227.17</v>
      </c>
      <c r="I19" s="2">
        <v>5227.17</v>
      </c>
      <c r="J19" s="2">
        <v>5227.17</v>
      </c>
      <c r="K19" s="2">
        <v>5227.17</v>
      </c>
      <c r="L19" s="2">
        <v>5227.17</v>
      </c>
      <c r="M19" s="2">
        <v>5227.17</v>
      </c>
      <c r="N19" s="2">
        <v>5227.17</v>
      </c>
      <c r="O19" s="2">
        <v>5227.17</v>
      </c>
      <c r="P19" s="2">
        <v>5227.17</v>
      </c>
      <c r="Q19" s="2">
        <v>5227.17</v>
      </c>
      <c r="R19" s="2">
        <v>5227.17</v>
      </c>
      <c r="S19" s="2">
        <v>5227.17</v>
      </c>
      <c r="T19" s="2">
        <v>5227.17</v>
      </c>
      <c r="U19" s="2">
        <v>5227.17</v>
      </c>
      <c r="V19" s="2">
        <v>5227.17</v>
      </c>
      <c r="W19" s="2">
        <v>5227.17</v>
      </c>
      <c r="X19" s="2">
        <v>5227.17</v>
      </c>
      <c r="Y19" s="2">
        <v>5227.17</v>
      </c>
      <c r="Z19" s="2">
        <v>5227.17</v>
      </c>
      <c r="AA19" s="12">
        <v>5227.17</v>
      </c>
      <c r="AB19" s="3">
        <f t="shared" si="0"/>
        <v>125452.07999999997</v>
      </c>
      <c r="AC19" s="3">
        <v>5</v>
      </c>
      <c r="AD19" s="51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</row>
    <row r="20" spans="2:60">
      <c r="B20" s="48"/>
      <c r="C20" s="1" t="s">
        <v>7</v>
      </c>
      <c r="D20" s="2">
        <v>5227.17</v>
      </c>
      <c r="E20" s="2">
        <v>5227.17</v>
      </c>
      <c r="F20" s="2">
        <v>5227.17</v>
      </c>
      <c r="G20" s="2">
        <v>5227.17</v>
      </c>
      <c r="H20" s="2">
        <v>5227.17</v>
      </c>
      <c r="I20" s="2">
        <v>5227.17</v>
      </c>
      <c r="J20" s="2">
        <v>5227.17</v>
      </c>
      <c r="K20" s="2">
        <v>5227.17</v>
      </c>
      <c r="L20" s="2">
        <v>5227.17</v>
      </c>
      <c r="M20" s="2">
        <v>5227.17</v>
      </c>
      <c r="N20" s="2">
        <v>5227.17</v>
      </c>
      <c r="O20" s="2">
        <v>5227.17</v>
      </c>
      <c r="P20" s="2">
        <v>5227.17</v>
      </c>
      <c r="Q20" s="2">
        <v>5227.17</v>
      </c>
      <c r="R20" s="2">
        <v>5227.17</v>
      </c>
      <c r="S20" s="2">
        <v>5227.17</v>
      </c>
      <c r="T20" s="2">
        <v>5227.17</v>
      </c>
      <c r="U20" s="2">
        <v>5227.17</v>
      </c>
      <c r="V20" s="2">
        <v>5227.17</v>
      </c>
      <c r="W20" s="2">
        <v>5227.17</v>
      </c>
      <c r="X20" s="2">
        <v>5227.17</v>
      </c>
      <c r="Y20" s="2">
        <v>5227.17</v>
      </c>
      <c r="Z20" s="2">
        <v>5227.17</v>
      </c>
      <c r="AA20" s="12">
        <v>5227.17</v>
      </c>
      <c r="AB20" s="3">
        <f t="shared" si="0"/>
        <v>125452.07999999997</v>
      </c>
      <c r="AC20" s="3">
        <v>5</v>
      </c>
      <c r="AD20" s="51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</row>
    <row r="21" spans="2:60" ht="15" thickBot="1">
      <c r="B21" s="49"/>
      <c r="C21" s="9" t="s">
        <v>8</v>
      </c>
      <c r="D21" s="10">
        <v>5227.17</v>
      </c>
      <c r="E21" s="10">
        <v>5227.17</v>
      </c>
      <c r="F21" s="10">
        <v>5227.17</v>
      </c>
      <c r="G21" s="10">
        <v>5227.17</v>
      </c>
      <c r="H21" s="10">
        <v>5227.17</v>
      </c>
      <c r="I21" s="10">
        <v>5227.17</v>
      </c>
      <c r="J21" s="10">
        <v>5227.17</v>
      </c>
      <c r="K21" s="10">
        <v>5227.17</v>
      </c>
      <c r="L21" s="10">
        <v>5227.17</v>
      </c>
      <c r="M21" s="10">
        <v>5227.17</v>
      </c>
      <c r="N21" s="10">
        <v>5227.17</v>
      </c>
      <c r="O21" s="10">
        <v>5227.17</v>
      </c>
      <c r="P21" s="10">
        <v>5227.17</v>
      </c>
      <c r="Q21" s="10">
        <v>5227.17</v>
      </c>
      <c r="R21" s="10">
        <v>5227.17</v>
      </c>
      <c r="S21" s="10">
        <v>5227.17</v>
      </c>
      <c r="T21" s="10">
        <v>5227.17</v>
      </c>
      <c r="U21" s="10">
        <v>5227.17</v>
      </c>
      <c r="V21" s="10">
        <v>5227.17</v>
      </c>
      <c r="W21" s="10">
        <v>5227.17</v>
      </c>
      <c r="X21" s="10">
        <v>5227.17</v>
      </c>
      <c r="Y21" s="10">
        <v>5227.17</v>
      </c>
      <c r="Z21" s="10">
        <v>5227.17</v>
      </c>
      <c r="AA21" s="13">
        <v>5227.17</v>
      </c>
      <c r="AB21" s="6">
        <f t="shared" si="0"/>
        <v>125452.07999999997</v>
      </c>
      <c r="AC21" s="6">
        <v>2</v>
      </c>
      <c r="AD21" s="52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</row>
    <row r="22" spans="2:60">
      <c r="B22" s="47">
        <v>46874</v>
      </c>
      <c r="C22" s="8" t="s">
        <v>5</v>
      </c>
      <c r="D22" s="7">
        <v>5227.17</v>
      </c>
      <c r="E22" s="7">
        <v>5227.17</v>
      </c>
      <c r="F22" s="7">
        <v>5227.17</v>
      </c>
      <c r="G22" s="7">
        <v>5227.17</v>
      </c>
      <c r="H22" s="7">
        <v>5227.17</v>
      </c>
      <c r="I22" s="7">
        <v>5227.17</v>
      </c>
      <c r="J22" s="7">
        <v>5227.17</v>
      </c>
      <c r="K22" s="7">
        <v>5227.17</v>
      </c>
      <c r="L22" s="7">
        <v>5227.17</v>
      </c>
      <c r="M22" s="7">
        <v>5227.17</v>
      </c>
      <c r="N22" s="7">
        <v>5227.17</v>
      </c>
      <c r="O22" s="7">
        <v>5227.17</v>
      </c>
      <c r="P22" s="7">
        <v>5227.17</v>
      </c>
      <c r="Q22" s="7">
        <v>5227.17</v>
      </c>
      <c r="R22" s="7">
        <v>5227.17</v>
      </c>
      <c r="S22" s="7">
        <v>5227.17</v>
      </c>
      <c r="T22" s="7">
        <v>5227.17</v>
      </c>
      <c r="U22" s="7">
        <v>5227.17</v>
      </c>
      <c r="V22" s="7">
        <v>5227.17</v>
      </c>
      <c r="W22" s="7">
        <v>5227.17</v>
      </c>
      <c r="X22" s="7">
        <v>5227.17</v>
      </c>
      <c r="Y22" s="7">
        <v>5227.17</v>
      </c>
      <c r="Z22" s="7">
        <v>5227.17</v>
      </c>
      <c r="AA22" s="11">
        <v>5227.17</v>
      </c>
      <c r="AB22" s="5">
        <f t="shared" si="0"/>
        <v>125452.07999999997</v>
      </c>
      <c r="AC22" s="5">
        <v>21</v>
      </c>
      <c r="AD22" s="50">
        <f>(AB22*AC22)+(AB23*AC23)+(AB24*AC24)+(AB25*AC25)</f>
        <v>3889014.4799999991</v>
      </c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</row>
    <row r="23" spans="2:60">
      <c r="B23" s="48"/>
      <c r="C23" s="1" t="s">
        <v>6</v>
      </c>
      <c r="D23" s="2">
        <v>5227.17</v>
      </c>
      <c r="E23" s="2">
        <v>5227.17</v>
      </c>
      <c r="F23" s="2">
        <v>5227.17</v>
      </c>
      <c r="G23" s="2">
        <v>5227.17</v>
      </c>
      <c r="H23" s="2">
        <v>5227.17</v>
      </c>
      <c r="I23" s="2">
        <v>5227.17</v>
      </c>
      <c r="J23" s="2">
        <v>5227.17</v>
      </c>
      <c r="K23" s="2">
        <v>5227.17</v>
      </c>
      <c r="L23" s="2">
        <v>5227.17</v>
      </c>
      <c r="M23" s="2">
        <v>5227.17</v>
      </c>
      <c r="N23" s="2">
        <v>5227.17</v>
      </c>
      <c r="O23" s="2">
        <v>5227.17</v>
      </c>
      <c r="P23" s="2">
        <v>5227.17</v>
      </c>
      <c r="Q23" s="2">
        <v>5227.17</v>
      </c>
      <c r="R23" s="2">
        <v>5227.17</v>
      </c>
      <c r="S23" s="2">
        <v>5227.17</v>
      </c>
      <c r="T23" s="2">
        <v>5227.17</v>
      </c>
      <c r="U23" s="2">
        <v>5227.17</v>
      </c>
      <c r="V23" s="2">
        <v>5227.17</v>
      </c>
      <c r="W23" s="2">
        <v>5227.17</v>
      </c>
      <c r="X23" s="2">
        <v>5227.17</v>
      </c>
      <c r="Y23" s="2">
        <v>5227.17</v>
      </c>
      <c r="Z23" s="2">
        <v>5227.17</v>
      </c>
      <c r="AA23" s="12">
        <v>5227.17</v>
      </c>
      <c r="AB23" s="3">
        <f t="shared" si="0"/>
        <v>125452.07999999997</v>
      </c>
      <c r="AC23" s="3">
        <v>4</v>
      </c>
      <c r="AD23" s="51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</row>
    <row r="24" spans="2:60">
      <c r="B24" s="48"/>
      <c r="C24" s="1" t="s">
        <v>7</v>
      </c>
      <c r="D24" s="2">
        <v>5227.17</v>
      </c>
      <c r="E24" s="2">
        <v>5227.17</v>
      </c>
      <c r="F24" s="2">
        <v>5227.17</v>
      </c>
      <c r="G24" s="2">
        <v>5227.17</v>
      </c>
      <c r="H24" s="2">
        <v>5227.17</v>
      </c>
      <c r="I24" s="2">
        <v>5227.17</v>
      </c>
      <c r="J24" s="2">
        <v>5227.17</v>
      </c>
      <c r="K24" s="2">
        <v>5227.17</v>
      </c>
      <c r="L24" s="2">
        <v>5227.17</v>
      </c>
      <c r="M24" s="2">
        <v>5227.17</v>
      </c>
      <c r="N24" s="2">
        <v>5227.17</v>
      </c>
      <c r="O24" s="2">
        <v>5227.17</v>
      </c>
      <c r="P24" s="2">
        <v>5227.17</v>
      </c>
      <c r="Q24" s="2">
        <v>5227.17</v>
      </c>
      <c r="R24" s="2">
        <v>5227.17</v>
      </c>
      <c r="S24" s="2">
        <v>5227.17</v>
      </c>
      <c r="T24" s="2">
        <v>5227.17</v>
      </c>
      <c r="U24" s="2">
        <v>5227.17</v>
      </c>
      <c r="V24" s="2">
        <v>5227.17</v>
      </c>
      <c r="W24" s="2">
        <v>5227.17</v>
      </c>
      <c r="X24" s="2">
        <v>5227.17</v>
      </c>
      <c r="Y24" s="2">
        <v>5227.17</v>
      </c>
      <c r="Z24" s="2">
        <v>5227.17</v>
      </c>
      <c r="AA24" s="12">
        <v>5227.17</v>
      </c>
      <c r="AB24" s="3">
        <f t="shared" si="0"/>
        <v>125452.07999999997</v>
      </c>
      <c r="AC24" s="3">
        <v>4</v>
      </c>
      <c r="AD24" s="51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</row>
    <row r="25" spans="2:60" ht="15" thickBot="1">
      <c r="B25" s="49"/>
      <c r="C25" s="9" t="s">
        <v>8</v>
      </c>
      <c r="D25" s="10">
        <v>5227.17</v>
      </c>
      <c r="E25" s="10">
        <v>5227.17</v>
      </c>
      <c r="F25" s="10">
        <v>5227.17</v>
      </c>
      <c r="G25" s="10">
        <v>5227.17</v>
      </c>
      <c r="H25" s="10">
        <v>5227.17</v>
      </c>
      <c r="I25" s="10">
        <v>5227.17</v>
      </c>
      <c r="J25" s="10">
        <v>5227.17</v>
      </c>
      <c r="K25" s="10">
        <v>5227.17</v>
      </c>
      <c r="L25" s="10">
        <v>5227.17</v>
      </c>
      <c r="M25" s="10">
        <v>5227.17</v>
      </c>
      <c r="N25" s="10">
        <v>5227.17</v>
      </c>
      <c r="O25" s="10">
        <v>5227.17</v>
      </c>
      <c r="P25" s="10">
        <v>5227.17</v>
      </c>
      <c r="Q25" s="10">
        <v>5227.17</v>
      </c>
      <c r="R25" s="10">
        <v>5227.17</v>
      </c>
      <c r="S25" s="10">
        <v>5227.17</v>
      </c>
      <c r="T25" s="10">
        <v>5227.17</v>
      </c>
      <c r="U25" s="10">
        <v>5227.17</v>
      </c>
      <c r="V25" s="10">
        <v>5227.17</v>
      </c>
      <c r="W25" s="10">
        <v>5227.17</v>
      </c>
      <c r="X25" s="10">
        <v>5227.17</v>
      </c>
      <c r="Y25" s="10">
        <v>5227.17</v>
      </c>
      <c r="Z25" s="10">
        <v>5227.17</v>
      </c>
      <c r="AA25" s="13">
        <v>5227.17</v>
      </c>
      <c r="AB25" s="6">
        <f t="shared" si="0"/>
        <v>125452.07999999997</v>
      </c>
      <c r="AC25" s="6">
        <v>2</v>
      </c>
      <c r="AD25" s="52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</row>
    <row r="26" spans="2:60">
      <c r="B26" s="47">
        <v>46905</v>
      </c>
      <c r="C26" s="8" t="s">
        <v>5</v>
      </c>
      <c r="D26" s="7">
        <v>5227.17</v>
      </c>
      <c r="E26" s="7">
        <v>5227.17</v>
      </c>
      <c r="F26" s="7">
        <v>5227.17</v>
      </c>
      <c r="G26" s="7">
        <v>5227.17</v>
      </c>
      <c r="H26" s="7">
        <v>5227.17</v>
      </c>
      <c r="I26" s="7">
        <v>5227.17</v>
      </c>
      <c r="J26" s="7">
        <v>5227.17</v>
      </c>
      <c r="K26" s="7">
        <v>5227.17</v>
      </c>
      <c r="L26" s="7">
        <v>5227.17</v>
      </c>
      <c r="M26" s="7">
        <v>5227.17</v>
      </c>
      <c r="N26" s="7">
        <v>5227.17</v>
      </c>
      <c r="O26" s="7">
        <v>5227.17</v>
      </c>
      <c r="P26" s="7">
        <v>5227.17</v>
      </c>
      <c r="Q26" s="7">
        <v>5227.17</v>
      </c>
      <c r="R26" s="7">
        <v>5227.17</v>
      </c>
      <c r="S26" s="7">
        <v>5227.17</v>
      </c>
      <c r="T26" s="7">
        <v>5227.17</v>
      </c>
      <c r="U26" s="7">
        <v>5227.17</v>
      </c>
      <c r="V26" s="7">
        <v>5227.17</v>
      </c>
      <c r="W26" s="7">
        <v>5227.17</v>
      </c>
      <c r="X26" s="7">
        <v>5227.17</v>
      </c>
      <c r="Y26" s="7">
        <v>5227.17</v>
      </c>
      <c r="Z26" s="7">
        <v>5227.17</v>
      </c>
      <c r="AA26" s="11">
        <v>5227.17</v>
      </c>
      <c r="AB26" s="5">
        <f t="shared" si="0"/>
        <v>125452.07999999997</v>
      </c>
      <c r="AC26" s="5">
        <v>20</v>
      </c>
      <c r="AD26" s="50">
        <f>(AB26*AC26)+(AB27*AC27)+(AB28*AC28)+(AB29*AC29)</f>
        <v>3763562.3999999994</v>
      </c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</row>
    <row r="27" spans="2:60">
      <c r="B27" s="48"/>
      <c r="C27" s="1" t="s">
        <v>6</v>
      </c>
      <c r="D27" s="2">
        <v>5227.17</v>
      </c>
      <c r="E27" s="2">
        <v>5227.17</v>
      </c>
      <c r="F27" s="2">
        <v>5227.17</v>
      </c>
      <c r="G27" s="2">
        <v>5227.17</v>
      </c>
      <c r="H27" s="2">
        <v>5227.17</v>
      </c>
      <c r="I27" s="2">
        <v>5227.17</v>
      </c>
      <c r="J27" s="2">
        <v>5227.17</v>
      </c>
      <c r="K27" s="2">
        <v>5227.17</v>
      </c>
      <c r="L27" s="2">
        <v>5227.17</v>
      </c>
      <c r="M27" s="2">
        <v>5227.17</v>
      </c>
      <c r="N27" s="2">
        <v>5227.17</v>
      </c>
      <c r="O27" s="2">
        <v>5227.17</v>
      </c>
      <c r="P27" s="2">
        <v>5227.17</v>
      </c>
      <c r="Q27" s="2">
        <v>5227.17</v>
      </c>
      <c r="R27" s="2">
        <v>5227.17</v>
      </c>
      <c r="S27" s="2">
        <v>5227.17</v>
      </c>
      <c r="T27" s="2">
        <v>5227.17</v>
      </c>
      <c r="U27" s="2">
        <v>5227.17</v>
      </c>
      <c r="V27" s="2">
        <v>5227.17</v>
      </c>
      <c r="W27" s="2">
        <v>5227.17</v>
      </c>
      <c r="X27" s="2">
        <v>5227.17</v>
      </c>
      <c r="Y27" s="2">
        <v>5227.17</v>
      </c>
      <c r="Z27" s="2">
        <v>5227.17</v>
      </c>
      <c r="AA27" s="12">
        <v>5227.17</v>
      </c>
      <c r="AB27" s="3">
        <f t="shared" si="0"/>
        <v>125452.07999999997</v>
      </c>
      <c r="AC27" s="3">
        <v>4</v>
      </c>
      <c r="AD27" s="51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</row>
    <row r="28" spans="2:60">
      <c r="B28" s="48"/>
      <c r="C28" s="1" t="s">
        <v>7</v>
      </c>
      <c r="D28" s="2">
        <v>5227.17</v>
      </c>
      <c r="E28" s="2">
        <v>5227.17</v>
      </c>
      <c r="F28" s="2">
        <v>5227.17</v>
      </c>
      <c r="G28" s="2">
        <v>5227.17</v>
      </c>
      <c r="H28" s="2">
        <v>5227.17</v>
      </c>
      <c r="I28" s="2">
        <v>5227.17</v>
      </c>
      <c r="J28" s="2">
        <v>5227.17</v>
      </c>
      <c r="K28" s="2">
        <v>5227.17</v>
      </c>
      <c r="L28" s="2">
        <v>5227.17</v>
      </c>
      <c r="M28" s="2">
        <v>5227.17</v>
      </c>
      <c r="N28" s="2">
        <v>5227.17</v>
      </c>
      <c r="O28" s="2">
        <v>5227.17</v>
      </c>
      <c r="P28" s="2">
        <v>5227.17</v>
      </c>
      <c r="Q28" s="2">
        <v>5227.17</v>
      </c>
      <c r="R28" s="2">
        <v>5227.17</v>
      </c>
      <c r="S28" s="2">
        <v>5227.17</v>
      </c>
      <c r="T28" s="2">
        <v>5227.17</v>
      </c>
      <c r="U28" s="2">
        <v>5227.17</v>
      </c>
      <c r="V28" s="2">
        <v>5227.17</v>
      </c>
      <c r="W28" s="2">
        <v>5227.17</v>
      </c>
      <c r="X28" s="2">
        <v>5227.17</v>
      </c>
      <c r="Y28" s="2">
        <v>5227.17</v>
      </c>
      <c r="Z28" s="2">
        <v>5227.17</v>
      </c>
      <c r="AA28" s="12">
        <v>5227.17</v>
      </c>
      <c r="AB28" s="3">
        <f t="shared" si="0"/>
        <v>125452.07999999997</v>
      </c>
      <c r="AC28" s="3">
        <v>4</v>
      </c>
      <c r="AD28" s="51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</row>
    <row r="29" spans="2:60" ht="15" thickBot="1">
      <c r="B29" s="49"/>
      <c r="C29" s="9" t="s">
        <v>8</v>
      </c>
      <c r="D29" s="10">
        <v>5227.17</v>
      </c>
      <c r="E29" s="10">
        <v>5227.17</v>
      </c>
      <c r="F29" s="10">
        <v>5227.17</v>
      </c>
      <c r="G29" s="10">
        <v>5227.17</v>
      </c>
      <c r="H29" s="10">
        <v>5227.17</v>
      </c>
      <c r="I29" s="10">
        <v>5227.17</v>
      </c>
      <c r="J29" s="10">
        <v>5227.17</v>
      </c>
      <c r="K29" s="10">
        <v>5227.17</v>
      </c>
      <c r="L29" s="10">
        <v>5227.17</v>
      </c>
      <c r="M29" s="10">
        <v>5227.17</v>
      </c>
      <c r="N29" s="10">
        <v>5227.17</v>
      </c>
      <c r="O29" s="10">
        <v>5227.17</v>
      </c>
      <c r="P29" s="10">
        <v>5227.17</v>
      </c>
      <c r="Q29" s="10">
        <v>5227.17</v>
      </c>
      <c r="R29" s="10">
        <v>5227.17</v>
      </c>
      <c r="S29" s="10">
        <v>5227.17</v>
      </c>
      <c r="T29" s="10">
        <v>5227.17</v>
      </c>
      <c r="U29" s="10">
        <v>5227.17</v>
      </c>
      <c r="V29" s="10">
        <v>5227.17</v>
      </c>
      <c r="W29" s="10">
        <v>5227.17</v>
      </c>
      <c r="X29" s="10">
        <v>5227.17</v>
      </c>
      <c r="Y29" s="10">
        <v>5227.17</v>
      </c>
      <c r="Z29" s="10">
        <v>5227.17</v>
      </c>
      <c r="AA29" s="13">
        <v>5227.17</v>
      </c>
      <c r="AB29" s="6">
        <f t="shared" si="0"/>
        <v>125452.07999999997</v>
      </c>
      <c r="AC29" s="6">
        <v>2</v>
      </c>
      <c r="AD29" s="52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</row>
    <row r="30" spans="2:60">
      <c r="B30" s="47">
        <v>46935</v>
      </c>
      <c r="C30" s="8" t="s">
        <v>5</v>
      </c>
      <c r="D30" s="7">
        <v>5227.17</v>
      </c>
      <c r="E30" s="7">
        <v>5227.17</v>
      </c>
      <c r="F30" s="7">
        <v>5227.17</v>
      </c>
      <c r="G30" s="7">
        <v>5227.17</v>
      </c>
      <c r="H30" s="7">
        <v>5227.17</v>
      </c>
      <c r="I30" s="7">
        <v>5227.17</v>
      </c>
      <c r="J30" s="7">
        <v>5227.17</v>
      </c>
      <c r="K30" s="7">
        <v>5227.17</v>
      </c>
      <c r="L30" s="7">
        <v>5227.17</v>
      </c>
      <c r="M30" s="7">
        <v>5227.17</v>
      </c>
      <c r="N30" s="7">
        <v>5227.17</v>
      </c>
      <c r="O30" s="7">
        <v>5227.17</v>
      </c>
      <c r="P30" s="7">
        <v>5227.17</v>
      </c>
      <c r="Q30" s="7">
        <v>5227.17</v>
      </c>
      <c r="R30" s="7">
        <v>5227.17</v>
      </c>
      <c r="S30" s="7">
        <v>5227.17</v>
      </c>
      <c r="T30" s="7">
        <v>5227.17</v>
      </c>
      <c r="U30" s="7">
        <v>5227.17</v>
      </c>
      <c r="V30" s="7">
        <v>5227.17</v>
      </c>
      <c r="W30" s="7">
        <v>5227.17</v>
      </c>
      <c r="X30" s="7">
        <v>5227.17</v>
      </c>
      <c r="Y30" s="7">
        <v>5227.17</v>
      </c>
      <c r="Z30" s="7">
        <v>5227.17</v>
      </c>
      <c r="AA30" s="11">
        <v>5227.17</v>
      </c>
      <c r="AB30" s="5">
        <f t="shared" si="0"/>
        <v>125452.07999999997</v>
      </c>
      <c r="AC30" s="5">
        <v>19</v>
      </c>
      <c r="AD30" s="50">
        <f>(AB30*AC30)+(AB31*AC31)+(AB32*AC32)+(AB33*AC33)</f>
        <v>3889014.4799999995</v>
      </c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</row>
    <row r="31" spans="2:60">
      <c r="B31" s="48"/>
      <c r="C31" s="1" t="s">
        <v>6</v>
      </c>
      <c r="D31" s="2">
        <v>5227.17</v>
      </c>
      <c r="E31" s="2">
        <v>5227.17</v>
      </c>
      <c r="F31" s="2">
        <v>5227.17</v>
      </c>
      <c r="G31" s="2">
        <v>5227.17</v>
      </c>
      <c r="H31" s="2">
        <v>5227.17</v>
      </c>
      <c r="I31" s="2">
        <v>5227.17</v>
      </c>
      <c r="J31" s="2">
        <v>5227.17</v>
      </c>
      <c r="K31" s="2">
        <v>5227.17</v>
      </c>
      <c r="L31" s="2">
        <v>5227.17</v>
      </c>
      <c r="M31" s="2">
        <v>5227.17</v>
      </c>
      <c r="N31" s="2">
        <v>5227.17</v>
      </c>
      <c r="O31" s="2">
        <v>5227.17</v>
      </c>
      <c r="P31" s="2">
        <v>5227.17</v>
      </c>
      <c r="Q31" s="2">
        <v>5227.17</v>
      </c>
      <c r="R31" s="2">
        <v>5227.17</v>
      </c>
      <c r="S31" s="2">
        <v>5227.17</v>
      </c>
      <c r="T31" s="2">
        <v>5227.17</v>
      </c>
      <c r="U31" s="2">
        <v>5227.17</v>
      </c>
      <c r="V31" s="2">
        <v>5227.17</v>
      </c>
      <c r="W31" s="2">
        <v>5227.17</v>
      </c>
      <c r="X31" s="2">
        <v>5227.17</v>
      </c>
      <c r="Y31" s="2">
        <v>5227.17</v>
      </c>
      <c r="Z31" s="2">
        <v>5227.17</v>
      </c>
      <c r="AA31" s="12">
        <v>5227.17</v>
      </c>
      <c r="AB31" s="3">
        <f t="shared" si="0"/>
        <v>125452.07999999997</v>
      </c>
      <c r="AC31" s="3">
        <v>5</v>
      </c>
      <c r="AD31" s="51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</row>
    <row r="32" spans="2:60">
      <c r="B32" s="48"/>
      <c r="C32" s="1" t="s">
        <v>4</v>
      </c>
      <c r="D32" s="2">
        <v>5227.17</v>
      </c>
      <c r="E32" s="2">
        <v>5227.17</v>
      </c>
      <c r="F32" s="2">
        <v>5227.17</v>
      </c>
      <c r="G32" s="2">
        <v>5227.17</v>
      </c>
      <c r="H32" s="2">
        <v>5227.17</v>
      </c>
      <c r="I32" s="2">
        <v>5227.17</v>
      </c>
      <c r="J32" s="2">
        <v>5227.17</v>
      </c>
      <c r="K32" s="2">
        <v>5227.17</v>
      </c>
      <c r="L32" s="2">
        <v>5227.17</v>
      </c>
      <c r="M32" s="2">
        <v>5227.17</v>
      </c>
      <c r="N32" s="2">
        <v>5227.17</v>
      </c>
      <c r="O32" s="2">
        <v>5227.17</v>
      </c>
      <c r="P32" s="2">
        <v>5227.17</v>
      </c>
      <c r="Q32" s="2">
        <v>5227.17</v>
      </c>
      <c r="R32" s="2">
        <v>5227.17</v>
      </c>
      <c r="S32" s="2">
        <v>5227.17</v>
      </c>
      <c r="T32" s="2">
        <v>5227.17</v>
      </c>
      <c r="U32" s="2">
        <v>5227.17</v>
      </c>
      <c r="V32" s="2">
        <v>5227.17</v>
      </c>
      <c r="W32" s="2">
        <v>5227.17</v>
      </c>
      <c r="X32" s="2">
        <v>5227.17</v>
      </c>
      <c r="Y32" s="2">
        <v>5227.17</v>
      </c>
      <c r="Z32" s="2">
        <v>5227.17</v>
      </c>
      <c r="AA32" s="12">
        <v>5227.17</v>
      </c>
      <c r="AB32" s="3">
        <f t="shared" si="0"/>
        <v>125452.07999999997</v>
      </c>
      <c r="AC32" s="3">
        <v>5</v>
      </c>
      <c r="AD32" s="51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</row>
    <row r="33" spans="2:60" ht="15" thickBot="1">
      <c r="B33" s="49"/>
      <c r="C33" s="9" t="s">
        <v>8</v>
      </c>
      <c r="D33" s="10">
        <v>5227.17</v>
      </c>
      <c r="E33" s="10">
        <v>5227.17</v>
      </c>
      <c r="F33" s="10">
        <v>5227.17</v>
      </c>
      <c r="G33" s="10">
        <v>5227.17</v>
      </c>
      <c r="H33" s="10">
        <v>5227.17</v>
      </c>
      <c r="I33" s="10">
        <v>5227.17</v>
      </c>
      <c r="J33" s="10">
        <v>5227.17</v>
      </c>
      <c r="K33" s="10">
        <v>5227.17</v>
      </c>
      <c r="L33" s="10">
        <v>5227.17</v>
      </c>
      <c r="M33" s="10">
        <v>5227.17</v>
      </c>
      <c r="N33" s="10">
        <v>5227.17</v>
      </c>
      <c r="O33" s="10">
        <v>5227.17</v>
      </c>
      <c r="P33" s="10">
        <v>5227.17</v>
      </c>
      <c r="Q33" s="10">
        <v>5227.17</v>
      </c>
      <c r="R33" s="10">
        <v>5227.17</v>
      </c>
      <c r="S33" s="10">
        <v>5227.17</v>
      </c>
      <c r="T33" s="10">
        <v>5227.17</v>
      </c>
      <c r="U33" s="10">
        <v>5227.17</v>
      </c>
      <c r="V33" s="10">
        <v>5227.17</v>
      </c>
      <c r="W33" s="10">
        <v>5227.17</v>
      </c>
      <c r="X33" s="10">
        <v>5227.17</v>
      </c>
      <c r="Y33" s="10">
        <v>5227.17</v>
      </c>
      <c r="Z33" s="10">
        <v>5227.17</v>
      </c>
      <c r="AA33" s="13">
        <v>5227.17</v>
      </c>
      <c r="AB33" s="6">
        <f t="shared" si="0"/>
        <v>125452.07999999997</v>
      </c>
      <c r="AC33" s="6">
        <v>2</v>
      </c>
      <c r="AD33" s="52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</row>
    <row r="34" spans="2:60">
      <c r="B34" s="47">
        <v>46966</v>
      </c>
      <c r="C34" s="8" t="s">
        <v>5</v>
      </c>
      <c r="D34" s="7">
        <v>5227.17</v>
      </c>
      <c r="E34" s="7">
        <v>5227.17</v>
      </c>
      <c r="F34" s="7">
        <v>5227.17</v>
      </c>
      <c r="G34" s="7">
        <v>5227.17</v>
      </c>
      <c r="H34" s="7">
        <v>5227.17</v>
      </c>
      <c r="I34" s="7">
        <v>5227.17</v>
      </c>
      <c r="J34" s="7">
        <v>5227.17</v>
      </c>
      <c r="K34" s="7">
        <v>5227.17</v>
      </c>
      <c r="L34" s="7">
        <v>5227.17</v>
      </c>
      <c r="M34" s="7">
        <v>5227.17</v>
      </c>
      <c r="N34" s="7">
        <v>5227.17</v>
      </c>
      <c r="O34" s="7">
        <v>5227.17</v>
      </c>
      <c r="P34" s="7">
        <v>5227.17</v>
      </c>
      <c r="Q34" s="7">
        <v>5227.17</v>
      </c>
      <c r="R34" s="7">
        <v>5227.17</v>
      </c>
      <c r="S34" s="7">
        <v>5227.17</v>
      </c>
      <c r="T34" s="7">
        <v>5227.17</v>
      </c>
      <c r="U34" s="7">
        <v>5227.17</v>
      </c>
      <c r="V34" s="7">
        <v>5227.17</v>
      </c>
      <c r="W34" s="7">
        <v>5227.17</v>
      </c>
      <c r="X34" s="7">
        <v>5227.17</v>
      </c>
      <c r="Y34" s="7">
        <v>5227.17</v>
      </c>
      <c r="Z34" s="7">
        <v>5227.17</v>
      </c>
      <c r="AA34" s="11">
        <v>5227.17</v>
      </c>
      <c r="AB34" s="5">
        <f t="shared" si="0"/>
        <v>125452.07999999997</v>
      </c>
      <c r="AC34" s="5">
        <v>21</v>
      </c>
      <c r="AD34" s="50">
        <f>(AB34*AC34)+(AB35*AC35)+(AB36*AC36)+(AB37*AC37)</f>
        <v>3889014.4799999991</v>
      </c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</row>
    <row r="35" spans="2:60">
      <c r="B35" s="48"/>
      <c r="C35" s="1" t="s">
        <v>6</v>
      </c>
      <c r="D35" s="2">
        <v>5227.17</v>
      </c>
      <c r="E35" s="2">
        <v>5227.17</v>
      </c>
      <c r="F35" s="2">
        <v>5227.17</v>
      </c>
      <c r="G35" s="2">
        <v>5227.17</v>
      </c>
      <c r="H35" s="2">
        <v>5227.17</v>
      </c>
      <c r="I35" s="2">
        <v>5227.17</v>
      </c>
      <c r="J35" s="2">
        <v>5227.17</v>
      </c>
      <c r="K35" s="2">
        <v>5227.17</v>
      </c>
      <c r="L35" s="2">
        <v>5227.17</v>
      </c>
      <c r="M35" s="2">
        <v>5227.17</v>
      </c>
      <c r="N35" s="2">
        <v>5227.17</v>
      </c>
      <c r="O35" s="2">
        <v>5227.17</v>
      </c>
      <c r="P35" s="2">
        <v>5227.17</v>
      </c>
      <c r="Q35" s="2">
        <v>5227.17</v>
      </c>
      <c r="R35" s="2">
        <v>5227.17</v>
      </c>
      <c r="S35" s="2">
        <v>5227.17</v>
      </c>
      <c r="T35" s="2">
        <v>5227.17</v>
      </c>
      <c r="U35" s="2">
        <v>5227.17</v>
      </c>
      <c r="V35" s="2">
        <v>5227.17</v>
      </c>
      <c r="W35" s="2">
        <v>5227.17</v>
      </c>
      <c r="X35" s="2">
        <v>5227.17</v>
      </c>
      <c r="Y35" s="2">
        <v>5227.17</v>
      </c>
      <c r="Z35" s="2">
        <v>5227.17</v>
      </c>
      <c r="AA35" s="12">
        <v>5227.17</v>
      </c>
      <c r="AB35" s="3">
        <f t="shared" si="0"/>
        <v>125452.07999999997</v>
      </c>
      <c r="AC35" s="3">
        <v>4</v>
      </c>
      <c r="AD35" s="51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</row>
    <row r="36" spans="2:60">
      <c r="B36" s="48"/>
      <c r="C36" s="1" t="s">
        <v>7</v>
      </c>
      <c r="D36" s="2">
        <v>5227.17</v>
      </c>
      <c r="E36" s="2">
        <v>5227.17</v>
      </c>
      <c r="F36" s="2">
        <v>5227.17</v>
      </c>
      <c r="G36" s="2">
        <v>5227.17</v>
      </c>
      <c r="H36" s="2">
        <v>5227.17</v>
      </c>
      <c r="I36" s="2">
        <v>5227.17</v>
      </c>
      <c r="J36" s="2">
        <v>5227.17</v>
      </c>
      <c r="K36" s="2">
        <v>5227.17</v>
      </c>
      <c r="L36" s="2">
        <v>5227.17</v>
      </c>
      <c r="M36" s="2">
        <v>5227.17</v>
      </c>
      <c r="N36" s="2">
        <v>5227.17</v>
      </c>
      <c r="O36" s="2">
        <v>5227.17</v>
      </c>
      <c r="P36" s="2">
        <v>5227.17</v>
      </c>
      <c r="Q36" s="2">
        <v>5227.17</v>
      </c>
      <c r="R36" s="2">
        <v>5227.17</v>
      </c>
      <c r="S36" s="2">
        <v>5227.17</v>
      </c>
      <c r="T36" s="2">
        <v>5227.17</v>
      </c>
      <c r="U36" s="2">
        <v>5227.17</v>
      </c>
      <c r="V36" s="2">
        <v>5227.17</v>
      </c>
      <c r="W36" s="2">
        <v>5227.17</v>
      </c>
      <c r="X36" s="2">
        <v>5227.17</v>
      </c>
      <c r="Y36" s="2">
        <v>5227.17</v>
      </c>
      <c r="Z36" s="2">
        <v>5227.17</v>
      </c>
      <c r="AA36" s="12">
        <v>5227.17</v>
      </c>
      <c r="AB36" s="3">
        <f t="shared" si="0"/>
        <v>125452.07999999997</v>
      </c>
      <c r="AC36" s="3">
        <v>4</v>
      </c>
      <c r="AD36" s="51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</row>
    <row r="37" spans="2:60" ht="15" thickBot="1">
      <c r="B37" s="49"/>
      <c r="C37" s="9" t="s">
        <v>8</v>
      </c>
      <c r="D37" s="10">
        <v>5227.17</v>
      </c>
      <c r="E37" s="10">
        <v>5227.17</v>
      </c>
      <c r="F37" s="10">
        <v>5227.17</v>
      </c>
      <c r="G37" s="10">
        <v>5227.17</v>
      </c>
      <c r="H37" s="10">
        <v>5227.17</v>
      </c>
      <c r="I37" s="10">
        <v>5227.17</v>
      </c>
      <c r="J37" s="10">
        <v>5227.17</v>
      </c>
      <c r="K37" s="10">
        <v>5227.17</v>
      </c>
      <c r="L37" s="10">
        <v>5227.17</v>
      </c>
      <c r="M37" s="10">
        <v>5227.17</v>
      </c>
      <c r="N37" s="10">
        <v>5227.17</v>
      </c>
      <c r="O37" s="10">
        <v>5227.17</v>
      </c>
      <c r="P37" s="10">
        <v>5227.17</v>
      </c>
      <c r="Q37" s="10">
        <v>5227.17</v>
      </c>
      <c r="R37" s="10">
        <v>5227.17</v>
      </c>
      <c r="S37" s="10">
        <v>5227.17</v>
      </c>
      <c r="T37" s="10">
        <v>5227.17</v>
      </c>
      <c r="U37" s="10">
        <v>5227.17</v>
      </c>
      <c r="V37" s="10">
        <v>5227.17</v>
      </c>
      <c r="W37" s="10">
        <v>5227.17</v>
      </c>
      <c r="X37" s="10">
        <v>5227.17</v>
      </c>
      <c r="Y37" s="10">
        <v>5227.17</v>
      </c>
      <c r="Z37" s="10">
        <v>5227.17</v>
      </c>
      <c r="AA37" s="13">
        <v>5227.17</v>
      </c>
      <c r="AB37" s="6">
        <f t="shared" si="0"/>
        <v>125452.07999999997</v>
      </c>
      <c r="AC37" s="6">
        <v>2</v>
      </c>
      <c r="AD37" s="52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</row>
    <row r="38" spans="2:60">
      <c r="B38" s="47">
        <v>46997</v>
      </c>
      <c r="C38" s="8" t="s">
        <v>5</v>
      </c>
      <c r="D38" s="7">
        <v>5227.17</v>
      </c>
      <c r="E38" s="7">
        <v>5227.17</v>
      </c>
      <c r="F38" s="7">
        <v>5227.17</v>
      </c>
      <c r="G38" s="7">
        <v>5227.17</v>
      </c>
      <c r="H38" s="7">
        <v>5227.17</v>
      </c>
      <c r="I38" s="7">
        <v>5227.17</v>
      </c>
      <c r="J38" s="7">
        <v>5227.17</v>
      </c>
      <c r="K38" s="7">
        <v>5227.17</v>
      </c>
      <c r="L38" s="7">
        <v>5227.17</v>
      </c>
      <c r="M38" s="7">
        <v>5227.17</v>
      </c>
      <c r="N38" s="7">
        <v>5227.17</v>
      </c>
      <c r="O38" s="7">
        <v>5227.17</v>
      </c>
      <c r="P38" s="7">
        <v>5227.17</v>
      </c>
      <c r="Q38" s="7">
        <v>5227.17</v>
      </c>
      <c r="R38" s="7">
        <v>5227.17</v>
      </c>
      <c r="S38" s="7">
        <v>5227.17</v>
      </c>
      <c r="T38" s="7">
        <v>5227.17</v>
      </c>
      <c r="U38" s="7">
        <v>5227.17</v>
      </c>
      <c r="V38" s="7">
        <v>5227.17</v>
      </c>
      <c r="W38" s="7">
        <v>5227.17</v>
      </c>
      <c r="X38" s="7">
        <v>5227.17</v>
      </c>
      <c r="Y38" s="7">
        <v>5227.17</v>
      </c>
      <c r="Z38" s="7">
        <v>5227.17</v>
      </c>
      <c r="AA38" s="11">
        <v>5227.17</v>
      </c>
      <c r="AB38" s="5">
        <f t="shared" si="0"/>
        <v>125452.07999999997</v>
      </c>
      <c r="AC38" s="5">
        <v>21</v>
      </c>
      <c r="AD38" s="50">
        <f>(AB38*AC38)+(AB39*AC39)+(AB40*AC40)+(AB41*AC41)</f>
        <v>3763562.399999999</v>
      </c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</row>
    <row r="39" spans="2:60">
      <c r="B39" s="48"/>
      <c r="C39" s="1" t="s">
        <v>6</v>
      </c>
      <c r="D39" s="2">
        <v>5227.17</v>
      </c>
      <c r="E39" s="2">
        <v>5227.17</v>
      </c>
      <c r="F39" s="2">
        <v>5227.17</v>
      </c>
      <c r="G39" s="2">
        <v>5227.17</v>
      </c>
      <c r="H39" s="2">
        <v>5227.17</v>
      </c>
      <c r="I39" s="2">
        <v>5227.17</v>
      </c>
      <c r="J39" s="2">
        <v>5227.17</v>
      </c>
      <c r="K39" s="2">
        <v>5227.17</v>
      </c>
      <c r="L39" s="2">
        <v>5227.17</v>
      </c>
      <c r="M39" s="2">
        <v>5227.17</v>
      </c>
      <c r="N39" s="2">
        <v>5227.17</v>
      </c>
      <c r="O39" s="2">
        <v>5227.17</v>
      </c>
      <c r="P39" s="2">
        <v>5227.17</v>
      </c>
      <c r="Q39" s="2">
        <v>5227.17</v>
      </c>
      <c r="R39" s="2">
        <v>5227.17</v>
      </c>
      <c r="S39" s="2">
        <v>5227.17</v>
      </c>
      <c r="T39" s="2">
        <v>5227.17</v>
      </c>
      <c r="U39" s="2">
        <v>5227.17</v>
      </c>
      <c r="V39" s="2">
        <v>5227.17</v>
      </c>
      <c r="W39" s="2">
        <v>5227.17</v>
      </c>
      <c r="X39" s="2">
        <v>5227.17</v>
      </c>
      <c r="Y39" s="2">
        <v>5227.17</v>
      </c>
      <c r="Z39" s="2">
        <v>5227.17</v>
      </c>
      <c r="AA39" s="12">
        <v>5227.17</v>
      </c>
      <c r="AB39" s="3">
        <f t="shared" si="0"/>
        <v>125452.07999999997</v>
      </c>
      <c r="AC39" s="3">
        <v>5</v>
      </c>
      <c r="AD39" s="51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</row>
    <row r="40" spans="2:60">
      <c r="B40" s="48"/>
      <c r="C40" s="1" t="s">
        <v>7</v>
      </c>
      <c r="D40" s="2">
        <v>5227.17</v>
      </c>
      <c r="E40" s="2">
        <v>5227.17</v>
      </c>
      <c r="F40" s="2">
        <v>5227.17</v>
      </c>
      <c r="G40" s="2">
        <v>5227.17</v>
      </c>
      <c r="H40" s="2">
        <v>5227.17</v>
      </c>
      <c r="I40" s="2">
        <v>5227.17</v>
      </c>
      <c r="J40" s="2">
        <v>5227.17</v>
      </c>
      <c r="K40" s="2">
        <v>5227.17</v>
      </c>
      <c r="L40" s="2">
        <v>5227.17</v>
      </c>
      <c r="M40" s="2">
        <v>5227.17</v>
      </c>
      <c r="N40" s="2">
        <v>5227.17</v>
      </c>
      <c r="O40" s="2">
        <v>5227.17</v>
      </c>
      <c r="P40" s="2">
        <v>5227.17</v>
      </c>
      <c r="Q40" s="2">
        <v>5227.17</v>
      </c>
      <c r="R40" s="2">
        <v>5227.17</v>
      </c>
      <c r="S40" s="2">
        <v>5227.17</v>
      </c>
      <c r="T40" s="2">
        <v>5227.17</v>
      </c>
      <c r="U40" s="2">
        <v>5227.17</v>
      </c>
      <c r="V40" s="2">
        <v>5227.17</v>
      </c>
      <c r="W40" s="2">
        <v>5227.17</v>
      </c>
      <c r="X40" s="2">
        <v>5227.17</v>
      </c>
      <c r="Y40" s="2">
        <v>5227.17</v>
      </c>
      <c r="Z40" s="2">
        <v>5227.17</v>
      </c>
      <c r="AA40" s="12">
        <v>5227.17</v>
      </c>
      <c r="AB40" s="3">
        <f t="shared" si="0"/>
        <v>125452.07999999997</v>
      </c>
      <c r="AC40" s="3">
        <v>4</v>
      </c>
      <c r="AD40" s="51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</row>
    <row r="41" spans="2:60" ht="15" thickBot="1">
      <c r="B41" s="49"/>
      <c r="C41" s="9" t="s">
        <v>8</v>
      </c>
      <c r="D41" s="10">
        <v>5227.17</v>
      </c>
      <c r="E41" s="10">
        <v>5227.17</v>
      </c>
      <c r="F41" s="10">
        <v>5227.17</v>
      </c>
      <c r="G41" s="10">
        <v>5227.17</v>
      </c>
      <c r="H41" s="10">
        <v>5227.17</v>
      </c>
      <c r="I41" s="10">
        <v>5227.17</v>
      </c>
      <c r="J41" s="10">
        <v>5227.17</v>
      </c>
      <c r="K41" s="10">
        <v>5227.17</v>
      </c>
      <c r="L41" s="10">
        <v>5227.17</v>
      </c>
      <c r="M41" s="10">
        <v>5227.17</v>
      </c>
      <c r="N41" s="10">
        <v>5227.17</v>
      </c>
      <c r="O41" s="10">
        <v>5227.17</v>
      </c>
      <c r="P41" s="10">
        <v>5227.17</v>
      </c>
      <c r="Q41" s="10">
        <v>5227.17</v>
      </c>
      <c r="R41" s="10">
        <v>5227.17</v>
      </c>
      <c r="S41" s="10">
        <v>5227.17</v>
      </c>
      <c r="T41" s="10">
        <v>5227.17</v>
      </c>
      <c r="U41" s="10">
        <v>5227.17</v>
      </c>
      <c r="V41" s="10">
        <v>5227.17</v>
      </c>
      <c r="W41" s="10">
        <v>5227.17</v>
      </c>
      <c r="X41" s="10">
        <v>5227.17</v>
      </c>
      <c r="Y41" s="10">
        <v>5227.17</v>
      </c>
      <c r="Z41" s="10">
        <v>5227.17</v>
      </c>
      <c r="AA41" s="13">
        <v>5227.17</v>
      </c>
      <c r="AB41" s="6">
        <f t="shared" si="0"/>
        <v>125452.07999999997</v>
      </c>
      <c r="AC41" s="6">
        <v>0</v>
      </c>
      <c r="AD41" s="52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</row>
    <row r="42" spans="2:60">
      <c r="B42" s="47">
        <v>47027</v>
      </c>
      <c r="C42" s="8" t="s">
        <v>5</v>
      </c>
      <c r="D42" s="7">
        <v>5227.17</v>
      </c>
      <c r="E42" s="7">
        <v>5227.17</v>
      </c>
      <c r="F42" s="7">
        <v>5227.17</v>
      </c>
      <c r="G42" s="7">
        <v>5227.17</v>
      </c>
      <c r="H42" s="7">
        <v>5227.17</v>
      </c>
      <c r="I42" s="7">
        <v>5227.17</v>
      </c>
      <c r="J42" s="7">
        <v>5227.17</v>
      </c>
      <c r="K42" s="7">
        <v>5227.17</v>
      </c>
      <c r="L42" s="7">
        <v>5227.17</v>
      </c>
      <c r="M42" s="7">
        <v>5227.17</v>
      </c>
      <c r="N42" s="7">
        <v>5227.17</v>
      </c>
      <c r="O42" s="7">
        <v>5227.17</v>
      </c>
      <c r="P42" s="7">
        <v>5227.17</v>
      </c>
      <c r="Q42" s="7">
        <v>5227.17</v>
      </c>
      <c r="R42" s="7">
        <v>5227.17</v>
      </c>
      <c r="S42" s="7">
        <v>5227.17</v>
      </c>
      <c r="T42" s="7">
        <v>5227.17</v>
      </c>
      <c r="U42" s="7">
        <v>5227.17</v>
      </c>
      <c r="V42" s="7">
        <v>5227.17</v>
      </c>
      <c r="W42" s="7">
        <v>5227.17</v>
      </c>
      <c r="X42" s="7">
        <v>5227.17</v>
      </c>
      <c r="Y42" s="7">
        <v>5227.17</v>
      </c>
      <c r="Z42" s="7">
        <v>5227.17</v>
      </c>
      <c r="AA42" s="11">
        <v>5227.17</v>
      </c>
      <c r="AB42" s="5">
        <f t="shared" si="0"/>
        <v>125452.07999999997</v>
      </c>
      <c r="AC42" s="5">
        <v>21</v>
      </c>
      <c r="AD42" s="50">
        <f>(AB42*AC42)+(AB43*AC43)+(AB44*AC44)+(AB45*AC45)</f>
        <v>3889014.4799999991</v>
      </c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</row>
    <row r="43" spans="2:60">
      <c r="B43" s="48"/>
      <c r="C43" s="1" t="s">
        <v>6</v>
      </c>
      <c r="D43" s="2">
        <v>5227.17</v>
      </c>
      <c r="E43" s="2">
        <v>5227.17</v>
      </c>
      <c r="F43" s="2">
        <v>5227.17</v>
      </c>
      <c r="G43" s="2">
        <v>5227.17</v>
      </c>
      <c r="H43" s="2">
        <v>5227.17</v>
      </c>
      <c r="I43" s="2">
        <v>5227.17</v>
      </c>
      <c r="J43" s="2">
        <v>5227.17</v>
      </c>
      <c r="K43" s="2">
        <v>5227.17</v>
      </c>
      <c r="L43" s="2">
        <v>5227.17</v>
      </c>
      <c r="M43" s="2">
        <v>5227.17</v>
      </c>
      <c r="N43" s="2">
        <v>5227.17</v>
      </c>
      <c r="O43" s="2">
        <v>5227.17</v>
      </c>
      <c r="P43" s="2">
        <v>5227.17</v>
      </c>
      <c r="Q43" s="2">
        <v>5227.17</v>
      </c>
      <c r="R43" s="2">
        <v>5227.17</v>
      </c>
      <c r="S43" s="2">
        <v>5227.17</v>
      </c>
      <c r="T43" s="2">
        <v>5227.17</v>
      </c>
      <c r="U43" s="2">
        <v>5227.17</v>
      </c>
      <c r="V43" s="2">
        <v>5227.17</v>
      </c>
      <c r="W43" s="2">
        <v>5227.17</v>
      </c>
      <c r="X43" s="2">
        <v>5227.17</v>
      </c>
      <c r="Y43" s="2">
        <v>5227.17</v>
      </c>
      <c r="Z43" s="2">
        <v>5227.17</v>
      </c>
      <c r="AA43" s="12">
        <v>5227.17</v>
      </c>
      <c r="AB43" s="3">
        <f t="shared" si="0"/>
        <v>125452.07999999997</v>
      </c>
      <c r="AC43" s="3">
        <v>4</v>
      </c>
      <c r="AD43" s="51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</row>
    <row r="44" spans="2:60">
      <c r="B44" s="48"/>
      <c r="C44" s="1" t="s">
        <v>7</v>
      </c>
      <c r="D44" s="2">
        <v>5227.17</v>
      </c>
      <c r="E44" s="2">
        <v>5227.17</v>
      </c>
      <c r="F44" s="2">
        <v>5227.17</v>
      </c>
      <c r="G44" s="2">
        <v>5227.17</v>
      </c>
      <c r="H44" s="2">
        <v>5227.17</v>
      </c>
      <c r="I44" s="2">
        <v>5227.17</v>
      </c>
      <c r="J44" s="2">
        <v>5227.17</v>
      </c>
      <c r="K44" s="2">
        <v>5227.17</v>
      </c>
      <c r="L44" s="2">
        <v>5227.17</v>
      </c>
      <c r="M44" s="2">
        <v>5227.17</v>
      </c>
      <c r="N44" s="2">
        <v>5227.17</v>
      </c>
      <c r="O44" s="2">
        <v>5227.17</v>
      </c>
      <c r="P44" s="2">
        <v>5227.17</v>
      </c>
      <c r="Q44" s="2">
        <v>5227.17</v>
      </c>
      <c r="R44" s="2">
        <v>5227.17</v>
      </c>
      <c r="S44" s="2">
        <v>5227.17</v>
      </c>
      <c r="T44" s="2">
        <v>5227.17</v>
      </c>
      <c r="U44" s="2">
        <v>5227.17</v>
      </c>
      <c r="V44" s="2">
        <v>5227.17</v>
      </c>
      <c r="W44" s="2">
        <v>5227.17</v>
      </c>
      <c r="X44" s="2">
        <v>5227.17</v>
      </c>
      <c r="Y44" s="2">
        <v>5227.17</v>
      </c>
      <c r="Z44" s="2">
        <v>5227.17</v>
      </c>
      <c r="AA44" s="12">
        <v>5227.17</v>
      </c>
      <c r="AB44" s="3">
        <f t="shared" si="0"/>
        <v>125452.07999999997</v>
      </c>
      <c r="AC44" s="3">
        <v>5</v>
      </c>
      <c r="AD44" s="51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</row>
    <row r="45" spans="2:60" ht="15" thickBot="1">
      <c r="B45" s="49"/>
      <c r="C45" s="9" t="s">
        <v>8</v>
      </c>
      <c r="D45" s="10">
        <v>5227.17</v>
      </c>
      <c r="E45" s="10">
        <v>5227.17</v>
      </c>
      <c r="F45" s="10">
        <v>5227.17</v>
      </c>
      <c r="G45" s="10">
        <v>5227.17</v>
      </c>
      <c r="H45" s="10">
        <v>5227.17</v>
      </c>
      <c r="I45" s="10">
        <v>5227.17</v>
      </c>
      <c r="J45" s="10">
        <v>5227.17</v>
      </c>
      <c r="K45" s="10">
        <v>5227.17</v>
      </c>
      <c r="L45" s="10">
        <v>5227.17</v>
      </c>
      <c r="M45" s="10">
        <v>5227.17</v>
      </c>
      <c r="N45" s="10">
        <v>5227.17</v>
      </c>
      <c r="O45" s="10">
        <v>5227.17</v>
      </c>
      <c r="P45" s="10">
        <v>5227.17</v>
      </c>
      <c r="Q45" s="10">
        <v>5227.17</v>
      </c>
      <c r="R45" s="10">
        <v>5227.17</v>
      </c>
      <c r="S45" s="10">
        <v>5227.17</v>
      </c>
      <c r="T45" s="10">
        <v>5227.17</v>
      </c>
      <c r="U45" s="10">
        <v>5227.17</v>
      </c>
      <c r="V45" s="10">
        <v>5227.17</v>
      </c>
      <c r="W45" s="10">
        <v>5227.17</v>
      </c>
      <c r="X45" s="10">
        <v>5227.17</v>
      </c>
      <c r="Y45" s="10">
        <v>5227.17</v>
      </c>
      <c r="Z45" s="10">
        <v>5227.17</v>
      </c>
      <c r="AA45" s="13">
        <v>5227.17</v>
      </c>
      <c r="AB45" s="6">
        <f t="shared" si="0"/>
        <v>125452.07999999997</v>
      </c>
      <c r="AC45" s="6">
        <v>1</v>
      </c>
      <c r="AD45" s="52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</row>
    <row r="46" spans="2:60">
      <c r="B46" s="47">
        <v>47058</v>
      </c>
      <c r="C46" s="8" t="s">
        <v>5</v>
      </c>
      <c r="D46" s="7">
        <v>5227.17</v>
      </c>
      <c r="E46" s="7">
        <v>5227.17</v>
      </c>
      <c r="F46" s="7">
        <v>5227.17</v>
      </c>
      <c r="G46" s="7">
        <v>5227.17</v>
      </c>
      <c r="H46" s="7">
        <v>5227.17</v>
      </c>
      <c r="I46" s="7">
        <v>5227.17</v>
      </c>
      <c r="J46" s="7">
        <v>5227.17</v>
      </c>
      <c r="K46" s="7">
        <v>5227.17</v>
      </c>
      <c r="L46" s="7">
        <v>5227.17</v>
      </c>
      <c r="M46" s="7">
        <v>5227.17</v>
      </c>
      <c r="N46" s="7">
        <v>5227.17</v>
      </c>
      <c r="O46" s="7">
        <v>5227.17</v>
      </c>
      <c r="P46" s="7">
        <v>5227.17</v>
      </c>
      <c r="Q46" s="7">
        <v>5227.17</v>
      </c>
      <c r="R46" s="7">
        <v>5227.17</v>
      </c>
      <c r="S46" s="7">
        <v>5227.17</v>
      </c>
      <c r="T46" s="7">
        <v>5227.17</v>
      </c>
      <c r="U46" s="7">
        <v>5227.17</v>
      </c>
      <c r="V46" s="7">
        <v>5227.17</v>
      </c>
      <c r="W46" s="7">
        <v>5227.17</v>
      </c>
      <c r="X46" s="7">
        <v>5227.17</v>
      </c>
      <c r="Y46" s="7">
        <v>5227.17</v>
      </c>
      <c r="Z46" s="7">
        <v>5227.17</v>
      </c>
      <c r="AA46" s="11">
        <v>5227.17</v>
      </c>
      <c r="AB46" s="5">
        <f t="shared" si="0"/>
        <v>125452.07999999997</v>
      </c>
      <c r="AC46" s="5">
        <v>20</v>
      </c>
      <c r="AD46" s="50">
        <f>(AB46*AC46)+(AB47*AC47)+(AB48*AC48)+(AB49*AC49)</f>
        <v>3763562.3999999994</v>
      </c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</row>
    <row r="47" spans="2:60">
      <c r="B47" s="48"/>
      <c r="C47" s="1" t="s">
        <v>6</v>
      </c>
      <c r="D47" s="2">
        <v>5227.17</v>
      </c>
      <c r="E47" s="2">
        <v>5227.17</v>
      </c>
      <c r="F47" s="2">
        <v>5227.17</v>
      </c>
      <c r="G47" s="2">
        <v>5227.17</v>
      </c>
      <c r="H47" s="2">
        <v>5227.17</v>
      </c>
      <c r="I47" s="2">
        <v>5227.17</v>
      </c>
      <c r="J47" s="2">
        <v>5227.17</v>
      </c>
      <c r="K47" s="2">
        <v>5227.17</v>
      </c>
      <c r="L47" s="2">
        <v>5227.17</v>
      </c>
      <c r="M47" s="2">
        <v>5227.17</v>
      </c>
      <c r="N47" s="2">
        <v>5227.17</v>
      </c>
      <c r="O47" s="2">
        <v>5227.17</v>
      </c>
      <c r="P47" s="2">
        <v>5227.17</v>
      </c>
      <c r="Q47" s="2">
        <v>5227.17</v>
      </c>
      <c r="R47" s="2">
        <v>5227.17</v>
      </c>
      <c r="S47" s="2">
        <v>5227.17</v>
      </c>
      <c r="T47" s="2">
        <v>5227.17</v>
      </c>
      <c r="U47" s="2">
        <v>5227.17</v>
      </c>
      <c r="V47" s="2">
        <v>5227.17</v>
      </c>
      <c r="W47" s="2">
        <v>5227.17</v>
      </c>
      <c r="X47" s="2">
        <v>5227.17</v>
      </c>
      <c r="Y47" s="2">
        <v>5227.17</v>
      </c>
      <c r="Z47" s="2">
        <v>5227.17</v>
      </c>
      <c r="AA47" s="12">
        <v>5227.17</v>
      </c>
      <c r="AB47" s="3">
        <f t="shared" si="0"/>
        <v>125452.07999999997</v>
      </c>
      <c r="AC47" s="3">
        <v>4</v>
      </c>
      <c r="AD47" s="51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</row>
    <row r="48" spans="2:60">
      <c r="B48" s="48"/>
      <c r="C48" s="1" t="s">
        <v>7</v>
      </c>
      <c r="D48" s="2">
        <v>5227.17</v>
      </c>
      <c r="E48" s="2">
        <v>5227.17</v>
      </c>
      <c r="F48" s="2">
        <v>5227.17</v>
      </c>
      <c r="G48" s="2">
        <v>5227.17</v>
      </c>
      <c r="H48" s="2">
        <v>5227.17</v>
      </c>
      <c r="I48" s="2">
        <v>5227.17</v>
      </c>
      <c r="J48" s="2">
        <v>5227.17</v>
      </c>
      <c r="K48" s="2">
        <v>5227.17</v>
      </c>
      <c r="L48" s="2">
        <v>5227.17</v>
      </c>
      <c r="M48" s="2">
        <v>5227.17</v>
      </c>
      <c r="N48" s="2">
        <v>5227.17</v>
      </c>
      <c r="O48" s="2">
        <v>5227.17</v>
      </c>
      <c r="P48" s="2">
        <v>5227.17</v>
      </c>
      <c r="Q48" s="2">
        <v>5227.17</v>
      </c>
      <c r="R48" s="2">
        <v>5227.17</v>
      </c>
      <c r="S48" s="2">
        <v>5227.17</v>
      </c>
      <c r="T48" s="2">
        <v>5227.17</v>
      </c>
      <c r="U48" s="2">
        <v>5227.17</v>
      </c>
      <c r="V48" s="2">
        <v>5227.17</v>
      </c>
      <c r="W48" s="2">
        <v>5227.17</v>
      </c>
      <c r="X48" s="2">
        <v>5227.17</v>
      </c>
      <c r="Y48" s="2">
        <v>5227.17</v>
      </c>
      <c r="Z48" s="2">
        <v>5227.17</v>
      </c>
      <c r="AA48" s="12">
        <v>5227.17</v>
      </c>
      <c r="AB48" s="3">
        <f t="shared" si="0"/>
        <v>125452.07999999997</v>
      </c>
      <c r="AC48" s="3">
        <v>4</v>
      </c>
      <c r="AD48" s="51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</row>
    <row r="49" spans="2:60" ht="15" thickBot="1">
      <c r="B49" s="49"/>
      <c r="C49" s="9" t="s">
        <v>8</v>
      </c>
      <c r="D49" s="10">
        <v>5227.17</v>
      </c>
      <c r="E49" s="10">
        <v>5227.17</v>
      </c>
      <c r="F49" s="10">
        <v>5227.17</v>
      </c>
      <c r="G49" s="10">
        <v>5227.17</v>
      </c>
      <c r="H49" s="10">
        <v>5227.17</v>
      </c>
      <c r="I49" s="10">
        <v>5227.17</v>
      </c>
      <c r="J49" s="10">
        <v>5227.17</v>
      </c>
      <c r="K49" s="10">
        <v>5227.17</v>
      </c>
      <c r="L49" s="10">
        <v>5227.17</v>
      </c>
      <c r="M49" s="10">
        <v>5227.17</v>
      </c>
      <c r="N49" s="10">
        <v>5227.17</v>
      </c>
      <c r="O49" s="10">
        <v>5227.17</v>
      </c>
      <c r="P49" s="10">
        <v>5227.17</v>
      </c>
      <c r="Q49" s="10">
        <v>5227.17</v>
      </c>
      <c r="R49" s="10">
        <v>5227.17</v>
      </c>
      <c r="S49" s="10">
        <v>5227.17</v>
      </c>
      <c r="T49" s="10">
        <v>5227.17</v>
      </c>
      <c r="U49" s="10">
        <v>5227.17</v>
      </c>
      <c r="V49" s="10">
        <v>5227.17</v>
      </c>
      <c r="W49" s="10">
        <v>5227.17</v>
      </c>
      <c r="X49" s="10">
        <v>5227.17</v>
      </c>
      <c r="Y49" s="10">
        <v>5227.17</v>
      </c>
      <c r="Z49" s="10">
        <v>5227.17</v>
      </c>
      <c r="AA49" s="13">
        <v>5227.17</v>
      </c>
      <c r="AB49" s="6">
        <f t="shared" si="0"/>
        <v>125452.07999999997</v>
      </c>
      <c r="AC49" s="6">
        <v>2</v>
      </c>
      <c r="AD49" s="52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</row>
    <row r="50" spans="2:60">
      <c r="B50" s="47">
        <v>47088</v>
      </c>
      <c r="C50" s="8" t="s">
        <v>5</v>
      </c>
      <c r="D50" s="7">
        <v>5227.17</v>
      </c>
      <c r="E50" s="7">
        <v>5227.17</v>
      </c>
      <c r="F50" s="7">
        <v>5227.17</v>
      </c>
      <c r="G50" s="7">
        <v>5227.17</v>
      </c>
      <c r="H50" s="7">
        <v>5227.17</v>
      </c>
      <c r="I50" s="7">
        <v>5227.17</v>
      </c>
      <c r="J50" s="7">
        <v>5227.17</v>
      </c>
      <c r="K50" s="7">
        <v>5227.17</v>
      </c>
      <c r="L50" s="7">
        <v>5227.17</v>
      </c>
      <c r="M50" s="7">
        <v>5227.17</v>
      </c>
      <c r="N50" s="7">
        <v>5227.17</v>
      </c>
      <c r="O50" s="7">
        <v>5227.17</v>
      </c>
      <c r="P50" s="7">
        <v>5227.17</v>
      </c>
      <c r="Q50" s="7">
        <v>5227.17</v>
      </c>
      <c r="R50" s="7">
        <v>5227.17</v>
      </c>
      <c r="S50" s="7">
        <v>5227.17</v>
      </c>
      <c r="T50" s="7">
        <v>5227.17</v>
      </c>
      <c r="U50" s="7">
        <v>5227.17</v>
      </c>
      <c r="V50" s="7">
        <v>5227.17</v>
      </c>
      <c r="W50" s="7">
        <v>5227.17</v>
      </c>
      <c r="X50" s="7">
        <v>5227.17</v>
      </c>
      <c r="Y50" s="7">
        <v>5227.17</v>
      </c>
      <c r="Z50" s="7">
        <v>5227.17</v>
      </c>
      <c r="AA50" s="11">
        <v>5227.17</v>
      </c>
      <c r="AB50" s="5">
        <f t="shared" si="0"/>
        <v>125452.07999999997</v>
      </c>
      <c r="AC50" s="5">
        <v>19</v>
      </c>
      <c r="AD50" s="50">
        <f>(AB50*AC50)+(AB51*AC51)+(AB52*AC52)+(AB53*AC53)</f>
        <v>3889014.4799999995</v>
      </c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</row>
    <row r="51" spans="2:60">
      <c r="B51" s="48"/>
      <c r="C51" s="1" t="s">
        <v>6</v>
      </c>
      <c r="D51" s="2">
        <v>5227.17</v>
      </c>
      <c r="E51" s="2">
        <v>5227.17</v>
      </c>
      <c r="F51" s="2">
        <v>5227.17</v>
      </c>
      <c r="G51" s="2">
        <v>5227.17</v>
      </c>
      <c r="H51" s="2">
        <v>5227.17</v>
      </c>
      <c r="I51" s="2">
        <v>5227.17</v>
      </c>
      <c r="J51" s="2">
        <v>5227.17</v>
      </c>
      <c r="K51" s="2">
        <v>5227.17</v>
      </c>
      <c r="L51" s="2">
        <v>5227.17</v>
      </c>
      <c r="M51" s="2">
        <v>5227.17</v>
      </c>
      <c r="N51" s="2">
        <v>5227.17</v>
      </c>
      <c r="O51" s="2">
        <v>5227.17</v>
      </c>
      <c r="P51" s="2">
        <v>5227.17</v>
      </c>
      <c r="Q51" s="2">
        <v>5227.17</v>
      </c>
      <c r="R51" s="2">
        <v>5227.17</v>
      </c>
      <c r="S51" s="2">
        <v>5227.17</v>
      </c>
      <c r="T51" s="2">
        <v>5227.17</v>
      </c>
      <c r="U51" s="2">
        <v>5227.17</v>
      </c>
      <c r="V51" s="2">
        <v>5227.17</v>
      </c>
      <c r="W51" s="2">
        <v>5227.17</v>
      </c>
      <c r="X51" s="2">
        <v>5227.17</v>
      </c>
      <c r="Y51" s="2">
        <v>5227.17</v>
      </c>
      <c r="Z51" s="2">
        <v>5227.17</v>
      </c>
      <c r="AA51" s="12">
        <v>5227.17</v>
      </c>
      <c r="AB51" s="3">
        <f t="shared" si="0"/>
        <v>125452.07999999997</v>
      </c>
      <c r="AC51" s="3">
        <v>5</v>
      </c>
      <c r="AD51" s="51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</row>
    <row r="52" spans="2:60">
      <c r="B52" s="48"/>
      <c r="C52" s="1" t="s">
        <v>7</v>
      </c>
      <c r="D52" s="2">
        <v>5227.17</v>
      </c>
      <c r="E52" s="2">
        <v>5227.17</v>
      </c>
      <c r="F52" s="2">
        <v>5227.17</v>
      </c>
      <c r="G52" s="2">
        <v>5227.17</v>
      </c>
      <c r="H52" s="2">
        <v>5227.17</v>
      </c>
      <c r="I52" s="2">
        <v>5227.17</v>
      </c>
      <c r="J52" s="2">
        <v>5227.17</v>
      </c>
      <c r="K52" s="2">
        <v>5227.17</v>
      </c>
      <c r="L52" s="2">
        <v>5227.17</v>
      </c>
      <c r="M52" s="2">
        <v>5227.17</v>
      </c>
      <c r="N52" s="2">
        <v>5227.17</v>
      </c>
      <c r="O52" s="2">
        <v>5227.17</v>
      </c>
      <c r="P52" s="2">
        <v>5227.17</v>
      </c>
      <c r="Q52" s="2">
        <v>5227.17</v>
      </c>
      <c r="R52" s="2">
        <v>5227.17</v>
      </c>
      <c r="S52" s="2">
        <v>5227.17</v>
      </c>
      <c r="T52" s="2">
        <v>5227.17</v>
      </c>
      <c r="U52" s="2">
        <v>5227.17</v>
      </c>
      <c r="V52" s="2">
        <v>5227.17</v>
      </c>
      <c r="W52" s="2">
        <v>5227.17</v>
      </c>
      <c r="X52" s="2">
        <v>5227.17</v>
      </c>
      <c r="Y52" s="2">
        <v>5227.17</v>
      </c>
      <c r="Z52" s="2">
        <v>5227.17</v>
      </c>
      <c r="AA52" s="12">
        <v>5227.17</v>
      </c>
      <c r="AB52" s="3">
        <f t="shared" si="0"/>
        <v>125452.07999999997</v>
      </c>
      <c r="AC52" s="3">
        <v>5</v>
      </c>
      <c r="AD52" s="51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</row>
    <row r="53" spans="2:60" ht="15" thickBot="1">
      <c r="B53" s="49"/>
      <c r="C53" s="9" t="s">
        <v>8</v>
      </c>
      <c r="D53" s="10">
        <v>5227.17</v>
      </c>
      <c r="E53" s="10">
        <v>5227.17</v>
      </c>
      <c r="F53" s="10">
        <v>5227.17</v>
      </c>
      <c r="G53" s="10">
        <v>5227.17</v>
      </c>
      <c r="H53" s="10">
        <v>5227.17</v>
      </c>
      <c r="I53" s="10">
        <v>5227.17</v>
      </c>
      <c r="J53" s="10">
        <v>5227.17</v>
      </c>
      <c r="K53" s="10">
        <v>5227.17</v>
      </c>
      <c r="L53" s="10">
        <v>5227.17</v>
      </c>
      <c r="M53" s="10">
        <v>5227.17</v>
      </c>
      <c r="N53" s="10">
        <v>5227.17</v>
      </c>
      <c r="O53" s="10">
        <v>5227.17</v>
      </c>
      <c r="P53" s="10">
        <v>5227.17</v>
      </c>
      <c r="Q53" s="10">
        <v>5227.17</v>
      </c>
      <c r="R53" s="10">
        <v>5227.17</v>
      </c>
      <c r="S53" s="10">
        <v>5227.17</v>
      </c>
      <c r="T53" s="10">
        <v>5227.17</v>
      </c>
      <c r="U53" s="10">
        <v>5227.17</v>
      </c>
      <c r="V53" s="10">
        <v>5227.17</v>
      </c>
      <c r="W53" s="10">
        <v>5227.17</v>
      </c>
      <c r="X53" s="10">
        <v>5227.17</v>
      </c>
      <c r="Y53" s="10">
        <v>5227.17</v>
      </c>
      <c r="Z53" s="10">
        <v>5227.17</v>
      </c>
      <c r="AA53" s="13">
        <v>5227.17</v>
      </c>
      <c r="AB53" s="6">
        <f t="shared" si="0"/>
        <v>125452.07999999997</v>
      </c>
      <c r="AC53" s="6">
        <v>2</v>
      </c>
      <c r="AD53" s="52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</row>
    <row r="54" spans="2:60" ht="15" thickBot="1">
      <c r="AD54" s="17">
        <f>SUM(AD6:AD53)</f>
        <v>45915461.279999986</v>
      </c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</row>
    <row r="55" spans="2:60"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</row>
    <row r="56" spans="2:60"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</row>
    <row r="57" spans="2:60"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</row>
    <row r="58" spans="2:60"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</row>
    <row r="59" spans="2:60"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</row>
    <row r="60" spans="2:60"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</row>
    <row r="61" spans="2:60"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</row>
    <row r="62" spans="2:60"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</row>
    <row r="63" spans="2:60"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</row>
    <row r="64" spans="2:60"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</row>
    <row r="65" spans="37:60"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</row>
    <row r="66" spans="37:60"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</row>
    <row r="67" spans="37:60"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</row>
    <row r="68" spans="37:60"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</row>
    <row r="69" spans="37:60"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</row>
    <row r="70" spans="37:60"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</row>
    <row r="71" spans="37:60"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</row>
    <row r="72" spans="37:60"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</row>
    <row r="73" spans="37:60"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</row>
    <row r="74" spans="37:60"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</row>
    <row r="75" spans="37:60"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</row>
    <row r="76" spans="37:60"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</row>
    <row r="77" spans="37:60"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</row>
    <row r="78" spans="37:60"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</row>
    <row r="79" spans="37:60"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</row>
    <row r="80" spans="37:60"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</row>
    <row r="81" spans="37:60"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</row>
    <row r="82" spans="37:60"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</row>
    <row r="83" spans="37:60"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</row>
    <row r="84" spans="37:60"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</row>
    <row r="85" spans="37:60"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</row>
    <row r="86" spans="37:60"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</row>
    <row r="87" spans="37:60"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</row>
    <row r="88" spans="37:60"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</row>
    <row r="89" spans="37:60"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</row>
    <row r="90" spans="37:60"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</row>
    <row r="91" spans="37:60"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</row>
    <row r="92" spans="37:60"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</row>
    <row r="93" spans="37:60"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</row>
    <row r="94" spans="37:60"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</row>
    <row r="95" spans="37:60"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</row>
    <row r="96" spans="37:60"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</row>
    <row r="97" spans="37:60"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</row>
    <row r="98" spans="37:60"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</row>
    <row r="99" spans="37:60"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</row>
    <row r="100" spans="37:60"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</row>
    <row r="101" spans="37:60"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</row>
    <row r="102" spans="37:60"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</row>
    <row r="103" spans="37:60"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</row>
    <row r="104" spans="37:60"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</row>
    <row r="105" spans="37:60"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</row>
    <row r="106" spans="37:60"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</row>
    <row r="107" spans="37:60"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</row>
    <row r="108" spans="37:60"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</row>
    <row r="109" spans="37:60"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</row>
    <row r="110" spans="37:60"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</row>
    <row r="111" spans="37:60"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</row>
    <row r="112" spans="37:60"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</row>
    <row r="113" spans="37:60"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</row>
    <row r="114" spans="37:60"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</row>
    <row r="115" spans="37:60"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</row>
    <row r="116" spans="37:60"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</row>
    <row r="117" spans="37:60"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</row>
    <row r="118" spans="37:60"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</row>
    <row r="119" spans="37:60"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</row>
    <row r="120" spans="37:60"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</row>
    <row r="121" spans="37:60"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</row>
    <row r="122" spans="37:60"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</row>
    <row r="123" spans="37:60"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</row>
    <row r="124" spans="37:60"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</row>
    <row r="125" spans="37:60"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</row>
    <row r="126" spans="37:60"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</row>
    <row r="127" spans="37:60"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</row>
    <row r="128" spans="37:60"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</row>
    <row r="129" spans="37:60"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</row>
    <row r="130" spans="37:60"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</row>
    <row r="131" spans="37:60"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</row>
    <row r="132" spans="37:60"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</row>
    <row r="133" spans="37:60"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</row>
    <row r="134" spans="37:60"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</row>
    <row r="135" spans="37:60"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</row>
    <row r="136" spans="37:60"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</row>
    <row r="137" spans="37:60"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</row>
    <row r="138" spans="37:60"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</row>
    <row r="139" spans="37:60"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</row>
    <row r="140" spans="37:60"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</row>
    <row r="141" spans="37:60"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</row>
    <row r="142" spans="37:60"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</row>
    <row r="143" spans="37:60"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</row>
    <row r="144" spans="37:60"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</row>
    <row r="145" spans="37:60"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</row>
    <row r="146" spans="37:60"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</row>
    <row r="147" spans="37:60"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</row>
    <row r="148" spans="37:60"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</row>
    <row r="149" spans="37:60"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</row>
  </sheetData>
  <mergeCells count="27">
    <mergeCell ref="B50:B53"/>
    <mergeCell ref="AD50:AD53"/>
    <mergeCell ref="B38:B41"/>
    <mergeCell ref="AD38:AD41"/>
    <mergeCell ref="B42:B45"/>
    <mergeCell ref="AD42:AD45"/>
    <mergeCell ref="B46:B49"/>
    <mergeCell ref="AD46:AD49"/>
    <mergeCell ref="B26:B29"/>
    <mergeCell ref="AD26:AD29"/>
    <mergeCell ref="B30:B33"/>
    <mergeCell ref="AD30:AD33"/>
    <mergeCell ref="B34:B37"/>
    <mergeCell ref="AD34:AD37"/>
    <mergeCell ref="B14:B17"/>
    <mergeCell ref="AD14:AD17"/>
    <mergeCell ref="B18:B21"/>
    <mergeCell ref="AD18:AD21"/>
    <mergeCell ref="B22:B25"/>
    <mergeCell ref="AD22:AD25"/>
    <mergeCell ref="B6:B9"/>
    <mergeCell ref="AD6:AD9"/>
    <mergeCell ref="B10:B13"/>
    <mergeCell ref="AD10:AD13"/>
    <mergeCell ref="B2:AB2"/>
    <mergeCell ref="B3:AB3"/>
    <mergeCell ref="B4:AB4"/>
  </mergeCells>
  <conditionalFormatting sqref="D6:AA53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A39A-8F8A-4A14-B1FD-76C380C48841}">
  <dimension ref="B3:I30"/>
  <sheetViews>
    <sheetView showGridLines="0" zoomScale="90" zoomScaleNormal="90" workbookViewId="0">
      <selection activeCell="B4" sqref="B4:G23"/>
    </sheetView>
  </sheetViews>
  <sheetFormatPr baseColWidth="10" defaultColWidth="11.453125" defaultRowHeight="14.5"/>
  <cols>
    <col min="1" max="3" width="11.453125" style="18"/>
    <col min="4" max="4" width="15.26953125" style="18" customWidth="1"/>
    <col min="5" max="5" width="11.453125" style="18"/>
    <col min="6" max="6" width="12.7265625" style="18" bestFit="1" customWidth="1"/>
    <col min="7" max="7" width="11.453125" style="18"/>
    <col min="8" max="8" width="14.1796875" style="79" bestFit="1" customWidth="1"/>
    <col min="9" max="9" width="11.453125" style="80"/>
    <col min="10" max="16384" width="11.453125" style="18"/>
  </cols>
  <sheetData>
    <row r="3" spans="2:7" ht="15" thickBot="1"/>
    <row r="4" spans="2:7">
      <c r="B4" s="57" t="s">
        <v>45</v>
      </c>
      <c r="C4" s="58"/>
      <c r="D4" s="58"/>
      <c r="E4" s="58"/>
      <c r="F4" s="58"/>
      <c r="G4" s="59"/>
    </row>
    <row r="5" spans="2:7">
      <c r="B5" s="60" t="s">
        <v>9</v>
      </c>
      <c r="C5" s="61"/>
      <c r="D5" s="61"/>
      <c r="E5" s="61"/>
      <c r="F5" s="61"/>
      <c r="G5" s="62"/>
    </row>
    <row r="6" spans="2:7">
      <c r="B6" s="63" t="s">
        <v>10</v>
      </c>
      <c r="C6" s="64"/>
      <c r="D6" s="64"/>
      <c r="E6" s="64"/>
      <c r="F6" s="64"/>
      <c r="G6" s="65"/>
    </row>
    <row r="7" spans="2:7" ht="15" thickBot="1">
      <c r="B7" s="66" t="s">
        <v>37</v>
      </c>
      <c r="C7" s="67"/>
      <c r="D7" s="67"/>
      <c r="E7" s="67"/>
      <c r="F7" s="67"/>
      <c r="G7" s="68"/>
    </row>
    <row r="8" spans="2:7" ht="15" thickBot="1">
      <c r="B8" s="69" t="s">
        <v>46</v>
      </c>
      <c r="C8" s="70"/>
      <c r="D8" s="70"/>
      <c r="E8" s="70"/>
      <c r="F8" s="70"/>
      <c r="G8" s="71"/>
    </row>
    <row r="9" spans="2:7" ht="15.75" customHeight="1" thickBot="1">
      <c r="B9" s="72" t="s">
        <v>12</v>
      </c>
      <c r="C9" s="72" t="s">
        <v>13</v>
      </c>
      <c r="D9" s="75" t="s">
        <v>61</v>
      </c>
      <c r="E9" s="75"/>
      <c r="F9" s="75"/>
      <c r="G9" s="76"/>
    </row>
    <row r="10" spans="2:7" ht="26.5" thickBot="1">
      <c r="B10" s="73"/>
      <c r="C10" s="74"/>
      <c r="D10" s="19" t="s">
        <v>14</v>
      </c>
      <c r="E10" s="21" t="s">
        <v>15</v>
      </c>
      <c r="F10" s="20" t="s">
        <v>16</v>
      </c>
      <c r="G10" s="22" t="s">
        <v>17</v>
      </c>
    </row>
    <row r="11" spans="2:7">
      <c r="B11" s="33">
        <v>2028</v>
      </c>
      <c r="C11" s="34" t="s">
        <v>25</v>
      </c>
      <c r="D11" s="35">
        <f>+'Producto 3 Plano 28'!AE6</f>
        <v>3889014.4799999995</v>
      </c>
      <c r="E11" s="77"/>
      <c r="F11" s="26">
        <f t="shared" ref="F11:F22" si="0">+E11*D11</f>
        <v>0</v>
      </c>
      <c r="G11" s="27"/>
    </row>
    <row r="12" spans="2:7">
      <c r="B12" s="23">
        <v>2028</v>
      </c>
      <c r="C12" s="24" t="s">
        <v>26</v>
      </c>
      <c r="D12" s="25">
        <f>+'Producto 3 Plano 28'!AE7</f>
        <v>3638110.3199999989</v>
      </c>
      <c r="E12" s="77"/>
      <c r="F12" s="26">
        <f t="shared" si="0"/>
        <v>0</v>
      </c>
      <c r="G12" s="27"/>
    </row>
    <row r="13" spans="2:7">
      <c r="B13" s="23">
        <v>2028</v>
      </c>
      <c r="C13" s="24" t="s">
        <v>27</v>
      </c>
      <c r="D13" s="25">
        <f>+'Producto 3 Plano 28'!AE8</f>
        <v>3889014.4799999991</v>
      </c>
      <c r="E13" s="77"/>
      <c r="F13" s="26">
        <f t="shared" si="0"/>
        <v>0</v>
      </c>
      <c r="G13" s="27"/>
    </row>
    <row r="14" spans="2:7">
      <c r="B14" s="23">
        <v>2028</v>
      </c>
      <c r="C14" s="24" t="s">
        <v>28</v>
      </c>
      <c r="D14" s="25">
        <f>+'Producto 3 Plano 28'!AE9</f>
        <v>3763562.3999999994</v>
      </c>
      <c r="E14" s="77"/>
      <c r="F14" s="26">
        <f t="shared" si="0"/>
        <v>0</v>
      </c>
      <c r="G14" s="27"/>
    </row>
    <row r="15" spans="2:7">
      <c r="B15" s="23">
        <v>2028</v>
      </c>
      <c r="C15" s="24" t="s">
        <v>29</v>
      </c>
      <c r="D15" s="25">
        <f>+'Producto 3 Plano 28'!AE10</f>
        <v>3889014.4799999991</v>
      </c>
      <c r="E15" s="77"/>
      <c r="F15" s="26">
        <f t="shared" si="0"/>
        <v>0</v>
      </c>
      <c r="G15" s="27"/>
    </row>
    <row r="16" spans="2:7">
      <c r="B16" s="23">
        <v>2028</v>
      </c>
      <c r="C16" s="24" t="s">
        <v>18</v>
      </c>
      <c r="D16" s="25">
        <f>+'Producto 3 Plano 28'!AE11</f>
        <v>3763562.3999999994</v>
      </c>
      <c r="E16" s="77"/>
      <c r="F16" s="26">
        <f t="shared" si="0"/>
        <v>0</v>
      </c>
      <c r="G16" s="27"/>
    </row>
    <row r="17" spans="2:9">
      <c r="B17" s="23">
        <v>2028</v>
      </c>
      <c r="C17" s="24" t="s">
        <v>19</v>
      </c>
      <c r="D17" s="25">
        <f>+'Producto 3 Plano 28'!AE12</f>
        <v>3889014.4799999995</v>
      </c>
      <c r="E17" s="77"/>
      <c r="F17" s="26">
        <f t="shared" si="0"/>
        <v>0</v>
      </c>
      <c r="G17" s="27"/>
    </row>
    <row r="18" spans="2:9">
      <c r="B18" s="23">
        <v>2028</v>
      </c>
      <c r="C18" s="24" t="s">
        <v>20</v>
      </c>
      <c r="D18" s="25">
        <f>+'Producto 3 Plano 28'!AE13</f>
        <v>3889014.4799999991</v>
      </c>
      <c r="E18" s="77"/>
      <c r="F18" s="26">
        <f t="shared" si="0"/>
        <v>0</v>
      </c>
      <c r="G18" s="27"/>
    </row>
    <row r="19" spans="2:9">
      <c r="B19" s="23">
        <v>2028</v>
      </c>
      <c r="C19" s="24" t="s">
        <v>21</v>
      </c>
      <c r="D19" s="25">
        <f>+'Producto 3 Plano 28'!AE14</f>
        <v>3763562.399999999</v>
      </c>
      <c r="E19" s="77"/>
      <c r="F19" s="26">
        <f t="shared" si="0"/>
        <v>0</v>
      </c>
      <c r="G19" s="27"/>
    </row>
    <row r="20" spans="2:9">
      <c r="B20" s="23">
        <v>2028</v>
      </c>
      <c r="C20" s="24" t="s">
        <v>22</v>
      </c>
      <c r="D20" s="25">
        <f>+'Producto 3 Plano 28'!AE15</f>
        <v>3889014.4799999991</v>
      </c>
      <c r="E20" s="77"/>
      <c r="F20" s="26">
        <f t="shared" si="0"/>
        <v>0</v>
      </c>
      <c r="G20" s="27"/>
    </row>
    <row r="21" spans="2:9">
      <c r="B21" s="23">
        <v>2028</v>
      </c>
      <c r="C21" s="24" t="s">
        <v>23</v>
      </c>
      <c r="D21" s="25">
        <f>+'Producto 3 Plano 28'!AE16</f>
        <v>3763562.3999999994</v>
      </c>
      <c r="E21" s="77"/>
      <c r="F21" s="26">
        <f t="shared" si="0"/>
        <v>0</v>
      </c>
      <c r="G21" s="27"/>
    </row>
    <row r="22" spans="2:9" ht="15" thickBot="1">
      <c r="B22" s="28">
        <v>2028</v>
      </c>
      <c r="C22" s="29" t="s">
        <v>24</v>
      </c>
      <c r="D22" s="30">
        <f>+'Producto 3 Plano 28'!AE17</f>
        <v>3889014.4799999995</v>
      </c>
      <c r="E22" s="78"/>
      <c r="F22" s="31">
        <f t="shared" si="0"/>
        <v>0</v>
      </c>
      <c r="G22" s="32"/>
      <c r="H22" s="79">
        <f>SUM(D11:D22)</f>
        <v>45915461.279999986</v>
      </c>
      <c r="I22" s="81">
        <f>+H22/1000</f>
        <v>45915.461279999989</v>
      </c>
    </row>
    <row r="23" spans="2:9" ht="15" thickBot="1">
      <c r="B23" s="55" t="s">
        <v>47</v>
      </c>
      <c r="C23" s="56"/>
      <c r="D23" s="36">
        <f>+SUM(D11:D22)</f>
        <v>45915461.279999986</v>
      </c>
      <c r="I23" s="81">
        <f>+D23/1000</f>
        <v>45915.461279999989</v>
      </c>
    </row>
    <row r="25" spans="2:9">
      <c r="B25" s="18" t="s">
        <v>30</v>
      </c>
    </row>
    <row r="26" spans="2:9">
      <c r="B26" s="18" t="s">
        <v>31</v>
      </c>
    </row>
    <row r="27" spans="2:9">
      <c r="B27" s="18" t="s">
        <v>32</v>
      </c>
    </row>
    <row r="28" spans="2:9">
      <c r="B28" s="18" t="s">
        <v>33</v>
      </c>
    </row>
    <row r="30" spans="2:9">
      <c r="D30" s="43"/>
    </row>
  </sheetData>
  <mergeCells count="10">
    <mergeCell ref="E11:E22"/>
    <mergeCell ref="B23:C23"/>
    <mergeCell ref="B4:G4"/>
    <mergeCell ref="B5:G5"/>
    <mergeCell ref="B6:G6"/>
    <mergeCell ref="B7:G7"/>
    <mergeCell ref="B8:G8"/>
    <mergeCell ref="B9:B10"/>
    <mergeCell ref="C9:C10"/>
    <mergeCell ref="D9:G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C7F5-EEA0-4545-A3D7-BFCA772954A2}">
  <dimension ref="B2:BH197"/>
  <sheetViews>
    <sheetView showGridLines="0" zoomScale="40" zoomScaleNormal="40" workbookViewId="0">
      <pane ySplit="5" topLeftCell="A9" activePane="bottomLeft" state="frozen"/>
      <selection activeCell="M103" sqref="M103"/>
      <selection pane="bottomLeft" activeCell="B2" sqref="B2:AD54"/>
    </sheetView>
  </sheetViews>
  <sheetFormatPr baseColWidth="10" defaultRowHeight="14.5"/>
  <cols>
    <col min="1" max="1" width="1.81640625" customWidth="1"/>
    <col min="2" max="2" width="10" style="4" customWidth="1"/>
    <col min="3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style="84" customWidth="1"/>
    <col min="32" max="32" width="17.453125" bestFit="1" customWidth="1"/>
    <col min="250" max="250" width="1.81640625" customWidth="1"/>
    <col min="251" max="251" width="8" customWidth="1"/>
    <col min="252" max="252" width="8" bestFit="1" customWidth="1"/>
    <col min="253" max="253" width="9" bestFit="1" customWidth="1"/>
    <col min="254" max="254" width="12" bestFit="1" customWidth="1"/>
    <col min="255" max="276" width="9" bestFit="1" customWidth="1"/>
    <col min="277" max="277" width="7.81640625" bestFit="1" customWidth="1"/>
    <col min="278" max="278" width="4.54296875" bestFit="1" customWidth="1"/>
    <col min="279" max="279" width="14.1796875" bestFit="1" customWidth="1"/>
    <col min="506" max="506" width="1.81640625" customWidth="1"/>
    <col min="507" max="507" width="8" customWidth="1"/>
    <col min="508" max="508" width="8" bestFit="1" customWidth="1"/>
    <col min="509" max="509" width="9" bestFit="1" customWidth="1"/>
    <col min="510" max="510" width="12" bestFit="1" customWidth="1"/>
    <col min="511" max="532" width="9" bestFit="1" customWidth="1"/>
    <col min="533" max="533" width="7.81640625" bestFit="1" customWidth="1"/>
    <col min="534" max="534" width="4.54296875" bestFit="1" customWidth="1"/>
    <col min="535" max="535" width="14.1796875" bestFit="1" customWidth="1"/>
    <col min="762" max="762" width="1.81640625" customWidth="1"/>
    <col min="763" max="763" width="8" customWidth="1"/>
    <col min="764" max="764" width="8" bestFit="1" customWidth="1"/>
    <col min="765" max="765" width="9" bestFit="1" customWidth="1"/>
    <col min="766" max="766" width="12" bestFit="1" customWidth="1"/>
    <col min="767" max="788" width="9" bestFit="1" customWidth="1"/>
    <col min="789" max="789" width="7.81640625" bestFit="1" customWidth="1"/>
    <col min="790" max="790" width="4.54296875" bestFit="1" customWidth="1"/>
    <col min="791" max="791" width="14.1796875" bestFit="1" customWidth="1"/>
    <col min="1018" max="1018" width="1.81640625" customWidth="1"/>
    <col min="1019" max="1019" width="8" customWidth="1"/>
    <col min="1020" max="1020" width="8" bestFit="1" customWidth="1"/>
    <col min="1021" max="1021" width="9" bestFit="1" customWidth="1"/>
    <col min="1022" max="1022" width="12" bestFit="1" customWidth="1"/>
    <col min="1023" max="1044" width="9" bestFit="1" customWidth="1"/>
    <col min="1045" max="1045" width="7.81640625" bestFit="1" customWidth="1"/>
    <col min="1046" max="1046" width="4.54296875" bestFit="1" customWidth="1"/>
    <col min="1047" max="1047" width="14.1796875" bestFit="1" customWidth="1"/>
    <col min="1274" max="1274" width="1.81640625" customWidth="1"/>
    <col min="1275" max="1275" width="8" customWidth="1"/>
    <col min="1276" max="1276" width="8" bestFit="1" customWidth="1"/>
    <col min="1277" max="1277" width="9" bestFit="1" customWidth="1"/>
    <col min="1278" max="1278" width="12" bestFit="1" customWidth="1"/>
    <col min="1279" max="1300" width="9" bestFit="1" customWidth="1"/>
    <col min="1301" max="1301" width="7.81640625" bestFit="1" customWidth="1"/>
    <col min="1302" max="1302" width="4.54296875" bestFit="1" customWidth="1"/>
    <col min="1303" max="1303" width="14.1796875" bestFit="1" customWidth="1"/>
    <col min="1530" max="1530" width="1.81640625" customWidth="1"/>
    <col min="1531" max="1531" width="8" customWidth="1"/>
    <col min="1532" max="1532" width="8" bestFit="1" customWidth="1"/>
    <col min="1533" max="1533" width="9" bestFit="1" customWidth="1"/>
    <col min="1534" max="1534" width="12" bestFit="1" customWidth="1"/>
    <col min="1535" max="1556" width="9" bestFit="1" customWidth="1"/>
    <col min="1557" max="1557" width="7.81640625" bestFit="1" customWidth="1"/>
    <col min="1558" max="1558" width="4.54296875" bestFit="1" customWidth="1"/>
    <col min="1559" max="1559" width="14.1796875" bestFit="1" customWidth="1"/>
    <col min="1786" max="1786" width="1.81640625" customWidth="1"/>
    <col min="1787" max="1787" width="8" customWidth="1"/>
    <col min="1788" max="1788" width="8" bestFit="1" customWidth="1"/>
    <col min="1789" max="1789" width="9" bestFit="1" customWidth="1"/>
    <col min="1790" max="1790" width="12" bestFit="1" customWidth="1"/>
    <col min="1791" max="1812" width="9" bestFit="1" customWidth="1"/>
    <col min="1813" max="1813" width="7.81640625" bestFit="1" customWidth="1"/>
    <col min="1814" max="1814" width="4.54296875" bestFit="1" customWidth="1"/>
    <col min="1815" max="1815" width="14.1796875" bestFit="1" customWidth="1"/>
    <col min="2042" max="2042" width="1.81640625" customWidth="1"/>
    <col min="2043" max="2043" width="8" customWidth="1"/>
    <col min="2044" max="2044" width="8" bestFit="1" customWidth="1"/>
    <col min="2045" max="2045" width="9" bestFit="1" customWidth="1"/>
    <col min="2046" max="2046" width="12" bestFit="1" customWidth="1"/>
    <col min="2047" max="2068" width="9" bestFit="1" customWidth="1"/>
    <col min="2069" max="2069" width="7.81640625" bestFit="1" customWidth="1"/>
    <col min="2070" max="2070" width="4.54296875" bestFit="1" customWidth="1"/>
    <col min="2071" max="2071" width="14.1796875" bestFit="1" customWidth="1"/>
    <col min="2298" max="2298" width="1.81640625" customWidth="1"/>
    <col min="2299" max="2299" width="8" customWidth="1"/>
    <col min="2300" max="2300" width="8" bestFit="1" customWidth="1"/>
    <col min="2301" max="2301" width="9" bestFit="1" customWidth="1"/>
    <col min="2302" max="2302" width="12" bestFit="1" customWidth="1"/>
    <col min="2303" max="2324" width="9" bestFit="1" customWidth="1"/>
    <col min="2325" max="2325" width="7.81640625" bestFit="1" customWidth="1"/>
    <col min="2326" max="2326" width="4.54296875" bestFit="1" customWidth="1"/>
    <col min="2327" max="2327" width="14.1796875" bestFit="1" customWidth="1"/>
    <col min="2554" max="2554" width="1.81640625" customWidth="1"/>
    <col min="2555" max="2555" width="8" customWidth="1"/>
    <col min="2556" max="2556" width="8" bestFit="1" customWidth="1"/>
    <col min="2557" max="2557" width="9" bestFit="1" customWidth="1"/>
    <col min="2558" max="2558" width="12" bestFit="1" customWidth="1"/>
    <col min="2559" max="2580" width="9" bestFit="1" customWidth="1"/>
    <col min="2581" max="2581" width="7.81640625" bestFit="1" customWidth="1"/>
    <col min="2582" max="2582" width="4.54296875" bestFit="1" customWidth="1"/>
    <col min="2583" max="2583" width="14.1796875" bestFit="1" customWidth="1"/>
    <col min="2810" max="2810" width="1.81640625" customWidth="1"/>
    <col min="2811" max="2811" width="8" customWidth="1"/>
    <col min="2812" max="2812" width="8" bestFit="1" customWidth="1"/>
    <col min="2813" max="2813" width="9" bestFit="1" customWidth="1"/>
    <col min="2814" max="2814" width="12" bestFit="1" customWidth="1"/>
    <col min="2815" max="2836" width="9" bestFit="1" customWidth="1"/>
    <col min="2837" max="2837" width="7.81640625" bestFit="1" customWidth="1"/>
    <col min="2838" max="2838" width="4.54296875" bestFit="1" customWidth="1"/>
    <col min="2839" max="2839" width="14.1796875" bestFit="1" customWidth="1"/>
    <col min="3066" max="3066" width="1.81640625" customWidth="1"/>
    <col min="3067" max="3067" width="8" customWidth="1"/>
    <col min="3068" max="3068" width="8" bestFit="1" customWidth="1"/>
    <col min="3069" max="3069" width="9" bestFit="1" customWidth="1"/>
    <col min="3070" max="3070" width="12" bestFit="1" customWidth="1"/>
    <col min="3071" max="3092" width="9" bestFit="1" customWidth="1"/>
    <col min="3093" max="3093" width="7.81640625" bestFit="1" customWidth="1"/>
    <col min="3094" max="3094" width="4.54296875" bestFit="1" customWidth="1"/>
    <col min="3095" max="3095" width="14.1796875" bestFit="1" customWidth="1"/>
    <col min="3322" max="3322" width="1.81640625" customWidth="1"/>
    <col min="3323" max="3323" width="8" customWidth="1"/>
    <col min="3324" max="3324" width="8" bestFit="1" customWidth="1"/>
    <col min="3325" max="3325" width="9" bestFit="1" customWidth="1"/>
    <col min="3326" max="3326" width="12" bestFit="1" customWidth="1"/>
    <col min="3327" max="3348" width="9" bestFit="1" customWidth="1"/>
    <col min="3349" max="3349" width="7.81640625" bestFit="1" customWidth="1"/>
    <col min="3350" max="3350" width="4.54296875" bestFit="1" customWidth="1"/>
    <col min="3351" max="3351" width="14.1796875" bestFit="1" customWidth="1"/>
    <col min="3578" max="3578" width="1.81640625" customWidth="1"/>
    <col min="3579" max="3579" width="8" customWidth="1"/>
    <col min="3580" max="3580" width="8" bestFit="1" customWidth="1"/>
    <col min="3581" max="3581" width="9" bestFit="1" customWidth="1"/>
    <col min="3582" max="3582" width="12" bestFit="1" customWidth="1"/>
    <col min="3583" max="3604" width="9" bestFit="1" customWidth="1"/>
    <col min="3605" max="3605" width="7.81640625" bestFit="1" customWidth="1"/>
    <col min="3606" max="3606" width="4.54296875" bestFit="1" customWidth="1"/>
    <col min="3607" max="3607" width="14.1796875" bestFit="1" customWidth="1"/>
    <col min="3834" max="3834" width="1.81640625" customWidth="1"/>
    <col min="3835" max="3835" width="8" customWidth="1"/>
    <col min="3836" max="3836" width="8" bestFit="1" customWidth="1"/>
    <col min="3837" max="3837" width="9" bestFit="1" customWidth="1"/>
    <col min="3838" max="3838" width="12" bestFit="1" customWidth="1"/>
    <col min="3839" max="3860" width="9" bestFit="1" customWidth="1"/>
    <col min="3861" max="3861" width="7.81640625" bestFit="1" customWidth="1"/>
    <col min="3862" max="3862" width="4.54296875" bestFit="1" customWidth="1"/>
    <col min="3863" max="3863" width="14.1796875" bestFit="1" customWidth="1"/>
    <col min="4090" max="4090" width="1.81640625" customWidth="1"/>
    <col min="4091" max="4091" width="8" customWidth="1"/>
    <col min="4092" max="4092" width="8" bestFit="1" customWidth="1"/>
    <col min="4093" max="4093" width="9" bestFit="1" customWidth="1"/>
    <col min="4094" max="4094" width="12" bestFit="1" customWidth="1"/>
    <col min="4095" max="4116" width="9" bestFit="1" customWidth="1"/>
    <col min="4117" max="4117" width="7.81640625" bestFit="1" customWidth="1"/>
    <col min="4118" max="4118" width="4.54296875" bestFit="1" customWidth="1"/>
    <col min="4119" max="4119" width="14.1796875" bestFit="1" customWidth="1"/>
    <col min="4346" max="4346" width="1.81640625" customWidth="1"/>
    <col min="4347" max="4347" width="8" customWidth="1"/>
    <col min="4348" max="4348" width="8" bestFit="1" customWidth="1"/>
    <col min="4349" max="4349" width="9" bestFit="1" customWidth="1"/>
    <col min="4350" max="4350" width="12" bestFit="1" customWidth="1"/>
    <col min="4351" max="4372" width="9" bestFit="1" customWidth="1"/>
    <col min="4373" max="4373" width="7.81640625" bestFit="1" customWidth="1"/>
    <col min="4374" max="4374" width="4.54296875" bestFit="1" customWidth="1"/>
    <col min="4375" max="4375" width="14.1796875" bestFit="1" customWidth="1"/>
    <col min="4602" max="4602" width="1.81640625" customWidth="1"/>
    <col min="4603" max="4603" width="8" customWidth="1"/>
    <col min="4604" max="4604" width="8" bestFit="1" customWidth="1"/>
    <col min="4605" max="4605" width="9" bestFit="1" customWidth="1"/>
    <col min="4606" max="4606" width="12" bestFit="1" customWidth="1"/>
    <col min="4607" max="4628" width="9" bestFit="1" customWidth="1"/>
    <col min="4629" max="4629" width="7.81640625" bestFit="1" customWidth="1"/>
    <col min="4630" max="4630" width="4.54296875" bestFit="1" customWidth="1"/>
    <col min="4631" max="4631" width="14.1796875" bestFit="1" customWidth="1"/>
    <col min="4858" max="4858" width="1.81640625" customWidth="1"/>
    <col min="4859" max="4859" width="8" customWidth="1"/>
    <col min="4860" max="4860" width="8" bestFit="1" customWidth="1"/>
    <col min="4861" max="4861" width="9" bestFit="1" customWidth="1"/>
    <col min="4862" max="4862" width="12" bestFit="1" customWidth="1"/>
    <col min="4863" max="4884" width="9" bestFit="1" customWidth="1"/>
    <col min="4885" max="4885" width="7.81640625" bestFit="1" customWidth="1"/>
    <col min="4886" max="4886" width="4.54296875" bestFit="1" customWidth="1"/>
    <col min="4887" max="4887" width="14.1796875" bestFit="1" customWidth="1"/>
    <col min="5114" max="5114" width="1.81640625" customWidth="1"/>
    <col min="5115" max="5115" width="8" customWidth="1"/>
    <col min="5116" max="5116" width="8" bestFit="1" customWidth="1"/>
    <col min="5117" max="5117" width="9" bestFit="1" customWidth="1"/>
    <col min="5118" max="5118" width="12" bestFit="1" customWidth="1"/>
    <col min="5119" max="5140" width="9" bestFit="1" customWidth="1"/>
    <col min="5141" max="5141" width="7.81640625" bestFit="1" customWidth="1"/>
    <col min="5142" max="5142" width="4.54296875" bestFit="1" customWidth="1"/>
    <col min="5143" max="5143" width="14.1796875" bestFit="1" customWidth="1"/>
    <col min="5370" max="5370" width="1.81640625" customWidth="1"/>
    <col min="5371" max="5371" width="8" customWidth="1"/>
    <col min="5372" max="5372" width="8" bestFit="1" customWidth="1"/>
    <col min="5373" max="5373" width="9" bestFit="1" customWidth="1"/>
    <col min="5374" max="5374" width="12" bestFit="1" customWidth="1"/>
    <col min="5375" max="5396" width="9" bestFit="1" customWidth="1"/>
    <col min="5397" max="5397" width="7.81640625" bestFit="1" customWidth="1"/>
    <col min="5398" max="5398" width="4.54296875" bestFit="1" customWidth="1"/>
    <col min="5399" max="5399" width="14.1796875" bestFit="1" customWidth="1"/>
    <col min="5626" max="5626" width="1.81640625" customWidth="1"/>
    <col min="5627" max="5627" width="8" customWidth="1"/>
    <col min="5628" max="5628" width="8" bestFit="1" customWidth="1"/>
    <col min="5629" max="5629" width="9" bestFit="1" customWidth="1"/>
    <col min="5630" max="5630" width="12" bestFit="1" customWidth="1"/>
    <col min="5631" max="5652" width="9" bestFit="1" customWidth="1"/>
    <col min="5653" max="5653" width="7.81640625" bestFit="1" customWidth="1"/>
    <col min="5654" max="5654" width="4.54296875" bestFit="1" customWidth="1"/>
    <col min="5655" max="5655" width="14.1796875" bestFit="1" customWidth="1"/>
    <col min="5882" max="5882" width="1.81640625" customWidth="1"/>
    <col min="5883" max="5883" width="8" customWidth="1"/>
    <col min="5884" max="5884" width="8" bestFit="1" customWidth="1"/>
    <col min="5885" max="5885" width="9" bestFit="1" customWidth="1"/>
    <col min="5886" max="5886" width="12" bestFit="1" customWidth="1"/>
    <col min="5887" max="5908" width="9" bestFit="1" customWidth="1"/>
    <col min="5909" max="5909" width="7.81640625" bestFit="1" customWidth="1"/>
    <col min="5910" max="5910" width="4.54296875" bestFit="1" customWidth="1"/>
    <col min="5911" max="5911" width="14.1796875" bestFit="1" customWidth="1"/>
    <col min="6138" max="6138" width="1.81640625" customWidth="1"/>
    <col min="6139" max="6139" width="8" customWidth="1"/>
    <col min="6140" max="6140" width="8" bestFit="1" customWidth="1"/>
    <col min="6141" max="6141" width="9" bestFit="1" customWidth="1"/>
    <col min="6142" max="6142" width="12" bestFit="1" customWidth="1"/>
    <col min="6143" max="6164" width="9" bestFit="1" customWidth="1"/>
    <col min="6165" max="6165" width="7.81640625" bestFit="1" customWidth="1"/>
    <col min="6166" max="6166" width="4.54296875" bestFit="1" customWidth="1"/>
    <col min="6167" max="6167" width="14.1796875" bestFit="1" customWidth="1"/>
    <col min="6394" max="6394" width="1.81640625" customWidth="1"/>
    <col min="6395" max="6395" width="8" customWidth="1"/>
    <col min="6396" max="6396" width="8" bestFit="1" customWidth="1"/>
    <col min="6397" max="6397" width="9" bestFit="1" customWidth="1"/>
    <col min="6398" max="6398" width="12" bestFit="1" customWidth="1"/>
    <col min="6399" max="6420" width="9" bestFit="1" customWidth="1"/>
    <col min="6421" max="6421" width="7.81640625" bestFit="1" customWidth="1"/>
    <col min="6422" max="6422" width="4.54296875" bestFit="1" customWidth="1"/>
    <col min="6423" max="6423" width="14.1796875" bestFit="1" customWidth="1"/>
    <col min="6650" max="6650" width="1.81640625" customWidth="1"/>
    <col min="6651" max="6651" width="8" customWidth="1"/>
    <col min="6652" max="6652" width="8" bestFit="1" customWidth="1"/>
    <col min="6653" max="6653" width="9" bestFit="1" customWidth="1"/>
    <col min="6654" max="6654" width="12" bestFit="1" customWidth="1"/>
    <col min="6655" max="6676" width="9" bestFit="1" customWidth="1"/>
    <col min="6677" max="6677" width="7.81640625" bestFit="1" customWidth="1"/>
    <col min="6678" max="6678" width="4.54296875" bestFit="1" customWidth="1"/>
    <col min="6679" max="6679" width="14.1796875" bestFit="1" customWidth="1"/>
    <col min="6906" max="6906" width="1.81640625" customWidth="1"/>
    <col min="6907" max="6907" width="8" customWidth="1"/>
    <col min="6908" max="6908" width="8" bestFit="1" customWidth="1"/>
    <col min="6909" max="6909" width="9" bestFit="1" customWidth="1"/>
    <col min="6910" max="6910" width="12" bestFit="1" customWidth="1"/>
    <col min="6911" max="6932" width="9" bestFit="1" customWidth="1"/>
    <col min="6933" max="6933" width="7.81640625" bestFit="1" customWidth="1"/>
    <col min="6934" max="6934" width="4.54296875" bestFit="1" customWidth="1"/>
    <col min="6935" max="6935" width="14.1796875" bestFit="1" customWidth="1"/>
    <col min="7162" max="7162" width="1.81640625" customWidth="1"/>
    <col min="7163" max="7163" width="8" customWidth="1"/>
    <col min="7164" max="7164" width="8" bestFit="1" customWidth="1"/>
    <col min="7165" max="7165" width="9" bestFit="1" customWidth="1"/>
    <col min="7166" max="7166" width="12" bestFit="1" customWidth="1"/>
    <col min="7167" max="7188" width="9" bestFit="1" customWidth="1"/>
    <col min="7189" max="7189" width="7.81640625" bestFit="1" customWidth="1"/>
    <col min="7190" max="7190" width="4.54296875" bestFit="1" customWidth="1"/>
    <col min="7191" max="7191" width="14.1796875" bestFit="1" customWidth="1"/>
    <col min="7418" max="7418" width="1.81640625" customWidth="1"/>
    <col min="7419" max="7419" width="8" customWidth="1"/>
    <col min="7420" max="7420" width="8" bestFit="1" customWidth="1"/>
    <col min="7421" max="7421" width="9" bestFit="1" customWidth="1"/>
    <col min="7422" max="7422" width="12" bestFit="1" customWidth="1"/>
    <col min="7423" max="7444" width="9" bestFit="1" customWidth="1"/>
    <col min="7445" max="7445" width="7.81640625" bestFit="1" customWidth="1"/>
    <col min="7446" max="7446" width="4.54296875" bestFit="1" customWidth="1"/>
    <col min="7447" max="7447" width="14.1796875" bestFit="1" customWidth="1"/>
    <col min="7674" max="7674" width="1.81640625" customWidth="1"/>
    <col min="7675" max="7675" width="8" customWidth="1"/>
    <col min="7676" max="7676" width="8" bestFit="1" customWidth="1"/>
    <col min="7677" max="7677" width="9" bestFit="1" customWidth="1"/>
    <col min="7678" max="7678" width="12" bestFit="1" customWidth="1"/>
    <col min="7679" max="7700" width="9" bestFit="1" customWidth="1"/>
    <col min="7701" max="7701" width="7.81640625" bestFit="1" customWidth="1"/>
    <col min="7702" max="7702" width="4.54296875" bestFit="1" customWidth="1"/>
    <col min="7703" max="7703" width="14.1796875" bestFit="1" customWidth="1"/>
    <col min="7930" max="7930" width="1.81640625" customWidth="1"/>
    <col min="7931" max="7931" width="8" customWidth="1"/>
    <col min="7932" max="7932" width="8" bestFit="1" customWidth="1"/>
    <col min="7933" max="7933" width="9" bestFit="1" customWidth="1"/>
    <col min="7934" max="7934" width="12" bestFit="1" customWidth="1"/>
    <col min="7935" max="7956" width="9" bestFit="1" customWidth="1"/>
    <col min="7957" max="7957" width="7.81640625" bestFit="1" customWidth="1"/>
    <col min="7958" max="7958" width="4.54296875" bestFit="1" customWidth="1"/>
    <col min="7959" max="7959" width="14.1796875" bestFit="1" customWidth="1"/>
    <col min="8186" max="8186" width="1.81640625" customWidth="1"/>
    <col min="8187" max="8187" width="8" customWidth="1"/>
    <col min="8188" max="8188" width="8" bestFit="1" customWidth="1"/>
    <col min="8189" max="8189" width="9" bestFit="1" customWidth="1"/>
    <col min="8190" max="8190" width="12" bestFit="1" customWidth="1"/>
    <col min="8191" max="8212" width="9" bestFit="1" customWidth="1"/>
    <col min="8213" max="8213" width="7.81640625" bestFit="1" customWidth="1"/>
    <col min="8214" max="8214" width="4.54296875" bestFit="1" customWidth="1"/>
    <col min="8215" max="8215" width="14.1796875" bestFit="1" customWidth="1"/>
    <col min="8442" max="8442" width="1.81640625" customWidth="1"/>
    <col min="8443" max="8443" width="8" customWidth="1"/>
    <col min="8444" max="8444" width="8" bestFit="1" customWidth="1"/>
    <col min="8445" max="8445" width="9" bestFit="1" customWidth="1"/>
    <col min="8446" max="8446" width="12" bestFit="1" customWidth="1"/>
    <col min="8447" max="8468" width="9" bestFit="1" customWidth="1"/>
    <col min="8469" max="8469" width="7.81640625" bestFit="1" customWidth="1"/>
    <col min="8470" max="8470" width="4.54296875" bestFit="1" customWidth="1"/>
    <col min="8471" max="8471" width="14.1796875" bestFit="1" customWidth="1"/>
    <col min="8698" max="8698" width="1.81640625" customWidth="1"/>
    <col min="8699" max="8699" width="8" customWidth="1"/>
    <col min="8700" max="8700" width="8" bestFit="1" customWidth="1"/>
    <col min="8701" max="8701" width="9" bestFit="1" customWidth="1"/>
    <col min="8702" max="8702" width="12" bestFit="1" customWidth="1"/>
    <col min="8703" max="8724" width="9" bestFit="1" customWidth="1"/>
    <col min="8725" max="8725" width="7.81640625" bestFit="1" customWidth="1"/>
    <col min="8726" max="8726" width="4.54296875" bestFit="1" customWidth="1"/>
    <col min="8727" max="8727" width="14.1796875" bestFit="1" customWidth="1"/>
    <col min="8954" max="8954" width="1.81640625" customWidth="1"/>
    <col min="8955" max="8955" width="8" customWidth="1"/>
    <col min="8956" max="8956" width="8" bestFit="1" customWidth="1"/>
    <col min="8957" max="8957" width="9" bestFit="1" customWidth="1"/>
    <col min="8958" max="8958" width="12" bestFit="1" customWidth="1"/>
    <col min="8959" max="8980" width="9" bestFit="1" customWidth="1"/>
    <col min="8981" max="8981" width="7.81640625" bestFit="1" customWidth="1"/>
    <col min="8982" max="8982" width="4.54296875" bestFit="1" customWidth="1"/>
    <col min="8983" max="8983" width="14.1796875" bestFit="1" customWidth="1"/>
    <col min="9210" max="9210" width="1.81640625" customWidth="1"/>
    <col min="9211" max="9211" width="8" customWidth="1"/>
    <col min="9212" max="9212" width="8" bestFit="1" customWidth="1"/>
    <col min="9213" max="9213" width="9" bestFit="1" customWidth="1"/>
    <col min="9214" max="9214" width="12" bestFit="1" customWidth="1"/>
    <col min="9215" max="9236" width="9" bestFit="1" customWidth="1"/>
    <col min="9237" max="9237" width="7.81640625" bestFit="1" customWidth="1"/>
    <col min="9238" max="9238" width="4.54296875" bestFit="1" customWidth="1"/>
    <col min="9239" max="9239" width="14.1796875" bestFit="1" customWidth="1"/>
    <col min="9466" max="9466" width="1.81640625" customWidth="1"/>
    <col min="9467" max="9467" width="8" customWidth="1"/>
    <col min="9468" max="9468" width="8" bestFit="1" customWidth="1"/>
    <col min="9469" max="9469" width="9" bestFit="1" customWidth="1"/>
    <col min="9470" max="9470" width="12" bestFit="1" customWidth="1"/>
    <col min="9471" max="9492" width="9" bestFit="1" customWidth="1"/>
    <col min="9493" max="9493" width="7.81640625" bestFit="1" customWidth="1"/>
    <col min="9494" max="9494" width="4.54296875" bestFit="1" customWidth="1"/>
    <col min="9495" max="9495" width="14.1796875" bestFit="1" customWidth="1"/>
    <col min="9722" max="9722" width="1.81640625" customWidth="1"/>
    <col min="9723" max="9723" width="8" customWidth="1"/>
    <col min="9724" max="9724" width="8" bestFit="1" customWidth="1"/>
    <col min="9725" max="9725" width="9" bestFit="1" customWidth="1"/>
    <col min="9726" max="9726" width="12" bestFit="1" customWidth="1"/>
    <col min="9727" max="9748" width="9" bestFit="1" customWidth="1"/>
    <col min="9749" max="9749" width="7.81640625" bestFit="1" customWidth="1"/>
    <col min="9750" max="9750" width="4.54296875" bestFit="1" customWidth="1"/>
    <col min="9751" max="9751" width="14.1796875" bestFit="1" customWidth="1"/>
    <col min="9978" max="9978" width="1.81640625" customWidth="1"/>
    <col min="9979" max="9979" width="8" customWidth="1"/>
    <col min="9980" max="9980" width="8" bestFit="1" customWidth="1"/>
    <col min="9981" max="9981" width="9" bestFit="1" customWidth="1"/>
    <col min="9982" max="9982" width="12" bestFit="1" customWidth="1"/>
    <col min="9983" max="10004" width="9" bestFit="1" customWidth="1"/>
    <col min="10005" max="10005" width="7.81640625" bestFit="1" customWidth="1"/>
    <col min="10006" max="10006" width="4.54296875" bestFit="1" customWidth="1"/>
    <col min="10007" max="10007" width="14.1796875" bestFit="1" customWidth="1"/>
    <col min="10234" max="10234" width="1.81640625" customWidth="1"/>
    <col min="10235" max="10235" width="8" customWidth="1"/>
    <col min="10236" max="10236" width="8" bestFit="1" customWidth="1"/>
    <col min="10237" max="10237" width="9" bestFit="1" customWidth="1"/>
    <col min="10238" max="10238" width="12" bestFit="1" customWidth="1"/>
    <col min="10239" max="10260" width="9" bestFit="1" customWidth="1"/>
    <col min="10261" max="10261" width="7.81640625" bestFit="1" customWidth="1"/>
    <col min="10262" max="10262" width="4.54296875" bestFit="1" customWidth="1"/>
    <col min="10263" max="10263" width="14.1796875" bestFit="1" customWidth="1"/>
    <col min="10490" max="10490" width="1.81640625" customWidth="1"/>
    <col min="10491" max="10491" width="8" customWidth="1"/>
    <col min="10492" max="10492" width="8" bestFit="1" customWidth="1"/>
    <col min="10493" max="10493" width="9" bestFit="1" customWidth="1"/>
    <col min="10494" max="10494" width="12" bestFit="1" customWidth="1"/>
    <col min="10495" max="10516" width="9" bestFit="1" customWidth="1"/>
    <col min="10517" max="10517" width="7.81640625" bestFit="1" customWidth="1"/>
    <col min="10518" max="10518" width="4.54296875" bestFit="1" customWidth="1"/>
    <col min="10519" max="10519" width="14.1796875" bestFit="1" customWidth="1"/>
    <col min="10746" max="10746" width="1.81640625" customWidth="1"/>
    <col min="10747" max="10747" width="8" customWidth="1"/>
    <col min="10748" max="10748" width="8" bestFit="1" customWidth="1"/>
    <col min="10749" max="10749" width="9" bestFit="1" customWidth="1"/>
    <col min="10750" max="10750" width="12" bestFit="1" customWidth="1"/>
    <col min="10751" max="10772" width="9" bestFit="1" customWidth="1"/>
    <col min="10773" max="10773" width="7.81640625" bestFit="1" customWidth="1"/>
    <col min="10774" max="10774" width="4.54296875" bestFit="1" customWidth="1"/>
    <col min="10775" max="10775" width="14.1796875" bestFit="1" customWidth="1"/>
    <col min="11002" max="11002" width="1.81640625" customWidth="1"/>
    <col min="11003" max="11003" width="8" customWidth="1"/>
    <col min="11004" max="11004" width="8" bestFit="1" customWidth="1"/>
    <col min="11005" max="11005" width="9" bestFit="1" customWidth="1"/>
    <col min="11006" max="11006" width="12" bestFit="1" customWidth="1"/>
    <col min="11007" max="11028" width="9" bestFit="1" customWidth="1"/>
    <col min="11029" max="11029" width="7.81640625" bestFit="1" customWidth="1"/>
    <col min="11030" max="11030" width="4.54296875" bestFit="1" customWidth="1"/>
    <col min="11031" max="11031" width="14.1796875" bestFit="1" customWidth="1"/>
    <col min="11258" max="11258" width="1.81640625" customWidth="1"/>
    <col min="11259" max="11259" width="8" customWidth="1"/>
    <col min="11260" max="11260" width="8" bestFit="1" customWidth="1"/>
    <col min="11261" max="11261" width="9" bestFit="1" customWidth="1"/>
    <col min="11262" max="11262" width="12" bestFit="1" customWidth="1"/>
    <col min="11263" max="11284" width="9" bestFit="1" customWidth="1"/>
    <col min="11285" max="11285" width="7.81640625" bestFit="1" customWidth="1"/>
    <col min="11286" max="11286" width="4.54296875" bestFit="1" customWidth="1"/>
    <col min="11287" max="11287" width="14.1796875" bestFit="1" customWidth="1"/>
    <col min="11514" max="11514" width="1.81640625" customWidth="1"/>
    <col min="11515" max="11515" width="8" customWidth="1"/>
    <col min="11516" max="11516" width="8" bestFit="1" customWidth="1"/>
    <col min="11517" max="11517" width="9" bestFit="1" customWidth="1"/>
    <col min="11518" max="11518" width="12" bestFit="1" customWidth="1"/>
    <col min="11519" max="11540" width="9" bestFit="1" customWidth="1"/>
    <col min="11541" max="11541" width="7.81640625" bestFit="1" customWidth="1"/>
    <col min="11542" max="11542" width="4.54296875" bestFit="1" customWidth="1"/>
    <col min="11543" max="11543" width="14.1796875" bestFit="1" customWidth="1"/>
    <col min="11770" max="11770" width="1.81640625" customWidth="1"/>
    <col min="11771" max="11771" width="8" customWidth="1"/>
    <col min="11772" max="11772" width="8" bestFit="1" customWidth="1"/>
    <col min="11773" max="11773" width="9" bestFit="1" customWidth="1"/>
    <col min="11774" max="11774" width="12" bestFit="1" customWidth="1"/>
    <col min="11775" max="11796" width="9" bestFit="1" customWidth="1"/>
    <col min="11797" max="11797" width="7.81640625" bestFit="1" customWidth="1"/>
    <col min="11798" max="11798" width="4.54296875" bestFit="1" customWidth="1"/>
    <col min="11799" max="11799" width="14.1796875" bestFit="1" customWidth="1"/>
    <col min="12026" max="12026" width="1.81640625" customWidth="1"/>
    <col min="12027" max="12027" width="8" customWidth="1"/>
    <col min="12028" max="12028" width="8" bestFit="1" customWidth="1"/>
    <col min="12029" max="12029" width="9" bestFit="1" customWidth="1"/>
    <col min="12030" max="12030" width="12" bestFit="1" customWidth="1"/>
    <col min="12031" max="12052" width="9" bestFit="1" customWidth="1"/>
    <col min="12053" max="12053" width="7.81640625" bestFit="1" customWidth="1"/>
    <col min="12054" max="12054" width="4.54296875" bestFit="1" customWidth="1"/>
    <col min="12055" max="12055" width="14.1796875" bestFit="1" customWidth="1"/>
    <col min="12282" max="12282" width="1.81640625" customWidth="1"/>
    <col min="12283" max="12283" width="8" customWidth="1"/>
    <col min="12284" max="12284" width="8" bestFit="1" customWidth="1"/>
    <col min="12285" max="12285" width="9" bestFit="1" customWidth="1"/>
    <col min="12286" max="12286" width="12" bestFit="1" customWidth="1"/>
    <col min="12287" max="12308" width="9" bestFit="1" customWidth="1"/>
    <col min="12309" max="12309" width="7.81640625" bestFit="1" customWidth="1"/>
    <col min="12310" max="12310" width="4.54296875" bestFit="1" customWidth="1"/>
    <col min="12311" max="12311" width="14.1796875" bestFit="1" customWidth="1"/>
    <col min="12538" max="12538" width="1.81640625" customWidth="1"/>
    <col min="12539" max="12539" width="8" customWidth="1"/>
    <col min="12540" max="12540" width="8" bestFit="1" customWidth="1"/>
    <col min="12541" max="12541" width="9" bestFit="1" customWidth="1"/>
    <col min="12542" max="12542" width="12" bestFit="1" customWidth="1"/>
    <col min="12543" max="12564" width="9" bestFit="1" customWidth="1"/>
    <col min="12565" max="12565" width="7.81640625" bestFit="1" customWidth="1"/>
    <col min="12566" max="12566" width="4.54296875" bestFit="1" customWidth="1"/>
    <col min="12567" max="12567" width="14.1796875" bestFit="1" customWidth="1"/>
    <col min="12794" max="12794" width="1.81640625" customWidth="1"/>
    <col min="12795" max="12795" width="8" customWidth="1"/>
    <col min="12796" max="12796" width="8" bestFit="1" customWidth="1"/>
    <col min="12797" max="12797" width="9" bestFit="1" customWidth="1"/>
    <col min="12798" max="12798" width="12" bestFit="1" customWidth="1"/>
    <col min="12799" max="12820" width="9" bestFit="1" customWidth="1"/>
    <col min="12821" max="12821" width="7.81640625" bestFit="1" customWidth="1"/>
    <col min="12822" max="12822" width="4.54296875" bestFit="1" customWidth="1"/>
    <col min="12823" max="12823" width="14.1796875" bestFit="1" customWidth="1"/>
    <col min="13050" max="13050" width="1.81640625" customWidth="1"/>
    <col min="13051" max="13051" width="8" customWidth="1"/>
    <col min="13052" max="13052" width="8" bestFit="1" customWidth="1"/>
    <col min="13053" max="13053" width="9" bestFit="1" customWidth="1"/>
    <col min="13054" max="13054" width="12" bestFit="1" customWidth="1"/>
    <col min="13055" max="13076" width="9" bestFit="1" customWidth="1"/>
    <col min="13077" max="13077" width="7.81640625" bestFit="1" customWidth="1"/>
    <col min="13078" max="13078" width="4.54296875" bestFit="1" customWidth="1"/>
    <col min="13079" max="13079" width="14.1796875" bestFit="1" customWidth="1"/>
    <col min="13306" max="13306" width="1.81640625" customWidth="1"/>
    <col min="13307" max="13307" width="8" customWidth="1"/>
    <col min="13308" max="13308" width="8" bestFit="1" customWidth="1"/>
    <col min="13309" max="13309" width="9" bestFit="1" customWidth="1"/>
    <col min="13310" max="13310" width="12" bestFit="1" customWidth="1"/>
    <col min="13311" max="13332" width="9" bestFit="1" customWidth="1"/>
    <col min="13333" max="13333" width="7.81640625" bestFit="1" customWidth="1"/>
    <col min="13334" max="13334" width="4.54296875" bestFit="1" customWidth="1"/>
    <col min="13335" max="13335" width="14.1796875" bestFit="1" customWidth="1"/>
    <col min="13562" max="13562" width="1.81640625" customWidth="1"/>
    <col min="13563" max="13563" width="8" customWidth="1"/>
    <col min="13564" max="13564" width="8" bestFit="1" customWidth="1"/>
    <col min="13565" max="13565" width="9" bestFit="1" customWidth="1"/>
    <col min="13566" max="13566" width="12" bestFit="1" customWidth="1"/>
    <col min="13567" max="13588" width="9" bestFit="1" customWidth="1"/>
    <col min="13589" max="13589" width="7.81640625" bestFit="1" customWidth="1"/>
    <col min="13590" max="13590" width="4.54296875" bestFit="1" customWidth="1"/>
    <col min="13591" max="13591" width="14.1796875" bestFit="1" customWidth="1"/>
    <col min="13818" max="13818" width="1.81640625" customWidth="1"/>
    <col min="13819" max="13819" width="8" customWidth="1"/>
    <col min="13820" max="13820" width="8" bestFit="1" customWidth="1"/>
    <col min="13821" max="13821" width="9" bestFit="1" customWidth="1"/>
    <col min="13822" max="13822" width="12" bestFit="1" customWidth="1"/>
    <col min="13823" max="13844" width="9" bestFit="1" customWidth="1"/>
    <col min="13845" max="13845" width="7.81640625" bestFit="1" customWidth="1"/>
    <col min="13846" max="13846" width="4.54296875" bestFit="1" customWidth="1"/>
    <col min="13847" max="13847" width="14.1796875" bestFit="1" customWidth="1"/>
    <col min="14074" max="14074" width="1.81640625" customWidth="1"/>
    <col min="14075" max="14075" width="8" customWidth="1"/>
    <col min="14076" max="14076" width="8" bestFit="1" customWidth="1"/>
    <col min="14077" max="14077" width="9" bestFit="1" customWidth="1"/>
    <col min="14078" max="14078" width="12" bestFit="1" customWidth="1"/>
    <col min="14079" max="14100" width="9" bestFit="1" customWidth="1"/>
    <col min="14101" max="14101" width="7.81640625" bestFit="1" customWidth="1"/>
    <col min="14102" max="14102" width="4.54296875" bestFit="1" customWidth="1"/>
    <col min="14103" max="14103" width="14.1796875" bestFit="1" customWidth="1"/>
    <col min="14330" max="14330" width="1.81640625" customWidth="1"/>
    <col min="14331" max="14331" width="8" customWidth="1"/>
    <col min="14332" max="14332" width="8" bestFit="1" customWidth="1"/>
    <col min="14333" max="14333" width="9" bestFit="1" customWidth="1"/>
    <col min="14334" max="14334" width="12" bestFit="1" customWidth="1"/>
    <col min="14335" max="14356" width="9" bestFit="1" customWidth="1"/>
    <col min="14357" max="14357" width="7.81640625" bestFit="1" customWidth="1"/>
    <col min="14358" max="14358" width="4.54296875" bestFit="1" customWidth="1"/>
    <col min="14359" max="14359" width="14.1796875" bestFit="1" customWidth="1"/>
    <col min="14586" max="14586" width="1.81640625" customWidth="1"/>
    <col min="14587" max="14587" width="8" customWidth="1"/>
    <col min="14588" max="14588" width="8" bestFit="1" customWidth="1"/>
    <col min="14589" max="14589" width="9" bestFit="1" customWidth="1"/>
    <col min="14590" max="14590" width="12" bestFit="1" customWidth="1"/>
    <col min="14591" max="14612" width="9" bestFit="1" customWidth="1"/>
    <col min="14613" max="14613" width="7.81640625" bestFit="1" customWidth="1"/>
    <col min="14614" max="14614" width="4.54296875" bestFit="1" customWidth="1"/>
    <col min="14615" max="14615" width="14.1796875" bestFit="1" customWidth="1"/>
    <col min="14842" max="14842" width="1.81640625" customWidth="1"/>
    <col min="14843" max="14843" width="8" customWidth="1"/>
    <col min="14844" max="14844" width="8" bestFit="1" customWidth="1"/>
    <col min="14845" max="14845" width="9" bestFit="1" customWidth="1"/>
    <col min="14846" max="14846" width="12" bestFit="1" customWidth="1"/>
    <col min="14847" max="14868" width="9" bestFit="1" customWidth="1"/>
    <col min="14869" max="14869" width="7.81640625" bestFit="1" customWidth="1"/>
    <col min="14870" max="14870" width="4.54296875" bestFit="1" customWidth="1"/>
    <col min="14871" max="14871" width="14.1796875" bestFit="1" customWidth="1"/>
    <col min="15098" max="15098" width="1.81640625" customWidth="1"/>
    <col min="15099" max="15099" width="8" customWidth="1"/>
    <col min="15100" max="15100" width="8" bestFit="1" customWidth="1"/>
    <col min="15101" max="15101" width="9" bestFit="1" customWidth="1"/>
    <col min="15102" max="15102" width="12" bestFit="1" customWidth="1"/>
    <col min="15103" max="15124" width="9" bestFit="1" customWidth="1"/>
    <col min="15125" max="15125" width="7.81640625" bestFit="1" customWidth="1"/>
    <col min="15126" max="15126" width="4.54296875" bestFit="1" customWidth="1"/>
    <col min="15127" max="15127" width="14.1796875" bestFit="1" customWidth="1"/>
    <col min="15354" max="15354" width="1.81640625" customWidth="1"/>
    <col min="15355" max="15355" width="8" customWidth="1"/>
    <col min="15356" max="15356" width="8" bestFit="1" customWidth="1"/>
    <col min="15357" max="15357" width="9" bestFit="1" customWidth="1"/>
    <col min="15358" max="15358" width="12" bestFit="1" customWidth="1"/>
    <col min="15359" max="15380" width="9" bestFit="1" customWidth="1"/>
    <col min="15381" max="15381" width="7.81640625" bestFit="1" customWidth="1"/>
    <col min="15382" max="15382" width="4.54296875" bestFit="1" customWidth="1"/>
    <col min="15383" max="15383" width="14.1796875" bestFit="1" customWidth="1"/>
    <col min="15610" max="15610" width="1.81640625" customWidth="1"/>
    <col min="15611" max="15611" width="8" customWidth="1"/>
    <col min="15612" max="15612" width="8" bestFit="1" customWidth="1"/>
    <col min="15613" max="15613" width="9" bestFit="1" customWidth="1"/>
    <col min="15614" max="15614" width="12" bestFit="1" customWidth="1"/>
    <col min="15615" max="15636" width="9" bestFit="1" customWidth="1"/>
    <col min="15637" max="15637" width="7.81640625" bestFit="1" customWidth="1"/>
    <col min="15638" max="15638" width="4.54296875" bestFit="1" customWidth="1"/>
    <col min="15639" max="15639" width="14.1796875" bestFit="1" customWidth="1"/>
    <col min="15866" max="15866" width="1.81640625" customWidth="1"/>
    <col min="15867" max="15867" width="8" customWidth="1"/>
    <col min="15868" max="15868" width="8" bestFit="1" customWidth="1"/>
    <col min="15869" max="15869" width="9" bestFit="1" customWidth="1"/>
    <col min="15870" max="15870" width="12" bestFit="1" customWidth="1"/>
    <col min="15871" max="15892" width="9" bestFit="1" customWidth="1"/>
    <col min="15893" max="15893" width="7.81640625" bestFit="1" customWidth="1"/>
    <col min="15894" max="15894" width="4.54296875" bestFit="1" customWidth="1"/>
    <col min="15895" max="15895" width="14.1796875" bestFit="1" customWidth="1"/>
    <col min="16122" max="16122" width="1.81640625" customWidth="1"/>
    <col min="16123" max="16123" width="8" customWidth="1"/>
    <col min="16124" max="16124" width="8" bestFit="1" customWidth="1"/>
    <col min="16125" max="16125" width="9" bestFit="1" customWidth="1"/>
    <col min="16126" max="16126" width="12" bestFit="1" customWidth="1"/>
    <col min="16127" max="16148" width="9" bestFit="1" customWidth="1"/>
    <col min="16149" max="16149" width="7.81640625" bestFit="1" customWidth="1"/>
    <col min="16150" max="16150" width="4.54296875" bestFit="1" customWidth="1"/>
    <col min="16151" max="16151" width="14.1796875" bestFit="1" customWidth="1"/>
  </cols>
  <sheetData>
    <row r="2" spans="2:60" ht="15.5">
      <c r="B2" s="53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2:60" ht="15.5">
      <c r="B3" s="53" t="s">
        <v>52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2:60" ht="16" thickBot="1">
      <c r="B4" s="54" t="s">
        <v>53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</row>
    <row r="5" spans="2:60" ht="25.5" customHeight="1" thickBot="1">
      <c r="B5" s="37"/>
      <c r="C5" s="38" t="s">
        <v>1</v>
      </c>
      <c r="D5" s="39">
        <v>1</v>
      </c>
      <c r="E5" s="39">
        <v>2</v>
      </c>
      <c r="F5" s="39">
        <v>3</v>
      </c>
      <c r="G5" s="39">
        <v>4</v>
      </c>
      <c r="H5" s="39">
        <v>5</v>
      </c>
      <c r="I5" s="39">
        <v>6</v>
      </c>
      <c r="J5" s="40">
        <v>7</v>
      </c>
      <c r="K5" s="40">
        <v>8</v>
      </c>
      <c r="L5" s="40">
        <v>9</v>
      </c>
      <c r="M5" s="40">
        <v>10</v>
      </c>
      <c r="N5" s="40">
        <v>11</v>
      </c>
      <c r="O5" s="40">
        <v>12</v>
      </c>
      <c r="P5" s="40">
        <v>13</v>
      </c>
      <c r="Q5" s="40">
        <v>14</v>
      </c>
      <c r="R5" s="40">
        <v>15</v>
      </c>
      <c r="S5" s="40">
        <v>16</v>
      </c>
      <c r="T5" s="40">
        <v>17</v>
      </c>
      <c r="U5" s="40">
        <v>18</v>
      </c>
      <c r="V5" s="41">
        <v>19</v>
      </c>
      <c r="W5" s="41">
        <v>20</v>
      </c>
      <c r="X5" s="41">
        <v>21</v>
      </c>
      <c r="Y5" s="39">
        <v>22</v>
      </c>
      <c r="Z5" s="39">
        <v>23</v>
      </c>
      <c r="AA5" s="42">
        <v>24</v>
      </c>
      <c r="AB5" s="14" t="s">
        <v>2</v>
      </c>
      <c r="AC5" s="15" t="s">
        <v>3</v>
      </c>
      <c r="AD5" s="16" t="s">
        <v>2</v>
      </c>
    </row>
    <row r="6" spans="2:60">
      <c r="B6" s="47">
        <v>47119</v>
      </c>
      <c r="C6" s="8" t="s">
        <v>5</v>
      </c>
      <c r="D6" s="7">
        <v>8940.64</v>
      </c>
      <c r="E6" s="7">
        <v>8940.64</v>
      </c>
      <c r="F6" s="7">
        <v>8940.64</v>
      </c>
      <c r="G6" s="7">
        <v>8940.64</v>
      </c>
      <c r="H6" s="7">
        <v>8940.64</v>
      </c>
      <c r="I6" s="7">
        <v>8940.64</v>
      </c>
      <c r="J6" s="7">
        <v>8940.64</v>
      </c>
      <c r="K6" s="7">
        <v>8940.64</v>
      </c>
      <c r="L6" s="7">
        <v>8940.64</v>
      </c>
      <c r="M6" s="7">
        <v>8940.64</v>
      </c>
      <c r="N6" s="7">
        <v>8940.64</v>
      </c>
      <c r="O6" s="7">
        <v>8940.64</v>
      </c>
      <c r="P6" s="7">
        <v>8940.64</v>
      </c>
      <c r="Q6" s="7">
        <v>8940.64</v>
      </c>
      <c r="R6" s="7">
        <v>8940.64</v>
      </c>
      <c r="S6" s="7">
        <v>8940.64</v>
      </c>
      <c r="T6" s="7">
        <v>8940.64</v>
      </c>
      <c r="U6" s="7">
        <v>8940.64</v>
      </c>
      <c r="V6" s="7">
        <v>8940.64</v>
      </c>
      <c r="W6" s="7">
        <v>8940.64</v>
      </c>
      <c r="X6" s="7">
        <v>8940.64</v>
      </c>
      <c r="Y6" s="7">
        <v>8940.64</v>
      </c>
      <c r="Z6" s="7">
        <v>8940.64</v>
      </c>
      <c r="AA6" s="11">
        <v>8940.64</v>
      </c>
      <c r="AB6" s="5">
        <f t="shared" ref="AB6:AB53" si="0">(SUM(D6:AA6))</f>
        <v>214575.3600000001</v>
      </c>
      <c r="AC6" s="5">
        <v>21</v>
      </c>
      <c r="AD6" s="50">
        <f>(AB6*AC6)+(AB7*AC7)+(AB8*AC8)+(AB9*AC9)</f>
        <v>6651836.1600000039</v>
      </c>
      <c r="AE6" s="83">
        <f>+AD6</f>
        <v>6651836.1600000039</v>
      </c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</row>
    <row r="7" spans="2:60">
      <c r="B7" s="48"/>
      <c r="C7" s="1" t="s">
        <v>6</v>
      </c>
      <c r="D7" s="2">
        <v>8940.64</v>
      </c>
      <c r="E7" s="2">
        <v>8940.64</v>
      </c>
      <c r="F7" s="2">
        <v>8940.64</v>
      </c>
      <c r="G7" s="2">
        <v>8940.64</v>
      </c>
      <c r="H7" s="2">
        <v>8940.64</v>
      </c>
      <c r="I7" s="2">
        <v>8940.64</v>
      </c>
      <c r="J7" s="2">
        <v>8940.64</v>
      </c>
      <c r="K7" s="2">
        <v>8940.64</v>
      </c>
      <c r="L7" s="2">
        <v>8940.64</v>
      </c>
      <c r="M7" s="2">
        <v>8940.64</v>
      </c>
      <c r="N7" s="2">
        <v>8940.64</v>
      </c>
      <c r="O7" s="2">
        <v>8940.64</v>
      </c>
      <c r="P7" s="2">
        <v>8940.64</v>
      </c>
      <c r="Q7" s="2">
        <v>8940.64</v>
      </c>
      <c r="R7" s="2">
        <v>8940.64</v>
      </c>
      <c r="S7" s="2">
        <v>8940.64</v>
      </c>
      <c r="T7" s="2">
        <v>8940.64</v>
      </c>
      <c r="U7" s="2">
        <v>8940.64</v>
      </c>
      <c r="V7" s="2">
        <v>8940.64</v>
      </c>
      <c r="W7" s="2">
        <v>8940.64</v>
      </c>
      <c r="X7" s="2">
        <v>8940.64</v>
      </c>
      <c r="Y7" s="2">
        <v>8940.64</v>
      </c>
      <c r="Z7" s="2">
        <v>8940.64</v>
      </c>
      <c r="AA7" s="12">
        <v>8940.64</v>
      </c>
      <c r="AB7" s="3">
        <f t="shared" si="0"/>
        <v>214575.3600000001</v>
      </c>
      <c r="AC7" s="3">
        <v>4</v>
      </c>
      <c r="AD7" s="51"/>
      <c r="AE7" s="83">
        <f>+AD10</f>
        <v>6008110.0800000029</v>
      </c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</row>
    <row r="8" spans="2:60">
      <c r="B8" s="48"/>
      <c r="C8" s="1" t="s">
        <v>7</v>
      </c>
      <c r="D8" s="2">
        <v>8940.64</v>
      </c>
      <c r="E8" s="2">
        <v>8940.64</v>
      </c>
      <c r="F8" s="2">
        <v>8940.64</v>
      </c>
      <c r="G8" s="2">
        <v>8940.64</v>
      </c>
      <c r="H8" s="2">
        <v>8940.64</v>
      </c>
      <c r="I8" s="2">
        <v>8940.64</v>
      </c>
      <c r="J8" s="2">
        <v>8940.64</v>
      </c>
      <c r="K8" s="2">
        <v>8940.64</v>
      </c>
      <c r="L8" s="2">
        <v>8940.64</v>
      </c>
      <c r="M8" s="2">
        <v>8940.64</v>
      </c>
      <c r="N8" s="2">
        <v>8940.64</v>
      </c>
      <c r="O8" s="2">
        <v>8940.64</v>
      </c>
      <c r="P8" s="2">
        <v>8940.64</v>
      </c>
      <c r="Q8" s="2">
        <v>8940.64</v>
      </c>
      <c r="R8" s="2">
        <v>8940.64</v>
      </c>
      <c r="S8" s="2">
        <v>8940.64</v>
      </c>
      <c r="T8" s="2">
        <v>8940.64</v>
      </c>
      <c r="U8" s="2">
        <v>8940.64</v>
      </c>
      <c r="V8" s="2">
        <v>8940.64</v>
      </c>
      <c r="W8" s="2">
        <v>8940.64</v>
      </c>
      <c r="X8" s="2">
        <v>8940.64</v>
      </c>
      <c r="Y8" s="2">
        <v>8940.64</v>
      </c>
      <c r="Z8" s="2">
        <v>8940.64</v>
      </c>
      <c r="AA8" s="12">
        <v>8940.64</v>
      </c>
      <c r="AB8" s="3">
        <f t="shared" si="0"/>
        <v>214575.3600000001</v>
      </c>
      <c r="AC8" s="3">
        <v>4</v>
      </c>
      <c r="AD8" s="51"/>
      <c r="AE8" s="83">
        <f>+AD14</f>
        <v>6651836.1600000029</v>
      </c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</row>
    <row r="9" spans="2:60" ht="15" thickBot="1">
      <c r="B9" s="49"/>
      <c r="C9" s="9" t="s">
        <v>8</v>
      </c>
      <c r="D9" s="10">
        <v>8940.64</v>
      </c>
      <c r="E9" s="10">
        <v>8940.64</v>
      </c>
      <c r="F9" s="10">
        <v>8940.64</v>
      </c>
      <c r="G9" s="10">
        <v>8940.64</v>
      </c>
      <c r="H9" s="10">
        <v>8940.64</v>
      </c>
      <c r="I9" s="10">
        <v>8940.64</v>
      </c>
      <c r="J9" s="10">
        <v>8940.64</v>
      </c>
      <c r="K9" s="10">
        <v>8940.64</v>
      </c>
      <c r="L9" s="10">
        <v>8940.64</v>
      </c>
      <c r="M9" s="10">
        <v>8940.64</v>
      </c>
      <c r="N9" s="10">
        <v>8940.64</v>
      </c>
      <c r="O9" s="10">
        <v>8940.64</v>
      </c>
      <c r="P9" s="10">
        <v>8940.64</v>
      </c>
      <c r="Q9" s="10">
        <v>8940.64</v>
      </c>
      <c r="R9" s="10">
        <v>8940.64</v>
      </c>
      <c r="S9" s="10">
        <v>8940.64</v>
      </c>
      <c r="T9" s="10">
        <v>8940.64</v>
      </c>
      <c r="U9" s="10">
        <v>8940.64</v>
      </c>
      <c r="V9" s="10">
        <v>8940.64</v>
      </c>
      <c r="W9" s="10">
        <v>8940.64</v>
      </c>
      <c r="X9" s="10">
        <v>8940.64</v>
      </c>
      <c r="Y9" s="10">
        <v>8940.64</v>
      </c>
      <c r="Z9" s="10">
        <v>8940.64</v>
      </c>
      <c r="AA9" s="13">
        <v>8940.64</v>
      </c>
      <c r="AB9" s="6">
        <f t="shared" si="0"/>
        <v>214575.3600000001</v>
      </c>
      <c r="AC9" s="6">
        <v>2</v>
      </c>
      <c r="AD9" s="52"/>
      <c r="AE9" s="83">
        <f>+AD18</f>
        <v>6437260.8000000035</v>
      </c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</row>
    <row r="10" spans="2:60">
      <c r="B10" s="47">
        <v>47150</v>
      </c>
      <c r="C10" s="8" t="s">
        <v>5</v>
      </c>
      <c r="D10" s="7">
        <v>8940.64</v>
      </c>
      <c r="E10" s="7">
        <v>8940.64</v>
      </c>
      <c r="F10" s="7">
        <v>8940.64</v>
      </c>
      <c r="G10" s="7">
        <v>8940.64</v>
      </c>
      <c r="H10" s="7">
        <v>8940.64</v>
      </c>
      <c r="I10" s="7">
        <v>8940.64</v>
      </c>
      <c r="J10" s="7">
        <v>8940.64</v>
      </c>
      <c r="K10" s="7">
        <v>8940.64</v>
      </c>
      <c r="L10" s="7">
        <v>8940.64</v>
      </c>
      <c r="M10" s="7">
        <v>8940.64</v>
      </c>
      <c r="N10" s="7">
        <v>8940.64</v>
      </c>
      <c r="O10" s="7">
        <v>8940.64</v>
      </c>
      <c r="P10" s="7">
        <v>8940.64</v>
      </c>
      <c r="Q10" s="7">
        <v>8940.64</v>
      </c>
      <c r="R10" s="7">
        <v>8940.64</v>
      </c>
      <c r="S10" s="7">
        <v>8940.64</v>
      </c>
      <c r="T10" s="7">
        <v>8940.64</v>
      </c>
      <c r="U10" s="7">
        <v>8940.64</v>
      </c>
      <c r="V10" s="7">
        <v>8940.64</v>
      </c>
      <c r="W10" s="7">
        <v>8940.64</v>
      </c>
      <c r="X10" s="7">
        <v>8940.64</v>
      </c>
      <c r="Y10" s="7">
        <v>8940.64</v>
      </c>
      <c r="Z10" s="7">
        <v>8940.64</v>
      </c>
      <c r="AA10" s="11">
        <v>8940.64</v>
      </c>
      <c r="AB10" s="5">
        <f t="shared" si="0"/>
        <v>214575.3600000001</v>
      </c>
      <c r="AC10" s="5">
        <v>20</v>
      </c>
      <c r="AD10" s="50">
        <f>(AB10*AC10)+(AB11*AC11)+(AB12*AC12)+(AB13*AC13)</f>
        <v>6008110.0800000029</v>
      </c>
      <c r="AE10" s="83">
        <f>+AD22</f>
        <v>6651836.1600000039</v>
      </c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</row>
    <row r="11" spans="2:60">
      <c r="B11" s="48"/>
      <c r="C11" s="1" t="s">
        <v>6</v>
      </c>
      <c r="D11" s="2">
        <v>8940.64</v>
      </c>
      <c r="E11" s="2">
        <v>8940.64</v>
      </c>
      <c r="F11" s="2">
        <v>8940.64</v>
      </c>
      <c r="G11" s="2">
        <v>8940.64</v>
      </c>
      <c r="H11" s="2">
        <v>8940.64</v>
      </c>
      <c r="I11" s="2">
        <v>8940.64</v>
      </c>
      <c r="J11" s="2">
        <v>8940.64</v>
      </c>
      <c r="K11" s="2">
        <v>8940.64</v>
      </c>
      <c r="L11" s="2">
        <v>8940.64</v>
      </c>
      <c r="M11" s="2">
        <v>8940.64</v>
      </c>
      <c r="N11" s="2">
        <v>8940.64</v>
      </c>
      <c r="O11" s="2">
        <v>8940.64</v>
      </c>
      <c r="P11" s="2">
        <v>8940.64</v>
      </c>
      <c r="Q11" s="2">
        <v>8940.64</v>
      </c>
      <c r="R11" s="2">
        <v>8940.64</v>
      </c>
      <c r="S11" s="2">
        <v>8940.64</v>
      </c>
      <c r="T11" s="2">
        <v>8940.64</v>
      </c>
      <c r="U11" s="2">
        <v>8940.64</v>
      </c>
      <c r="V11" s="2">
        <v>8940.64</v>
      </c>
      <c r="W11" s="2">
        <v>8940.64</v>
      </c>
      <c r="X11" s="2">
        <v>8940.64</v>
      </c>
      <c r="Y11" s="2">
        <v>8940.64</v>
      </c>
      <c r="Z11" s="2">
        <v>8940.64</v>
      </c>
      <c r="AA11" s="12">
        <v>8940.64</v>
      </c>
      <c r="AB11" s="3">
        <f t="shared" si="0"/>
        <v>214575.3600000001</v>
      </c>
      <c r="AC11" s="3">
        <v>4</v>
      </c>
      <c r="AD11" s="51"/>
      <c r="AE11" s="83">
        <f>+AD26</f>
        <v>6437260.8000000026</v>
      </c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</row>
    <row r="12" spans="2:60">
      <c r="B12" s="48"/>
      <c r="C12" s="1" t="s">
        <v>7</v>
      </c>
      <c r="D12" s="2">
        <v>8940.64</v>
      </c>
      <c r="E12" s="2">
        <v>8940.64</v>
      </c>
      <c r="F12" s="2">
        <v>8940.64</v>
      </c>
      <c r="G12" s="2">
        <v>8940.64</v>
      </c>
      <c r="H12" s="2">
        <v>8940.64</v>
      </c>
      <c r="I12" s="2">
        <v>8940.64</v>
      </c>
      <c r="J12" s="2">
        <v>8940.64</v>
      </c>
      <c r="K12" s="2">
        <v>8940.64</v>
      </c>
      <c r="L12" s="2">
        <v>8940.64</v>
      </c>
      <c r="M12" s="2">
        <v>8940.64</v>
      </c>
      <c r="N12" s="2">
        <v>8940.64</v>
      </c>
      <c r="O12" s="2">
        <v>8940.64</v>
      </c>
      <c r="P12" s="2">
        <v>8940.64</v>
      </c>
      <c r="Q12" s="2">
        <v>8940.64</v>
      </c>
      <c r="R12" s="2">
        <v>8940.64</v>
      </c>
      <c r="S12" s="2">
        <v>8940.64</v>
      </c>
      <c r="T12" s="2">
        <v>8940.64</v>
      </c>
      <c r="U12" s="2">
        <v>8940.64</v>
      </c>
      <c r="V12" s="2">
        <v>8940.64</v>
      </c>
      <c r="W12" s="2">
        <v>8940.64</v>
      </c>
      <c r="X12" s="2">
        <v>8940.64</v>
      </c>
      <c r="Y12" s="2">
        <v>8940.64</v>
      </c>
      <c r="Z12" s="2">
        <v>8940.64</v>
      </c>
      <c r="AA12" s="12">
        <v>8940.64</v>
      </c>
      <c r="AB12" s="3">
        <f t="shared" si="0"/>
        <v>214575.3600000001</v>
      </c>
      <c r="AC12" s="3">
        <v>4</v>
      </c>
      <c r="AD12" s="51"/>
      <c r="AE12" s="83">
        <f>+AD30</f>
        <v>6651836.1600000039</v>
      </c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</row>
    <row r="13" spans="2:60" ht="15" thickBot="1">
      <c r="B13" s="49"/>
      <c r="C13" s="9" t="s">
        <v>8</v>
      </c>
      <c r="D13" s="10">
        <v>8940.64</v>
      </c>
      <c r="E13" s="10">
        <v>8940.64</v>
      </c>
      <c r="F13" s="10">
        <v>8940.64</v>
      </c>
      <c r="G13" s="10">
        <v>8940.64</v>
      </c>
      <c r="H13" s="10">
        <v>8940.64</v>
      </c>
      <c r="I13" s="10">
        <v>8940.64</v>
      </c>
      <c r="J13" s="10">
        <v>8940.64</v>
      </c>
      <c r="K13" s="10">
        <v>8940.64</v>
      </c>
      <c r="L13" s="10">
        <v>8940.64</v>
      </c>
      <c r="M13" s="10">
        <v>8940.64</v>
      </c>
      <c r="N13" s="10">
        <v>8940.64</v>
      </c>
      <c r="O13" s="10">
        <v>8940.64</v>
      </c>
      <c r="P13" s="10">
        <v>8940.64</v>
      </c>
      <c r="Q13" s="10">
        <v>8940.64</v>
      </c>
      <c r="R13" s="10">
        <v>8940.64</v>
      </c>
      <c r="S13" s="10">
        <v>8940.64</v>
      </c>
      <c r="T13" s="10">
        <v>8940.64</v>
      </c>
      <c r="U13" s="10">
        <v>8940.64</v>
      </c>
      <c r="V13" s="10">
        <v>8940.64</v>
      </c>
      <c r="W13" s="10">
        <v>8940.64</v>
      </c>
      <c r="X13" s="10">
        <v>8940.64</v>
      </c>
      <c r="Y13" s="10">
        <v>8940.64</v>
      </c>
      <c r="Z13" s="10">
        <v>8940.64</v>
      </c>
      <c r="AA13" s="13">
        <v>8940.64</v>
      </c>
      <c r="AB13" s="6">
        <f t="shared" si="0"/>
        <v>214575.3600000001</v>
      </c>
      <c r="AC13" s="6">
        <v>0</v>
      </c>
      <c r="AD13" s="52"/>
      <c r="AE13" s="83">
        <f>+AD34</f>
        <v>6651836.1600000039</v>
      </c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</row>
    <row r="14" spans="2:60">
      <c r="B14" s="47">
        <v>47178</v>
      </c>
      <c r="C14" s="8" t="s">
        <v>5</v>
      </c>
      <c r="D14" s="7">
        <v>8940.64</v>
      </c>
      <c r="E14" s="7">
        <v>8940.64</v>
      </c>
      <c r="F14" s="7">
        <v>8940.64</v>
      </c>
      <c r="G14" s="7">
        <v>8940.64</v>
      </c>
      <c r="H14" s="7">
        <v>8940.64</v>
      </c>
      <c r="I14" s="7">
        <v>8940.64</v>
      </c>
      <c r="J14" s="7">
        <v>8940.64</v>
      </c>
      <c r="K14" s="7">
        <v>8940.64</v>
      </c>
      <c r="L14" s="7">
        <v>8940.64</v>
      </c>
      <c r="M14" s="7">
        <v>8940.64</v>
      </c>
      <c r="N14" s="7">
        <v>8940.64</v>
      </c>
      <c r="O14" s="7">
        <v>8940.64</v>
      </c>
      <c r="P14" s="7">
        <v>8940.64</v>
      </c>
      <c r="Q14" s="7">
        <v>8940.64</v>
      </c>
      <c r="R14" s="7">
        <v>8940.64</v>
      </c>
      <c r="S14" s="7">
        <v>8940.64</v>
      </c>
      <c r="T14" s="7">
        <v>8940.64</v>
      </c>
      <c r="U14" s="7">
        <v>8940.64</v>
      </c>
      <c r="V14" s="7">
        <v>8940.64</v>
      </c>
      <c r="W14" s="7">
        <v>8940.64</v>
      </c>
      <c r="X14" s="7">
        <v>8940.64</v>
      </c>
      <c r="Y14" s="7">
        <v>8940.64</v>
      </c>
      <c r="Z14" s="7">
        <v>8940.64</v>
      </c>
      <c r="AA14" s="11">
        <v>8940.64</v>
      </c>
      <c r="AB14" s="5">
        <f t="shared" si="0"/>
        <v>214575.3600000001</v>
      </c>
      <c r="AC14" s="5">
        <v>19</v>
      </c>
      <c r="AD14" s="50">
        <f>(AB14*AC14)+(AB15*AC15)+(AB16*AC16)+(AB17*AC17)</f>
        <v>6651836.1600000029</v>
      </c>
      <c r="AE14" s="83">
        <f>+AD38</f>
        <v>6437260.8000000035</v>
      </c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</row>
    <row r="15" spans="2:60">
      <c r="B15" s="48"/>
      <c r="C15" s="1" t="s">
        <v>6</v>
      </c>
      <c r="D15" s="2">
        <v>8940.64</v>
      </c>
      <c r="E15" s="2">
        <v>8940.64</v>
      </c>
      <c r="F15" s="2">
        <v>8940.64</v>
      </c>
      <c r="G15" s="2">
        <v>8940.64</v>
      </c>
      <c r="H15" s="2">
        <v>8940.64</v>
      </c>
      <c r="I15" s="2">
        <v>8940.64</v>
      </c>
      <c r="J15" s="2">
        <v>8940.64</v>
      </c>
      <c r="K15" s="2">
        <v>8940.64</v>
      </c>
      <c r="L15" s="2">
        <v>8940.64</v>
      </c>
      <c r="M15" s="2">
        <v>8940.64</v>
      </c>
      <c r="N15" s="2">
        <v>8940.64</v>
      </c>
      <c r="O15" s="2">
        <v>8940.64</v>
      </c>
      <c r="P15" s="2">
        <v>8940.64</v>
      </c>
      <c r="Q15" s="2">
        <v>8940.64</v>
      </c>
      <c r="R15" s="2">
        <v>8940.64</v>
      </c>
      <c r="S15" s="2">
        <v>8940.64</v>
      </c>
      <c r="T15" s="2">
        <v>8940.64</v>
      </c>
      <c r="U15" s="2">
        <v>8940.64</v>
      </c>
      <c r="V15" s="2">
        <v>8940.64</v>
      </c>
      <c r="W15" s="2">
        <v>8940.64</v>
      </c>
      <c r="X15" s="2">
        <v>8940.64</v>
      </c>
      <c r="Y15" s="2">
        <v>8940.64</v>
      </c>
      <c r="Z15" s="2">
        <v>8940.64</v>
      </c>
      <c r="AA15" s="12">
        <v>8940.64</v>
      </c>
      <c r="AB15" s="3">
        <f t="shared" si="0"/>
        <v>214575.3600000001</v>
      </c>
      <c r="AC15" s="3">
        <v>5</v>
      </c>
      <c r="AD15" s="51"/>
      <c r="AE15" s="83">
        <f>+AD42</f>
        <v>6651836.1600000029</v>
      </c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</row>
    <row r="16" spans="2:60">
      <c r="B16" s="48"/>
      <c r="C16" s="1" t="s">
        <v>7</v>
      </c>
      <c r="D16" s="2">
        <v>8940.64</v>
      </c>
      <c r="E16" s="2">
        <v>8940.64</v>
      </c>
      <c r="F16" s="2">
        <v>8940.64</v>
      </c>
      <c r="G16" s="2">
        <v>8940.64</v>
      </c>
      <c r="H16" s="2">
        <v>8940.64</v>
      </c>
      <c r="I16" s="2">
        <v>8940.64</v>
      </c>
      <c r="J16" s="2">
        <v>8940.64</v>
      </c>
      <c r="K16" s="2">
        <v>8940.64</v>
      </c>
      <c r="L16" s="2">
        <v>8940.64</v>
      </c>
      <c r="M16" s="2">
        <v>8940.64</v>
      </c>
      <c r="N16" s="2">
        <v>8940.64</v>
      </c>
      <c r="O16" s="2">
        <v>8940.64</v>
      </c>
      <c r="P16" s="2">
        <v>8940.64</v>
      </c>
      <c r="Q16" s="2">
        <v>8940.64</v>
      </c>
      <c r="R16" s="2">
        <v>8940.64</v>
      </c>
      <c r="S16" s="2">
        <v>8940.64</v>
      </c>
      <c r="T16" s="2">
        <v>8940.64</v>
      </c>
      <c r="U16" s="2">
        <v>8940.64</v>
      </c>
      <c r="V16" s="2">
        <v>8940.64</v>
      </c>
      <c r="W16" s="2">
        <v>8940.64</v>
      </c>
      <c r="X16" s="2">
        <v>8940.64</v>
      </c>
      <c r="Y16" s="2">
        <v>8940.64</v>
      </c>
      <c r="Z16" s="2">
        <v>8940.64</v>
      </c>
      <c r="AA16" s="12">
        <v>8940.64</v>
      </c>
      <c r="AB16" s="3">
        <f t="shared" si="0"/>
        <v>214575.3600000001</v>
      </c>
      <c r="AC16" s="3">
        <v>4</v>
      </c>
      <c r="AD16" s="51"/>
      <c r="AE16" s="83">
        <f>+AD46</f>
        <v>6437260.8000000026</v>
      </c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</row>
    <row r="17" spans="2:60" ht="15" thickBot="1">
      <c r="B17" s="49"/>
      <c r="C17" s="9" t="s">
        <v>8</v>
      </c>
      <c r="D17" s="10">
        <v>8940.64</v>
      </c>
      <c r="E17" s="10">
        <v>8940.64</v>
      </c>
      <c r="F17" s="10">
        <v>8940.64</v>
      </c>
      <c r="G17" s="10">
        <v>8940.64</v>
      </c>
      <c r="H17" s="10">
        <v>8940.64</v>
      </c>
      <c r="I17" s="10">
        <v>8940.64</v>
      </c>
      <c r="J17" s="10">
        <v>8940.64</v>
      </c>
      <c r="K17" s="10">
        <v>8940.64</v>
      </c>
      <c r="L17" s="10">
        <v>8940.64</v>
      </c>
      <c r="M17" s="10">
        <v>8940.64</v>
      </c>
      <c r="N17" s="10">
        <v>8940.64</v>
      </c>
      <c r="O17" s="10">
        <v>8940.64</v>
      </c>
      <c r="P17" s="10">
        <v>8940.64</v>
      </c>
      <c r="Q17" s="10">
        <v>8940.64</v>
      </c>
      <c r="R17" s="10">
        <v>8940.64</v>
      </c>
      <c r="S17" s="10">
        <v>8940.64</v>
      </c>
      <c r="T17" s="10">
        <v>8940.64</v>
      </c>
      <c r="U17" s="10">
        <v>8940.64</v>
      </c>
      <c r="V17" s="10">
        <v>8940.64</v>
      </c>
      <c r="W17" s="10">
        <v>8940.64</v>
      </c>
      <c r="X17" s="10">
        <v>8940.64</v>
      </c>
      <c r="Y17" s="10">
        <v>8940.64</v>
      </c>
      <c r="Z17" s="10">
        <v>8940.64</v>
      </c>
      <c r="AA17" s="13">
        <v>8940.64</v>
      </c>
      <c r="AB17" s="6">
        <f t="shared" si="0"/>
        <v>214575.3600000001</v>
      </c>
      <c r="AC17" s="6">
        <v>3</v>
      </c>
      <c r="AD17" s="52"/>
      <c r="AE17" s="83">
        <f>+AD50</f>
        <v>6651836.1600000039</v>
      </c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</row>
    <row r="18" spans="2:60">
      <c r="B18" s="47">
        <v>47209</v>
      </c>
      <c r="C18" s="8" t="s">
        <v>5</v>
      </c>
      <c r="D18" s="7">
        <v>8940.64</v>
      </c>
      <c r="E18" s="7">
        <v>8940.64</v>
      </c>
      <c r="F18" s="7">
        <v>8940.64</v>
      </c>
      <c r="G18" s="7">
        <v>8940.64</v>
      </c>
      <c r="H18" s="7">
        <v>8940.64</v>
      </c>
      <c r="I18" s="7">
        <v>8940.64</v>
      </c>
      <c r="J18" s="7">
        <v>8940.64</v>
      </c>
      <c r="K18" s="7">
        <v>8940.64</v>
      </c>
      <c r="L18" s="7">
        <v>8940.64</v>
      </c>
      <c r="M18" s="7">
        <v>8940.64</v>
      </c>
      <c r="N18" s="7">
        <v>8940.64</v>
      </c>
      <c r="O18" s="7">
        <v>8940.64</v>
      </c>
      <c r="P18" s="7">
        <v>8940.64</v>
      </c>
      <c r="Q18" s="7">
        <v>8940.64</v>
      </c>
      <c r="R18" s="7">
        <v>8940.64</v>
      </c>
      <c r="S18" s="7">
        <v>8940.64</v>
      </c>
      <c r="T18" s="7">
        <v>8940.64</v>
      </c>
      <c r="U18" s="7">
        <v>8940.64</v>
      </c>
      <c r="V18" s="7">
        <v>8940.64</v>
      </c>
      <c r="W18" s="7">
        <v>8940.64</v>
      </c>
      <c r="X18" s="7">
        <v>8940.64</v>
      </c>
      <c r="Y18" s="7">
        <v>8940.64</v>
      </c>
      <c r="Z18" s="7">
        <v>8940.64</v>
      </c>
      <c r="AA18" s="11">
        <v>8940.64</v>
      </c>
      <c r="AB18" s="5">
        <f t="shared" si="0"/>
        <v>214575.3600000001</v>
      </c>
      <c r="AC18" s="5">
        <v>21</v>
      </c>
      <c r="AD18" s="50">
        <f>(AB18*AC18)+(AB19*AC19)+(AB20*AC20)+(AB21*AC21)</f>
        <v>6437260.8000000035</v>
      </c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</row>
    <row r="19" spans="2:60">
      <c r="B19" s="48"/>
      <c r="C19" s="1" t="s">
        <v>6</v>
      </c>
      <c r="D19" s="2">
        <v>8940.64</v>
      </c>
      <c r="E19" s="2">
        <v>8940.64</v>
      </c>
      <c r="F19" s="2">
        <v>8940.64</v>
      </c>
      <c r="G19" s="2">
        <v>8940.64</v>
      </c>
      <c r="H19" s="2">
        <v>8940.64</v>
      </c>
      <c r="I19" s="2">
        <v>8940.64</v>
      </c>
      <c r="J19" s="2">
        <v>8940.64</v>
      </c>
      <c r="K19" s="2">
        <v>8940.64</v>
      </c>
      <c r="L19" s="2">
        <v>8940.64</v>
      </c>
      <c r="M19" s="2">
        <v>8940.64</v>
      </c>
      <c r="N19" s="2">
        <v>8940.64</v>
      </c>
      <c r="O19" s="2">
        <v>8940.64</v>
      </c>
      <c r="P19" s="2">
        <v>8940.64</v>
      </c>
      <c r="Q19" s="2">
        <v>8940.64</v>
      </c>
      <c r="R19" s="2">
        <v>8940.64</v>
      </c>
      <c r="S19" s="2">
        <v>8940.64</v>
      </c>
      <c r="T19" s="2">
        <v>8940.64</v>
      </c>
      <c r="U19" s="2">
        <v>8940.64</v>
      </c>
      <c r="V19" s="2">
        <v>8940.64</v>
      </c>
      <c r="W19" s="2">
        <v>8940.64</v>
      </c>
      <c r="X19" s="2">
        <v>8940.64</v>
      </c>
      <c r="Y19" s="2">
        <v>8940.64</v>
      </c>
      <c r="Z19" s="2">
        <v>8940.64</v>
      </c>
      <c r="AA19" s="12">
        <v>8940.64</v>
      </c>
      <c r="AB19" s="3">
        <f t="shared" si="0"/>
        <v>214575.3600000001</v>
      </c>
      <c r="AC19" s="3">
        <v>4</v>
      </c>
      <c r="AD19" s="51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</row>
    <row r="20" spans="2:60">
      <c r="B20" s="48"/>
      <c r="C20" s="1" t="s">
        <v>7</v>
      </c>
      <c r="D20" s="2">
        <v>8940.64</v>
      </c>
      <c r="E20" s="2">
        <v>8940.64</v>
      </c>
      <c r="F20" s="2">
        <v>8940.64</v>
      </c>
      <c r="G20" s="2">
        <v>8940.64</v>
      </c>
      <c r="H20" s="2">
        <v>8940.64</v>
      </c>
      <c r="I20" s="2">
        <v>8940.64</v>
      </c>
      <c r="J20" s="2">
        <v>8940.64</v>
      </c>
      <c r="K20" s="2">
        <v>8940.64</v>
      </c>
      <c r="L20" s="2">
        <v>8940.64</v>
      </c>
      <c r="M20" s="2">
        <v>8940.64</v>
      </c>
      <c r="N20" s="2">
        <v>8940.64</v>
      </c>
      <c r="O20" s="2">
        <v>8940.64</v>
      </c>
      <c r="P20" s="2">
        <v>8940.64</v>
      </c>
      <c r="Q20" s="2">
        <v>8940.64</v>
      </c>
      <c r="R20" s="2">
        <v>8940.64</v>
      </c>
      <c r="S20" s="2">
        <v>8940.64</v>
      </c>
      <c r="T20" s="2">
        <v>8940.64</v>
      </c>
      <c r="U20" s="2">
        <v>8940.64</v>
      </c>
      <c r="V20" s="2">
        <v>8940.64</v>
      </c>
      <c r="W20" s="2">
        <v>8940.64</v>
      </c>
      <c r="X20" s="2">
        <v>8940.64</v>
      </c>
      <c r="Y20" s="2">
        <v>8940.64</v>
      </c>
      <c r="Z20" s="2">
        <v>8940.64</v>
      </c>
      <c r="AA20" s="12">
        <v>8940.64</v>
      </c>
      <c r="AB20" s="3">
        <f t="shared" si="0"/>
        <v>214575.3600000001</v>
      </c>
      <c r="AC20" s="3">
        <v>5</v>
      </c>
      <c r="AD20" s="51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</row>
    <row r="21" spans="2:60" ht="15" thickBot="1">
      <c r="B21" s="49"/>
      <c r="C21" s="9" t="s">
        <v>8</v>
      </c>
      <c r="D21" s="10">
        <v>8940.64</v>
      </c>
      <c r="E21" s="10">
        <v>8940.64</v>
      </c>
      <c r="F21" s="10">
        <v>8940.64</v>
      </c>
      <c r="G21" s="10">
        <v>8940.64</v>
      </c>
      <c r="H21" s="10">
        <v>8940.64</v>
      </c>
      <c r="I21" s="10">
        <v>8940.64</v>
      </c>
      <c r="J21" s="10">
        <v>8940.64</v>
      </c>
      <c r="K21" s="10">
        <v>8940.64</v>
      </c>
      <c r="L21" s="10">
        <v>8940.64</v>
      </c>
      <c r="M21" s="10">
        <v>8940.64</v>
      </c>
      <c r="N21" s="10">
        <v>8940.64</v>
      </c>
      <c r="O21" s="10">
        <v>8940.64</v>
      </c>
      <c r="P21" s="10">
        <v>8940.64</v>
      </c>
      <c r="Q21" s="10">
        <v>8940.64</v>
      </c>
      <c r="R21" s="10">
        <v>8940.64</v>
      </c>
      <c r="S21" s="10">
        <v>8940.64</v>
      </c>
      <c r="T21" s="10">
        <v>8940.64</v>
      </c>
      <c r="U21" s="10">
        <v>8940.64</v>
      </c>
      <c r="V21" s="10">
        <v>8940.64</v>
      </c>
      <c r="W21" s="10">
        <v>8940.64</v>
      </c>
      <c r="X21" s="10">
        <v>8940.64</v>
      </c>
      <c r="Y21" s="10">
        <v>8940.64</v>
      </c>
      <c r="Z21" s="10">
        <v>8940.64</v>
      </c>
      <c r="AA21" s="13">
        <v>8940.64</v>
      </c>
      <c r="AB21" s="6">
        <f t="shared" si="0"/>
        <v>214575.3600000001</v>
      </c>
      <c r="AC21" s="6">
        <v>0</v>
      </c>
      <c r="AD21" s="52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</row>
    <row r="22" spans="2:60">
      <c r="B22" s="47">
        <v>47239</v>
      </c>
      <c r="C22" s="8" t="s">
        <v>5</v>
      </c>
      <c r="D22" s="7">
        <v>8940.64</v>
      </c>
      <c r="E22" s="7">
        <v>8940.64</v>
      </c>
      <c r="F22" s="7">
        <v>8940.64</v>
      </c>
      <c r="G22" s="7">
        <v>8940.64</v>
      </c>
      <c r="H22" s="7">
        <v>8940.64</v>
      </c>
      <c r="I22" s="7">
        <v>8940.64</v>
      </c>
      <c r="J22" s="7">
        <v>8940.64</v>
      </c>
      <c r="K22" s="7">
        <v>8940.64</v>
      </c>
      <c r="L22" s="7">
        <v>8940.64</v>
      </c>
      <c r="M22" s="7">
        <v>8940.64</v>
      </c>
      <c r="N22" s="7">
        <v>8940.64</v>
      </c>
      <c r="O22" s="7">
        <v>8940.64</v>
      </c>
      <c r="P22" s="7">
        <v>8940.64</v>
      </c>
      <c r="Q22" s="7">
        <v>8940.64</v>
      </c>
      <c r="R22" s="7">
        <v>8940.64</v>
      </c>
      <c r="S22" s="7">
        <v>8940.64</v>
      </c>
      <c r="T22" s="7">
        <v>8940.64</v>
      </c>
      <c r="U22" s="7">
        <v>8940.64</v>
      </c>
      <c r="V22" s="7">
        <v>8940.64</v>
      </c>
      <c r="W22" s="7">
        <v>8940.64</v>
      </c>
      <c r="X22" s="7">
        <v>8940.64</v>
      </c>
      <c r="Y22" s="7">
        <v>8940.64</v>
      </c>
      <c r="Z22" s="7">
        <v>8940.64</v>
      </c>
      <c r="AA22" s="11">
        <v>8940.64</v>
      </c>
      <c r="AB22" s="5">
        <f t="shared" si="0"/>
        <v>214575.3600000001</v>
      </c>
      <c r="AC22" s="5">
        <v>21</v>
      </c>
      <c r="AD22" s="50">
        <f>(AB22*AC22)+(AB23*AC23)+(AB24*AC24)+(AB25*AC25)</f>
        <v>6651836.1600000039</v>
      </c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</row>
    <row r="23" spans="2:60">
      <c r="B23" s="48"/>
      <c r="C23" s="1" t="s">
        <v>6</v>
      </c>
      <c r="D23" s="2">
        <v>8940.64</v>
      </c>
      <c r="E23" s="2">
        <v>8940.64</v>
      </c>
      <c r="F23" s="2">
        <v>8940.64</v>
      </c>
      <c r="G23" s="2">
        <v>8940.64</v>
      </c>
      <c r="H23" s="2">
        <v>8940.64</v>
      </c>
      <c r="I23" s="2">
        <v>8940.64</v>
      </c>
      <c r="J23" s="2">
        <v>8940.64</v>
      </c>
      <c r="K23" s="2">
        <v>8940.64</v>
      </c>
      <c r="L23" s="2">
        <v>8940.64</v>
      </c>
      <c r="M23" s="2">
        <v>8940.64</v>
      </c>
      <c r="N23" s="2">
        <v>8940.64</v>
      </c>
      <c r="O23" s="2">
        <v>8940.64</v>
      </c>
      <c r="P23" s="2">
        <v>8940.64</v>
      </c>
      <c r="Q23" s="2">
        <v>8940.64</v>
      </c>
      <c r="R23" s="2">
        <v>8940.64</v>
      </c>
      <c r="S23" s="2">
        <v>8940.64</v>
      </c>
      <c r="T23" s="2">
        <v>8940.64</v>
      </c>
      <c r="U23" s="2">
        <v>8940.64</v>
      </c>
      <c r="V23" s="2">
        <v>8940.64</v>
      </c>
      <c r="W23" s="2">
        <v>8940.64</v>
      </c>
      <c r="X23" s="2">
        <v>8940.64</v>
      </c>
      <c r="Y23" s="2">
        <v>8940.64</v>
      </c>
      <c r="Z23" s="2">
        <v>8940.64</v>
      </c>
      <c r="AA23" s="12">
        <v>8940.64</v>
      </c>
      <c r="AB23" s="3">
        <f t="shared" si="0"/>
        <v>214575.3600000001</v>
      </c>
      <c r="AC23" s="3">
        <v>4</v>
      </c>
      <c r="AD23" s="51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</row>
    <row r="24" spans="2:60">
      <c r="B24" s="48"/>
      <c r="C24" s="1" t="s">
        <v>7</v>
      </c>
      <c r="D24" s="2">
        <v>8940.64</v>
      </c>
      <c r="E24" s="2">
        <v>8940.64</v>
      </c>
      <c r="F24" s="2">
        <v>8940.64</v>
      </c>
      <c r="G24" s="2">
        <v>8940.64</v>
      </c>
      <c r="H24" s="2">
        <v>8940.64</v>
      </c>
      <c r="I24" s="2">
        <v>8940.64</v>
      </c>
      <c r="J24" s="2">
        <v>8940.64</v>
      </c>
      <c r="K24" s="2">
        <v>8940.64</v>
      </c>
      <c r="L24" s="2">
        <v>8940.64</v>
      </c>
      <c r="M24" s="2">
        <v>8940.64</v>
      </c>
      <c r="N24" s="2">
        <v>8940.64</v>
      </c>
      <c r="O24" s="2">
        <v>8940.64</v>
      </c>
      <c r="P24" s="2">
        <v>8940.64</v>
      </c>
      <c r="Q24" s="2">
        <v>8940.64</v>
      </c>
      <c r="R24" s="2">
        <v>8940.64</v>
      </c>
      <c r="S24" s="2">
        <v>8940.64</v>
      </c>
      <c r="T24" s="2">
        <v>8940.64</v>
      </c>
      <c r="U24" s="2">
        <v>8940.64</v>
      </c>
      <c r="V24" s="2">
        <v>8940.64</v>
      </c>
      <c r="W24" s="2">
        <v>8940.64</v>
      </c>
      <c r="X24" s="2">
        <v>8940.64</v>
      </c>
      <c r="Y24" s="2">
        <v>8940.64</v>
      </c>
      <c r="Z24" s="2">
        <v>8940.64</v>
      </c>
      <c r="AA24" s="12">
        <v>8940.64</v>
      </c>
      <c r="AB24" s="3">
        <f t="shared" si="0"/>
        <v>214575.3600000001</v>
      </c>
      <c r="AC24" s="3">
        <v>4</v>
      </c>
      <c r="AD24" s="51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</row>
    <row r="25" spans="2:60" ht="15" thickBot="1">
      <c r="B25" s="49"/>
      <c r="C25" s="9" t="s">
        <v>8</v>
      </c>
      <c r="D25" s="10">
        <v>8940.64</v>
      </c>
      <c r="E25" s="10">
        <v>8940.64</v>
      </c>
      <c r="F25" s="10">
        <v>8940.64</v>
      </c>
      <c r="G25" s="10">
        <v>8940.64</v>
      </c>
      <c r="H25" s="10">
        <v>8940.64</v>
      </c>
      <c r="I25" s="10">
        <v>8940.64</v>
      </c>
      <c r="J25" s="10">
        <v>8940.64</v>
      </c>
      <c r="K25" s="10">
        <v>8940.64</v>
      </c>
      <c r="L25" s="10">
        <v>8940.64</v>
      </c>
      <c r="M25" s="10">
        <v>8940.64</v>
      </c>
      <c r="N25" s="10">
        <v>8940.64</v>
      </c>
      <c r="O25" s="10">
        <v>8940.64</v>
      </c>
      <c r="P25" s="10">
        <v>8940.64</v>
      </c>
      <c r="Q25" s="10">
        <v>8940.64</v>
      </c>
      <c r="R25" s="10">
        <v>8940.64</v>
      </c>
      <c r="S25" s="10">
        <v>8940.64</v>
      </c>
      <c r="T25" s="10">
        <v>8940.64</v>
      </c>
      <c r="U25" s="10">
        <v>8940.64</v>
      </c>
      <c r="V25" s="10">
        <v>8940.64</v>
      </c>
      <c r="W25" s="10">
        <v>8940.64</v>
      </c>
      <c r="X25" s="10">
        <v>8940.64</v>
      </c>
      <c r="Y25" s="10">
        <v>8940.64</v>
      </c>
      <c r="Z25" s="10">
        <v>8940.64</v>
      </c>
      <c r="AA25" s="13">
        <v>8940.64</v>
      </c>
      <c r="AB25" s="6">
        <f t="shared" si="0"/>
        <v>214575.3600000001</v>
      </c>
      <c r="AC25" s="6">
        <v>2</v>
      </c>
      <c r="AD25" s="52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</row>
    <row r="26" spans="2:60">
      <c r="B26" s="47">
        <v>47270</v>
      </c>
      <c r="C26" s="8" t="s">
        <v>5</v>
      </c>
      <c r="D26" s="7">
        <v>8940.64</v>
      </c>
      <c r="E26" s="7">
        <v>8940.64</v>
      </c>
      <c r="F26" s="7">
        <v>8940.64</v>
      </c>
      <c r="G26" s="7">
        <v>8940.64</v>
      </c>
      <c r="H26" s="7">
        <v>8940.64</v>
      </c>
      <c r="I26" s="7">
        <v>8940.64</v>
      </c>
      <c r="J26" s="7">
        <v>8940.64</v>
      </c>
      <c r="K26" s="7">
        <v>8940.64</v>
      </c>
      <c r="L26" s="7">
        <v>8940.64</v>
      </c>
      <c r="M26" s="7">
        <v>8940.64</v>
      </c>
      <c r="N26" s="7">
        <v>8940.64</v>
      </c>
      <c r="O26" s="7">
        <v>8940.64</v>
      </c>
      <c r="P26" s="7">
        <v>8940.64</v>
      </c>
      <c r="Q26" s="7">
        <v>8940.64</v>
      </c>
      <c r="R26" s="7">
        <v>8940.64</v>
      </c>
      <c r="S26" s="7">
        <v>8940.64</v>
      </c>
      <c r="T26" s="7">
        <v>8940.64</v>
      </c>
      <c r="U26" s="7">
        <v>8940.64</v>
      </c>
      <c r="V26" s="7">
        <v>8940.64</v>
      </c>
      <c r="W26" s="7">
        <v>8940.64</v>
      </c>
      <c r="X26" s="7">
        <v>8940.64</v>
      </c>
      <c r="Y26" s="7">
        <v>8940.64</v>
      </c>
      <c r="Z26" s="7">
        <v>8940.64</v>
      </c>
      <c r="AA26" s="11">
        <v>8940.64</v>
      </c>
      <c r="AB26" s="5">
        <f t="shared" si="0"/>
        <v>214575.3600000001</v>
      </c>
      <c r="AC26" s="5">
        <v>19</v>
      </c>
      <c r="AD26" s="50">
        <f>(AB26*AC26)+(AB27*AC27)+(AB28*AC28)+(AB29*AC29)</f>
        <v>6437260.8000000026</v>
      </c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</row>
    <row r="27" spans="2:60">
      <c r="B27" s="48"/>
      <c r="C27" s="1" t="s">
        <v>6</v>
      </c>
      <c r="D27" s="2">
        <v>8940.64</v>
      </c>
      <c r="E27" s="2">
        <v>8940.64</v>
      </c>
      <c r="F27" s="2">
        <v>8940.64</v>
      </c>
      <c r="G27" s="2">
        <v>8940.64</v>
      </c>
      <c r="H27" s="2">
        <v>8940.64</v>
      </c>
      <c r="I27" s="2">
        <v>8940.64</v>
      </c>
      <c r="J27" s="2">
        <v>8940.64</v>
      </c>
      <c r="K27" s="2">
        <v>8940.64</v>
      </c>
      <c r="L27" s="2">
        <v>8940.64</v>
      </c>
      <c r="M27" s="2">
        <v>8940.64</v>
      </c>
      <c r="N27" s="2">
        <v>8940.64</v>
      </c>
      <c r="O27" s="2">
        <v>8940.64</v>
      </c>
      <c r="P27" s="2">
        <v>8940.64</v>
      </c>
      <c r="Q27" s="2">
        <v>8940.64</v>
      </c>
      <c r="R27" s="2">
        <v>8940.64</v>
      </c>
      <c r="S27" s="2">
        <v>8940.64</v>
      </c>
      <c r="T27" s="2">
        <v>8940.64</v>
      </c>
      <c r="U27" s="2">
        <v>8940.64</v>
      </c>
      <c r="V27" s="2">
        <v>8940.64</v>
      </c>
      <c r="W27" s="2">
        <v>8940.64</v>
      </c>
      <c r="X27" s="2">
        <v>8940.64</v>
      </c>
      <c r="Y27" s="2">
        <v>8940.64</v>
      </c>
      <c r="Z27" s="2">
        <v>8940.64</v>
      </c>
      <c r="AA27" s="12">
        <v>8940.64</v>
      </c>
      <c r="AB27" s="3">
        <f t="shared" si="0"/>
        <v>214575.3600000001</v>
      </c>
      <c r="AC27" s="3">
        <v>5</v>
      </c>
      <c r="AD27" s="51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</row>
    <row r="28" spans="2:60">
      <c r="B28" s="48"/>
      <c r="C28" s="1" t="s">
        <v>7</v>
      </c>
      <c r="D28" s="2">
        <v>8940.64</v>
      </c>
      <c r="E28" s="2">
        <v>8940.64</v>
      </c>
      <c r="F28" s="2">
        <v>8940.64</v>
      </c>
      <c r="G28" s="2">
        <v>8940.64</v>
      </c>
      <c r="H28" s="2">
        <v>8940.64</v>
      </c>
      <c r="I28" s="2">
        <v>8940.64</v>
      </c>
      <c r="J28" s="2">
        <v>8940.64</v>
      </c>
      <c r="K28" s="2">
        <v>8940.64</v>
      </c>
      <c r="L28" s="2">
        <v>8940.64</v>
      </c>
      <c r="M28" s="2">
        <v>8940.64</v>
      </c>
      <c r="N28" s="2">
        <v>8940.64</v>
      </c>
      <c r="O28" s="2">
        <v>8940.64</v>
      </c>
      <c r="P28" s="2">
        <v>8940.64</v>
      </c>
      <c r="Q28" s="2">
        <v>8940.64</v>
      </c>
      <c r="R28" s="2">
        <v>8940.64</v>
      </c>
      <c r="S28" s="2">
        <v>8940.64</v>
      </c>
      <c r="T28" s="2">
        <v>8940.64</v>
      </c>
      <c r="U28" s="2">
        <v>8940.64</v>
      </c>
      <c r="V28" s="2">
        <v>8940.64</v>
      </c>
      <c r="W28" s="2">
        <v>8940.64</v>
      </c>
      <c r="X28" s="2">
        <v>8940.64</v>
      </c>
      <c r="Y28" s="2">
        <v>8940.64</v>
      </c>
      <c r="Z28" s="2">
        <v>8940.64</v>
      </c>
      <c r="AA28" s="12">
        <v>8940.64</v>
      </c>
      <c r="AB28" s="3">
        <f t="shared" si="0"/>
        <v>214575.3600000001</v>
      </c>
      <c r="AC28" s="3">
        <v>4</v>
      </c>
      <c r="AD28" s="51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</row>
    <row r="29" spans="2:60" ht="15" thickBot="1">
      <c r="B29" s="49"/>
      <c r="C29" s="9" t="s">
        <v>8</v>
      </c>
      <c r="D29" s="10">
        <v>8940.64</v>
      </c>
      <c r="E29" s="10">
        <v>8940.64</v>
      </c>
      <c r="F29" s="10">
        <v>8940.64</v>
      </c>
      <c r="G29" s="10">
        <v>8940.64</v>
      </c>
      <c r="H29" s="10">
        <v>8940.64</v>
      </c>
      <c r="I29" s="10">
        <v>8940.64</v>
      </c>
      <c r="J29" s="10">
        <v>8940.64</v>
      </c>
      <c r="K29" s="10">
        <v>8940.64</v>
      </c>
      <c r="L29" s="10">
        <v>8940.64</v>
      </c>
      <c r="M29" s="10">
        <v>8940.64</v>
      </c>
      <c r="N29" s="10">
        <v>8940.64</v>
      </c>
      <c r="O29" s="10">
        <v>8940.64</v>
      </c>
      <c r="P29" s="10">
        <v>8940.64</v>
      </c>
      <c r="Q29" s="10">
        <v>8940.64</v>
      </c>
      <c r="R29" s="10">
        <v>8940.64</v>
      </c>
      <c r="S29" s="10">
        <v>8940.64</v>
      </c>
      <c r="T29" s="10">
        <v>8940.64</v>
      </c>
      <c r="U29" s="10">
        <v>8940.64</v>
      </c>
      <c r="V29" s="10">
        <v>8940.64</v>
      </c>
      <c r="W29" s="10">
        <v>8940.64</v>
      </c>
      <c r="X29" s="10">
        <v>8940.64</v>
      </c>
      <c r="Y29" s="10">
        <v>8940.64</v>
      </c>
      <c r="Z29" s="10">
        <v>8940.64</v>
      </c>
      <c r="AA29" s="13">
        <v>8940.64</v>
      </c>
      <c r="AB29" s="6">
        <f t="shared" si="0"/>
        <v>214575.3600000001</v>
      </c>
      <c r="AC29" s="6">
        <v>2</v>
      </c>
      <c r="AD29" s="52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</row>
    <row r="30" spans="2:60">
      <c r="B30" s="47">
        <v>47300</v>
      </c>
      <c r="C30" s="8" t="s">
        <v>5</v>
      </c>
      <c r="D30" s="7">
        <v>8940.64</v>
      </c>
      <c r="E30" s="7">
        <v>8940.64</v>
      </c>
      <c r="F30" s="7">
        <v>8940.64</v>
      </c>
      <c r="G30" s="7">
        <v>8940.64</v>
      </c>
      <c r="H30" s="7">
        <v>8940.64</v>
      </c>
      <c r="I30" s="7">
        <v>8940.64</v>
      </c>
      <c r="J30" s="7">
        <v>8940.64</v>
      </c>
      <c r="K30" s="7">
        <v>8940.64</v>
      </c>
      <c r="L30" s="7">
        <v>8940.64</v>
      </c>
      <c r="M30" s="7">
        <v>8940.64</v>
      </c>
      <c r="N30" s="7">
        <v>8940.64</v>
      </c>
      <c r="O30" s="7">
        <v>8940.64</v>
      </c>
      <c r="P30" s="7">
        <v>8940.64</v>
      </c>
      <c r="Q30" s="7">
        <v>8940.64</v>
      </c>
      <c r="R30" s="7">
        <v>8940.64</v>
      </c>
      <c r="S30" s="7">
        <v>8940.64</v>
      </c>
      <c r="T30" s="7">
        <v>8940.64</v>
      </c>
      <c r="U30" s="7">
        <v>8940.64</v>
      </c>
      <c r="V30" s="7">
        <v>8940.64</v>
      </c>
      <c r="W30" s="7">
        <v>8940.64</v>
      </c>
      <c r="X30" s="7">
        <v>8940.64</v>
      </c>
      <c r="Y30" s="7">
        <v>8940.64</v>
      </c>
      <c r="Z30" s="7">
        <v>8940.64</v>
      </c>
      <c r="AA30" s="11">
        <v>8940.64</v>
      </c>
      <c r="AB30" s="5">
        <f t="shared" si="0"/>
        <v>214575.3600000001</v>
      </c>
      <c r="AC30" s="5">
        <v>20</v>
      </c>
      <c r="AD30" s="50">
        <f>(AB30*AC30)+(AB31*AC31)+(AB32*AC32)+(AB33*AC33)</f>
        <v>6651836.1600000039</v>
      </c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</row>
    <row r="31" spans="2:60">
      <c r="B31" s="48"/>
      <c r="C31" s="1" t="s">
        <v>6</v>
      </c>
      <c r="D31" s="2">
        <v>8940.64</v>
      </c>
      <c r="E31" s="2">
        <v>8940.64</v>
      </c>
      <c r="F31" s="2">
        <v>8940.64</v>
      </c>
      <c r="G31" s="2">
        <v>8940.64</v>
      </c>
      <c r="H31" s="2">
        <v>8940.64</v>
      </c>
      <c r="I31" s="2">
        <v>8940.64</v>
      </c>
      <c r="J31" s="2">
        <v>8940.64</v>
      </c>
      <c r="K31" s="2">
        <v>8940.64</v>
      </c>
      <c r="L31" s="2">
        <v>8940.64</v>
      </c>
      <c r="M31" s="2">
        <v>8940.64</v>
      </c>
      <c r="N31" s="2">
        <v>8940.64</v>
      </c>
      <c r="O31" s="2">
        <v>8940.64</v>
      </c>
      <c r="P31" s="2">
        <v>8940.64</v>
      </c>
      <c r="Q31" s="2">
        <v>8940.64</v>
      </c>
      <c r="R31" s="2">
        <v>8940.64</v>
      </c>
      <c r="S31" s="2">
        <v>8940.64</v>
      </c>
      <c r="T31" s="2">
        <v>8940.64</v>
      </c>
      <c r="U31" s="2">
        <v>8940.64</v>
      </c>
      <c r="V31" s="2">
        <v>8940.64</v>
      </c>
      <c r="W31" s="2">
        <v>8940.64</v>
      </c>
      <c r="X31" s="2">
        <v>8940.64</v>
      </c>
      <c r="Y31" s="2">
        <v>8940.64</v>
      </c>
      <c r="Z31" s="2">
        <v>8940.64</v>
      </c>
      <c r="AA31" s="12">
        <v>8940.64</v>
      </c>
      <c r="AB31" s="3">
        <f t="shared" si="0"/>
        <v>214575.3600000001</v>
      </c>
      <c r="AC31" s="3">
        <v>4</v>
      </c>
      <c r="AD31" s="51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</row>
    <row r="32" spans="2:60">
      <c r="B32" s="48"/>
      <c r="C32" s="1" t="s">
        <v>4</v>
      </c>
      <c r="D32" s="2">
        <v>8940.64</v>
      </c>
      <c r="E32" s="2">
        <v>8940.64</v>
      </c>
      <c r="F32" s="2">
        <v>8940.64</v>
      </c>
      <c r="G32" s="2">
        <v>8940.64</v>
      </c>
      <c r="H32" s="2">
        <v>8940.64</v>
      </c>
      <c r="I32" s="2">
        <v>8940.64</v>
      </c>
      <c r="J32" s="2">
        <v>8940.64</v>
      </c>
      <c r="K32" s="2">
        <v>8940.64</v>
      </c>
      <c r="L32" s="2">
        <v>8940.64</v>
      </c>
      <c r="M32" s="2">
        <v>8940.64</v>
      </c>
      <c r="N32" s="2">
        <v>8940.64</v>
      </c>
      <c r="O32" s="2">
        <v>8940.64</v>
      </c>
      <c r="P32" s="2">
        <v>8940.64</v>
      </c>
      <c r="Q32" s="2">
        <v>8940.64</v>
      </c>
      <c r="R32" s="2">
        <v>8940.64</v>
      </c>
      <c r="S32" s="2">
        <v>8940.64</v>
      </c>
      <c r="T32" s="2">
        <v>8940.64</v>
      </c>
      <c r="U32" s="2">
        <v>8940.64</v>
      </c>
      <c r="V32" s="2">
        <v>8940.64</v>
      </c>
      <c r="W32" s="2">
        <v>8940.64</v>
      </c>
      <c r="X32" s="2">
        <v>8940.64</v>
      </c>
      <c r="Y32" s="2">
        <v>8940.64</v>
      </c>
      <c r="Z32" s="2">
        <v>8940.64</v>
      </c>
      <c r="AA32" s="12">
        <v>8940.64</v>
      </c>
      <c r="AB32" s="3">
        <f t="shared" si="0"/>
        <v>214575.3600000001</v>
      </c>
      <c r="AC32" s="3">
        <v>5</v>
      </c>
      <c r="AD32" s="51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</row>
    <row r="33" spans="2:60" ht="15" thickBot="1">
      <c r="B33" s="49"/>
      <c r="C33" s="9" t="s">
        <v>8</v>
      </c>
      <c r="D33" s="10">
        <v>8940.64</v>
      </c>
      <c r="E33" s="10">
        <v>8940.64</v>
      </c>
      <c r="F33" s="10">
        <v>8940.64</v>
      </c>
      <c r="G33" s="10">
        <v>8940.64</v>
      </c>
      <c r="H33" s="10">
        <v>8940.64</v>
      </c>
      <c r="I33" s="10">
        <v>8940.64</v>
      </c>
      <c r="J33" s="10">
        <v>8940.64</v>
      </c>
      <c r="K33" s="10">
        <v>8940.64</v>
      </c>
      <c r="L33" s="10">
        <v>8940.64</v>
      </c>
      <c r="M33" s="10">
        <v>8940.64</v>
      </c>
      <c r="N33" s="10">
        <v>8940.64</v>
      </c>
      <c r="O33" s="10">
        <v>8940.64</v>
      </c>
      <c r="P33" s="10">
        <v>8940.64</v>
      </c>
      <c r="Q33" s="10">
        <v>8940.64</v>
      </c>
      <c r="R33" s="10">
        <v>8940.64</v>
      </c>
      <c r="S33" s="10">
        <v>8940.64</v>
      </c>
      <c r="T33" s="10">
        <v>8940.64</v>
      </c>
      <c r="U33" s="10">
        <v>8940.64</v>
      </c>
      <c r="V33" s="10">
        <v>8940.64</v>
      </c>
      <c r="W33" s="10">
        <v>8940.64</v>
      </c>
      <c r="X33" s="10">
        <v>8940.64</v>
      </c>
      <c r="Y33" s="10">
        <v>8940.64</v>
      </c>
      <c r="Z33" s="10">
        <v>8940.64</v>
      </c>
      <c r="AA33" s="13">
        <v>8940.64</v>
      </c>
      <c r="AB33" s="6">
        <f t="shared" si="0"/>
        <v>214575.3600000001</v>
      </c>
      <c r="AC33" s="6">
        <v>2</v>
      </c>
      <c r="AD33" s="52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</row>
    <row r="34" spans="2:60">
      <c r="B34" s="47">
        <v>47331</v>
      </c>
      <c r="C34" s="8" t="s">
        <v>5</v>
      </c>
      <c r="D34" s="7">
        <v>8940.64</v>
      </c>
      <c r="E34" s="7">
        <v>8940.64</v>
      </c>
      <c r="F34" s="7">
        <v>8940.64</v>
      </c>
      <c r="G34" s="7">
        <v>8940.64</v>
      </c>
      <c r="H34" s="7">
        <v>8940.64</v>
      </c>
      <c r="I34" s="7">
        <v>8940.64</v>
      </c>
      <c r="J34" s="7">
        <v>8940.64</v>
      </c>
      <c r="K34" s="7">
        <v>8940.64</v>
      </c>
      <c r="L34" s="7">
        <v>8940.64</v>
      </c>
      <c r="M34" s="7">
        <v>8940.64</v>
      </c>
      <c r="N34" s="7">
        <v>8940.64</v>
      </c>
      <c r="O34" s="7">
        <v>8940.64</v>
      </c>
      <c r="P34" s="7">
        <v>8940.64</v>
      </c>
      <c r="Q34" s="7">
        <v>8940.64</v>
      </c>
      <c r="R34" s="7">
        <v>8940.64</v>
      </c>
      <c r="S34" s="7">
        <v>8940.64</v>
      </c>
      <c r="T34" s="7">
        <v>8940.64</v>
      </c>
      <c r="U34" s="7">
        <v>8940.64</v>
      </c>
      <c r="V34" s="7">
        <v>8940.64</v>
      </c>
      <c r="W34" s="7">
        <v>8940.64</v>
      </c>
      <c r="X34" s="7">
        <v>8940.64</v>
      </c>
      <c r="Y34" s="7">
        <v>8940.64</v>
      </c>
      <c r="Z34" s="7">
        <v>8940.64</v>
      </c>
      <c r="AA34" s="11">
        <v>8940.64</v>
      </c>
      <c r="AB34" s="5">
        <f t="shared" si="0"/>
        <v>214575.3600000001</v>
      </c>
      <c r="AC34" s="5">
        <v>21</v>
      </c>
      <c r="AD34" s="50">
        <f>(AB34*AC34)+(AB35*AC35)+(AB36*AC36)+(AB37*AC37)</f>
        <v>6651836.1600000039</v>
      </c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</row>
    <row r="35" spans="2:60">
      <c r="B35" s="48"/>
      <c r="C35" s="1" t="s">
        <v>6</v>
      </c>
      <c r="D35" s="2">
        <v>8940.64</v>
      </c>
      <c r="E35" s="2">
        <v>8940.64</v>
      </c>
      <c r="F35" s="2">
        <v>8940.64</v>
      </c>
      <c r="G35" s="2">
        <v>8940.64</v>
      </c>
      <c r="H35" s="2">
        <v>8940.64</v>
      </c>
      <c r="I35" s="2">
        <v>8940.64</v>
      </c>
      <c r="J35" s="2">
        <v>8940.64</v>
      </c>
      <c r="K35" s="2">
        <v>8940.64</v>
      </c>
      <c r="L35" s="2">
        <v>8940.64</v>
      </c>
      <c r="M35" s="2">
        <v>8940.64</v>
      </c>
      <c r="N35" s="2">
        <v>8940.64</v>
      </c>
      <c r="O35" s="2">
        <v>8940.64</v>
      </c>
      <c r="P35" s="2">
        <v>8940.64</v>
      </c>
      <c r="Q35" s="2">
        <v>8940.64</v>
      </c>
      <c r="R35" s="2">
        <v>8940.64</v>
      </c>
      <c r="S35" s="2">
        <v>8940.64</v>
      </c>
      <c r="T35" s="2">
        <v>8940.64</v>
      </c>
      <c r="U35" s="2">
        <v>8940.64</v>
      </c>
      <c r="V35" s="2">
        <v>8940.64</v>
      </c>
      <c r="W35" s="2">
        <v>8940.64</v>
      </c>
      <c r="X35" s="2">
        <v>8940.64</v>
      </c>
      <c r="Y35" s="2">
        <v>8940.64</v>
      </c>
      <c r="Z35" s="2">
        <v>8940.64</v>
      </c>
      <c r="AA35" s="12">
        <v>8940.64</v>
      </c>
      <c r="AB35" s="3">
        <f t="shared" si="0"/>
        <v>214575.3600000001</v>
      </c>
      <c r="AC35" s="3">
        <v>4</v>
      </c>
      <c r="AD35" s="51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</row>
    <row r="36" spans="2:60">
      <c r="B36" s="48"/>
      <c r="C36" s="1" t="s">
        <v>7</v>
      </c>
      <c r="D36" s="2">
        <v>8940.64</v>
      </c>
      <c r="E36" s="2">
        <v>8940.64</v>
      </c>
      <c r="F36" s="2">
        <v>8940.64</v>
      </c>
      <c r="G36" s="2">
        <v>8940.64</v>
      </c>
      <c r="H36" s="2">
        <v>8940.64</v>
      </c>
      <c r="I36" s="2">
        <v>8940.64</v>
      </c>
      <c r="J36" s="2">
        <v>8940.64</v>
      </c>
      <c r="K36" s="2">
        <v>8940.64</v>
      </c>
      <c r="L36" s="2">
        <v>8940.64</v>
      </c>
      <c r="M36" s="2">
        <v>8940.64</v>
      </c>
      <c r="N36" s="2">
        <v>8940.64</v>
      </c>
      <c r="O36" s="2">
        <v>8940.64</v>
      </c>
      <c r="P36" s="2">
        <v>8940.64</v>
      </c>
      <c r="Q36" s="2">
        <v>8940.64</v>
      </c>
      <c r="R36" s="2">
        <v>8940.64</v>
      </c>
      <c r="S36" s="2">
        <v>8940.64</v>
      </c>
      <c r="T36" s="2">
        <v>8940.64</v>
      </c>
      <c r="U36" s="2">
        <v>8940.64</v>
      </c>
      <c r="V36" s="2">
        <v>8940.64</v>
      </c>
      <c r="W36" s="2">
        <v>8940.64</v>
      </c>
      <c r="X36" s="2">
        <v>8940.64</v>
      </c>
      <c r="Y36" s="2">
        <v>8940.64</v>
      </c>
      <c r="Z36" s="2">
        <v>8940.64</v>
      </c>
      <c r="AA36" s="12">
        <v>8940.64</v>
      </c>
      <c r="AB36" s="3">
        <f t="shared" si="0"/>
        <v>214575.3600000001</v>
      </c>
      <c r="AC36" s="3">
        <v>4</v>
      </c>
      <c r="AD36" s="51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</row>
    <row r="37" spans="2:60" ht="15" thickBot="1">
      <c r="B37" s="49"/>
      <c r="C37" s="9" t="s">
        <v>8</v>
      </c>
      <c r="D37" s="10">
        <v>8940.64</v>
      </c>
      <c r="E37" s="10">
        <v>8940.64</v>
      </c>
      <c r="F37" s="10">
        <v>8940.64</v>
      </c>
      <c r="G37" s="10">
        <v>8940.64</v>
      </c>
      <c r="H37" s="10">
        <v>8940.64</v>
      </c>
      <c r="I37" s="10">
        <v>8940.64</v>
      </c>
      <c r="J37" s="10">
        <v>8940.64</v>
      </c>
      <c r="K37" s="10">
        <v>8940.64</v>
      </c>
      <c r="L37" s="10">
        <v>8940.64</v>
      </c>
      <c r="M37" s="10">
        <v>8940.64</v>
      </c>
      <c r="N37" s="10">
        <v>8940.64</v>
      </c>
      <c r="O37" s="10">
        <v>8940.64</v>
      </c>
      <c r="P37" s="10">
        <v>8940.64</v>
      </c>
      <c r="Q37" s="10">
        <v>8940.64</v>
      </c>
      <c r="R37" s="10">
        <v>8940.64</v>
      </c>
      <c r="S37" s="10">
        <v>8940.64</v>
      </c>
      <c r="T37" s="10">
        <v>8940.64</v>
      </c>
      <c r="U37" s="10">
        <v>8940.64</v>
      </c>
      <c r="V37" s="10">
        <v>8940.64</v>
      </c>
      <c r="W37" s="10">
        <v>8940.64</v>
      </c>
      <c r="X37" s="10">
        <v>8940.64</v>
      </c>
      <c r="Y37" s="10">
        <v>8940.64</v>
      </c>
      <c r="Z37" s="10">
        <v>8940.64</v>
      </c>
      <c r="AA37" s="13">
        <v>8940.64</v>
      </c>
      <c r="AB37" s="6">
        <f t="shared" si="0"/>
        <v>214575.3600000001</v>
      </c>
      <c r="AC37" s="6">
        <v>2</v>
      </c>
      <c r="AD37" s="52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</row>
    <row r="38" spans="2:60">
      <c r="B38" s="47">
        <v>47362</v>
      </c>
      <c r="C38" s="8" t="s">
        <v>5</v>
      </c>
      <c r="D38" s="7">
        <v>8940.64</v>
      </c>
      <c r="E38" s="7">
        <v>8940.64</v>
      </c>
      <c r="F38" s="7">
        <v>8940.64</v>
      </c>
      <c r="G38" s="7">
        <v>8940.64</v>
      </c>
      <c r="H38" s="7">
        <v>8940.64</v>
      </c>
      <c r="I38" s="7">
        <v>8940.64</v>
      </c>
      <c r="J38" s="7">
        <v>8940.64</v>
      </c>
      <c r="K38" s="7">
        <v>8940.64</v>
      </c>
      <c r="L38" s="7">
        <v>8940.64</v>
      </c>
      <c r="M38" s="7">
        <v>8940.64</v>
      </c>
      <c r="N38" s="7">
        <v>8940.64</v>
      </c>
      <c r="O38" s="7">
        <v>8940.64</v>
      </c>
      <c r="P38" s="7">
        <v>8940.64</v>
      </c>
      <c r="Q38" s="7">
        <v>8940.64</v>
      </c>
      <c r="R38" s="7">
        <v>8940.64</v>
      </c>
      <c r="S38" s="7">
        <v>8940.64</v>
      </c>
      <c r="T38" s="7">
        <v>8940.64</v>
      </c>
      <c r="U38" s="7">
        <v>8940.64</v>
      </c>
      <c r="V38" s="7">
        <v>8940.64</v>
      </c>
      <c r="W38" s="7">
        <v>8940.64</v>
      </c>
      <c r="X38" s="7">
        <v>8940.64</v>
      </c>
      <c r="Y38" s="7">
        <v>8940.64</v>
      </c>
      <c r="Z38" s="7">
        <v>8940.64</v>
      </c>
      <c r="AA38" s="11">
        <v>8940.64</v>
      </c>
      <c r="AB38" s="5">
        <f t="shared" si="0"/>
        <v>214575.3600000001</v>
      </c>
      <c r="AC38" s="5">
        <v>20</v>
      </c>
      <c r="AD38" s="50">
        <f>(AB38*AC38)+(AB39*AC39)+(AB40*AC40)+(AB41*AC41)</f>
        <v>6437260.8000000035</v>
      </c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</row>
    <row r="39" spans="2:60">
      <c r="B39" s="48"/>
      <c r="C39" s="1" t="s">
        <v>6</v>
      </c>
      <c r="D39" s="2">
        <v>8940.64</v>
      </c>
      <c r="E39" s="2">
        <v>8940.64</v>
      </c>
      <c r="F39" s="2">
        <v>8940.64</v>
      </c>
      <c r="G39" s="2">
        <v>8940.64</v>
      </c>
      <c r="H39" s="2">
        <v>8940.64</v>
      </c>
      <c r="I39" s="2">
        <v>8940.64</v>
      </c>
      <c r="J39" s="2">
        <v>8940.64</v>
      </c>
      <c r="K39" s="2">
        <v>8940.64</v>
      </c>
      <c r="L39" s="2">
        <v>8940.64</v>
      </c>
      <c r="M39" s="2">
        <v>8940.64</v>
      </c>
      <c r="N39" s="2">
        <v>8940.64</v>
      </c>
      <c r="O39" s="2">
        <v>8940.64</v>
      </c>
      <c r="P39" s="2">
        <v>8940.64</v>
      </c>
      <c r="Q39" s="2">
        <v>8940.64</v>
      </c>
      <c r="R39" s="2">
        <v>8940.64</v>
      </c>
      <c r="S39" s="2">
        <v>8940.64</v>
      </c>
      <c r="T39" s="2">
        <v>8940.64</v>
      </c>
      <c r="U39" s="2">
        <v>8940.64</v>
      </c>
      <c r="V39" s="2">
        <v>8940.64</v>
      </c>
      <c r="W39" s="2">
        <v>8940.64</v>
      </c>
      <c r="X39" s="2">
        <v>8940.64</v>
      </c>
      <c r="Y39" s="2">
        <v>8940.64</v>
      </c>
      <c r="Z39" s="2">
        <v>8940.64</v>
      </c>
      <c r="AA39" s="12">
        <v>8940.64</v>
      </c>
      <c r="AB39" s="3">
        <f t="shared" si="0"/>
        <v>214575.3600000001</v>
      </c>
      <c r="AC39" s="3">
        <v>5</v>
      </c>
      <c r="AD39" s="51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</row>
    <row r="40" spans="2:60">
      <c r="B40" s="48"/>
      <c r="C40" s="1" t="s">
        <v>7</v>
      </c>
      <c r="D40" s="2">
        <v>8940.64</v>
      </c>
      <c r="E40" s="2">
        <v>8940.64</v>
      </c>
      <c r="F40" s="2">
        <v>8940.64</v>
      </c>
      <c r="G40" s="2">
        <v>8940.64</v>
      </c>
      <c r="H40" s="2">
        <v>8940.64</v>
      </c>
      <c r="I40" s="2">
        <v>8940.64</v>
      </c>
      <c r="J40" s="2">
        <v>8940.64</v>
      </c>
      <c r="K40" s="2">
        <v>8940.64</v>
      </c>
      <c r="L40" s="2">
        <v>8940.64</v>
      </c>
      <c r="M40" s="2">
        <v>8940.64</v>
      </c>
      <c r="N40" s="2">
        <v>8940.64</v>
      </c>
      <c r="O40" s="2">
        <v>8940.64</v>
      </c>
      <c r="P40" s="2">
        <v>8940.64</v>
      </c>
      <c r="Q40" s="2">
        <v>8940.64</v>
      </c>
      <c r="R40" s="2">
        <v>8940.64</v>
      </c>
      <c r="S40" s="2">
        <v>8940.64</v>
      </c>
      <c r="T40" s="2">
        <v>8940.64</v>
      </c>
      <c r="U40" s="2">
        <v>8940.64</v>
      </c>
      <c r="V40" s="2">
        <v>8940.64</v>
      </c>
      <c r="W40" s="2">
        <v>8940.64</v>
      </c>
      <c r="X40" s="2">
        <v>8940.64</v>
      </c>
      <c r="Y40" s="2">
        <v>8940.64</v>
      </c>
      <c r="Z40" s="2">
        <v>8940.64</v>
      </c>
      <c r="AA40" s="12">
        <v>8940.64</v>
      </c>
      <c r="AB40" s="3">
        <f t="shared" si="0"/>
        <v>214575.3600000001</v>
      </c>
      <c r="AC40" s="3">
        <v>5</v>
      </c>
      <c r="AD40" s="51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</row>
    <row r="41" spans="2:60" ht="15" thickBot="1">
      <c r="B41" s="49"/>
      <c r="C41" s="9" t="s">
        <v>8</v>
      </c>
      <c r="D41" s="10">
        <v>8940.64</v>
      </c>
      <c r="E41" s="10">
        <v>8940.64</v>
      </c>
      <c r="F41" s="10">
        <v>8940.64</v>
      </c>
      <c r="G41" s="10">
        <v>8940.64</v>
      </c>
      <c r="H41" s="10">
        <v>8940.64</v>
      </c>
      <c r="I41" s="10">
        <v>8940.64</v>
      </c>
      <c r="J41" s="10">
        <v>8940.64</v>
      </c>
      <c r="K41" s="10">
        <v>8940.64</v>
      </c>
      <c r="L41" s="10">
        <v>8940.64</v>
      </c>
      <c r="M41" s="10">
        <v>8940.64</v>
      </c>
      <c r="N41" s="10">
        <v>8940.64</v>
      </c>
      <c r="O41" s="10">
        <v>8940.64</v>
      </c>
      <c r="P41" s="10">
        <v>8940.64</v>
      </c>
      <c r="Q41" s="10">
        <v>8940.64</v>
      </c>
      <c r="R41" s="10">
        <v>8940.64</v>
      </c>
      <c r="S41" s="10">
        <v>8940.64</v>
      </c>
      <c r="T41" s="10">
        <v>8940.64</v>
      </c>
      <c r="U41" s="10">
        <v>8940.64</v>
      </c>
      <c r="V41" s="10">
        <v>8940.64</v>
      </c>
      <c r="W41" s="10">
        <v>8940.64</v>
      </c>
      <c r="X41" s="10">
        <v>8940.64</v>
      </c>
      <c r="Y41" s="10">
        <v>8940.64</v>
      </c>
      <c r="Z41" s="10">
        <v>8940.64</v>
      </c>
      <c r="AA41" s="13">
        <v>8940.64</v>
      </c>
      <c r="AB41" s="6">
        <f t="shared" si="0"/>
        <v>214575.3600000001</v>
      </c>
      <c r="AC41" s="6">
        <v>0</v>
      </c>
      <c r="AD41" s="52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</row>
    <row r="42" spans="2:60">
      <c r="B42" s="47">
        <v>47392</v>
      </c>
      <c r="C42" s="8" t="s">
        <v>5</v>
      </c>
      <c r="D42" s="7">
        <v>8940.64</v>
      </c>
      <c r="E42" s="7">
        <v>8940.64</v>
      </c>
      <c r="F42" s="7">
        <v>8940.64</v>
      </c>
      <c r="G42" s="7">
        <v>8940.64</v>
      </c>
      <c r="H42" s="7">
        <v>8940.64</v>
      </c>
      <c r="I42" s="7">
        <v>8940.64</v>
      </c>
      <c r="J42" s="7">
        <v>8940.64</v>
      </c>
      <c r="K42" s="7">
        <v>8940.64</v>
      </c>
      <c r="L42" s="7">
        <v>8940.64</v>
      </c>
      <c r="M42" s="7">
        <v>8940.64</v>
      </c>
      <c r="N42" s="7">
        <v>8940.64</v>
      </c>
      <c r="O42" s="7">
        <v>8940.64</v>
      </c>
      <c r="P42" s="7">
        <v>8940.64</v>
      </c>
      <c r="Q42" s="7">
        <v>8940.64</v>
      </c>
      <c r="R42" s="7">
        <v>8940.64</v>
      </c>
      <c r="S42" s="7">
        <v>8940.64</v>
      </c>
      <c r="T42" s="7">
        <v>8940.64</v>
      </c>
      <c r="U42" s="7">
        <v>8940.64</v>
      </c>
      <c r="V42" s="7">
        <v>8940.64</v>
      </c>
      <c r="W42" s="7">
        <v>8940.64</v>
      </c>
      <c r="X42" s="7">
        <v>8940.64</v>
      </c>
      <c r="Y42" s="7">
        <v>8940.64</v>
      </c>
      <c r="Z42" s="7">
        <v>8940.64</v>
      </c>
      <c r="AA42" s="11">
        <v>8940.64</v>
      </c>
      <c r="AB42" s="5">
        <f t="shared" si="0"/>
        <v>214575.3600000001</v>
      </c>
      <c r="AC42" s="5">
        <v>22</v>
      </c>
      <c r="AD42" s="50">
        <f>(AB42*AC42)+(AB43*AC43)+(AB44*AC44)+(AB45*AC45)</f>
        <v>6651836.1600000029</v>
      </c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</row>
    <row r="43" spans="2:60">
      <c r="B43" s="48"/>
      <c r="C43" s="1" t="s">
        <v>6</v>
      </c>
      <c r="D43" s="2">
        <v>8940.64</v>
      </c>
      <c r="E43" s="2">
        <v>8940.64</v>
      </c>
      <c r="F43" s="2">
        <v>8940.64</v>
      </c>
      <c r="G43" s="2">
        <v>8940.64</v>
      </c>
      <c r="H43" s="2">
        <v>8940.64</v>
      </c>
      <c r="I43" s="2">
        <v>8940.64</v>
      </c>
      <c r="J43" s="2">
        <v>8940.64</v>
      </c>
      <c r="K43" s="2">
        <v>8940.64</v>
      </c>
      <c r="L43" s="2">
        <v>8940.64</v>
      </c>
      <c r="M43" s="2">
        <v>8940.64</v>
      </c>
      <c r="N43" s="2">
        <v>8940.64</v>
      </c>
      <c r="O43" s="2">
        <v>8940.64</v>
      </c>
      <c r="P43" s="2">
        <v>8940.64</v>
      </c>
      <c r="Q43" s="2">
        <v>8940.64</v>
      </c>
      <c r="R43" s="2">
        <v>8940.64</v>
      </c>
      <c r="S43" s="2">
        <v>8940.64</v>
      </c>
      <c r="T43" s="2">
        <v>8940.64</v>
      </c>
      <c r="U43" s="2">
        <v>8940.64</v>
      </c>
      <c r="V43" s="2">
        <v>8940.64</v>
      </c>
      <c r="W43" s="2">
        <v>8940.64</v>
      </c>
      <c r="X43" s="2">
        <v>8940.64</v>
      </c>
      <c r="Y43" s="2">
        <v>8940.64</v>
      </c>
      <c r="Z43" s="2">
        <v>8940.64</v>
      </c>
      <c r="AA43" s="12">
        <v>8940.64</v>
      </c>
      <c r="AB43" s="3">
        <f t="shared" si="0"/>
        <v>214575.3600000001</v>
      </c>
      <c r="AC43" s="3">
        <v>4</v>
      </c>
      <c r="AD43" s="51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</row>
    <row r="44" spans="2:60">
      <c r="B44" s="48"/>
      <c r="C44" s="1" t="s">
        <v>7</v>
      </c>
      <c r="D44" s="2">
        <v>8940.64</v>
      </c>
      <c r="E44" s="2">
        <v>8940.64</v>
      </c>
      <c r="F44" s="2">
        <v>8940.64</v>
      </c>
      <c r="G44" s="2">
        <v>8940.64</v>
      </c>
      <c r="H44" s="2">
        <v>8940.64</v>
      </c>
      <c r="I44" s="2">
        <v>8940.64</v>
      </c>
      <c r="J44" s="2">
        <v>8940.64</v>
      </c>
      <c r="K44" s="2">
        <v>8940.64</v>
      </c>
      <c r="L44" s="2">
        <v>8940.64</v>
      </c>
      <c r="M44" s="2">
        <v>8940.64</v>
      </c>
      <c r="N44" s="2">
        <v>8940.64</v>
      </c>
      <c r="O44" s="2">
        <v>8940.64</v>
      </c>
      <c r="P44" s="2">
        <v>8940.64</v>
      </c>
      <c r="Q44" s="2">
        <v>8940.64</v>
      </c>
      <c r="R44" s="2">
        <v>8940.64</v>
      </c>
      <c r="S44" s="2">
        <v>8940.64</v>
      </c>
      <c r="T44" s="2">
        <v>8940.64</v>
      </c>
      <c r="U44" s="2">
        <v>8940.64</v>
      </c>
      <c r="V44" s="2">
        <v>8940.64</v>
      </c>
      <c r="W44" s="2">
        <v>8940.64</v>
      </c>
      <c r="X44" s="2">
        <v>8940.64</v>
      </c>
      <c r="Y44" s="2">
        <v>8940.64</v>
      </c>
      <c r="Z44" s="2">
        <v>8940.64</v>
      </c>
      <c r="AA44" s="12">
        <v>8940.64</v>
      </c>
      <c r="AB44" s="3">
        <f t="shared" si="0"/>
        <v>214575.3600000001</v>
      </c>
      <c r="AC44" s="3">
        <v>4</v>
      </c>
      <c r="AD44" s="51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</row>
    <row r="45" spans="2:60" ht="15" thickBot="1">
      <c r="B45" s="49"/>
      <c r="C45" s="9" t="s">
        <v>8</v>
      </c>
      <c r="D45" s="10">
        <v>8940.64</v>
      </c>
      <c r="E45" s="10">
        <v>8940.64</v>
      </c>
      <c r="F45" s="10">
        <v>8940.64</v>
      </c>
      <c r="G45" s="10">
        <v>8940.64</v>
      </c>
      <c r="H45" s="10">
        <v>8940.64</v>
      </c>
      <c r="I45" s="10">
        <v>8940.64</v>
      </c>
      <c r="J45" s="10">
        <v>8940.64</v>
      </c>
      <c r="K45" s="10">
        <v>8940.64</v>
      </c>
      <c r="L45" s="10">
        <v>8940.64</v>
      </c>
      <c r="M45" s="10">
        <v>8940.64</v>
      </c>
      <c r="N45" s="10">
        <v>8940.64</v>
      </c>
      <c r="O45" s="10">
        <v>8940.64</v>
      </c>
      <c r="P45" s="10">
        <v>8940.64</v>
      </c>
      <c r="Q45" s="10">
        <v>8940.64</v>
      </c>
      <c r="R45" s="10">
        <v>8940.64</v>
      </c>
      <c r="S45" s="10">
        <v>8940.64</v>
      </c>
      <c r="T45" s="10">
        <v>8940.64</v>
      </c>
      <c r="U45" s="10">
        <v>8940.64</v>
      </c>
      <c r="V45" s="10">
        <v>8940.64</v>
      </c>
      <c r="W45" s="10">
        <v>8940.64</v>
      </c>
      <c r="X45" s="10">
        <v>8940.64</v>
      </c>
      <c r="Y45" s="10">
        <v>8940.64</v>
      </c>
      <c r="Z45" s="10">
        <v>8940.64</v>
      </c>
      <c r="AA45" s="13">
        <v>8940.64</v>
      </c>
      <c r="AB45" s="6">
        <f t="shared" si="0"/>
        <v>214575.3600000001</v>
      </c>
      <c r="AC45" s="6">
        <v>1</v>
      </c>
      <c r="AD45" s="52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</row>
    <row r="46" spans="2:60">
      <c r="B46" s="47">
        <v>47423</v>
      </c>
      <c r="C46" s="8" t="s">
        <v>5</v>
      </c>
      <c r="D46" s="7">
        <v>8940.64</v>
      </c>
      <c r="E46" s="7">
        <v>8940.64</v>
      </c>
      <c r="F46" s="7">
        <v>8940.64</v>
      </c>
      <c r="G46" s="7">
        <v>8940.64</v>
      </c>
      <c r="H46" s="7">
        <v>8940.64</v>
      </c>
      <c r="I46" s="7">
        <v>8940.64</v>
      </c>
      <c r="J46" s="7">
        <v>8940.64</v>
      </c>
      <c r="K46" s="7">
        <v>8940.64</v>
      </c>
      <c r="L46" s="7">
        <v>8940.64</v>
      </c>
      <c r="M46" s="7">
        <v>8940.64</v>
      </c>
      <c r="N46" s="7">
        <v>8940.64</v>
      </c>
      <c r="O46" s="7">
        <v>8940.64</v>
      </c>
      <c r="P46" s="7">
        <v>8940.64</v>
      </c>
      <c r="Q46" s="7">
        <v>8940.64</v>
      </c>
      <c r="R46" s="7">
        <v>8940.64</v>
      </c>
      <c r="S46" s="7">
        <v>8940.64</v>
      </c>
      <c r="T46" s="7">
        <v>8940.64</v>
      </c>
      <c r="U46" s="7">
        <v>8940.64</v>
      </c>
      <c r="V46" s="7">
        <v>8940.64</v>
      </c>
      <c r="W46" s="7">
        <v>8940.64</v>
      </c>
      <c r="X46" s="7">
        <v>8940.64</v>
      </c>
      <c r="Y46" s="7">
        <v>8940.64</v>
      </c>
      <c r="Z46" s="7">
        <v>8940.64</v>
      </c>
      <c r="AA46" s="11">
        <v>8940.64</v>
      </c>
      <c r="AB46" s="5">
        <f t="shared" si="0"/>
        <v>214575.3600000001</v>
      </c>
      <c r="AC46" s="5">
        <v>20</v>
      </c>
      <c r="AD46" s="50">
        <f>(AB46*AC46)+(AB47*AC47)+(AB48*AC48)+(AB49*AC49)</f>
        <v>6437260.8000000026</v>
      </c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</row>
    <row r="47" spans="2:60">
      <c r="B47" s="48"/>
      <c r="C47" s="1" t="s">
        <v>6</v>
      </c>
      <c r="D47" s="2">
        <v>8940.64</v>
      </c>
      <c r="E47" s="2">
        <v>8940.64</v>
      </c>
      <c r="F47" s="2">
        <v>8940.64</v>
      </c>
      <c r="G47" s="2">
        <v>8940.64</v>
      </c>
      <c r="H47" s="2">
        <v>8940.64</v>
      </c>
      <c r="I47" s="2">
        <v>8940.64</v>
      </c>
      <c r="J47" s="2">
        <v>8940.64</v>
      </c>
      <c r="K47" s="2">
        <v>8940.64</v>
      </c>
      <c r="L47" s="2">
        <v>8940.64</v>
      </c>
      <c r="M47" s="2">
        <v>8940.64</v>
      </c>
      <c r="N47" s="2">
        <v>8940.64</v>
      </c>
      <c r="O47" s="2">
        <v>8940.64</v>
      </c>
      <c r="P47" s="2">
        <v>8940.64</v>
      </c>
      <c r="Q47" s="2">
        <v>8940.64</v>
      </c>
      <c r="R47" s="2">
        <v>8940.64</v>
      </c>
      <c r="S47" s="2">
        <v>8940.64</v>
      </c>
      <c r="T47" s="2">
        <v>8940.64</v>
      </c>
      <c r="U47" s="2">
        <v>8940.64</v>
      </c>
      <c r="V47" s="2">
        <v>8940.64</v>
      </c>
      <c r="W47" s="2">
        <v>8940.64</v>
      </c>
      <c r="X47" s="2">
        <v>8940.64</v>
      </c>
      <c r="Y47" s="2">
        <v>8940.64</v>
      </c>
      <c r="Z47" s="2">
        <v>8940.64</v>
      </c>
      <c r="AA47" s="12">
        <v>8940.64</v>
      </c>
      <c r="AB47" s="3">
        <f t="shared" si="0"/>
        <v>214575.3600000001</v>
      </c>
      <c r="AC47" s="3">
        <v>4</v>
      </c>
      <c r="AD47" s="51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</row>
    <row r="48" spans="2:60">
      <c r="B48" s="48"/>
      <c r="C48" s="1" t="s">
        <v>7</v>
      </c>
      <c r="D48" s="2">
        <v>8940.64</v>
      </c>
      <c r="E48" s="2">
        <v>8940.64</v>
      </c>
      <c r="F48" s="2">
        <v>8940.64</v>
      </c>
      <c r="G48" s="2">
        <v>8940.64</v>
      </c>
      <c r="H48" s="2">
        <v>8940.64</v>
      </c>
      <c r="I48" s="2">
        <v>8940.64</v>
      </c>
      <c r="J48" s="2">
        <v>8940.64</v>
      </c>
      <c r="K48" s="2">
        <v>8940.64</v>
      </c>
      <c r="L48" s="2">
        <v>8940.64</v>
      </c>
      <c r="M48" s="2">
        <v>8940.64</v>
      </c>
      <c r="N48" s="2">
        <v>8940.64</v>
      </c>
      <c r="O48" s="2">
        <v>8940.64</v>
      </c>
      <c r="P48" s="2">
        <v>8940.64</v>
      </c>
      <c r="Q48" s="2">
        <v>8940.64</v>
      </c>
      <c r="R48" s="2">
        <v>8940.64</v>
      </c>
      <c r="S48" s="2">
        <v>8940.64</v>
      </c>
      <c r="T48" s="2">
        <v>8940.64</v>
      </c>
      <c r="U48" s="2">
        <v>8940.64</v>
      </c>
      <c r="V48" s="2">
        <v>8940.64</v>
      </c>
      <c r="W48" s="2">
        <v>8940.64</v>
      </c>
      <c r="X48" s="2">
        <v>8940.64</v>
      </c>
      <c r="Y48" s="2">
        <v>8940.64</v>
      </c>
      <c r="Z48" s="2">
        <v>8940.64</v>
      </c>
      <c r="AA48" s="12">
        <v>8940.64</v>
      </c>
      <c r="AB48" s="3">
        <f t="shared" si="0"/>
        <v>214575.3600000001</v>
      </c>
      <c r="AC48" s="3">
        <v>4</v>
      </c>
      <c r="AD48" s="51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</row>
    <row r="49" spans="2:60" ht="15" thickBot="1">
      <c r="B49" s="49"/>
      <c r="C49" s="9" t="s">
        <v>8</v>
      </c>
      <c r="D49" s="10">
        <v>8940.64</v>
      </c>
      <c r="E49" s="10">
        <v>8940.64</v>
      </c>
      <c r="F49" s="10">
        <v>8940.64</v>
      </c>
      <c r="G49" s="10">
        <v>8940.64</v>
      </c>
      <c r="H49" s="10">
        <v>8940.64</v>
      </c>
      <c r="I49" s="10">
        <v>8940.64</v>
      </c>
      <c r="J49" s="10">
        <v>8940.64</v>
      </c>
      <c r="K49" s="10">
        <v>8940.64</v>
      </c>
      <c r="L49" s="10">
        <v>8940.64</v>
      </c>
      <c r="M49" s="10">
        <v>8940.64</v>
      </c>
      <c r="N49" s="10">
        <v>8940.64</v>
      </c>
      <c r="O49" s="10">
        <v>8940.64</v>
      </c>
      <c r="P49" s="10">
        <v>8940.64</v>
      </c>
      <c r="Q49" s="10">
        <v>8940.64</v>
      </c>
      <c r="R49" s="10">
        <v>8940.64</v>
      </c>
      <c r="S49" s="10">
        <v>8940.64</v>
      </c>
      <c r="T49" s="10">
        <v>8940.64</v>
      </c>
      <c r="U49" s="10">
        <v>8940.64</v>
      </c>
      <c r="V49" s="10">
        <v>8940.64</v>
      </c>
      <c r="W49" s="10">
        <v>8940.64</v>
      </c>
      <c r="X49" s="10">
        <v>8940.64</v>
      </c>
      <c r="Y49" s="10">
        <v>8940.64</v>
      </c>
      <c r="Z49" s="10">
        <v>8940.64</v>
      </c>
      <c r="AA49" s="13">
        <v>8940.64</v>
      </c>
      <c r="AB49" s="6">
        <f t="shared" si="0"/>
        <v>214575.3600000001</v>
      </c>
      <c r="AC49" s="6">
        <v>2</v>
      </c>
      <c r="AD49" s="52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</row>
    <row r="50" spans="2:60">
      <c r="B50" s="47">
        <v>47453</v>
      </c>
      <c r="C50" s="8" t="s">
        <v>5</v>
      </c>
      <c r="D50" s="7">
        <v>8940.64</v>
      </c>
      <c r="E50" s="7">
        <v>8940.64</v>
      </c>
      <c r="F50" s="7">
        <v>8940.64</v>
      </c>
      <c r="G50" s="7">
        <v>8940.64</v>
      </c>
      <c r="H50" s="7">
        <v>8940.64</v>
      </c>
      <c r="I50" s="7">
        <v>8940.64</v>
      </c>
      <c r="J50" s="7">
        <v>8940.64</v>
      </c>
      <c r="K50" s="7">
        <v>8940.64</v>
      </c>
      <c r="L50" s="7">
        <v>8940.64</v>
      </c>
      <c r="M50" s="7">
        <v>8940.64</v>
      </c>
      <c r="N50" s="7">
        <v>8940.64</v>
      </c>
      <c r="O50" s="7">
        <v>8940.64</v>
      </c>
      <c r="P50" s="7">
        <v>8940.64</v>
      </c>
      <c r="Q50" s="7">
        <v>8940.64</v>
      </c>
      <c r="R50" s="7">
        <v>8940.64</v>
      </c>
      <c r="S50" s="7">
        <v>8940.64</v>
      </c>
      <c r="T50" s="7">
        <v>8940.64</v>
      </c>
      <c r="U50" s="7">
        <v>8940.64</v>
      </c>
      <c r="V50" s="7">
        <v>8940.64</v>
      </c>
      <c r="W50" s="7">
        <v>8940.64</v>
      </c>
      <c r="X50" s="7">
        <v>8940.64</v>
      </c>
      <c r="Y50" s="7">
        <v>8940.64</v>
      </c>
      <c r="Z50" s="7">
        <v>8940.64</v>
      </c>
      <c r="AA50" s="11">
        <v>8940.64</v>
      </c>
      <c r="AB50" s="5">
        <f t="shared" si="0"/>
        <v>214575.3600000001</v>
      </c>
      <c r="AC50" s="5">
        <v>20</v>
      </c>
      <c r="AD50" s="50">
        <f>(AB50*AC50)+(AB51*AC51)+(AB52*AC52)+(AB53*AC53)</f>
        <v>6651836.1600000039</v>
      </c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</row>
    <row r="51" spans="2:60">
      <c r="B51" s="48"/>
      <c r="C51" s="1" t="s">
        <v>6</v>
      </c>
      <c r="D51" s="2">
        <v>8940.64</v>
      </c>
      <c r="E51" s="2">
        <v>8940.64</v>
      </c>
      <c r="F51" s="2">
        <v>8940.64</v>
      </c>
      <c r="G51" s="2">
        <v>8940.64</v>
      </c>
      <c r="H51" s="2">
        <v>8940.64</v>
      </c>
      <c r="I51" s="2">
        <v>8940.64</v>
      </c>
      <c r="J51" s="2">
        <v>8940.64</v>
      </c>
      <c r="K51" s="2">
        <v>8940.64</v>
      </c>
      <c r="L51" s="2">
        <v>8940.64</v>
      </c>
      <c r="M51" s="2">
        <v>8940.64</v>
      </c>
      <c r="N51" s="2">
        <v>8940.64</v>
      </c>
      <c r="O51" s="2">
        <v>8940.64</v>
      </c>
      <c r="P51" s="2">
        <v>8940.64</v>
      </c>
      <c r="Q51" s="2">
        <v>8940.64</v>
      </c>
      <c r="R51" s="2">
        <v>8940.64</v>
      </c>
      <c r="S51" s="2">
        <v>8940.64</v>
      </c>
      <c r="T51" s="2">
        <v>8940.64</v>
      </c>
      <c r="U51" s="2">
        <v>8940.64</v>
      </c>
      <c r="V51" s="2">
        <v>8940.64</v>
      </c>
      <c r="W51" s="2">
        <v>8940.64</v>
      </c>
      <c r="X51" s="2">
        <v>8940.64</v>
      </c>
      <c r="Y51" s="2">
        <v>8940.64</v>
      </c>
      <c r="Z51" s="2">
        <v>8940.64</v>
      </c>
      <c r="AA51" s="12">
        <v>8940.64</v>
      </c>
      <c r="AB51" s="3">
        <f t="shared" si="0"/>
        <v>214575.3600000001</v>
      </c>
      <c r="AC51" s="3">
        <v>4</v>
      </c>
      <c r="AD51" s="51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</row>
    <row r="52" spans="2:60">
      <c r="B52" s="48"/>
      <c r="C52" s="1" t="s">
        <v>7</v>
      </c>
      <c r="D52" s="2">
        <v>8940.64</v>
      </c>
      <c r="E52" s="2">
        <v>8940.64</v>
      </c>
      <c r="F52" s="2">
        <v>8940.64</v>
      </c>
      <c r="G52" s="2">
        <v>8940.64</v>
      </c>
      <c r="H52" s="2">
        <v>8940.64</v>
      </c>
      <c r="I52" s="2">
        <v>8940.64</v>
      </c>
      <c r="J52" s="2">
        <v>8940.64</v>
      </c>
      <c r="K52" s="2">
        <v>8940.64</v>
      </c>
      <c r="L52" s="2">
        <v>8940.64</v>
      </c>
      <c r="M52" s="2">
        <v>8940.64</v>
      </c>
      <c r="N52" s="2">
        <v>8940.64</v>
      </c>
      <c r="O52" s="2">
        <v>8940.64</v>
      </c>
      <c r="P52" s="2">
        <v>8940.64</v>
      </c>
      <c r="Q52" s="2">
        <v>8940.64</v>
      </c>
      <c r="R52" s="2">
        <v>8940.64</v>
      </c>
      <c r="S52" s="2">
        <v>8940.64</v>
      </c>
      <c r="T52" s="2">
        <v>8940.64</v>
      </c>
      <c r="U52" s="2">
        <v>8940.64</v>
      </c>
      <c r="V52" s="2">
        <v>8940.64</v>
      </c>
      <c r="W52" s="2">
        <v>8940.64</v>
      </c>
      <c r="X52" s="2">
        <v>8940.64</v>
      </c>
      <c r="Y52" s="2">
        <v>8940.64</v>
      </c>
      <c r="Z52" s="2">
        <v>8940.64</v>
      </c>
      <c r="AA52" s="12">
        <v>8940.64</v>
      </c>
      <c r="AB52" s="3">
        <f t="shared" si="0"/>
        <v>214575.3600000001</v>
      </c>
      <c r="AC52" s="3">
        <v>5</v>
      </c>
      <c r="AD52" s="51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</row>
    <row r="53" spans="2:60" ht="15" thickBot="1">
      <c r="B53" s="49"/>
      <c r="C53" s="9" t="s">
        <v>8</v>
      </c>
      <c r="D53" s="10">
        <v>8940.64</v>
      </c>
      <c r="E53" s="10">
        <v>8940.64</v>
      </c>
      <c r="F53" s="10">
        <v>8940.64</v>
      </c>
      <c r="G53" s="10">
        <v>8940.64</v>
      </c>
      <c r="H53" s="10">
        <v>8940.64</v>
      </c>
      <c r="I53" s="10">
        <v>8940.64</v>
      </c>
      <c r="J53" s="10">
        <v>8940.64</v>
      </c>
      <c r="K53" s="10">
        <v>8940.64</v>
      </c>
      <c r="L53" s="10">
        <v>8940.64</v>
      </c>
      <c r="M53" s="10">
        <v>8940.64</v>
      </c>
      <c r="N53" s="10">
        <v>8940.64</v>
      </c>
      <c r="O53" s="10">
        <v>8940.64</v>
      </c>
      <c r="P53" s="10">
        <v>8940.64</v>
      </c>
      <c r="Q53" s="10">
        <v>8940.64</v>
      </c>
      <c r="R53" s="10">
        <v>8940.64</v>
      </c>
      <c r="S53" s="10">
        <v>8940.64</v>
      </c>
      <c r="T53" s="10">
        <v>8940.64</v>
      </c>
      <c r="U53" s="10">
        <v>8940.64</v>
      </c>
      <c r="V53" s="10">
        <v>8940.64</v>
      </c>
      <c r="W53" s="10">
        <v>8940.64</v>
      </c>
      <c r="X53" s="10">
        <v>8940.64</v>
      </c>
      <c r="Y53" s="10">
        <v>8940.64</v>
      </c>
      <c r="Z53" s="10">
        <v>8940.64</v>
      </c>
      <c r="AA53" s="13">
        <v>8940.64</v>
      </c>
      <c r="AB53" s="6">
        <f t="shared" si="0"/>
        <v>214575.3600000001</v>
      </c>
      <c r="AC53" s="6">
        <v>2</v>
      </c>
      <c r="AD53" s="52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</row>
    <row r="54" spans="2:60" ht="15" thickBot="1">
      <c r="AD54" s="17">
        <f>SUM(AD6:AD53)</f>
        <v>78320006.400000036</v>
      </c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</row>
    <row r="55" spans="2:60"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</row>
    <row r="56" spans="2:60"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</row>
    <row r="57" spans="2:60"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</row>
    <row r="58" spans="2:60"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</row>
    <row r="59" spans="2:60"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</row>
    <row r="60" spans="2:60"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</row>
    <row r="61" spans="2:60"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</row>
    <row r="62" spans="2:60"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</row>
    <row r="63" spans="2:60"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</row>
    <row r="64" spans="2:60"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</row>
    <row r="65" spans="37:60"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</row>
    <row r="66" spans="37:60"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</row>
    <row r="67" spans="37:60"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</row>
    <row r="68" spans="37:60"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</row>
    <row r="69" spans="37:60"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</row>
    <row r="70" spans="37:60"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</row>
    <row r="71" spans="37:60"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</row>
    <row r="72" spans="37:60"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</row>
    <row r="73" spans="37:60"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</row>
    <row r="74" spans="37:60"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</row>
    <row r="75" spans="37:60"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</row>
    <row r="76" spans="37:60"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</row>
    <row r="77" spans="37:60"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</row>
    <row r="78" spans="37:60"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</row>
    <row r="79" spans="37:60"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</row>
    <row r="80" spans="37:60"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</row>
    <row r="81" spans="37:60"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</row>
    <row r="82" spans="37:60"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</row>
    <row r="83" spans="37:60"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</row>
    <row r="84" spans="37:60"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</row>
    <row r="85" spans="37:60"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</row>
    <row r="86" spans="37:60"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</row>
    <row r="87" spans="37:60"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</row>
    <row r="88" spans="37:60"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</row>
    <row r="89" spans="37:60"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</row>
    <row r="90" spans="37:60"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</row>
    <row r="91" spans="37:60"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</row>
    <row r="92" spans="37:60"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</row>
    <row r="93" spans="37:60"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</row>
    <row r="94" spans="37:60"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</row>
    <row r="95" spans="37:60"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</row>
    <row r="96" spans="37:60"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</row>
    <row r="97" spans="37:60"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</row>
    <row r="98" spans="37:60"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</row>
    <row r="99" spans="37:60"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</row>
    <row r="100" spans="37:60"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</row>
    <row r="101" spans="37:60"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</row>
    <row r="102" spans="37:60"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</row>
    <row r="103" spans="37:60"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</row>
    <row r="104" spans="37:60"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</row>
    <row r="105" spans="37:60"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</row>
    <row r="106" spans="37:60"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</row>
    <row r="107" spans="37:60"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</row>
    <row r="108" spans="37:60"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</row>
    <row r="109" spans="37:60"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</row>
    <row r="110" spans="37:60"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</row>
    <row r="111" spans="37:60"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</row>
    <row r="112" spans="37:60"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</row>
    <row r="113" spans="37:60"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</row>
    <row r="114" spans="37:60"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</row>
    <row r="115" spans="37:60"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</row>
    <row r="116" spans="37:60"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</row>
    <row r="117" spans="37:60"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</row>
    <row r="118" spans="37:60"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</row>
    <row r="119" spans="37:60"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</row>
    <row r="120" spans="37:60"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</row>
    <row r="121" spans="37:60"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</row>
    <row r="122" spans="37:60"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</row>
    <row r="123" spans="37:60"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</row>
    <row r="124" spans="37:60"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</row>
    <row r="125" spans="37:60"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</row>
    <row r="126" spans="37:60"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</row>
    <row r="127" spans="37:60"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</row>
    <row r="128" spans="37:60"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</row>
    <row r="129" spans="37:60"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</row>
    <row r="130" spans="37:60"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</row>
    <row r="131" spans="37:60"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</row>
    <row r="132" spans="37:60"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</row>
    <row r="133" spans="37:60"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</row>
    <row r="134" spans="37:60"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</row>
    <row r="135" spans="37:60"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</row>
    <row r="136" spans="37:60"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</row>
    <row r="137" spans="37:60"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</row>
    <row r="138" spans="37:60"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</row>
    <row r="139" spans="37:60"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</row>
    <row r="140" spans="37:60"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</row>
    <row r="141" spans="37:60"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</row>
    <row r="142" spans="37:60"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</row>
    <row r="143" spans="37:60"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</row>
    <row r="144" spans="37:60"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</row>
    <row r="145" spans="37:60"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</row>
    <row r="146" spans="37:60"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</row>
    <row r="147" spans="37:60"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</row>
    <row r="148" spans="37:60"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</row>
    <row r="149" spans="37:60"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</row>
    <row r="150" spans="37:60"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</row>
    <row r="151" spans="37:60"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</row>
    <row r="152" spans="37:60"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</row>
    <row r="153" spans="37:60"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</row>
    <row r="154" spans="37:60"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</row>
    <row r="155" spans="37:60"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</row>
    <row r="156" spans="37:60"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</row>
    <row r="157" spans="37:60"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</row>
    <row r="158" spans="37:60"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</row>
    <row r="159" spans="37:60"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</row>
    <row r="160" spans="37:60"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</row>
    <row r="161" spans="37:60"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</row>
    <row r="162" spans="37:60"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</row>
    <row r="163" spans="37:60"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</row>
    <row r="164" spans="37:60"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</row>
    <row r="165" spans="37:60"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</row>
    <row r="166" spans="37:60"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</row>
    <row r="167" spans="37:60"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</row>
    <row r="168" spans="37:60"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</row>
    <row r="169" spans="37:60"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</row>
    <row r="170" spans="37:60"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</row>
    <row r="171" spans="37:60"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</row>
    <row r="172" spans="37:60"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</row>
    <row r="173" spans="37:60"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</row>
    <row r="174" spans="37:60"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</row>
    <row r="175" spans="37:60"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</row>
    <row r="176" spans="37:60"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</row>
    <row r="177" spans="37:60"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</row>
    <row r="178" spans="37:60"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</row>
    <row r="179" spans="37:60"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</row>
    <row r="180" spans="37:60"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</row>
    <row r="181" spans="37:60"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</row>
    <row r="182" spans="37:60"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</row>
    <row r="183" spans="37:60"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</row>
    <row r="184" spans="37:60"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  <c r="BH184" s="44"/>
    </row>
    <row r="185" spans="37:60"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</row>
    <row r="186" spans="37:60"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</row>
    <row r="187" spans="37:60"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</row>
    <row r="188" spans="37:60"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</row>
    <row r="189" spans="37:60"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</row>
    <row r="190" spans="37:60"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  <c r="BH190" s="44"/>
    </row>
    <row r="191" spans="37:60"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</row>
    <row r="192" spans="37:60"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</row>
    <row r="193" spans="37:60"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</row>
    <row r="194" spans="37:60"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</row>
    <row r="195" spans="37:60"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</row>
    <row r="196" spans="37:60"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</row>
    <row r="197" spans="37:60"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</row>
  </sheetData>
  <mergeCells count="27">
    <mergeCell ref="B50:B53"/>
    <mergeCell ref="AD50:AD53"/>
    <mergeCell ref="B38:B41"/>
    <mergeCell ref="AD38:AD41"/>
    <mergeCell ref="B42:B45"/>
    <mergeCell ref="AD42:AD45"/>
    <mergeCell ref="B46:B49"/>
    <mergeCell ref="AD46:AD49"/>
    <mergeCell ref="B26:B29"/>
    <mergeCell ref="AD26:AD29"/>
    <mergeCell ref="B30:B33"/>
    <mergeCell ref="AD30:AD33"/>
    <mergeCell ref="B34:B37"/>
    <mergeCell ref="AD34:AD37"/>
    <mergeCell ref="B14:B17"/>
    <mergeCell ref="AD14:AD17"/>
    <mergeCell ref="B18:B21"/>
    <mergeCell ref="AD18:AD21"/>
    <mergeCell ref="B22:B25"/>
    <mergeCell ref="AD22:AD25"/>
    <mergeCell ref="B6:B9"/>
    <mergeCell ref="AD6:AD9"/>
    <mergeCell ref="B10:B13"/>
    <mergeCell ref="AD10:AD13"/>
    <mergeCell ref="B2:AB2"/>
    <mergeCell ref="B3:AB3"/>
    <mergeCell ref="B4:AB4"/>
  </mergeCells>
  <conditionalFormatting sqref="D6:AA53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C611-0129-495C-8477-429513422F79}">
  <dimension ref="B3:I30"/>
  <sheetViews>
    <sheetView showGridLines="0" tabSelected="1" topLeftCell="A2" zoomScale="90" zoomScaleNormal="90" workbookViewId="0">
      <selection activeCell="B4" sqref="B4:G23"/>
    </sheetView>
  </sheetViews>
  <sheetFormatPr baseColWidth="10" defaultColWidth="11.453125" defaultRowHeight="14.5"/>
  <cols>
    <col min="1" max="3" width="11.453125" style="18"/>
    <col min="4" max="4" width="15.26953125" style="18" customWidth="1"/>
    <col min="5" max="5" width="11.453125" style="18"/>
    <col min="6" max="6" width="12.7265625" style="18" bestFit="1" customWidth="1"/>
    <col min="7" max="7" width="11.453125" style="18"/>
    <col min="8" max="8" width="14.1796875" style="79" bestFit="1" customWidth="1"/>
    <col min="9" max="9" width="11.453125" style="80"/>
    <col min="10" max="16384" width="11.453125" style="18"/>
  </cols>
  <sheetData>
    <row r="3" spans="2:7" ht="15" thickBot="1"/>
    <row r="4" spans="2:7">
      <c r="B4" s="57" t="s">
        <v>49</v>
      </c>
      <c r="C4" s="58"/>
      <c r="D4" s="58"/>
      <c r="E4" s="58"/>
      <c r="F4" s="58"/>
      <c r="G4" s="59"/>
    </row>
    <row r="5" spans="2:7">
      <c r="B5" s="60" t="s">
        <v>9</v>
      </c>
      <c r="C5" s="61"/>
      <c r="D5" s="61"/>
      <c r="E5" s="61"/>
      <c r="F5" s="61"/>
      <c r="G5" s="62"/>
    </row>
    <row r="6" spans="2:7">
      <c r="B6" s="63" t="s">
        <v>10</v>
      </c>
      <c r="C6" s="64"/>
      <c r="D6" s="64"/>
      <c r="E6" s="64"/>
      <c r="F6" s="64"/>
      <c r="G6" s="65"/>
    </row>
    <row r="7" spans="2:7" ht="15" thickBot="1">
      <c r="B7" s="66" t="s">
        <v>37</v>
      </c>
      <c r="C7" s="67"/>
      <c r="D7" s="67"/>
      <c r="E7" s="67"/>
      <c r="F7" s="67"/>
      <c r="G7" s="68"/>
    </row>
    <row r="8" spans="2:7" ht="15" thickBot="1">
      <c r="B8" s="69" t="s">
        <v>50</v>
      </c>
      <c r="C8" s="70"/>
      <c r="D8" s="70"/>
      <c r="E8" s="70"/>
      <c r="F8" s="70"/>
      <c r="G8" s="71"/>
    </row>
    <row r="9" spans="2:7" ht="15.75" customHeight="1" thickBot="1">
      <c r="B9" s="72" t="s">
        <v>12</v>
      </c>
      <c r="C9" s="72" t="s">
        <v>13</v>
      </c>
      <c r="D9" s="75" t="s">
        <v>62</v>
      </c>
      <c r="E9" s="75"/>
      <c r="F9" s="75"/>
      <c r="G9" s="76"/>
    </row>
    <row r="10" spans="2:7" ht="26.5" thickBot="1">
      <c r="B10" s="73"/>
      <c r="C10" s="74"/>
      <c r="D10" s="19" t="s">
        <v>14</v>
      </c>
      <c r="E10" s="21" t="s">
        <v>15</v>
      </c>
      <c r="F10" s="20" t="s">
        <v>16</v>
      </c>
      <c r="G10" s="22" t="s">
        <v>17</v>
      </c>
    </row>
    <row r="11" spans="2:7">
      <c r="B11" s="33">
        <v>2029</v>
      </c>
      <c r="C11" s="34" t="s">
        <v>25</v>
      </c>
      <c r="D11" s="35">
        <f>+'Producto 4 Plano 29'!AE6</f>
        <v>6651836.1600000039</v>
      </c>
      <c r="E11" s="77"/>
      <c r="F11" s="26">
        <f t="shared" ref="F11:F22" si="0">+E11*D11</f>
        <v>0</v>
      </c>
      <c r="G11" s="27"/>
    </row>
    <row r="12" spans="2:7">
      <c r="B12" s="23">
        <v>2029</v>
      </c>
      <c r="C12" s="24" t="s">
        <v>26</v>
      </c>
      <c r="D12" s="25">
        <f>+'Producto 4 Plano 29'!AE7</f>
        <v>6008110.0800000029</v>
      </c>
      <c r="E12" s="77"/>
      <c r="F12" s="26">
        <f t="shared" si="0"/>
        <v>0</v>
      </c>
      <c r="G12" s="27"/>
    </row>
    <row r="13" spans="2:7">
      <c r="B13" s="23">
        <v>2029</v>
      </c>
      <c r="C13" s="24" t="s">
        <v>27</v>
      </c>
      <c r="D13" s="25">
        <f>+'Producto 4 Plano 29'!AE8</f>
        <v>6651836.1600000029</v>
      </c>
      <c r="E13" s="77"/>
      <c r="F13" s="26">
        <f t="shared" si="0"/>
        <v>0</v>
      </c>
      <c r="G13" s="27"/>
    </row>
    <row r="14" spans="2:7">
      <c r="B14" s="23">
        <v>2029</v>
      </c>
      <c r="C14" s="24" t="s">
        <v>28</v>
      </c>
      <c r="D14" s="25">
        <f>+'Producto 4 Plano 29'!AE9</f>
        <v>6437260.8000000035</v>
      </c>
      <c r="E14" s="77"/>
      <c r="F14" s="26">
        <f t="shared" si="0"/>
        <v>0</v>
      </c>
      <c r="G14" s="27"/>
    </row>
    <row r="15" spans="2:7">
      <c r="B15" s="23">
        <v>2029</v>
      </c>
      <c r="C15" s="24" t="s">
        <v>29</v>
      </c>
      <c r="D15" s="25">
        <f>+'Producto 4 Plano 29'!AE10</f>
        <v>6651836.1600000039</v>
      </c>
      <c r="E15" s="77"/>
      <c r="F15" s="26">
        <f t="shared" si="0"/>
        <v>0</v>
      </c>
      <c r="G15" s="27"/>
    </row>
    <row r="16" spans="2:7">
      <c r="B16" s="23">
        <v>2029</v>
      </c>
      <c r="C16" s="24" t="s">
        <v>18</v>
      </c>
      <c r="D16" s="25">
        <f>+'Producto 4 Plano 29'!AE11</f>
        <v>6437260.8000000026</v>
      </c>
      <c r="E16" s="77"/>
      <c r="F16" s="26">
        <f t="shared" si="0"/>
        <v>0</v>
      </c>
      <c r="G16" s="27"/>
    </row>
    <row r="17" spans="2:9">
      <c r="B17" s="23">
        <v>2029</v>
      </c>
      <c r="C17" s="24" t="s">
        <v>19</v>
      </c>
      <c r="D17" s="25">
        <f>+'Producto 4 Plano 29'!AE12</f>
        <v>6651836.1600000039</v>
      </c>
      <c r="E17" s="77"/>
      <c r="F17" s="26">
        <f t="shared" si="0"/>
        <v>0</v>
      </c>
      <c r="G17" s="27"/>
    </row>
    <row r="18" spans="2:9">
      <c r="B18" s="23">
        <v>2029</v>
      </c>
      <c r="C18" s="24" t="s">
        <v>20</v>
      </c>
      <c r="D18" s="25">
        <f>+'Producto 4 Plano 29'!AE13</f>
        <v>6651836.1600000039</v>
      </c>
      <c r="E18" s="77"/>
      <c r="F18" s="26">
        <f t="shared" si="0"/>
        <v>0</v>
      </c>
      <c r="G18" s="27"/>
    </row>
    <row r="19" spans="2:9">
      <c r="B19" s="23">
        <v>2029</v>
      </c>
      <c r="C19" s="24" t="s">
        <v>21</v>
      </c>
      <c r="D19" s="25">
        <f>+'Producto 4 Plano 29'!AE14</f>
        <v>6437260.8000000035</v>
      </c>
      <c r="E19" s="77"/>
      <c r="F19" s="26">
        <f t="shared" si="0"/>
        <v>0</v>
      </c>
      <c r="G19" s="27"/>
    </row>
    <row r="20" spans="2:9">
      <c r="B20" s="23">
        <v>2029</v>
      </c>
      <c r="C20" s="24" t="s">
        <v>22</v>
      </c>
      <c r="D20" s="25">
        <f>+'Producto 4 Plano 29'!AE15</f>
        <v>6651836.1600000029</v>
      </c>
      <c r="E20" s="77"/>
      <c r="F20" s="26">
        <f t="shared" si="0"/>
        <v>0</v>
      </c>
      <c r="G20" s="27"/>
    </row>
    <row r="21" spans="2:9">
      <c r="B21" s="23">
        <v>2029</v>
      </c>
      <c r="C21" s="24" t="s">
        <v>23</v>
      </c>
      <c r="D21" s="25">
        <f>+'Producto 4 Plano 29'!AE16</f>
        <v>6437260.8000000026</v>
      </c>
      <c r="E21" s="77"/>
      <c r="F21" s="26">
        <f t="shared" si="0"/>
        <v>0</v>
      </c>
      <c r="G21" s="27"/>
    </row>
    <row r="22" spans="2:9" ht="15" thickBot="1">
      <c r="B22" s="28">
        <v>2029</v>
      </c>
      <c r="C22" s="29" t="s">
        <v>24</v>
      </c>
      <c r="D22" s="30">
        <f>+'Producto 4 Plano 29'!AE17</f>
        <v>6651836.1600000039</v>
      </c>
      <c r="E22" s="78"/>
      <c r="F22" s="31">
        <f t="shared" si="0"/>
        <v>0</v>
      </c>
      <c r="G22" s="32"/>
      <c r="H22" s="79">
        <f>SUM(D11:D22)</f>
        <v>78320006.400000036</v>
      </c>
      <c r="I22" s="82">
        <f>+H22/1000</f>
        <v>78320.006400000042</v>
      </c>
    </row>
    <row r="23" spans="2:9" ht="15" thickBot="1">
      <c r="B23" s="55" t="s">
        <v>51</v>
      </c>
      <c r="C23" s="56"/>
      <c r="D23" s="36">
        <f>+SUM(D11:D22)</f>
        <v>78320006.400000036</v>
      </c>
      <c r="I23" s="81">
        <f>+D23/1000</f>
        <v>78320.006400000042</v>
      </c>
    </row>
    <row r="25" spans="2:9">
      <c r="B25" s="18" t="s">
        <v>30</v>
      </c>
    </row>
    <row r="26" spans="2:9">
      <c r="B26" s="18" t="s">
        <v>31</v>
      </c>
    </row>
    <row r="27" spans="2:9">
      <c r="B27" s="18" t="s">
        <v>32</v>
      </c>
    </row>
    <row r="28" spans="2:9">
      <c r="B28" s="18" t="s">
        <v>33</v>
      </c>
    </row>
    <row r="30" spans="2:9">
      <c r="D30" s="43"/>
    </row>
  </sheetData>
  <mergeCells count="10">
    <mergeCell ref="E11:E22"/>
    <mergeCell ref="B23:C23"/>
    <mergeCell ref="B4:G4"/>
    <mergeCell ref="B5:G5"/>
    <mergeCell ref="B6:G6"/>
    <mergeCell ref="B7:G7"/>
    <mergeCell ref="B8:G8"/>
    <mergeCell ref="B9:B10"/>
    <mergeCell ref="C9:C10"/>
    <mergeCell ref="D9:G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7B7E-3A66-4BE8-9D97-D5F55142B27A}">
  <dimension ref="B2:BH245"/>
  <sheetViews>
    <sheetView showGridLines="0" zoomScale="40" zoomScaleNormal="40" workbookViewId="0">
      <pane ySplit="5" topLeftCell="A8" activePane="bottomLeft" state="frozen"/>
      <selection activeCell="M103" sqref="M103"/>
      <selection pane="bottomLeft" activeCell="B2" sqref="B2:AD54"/>
    </sheetView>
  </sheetViews>
  <sheetFormatPr baseColWidth="10" defaultRowHeight="14.5"/>
  <cols>
    <col min="1" max="1" width="1.81640625" customWidth="1"/>
    <col min="2" max="2" width="10" style="4" customWidth="1"/>
    <col min="3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style="84" customWidth="1"/>
    <col min="32" max="32" width="17.453125" bestFit="1" customWidth="1"/>
    <col min="250" max="250" width="1.81640625" customWidth="1"/>
    <col min="251" max="251" width="8" customWidth="1"/>
    <col min="252" max="252" width="8" bestFit="1" customWidth="1"/>
    <col min="253" max="253" width="9" bestFit="1" customWidth="1"/>
    <col min="254" max="254" width="12" bestFit="1" customWidth="1"/>
    <col min="255" max="276" width="9" bestFit="1" customWidth="1"/>
    <col min="277" max="277" width="7.81640625" bestFit="1" customWidth="1"/>
    <col min="278" max="278" width="4.54296875" bestFit="1" customWidth="1"/>
    <col min="279" max="279" width="14.1796875" bestFit="1" customWidth="1"/>
    <col min="506" max="506" width="1.81640625" customWidth="1"/>
    <col min="507" max="507" width="8" customWidth="1"/>
    <col min="508" max="508" width="8" bestFit="1" customWidth="1"/>
    <col min="509" max="509" width="9" bestFit="1" customWidth="1"/>
    <col min="510" max="510" width="12" bestFit="1" customWidth="1"/>
    <col min="511" max="532" width="9" bestFit="1" customWidth="1"/>
    <col min="533" max="533" width="7.81640625" bestFit="1" customWidth="1"/>
    <col min="534" max="534" width="4.54296875" bestFit="1" customWidth="1"/>
    <col min="535" max="535" width="14.1796875" bestFit="1" customWidth="1"/>
    <col min="762" max="762" width="1.81640625" customWidth="1"/>
    <col min="763" max="763" width="8" customWidth="1"/>
    <col min="764" max="764" width="8" bestFit="1" customWidth="1"/>
    <col min="765" max="765" width="9" bestFit="1" customWidth="1"/>
    <col min="766" max="766" width="12" bestFit="1" customWidth="1"/>
    <col min="767" max="788" width="9" bestFit="1" customWidth="1"/>
    <col min="789" max="789" width="7.81640625" bestFit="1" customWidth="1"/>
    <col min="790" max="790" width="4.54296875" bestFit="1" customWidth="1"/>
    <col min="791" max="791" width="14.1796875" bestFit="1" customWidth="1"/>
    <col min="1018" max="1018" width="1.81640625" customWidth="1"/>
    <col min="1019" max="1019" width="8" customWidth="1"/>
    <col min="1020" max="1020" width="8" bestFit="1" customWidth="1"/>
    <col min="1021" max="1021" width="9" bestFit="1" customWidth="1"/>
    <col min="1022" max="1022" width="12" bestFit="1" customWidth="1"/>
    <col min="1023" max="1044" width="9" bestFit="1" customWidth="1"/>
    <col min="1045" max="1045" width="7.81640625" bestFit="1" customWidth="1"/>
    <col min="1046" max="1046" width="4.54296875" bestFit="1" customWidth="1"/>
    <col min="1047" max="1047" width="14.1796875" bestFit="1" customWidth="1"/>
    <col min="1274" max="1274" width="1.81640625" customWidth="1"/>
    <col min="1275" max="1275" width="8" customWidth="1"/>
    <col min="1276" max="1276" width="8" bestFit="1" customWidth="1"/>
    <col min="1277" max="1277" width="9" bestFit="1" customWidth="1"/>
    <col min="1278" max="1278" width="12" bestFit="1" customWidth="1"/>
    <col min="1279" max="1300" width="9" bestFit="1" customWidth="1"/>
    <col min="1301" max="1301" width="7.81640625" bestFit="1" customWidth="1"/>
    <col min="1302" max="1302" width="4.54296875" bestFit="1" customWidth="1"/>
    <col min="1303" max="1303" width="14.1796875" bestFit="1" customWidth="1"/>
    <col min="1530" max="1530" width="1.81640625" customWidth="1"/>
    <col min="1531" max="1531" width="8" customWidth="1"/>
    <col min="1532" max="1532" width="8" bestFit="1" customWidth="1"/>
    <col min="1533" max="1533" width="9" bestFit="1" customWidth="1"/>
    <col min="1534" max="1534" width="12" bestFit="1" customWidth="1"/>
    <col min="1535" max="1556" width="9" bestFit="1" customWidth="1"/>
    <col min="1557" max="1557" width="7.81640625" bestFit="1" customWidth="1"/>
    <col min="1558" max="1558" width="4.54296875" bestFit="1" customWidth="1"/>
    <col min="1559" max="1559" width="14.1796875" bestFit="1" customWidth="1"/>
    <col min="1786" max="1786" width="1.81640625" customWidth="1"/>
    <col min="1787" max="1787" width="8" customWidth="1"/>
    <col min="1788" max="1788" width="8" bestFit="1" customWidth="1"/>
    <col min="1789" max="1789" width="9" bestFit="1" customWidth="1"/>
    <col min="1790" max="1790" width="12" bestFit="1" customWidth="1"/>
    <col min="1791" max="1812" width="9" bestFit="1" customWidth="1"/>
    <col min="1813" max="1813" width="7.81640625" bestFit="1" customWidth="1"/>
    <col min="1814" max="1814" width="4.54296875" bestFit="1" customWidth="1"/>
    <col min="1815" max="1815" width="14.1796875" bestFit="1" customWidth="1"/>
    <col min="2042" max="2042" width="1.81640625" customWidth="1"/>
    <col min="2043" max="2043" width="8" customWidth="1"/>
    <col min="2044" max="2044" width="8" bestFit="1" customWidth="1"/>
    <col min="2045" max="2045" width="9" bestFit="1" customWidth="1"/>
    <col min="2046" max="2046" width="12" bestFit="1" customWidth="1"/>
    <col min="2047" max="2068" width="9" bestFit="1" customWidth="1"/>
    <col min="2069" max="2069" width="7.81640625" bestFit="1" customWidth="1"/>
    <col min="2070" max="2070" width="4.54296875" bestFit="1" customWidth="1"/>
    <col min="2071" max="2071" width="14.1796875" bestFit="1" customWidth="1"/>
    <col min="2298" max="2298" width="1.81640625" customWidth="1"/>
    <col min="2299" max="2299" width="8" customWidth="1"/>
    <col min="2300" max="2300" width="8" bestFit="1" customWidth="1"/>
    <col min="2301" max="2301" width="9" bestFit="1" customWidth="1"/>
    <col min="2302" max="2302" width="12" bestFit="1" customWidth="1"/>
    <col min="2303" max="2324" width="9" bestFit="1" customWidth="1"/>
    <col min="2325" max="2325" width="7.81640625" bestFit="1" customWidth="1"/>
    <col min="2326" max="2326" width="4.54296875" bestFit="1" customWidth="1"/>
    <col min="2327" max="2327" width="14.1796875" bestFit="1" customWidth="1"/>
    <col min="2554" max="2554" width="1.81640625" customWidth="1"/>
    <col min="2555" max="2555" width="8" customWidth="1"/>
    <col min="2556" max="2556" width="8" bestFit="1" customWidth="1"/>
    <col min="2557" max="2557" width="9" bestFit="1" customWidth="1"/>
    <col min="2558" max="2558" width="12" bestFit="1" customWidth="1"/>
    <col min="2559" max="2580" width="9" bestFit="1" customWidth="1"/>
    <col min="2581" max="2581" width="7.81640625" bestFit="1" customWidth="1"/>
    <col min="2582" max="2582" width="4.54296875" bestFit="1" customWidth="1"/>
    <col min="2583" max="2583" width="14.1796875" bestFit="1" customWidth="1"/>
    <col min="2810" max="2810" width="1.81640625" customWidth="1"/>
    <col min="2811" max="2811" width="8" customWidth="1"/>
    <col min="2812" max="2812" width="8" bestFit="1" customWidth="1"/>
    <col min="2813" max="2813" width="9" bestFit="1" customWidth="1"/>
    <col min="2814" max="2814" width="12" bestFit="1" customWidth="1"/>
    <col min="2815" max="2836" width="9" bestFit="1" customWidth="1"/>
    <col min="2837" max="2837" width="7.81640625" bestFit="1" customWidth="1"/>
    <col min="2838" max="2838" width="4.54296875" bestFit="1" customWidth="1"/>
    <col min="2839" max="2839" width="14.1796875" bestFit="1" customWidth="1"/>
    <col min="3066" max="3066" width="1.81640625" customWidth="1"/>
    <col min="3067" max="3067" width="8" customWidth="1"/>
    <col min="3068" max="3068" width="8" bestFit="1" customWidth="1"/>
    <col min="3069" max="3069" width="9" bestFit="1" customWidth="1"/>
    <col min="3070" max="3070" width="12" bestFit="1" customWidth="1"/>
    <col min="3071" max="3092" width="9" bestFit="1" customWidth="1"/>
    <col min="3093" max="3093" width="7.81640625" bestFit="1" customWidth="1"/>
    <col min="3094" max="3094" width="4.54296875" bestFit="1" customWidth="1"/>
    <col min="3095" max="3095" width="14.1796875" bestFit="1" customWidth="1"/>
    <col min="3322" max="3322" width="1.81640625" customWidth="1"/>
    <col min="3323" max="3323" width="8" customWidth="1"/>
    <col min="3324" max="3324" width="8" bestFit="1" customWidth="1"/>
    <col min="3325" max="3325" width="9" bestFit="1" customWidth="1"/>
    <col min="3326" max="3326" width="12" bestFit="1" customWidth="1"/>
    <col min="3327" max="3348" width="9" bestFit="1" customWidth="1"/>
    <col min="3349" max="3349" width="7.81640625" bestFit="1" customWidth="1"/>
    <col min="3350" max="3350" width="4.54296875" bestFit="1" customWidth="1"/>
    <col min="3351" max="3351" width="14.1796875" bestFit="1" customWidth="1"/>
    <col min="3578" max="3578" width="1.81640625" customWidth="1"/>
    <col min="3579" max="3579" width="8" customWidth="1"/>
    <col min="3580" max="3580" width="8" bestFit="1" customWidth="1"/>
    <col min="3581" max="3581" width="9" bestFit="1" customWidth="1"/>
    <col min="3582" max="3582" width="12" bestFit="1" customWidth="1"/>
    <col min="3583" max="3604" width="9" bestFit="1" customWidth="1"/>
    <col min="3605" max="3605" width="7.81640625" bestFit="1" customWidth="1"/>
    <col min="3606" max="3606" width="4.54296875" bestFit="1" customWidth="1"/>
    <col min="3607" max="3607" width="14.1796875" bestFit="1" customWidth="1"/>
    <col min="3834" max="3834" width="1.81640625" customWidth="1"/>
    <col min="3835" max="3835" width="8" customWidth="1"/>
    <col min="3836" max="3836" width="8" bestFit="1" customWidth="1"/>
    <col min="3837" max="3837" width="9" bestFit="1" customWidth="1"/>
    <col min="3838" max="3838" width="12" bestFit="1" customWidth="1"/>
    <col min="3839" max="3860" width="9" bestFit="1" customWidth="1"/>
    <col min="3861" max="3861" width="7.81640625" bestFit="1" customWidth="1"/>
    <col min="3862" max="3862" width="4.54296875" bestFit="1" customWidth="1"/>
    <col min="3863" max="3863" width="14.1796875" bestFit="1" customWidth="1"/>
    <col min="4090" max="4090" width="1.81640625" customWidth="1"/>
    <col min="4091" max="4091" width="8" customWidth="1"/>
    <col min="4092" max="4092" width="8" bestFit="1" customWidth="1"/>
    <col min="4093" max="4093" width="9" bestFit="1" customWidth="1"/>
    <col min="4094" max="4094" width="12" bestFit="1" customWidth="1"/>
    <col min="4095" max="4116" width="9" bestFit="1" customWidth="1"/>
    <col min="4117" max="4117" width="7.81640625" bestFit="1" customWidth="1"/>
    <col min="4118" max="4118" width="4.54296875" bestFit="1" customWidth="1"/>
    <col min="4119" max="4119" width="14.1796875" bestFit="1" customWidth="1"/>
    <col min="4346" max="4346" width="1.81640625" customWidth="1"/>
    <col min="4347" max="4347" width="8" customWidth="1"/>
    <col min="4348" max="4348" width="8" bestFit="1" customWidth="1"/>
    <col min="4349" max="4349" width="9" bestFit="1" customWidth="1"/>
    <col min="4350" max="4350" width="12" bestFit="1" customWidth="1"/>
    <col min="4351" max="4372" width="9" bestFit="1" customWidth="1"/>
    <col min="4373" max="4373" width="7.81640625" bestFit="1" customWidth="1"/>
    <col min="4374" max="4374" width="4.54296875" bestFit="1" customWidth="1"/>
    <col min="4375" max="4375" width="14.1796875" bestFit="1" customWidth="1"/>
    <col min="4602" max="4602" width="1.81640625" customWidth="1"/>
    <col min="4603" max="4603" width="8" customWidth="1"/>
    <col min="4604" max="4604" width="8" bestFit="1" customWidth="1"/>
    <col min="4605" max="4605" width="9" bestFit="1" customWidth="1"/>
    <col min="4606" max="4606" width="12" bestFit="1" customWidth="1"/>
    <col min="4607" max="4628" width="9" bestFit="1" customWidth="1"/>
    <col min="4629" max="4629" width="7.81640625" bestFit="1" customWidth="1"/>
    <col min="4630" max="4630" width="4.54296875" bestFit="1" customWidth="1"/>
    <col min="4631" max="4631" width="14.1796875" bestFit="1" customWidth="1"/>
    <col min="4858" max="4858" width="1.81640625" customWidth="1"/>
    <col min="4859" max="4859" width="8" customWidth="1"/>
    <col min="4860" max="4860" width="8" bestFit="1" customWidth="1"/>
    <col min="4861" max="4861" width="9" bestFit="1" customWidth="1"/>
    <col min="4862" max="4862" width="12" bestFit="1" customWidth="1"/>
    <col min="4863" max="4884" width="9" bestFit="1" customWidth="1"/>
    <col min="4885" max="4885" width="7.81640625" bestFit="1" customWidth="1"/>
    <col min="4886" max="4886" width="4.54296875" bestFit="1" customWidth="1"/>
    <col min="4887" max="4887" width="14.1796875" bestFit="1" customWidth="1"/>
    <col min="5114" max="5114" width="1.81640625" customWidth="1"/>
    <col min="5115" max="5115" width="8" customWidth="1"/>
    <col min="5116" max="5116" width="8" bestFit="1" customWidth="1"/>
    <col min="5117" max="5117" width="9" bestFit="1" customWidth="1"/>
    <col min="5118" max="5118" width="12" bestFit="1" customWidth="1"/>
    <col min="5119" max="5140" width="9" bestFit="1" customWidth="1"/>
    <col min="5141" max="5141" width="7.81640625" bestFit="1" customWidth="1"/>
    <col min="5142" max="5142" width="4.54296875" bestFit="1" customWidth="1"/>
    <col min="5143" max="5143" width="14.1796875" bestFit="1" customWidth="1"/>
    <col min="5370" max="5370" width="1.81640625" customWidth="1"/>
    <col min="5371" max="5371" width="8" customWidth="1"/>
    <col min="5372" max="5372" width="8" bestFit="1" customWidth="1"/>
    <col min="5373" max="5373" width="9" bestFit="1" customWidth="1"/>
    <col min="5374" max="5374" width="12" bestFit="1" customWidth="1"/>
    <col min="5375" max="5396" width="9" bestFit="1" customWidth="1"/>
    <col min="5397" max="5397" width="7.81640625" bestFit="1" customWidth="1"/>
    <col min="5398" max="5398" width="4.54296875" bestFit="1" customWidth="1"/>
    <col min="5399" max="5399" width="14.1796875" bestFit="1" customWidth="1"/>
    <col min="5626" max="5626" width="1.81640625" customWidth="1"/>
    <col min="5627" max="5627" width="8" customWidth="1"/>
    <col min="5628" max="5628" width="8" bestFit="1" customWidth="1"/>
    <col min="5629" max="5629" width="9" bestFit="1" customWidth="1"/>
    <col min="5630" max="5630" width="12" bestFit="1" customWidth="1"/>
    <col min="5631" max="5652" width="9" bestFit="1" customWidth="1"/>
    <col min="5653" max="5653" width="7.81640625" bestFit="1" customWidth="1"/>
    <col min="5654" max="5654" width="4.54296875" bestFit="1" customWidth="1"/>
    <col min="5655" max="5655" width="14.1796875" bestFit="1" customWidth="1"/>
    <col min="5882" max="5882" width="1.81640625" customWidth="1"/>
    <col min="5883" max="5883" width="8" customWidth="1"/>
    <col min="5884" max="5884" width="8" bestFit="1" customWidth="1"/>
    <col min="5885" max="5885" width="9" bestFit="1" customWidth="1"/>
    <col min="5886" max="5886" width="12" bestFit="1" customWidth="1"/>
    <col min="5887" max="5908" width="9" bestFit="1" customWidth="1"/>
    <col min="5909" max="5909" width="7.81640625" bestFit="1" customWidth="1"/>
    <col min="5910" max="5910" width="4.54296875" bestFit="1" customWidth="1"/>
    <col min="5911" max="5911" width="14.1796875" bestFit="1" customWidth="1"/>
    <col min="6138" max="6138" width="1.81640625" customWidth="1"/>
    <col min="6139" max="6139" width="8" customWidth="1"/>
    <col min="6140" max="6140" width="8" bestFit="1" customWidth="1"/>
    <col min="6141" max="6141" width="9" bestFit="1" customWidth="1"/>
    <col min="6142" max="6142" width="12" bestFit="1" customWidth="1"/>
    <col min="6143" max="6164" width="9" bestFit="1" customWidth="1"/>
    <col min="6165" max="6165" width="7.81640625" bestFit="1" customWidth="1"/>
    <col min="6166" max="6166" width="4.54296875" bestFit="1" customWidth="1"/>
    <col min="6167" max="6167" width="14.1796875" bestFit="1" customWidth="1"/>
    <col min="6394" max="6394" width="1.81640625" customWidth="1"/>
    <col min="6395" max="6395" width="8" customWidth="1"/>
    <col min="6396" max="6396" width="8" bestFit="1" customWidth="1"/>
    <col min="6397" max="6397" width="9" bestFit="1" customWidth="1"/>
    <col min="6398" max="6398" width="12" bestFit="1" customWidth="1"/>
    <col min="6399" max="6420" width="9" bestFit="1" customWidth="1"/>
    <col min="6421" max="6421" width="7.81640625" bestFit="1" customWidth="1"/>
    <col min="6422" max="6422" width="4.54296875" bestFit="1" customWidth="1"/>
    <col min="6423" max="6423" width="14.1796875" bestFit="1" customWidth="1"/>
    <col min="6650" max="6650" width="1.81640625" customWidth="1"/>
    <col min="6651" max="6651" width="8" customWidth="1"/>
    <col min="6652" max="6652" width="8" bestFit="1" customWidth="1"/>
    <col min="6653" max="6653" width="9" bestFit="1" customWidth="1"/>
    <col min="6654" max="6654" width="12" bestFit="1" customWidth="1"/>
    <col min="6655" max="6676" width="9" bestFit="1" customWidth="1"/>
    <col min="6677" max="6677" width="7.81640625" bestFit="1" customWidth="1"/>
    <col min="6678" max="6678" width="4.54296875" bestFit="1" customWidth="1"/>
    <col min="6679" max="6679" width="14.1796875" bestFit="1" customWidth="1"/>
    <col min="6906" max="6906" width="1.81640625" customWidth="1"/>
    <col min="6907" max="6907" width="8" customWidth="1"/>
    <col min="6908" max="6908" width="8" bestFit="1" customWidth="1"/>
    <col min="6909" max="6909" width="9" bestFit="1" customWidth="1"/>
    <col min="6910" max="6910" width="12" bestFit="1" customWidth="1"/>
    <col min="6911" max="6932" width="9" bestFit="1" customWidth="1"/>
    <col min="6933" max="6933" width="7.81640625" bestFit="1" customWidth="1"/>
    <col min="6934" max="6934" width="4.54296875" bestFit="1" customWidth="1"/>
    <col min="6935" max="6935" width="14.1796875" bestFit="1" customWidth="1"/>
    <col min="7162" max="7162" width="1.81640625" customWidth="1"/>
    <col min="7163" max="7163" width="8" customWidth="1"/>
    <col min="7164" max="7164" width="8" bestFit="1" customWidth="1"/>
    <col min="7165" max="7165" width="9" bestFit="1" customWidth="1"/>
    <col min="7166" max="7166" width="12" bestFit="1" customWidth="1"/>
    <col min="7167" max="7188" width="9" bestFit="1" customWidth="1"/>
    <col min="7189" max="7189" width="7.81640625" bestFit="1" customWidth="1"/>
    <col min="7190" max="7190" width="4.54296875" bestFit="1" customWidth="1"/>
    <col min="7191" max="7191" width="14.1796875" bestFit="1" customWidth="1"/>
    <col min="7418" max="7418" width="1.81640625" customWidth="1"/>
    <col min="7419" max="7419" width="8" customWidth="1"/>
    <col min="7420" max="7420" width="8" bestFit="1" customWidth="1"/>
    <col min="7421" max="7421" width="9" bestFit="1" customWidth="1"/>
    <col min="7422" max="7422" width="12" bestFit="1" customWidth="1"/>
    <col min="7423" max="7444" width="9" bestFit="1" customWidth="1"/>
    <col min="7445" max="7445" width="7.81640625" bestFit="1" customWidth="1"/>
    <col min="7446" max="7446" width="4.54296875" bestFit="1" customWidth="1"/>
    <col min="7447" max="7447" width="14.1796875" bestFit="1" customWidth="1"/>
    <col min="7674" max="7674" width="1.81640625" customWidth="1"/>
    <col min="7675" max="7675" width="8" customWidth="1"/>
    <col min="7676" max="7676" width="8" bestFit="1" customWidth="1"/>
    <col min="7677" max="7677" width="9" bestFit="1" customWidth="1"/>
    <col min="7678" max="7678" width="12" bestFit="1" customWidth="1"/>
    <col min="7679" max="7700" width="9" bestFit="1" customWidth="1"/>
    <col min="7701" max="7701" width="7.81640625" bestFit="1" customWidth="1"/>
    <col min="7702" max="7702" width="4.54296875" bestFit="1" customWidth="1"/>
    <col min="7703" max="7703" width="14.1796875" bestFit="1" customWidth="1"/>
    <col min="7930" max="7930" width="1.81640625" customWidth="1"/>
    <col min="7931" max="7931" width="8" customWidth="1"/>
    <col min="7932" max="7932" width="8" bestFit="1" customWidth="1"/>
    <col min="7933" max="7933" width="9" bestFit="1" customWidth="1"/>
    <col min="7934" max="7934" width="12" bestFit="1" customWidth="1"/>
    <col min="7935" max="7956" width="9" bestFit="1" customWidth="1"/>
    <col min="7957" max="7957" width="7.81640625" bestFit="1" customWidth="1"/>
    <col min="7958" max="7958" width="4.54296875" bestFit="1" customWidth="1"/>
    <col min="7959" max="7959" width="14.1796875" bestFit="1" customWidth="1"/>
    <col min="8186" max="8186" width="1.81640625" customWidth="1"/>
    <col min="8187" max="8187" width="8" customWidth="1"/>
    <col min="8188" max="8188" width="8" bestFit="1" customWidth="1"/>
    <col min="8189" max="8189" width="9" bestFit="1" customWidth="1"/>
    <col min="8190" max="8190" width="12" bestFit="1" customWidth="1"/>
    <col min="8191" max="8212" width="9" bestFit="1" customWidth="1"/>
    <col min="8213" max="8213" width="7.81640625" bestFit="1" customWidth="1"/>
    <col min="8214" max="8214" width="4.54296875" bestFit="1" customWidth="1"/>
    <col min="8215" max="8215" width="14.1796875" bestFit="1" customWidth="1"/>
    <col min="8442" max="8442" width="1.81640625" customWidth="1"/>
    <col min="8443" max="8443" width="8" customWidth="1"/>
    <col min="8444" max="8444" width="8" bestFit="1" customWidth="1"/>
    <col min="8445" max="8445" width="9" bestFit="1" customWidth="1"/>
    <col min="8446" max="8446" width="12" bestFit="1" customWidth="1"/>
    <col min="8447" max="8468" width="9" bestFit="1" customWidth="1"/>
    <col min="8469" max="8469" width="7.81640625" bestFit="1" customWidth="1"/>
    <col min="8470" max="8470" width="4.54296875" bestFit="1" customWidth="1"/>
    <col min="8471" max="8471" width="14.1796875" bestFit="1" customWidth="1"/>
    <col min="8698" max="8698" width="1.81640625" customWidth="1"/>
    <col min="8699" max="8699" width="8" customWidth="1"/>
    <col min="8700" max="8700" width="8" bestFit="1" customWidth="1"/>
    <col min="8701" max="8701" width="9" bestFit="1" customWidth="1"/>
    <col min="8702" max="8702" width="12" bestFit="1" customWidth="1"/>
    <col min="8703" max="8724" width="9" bestFit="1" customWidth="1"/>
    <col min="8725" max="8725" width="7.81640625" bestFit="1" customWidth="1"/>
    <col min="8726" max="8726" width="4.54296875" bestFit="1" customWidth="1"/>
    <col min="8727" max="8727" width="14.1796875" bestFit="1" customWidth="1"/>
    <col min="8954" max="8954" width="1.81640625" customWidth="1"/>
    <col min="8955" max="8955" width="8" customWidth="1"/>
    <col min="8956" max="8956" width="8" bestFit="1" customWidth="1"/>
    <col min="8957" max="8957" width="9" bestFit="1" customWidth="1"/>
    <col min="8958" max="8958" width="12" bestFit="1" customWidth="1"/>
    <col min="8959" max="8980" width="9" bestFit="1" customWidth="1"/>
    <col min="8981" max="8981" width="7.81640625" bestFit="1" customWidth="1"/>
    <col min="8982" max="8982" width="4.54296875" bestFit="1" customWidth="1"/>
    <col min="8983" max="8983" width="14.1796875" bestFit="1" customWidth="1"/>
    <col min="9210" max="9210" width="1.81640625" customWidth="1"/>
    <col min="9211" max="9211" width="8" customWidth="1"/>
    <col min="9212" max="9212" width="8" bestFit="1" customWidth="1"/>
    <col min="9213" max="9213" width="9" bestFit="1" customWidth="1"/>
    <col min="9214" max="9214" width="12" bestFit="1" customWidth="1"/>
    <col min="9215" max="9236" width="9" bestFit="1" customWidth="1"/>
    <col min="9237" max="9237" width="7.81640625" bestFit="1" customWidth="1"/>
    <col min="9238" max="9238" width="4.54296875" bestFit="1" customWidth="1"/>
    <col min="9239" max="9239" width="14.1796875" bestFit="1" customWidth="1"/>
    <col min="9466" max="9466" width="1.81640625" customWidth="1"/>
    <col min="9467" max="9467" width="8" customWidth="1"/>
    <col min="9468" max="9468" width="8" bestFit="1" customWidth="1"/>
    <col min="9469" max="9469" width="9" bestFit="1" customWidth="1"/>
    <col min="9470" max="9470" width="12" bestFit="1" customWidth="1"/>
    <col min="9471" max="9492" width="9" bestFit="1" customWidth="1"/>
    <col min="9493" max="9493" width="7.81640625" bestFit="1" customWidth="1"/>
    <col min="9494" max="9494" width="4.54296875" bestFit="1" customWidth="1"/>
    <col min="9495" max="9495" width="14.1796875" bestFit="1" customWidth="1"/>
    <col min="9722" max="9722" width="1.81640625" customWidth="1"/>
    <col min="9723" max="9723" width="8" customWidth="1"/>
    <col min="9724" max="9724" width="8" bestFit="1" customWidth="1"/>
    <col min="9725" max="9725" width="9" bestFit="1" customWidth="1"/>
    <col min="9726" max="9726" width="12" bestFit="1" customWidth="1"/>
    <col min="9727" max="9748" width="9" bestFit="1" customWidth="1"/>
    <col min="9749" max="9749" width="7.81640625" bestFit="1" customWidth="1"/>
    <col min="9750" max="9750" width="4.54296875" bestFit="1" customWidth="1"/>
    <col min="9751" max="9751" width="14.1796875" bestFit="1" customWidth="1"/>
    <col min="9978" max="9978" width="1.81640625" customWidth="1"/>
    <col min="9979" max="9979" width="8" customWidth="1"/>
    <col min="9980" max="9980" width="8" bestFit="1" customWidth="1"/>
    <col min="9981" max="9981" width="9" bestFit="1" customWidth="1"/>
    <col min="9982" max="9982" width="12" bestFit="1" customWidth="1"/>
    <col min="9983" max="10004" width="9" bestFit="1" customWidth="1"/>
    <col min="10005" max="10005" width="7.81640625" bestFit="1" customWidth="1"/>
    <col min="10006" max="10006" width="4.54296875" bestFit="1" customWidth="1"/>
    <col min="10007" max="10007" width="14.1796875" bestFit="1" customWidth="1"/>
    <col min="10234" max="10234" width="1.81640625" customWidth="1"/>
    <col min="10235" max="10235" width="8" customWidth="1"/>
    <col min="10236" max="10236" width="8" bestFit="1" customWidth="1"/>
    <col min="10237" max="10237" width="9" bestFit="1" customWidth="1"/>
    <col min="10238" max="10238" width="12" bestFit="1" customWidth="1"/>
    <col min="10239" max="10260" width="9" bestFit="1" customWidth="1"/>
    <col min="10261" max="10261" width="7.81640625" bestFit="1" customWidth="1"/>
    <col min="10262" max="10262" width="4.54296875" bestFit="1" customWidth="1"/>
    <col min="10263" max="10263" width="14.1796875" bestFit="1" customWidth="1"/>
    <col min="10490" max="10490" width="1.81640625" customWidth="1"/>
    <col min="10491" max="10491" width="8" customWidth="1"/>
    <col min="10492" max="10492" width="8" bestFit="1" customWidth="1"/>
    <col min="10493" max="10493" width="9" bestFit="1" customWidth="1"/>
    <col min="10494" max="10494" width="12" bestFit="1" customWidth="1"/>
    <col min="10495" max="10516" width="9" bestFit="1" customWidth="1"/>
    <col min="10517" max="10517" width="7.81640625" bestFit="1" customWidth="1"/>
    <col min="10518" max="10518" width="4.54296875" bestFit="1" customWidth="1"/>
    <col min="10519" max="10519" width="14.1796875" bestFit="1" customWidth="1"/>
    <col min="10746" max="10746" width="1.81640625" customWidth="1"/>
    <col min="10747" max="10747" width="8" customWidth="1"/>
    <col min="10748" max="10748" width="8" bestFit="1" customWidth="1"/>
    <col min="10749" max="10749" width="9" bestFit="1" customWidth="1"/>
    <col min="10750" max="10750" width="12" bestFit="1" customWidth="1"/>
    <col min="10751" max="10772" width="9" bestFit="1" customWidth="1"/>
    <col min="10773" max="10773" width="7.81640625" bestFit="1" customWidth="1"/>
    <col min="10774" max="10774" width="4.54296875" bestFit="1" customWidth="1"/>
    <col min="10775" max="10775" width="14.1796875" bestFit="1" customWidth="1"/>
    <col min="11002" max="11002" width="1.81640625" customWidth="1"/>
    <col min="11003" max="11003" width="8" customWidth="1"/>
    <col min="11004" max="11004" width="8" bestFit="1" customWidth="1"/>
    <col min="11005" max="11005" width="9" bestFit="1" customWidth="1"/>
    <col min="11006" max="11006" width="12" bestFit="1" customWidth="1"/>
    <col min="11007" max="11028" width="9" bestFit="1" customWidth="1"/>
    <col min="11029" max="11029" width="7.81640625" bestFit="1" customWidth="1"/>
    <col min="11030" max="11030" width="4.54296875" bestFit="1" customWidth="1"/>
    <col min="11031" max="11031" width="14.1796875" bestFit="1" customWidth="1"/>
    <col min="11258" max="11258" width="1.81640625" customWidth="1"/>
    <col min="11259" max="11259" width="8" customWidth="1"/>
    <col min="11260" max="11260" width="8" bestFit="1" customWidth="1"/>
    <col min="11261" max="11261" width="9" bestFit="1" customWidth="1"/>
    <col min="11262" max="11262" width="12" bestFit="1" customWidth="1"/>
    <col min="11263" max="11284" width="9" bestFit="1" customWidth="1"/>
    <col min="11285" max="11285" width="7.81640625" bestFit="1" customWidth="1"/>
    <col min="11286" max="11286" width="4.54296875" bestFit="1" customWidth="1"/>
    <col min="11287" max="11287" width="14.1796875" bestFit="1" customWidth="1"/>
    <col min="11514" max="11514" width="1.81640625" customWidth="1"/>
    <col min="11515" max="11515" width="8" customWidth="1"/>
    <col min="11516" max="11516" width="8" bestFit="1" customWidth="1"/>
    <col min="11517" max="11517" width="9" bestFit="1" customWidth="1"/>
    <col min="11518" max="11518" width="12" bestFit="1" customWidth="1"/>
    <col min="11519" max="11540" width="9" bestFit="1" customWidth="1"/>
    <col min="11541" max="11541" width="7.81640625" bestFit="1" customWidth="1"/>
    <col min="11542" max="11542" width="4.54296875" bestFit="1" customWidth="1"/>
    <col min="11543" max="11543" width="14.1796875" bestFit="1" customWidth="1"/>
    <col min="11770" max="11770" width="1.81640625" customWidth="1"/>
    <col min="11771" max="11771" width="8" customWidth="1"/>
    <col min="11772" max="11772" width="8" bestFit="1" customWidth="1"/>
    <col min="11773" max="11773" width="9" bestFit="1" customWidth="1"/>
    <col min="11774" max="11774" width="12" bestFit="1" customWidth="1"/>
    <col min="11775" max="11796" width="9" bestFit="1" customWidth="1"/>
    <col min="11797" max="11797" width="7.81640625" bestFit="1" customWidth="1"/>
    <col min="11798" max="11798" width="4.54296875" bestFit="1" customWidth="1"/>
    <col min="11799" max="11799" width="14.1796875" bestFit="1" customWidth="1"/>
    <col min="12026" max="12026" width="1.81640625" customWidth="1"/>
    <col min="12027" max="12027" width="8" customWidth="1"/>
    <col min="12028" max="12028" width="8" bestFit="1" customWidth="1"/>
    <col min="12029" max="12029" width="9" bestFit="1" customWidth="1"/>
    <col min="12030" max="12030" width="12" bestFit="1" customWidth="1"/>
    <col min="12031" max="12052" width="9" bestFit="1" customWidth="1"/>
    <col min="12053" max="12053" width="7.81640625" bestFit="1" customWidth="1"/>
    <col min="12054" max="12054" width="4.54296875" bestFit="1" customWidth="1"/>
    <col min="12055" max="12055" width="14.1796875" bestFit="1" customWidth="1"/>
    <col min="12282" max="12282" width="1.81640625" customWidth="1"/>
    <col min="12283" max="12283" width="8" customWidth="1"/>
    <col min="12284" max="12284" width="8" bestFit="1" customWidth="1"/>
    <col min="12285" max="12285" width="9" bestFit="1" customWidth="1"/>
    <col min="12286" max="12286" width="12" bestFit="1" customWidth="1"/>
    <col min="12287" max="12308" width="9" bestFit="1" customWidth="1"/>
    <col min="12309" max="12309" width="7.81640625" bestFit="1" customWidth="1"/>
    <col min="12310" max="12310" width="4.54296875" bestFit="1" customWidth="1"/>
    <col min="12311" max="12311" width="14.1796875" bestFit="1" customWidth="1"/>
    <col min="12538" max="12538" width="1.81640625" customWidth="1"/>
    <col min="12539" max="12539" width="8" customWidth="1"/>
    <col min="12540" max="12540" width="8" bestFit="1" customWidth="1"/>
    <col min="12541" max="12541" width="9" bestFit="1" customWidth="1"/>
    <col min="12542" max="12542" width="12" bestFit="1" customWidth="1"/>
    <col min="12543" max="12564" width="9" bestFit="1" customWidth="1"/>
    <col min="12565" max="12565" width="7.81640625" bestFit="1" customWidth="1"/>
    <col min="12566" max="12566" width="4.54296875" bestFit="1" customWidth="1"/>
    <col min="12567" max="12567" width="14.1796875" bestFit="1" customWidth="1"/>
    <col min="12794" max="12794" width="1.81640625" customWidth="1"/>
    <col min="12795" max="12795" width="8" customWidth="1"/>
    <col min="12796" max="12796" width="8" bestFit="1" customWidth="1"/>
    <col min="12797" max="12797" width="9" bestFit="1" customWidth="1"/>
    <col min="12798" max="12798" width="12" bestFit="1" customWidth="1"/>
    <col min="12799" max="12820" width="9" bestFit="1" customWidth="1"/>
    <col min="12821" max="12821" width="7.81640625" bestFit="1" customWidth="1"/>
    <col min="12822" max="12822" width="4.54296875" bestFit="1" customWidth="1"/>
    <col min="12823" max="12823" width="14.1796875" bestFit="1" customWidth="1"/>
    <col min="13050" max="13050" width="1.81640625" customWidth="1"/>
    <col min="13051" max="13051" width="8" customWidth="1"/>
    <col min="13052" max="13052" width="8" bestFit="1" customWidth="1"/>
    <col min="13053" max="13053" width="9" bestFit="1" customWidth="1"/>
    <col min="13054" max="13054" width="12" bestFit="1" customWidth="1"/>
    <col min="13055" max="13076" width="9" bestFit="1" customWidth="1"/>
    <col min="13077" max="13077" width="7.81640625" bestFit="1" customWidth="1"/>
    <col min="13078" max="13078" width="4.54296875" bestFit="1" customWidth="1"/>
    <col min="13079" max="13079" width="14.1796875" bestFit="1" customWidth="1"/>
    <col min="13306" max="13306" width="1.81640625" customWidth="1"/>
    <col min="13307" max="13307" width="8" customWidth="1"/>
    <col min="13308" max="13308" width="8" bestFit="1" customWidth="1"/>
    <col min="13309" max="13309" width="9" bestFit="1" customWidth="1"/>
    <col min="13310" max="13310" width="12" bestFit="1" customWidth="1"/>
    <col min="13311" max="13332" width="9" bestFit="1" customWidth="1"/>
    <col min="13333" max="13333" width="7.81640625" bestFit="1" customWidth="1"/>
    <col min="13334" max="13334" width="4.54296875" bestFit="1" customWidth="1"/>
    <col min="13335" max="13335" width="14.1796875" bestFit="1" customWidth="1"/>
    <col min="13562" max="13562" width="1.81640625" customWidth="1"/>
    <col min="13563" max="13563" width="8" customWidth="1"/>
    <col min="13564" max="13564" width="8" bestFit="1" customWidth="1"/>
    <col min="13565" max="13565" width="9" bestFit="1" customWidth="1"/>
    <col min="13566" max="13566" width="12" bestFit="1" customWidth="1"/>
    <col min="13567" max="13588" width="9" bestFit="1" customWidth="1"/>
    <col min="13589" max="13589" width="7.81640625" bestFit="1" customWidth="1"/>
    <col min="13590" max="13590" width="4.54296875" bestFit="1" customWidth="1"/>
    <col min="13591" max="13591" width="14.1796875" bestFit="1" customWidth="1"/>
    <col min="13818" max="13818" width="1.81640625" customWidth="1"/>
    <col min="13819" max="13819" width="8" customWidth="1"/>
    <col min="13820" max="13820" width="8" bestFit="1" customWidth="1"/>
    <col min="13821" max="13821" width="9" bestFit="1" customWidth="1"/>
    <col min="13822" max="13822" width="12" bestFit="1" customWidth="1"/>
    <col min="13823" max="13844" width="9" bestFit="1" customWidth="1"/>
    <col min="13845" max="13845" width="7.81640625" bestFit="1" customWidth="1"/>
    <col min="13846" max="13846" width="4.54296875" bestFit="1" customWidth="1"/>
    <col min="13847" max="13847" width="14.1796875" bestFit="1" customWidth="1"/>
    <col min="14074" max="14074" width="1.81640625" customWidth="1"/>
    <col min="14075" max="14075" width="8" customWidth="1"/>
    <col min="14076" max="14076" width="8" bestFit="1" customWidth="1"/>
    <col min="14077" max="14077" width="9" bestFit="1" customWidth="1"/>
    <col min="14078" max="14078" width="12" bestFit="1" customWidth="1"/>
    <col min="14079" max="14100" width="9" bestFit="1" customWidth="1"/>
    <col min="14101" max="14101" width="7.81640625" bestFit="1" customWidth="1"/>
    <col min="14102" max="14102" width="4.54296875" bestFit="1" customWidth="1"/>
    <col min="14103" max="14103" width="14.1796875" bestFit="1" customWidth="1"/>
    <col min="14330" max="14330" width="1.81640625" customWidth="1"/>
    <col min="14331" max="14331" width="8" customWidth="1"/>
    <col min="14332" max="14332" width="8" bestFit="1" customWidth="1"/>
    <col min="14333" max="14333" width="9" bestFit="1" customWidth="1"/>
    <col min="14334" max="14334" width="12" bestFit="1" customWidth="1"/>
    <col min="14335" max="14356" width="9" bestFit="1" customWidth="1"/>
    <col min="14357" max="14357" width="7.81640625" bestFit="1" customWidth="1"/>
    <col min="14358" max="14358" width="4.54296875" bestFit="1" customWidth="1"/>
    <col min="14359" max="14359" width="14.1796875" bestFit="1" customWidth="1"/>
    <col min="14586" max="14586" width="1.81640625" customWidth="1"/>
    <col min="14587" max="14587" width="8" customWidth="1"/>
    <col min="14588" max="14588" width="8" bestFit="1" customWidth="1"/>
    <col min="14589" max="14589" width="9" bestFit="1" customWidth="1"/>
    <col min="14590" max="14590" width="12" bestFit="1" customWidth="1"/>
    <col min="14591" max="14612" width="9" bestFit="1" customWidth="1"/>
    <col min="14613" max="14613" width="7.81640625" bestFit="1" customWidth="1"/>
    <col min="14614" max="14614" width="4.54296875" bestFit="1" customWidth="1"/>
    <col min="14615" max="14615" width="14.1796875" bestFit="1" customWidth="1"/>
    <col min="14842" max="14842" width="1.81640625" customWidth="1"/>
    <col min="14843" max="14843" width="8" customWidth="1"/>
    <col min="14844" max="14844" width="8" bestFit="1" customWidth="1"/>
    <col min="14845" max="14845" width="9" bestFit="1" customWidth="1"/>
    <col min="14846" max="14846" width="12" bestFit="1" customWidth="1"/>
    <col min="14847" max="14868" width="9" bestFit="1" customWidth="1"/>
    <col min="14869" max="14869" width="7.81640625" bestFit="1" customWidth="1"/>
    <col min="14870" max="14870" width="4.54296875" bestFit="1" customWidth="1"/>
    <col min="14871" max="14871" width="14.1796875" bestFit="1" customWidth="1"/>
    <col min="15098" max="15098" width="1.81640625" customWidth="1"/>
    <col min="15099" max="15099" width="8" customWidth="1"/>
    <col min="15100" max="15100" width="8" bestFit="1" customWidth="1"/>
    <col min="15101" max="15101" width="9" bestFit="1" customWidth="1"/>
    <col min="15102" max="15102" width="12" bestFit="1" customWidth="1"/>
    <col min="15103" max="15124" width="9" bestFit="1" customWidth="1"/>
    <col min="15125" max="15125" width="7.81640625" bestFit="1" customWidth="1"/>
    <col min="15126" max="15126" width="4.54296875" bestFit="1" customWidth="1"/>
    <col min="15127" max="15127" width="14.1796875" bestFit="1" customWidth="1"/>
    <col min="15354" max="15354" width="1.81640625" customWidth="1"/>
    <col min="15355" max="15355" width="8" customWidth="1"/>
    <col min="15356" max="15356" width="8" bestFit="1" customWidth="1"/>
    <col min="15357" max="15357" width="9" bestFit="1" customWidth="1"/>
    <col min="15358" max="15358" width="12" bestFit="1" customWidth="1"/>
    <col min="15359" max="15380" width="9" bestFit="1" customWidth="1"/>
    <col min="15381" max="15381" width="7.81640625" bestFit="1" customWidth="1"/>
    <col min="15382" max="15382" width="4.54296875" bestFit="1" customWidth="1"/>
    <col min="15383" max="15383" width="14.1796875" bestFit="1" customWidth="1"/>
    <col min="15610" max="15610" width="1.81640625" customWidth="1"/>
    <col min="15611" max="15611" width="8" customWidth="1"/>
    <col min="15612" max="15612" width="8" bestFit="1" customWidth="1"/>
    <col min="15613" max="15613" width="9" bestFit="1" customWidth="1"/>
    <col min="15614" max="15614" width="12" bestFit="1" customWidth="1"/>
    <col min="15615" max="15636" width="9" bestFit="1" customWidth="1"/>
    <col min="15637" max="15637" width="7.81640625" bestFit="1" customWidth="1"/>
    <col min="15638" max="15638" width="4.54296875" bestFit="1" customWidth="1"/>
    <col min="15639" max="15639" width="14.1796875" bestFit="1" customWidth="1"/>
    <col min="15866" max="15866" width="1.81640625" customWidth="1"/>
    <col min="15867" max="15867" width="8" customWidth="1"/>
    <col min="15868" max="15868" width="8" bestFit="1" customWidth="1"/>
    <col min="15869" max="15869" width="9" bestFit="1" customWidth="1"/>
    <col min="15870" max="15870" width="12" bestFit="1" customWidth="1"/>
    <col min="15871" max="15892" width="9" bestFit="1" customWidth="1"/>
    <col min="15893" max="15893" width="7.81640625" bestFit="1" customWidth="1"/>
    <col min="15894" max="15894" width="4.54296875" bestFit="1" customWidth="1"/>
    <col min="15895" max="15895" width="14.1796875" bestFit="1" customWidth="1"/>
    <col min="16122" max="16122" width="1.81640625" customWidth="1"/>
    <col min="16123" max="16123" width="8" customWidth="1"/>
    <col min="16124" max="16124" width="8" bestFit="1" customWidth="1"/>
    <col min="16125" max="16125" width="9" bestFit="1" customWidth="1"/>
    <col min="16126" max="16126" width="12" bestFit="1" customWidth="1"/>
    <col min="16127" max="16148" width="9" bestFit="1" customWidth="1"/>
    <col min="16149" max="16149" width="7.81640625" bestFit="1" customWidth="1"/>
    <col min="16150" max="16150" width="4.54296875" bestFit="1" customWidth="1"/>
    <col min="16151" max="16151" width="14.1796875" bestFit="1" customWidth="1"/>
  </cols>
  <sheetData>
    <row r="2" spans="2:60" ht="15.5">
      <c r="B2" s="53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2:60" ht="15.5">
      <c r="B3" s="53" t="s">
        <v>55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2:60" ht="16" thickBot="1">
      <c r="B4" s="54" t="s">
        <v>54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</row>
    <row r="5" spans="2:60" ht="25.5" customHeight="1" thickBot="1">
      <c r="B5" s="37"/>
      <c r="C5" s="38" t="s">
        <v>1</v>
      </c>
      <c r="D5" s="39">
        <v>1</v>
      </c>
      <c r="E5" s="39">
        <v>2</v>
      </c>
      <c r="F5" s="39">
        <v>3</v>
      </c>
      <c r="G5" s="39">
        <v>4</v>
      </c>
      <c r="H5" s="39">
        <v>5</v>
      </c>
      <c r="I5" s="39">
        <v>6</v>
      </c>
      <c r="J5" s="40">
        <v>7</v>
      </c>
      <c r="K5" s="40">
        <v>8</v>
      </c>
      <c r="L5" s="40">
        <v>9</v>
      </c>
      <c r="M5" s="40">
        <v>10</v>
      </c>
      <c r="N5" s="40">
        <v>11</v>
      </c>
      <c r="O5" s="40">
        <v>12</v>
      </c>
      <c r="P5" s="40">
        <v>13</v>
      </c>
      <c r="Q5" s="40">
        <v>14</v>
      </c>
      <c r="R5" s="40">
        <v>15</v>
      </c>
      <c r="S5" s="40">
        <v>16</v>
      </c>
      <c r="T5" s="40">
        <v>17</v>
      </c>
      <c r="U5" s="40">
        <v>18</v>
      </c>
      <c r="V5" s="41">
        <v>19</v>
      </c>
      <c r="W5" s="41">
        <v>20</v>
      </c>
      <c r="X5" s="41">
        <v>21</v>
      </c>
      <c r="Y5" s="39">
        <v>22</v>
      </c>
      <c r="Z5" s="39">
        <v>23</v>
      </c>
      <c r="AA5" s="42">
        <v>24</v>
      </c>
      <c r="AB5" s="14" t="s">
        <v>2</v>
      </c>
      <c r="AC5" s="15" t="s">
        <v>3</v>
      </c>
      <c r="AD5" s="16" t="s">
        <v>2</v>
      </c>
    </row>
    <row r="6" spans="2:60">
      <c r="B6" s="47">
        <v>47484</v>
      </c>
      <c r="C6" s="8" t="s">
        <v>5</v>
      </c>
      <c r="D6" s="7">
        <v>9115.2999999999993</v>
      </c>
      <c r="E6" s="7">
        <v>9115.2999999999993</v>
      </c>
      <c r="F6" s="7">
        <v>9115.2999999999993</v>
      </c>
      <c r="G6" s="7">
        <v>9115.2999999999993</v>
      </c>
      <c r="H6" s="7">
        <v>9115.2999999999993</v>
      </c>
      <c r="I6" s="7">
        <v>9115.2999999999993</v>
      </c>
      <c r="J6" s="7">
        <v>9115.2999999999993</v>
      </c>
      <c r="K6" s="7">
        <v>9115.2999999999993</v>
      </c>
      <c r="L6" s="7">
        <v>9115.2999999999993</v>
      </c>
      <c r="M6" s="7">
        <v>9115.2999999999993</v>
      </c>
      <c r="N6" s="7">
        <v>9115.2999999999993</v>
      </c>
      <c r="O6" s="7">
        <v>9115.2999999999993</v>
      </c>
      <c r="P6" s="7">
        <v>9115.2999999999993</v>
      </c>
      <c r="Q6" s="7">
        <v>9115.2999999999993</v>
      </c>
      <c r="R6" s="7">
        <v>9115.2999999999993</v>
      </c>
      <c r="S6" s="7">
        <v>9115.2999999999993</v>
      </c>
      <c r="T6" s="7">
        <v>9115.2999999999993</v>
      </c>
      <c r="U6" s="7">
        <v>9115.2999999999993</v>
      </c>
      <c r="V6" s="7">
        <v>9115.2999999999993</v>
      </c>
      <c r="W6" s="7">
        <v>9115.2999999999993</v>
      </c>
      <c r="X6" s="7">
        <v>9115.2999999999993</v>
      </c>
      <c r="Y6" s="7">
        <v>9115.2999999999993</v>
      </c>
      <c r="Z6" s="7">
        <v>9115.2999999999993</v>
      </c>
      <c r="AA6" s="11">
        <v>9115.2999999999993</v>
      </c>
      <c r="AB6" s="5">
        <f t="shared" ref="AB6:AB53" si="0">(SUM(D6:AA6))</f>
        <v>218767.19999999992</v>
      </c>
      <c r="AC6" s="5">
        <v>21</v>
      </c>
      <c r="AD6" s="50">
        <f>(AB6*AC6)+(AB7*AC7)+(AB8*AC8)+(AB9*AC9)</f>
        <v>6781783.1999999974</v>
      </c>
      <c r="AE6" s="83">
        <f>+AD6</f>
        <v>6781783.1999999974</v>
      </c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</row>
    <row r="7" spans="2:60">
      <c r="B7" s="48"/>
      <c r="C7" s="1" t="s">
        <v>6</v>
      </c>
      <c r="D7" s="2">
        <v>9115.2999999999993</v>
      </c>
      <c r="E7" s="2">
        <v>9115.2999999999993</v>
      </c>
      <c r="F7" s="2">
        <v>9115.2999999999993</v>
      </c>
      <c r="G7" s="2">
        <v>9115.2999999999993</v>
      </c>
      <c r="H7" s="2">
        <v>9115.2999999999993</v>
      </c>
      <c r="I7" s="2">
        <v>9115.2999999999993</v>
      </c>
      <c r="J7" s="2">
        <v>9115.2999999999993</v>
      </c>
      <c r="K7" s="2">
        <v>9115.2999999999993</v>
      </c>
      <c r="L7" s="2">
        <v>9115.2999999999993</v>
      </c>
      <c r="M7" s="2">
        <v>9115.2999999999993</v>
      </c>
      <c r="N7" s="2">
        <v>9115.2999999999993</v>
      </c>
      <c r="O7" s="2">
        <v>9115.2999999999993</v>
      </c>
      <c r="P7" s="2">
        <v>9115.2999999999993</v>
      </c>
      <c r="Q7" s="2">
        <v>9115.2999999999993</v>
      </c>
      <c r="R7" s="2">
        <v>9115.2999999999993</v>
      </c>
      <c r="S7" s="2">
        <v>9115.2999999999993</v>
      </c>
      <c r="T7" s="2">
        <v>9115.2999999999993</v>
      </c>
      <c r="U7" s="2">
        <v>9115.2999999999993</v>
      </c>
      <c r="V7" s="2">
        <v>9115.2999999999993</v>
      </c>
      <c r="W7" s="2">
        <v>9115.2999999999993</v>
      </c>
      <c r="X7" s="2">
        <v>9115.2999999999993</v>
      </c>
      <c r="Y7" s="2">
        <v>9115.2999999999993</v>
      </c>
      <c r="Z7" s="2">
        <v>9115.2999999999993</v>
      </c>
      <c r="AA7" s="12">
        <v>9115.2999999999993</v>
      </c>
      <c r="AB7" s="3">
        <f t="shared" si="0"/>
        <v>218767.19999999992</v>
      </c>
      <c r="AC7" s="3">
        <v>4</v>
      </c>
      <c r="AD7" s="51"/>
      <c r="AE7" s="83">
        <f>+AD10</f>
        <v>6125481.5999999978</v>
      </c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</row>
    <row r="8" spans="2:60">
      <c r="B8" s="48"/>
      <c r="C8" s="1" t="s">
        <v>7</v>
      </c>
      <c r="D8" s="2">
        <v>9115.2999999999993</v>
      </c>
      <c r="E8" s="2">
        <v>9115.2999999999993</v>
      </c>
      <c r="F8" s="2">
        <v>9115.2999999999993</v>
      </c>
      <c r="G8" s="2">
        <v>9115.2999999999993</v>
      </c>
      <c r="H8" s="2">
        <v>9115.2999999999993</v>
      </c>
      <c r="I8" s="2">
        <v>9115.2999999999993</v>
      </c>
      <c r="J8" s="2">
        <v>9115.2999999999993</v>
      </c>
      <c r="K8" s="2">
        <v>9115.2999999999993</v>
      </c>
      <c r="L8" s="2">
        <v>9115.2999999999993</v>
      </c>
      <c r="M8" s="2">
        <v>9115.2999999999993</v>
      </c>
      <c r="N8" s="2">
        <v>9115.2999999999993</v>
      </c>
      <c r="O8" s="2">
        <v>9115.2999999999993</v>
      </c>
      <c r="P8" s="2">
        <v>9115.2999999999993</v>
      </c>
      <c r="Q8" s="2">
        <v>9115.2999999999993</v>
      </c>
      <c r="R8" s="2">
        <v>9115.2999999999993</v>
      </c>
      <c r="S8" s="2">
        <v>9115.2999999999993</v>
      </c>
      <c r="T8" s="2">
        <v>9115.2999999999993</v>
      </c>
      <c r="U8" s="2">
        <v>9115.2999999999993</v>
      </c>
      <c r="V8" s="2">
        <v>9115.2999999999993</v>
      </c>
      <c r="W8" s="2">
        <v>9115.2999999999993</v>
      </c>
      <c r="X8" s="2">
        <v>9115.2999999999993</v>
      </c>
      <c r="Y8" s="2">
        <v>9115.2999999999993</v>
      </c>
      <c r="Z8" s="2">
        <v>9115.2999999999993</v>
      </c>
      <c r="AA8" s="12">
        <v>9115.2999999999993</v>
      </c>
      <c r="AB8" s="3">
        <f t="shared" si="0"/>
        <v>218767.19999999992</v>
      </c>
      <c r="AC8" s="3">
        <v>4</v>
      </c>
      <c r="AD8" s="51"/>
      <c r="AE8" s="83">
        <f>+AD14</f>
        <v>6781783.1999999983</v>
      </c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</row>
    <row r="9" spans="2:60" ht="15" thickBot="1">
      <c r="B9" s="49"/>
      <c r="C9" s="9" t="s">
        <v>8</v>
      </c>
      <c r="D9" s="10">
        <v>9115.2999999999993</v>
      </c>
      <c r="E9" s="10">
        <v>9115.2999999999993</v>
      </c>
      <c r="F9" s="10">
        <v>9115.2999999999993</v>
      </c>
      <c r="G9" s="10">
        <v>9115.2999999999993</v>
      </c>
      <c r="H9" s="10">
        <v>9115.2999999999993</v>
      </c>
      <c r="I9" s="10">
        <v>9115.2999999999993</v>
      </c>
      <c r="J9" s="10">
        <v>9115.2999999999993</v>
      </c>
      <c r="K9" s="10">
        <v>9115.2999999999993</v>
      </c>
      <c r="L9" s="10">
        <v>9115.2999999999993</v>
      </c>
      <c r="M9" s="10">
        <v>9115.2999999999993</v>
      </c>
      <c r="N9" s="10">
        <v>9115.2999999999993</v>
      </c>
      <c r="O9" s="10">
        <v>9115.2999999999993</v>
      </c>
      <c r="P9" s="10">
        <v>9115.2999999999993</v>
      </c>
      <c r="Q9" s="10">
        <v>9115.2999999999993</v>
      </c>
      <c r="R9" s="10">
        <v>9115.2999999999993</v>
      </c>
      <c r="S9" s="10">
        <v>9115.2999999999993</v>
      </c>
      <c r="T9" s="10">
        <v>9115.2999999999993</v>
      </c>
      <c r="U9" s="10">
        <v>9115.2999999999993</v>
      </c>
      <c r="V9" s="10">
        <v>9115.2999999999993</v>
      </c>
      <c r="W9" s="10">
        <v>9115.2999999999993</v>
      </c>
      <c r="X9" s="10">
        <v>9115.2999999999993</v>
      </c>
      <c r="Y9" s="10">
        <v>9115.2999999999993</v>
      </c>
      <c r="Z9" s="10">
        <v>9115.2999999999993</v>
      </c>
      <c r="AA9" s="13">
        <v>9115.2999999999993</v>
      </c>
      <c r="AB9" s="6">
        <f t="shared" si="0"/>
        <v>218767.19999999992</v>
      </c>
      <c r="AC9" s="6">
        <v>2</v>
      </c>
      <c r="AD9" s="52"/>
      <c r="AE9" s="83">
        <f>+AD18</f>
        <v>6563015.9999999972</v>
      </c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</row>
    <row r="10" spans="2:60">
      <c r="B10" s="47">
        <v>47515</v>
      </c>
      <c r="C10" s="8" t="s">
        <v>5</v>
      </c>
      <c r="D10" s="7">
        <v>9115.2999999999993</v>
      </c>
      <c r="E10" s="7">
        <v>9115.2999999999993</v>
      </c>
      <c r="F10" s="7">
        <v>9115.2999999999993</v>
      </c>
      <c r="G10" s="7">
        <v>9115.2999999999993</v>
      </c>
      <c r="H10" s="7">
        <v>9115.2999999999993</v>
      </c>
      <c r="I10" s="7">
        <v>9115.2999999999993</v>
      </c>
      <c r="J10" s="7">
        <v>9115.2999999999993</v>
      </c>
      <c r="K10" s="7">
        <v>9115.2999999999993</v>
      </c>
      <c r="L10" s="7">
        <v>9115.2999999999993</v>
      </c>
      <c r="M10" s="7">
        <v>9115.2999999999993</v>
      </c>
      <c r="N10" s="7">
        <v>9115.2999999999993</v>
      </c>
      <c r="O10" s="7">
        <v>9115.2999999999993</v>
      </c>
      <c r="P10" s="7">
        <v>9115.2999999999993</v>
      </c>
      <c r="Q10" s="7">
        <v>9115.2999999999993</v>
      </c>
      <c r="R10" s="7">
        <v>9115.2999999999993</v>
      </c>
      <c r="S10" s="7">
        <v>9115.2999999999993</v>
      </c>
      <c r="T10" s="7">
        <v>9115.2999999999993</v>
      </c>
      <c r="U10" s="7">
        <v>9115.2999999999993</v>
      </c>
      <c r="V10" s="7">
        <v>9115.2999999999993</v>
      </c>
      <c r="W10" s="7">
        <v>9115.2999999999993</v>
      </c>
      <c r="X10" s="7">
        <v>9115.2999999999993</v>
      </c>
      <c r="Y10" s="7">
        <v>9115.2999999999993</v>
      </c>
      <c r="Z10" s="7">
        <v>9115.2999999999993</v>
      </c>
      <c r="AA10" s="11">
        <v>9115.2999999999993</v>
      </c>
      <c r="AB10" s="5">
        <f t="shared" si="0"/>
        <v>218767.19999999992</v>
      </c>
      <c r="AC10" s="5">
        <v>20</v>
      </c>
      <c r="AD10" s="50">
        <f>(AB10*AC10)+(AB11*AC11)+(AB12*AC12)+(AB13*AC13)</f>
        <v>6125481.5999999978</v>
      </c>
      <c r="AE10" s="83">
        <f>+AD22</f>
        <v>6781783.1999999983</v>
      </c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</row>
    <row r="11" spans="2:60">
      <c r="B11" s="48"/>
      <c r="C11" s="1" t="s">
        <v>6</v>
      </c>
      <c r="D11" s="2">
        <v>9115.2999999999993</v>
      </c>
      <c r="E11" s="2">
        <v>9115.2999999999993</v>
      </c>
      <c r="F11" s="2">
        <v>9115.2999999999993</v>
      </c>
      <c r="G11" s="2">
        <v>9115.2999999999993</v>
      </c>
      <c r="H11" s="2">
        <v>9115.2999999999993</v>
      </c>
      <c r="I11" s="2">
        <v>9115.2999999999993</v>
      </c>
      <c r="J11" s="2">
        <v>9115.2999999999993</v>
      </c>
      <c r="K11" s="2">
        <v>9115.2999999999993</v>
      </c>
      <c r="L11" s="2">
        <v>9115.2999999999993</v>
      </c>
      <c r="M11" s="2">
        <v>9115.2999999999993</v>
      </c>
      <c r="N11" s="2">
        <v>9115.2999999999993</v>
      </c>
      <c r="O11" s="2">
        <v>9115.2999999999993</v>
      </c>
      <c r="P11" s="2">
        <v>9115.2999999999993</v>
      </c>
      <c r="Q11" s="2">
        <v>9115.2999999999993</v>
      </c>
      <c r="R11" s="2">
        <v>9115.2999999999993</v>
      </c>
      <c r="S11" s="2">
        <v>9115.2999999999993</v>
      </c>
      <c r="T11" s="2">
        <v>9115.2999999999993</v>
      </c>
      <c r="U11" s="2">
        <v>9115.2999999999993</v>
      </c>
      <c r="V11" s="2">
        <v>9115.2999999999993</v>
      </c>
      <c r="W11" s="2">
        <v>9115.2999999999993</v>
      </c>
      <c r="X11" s="2">
        <v>9115.2999999999993</v>
      </c>
      <c r="Y11" s="2">
        <v>9115.2999999999993</v>
      </c>
      <c r="Z11" s="2">
        <v>9115.2999999999993</v>
      </c>
      <c r="AA11" s="12">
        <v>9115.2999999999993</v>
      </c>
      <c r="AB11" s="3">
        <f t="shared" si="0"/>
        <v>218767.19999999992</v>
      </c>
      <c r="AC11" s="3">
        <v>4</v>
      </c>
      <c r="AD11" s="51"/>
      <c r="AE11" s="83">
        <f>+AD26</f>
        <v>6563015.9999999972</v>
      </c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</row>
    <row r="12" spans="2:60">
      <c r="B12" s="48"/>
      <c r="C12" s="1" t="s">
        <v>7</v>
      </c>
      <c r="D12" s="2">
        <v>9115.2999999999993</v>
      </c>
      <c r="E12" s="2">
        <v>9115.2999999999993</v>
      </c>
      <c r="F12" s="2">
        <v>9115.2999999999993</v>
      </c>
      <c r="G12" s="2">
        <v>9115.2999999999993</v>
      </c>
      <c r="H12" s="2">
        <v>9115.2999999999993</v>
      </c>
      <c r="I12" s="2">
        <v>9115.2999999999993</v>
      </c>
      <c r="J12" s="2">
        <v>9115.2999999999993</v>
      </c>
      <c r="K12" s="2">
        <v>9115.2999999999993</v>
      </c>
      <c r="L12" s="2">
        <v>9115.2999999999993</v>
      </c>
      <c r="M12" s="2">
        <v>9115.2999999999993</v>
      </c>
      <c r="N12" s="2">
        <v>9115.2999999999993</v>
      </c>
      <c r="O12" s="2">
        <v>9115.2999999999993</v>
      </c>
      <c r="P12" s="2">
        <v>9115.2999999999993</v>
      </c>
      <c r="Q12" s="2">
        <v>9115.2999999999993</v>
      </c>
      <c r="R12" s="2">
        <v>9115.2999999999993</v>
      </c>
      <c r="S12" s="2">
        <v>9115.2999999999993</v>
      </c>
      <c r="T12" s="2">
        <v>9115.2999999999993</v>
      </c>
      <c r="U12" s="2">
        <v>9115.2999999999993</v>
      </c>
      <c r="V12" s="2">
        <v>9115.2999999999993</v>
      </c>
      <c r="W12" s="2">
        <v>9115.2999999999993</v>
      </c>
      <c r="X12" s="2">
        <v>9115.2999999999993</v>
      </c>
      <c r="Y12" s="2">
        <v>9115.2999999999993</v>
      </c>
      <c r="Z12" s="2">
        <v>9115.2999999999993</v>
      </c>
      <c r="AA12" s="12">
        <v>9115.2999999999993</v>
      </c>
      <c r="AB12" s="3">
        <f t="shared" si="0"/>
        <v>218767.19999999992</v>
      </c>
      <c r="AC12" s="3">
        <v>4</v>
      </c>
      <c r="AD12" s="51"/>
      <c r="AE12" s="83">
        <f>+AD30</f>
        <v>6781783.1999999974</v>
      </c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</row>
    <row r="13" spans="2:60" ht="15" thickBot="1">
      <c r="B13" s="49"/>
      <c r="C13" s="9" t="s">
        <v>8</v>
      </c>
      <c r="D13" s="10">
        <v>9115.2999999999993</v>
      </c>
      <c r="E13" s="10">
        <v>9115.2999999999993</v>
      </c>
      <c r="F13" s="10">
        <v>9115.2999999999993</v>
      </c>
      <c r="G13" s="10">
        <v>9115.2999999999993</v>
      </c>
      <c r="H13" s="10">
        <v>9115.2999999999993</v>
      </c>
      <c r="I13" s="10">
        <v>9115.2999999999993</v>
      </c>
      <c r="J13" s="10">
        <v>9115.2999999999993</v>
      </c>
      <c r="K13" s="10">
        <v>9115.2999999999993</v>
      </c>
      <c r="L13" s="10">
        <v>9115.2999999999993</v>
      </c>
      <c r="M13" s="10">
        <v>9115.2999999999993</v>
      </c>
      <c r="N13" s="10">
        <v>9115.2999999999993</v>
      </c>
      <c r="O13" s="10">
        <v>9115.2999999999993</v>
      </c>
      <c r="P13" s="10">
        <v>9115.2999999999993</v>
      </c>
      <c r="Q13" s="10">
        <v>9115.2999999999993</v>
      </c>
      <c r="R13" s="10">
        <v>9115.2999999999993</v>
      </c>
      <c r="S13" s="10">
        <v>9115.2999999999993</v>
      </c>
      <c r="T13" s="10">
        <v>9115.2999999999993</v>
      </c>
      <c r="U13" s="10">
        <v>9115.2999999999993</v>
      </c>
      <c r="V13" s="10">
        <v>9115.2999999999993</v>
      </c>
      <c r="W13" s="10">
        <v>9115.2999999999993</v>
      </c>
      <c r="X13" s="10">
        <v>9115.2999999999993</v>
      </c>
      <c r="Y13" s="10">
        <v>9115.2999999999993</v>
      </c>
      <c r="Z13" s="10">
        <v>9115.2999999999993</v>
      </c>
      <c r="AA13" s="13">
        <v>9115.2999999999993</v>
      </c>
      <c r="AB13" s="6">
        <f t="shared" si="0"/>
        <v>218767.19999999992</v>
      </c>
      <c r="AC13" s="6">
        <v>0</v>
      </c>
      <c r="AD13" s="52"/>
      <c r="AE13" s="83">
        <f>+AD34</f>
        <v>6781783.1999999974</v>
      </c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</row>
    <row r="14" spans="2:60">
      <c r="B14" s="47">
        <v>47543</v>
      </c>
      <c r="C14" s="8" t="s">
        <v>5</v>
      </c>
      <c r="D14" s="7">
        <v>9115.2999999999993</v>
      </c>
      <c r="E14" s="7">
        <v>9115.2999999999993</v>
      </c>
      <c r="F14" s="7">
        <v>9115.2999999999993</v>
      </c>
      <c r="G14" s="7">
        <v>9115.2999999999993</v>
      </c>
      <c r="H14" s="7">
        <v>9115.2999999999993</v>
      </c>
      <c r="I14" s="7">
        <v>9115.2999999999993</v>
      </c>
      <c r="J14" s="7">
        <v>9115.2999999999993</v>
      </c>
      <c r="K14" s="7">
        <v>9115.2999999999993</v>
      </c>
      <c r="L14" s="7">
        <v>9115.2999999999993</v>
      </c>
      <c r="M14" s="7">
        <v>9115.2999999999993</v>
      </c>
      <c r="N14" s="7">
        <v>9115.2999999999993</v>
      </c>
      <c r="O14" s="7">
        <v>9115.2999999999993</v>
      </c>
      <c r="P14" s="7">
        <v>9115.2999999999993</v>
      </c>
      <c r="Q14" s="7">
        <v>9115.2999999999993</v>
      </c>
      <c r="R14" s="7">
        <v>9115.2999999999993</v>
      </c>
      <c r="S14" s="7">
        <v>9115.2999999999993</v>
      </c>
      <c r="T14" s="7">
        <v>9115.2999999999993</v>
      </c>
      <c r="U14" s="7">
        <v>9115.2999999999993</v>
      </c>
      <c r="V14" s="7">
        <v>9115.2999999999993</v>
      </c>
      <c r="W14" s="7">
        <v>9115.2999999999993</v>
      </c>
      <c r="X14" s="7">
        <v>9115.2999999999993</v>
      </c>
      <c r="Y14" s="7">
        <v>9115.2999999999993</v>
      </c>
      <c r="Z14" s="7">
        <v>9115.2999999999993</v>
      </c>
      <c r="AA14" s="11">
        <v>9115.2999999999993</v>
      </c>
      <c r="AB14" s="5">
        <f t="shared" si="0"/>
        <v>218767.19999999992</v>
      </c>
      <c r="AC14" s="5">
        <v>20</v>
      </c>
      <c r="AD14" s="50">
        <f>(AB14*AC14)+(AB15*AC15)+(AB16*AC16)+(AB17*AC17)</f>
        <v>6781783.1999999983</v>
      </c>
      <c r="AE14" s="83">
        <f>+AD38</f>
        <v>6563015.9999999981</v>
      </c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</row>
    <row r="15" spans="2:60">
      <c r="B15" s="48"/>
      <c r="C15" s="1" t="s">
        <v>6</v>
      </c>
      <c r="D15" s="2">
        <v>9115.2999999999993</v>
      </c>
      <c r="E15" s="2">
        <v>9115.2999999999993</v>
      </c>
      <c r="F15" s="2">
        <v>9115.2999999999993</v>
      </c>
      <c r="G15" s="2">
        <v>9115.2999999999993</v>
      </c>
      <c r="H15" s="2">
        <v>9115.2999999999993</v>
      </c>
      <c r="I15" s="2">
        <v>9115.2999999999993</v>
      </c>
      <c r="J15" s="2">
        <v>9115.2999999999993</v>
      </c>
      <c r="K15" s="2">
        <v>9115.2999999999993</v>
      </c>
      <c r="L15" s="2">
        <v>9115.2999999999993</v>
      </c>
      <c r="M15" s="2">
        <v>9115.2999999999993</v>
      </c>
      <c r="N15" s="2">
        <v>9115.2999999999993</v>
      </c>
      <c r="O15" s="2">
        <v>9115.2999999999993</v>
      </c>
      <c r="P15" s="2">
        <v>9115.2999999999993</v>
      </c>
      <c r="Q15" s="2">
        <v>9115.2999999999993</v>
      </c>
      <c r="R15" s="2">
        <v>9115.2999999999993</v>
      </c>
      <c r="S15" s="2">
        <v>9115.2999999999993</v>
      </c>
      <c r="T15" s="2">
        <v>9115.2999999999993</v>
      </c>
      <c r="U15" s="2">
        <v>9115.2999999999993</v>
      </c>
      <c r="V15" s="2">
        <v>9115.2999999999993</v>
      </c>
      <c r="W15" s="2">
        <v>9115.2999999999993</v>
      </c>
      <c r="X15" s="2">
        <v>9115.2999999999993</v>
      </c>
      <c r="Y15" s="2">
        <v>9115.2999999999993</v>
      </c>
      <c r="Z15" s="2">
        <v>9115.2999999999993</v>
      </c>
      <c r="AA15" s="12">
        <v>9115.2999999999993</v>
      </c>
      <c r="AB15" s="3">
        <f t="shared" si="0"/>
        <v>218767.19999999992</v>
      </c>
      <c r="AC15" s="3">
        <v>5</v>
      </c>
      <c r="AD15" s="51"/>
      <c r="AE15" s="83">
        <f>+AD42</f>
        <v>6781783.1999999983</v>
      </c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</row>
    <row r="16" spans="2:60">
      <c r="B16" s="48"/>
      <c r="C16" s="1" t="s">
        <v>7</v>
      </c>
      <c r="D16" s="2">
        <v>9115.2999999999993</v>
      </c>
      <c r="E16" s="2">
        <v>9115.2999999999993</v>
      </c>
      <c r="F16" s="2">
        <v>9115.2999999999993</v>
      </c>
      <c r="G16" s="2">
        <v>9115.2999999999993</v>
      </c>
      <c r="H16" s="2">
        <v>9115.2999999999993</v>
      </c>
      <c r="I16" s="2">
        <v>9115.2999999999993</v>
      </c>
      <c r="J16" s="2">
        <v>9115.2999999999993</v>
      </c>
      <c r="K16" s="2">
        <v>9115.2999999999993</v>
      </c>
      <c r="L16" s="2">
        <v>9115.2999999999993</v>
      </c>
      <c r="M16" s="2">
        <v>9115.2999999999993</v>
      </c>
      <c r="N16" s="2">
        <v>9115.2999999999993</v>
      </c>
      <c r="O16" s="2">
        <v>9115.2999999999993</v>
      </c>
      <c r="P16" s="2">
        <v>9115.2999999999993</v>
      </c>
      <c r="Q16" s="2">
        <v>9115.2999999999993</v>
      </c>
      <c r="R16" s="2">
        <v>9115.2999999999993</v>
      </c>
      <c r="S16" s="2">
        <v>9115.2999999999993</v>
      </c>
      <c r="T16" s="2">
        <v>9115.2999999999993</v>
      </c>
      <c r="U16" s="2">
        <v>9115.2999999999993</v>
      </c>
      <c r="V16" s="2">
        <v>9115.2999999999993</v>
      </c>
      <c r="W16" s="2">
        <v>9115.2999999999993</v>
      </c>
      <c r="X16" s="2">
        <v>9115.2999999999993</v>
      </c>
      <c r="Y16" s="2">
        <v>9115.2999999999993</v>
      </c>
      <c r="Z16" s="2">
        <v>9115.2999999999993</v>
      </c>
      <c r="AA16" s="12">
        <v>9115.2999999999993</v>
      </c>
      <c r="AB16" s="3">
        <f t="shared" si="0"/>
        <v>218767.19999999992</v>
      </c>
      <c r="AC16" s="3">
        <v>5</v>
      </c>
      <c r="AD16" s="51"/>
      <c r="AE16" s="83">
        <f>+AD46</f>
        <v>6563015.9999999972</v>
      </c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</row>
    <row r="17" spans="2:60" ht="15" thickBot="1">
      <c r="B17" s="49"/>
      <c r="C17" s="9" t="s">
        <v>8</v>
      </c>
      <c r="D17" s="10">
        <v>9115.2999999999993</v>
      </c>
      <c r="E17" s="10">
        <v>9115.2999999999993</v>
      </c>
      <c r="F17" s="10">
        <v>9115.2999999999993</v>
      </c>
      <c r="G17" s="10">
        <v>9115.2999999999993</v>
      </c>
      <c r="H17" s="10">
        <v>9115.2999999999993</v>
      </c>
      <c r="I17" s="10">
        <v>9115.2999999999993</v>
      </c>
      <c r="J17" s="10">
        <v>9115.2999999999993</v>
      </c>
      <c r="K17" s="10">
        <v>9115.2999999999993</v>
      </c>
      <c r="L17" s="10">
        <v>9115.2999999999993</v>
      </c>
      <c r="M17" s="10">
        <v>9115.2999999999993</v>
      </c>
      <c r="N17" s="10">
        <v>9115.2999999999993</v>
      </c>
      <c r="O17" s="10">
        <v>9115.2999999999993</v>
      </c>
      <c r="P17" s="10">
        <v>9115.2999999999993</v>
      </c>
      <c r="Q17" s="10">
        <v>9115.2999999999993</v>
      </c>
      <c r="R17" s="10">
        <v>9115.2999999999993</v>
      </c>
      <c r="S17" s="10">
        <v>9115.2999999999993</v>
      </c>
      <c r="T17" s="10">
        <v>9115.2999999999993</v>
      </c>
      <c r="U17" s="10">
        <v>9115.2999999999993</v>
      </c>
      <c r="V17" s="10">
        <v>9115.2999999999993</v>
      </c>
      <c r="W17" s="10">
        <v>9115.2999999999993</v>
      </c>
      <c r="X17" s="10">
        <v>9115.2999999999993</v>
      </c>
      <c r="Y17" s="10">
        <v>9115.2999999999993</v>
      </c>
      <c r="Z17" s="10">
        <v>9115.2999999999993</v>
      </c>
      <c r="AA17" s="13">
        <v>9115.2999999999993</v>
      </c>
      <c r="AB17" s="6">
        <f t="shared" si="0"/>
        <v>218767.19999999992</v>
      </c>
      <c r="AC17" s="6">
        <v>1</v>
      </c>
      <c r="AD17" s="52"/>
      <c r="AE17" s="83">
        <f>+AD50</f>
        <v>6781783.1999999974</v>
      </c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</row>
    <row r="18" spans="2:60">
      <c r="B18" s="47">
        <v>47574</v>
      </c>
      <c r="C18" s="8" t="s">
        <v>5</v>
      </c>
      <c r="D18" s="7">
        <v>9115.2999999999993</v>
      </c>
      <c r="E18" s="7">
        <v>9115.2999999999993</v>
      </c>
      <c r="F18" s="7">
        <v>9115.2999999999993</v>
      </c>
      <c r="G18" s="7">
        <v>9115.2999999999993</v>
      </c>
      <c r="H18" s="7">
        <v>9115.2999999999993</v>
      </c>
      <c r="I18" s="7">
        <v>9115.2999999999993</v>
      </c>
      <c r="J18" s="7">
        <v>9115.2999999999993</v>
      </c>
      <c r="K18" s="7">
        <v>9115.2999999999993</v>
      </c>
      <c r="L18" s="7">
        <v>9115.2999999999993</v>
      </c>
      <c r="M18" s="7">
        <v>9115.2999999999993</v>
      </c>
      <c r="N18" s="7">
        <v>9115.2999999999993</v>
      </c>
      <c r="O18" s="7">
        <v>9115.2999999999993</v>
      </c>
      <c r="P18" s="7">
        <v>9115.2999999999993</v>
      </c>
      <c r="Q18" s="7">
        <v>9115.2999999999993</v>
      </c>
      <c r="R18" s="7">
        <v>9115.2999999999993</v>
      </c>
      <c r="S18" s="7">
        <v>9115.2999999999993</v>
      </c>
      <c r="T18" s="7">
        <v>9115.2999999999993</v>
      </c>
      <c r="U18" s="7">
        <v>9115.2999999999993</v>
      </c>
      <c r="V18" s="7">
        <v>9115.2999999999993</v>
      </c>
      <c r="W18" s="7">
        <v>9115.2999999999993</v>
      </c>
      <c r="X18" s="7">
        <v>9115.2999999999993</v>
      </c>
      <c r="Y18" s="7">
        <v>9115.2999999999993</v>
      </c>
      <c r="Z18" s="7">
        <v>9115.2999999999993</v>
      </c>
      <c r="AA18" s="11">
        <v>9115.2999999999993</v>
      </c>
      <c r="AB18" s="5">
        <f t="shared" si="0"/>
        <v>218767.19999999992</v>
      </c>
      <c r="AC18" s="5">
        <v>20</v>
      </c>
      <c r="AD18" s="50">
        <f>(AB18*AC18)+(AB19*AC19)+(AB20*AC20)+(AB21*AC21)</f>
        <v>6563015.9999999972</v>
      </c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</row>
    <row r="19" spans="2:60">
      <c r="B19" s="48"/>
      <c r="C19" s="1" t="s">
        <v>6</v>
      </c>
      <c r="D19" s="2">
        <v>9115.2999999999993</v>
      </c>
      <c r="E19" s="2">
        <v>9115.2999999999993</v>
      </c>
      <c r="F19" s="2">
        <v>9115.2999999999993</v>
      </c>
      <c r="G19" s="2">
        <v>9115.2999999999993</v>
      </c>
      <c r="H19" s="2">
        <v>9115.2999999999993</v>
      </c>
      <c r="I19" s="2">
        <v>9115.2999999999993</v>
      </c>
      <c r="J19" s="2">
        <v>9115.2999999999993</v>
      </c>
      <c r="K19" s="2">
        <v>9115.2999999999993</v>
      </c>
      <c r="L19" s="2">
        <v>9115.2999999999993</v>
      </c>
      <c r="M19" s="2">
        <v>9115.2999999999993</v>
      </c>
      <c r="N19" s="2">
        <v>9115.2999999999993</v>
      </c>
      <c r="O19" s="2">
        <v>9115.2999999999993</v>
      </c>
      <c r="P19" s="2">
        <v>9115.2999999999993</v>
      </c>
      <c r="Q19" s="2">
        <v>9115.2999999999993</v>
      </c>
      <c r="R19" s="2">
        <v>9115.2999999999993</v>
      </c>
      <c r="S19" s="2">
        <v>9115.2999999999993</v>
      </c>
      <c r="T19" s="2">
        <v>9115.2999999999993</v>
      </c>
      <c r="U19" s="2">
        <v>9115.2999999999993</v>
      </c>
      <c r="V19" s="2">
        <v>9115.2999999999993</v>
      </c>
      <c r="W19" s="2">
        <v>9115.2999999999993</v>
      </c>
      <c r="X19" s="2">
        <v>9115.2999999999993</v>
      </c>
      <c r="Y19" s="2">
        <v>9115.2999999999993</v>
      </c>
      <c r="Z19" s="2">
        <v>9115.2999999999993</v>
      </c>
      <c r="AA19" s="12">
        <v>9115.2999999999993</v>
      </c>
      <c r="AB19" s="3">
        <f t="shared" si="0"/>
        <v>218767.19999999992</v>
      </c>
      <c r="AC19" s="3">
        <v>4</v>
      </c>
      <c r="AD19" s="51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</row>
    <row r="20" spans="2:60">
      <c r="B20" s="48"/>
      <c r="C20" s="1" t="s">
        <v>7</v>
      </c>
      <c r="D20" s="2">
        <v>9115.2999999999993</v>
      </c>
      <c r="E20" s="2">
        <v>9115.2999999999993</v>
      </c>
      <c r="F20" s="2">
        <v>9115.2999999999993</v>
      </c>
      <c r="G20" s="2">
        <v>9115.2999999999993</v>
      </c>
      <c r="H20" s="2">
        <v>9115.2999999999993</v>
      </c>
      <c r="I20" s="2">
        <v>9115.2999999999993</v>
      </c>
      <c r="J20" s="2">
        <v>9115.2999999999993</v>
      </c>
      <c r="K20" s="2">
        <v>9115.2999999999993</v>
      </c>
      <c r="L20" s="2">
        <v>9115.2999999999993</v>
      </c>
      <c r="M20" s="2">
        <v>9115.2999999999993</v>
      </c>
      <c r="N20" s="2">
        <v>9115.2999999999993</v>
      </c>
      <c r="O20" s="2">
        <v>9115.2999999999993</v>
      </c>
      <c r="P20" s="2">
        <v>9115.2999999999993</v>
      </c>
      <c r="Q20" s="2">
        <v>9115.2999999999993</v>
      </c>
      <c r="R20" s="2">
        <v>9115.2999999999993</v>
      </c>
      <c r="S20" s="2">
        <v>9115.2999999999993</v>
      </c>
      <c r="T20" s="2">
        <v>9115.2999999999993</v>
      </c>
      <c r="U20" s="2">
        <v>9115.2999999999993</v>
      </c>
      <c r="V20" s="2">
        <v>9115.2999999999993</v>
      </c>
      <c r="W20" s="2">
        <v>9115.2999999999993</v>
      </c>
      <c r="X20" s="2">
        <v>9115.2999999999993</v>
      </c>
      <c r="Y20" s="2">
        <v>9115.2999999999993</v>
      </c>
      <c r="Z20" s="2">
        <v>9115.2999999999993</v>
      </c>
      <c r="AA20" s="12">
        <v>9115.2999999999993</v>
      </c>
      <c r="AB20" s="3">
        <f t="shared" si="0"/>
        <v>218767.19999999992</v>
      </c>
      <c r="AC20" s="3">
        <v>4</v>
      </c>
      <c r="AD20" s="51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</row>
    <row r="21" spans="2:60" ht="15" thickBot="1">
      <c r="B21" s="49"/>
      <c r="C21" s="9" t="s">
        <v>8</v>
      </c>
      <c r="D21" s="10">
        <v>9115.2999999999993</v>
      </c>
      <c r="E21" s="10">
        <v>9115.2999999999993</v>
      </c>
      <c r="F21" s="10">
        <v>9115.2999999999993</v>
      </c>
      <c r="G21" s="10">
        <v>9115.2999999999993</v>
      </c>
      <c r="H21" s="10">
        <v>9115.2999999999993</v>
      </c>
      <c r="I21" s="10">
        <v>9115.2999999999993</v>
      </c>
      <c r="J21" s="10">
        <v>9115.2999999999993</v>
      </c>
      <c r="K21" s="10">
        <v>9115.2999999999993</v>
      </c>
      <c r="L21" s="10">
        <v>9115.2999999999993</v>
      </c>
      <c r="M21" s="10">
        <v>9115.2999999999993</v>
      </c>
      <c r="N21" s="10">
        <v>9115.2999999999993</v>
      </c>
      <c r="O21" s="10">
        <v>9115.2999999999993</v>
      </c>
      <c r="P21" s="10">
        <v>9115.2999999999993</v>
      </c>
      <c r="Q21" s="10">
        <v>9115.2999999999993</v>
      </c>
      <c r="R21" s="10">
        <v>9115.2999999999993</v>
      </c>
      <c r="S21" s="10">
        <v>9115.2999999999993</v>
      </c>
      <c r="T21" s="10">
        <v>9115.2999999999993</v>
      </c>
      <c r="U21" s="10">
        <v>9115.2999999999993</v>
      </c>
      <c r="V21" s="10">
        <v>9115.2999999999993</v>
      </c>
      <c r="W21" s="10">
        <v>9115.2999999999993</v>
      </c>
      <c r="X21" s="10">
        <v>9115.2999999999993</v>
      </c>
      <c r="Y21" s="10">
        <v>9115.2999999999993</v>
      </c>
      <c r="Z21" s="10">
        <v>9115.2999999999993</v>
      </c>
      <c r="AA21" s="13">
        <v>9115.2999999999993</v>
      </c>
      <c r="AB21" s="6">
        <f t="shared" si="0"/>
        <v>218767.19999999992</v>
      </c>
      <c r="AC21" s="6">
        <v>2</v>
      </c>
      <c r="AD21" s="52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</row>
    <row r="22" spans="2:60">
      <c r="B22" s="47">
        <v>47604</v>
      </c>
      <c r="C22" s="8" t="s">
        <v>5</v>
      </c>
      <c r="D22" s="7">
        <v>9115.2999999999993</v>
      </c>
      <c r="E22" s="7">
        <v>9115.2999999999993</v>
      </c>
      <c r="F22" s="7">
        <v>9115.2999999999993</v>
      </c>
      <c r="G22" s="7">
        <v>9115.2999999999993</v>
      </c>
      <c r="H22" s="7">
        <v>9115.2999999999993</v>
      </c>
      <c r="I22" s="7">
        <v>9115.2999999999993</v>
      </c>
      <c r="J22" s="7">
        <v>9115.2999999999993</v>
      </c>
      <c r="K22" s="7">
        <v>9115.2999999999993</v>
      </c>
      <c r="L22" s="7">
        <v>9115.2999999999993</v>
      </c>
      <c r="M22" s="7">
        <v>9115.2999999999993</v>
      </c>
      <c r="N22" s="7">
        <v>9115.2999999999993</v>
      </c>
      <c r="O22" s="7">
        <v>9115.2999999999993</v>
      </c>
      <c r="P22" s="7">
        <v>9115.2999999999993</v>
      </c>
      <c r="Q22" s="7">
        <v>9115.2999999999993</v>
      </c>
      <c r="R22" s="7">
        <v>9115.2999999999993</v>
      </c>
      <c r="S22" s="7">
        <v>9115.2999999999993</v>
      </c>
      <c r="T22" s="7">
        <v>9115.2999999999993</v>
      </c>
      <c r="U22" s="7">
        <v>9115.2999999999993</v>
      </c>
      <c r="V22" s="7">
        <v>9115.2999999999993</v>
      </c>
      <c r="W22" s="7">
        <v>9115.2999999999993</v>
      </c>
      <c r="X22" s="7">
        <v>9115.2999999999993</v>
      </c>
      <c r="Y22" s="7">
        <v>9115.2999999999993</v>
      </c>
      <c r="Z22" s="7">
        <v>9115.2999999999993</v>
      </c>
      <c r="AA22" s="11">
        <v>9115.2999999999993</v>
      </c>
      <c r="AB22" s="5">
        <f t="shared" si="0"/>
        <v>218767.19999999992</v>
      </c>
      <c r="AC22" s="5">
        <v>22</v>
      </c>
      <c r="AD22" s="50">
        <f>(AB22*AC22)+(AB23*AC23)+(AB24*AC24)+(AB25*AC25)</f>
        <v>6781783.1999999983</v>
      </c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</row>
    <row r="23" spans="2:60">
      <c r="B23" s="48"/>
      <c r="C23" s="1" t="s">
        <v>6</v>
      </c>
      <c r="D23" s="2">
        <v>9115.2999999999993</v>
      </c>
      <c r="E23" s="2">
        <v>9115.2999999999993</v>
      </c>
      <c r="F23" s="2">
        <v>9115.2999999999993</v>
      </c>
      <c r="G23" s="2">
        <v>9115.2999999999993</v>
      </c>
      <c r="H23" s="2">
        <v>9115.2999999999993</v>
      </c>
      <c r="I23" s="2">
        <v>9115.2999999999993</v>
      </c>
      <c r="J23" s="2">
        <v>9115.2999999999993</v>
      </c>
      <c r="K23" s="2">
        <v>9115.2999999999993</v>
      </c>
      <c r="L23" s="2">
        <v>9115.2999999999993</v>
      </c>
      <c r="M23" s="2">
        <v>9115.2999999999993</v>
      </c>
      <c r="N23" s="2">
        <v>9115.2999999999993</v>
      </c>
      <c r="O23" s="2">
        <v>9115.2999999999993</v>
      </c>
      <c r="P23" s="2">
        <v>9115.2999999999993</v>
      </c>
      <c r="Q23" s="2">
        <v>9115.2999999999993</v>
      </c>
      <c r="R23" s="2">
        <v>9115.2999999999993</v>
      </c>
      <c r="S23" s="2">
        <v>9115.2999999999993</v>
      </c>
      <c r="T23" s="2">
        <v>9115.2999999999993</v>
      </c>
      <c r="U23" s="2">
        <v>9115.2999999999993</v>
      </c>
      <c r="V23" s="2">
        <v>9115.2999999999993</v>
      </c>
      <c r="W23" s="2">
        <v>9115.2999999999993</v>
      </c>
      <c r="X23" s="2">
        <v>9115.2999999999993</v>
      </c>
      <c r="Y23" s="2">
        <v>9115.2999999999993</v>
      </c>
      <c r="Z23" s="2">
        <v>9115.2999999999993</v>
      </c>
      <c r="AA23" s="12">
        <v>9115.2999999999993</v>
      </c>
      <c r="AB23" s="3">
        <f t="shared" si="0"/>
        <v>218767.19999999992</v>
      </c>
      <c r="AC23" s="3">
        <v>4</v>
      </c>
      <c r="AD23" s="51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</row>
    <row r="24" spans="2:60">
      <c r="B24" s="48"/>
      <c r="C24" s="1" t="s">
        <v>7</v>
      </c>
      <c r="D24" s="2">
        <v>9115.2999999999993</v>
      </c>
      <c r="E24" s="2">
        <v>9115.2999999999993</v>
      </c>
      <c r="F24" s="2">
        <v>9115.2999999999993</v>
      </c>
      <c r="G24" s="2">
        <v>9115.2999999999993</v>
      </c>
      <c r="H24" s="2">
        <v>9115.2999999999993</v>
      </c>
      <c r="I24" s="2">
        <v>9115.2999999999993</v>
      </c>
      <c r="J24" s="2">
        <v>9115.2999999999993</v>
      </c>
      <c r="K24" s="2">
        <v>9115.2999999999993</v>
      </c>
      <c r="L24" s="2">
        <v>9115.2999999999993</v>
      </c>
      <c r="M24" s="2">
        <v>9115.2999999999993</v>
      </c>
      <c r="N24" s="2">
        <v>9115.2999999999993</v>
      </c>
      <c r="O24" s="2">
        <v>9115.2999999999993</v>
      </c>
      <c r="P24" s="2">
        <v>9115.2999999999993</v>
      </c>
      <c r="Q24" s="2">
        <v>9115.2999999999993</v>
      </c>
      <c r="R24" s="2">
        <v>9115.2999999999993</v>
      </c>
      <c r="S24" s="2">
        <v>9115.2999999999993</v>
      </c>
      <c r="T24" s="2">
        <v>9115.2999999999993</v>
      </c>
      <c r="U24" s="2">
        <v>9115.2999999999993</v>
      </c>
      <c r="V24" s="2">
        <v>9115.2999999999993</v>
      </c>
      <c r="W24" s="2">
        <v>9115.2999999999993</v>
      </c>
      <c r="X24" s="2">
        <v>9115.2999999999993</v>
      </c>
      <c r="Y24" s="2">
        <v>9115.2999999999993</v>
      </c>
      <c r="Z24" s="2">
        <v>9115.2999999999993</v>
      </c>
      <c r="AA24" s="12">
        <v>9115.2999999999993</v>
      </c>
      <c r="AB24" s="3">
        <f t="shared" si="0"/>
        <v>218767.19999999992</v>
      </c>
      <c r="AC24" s="3">
        <v>4</v>
      </c>
      <c r="AD24" s="51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</row>
    <row r="25" spans="2:60" ht="15" thickBot="1">
      <c r="B25" s="49"/>
      <c r="C25" s="9" t="s">
        <v>8</v>
      </c>
      <c r="D25" s="10">
        <v>9115.2999999999993</v>
      </c>
      <c r="E25" s="10">
        <v>9115.2999999999993</v>
      </c>
      <c r="F25" s="10">
        <v>9115.2999999999993</v>
      </c>
      <c r="G25" s="10">
        <v>9115.2999999999993</v>
      </c>
      <c r="H25" s="10">
        <v>9115.2999999999993</v>
      </c>
      <c r="I25" s="10">
        <v>9115.2999999999993</v>
      </c>
      <c r="J25" s="10">
        <v>9115.2999999999993</v>
      </c>
      <c r="K25" s="10">
        <v>9115.2999999999993</v>
      </c>
      <c r="L25" s="10">
        <v>9115.2999999999993</v>
      </c>
      <c r="M25" s="10">
        <v>9115.2999999999993</v>
      </c>
      <c r="N25" s="10">
        <v>9115.2999999999993</v>
      </c>
      <c r="O25" s="10">
        <v>9115.2999999999993</v>
      </c>
      <c r="P25" s="10">
        <v>9115.2999999999993</v>
      </c>
      <c r="Q25" s="10">
        <v>9115.2999999999993</v>
      </c>
      <c r="R25" s="10">
        <v>9115.2999999999993</v>
      </c>
      <c r="S25" s="10">
        <v>9115.2999999999993</v>
      </c>
      <c r="T25" s="10">
        <v>9115.2999999999993</v>
      </c>
      <c r="U25" s="10">
        <v>9115.2999999999993</v>
      </c>
      <c r="V25" s="10">
        <v>9115.2999999999993</v>
      </c>
      <c r="W25" s="10">
        <v>9115.2999999999993</v>
      </c>
      <c r="X25" s="10">
        <v>9115.2999999999993</v>
      </c>
      <c r="Y25" s="10">
        <v>9115.2999999999993</v>
      </c>
      <c r="Z25" s="10">
        <v>9115.2999999999993</v>
      </c>
      <c r="AA25" s="13">
        <v>9115.2999999999993</v>
      </c>
      <c r="AB25" s="6">
        <f t="shared" si="0"/>
        <v>218767.19999999992</v>
      </c>
      <c r="AC25" s="6">
        <v>1</v>
      </c>
      <c r="AD25" s="52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</row>
    <row r="26" spans="2:60">
      <c r="B26" s="47">
        <v>47635</v>
      </c>
      <c r="C26" s="8" t="s">
        <v>5</v>
      </c>
      <c r="D26" s="7">
        <v>9115.2999999999993</v>
      </c>
      <c r="E26" s="7">
        <v>9115.2999999999993</v>
      </c>
      <c r="F26" s="7">
        <v>9115.2999999999993</v>
      </c>
      <c r="G26" s="7">
        <v>9115.2999999999993</v>
      </c>
      <c r="H26" s="7">
        <v>9115.2999999999993</v>
      </c>
      <c r="I26" s="7">
        <v>9115.2999999999993</v>
      </c>
      <c r="J26" s="7">
        <v>9115.2999999999993</v>
      </c>
      <c r="K26" s="7">
        <v>9115.2999999999993</v>
      </c>
      <c r="L26" s="7">
        <v>9115.2999999999993</v>
      </c>
      <c r="M26" s="7">
        <v>9115.2999999999993</v>
      </c>
      <c r="N26" s="7">
        <v>9115.2999999999993</v>
      </c>
      <c r="O26" s="7">
        <v>9115.2999999999993</v>
      </c>
      <c r="P26" s="7">
        <v>9115.2999999999993</v>
      </c>
      <c r="Q26" s="7">
        <v>9115.2999999999993</v>
      </c>
      <c r="R26" s="7">
        <v>9115.2999999999993</v>
      </c>
      <c r="S26" s="7">
        <v>9115.2999999999993</v>
      </c>
      <c r="T26" s="7">
        <v>9115.2999999999993</v>
      </c>
      <c r="U26" s="7">
        <v>9115.2999999999993</v>
      </c>
      <c r="V26" s="7">
        <v>9115.2999999999993</v>
      </c>
      <c r="W26" s="7">
        <v>9115.2999999999993</v>
      </c>
      <c r="X26" s="7">
        <v>9115.2999999999993</v>
      </c>
      <c r="Y26" s="7">
        <v>9115.2999999999993</v>
      </c>
      <c r="Z26" s="7">
        <v>9115.2999999999993</v>
      </c>
      <c r="AA26" s="11">
        <v>9115.2999999999993</v>
      </c>
      <c r="AB26" s="5">
        <f t="shared" si="0"/>
        <v>218767.19999999992</v>
      </c>
      <c r="AC26" s="5">
        <v>18</v>
      </c>
      <c r="AD26" s="50">
        <f>(AB26*AC26)+(AB27*AC27)+(AB28*AC28)+(AB29*AC29)</f>
        <v>6563015.9999999972</v>
      </c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</row>
    <row r="27" spans="2:60">
      <c r="B27" s="48"/>
      <c r="C27" s="1" t="s">
        <v>6</v>
      </c>
      <c r="D27" s="2">
        <v>9115.2999999999993</v>
      </c>
      <c r="E27" s="2">
        <v>9115.2999999999993</v>
      </c>
      <c r="F27" s="2">
        <v>9115.2999999999993</v>
      </c>
      <c r="G27" s="2">
        <v>9115.2999999999993</v>
      </c>
      <c r="H27" s="2">
        <v>9115.2999999999993</v>
      </c>
      <c r="I27" s="2">
        <v>9115.2999999999993</v>
      </c>
      <c r="J27" s="2">
        <v>9115.2999999999993</v>
      </c>
      <c r="K27" s="2">
        <v>9115.2999999999993</v>
      </c>
      <c r="L27" s="2">
        <v>9115.2999999999993</v>
      </c>
      <c r="M27" s="2">
        <v>9115.2999999999993</v>
      </c>
      <c r="N27" s="2">
        <v>9115.2999999999993</v>
      </c>
      <c r="O27" s="2">
        <v>9115.2999999999993</v>
      </c>
      <c r="P27" s="2">
        <v>9115.2999999999993</v>
      </c>
      <c r="Q27" s="2">
        <v>9115.2999999999993</v>
      </c>
      <c r="R27" s="2">
        <v>9115.2999999999993</v>
      </c>
      <c r="S27" s="2">
        <v>9115.2999999999993</v>
      </c>
      <c r="T27" s="2">
        <v>9115.2999999999993</v>
      </c>
      <c r="U27" s="2">
        <v>9115.2999999999993</v>
      </c>
      <c r="V27" s="2">
        <v>9115.2999999999993</v>
      </c>
      <c r="W27" s="2">
        <v>9115.2999999999993</v>
      </c>
      <c r="X27" s="2">
        <v>9115.2999999999993</v>
      </c>
      <c r="Y27" s="2">
        <v>9115.2999999999993</v>
      </c>
      <c r="Z27" s="2">
        <v>9115.2999999999993</v>
      </c>
      <c r="AA27" s="12">
        <v>9115.2999999999993</v>
      </c>
      <c r="AB27" s="3">
        <f t="shared" si="0"/>
        <v>218767.19999999992</v>
      </c>
      <c r="AC27" s="3">
        <v>5</v>
      </c>
      <c r="AD27" s="51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</row>
    <row r="28" spans="2:60">
      <c r="B28" s="48"/>
      <c r="C28" s="1" t="s">
        <v>7</v>
      </c>
      <c r="D28" s="2">
        <v>9115.2999999999993</v>
      </c>
      <c r="E28" s="2">
        <v>9115.2999999999993</v>
      </c>
      <c r="F28" s="2">
        <v>9115.2999999999993</v>
      </c>
      <c r="G28" s="2">
        <v>9115.2999999999993</v>
      </c>
      <c r="H28" s="2">
        <v>9115.2999999999993</v>
      </c>
      <c r="I28" s="2">
        <v>9115.2999999999993</v>
      </c>
      <c r="J28" s="2">
        <v>9115.2999999999993</v>
      </c>
      <c r="K28" s="2">
        <v>9115.2999999999993</v>
      </c>
      <c r="L28" s="2">
        <v>9115.2999999999993</v>
      </c>
      <c r="M28" s="2">
        <v>9115.2999999999993</v>
      </c>
      <c r="N28" s="2">
        <v>9115.2999999999993</v>
      </c>
      <c r="O28" s="2">
        <v>9115.2999999999993</v>
      </c>
      <c r="P28" s="2">
        <v>9115.2999999999993</v>
      </c>
      <c r="Q28" s="2">
        <v>9115.2999999999993</v>
      </c>
      <c r="R28" s="2">
        <v>9115.2999999999993</v>
      </c>
      <c r="S28" s="2">
        <v>9115.2999999999993</v>
      </c>
      <c r="T28" s="2">
        <v>9115.2999999999993</v>
      </c>
      <c r="U28" s="2">
        <v>9115.2999999999993</v>
      </c>
      <c r="V28" s="2">
        <v>9115.2999999999993</v>
      </c>
      <c r="W28" s="2">
        <v>9115.2999999999993</v>
      </c>
      <c r="X28" s="2">
        <v>9115.2999999999993</v>
      </c>
      <c r="Y28" s="2">
        <v>9115.2999999999993</v>
      </c>
      <c r="Z28" s="2">
        <v>9115.2999999999993</v>
      </c>
      <c r="AA28" s="12">
        <v>9115.2999999999993</v>
      </c>
      <c r="AB28" s="3">
        <f t="shared" si="0"/>
        <v>218767.19999999992</v>
      </c>
      <c r="AC28" s="3">
        <v>5</v>
      </c>
      <c r="AD28" s="51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</row>
    <row r="29" spans="2:60" ht="15" thickBot="1">
      <c r="B29" s="49"/>
      <c r="C29" s="9" t="s">
        <v>8</v>
      </c>
      <c r="D29" s="10">
        <v>9115.2999999999993</v>
      </c>
      <c r="E29" s="10">
        <v>9115.2999999999993</v>
      </c>
      <c r="F29" s="10">
        <v>9115.2999999999993</v>
      </c>
      <c r="G29" s="10">
        <v>9115.2999999999993</v>
      </c>
      <c r="H29" s="10">
        <v>9115.2999999999993</v>
      </c>
      <c r="I29" s="10">
        <v>9115.2999999999993</v>
      </c>
      <c r="J29" s="10">
        <v>9115.2999999999993</v>
      </c>
      <c r="K29" s="10">
        <v>9115.2999999999993</v>
      </c>
      <c r="L29" s="10">
        <v>9115.2999999999993</v>
      </c>
      <c r="M29" s="10">
        <v>9115.2999999999993</v>
      </c>
      <c r="N29" s="10">
        <v>9115.2999999999993</v>
      </c>
      <c r="O29" s="10">
        <v>9115.2999999999993</v>
      </c>
      <c r="P29" s="10">
        <v>9115.2999999999993</v>
      </c>
      <c r="Q29" s="10">
        <v>9115.2999999999993</v>
      </c>
      <c r="R29" s="10">
        <v>9115.2999999999993</v>
      </c>
      <c r="S29" s="10">
        <v>9115.2999999999993</v>
      </c>
      <c r="T29" s="10">
        <v>9115.2999999999993</v>
      </c>
      <c r="U29" s="10">
        <v>9115.2999999999993</v>
      </c>
      <c r="V29" s="10">
        <v>9115.2999999999993</v>
      </c>
      <c r="W29" s="10">
        <v>9115.2999999999993</v>
      </c>
      <c r="X29" s="10">
        <v>9115.2999999999993</v>
      </c>
      <c r="Y29" s="10">
        <v>9115.2999999999993</v>
      </c>
      <c r="Z29" s="10">
        <v>9115.2999999999993</v>
      </c>
      <c r="AA29" s="13">
        <v>9115.2999999999993</v>
      </c>
      <c r="AB29" s="6">
        <f t="shared" si="0"/>
        <v>218767.19999999992</v>
      </c>
      <c r="AC29" s="6">
        <v>2</v>
      </c>
      <c r="AD29" s="52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</row>
    <row r="30" spans="2:60">
      <c r="B30" s="47">
        <v>47665</v>
      </c>
      <c r="C30" s="8" t="s">
        <v>5</v>
      </c>
      <c r="D30" s="7">
        <v>9115.2999999999993</v>
      </c>
      <c r="E30" s="7">
        <v>9115.2999999999993</v>
      </c>
      <c r="F30" s="7">
        <v>9115.2999999999993</v>
      </c>
      <c r="G30" s="7">
        <v>9115.2999999999993</v>
      </c>
      <c r="H30" s="7">
        <v>9115.2999999999993</v>
      </c>
      <c r="I30" s="7">
        <v>9115.2999999999993</v>
      </c>
      <c r="J30" s="7">
        <v>9115.2999999999993</v>
      </c>
      <c r="K30" s="7">
        <v>9115.2999999999993</v>
      </c>
      <c r="L30" s="7">
        <v>9115.2999999999993</v>
      </c>
      <c r="M30" s="7">
        <v>9115.2999999999993</v>
      </c>
      <c r="N30" s="7">
        <v>9115.2999999999993</v>
      </c>
      <c r="O30" s="7">
        <v>9115.2999999999993</v>
      </c>
      <c r="P30" s="7">
        <v>9115.2999999999993</v>
      </c>
      <c r="Q30" s="7">
        <v>9115.2999999999993</v>
      </c>
      <c r="R30" s="7">
        <v>9115.2999999999993</v>
      </c>
      <c r="S30" s="7">
        <v>9115.2999999999993</v>
      </c>
      <c r="T30" s="7">
        <v>9115.2999999999993</v>
      </c>
      <c r="U30" s="7">
        <v>9115.2999999999993</v>
      </c>
      <c r="V30" s="7">
        <v>9115.2999999999993</v>
      </c>
      <c r="W30" s="7">
        <v>9115.2999999999993</v>
      </c>
      <c r="X30" s="7">
        <v>9115.2999999999993</v>
      </c>
      <c r="Y30" s="7">
        <v>9115.2999999999993</v>
      </c>
      <c r="Z30" s="7">
        <v>9115.2999999999993</v>
      </c>
      <c r="AA30" s="11">
        <v>9115.2999999999993</v>
      </c>
      <c r="AB30" s="5">
        <f t="shared" si="0"/>
        <v>218767.19999999992</v>
      </c>
      <c r="AC30" s="5">
        <v>22</v>
      </c>
      <c r="AD30" s="50">
        <f>(AB30*AC30)+(AB31*AC31)+(AB32*AC32)+(AB33*AC33)</f>
        <v>6781783.1999999974</v>
      </c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</row>
    <row r="31" spans="2:60">
      <c r="B31" s="48"/>
      <c r="C31" s="1" t="s">
        <v>6</v>
      </c>
      <c r="D31" s="2">
        <v>9115.2999999999993</v>
      </c>
      <c r="E31" s="2">
        <v>9115.2999999999993</v>
      </c>
      <c r="F31" s="2">
        <v>9115.2999999999993</v>
      </c>
      <c r="G31" s="2">
        <v>9115.2999999999993</v>
      </c>
      <c r="H31" s="2">
        <v>9115.2999999999993</v>
      </c>
      <c r="I31" s="2">
        <v>9115.2999999999993</v>
      </c>
      <c r="J31" s="2">
        <v>9115.2999999999993</v>
      </c>
      <c r="K31" s="2">
        <v>9115.2999999999993</v>
      </c>
      <c r="L31" s="2">
        <v>9115.2999999999993</v>
      </c>
      <c r="M31" s="2">
        <v>9115.2999999999993</v>
      </c>
      <c r="N31" s="2">
        <v>9115.2999999999993</v>
      </c>
      <c r="O31" s="2">
        <v>9115.2999999999993</v>
      </c>
      <c r="P31" s="2">
        <v>9115.2999999999993</v>
      </c>
      <c r="Q31" s="2">
        <v>9115.2999999999993</v>
      </c>
      <c r="R31" s="2">
        <v>9115.2999999999993</v>
      </c>
      <c r="S31" s="2">
        <v>9115.2999999999993</v>
      </c>
      <c r="T31" s="2">
        <v>9115.2999999999993</v>
      </c>
      <c r="U31" s="2">
        <v>9115.2999999999993</v>
      </c>
      <c r="V31" s="2">
        <v>9115.2999999999993</v>
      </c>
      <c r="W31" s="2">
        <v>9115.2999999999993</v>
      </c>
      <c r="X31" s="2">
        <v>9115.2999999999993</v>
      </c>
      <c r="Y31" s="2">
        <v>9115.2999999999993</v>
      </c>
      <c r="Z31" s="2">
        <v>9115.2999999999993</v>
      </c>
      <c r="AA31" s="12">
        <v>9115.2999999999993</v>
      </c>
      <c r="AB31" s="3">
        <f t="shared" si="0"/>
        <v>218767.19999999992</v>
      </c>
      <c r="AC31" s="3">
        <v>3</v>
      </c>
      <c r="AD31" s="51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</row>
    <row r="32" spans="2:60">
      <c r="B32" s="48"/>
      <c r="C32" s="1" t="s">
        <v>4</v>
      </c>
      <c r="D32" s="2">
        <v>9115.2999999999993</v>
      </c>
      <c r="E32" s="2">
        <v>9115.2999999999993</v>
      </c>
      <c r="F32" s="2">
        <v>9115.2999999999993</v>
      </c>
      <c r="G32" s="2">
        <v>9115.2999999999993</v>
      </c>
      <c r="H32" s="2">
        <v>9115.2999999999993</v>
      </c>
      <c r="I32" s="2">
        <v>9115.2999999999993</v>
      </c>
      <c r="J32" s="2">
        <v>9115.2999999999993</v>
      </c>
      <c r="K32" s="2">
        <v>9115.2999999999993</v>
      </c>
      <c r="L32" s="2">
        <v>9115.2999999999993</v>
      </c>
      <c r="M32" s="2">
        <v>9115.2999999999993</v>
      </c>
      <c r="N32" s="2">
        <v>9115.2999999999993</v>
      </c>
      <c r="O32" s="2">
        <v>9115.2999999999993</v>
      </c>
      <c r="P32" s="2">
        <v>9115.2999999999993</v>
      </c>
      <c r="Q32" s="2">
        <v>9115.2999999999993</v>
      </c>
      <c r="R32" s="2">
        <v>9115.2999999999993</v>
      </c>
      <c r="S32" s="2">
        <v>9115.2999999999993</v>
      </c>
      <c r="T32" s="2">
        <v>9115.2999999999993</v>
      </c>
      <c r="U32" s="2">
        <v>9115.2999999999993</v>
      </c>
      <c r="V32" s="2">
        <v>9115.2999999999993</v>
      </c>
      <c r="W32" s="2">
        <v>9115.2999999999993</v>
      </c>
      <c r="X32" s="2">
        <v>9115.2999999999993</v>
      </c>
      <c r="Y32" s="2">
        <v>9115.2999999999993</v>
      </c>
      <c r="Z32" s="2">
        <v>9115.2999999999993</v>
      </c>
      <c r="AA32" s="12">
        <v>9115.2999999999993</v>
      </c>
      <c r="AB32" s="3">
        <f t="shared" si="0"/>
        <v>218767.19999999992</v>
      </c>
      <c r="AC32" s="3">
        <v>4</v>
      </c>
      <c r="AD32" s="51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</row>
    <row r="33" spans="2:60" ht="15" thickBot="1">
      <c r="B33" s="49"/>
      <c r="C33" s="9" t="s">
        <v>8</v>
      </c>
      <c r="D33" s="10">
        <v>9115.2999999999993</v>
      </c>
      <c r="E33" s="10">
        <v>9115.2999999999993</v>
      </c>
      <c r="F33" s="10">
        <v>9115.2999999999993</v>
      </c>
      <c r="G33" s="10">
        <v>9115.2999999999993</v>
      </c>
      <c r="H33" s="10">
        <v>9115.2999999999993</v>
      </c>
      <c r="I33" s="10">
        <v>9115.2999999999993</v>
      </c>
      <c r="J33" s="10">
        <v>9115.2999999999993</v>
      </c>
      <c r="K33" s="10">
        <v>9115.2999999999993</v>
      </c>
      <c r="L33" s="10">
        <v>9115.2999999999993</v>
      </c>
      <c r="M33" s="10">
        <v>9115.2999999999993</v>
      </c>
      <c r="N33" s="10">
        <v>9115.2999999999993</v>
      </c>
      <c r="O33" s="10">
        <v>9115.2999999999993</v>
      </c>
      <c r="P33" s="10">
        <v>9115.2999999999993</v>
      </c>
      <c r="Q33" s="10">
        <v>9115.2999999999993</v>
      </c>
      <c r="R33" s="10">
        <v>9115.2999999999993</v>
      </c>
      <c r="S33" s="10">
        <v>9115.2999999999993</v>
      </c>
      <c r="T33" s="10">
        <v>9115.2999999999993</v>
      </c>
      <c r="U33" s="10">
        <v>9115.2999999999993</v>
      </c>
      <c r="V33" s="10">
        <v>9115.2999999999993</v>
      </c>
      <c r="W33" s="10">
        <v>9115.2999999999993</v>
      </c>
      <c r="X33" s="10">
        <v>9115.2999999999993</v>
      </c>
      <c r="Y33" s="10">
        <v>9115.2999999999993</v>
      </c>
      <c r="Z33" s="10">
        <v>9115.2999999999993</v>
      </c>
      <c r="AA33" s="13">
        <v>9115.2999999999993</v>
      </c>
      <c r="AB33" s="6">
        <f t="shared" si="0"/>
        <v>218767.19999999992</v>
      </c>
      <c r="AC33" s="6">
        <v>2</v>
      </c>
      <c r="AD33" s="52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</row>
    <row r="34" spans="2:60">
      <c r="B34" s="47">
        <v>47696</v>
      </c>
      <c r="C34" s="8" t="s">
        <v>5</v>
      </c>
      <c r="D34" s="7">
        <v>9115.2999999999993</v>
      </c>
      <c r="E34" s="7">
        <v>9115.2999999999993</v>
      </c>
      <c r="F34" s="7">
        <v>9115.2999999999993</v>
      </c>
      <c r="G34" s="7">
        <v>9115.2999999999993</v>
      </c>
      <c r="H34" s="7">
        <v>9115.2999999999993</v>
      </c>
      <c r="I34" s="7">
        <v>9115.2999999999993</v>
      </c>
      <c r="J34" s="7">
        <v>9115.2999999999993</v>
      </c>
      <c r="K34" s="7">
        <v>9115.2999999999993</v>
      </c>
      <c r="L34" s="7">
        <v>9115.2999999999993</v>
      </c>
      <c r="M34" s="7">
        <v>9115.2999999999993</v>
      </c>
      <c r="N34" s="7">
        <v>9115.2999999999993</v>
      </c>
      <c r="O34" s="7">
        <v>9115.2999999999993</v>
      </c>
      <c r="P34" s="7">
        <v>9115.2999999999993</v>
      </c>
      <c r="Q34" s="7">
        <v>9115.2999999999993</v>
      </c>
      <c r="R34" s="7">
        <v>9115.2999999999993</v>
      </c>
      <c r="S34" s="7">
        <v>9115.2999999999993</v>
      </c>
      <c r="T34" s="7">
        <v>9115.2999999999993</v>
      </c>
      <c r="U34" s="7">
        <v>9115.2999999999993</v>
      </c>
      <c r="V34" s="7">
        <v>9115.2999999999993</v>
      </c>
      <c r="W34" s="7">
        <v>9115.2999999999993</v>
      </c>
      <c r="X34" s="7">
        <v>9115.2999999999993</v>
      </c>
      <c r="Y34" s="7">
        <v>9115.2999999999993</v>
      </c>
      <c r="Z34" s="7">
        <v>9115.2999999999993</v>
      </c>
      <c r="AA34" s="11">
        <v>9115.2999999999993</v>
      </c>
      <c r="AB34" s="5">
        <f t="shared" si="0"/>
        <v>218767.19999999992</v>
      </c>
      <c r="AC34" s="5">
        <v>20</v>
      </c>
      <c r="AD34" s="50">
        <f>(AB34*AC34)+(AB35*AC35)+(AB36*AC36)+(AB37*AC37)</f>
        <v>6781783.1999999974</v>
      </c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</row>
    <row r="35" spans="2:60">
      <c r="B35" s="48"/>
      <c r="C35" s="1" t="s">
        <v>6</v>
      </c>
      <c r="D35" s="2">
        <v>9115.2999999999993</v>
      </c>
      <c r="E35" s="2">
        <v>9115.2999999999993</v>
      </c>
      <c r="F35" s="2">
        <v>9115.2999999999993</v>
      </c>
      <c r="G35" s="2">
        <v>9115.2999999999993</v>
      </c>
      <c r="H35" s="2">
        <v>9115.2999999999993</v>
      </c>
      <c r="I35" s="2">
        <v>9115.2999999999993</v>
      </c>
      <c r="J35" s="2">
        <v>9115.2999999999993</v>
      </c>
      <c r="K35" s="2">
        <v>9115.2999999999993</v>
      </c>
      <c r="L35" s="2">
        <v>9115.2999999999993</v>
      </c>
      <c r="M35" s="2">
        <v>9115.2999999999993</v>
      </c>
      <c r="N35" s="2">
        <v>9115.2999999999993</v>
      </c>
      <c r="O35" s="2">
        <v>9115.2999999999993</v>
      </c>
      <c r="P35" s="2">
        <v>9115.2999999999993</v>
      </c>
      <c r="Q35" s="2">
        <v>9115.2999999999993</v>
      </c>
      <c r="R35" s="2">
        <v>9115.2999999999993</v>
      </c>
      <c r="S35" s="2">
        <v>9115.2999999999993</v>
      </c>
      <c r="T35" s="2">
        <v>9115.2999999999993</v>
      </c>
      <c r="U35" s="2">
        <v>9115.2999999999993</v>
      </c>
      <c r="V35" s="2">
        <v>9115.2999999999993</v>
      </c>
      <c r="W35" s="2">
        <v>9115.2999999999993</v>
      </c>
      <c r="X35" s="2">
        <v>9115.2999999999993</v>
      </c>
      <c r="Y35" s="2">
        <v>9115.2999999999993</v>
      </c>
      <c r="Z35" s="2">
        <v>9115.2999999999993</v>
      </c>
      <c r="AA35" s="12">
        <v>9115.2999999999993</v>
      </c>
      <c r="AB35" s="3">
        <f t="shared" si="0"/>
        <v>218767.19999999992</v>
      </c>
      <c r="AC35" s="3">
        <v>5</v>
      </c>
      <c r="AD35" s="51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</row>
    <row r="36" spans="2:60">
      <c r="B36" s="48"/>
      <c r="C36" s="1" t="s">
        <v>7</v>
      </c>
      <c r="D36" s="2">
        <v>9115.2999999999993</v>
      </c>
      <c r="E36" s="2">
        <v>9115.2999999999993</v>
      </c>
      <c r="F36" s="2">
        <v>9115.2999999999993</v>
      </c>
      <c r="G36" s="2">
        <v>9115.2999999999993</v>
      </c>
      <c r="H36" s="2">
        <v>9115.2999999999993</v>
      </c>
      <c r="I36" s="2">
        <v>9115.2999999999993</v>
      </c>
      <c r="J36" s="2">
        <v>9115.2999999999993</v>
      </c>
      <c r="K36" s="2">
        <v>9115.2999999999993</v>
      </c>
      <c r="L36" s="2">
        <v>9115.2999999999993</v>
      </c>
      <c r="M36" s="2">
        <v>9115.2999999999993</v>
      </c>
      <c r="N36" s="2">
        <v>9115.2999999999993</v>
      </c>
      <c r="O36" s="2">
        <v>9115.2999999999993</v>
      </c>
      <c r="P36" s="2">
        <v>9115.2999999999993</v>
      </c>
      <c r="Q36" s="2">
        <v>9115.2999999999993</v>
      </c>
      <c r="R36" s="2">
        <v>9115.2999999999993</v>
      </c>
      <c r="S36" s="2">
        <v>9115.2999999999993</v>
      </c>
      <c r="T36" s="2">
        <v>9115.2999999999993</v>
      </c>
      <c r="U36" s="2">
        <v>9115.2999999999993</v>
      </c>
      <c r="V36" s="2">
        <v>9115.2999999999993</v>
      </c>
      <c r="W36" s="2">
        <v>9115.2999999999993</v>
      </c>
      <c r="X36" s="2">
        <v>9115.2999999999993</v>
      </c>
      <c r="Y36" s="2">
        <v>9115.2999999999993</v>
      </c>
      <c r="Z36" s="2">
        <v>9115.2999999999993</v>
      </c>
      <c r="AA36" s="12">
        <v>9115.2999999999993</v>
      </c>
      <c r="AB36" s="3">
        <f t="shared" si="0"/>
        <v>218767.19999999992</v>
      </c>
      <c r="AC36" s="3">
        <v>4</v>
      </c>
      <c r="AD36" s="51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</row>
    <row r="37" spans="2:60" ht="15" thickBot="1">
      <c r="B37" s="49"/>
      <c r="C37" s="9" t="s">
        <v>8</v>
      </c>
      <c r="D37" s="10">
        <v>9115.2999999999993</v>
      </c>
      <c r="E37" s="10">
        <v>9115.2999999999993</v>
      </c>
      <c r="F37" s="10">
        <v>9115.2999999999993</v>
      </c>
      <c r="G37" s="10">
        <v>9115.2999999999993</v>
      </c>
      <c r="H37" s="10">
        <v>9115.2999999999993</v>
      </c>
      <c r="I37" s="10">
        <v>9115.2999999999993</v>
      </c>
      <c r="J37" s="10">
        <v>9115.2999999999993</v>
      </c>
      <c r="K37" s="10">
        <v>9115.2999999999993</v>
      </c>
      <c r="L37" s="10">
        <v>9115.2999999999993</v>
      </c>
      <c r="M37" s="10">
        <v>9115.2999999999993</v>
      </c>
      <c r="N37" s="10">
        <v>9115.2999999999993</v>
      </c>
      <c r="O37" s="10">
        <v>9115.2999999999993</v>
      </c>
      <c r="P37" s="10">
        <v>9115.2999999999993</v>
      </c>
      <c r="Q37" s="10">
        <v>9115.2999999999993</v>
      </c>
      <c r="R37" s="10">
        <v>9115.2999999999993</v>
      </c>
      <c r="S37" s="10">
        <v>9115.2999999999993</v>
      </c>
      <c r="T37" s="10">
        <v>9115.2999999999993</v>
      </c>
      <c r="U37" s="10">
        <v>9115.2999999999993</v>
      </c>
      <c r="V37" s="10">
        <v>9115.2999999999993</v>
      </c>
      <c r="W37" s="10">
        <v>9115.2999999999993</v>
      </c>
      <c r="X37" s="10">
        <v>9115.2999999999993</v>
      </c>
      <c r="Y37" s="10">
        <v>9115.2999999999993</v>
      </c>
      <c r="Z37" s="10">
        <v>9115.2999999999993</v>
      </c>
      <c r="AA37" s="13">
        <v>9115.2999999999993</v>
      </c>
      <c r="AB37" s="6">
        <f t="shared" si="0"/>
        <v>218767.19999999992</v>
      </c>
      <c r="AC37" s="6">
        <v>2</v>
      </c>
      <c r="AD37" s="52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</row>
    <row r="38" spans="2:60">
      <c r="B38" s="47">
        <v>47727</v>
      </c>
      <c r="C38" s="8" t="s">
        <v>5</v>
      </c>
      <c r="D38" s="7">
        <v>9115.2999999999993</v>
      </c>
      <c r="E38" s="7">
        <v>9115.2999999999993</v>
      </c>
      <c r="F38" s="7">
        <v>9115.2999999999993</v>
      </c>
      <c r="G38" s="7">
        <v>9115.2999999999993</v>
      </c>
      <c r="H38" s="7">
        <v>9115.2999999999993</v>
      </c>
      <c r="I38" s="7">
        <v>9115.2999999999993</v>
      </c>
      <c r="J38" s="7">
        <v>9115.2999999999993</v>
      </c>
      <c r="K38" s="7">
        <v>9115.2999999999993</v>
      </c>
      <c r="L38" s="7">
        <v>9115.2999999999993</v>
      </c>
      <c r="M38" s="7">
        <v>9115.2999999999993</v>
      </c>
      <c r="N38" s="7">
        <v>9115.2999999999993</v>
      </c>
      <c r="O38" s="7">
        <v>9115.2999999999993</v>
      </c>
      <c r="P38" s="7">
        <v>9115.2999999999993</v>
      </c>
      <c r="Q38" s="7">
        <v>9115.2999999999993</v>
      </c>
      <c r="R38" s="7">
        <v>9115.2999999999993</v>
      </c>
      <c r="S38" s="7">
        <v>9115.2999999999993</v>
      </c>
      <c r="T38" s="7">
        <v>9115.2999999999993</v>
      </c>
      <c r="U38" s="7">
        <v>9115.2999999999993</v>
      </c>
      <c r="V38" s="7">
        <v>9115.2999999999993</v>
      </c>
      <c r="W38" s="7">
        <v>9115.2999999999993</v>
      </c>
      <c r="X38" s="7">
        <v>9115.2999999999993</v>
      </c>
      <c r="Y38" s="7">
        <v>9115.2999999999993</v>
      </c>
      <c r="Z38" s="7">
        <v>9115.2999999999993</v>
      </c>
      <c r="AA38" s="11">
        <v>9115.2999999999993</v>
      </c>
      <c r="AB38" s="5">
        <f t="shared" si="0"/>
        <v>218767.19999999992</v>
      </c>
      <c r="AC38" s="5">
        <v>21</v>
      </c>
      <c r="AD38" s="50">
        <f>(AB38*AC38)+(AB39*AC39)+(AB40*AC40)+(AB41*AC41)</f>
        <v>6563015.9999999981</v>
      </c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</row>
    <row r="39" spans="2:60">
      <c r="B39" s="48"/>
      <c r="C39" s="1" t="s">
        <v>6</v>
      </c>
      <c r="D39" s="2">
        <v>9115.2999999999993</v>
      </c>
      <c r="E39" s="2">
        <v>9115.2999999999993</v>
      </c>
      <c r="F39" s="2">
        <v>9115.2999999999993</v>
      </c>
      <c r="G39" s="2">
        <v>9115.2999999999993</v>
      </c>
      <c r="H39" s="2">
        <v>9115.2999999999993</v>
      </c>
      <c r="I39" s="2">
        <v>9115.2999999999993</v>
      </c>
      <c r="J39" s="2">
        <v>9115.2999999999993</v>
      </c>
      <c r="K39" s="2">
        <v>9115.2999999999993</v>
      </c>
      <c r="L39" s="2">
        <v>9115.2999999999993</v>
      </c>
      <c r="M39" s="2">
        <v>9115.2999999999993</v>
      </c>
      <c r="N39" s="2">
        <v>9115.2999999999993</v>
      </c>
      <c r="O39" s="2">
        <v>9115.2999999999993</v>
      </c>
      <c r="P39" s="2">
        <v>9115.2999999999993</v>
      </c>
      <c r="Q39" s="2">
        <v>9115.2999999999993</v>
      </c>
      <c r="R39" s="2">
        <v>9115.2999999999993</v>
      </c>
      <c r="S39" s="2">
        <v>9115.2999999999993</v>
      </c>
      <c r="T39" s="2">
        <v>9115.2999999999993</v>
      </c>
      <c r="U39" s="2">
        <v>9115.2999999999993</v>
      </c>
      <c r="V39" s="2">
        <v>9115.2999999999993</v>
      </c>
      <c r="W39" s="2">
        <v>9115.2999999999993</v>
      </c>
      <c r="X39" s="2">
        <v>9115.2999999999993</v>
      </c>
      <c r="Y39" s="2">
        <v>9115.2999999999993</v>
      </c>
      <c r="Z39" s="2">
        <v>9115.2999999999993</v>
      </c>
      <c r="AA39" s="12">
        <v>9115.2999999999993</v>
      </c>
      <c r="AB39" s="3">
        <f t="shared" si="0"/>
        <v>218767.19999999992</v>
      </c>
      <c r="AC39" s="3">
        <v>4</v>
      </c>
      <c r="AD39" s="51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</row>
    <row r="40" spans="2:60">
      <c r="B40" s="48"/>
      <c r="C40" s="1" t="s">
        <v>7</v>
      </c>
      <c r="D40" s="2">
        <v>9115.2999999999993</v>
      </c>
      <c r="E40" s="2">
        <v>9115.2999999999993</v>
      </c>
      <c r="F40" s="2">
        <v>9115.2999999999993</v>
      </c>
      <c r="G40" s="2">
        <v>9115.2999999999993</v>
      </c>
      <c r="H40" s="2">
        <v>9115.2999999999993</v>
      </c>
      <c r="I40" s="2">
        <v>9115.2999999999993</v>
      </c>
      <c r="J40" s="2">
        <v>9115.2999999999993</v>
      </c>
      <c r="K40" s="2">
        <v>9115.2999999999993</v>
      </c>
      <c r="L40" s="2">
        <v>9115.2999999999993</v>
      </c>
      <c r="M40" s="2">
        <v>9115.2999999999993</v>
      </c>
      <c r="N40" s="2">
        <v>9115.2999999999993</v>
      </c>
      <c r="O40" s="2">
        <v>9115.2999999999993</v>
      </c>
      <c r="P40" s="2">
        <v>9115.2999999999993</v>
      </c>
      <c r="Q40" s="2">
        <v>9115.2999999999993</v>
      </c>
      <c r="R40" s="2">
        <v>9115.2999999999993</v>
      </c>
      <c r="S40" s="2">
        <v>9115.2999999999993</v>
      </c>
      <c r="T40" s="2">
        <v>9115.2999999999993</v>
      </c>
      <c r="U40" s="2">
        <v>9115.2999999999993</v>
      </c>
      <c r="V40" s="2">
        <v>9115.2999999999993</v>
      </c>
      <c r="W40" s="2">
        <v>9115.2999999999993</v>
      </c>
      <c r="X40" s="2">
        <v>9115.2999999999993</v>
      </c>
      <c r="Y40" s="2">
        <v>9115.2999999999993</v>
      </c>
      <c r="Z40" s="2">
        <v>9115.2999999999993</v>
      </c>
      <c r="AA40" s="12">
        <v>9115.2999999999993</v>
      </c>
      <c r="AB40" s="3">
        <f t="shared" si="0"/>
        <v>218767.19999999992</v>
      </c>
      <c r="AC40" s="3">
        <v>5</v>
      </c>
      <c r="AD40" s="51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</row>
    <row r="41" spans="2:60" ht="15" thickBot="1">
      <c r="B41" s="49"/>
      <c r="C41" s="9" t="s">
        <v>8</v>
      </c>
      <c r="D41" s="10">
        <v>9115.2999999999993</v>
      </c>
      <c r="E41" s="10">
        <v>9115.2999999999993</v>
      </c>
      <c r="F41" s="10">
        <v>9115.2999999999993</v>
      </c>
      <c r="G41" s="10">
        <v>9115.2999999999993</v>
      </c>
      <c r="H41" s="10">
        <v>9115.2999999999993</v>
      </c>
      <c r="I41" s="10">
        <v>9115.2999999999993</v>
      </c>
      <c r="J41" s="10">
        <v>9115.2999999999993</v>
      </c>
      <c r="K41" s="10">
        <v>9115.2999999999993</v>
      </c>
      <c r="L41" s="10">
        <v>9115.2999999999993</v>
      </c>
      <c r="M41" s="10">
        <v>9115.2999999999993</v>
      </c>
      <c r="N41" s="10">
        <v>9115.2999999999993</v>
      </c>
      <c r="O41" s="10">
        <v>9115.2999999999993</v>
      </c>
      <c r="P41" s="10">
        <v>9115.2999999999993</v>
      </c>
      <c r="Q41" s="10">
        <v>9115.2999999999993</v>
      </c>
      <c r="R41" s="10">
        <v>9115.2999999999993</v>
      </c>
      <c r="S41" s="10">
        <v>9115.2999999999993</v>
      </c>
      <c r="T41" s="10">
        <v>9115.2999999999993</v>
      </c>
      <c r="U41" s="10">
        <v>9115.2999999999993</v>
      </c>
      <c r="V41" s="10">
        <v>9115.2999999999993</v>
      </c>
      <c r="W41" s="10">
        <v>9115.2999999999993</v>
      </c>
      <c r="X41" s="10">
        <v>9115.2999999999993</v>
      </c>
      <c r="Y41" s="10">
        <v>9115.2999999999993</v>
      </c>
      <c r="Z41" s="10">
        <v>9115.2999999999993</v>
      </c>
      <c r="AA41" s="13">
        <v>9115.2999999999993</v>
      </c>
      <c r="AB41" s="6">
        <f t="shared" si="0"/>
        <v>218767.19999999992</v>
      </c>
      <c r="AC41" s="6">
        <v>0</v>
      </c>
      <c r="AD41" s="52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</row>
    <row r="42" spans="2:60">
      <c r="B42" s="47">
        <v>47757</v>
      </c>
      <c r="C42" s="8" t="s">
        <v>5</v>
      </c>
      <c r="D42" s="7">
        <v>9115.2999999999993</v>
      </c>
      <c r="E42" s="7">
        <v>9115.2999999999993</v>
      </c>
      <c r="F42" s="7">
        <v>9115.2999999999993</v>
      </c>
      <c r="G42" s="7">
        <v>9115.2999999999993</v>
      </c>
      <c r="H42" s="7">
        <v>9115.2999999999993</v>
      </c>
      <c r="I42" s="7">
        <v>9115.2999999999993</v>
      </c>
      <c r="J42" s="7">
        <v>9115.2999999999993</v>
      </c>
      <c r="K42" s="7">
        <v>9115.2999999999993</v>
      </c>
      <c r="L42" s="7">
        <v>9115.2999999999993</v>
      </c>
      <c r="M42" s="7">
        <v>9115.2999999999993</v>
      </c>
      <c r="N42" s="7">
        <v>9115.2999999999993</v>
      </c>
      <c r="O42" s="7">
        <v>9115.2999999999993</v>
      </c>
      <c r="P42" s="7">
        <v>9115.2999999999993</v>
      </c>
      <c r="Q42" s="7">
        <v>9115.2999999999993</v>
      </c>
      <c r="R42" s="7">
        <v>9115.2999999999993</v>
      </c>
      <c r="S42" s="7">
        <v>9115.2999999999993</v>
      </c>
      <c r="T42" s="7">
        <v>9115.2999999999993</v>
      </c>
      <c r="U42" s="7">
        <v>9115.2999999999993</v>
      </c>
      <c r="V42" s="7">
        <v>9115.2999999999993</v>
      </c>
      <c r="W42" s="7">
        <v>9115.2999999999993</v>
      </c>
      <c r="X42" s="7">
        <v>9115.2999999999993</v>
      </c>
      <c r="Y42" s="7">
        <v>9115.2999999999993</v>
      </c>
      <c r="Z42" s="7">
        <v>9115.2999999999993</v>
      </c>
      <c r="AA42" s="11">
        <v>9115.2999999999993</v>
      </c>
      <c r="AB42" s="5">
        <f t="shared" si="0"/>
        <v>218767.19999999992</v>
      </c>
      <c r="AC42" s="5">
        <v>22</v>
      </c>
      <c r="AD42" s="50">
        <f>(AB42*AC42)+(AB43*AC43)+(AB44*AC44)+(AB45*AC45)</f>
        <v>6781783.1999999983</v>
      </c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</row>
    <row r="43" spans="2:60">
      <c r="B43" s="48"/>
      <c r="C43" s="1" t="s">
        <v>6</v>
      </c>
      <c r="D43" s="2">
        <v>9115.2999999999993</v>
      </c>
      <c r="E43" s="2">
        <v>9115.2999999999993</v>
      </c>
      <c r="F43" s="2">
        <v>9115.2999999999993</v>
      </c>
      <c r="G43" s="2">
        <v>9115.2999999999993</v>
      </c>
      <c r="H43" s="2">
        <v>9115.2999999999993</v>
      </c>
      <c r="I43" s="2">
        <v>9115.2999999999993</v>
      </c>
      <c r="J43" s="2">
        <v>9115.2999999999993</v>
      </c>
      <c r="K43" s="2">
        <v>9115.2999999999993</v>
      </c>
      <c r="L43" s="2">
        <v>9115.2999999999993</v>
      </c>
      <c r="M43" s="2">
        <v>9115.2999999999993</v>
      </c>
      <c r="N43" s="2">
        <v>9115.2999999999993</v>
      </c>
      <c r="O43" s="2">
        <v>9115.2999999999993</v>
      </c>
      <c r="P43" s="2">
        <v>9115.2999999999993</v>
      </c>
      <c r="Q43" s="2">
        <v>9115.2999999999993</v>
      </c>
      <c r="R43" s="2">
        <v>9115.2999999999993</v>
      </c>
      <c r="S43" s="2">
        <v>9115.2999999999993</v>
      </c>
      <c r="T43" s="2">
        <v>9115.2999999999993</v>
      </c>
      <c r="U43" s="2">
        <v>9115.2999999999993</v>
      </c>
      <c r="V43" s="2">
        <v>9115.2999999999993</v>
      </c>
      <c r="W43" s="2">
        <v>9115.2999999999993</v>
      </c>
      <c r="X43" s="2">
        <v>9115.2999999999993</v>
      </c>
      <c r="Y43" s="2">
        <v>9115.2999999999993</v>
      </c>
      <c r="Z43" s="2">
        <v>9115.2999999999993</v>
      </c>
      <c r="AA43" s="12">
        <v>9115.2999999999993</v>
      </c>
      <c r="AB43" s="3">
        <f t="shared" si="0"/>
        <v>218767.19999999992</v>
      </c>
      <c r="AC43" s="3">
        <v>4</v>
      </c>
      <c r="AD43" s="51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</row>
    <row r="44" spans="2:60">
      <c r="B44" s="48"/>
      <c r="C44" s="1" t="s">
        <v>7</v>
      </c>
      <c r="D44" s="2">
        <v>9115.2999999999993</v>
      </c>
      <c r="E44" s="2">
        <v>9115.2999999999993</v>
      </c>
      <c r="F44" s="2">
        <v>9115.2999999999993</v>
      </c>
      <c r="G44" s="2">
        <v>9115.2999999999993</v>
      </c>
      <c r="H44" s="2">
        <v>9115.2999999999993</v>
      </c>
      <c r="I44" s="2">
        <v>9115.2999999999993</v>
      </c>
      <c r="J44" s="2">
        <v>9115.2999999999993</v>
      </c>
      <c r="K44" s="2">
        <v>9115.2999999999993</v>
      </c>
      <c r="L44" s="2">
        <v>9115.2999999999993</v>
      </c>
      <c r="M44" s="2">
        <v>9115.2999999999993</v>
      </c>
      <c r="N44" s="2">
        <v>9115.2999999999993</v>
      </c>
      <c r="O44" s="2">
        <v>9115.2999999999993</v>
      </c>
      <c r="P44" s="2">
        <v>9115.2999999999993</v>
      </c>
      <c r="Q44" s="2">
        <v>9115.2999999999993</v>
      </c>
      <c r="R44" s="2">
        <v>9115.2999999999993</v>
      </c>
      <c r="S44" s="2">
        <v>9115.2999999999993</v>
      </c>
      <c r="T44" s="2">
        <v>9115.2999999999993</v>
      </c>
      <c r="U44" s="2">
        <v>9115.2999999999993</v>
      </c>
      <c r="V44" s="2">
        <v>9115.2999999999993</v>
      </c>
      <c r="W44" s="2">
        <v>9115.2999999999993</v>
      </c>
      <c r="X44" s="2">
        <v>9115.2999999999993</v>
      </c>
      <c r="Y44" s="2">
        <v>9115.2999999999993</v>
      </c>
      <c r="Z44" s="2">
        <v>9115.2999999999993</v>
      </c>
      <c r="AA44" s="12">
        <v>9115.2999999999993</v>
      </c>
      <c r="AB44" s="3">
        <f t="shared" si="0"/>
        <v>218767.19999999992</v>
      </c>
      <c r="AC44" s="3">
        <v>4</v>
      </c>
      <c r="AD44" s="51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</row>
    <row r="45" spans="2:60" ht="15" thickBot="1">
      <c r="B45" s="49"/>
      <c r="C45" s="9" t="s">
        <v>8</v>
      </c>
      <c r="D45" s="10">
        <v>9115.2999999999993</v>
      </c>
      <c r="E45" s="10">
        <v>9115.2999999999993</v>
      </c>
      <c r="F45" s="10">
        <v>9115.2999999999993</v>
      </c>
      <c r="G45" s="10">
        <v>9115.2999999999993</v>
      </c>
      <c r="H45" s="10">
        <v>9115.2999999999993</v>
      </c>
      <c r="I45" s="10">
        <v>9115.2999999999993</v>
      </c>
      <c r="J45" s="10">
        <v>9115.2999999999993</v>
      </c>
      <c r="K45" s="10">
        <v>9115.2999999999993</v>
      </c>
      <c r="L45" s="10">
        <v>9115.2999999999993</v>
      </c>
      <c r="M45" s="10">
        <v>9115.2999999999993</v>
      </c>
      <c r="N45" s="10">
        <v>9115.2999999999993</v>
      </c>
      <c r="O45" s="10">
        <v>9115.2999999999993</v>
      </c>
      <c r="P45" s="10">
        <v>9115.2999999999993</v>
      </c>
      <c r="Q45" s="10">
        <v>9115.2999999999993</v>
      </c>
      <c r="R45" s="10">
        <v>9115.2999999999993</v>
      </c>
      <c r="S45" s="10">
        <v>9115.2999999999993</v>
      </c>
      <c r="T45" s="10">
        <v>9115.2999999999993</v>
      </c>
      <c r="U45" s="10">
        <v>9115.2999999999993</v>
      </c>
      <c r="V45" s="10">
        <v>9115.2999999999993</v>
      </c>
      <c r="W45" s="10">
        <v>9115.2999999999993</v>
      </c>
      <c r="X45" s="10">
        <v>9115.2999999999993</v>
      </c>
      <c r="Y45" s="10">
        <v>9115.2999999999993</v>
      </c>
      <c r="Z45" s="10">
        <v>9115.2999999999993</v>
      </c>
      <c r="AA45" s="13">
        <v>9115.2999999999993</v>
      </c>
      <c r="AB45" s="6">
        <f t="shared" si="0"/>
        <v>218767.19999999992</v>
      </c>
      <c r="AC45" s="6">
        <v>1</v>
      </c>
      <c r="AD45" s="52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</row>
    <row r="46" spans="2:60">
      <c r="B46" s="47">
        <v>47788</v>
      </c>
      <c r="C46" s="8" t="s">
        <v>5</v>
      </c>
      <c r="D46" s="7">
        <v>9115.2999999999993</v>
      </c>
      <c r="E46" s="7">
        <v>9115.2999999999993</v>
      </c>
      <c r="F46" s="7">
        <v>9115.2999999999993</v>
      </c>
      <c r="G46" s="7">
        <v>9115.2999999999993</v>
      </c>
      <c r="H46" s="7">
        <v>9115.2999999999993</v>
      </c>
      <c r="I46" s="7">
        <v>9115.2999999999993</v>
      </c>
      <c r="J46" s="7">
        <v>9115.2999999999993</v>
      </c>
      <c r="K46" s="7">
        <v>9115.2999999999993</v>
      </c>
      <c r="L46" s="7">
        <v>9115.2999999999993</v>
      </c>
      <c r="M46" s="7">
        <v>9115.2999999999993</v>
      </c>
      <c r="N46" s="7">
        <v>9115.2999999999993</v>
      </c>
      <c r="O46" s="7">
        <v>9115.2999999999993</v>
      </c>
      <c r="P46" s="7">
        <v>9115.2999999999993</v>
      </c>
      <c r="Q46" s="7">
        <v>9115.2999999999993</v>
      </c>
      <c r="R46" s="7">
        <v>9115.2999999999993</v>
      </c>
      <c r="S46" s="7">
        <v>9115.2999999999993</v>
      </c>
      <c r="T46" s="7">
        <v>9115.2999999999993</v>
      </c>
      <c r="U46" s="7">
        <v>9115.2999999999993</v>
      </c>
      <c r="V46" s="7">
        <v>9115.2999999999993</v>
      </c>
      <c r="W46" s="7">
        <v>9115.2999999999993</v>
      </c>
      <c r="X46" s="7">
        <v>9115.2999999999993</v>
      </c>
      <c r="Y46" s="7">
        <v>9115.2999999999993</v>
      </c>
      <c r="Z46" s="7">
        <v>9115.2999999999993</v>
      </c>
      <c r="AA46" s="11">
        <v>9115.2999999999993</v>
      </c>
      <c r="AB46" s="5">
        <f t="shared" si="0"/>
        <v>218767.19999999992</v>
      </c>
      <c r="AC46" s="5">
        <v>19</v>
      </c>
      <c r="AD46" s="50">
        <f>(AB46*AC46)+(AB47*AC47)+(AB48*AC48)+(AB49*AC49)</f>
        <v>6563015.9999999972</v>
      </c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</row>
    <row r="47" spans="2:60">
      <c r="B47" s="48"/>
      <c r="C47" s="1" t="s">
        <v>6</v>
      </c>
      <c r="D47" s="2">
        <v>9115.2999999999993</v>
      </c>
      <c r="E47" s="2">
        <v>9115.2999999999993</v>
      </c>
      <c r="F47" s="2">
        <v>9115.2999999999993</v>
      </c>
      <c r="G47" s="2">
        <v>9115.2999999999993</v>
      </c>
      <c r="H47" s="2">
        <v>9115.2999999999993</v>
      </c>
      <c r="I47" s="2">
        <v>9115.2999999999993</v>
      </c>
      <c r="J47" s="2">
        <v>9115.2999999999993</v>
      </c>
      <c r="K47" s="2">
        <v>9115.2999999999993</v>
      </c>
      <c r="L47" s="2">
        <v>9115.2999999999993</v>
      </c>
      <c r="M47" s="2">
        <v>9115.2999999999993</v>
      </c>
      <c r="N47" s="2">
        <v>9115.2999999999993</v>
      </c>
      <c r="O47" s="2">
        <v>9115.2999999999993</v>
      </c>
      <c r="P47" s="2">
        <v>9115.2999999999993</v>
      </c>
      <c r="Q47" s="2">
        <v>9115.2999999999993</v>
      </c>
      <c r="R47" s="2">
        <v>9115.2999999999993</v>
      </c>
      <c r="S47" s="2">
        <v>9115.2999999999993</v>
      </c>
      <c r="T47" s="2">
        <v>9115.2999999999993</v>
      </c>
      <c r="U47" s="2">
        <v>9115.2999999999993</v>
      </c>
      <c r="V47" s="2">
        <v>9115.2999999999993</v>
      </c>
      <c r="W47" s="2">
        <v>9115.2999999999993</v>
      </c>
      <c r="X47" s="2">
        <v>9115.2999999999993</v>
      </c>
      <c r="Y47" s="2">
        <v>9115.2999999999993</v>
      </c>
      <c r="Z47" s="2">
        <v>9115.2999999999993</v>
      </c>
      <c r="AA47" s="12">
        <v>9115.2999999999993</v>
      </c>
      <c r="AB47" s="3">
        <f t="shared" si="0"/>
        <v>218767.19999999992</v>
      </c>
      <c r="AC47" s="3">
        <v>5</v>
      </c>
      <c r="AD47" s="51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</row>
    <row r="48" spans="2:60">
      <c r="B48" s="48"/>
      <c r="C48" s="1" t="s">
        <v>7</v>
      </c>
      <c r="D48" s="2">
        <v>9115.2999999999993</v>
      </c>
      <c r="E48" s="2">
        <v>9115.2999999999993</v>
      </c>
      <c r="F48" s="2">
        <v>9115.2999999999993</v>
      </c>
      <c r="G48" s="2">
        <v>9115.2999999999993</v>
      </c>
      <c r="H48" s="2">
        <v>9115.2999999999993</v>
      </c>
      <c r="I48" s="2">
        <v>9115.2999999999993</v>
      </c>
      <c r="J48" s="2">
        <v>9115.2999999999993</v>
      </c>
      <c r="K48" s="2">
        <v>9115.2999999999993</v>
      </c>
      <c r="L48" s="2">
        <v>9115.2999999999993</v>
      </c>
      <c r="M48" s="2">
        <v>9115.2999999999993</v>
      </c>
      <c r="N48" s="2">
        <v>9115.2999999999993</v>
      </c>
      <c r="O48" s="2">
        <v>9115.2999999999993</v>
      </c>
      <c r="P48" s="2">
        <v>9115.2999999999993</v>
      </c>
      <c r="Q48" s="2">
        <v>9115.2999999999993</v>
      </c>
      <c r="R48" s="2">
        <v>9115.2999999999993</v>
      </c>
      <c r="S48" s="2">
        <v>9115.2999999999993</v>
      </c>
      <c r="T48" s="2">
        <v>9115.2999999999993</v>
      </c>
      <c r="U48" s="2">
        <v>9115.2999999999993</v>
      </c>
      <c r="V48" s="2">
        <v>9115.2999999999993</v>
      </c>
      <c r="W48" s="2">
        <v>9115.2999999999993</v>
      </c>
      <c r="X48" s="2">
        <v>9115.2999999999993</v>
      </c>
      <c r="Y48" s="2">
        <v>9115.2999999999993</v>
      </c>
      <c r="Z48" s="2">
        <v>9115.2999999999993</v>
      </c>
      <c r="AA48" s="12">
        <v>9115.2999999999993</v>
      </c>
      <c r="AB48" s="3">
        <f t="shared" si="0"/>
        <v>218767.19999999992</v>
      </c>
      <c r="AC48" s="3">
        <v>4</v>
      </c>
      <c r="AD48" s="51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</row>
    <row r="49" spans="2:60" ht="15" thickBot="1">
      <c r="B49" s="49"/>
      <c r="C49" s="9" t="s">
        <v>8</v>
      </c>
      <c r="D49" s="10">
        <v>9115.2999999999993</v>
      </c>
      <c r="E49" s="10">
        <v>9115.2999999999993</v>
      </c>
      <c r="F49" s="10">
        <v>9115.2999999999993</v>
      </c>
      <c r="G49" s="10">
        <v>9115.2999999999993</v>
      </c>
      <c r="H49" s="10">
        <v>9115.2999999999993</v>
      </c>
      <c r="I49" s="10">
        <v>9115.2999999999993</v>
      </c>
      <c r="J49" s="10">
        <v>9115.2999999999993</v>
      </c>
      <c r="K49" s="10">
        <v>9115.2999999999993</v>
      </c>
      <c r="L49" s="10">
        <v>9115.2999999999993</v>
      </c>
      <c r="M49" s="10">
        <v>9115.2999999999993</v>
      </c>
      <c r="N49" s="10">
        <v>9115.2999999999993</v>
      </c>
      <c r="O49" s="10">
        <v>9115.2999999999993</v>
      </c>
      <c r="P49" s="10">
        <v>9115.2999999999993</v>
      </c>
      <c r="Q49" s="10">
        <v>9115.2999999999993</v>
      </c>
      <c r="R49" s="10">
        <v>9115.2999999999993</v>
      </c>
      <c r="S49" s="10">
        <v>9115.2999999999993</v>
      </c>
      <c r="T49" s="10">
        <v>9115.2999999999993</v>
      </c>
      <c r="U49" s="10">
        <v>9115.2999999999993</v>
      </c>
      <c r="V49" s="10">
        <v>9115.2999999999993</v>
      </c>
      <c r="W49" s="10">
        <v>9115.2999999999993</v>
      </c>
      <c r="X49" s="10">
        <v>9115.2999999999993</v>
      </c>
      <c r="Y49" s="10">
        <v>9115.2999999999993</v>
      </c>
      <c r="Z49" s="10">
        <v>9115.2999999999993</v>
      </c>
      <c r="AA49" s="13">
        <v>9115.2999999999993</v>
      </c>
      <c r="AB49" s="6">
        <f t="shared" si="0"/>
        <v>218767.19999999992</v>
      </c>
      <c r="AC49" s="6">
        <v>2</v>
      </c>
      <c r="AD49" s="52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</row>
    <row r="50" spans="2:60">
      <c r="B50" s="47">
        <v>47818</v>
      </c>
      <c r="C50" s="8" t="s">
        <v>5</v>
      </c>
      <c r="D50" s="7">
        <v>9115.2999999999993</v>
      </c>
      <c r="E50" s="7">
        <v>9115.2999999999993</v>
      </c>
      <c r="F50" s="7">
        <v>9115.2999999999993</v>
      </c>
      <c r="G50" s="7">
        <v>9115.2999999999993</v>
      </c>
      <c r="H50" s="7">
        <v>9115.2999999999993</v>
      </c>
      <c r="I50" s="7">
        <v>9115.2999999999993</v>
      </c>
      <c r="J50" s="7">
        <v>9115.2999999999993</v>
      </c>
      <c r="K50" s="7">
        <v>9115.2999999999993</v>
      </c>
      <c r="L50" s="7">
        <v>9115.2999999999993</v>
      </c>
      <c r="M50" s="7">
        <v>9115.2999999999993</v>
      </c>
      <c r="N50" s="7">
        <v>9115.2999999999993</v>
      </c>
      <c r="O50" s="7">
        <v>9115.2999999999993</v>
      </c>
      <c r="P50" s="7">
        <v>9115.2999999999993</v>
      </c>
      <c r="Q50" s="7">
        <v>9115.2999999999993</v>
      </c>
      <c r="R50" s="7">
        <v>9115.2999999999993</v>
      </c>
      <c r="S50" s="7">
        <v>9115.2999999999993</v>
      </c>
      <c r="T50" s="7">
        <v>9115.2999999999993</v>
      </c>
      <c r="U50" s="7">
        <v>9115.2999999999993</v>
      </c>
      <c r="V50" s="7">
        <v>9115.2999999999993</v>
      </c>
      <c r="W50" s="7">
        <v>9115.2999999999993</v>
      </c>
      <c r="X50" s="7">
        <v>9115.2999999999993</v>
      </c>
      <c r="Y50" s="7">
        <v>9115.2999999999993</v>
      </c>
      <c r="Z50" s="7">
        <v>9115.2999999999993</v>
      </c>
      <c r="AA50" s="11">
        <v>9115.2999999999993</v>
      </c>
      <c r="AB50" s="5">
        <f t="shared" si="0"/>
        <v>218767.19999999992</v>
      </c>
      <c r="AC50" s="5">
        <v>21</v>
      </c>
      <c r="AD50" s="50">
        <f>(AB50*AC50)+(AB51*AC51)+(AB52*AC52)+(AB53*AC53)</f>
        <v>6781783.1999999974</v>
      </c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</row>
    <row r="51" spans="2:60">
      <c r="B51" s="48"/>
      <c r="C51" s="1" t="s">
        <v>6</v>
      </c>
      <c r="D51" s="2">
        <v>9115.2999999999993</v>
      </c>
      <c r="E51" s="2">
        <v>9115.2999999999993</v>
      </c>
      <c r="F51" s="2">
        <v>9115.2999999999993</v>
      </c>
      <c r="G51" s="2">
        <v>9115.2999999999993</v>
      </c>
      <c r="H51" s="2">
        <v>9115.2999999999993</v>
      </c>
      <c r="I51" s="2">
        <v>9115.2999999999993</v>
      </c>
      <c r="J51" s="2">
        <v>9115.2999999999993</v>
      </c>
      <c r="K51" s="2">
        <v>9115.2999999999993</v>
      </c>
      <c r="L51" s="2">
        <v>9115.2999999999993</v>
      </c>
      <c r="M51" s="2">
        <v>9115.2999999999993</v>
      </c>
      <c r="N51" s="2">
        <v>9115.2999999999993</v>
      </c>
      <c r="O51" s="2">
        <v>9115.2999999999993</v>
      </c>
      <c r="P51" s="2">
        <v>9115.2999999999993</v>
      </c>
      <c r="Q51" s="2">
        <v>9115.2999999999993</v>
      </c>
      <c r="R51" s="2">
        <v>9115.2999999999993</v>
      </c>
      <c r="S51" s="2">
        <v>9115.2999999999993</v>
      </c>
      <c r="T51" s="2">
        <v>9115.2999999999993</v>
      </c>
      <c r="U51" s="2">
        <v>9115.2999999999993</v>
      </c>
      <c r="V51" s="2">
        <v>9115.2999999999993</v>
      </c>
      <c r="W51" s="2">
        <v>9115.2999999999993</v>
      </c>
      <c r="X51" s="2">
        <v>9115.2999999999993</v>
      </c>
      <c r="Y51" s="2">
        <v>9115.2999999999993</v>
      </c>
      <c r="Z51" s="2">
        <v>9115.2999999999993</v>
      </c>
      <c r="AA51" s="12">
        <v>9115.2999999999993</v>
      </c>
      <c r="AB51" s="3">
        <f t="shared" si="0"/>
        <v>218767.19999999992</v>
      </c>
      <c r="AC51" s="3">
        <v>4</v>
      </c>
      <c r="AD51" s="51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</row>
    <row r="52" spans="2:60">
      <c r="B52" s="48"/>
      <c r="C52" s="1" t="s">
        <v>7</v>
      </c>
      <c r="D52" s="2">
        <v>9115.2999999999993</v>
      </c>
      <c r="E52" s="2">
        <v>9115.2999999999993</v>
      </c>
      <c r="F52" s="2">
        <v>9115.2999999999993</v>
      </c>
      <c r="G52" s="2">
        <v>9115.2999999999993</v>
      </c>
      <c r="H52" s="2">
        <v>9115.2999999999993</v>
      </c>
      <c r="I52" s="2">
        <v>9115.2999999999993</v>
      </c>
      <c r="J52" s="2">
        <v>9115.2999999999993</v>
      </c>
      <c r="K52" s="2">
        <v>9115.2999999999993</v>
      </c>
      <c r="L52" s="2">
        <v>9115.2999999999993</v>
      </c>
      <c r="M52" s="2">
        <v>9115.2999999999993</v>
      </c>
      <c r="N52" s="2">
        <v>9115.2999999999993</v>
      </c>
      <c r="O52" s="2">
        <v>9115.2999999999993</v>
      </c>
      <c r="P52" s="2">
        <v>9115.2999999999993</v>
      </c>
      <c r="Q52" s="2">
        <v>9115.2999999999993</v>
      </c>
      <c r="R52" s="2">
        <v>9115.2999999999993</v>
      </c>
      <c r="S52" s="2">
        <v>9115.2999999999993</v>
      </c>
      <c r="T52" s="2">
        <v>9115.2999999999993</v>
      </c>
      <c r="U52" s="2">
        <v>9115.2999999999993</v>
      </c>
      <c r="V52" s="2">
        <v>9115.2999999999993</v>
      </c>
      <c r="W52" s="2">
        <v>9115.2999999999993</v>
      </c>
      <c r="X52" s="2">
        <v>9115.2999999999993</v>
      </c>
      <c r="Y52" s="2">
        <v>9115.2999999999993</v>
      </c>
      <c r="Z52" s="2">
        <v>9115.2999999999993</v>
      </c>
      <c r="AA52" s="12">
        <v>9115.2999999999993</v>
      </c>
      <c r="AB52" s="3">
        <f t="shared" si="0"/>
        <v>218767.19999999992</v>
      </c>
      <c r="AC52" s="3">
        <v>4</v>
      </c>
      <c r="AD52" s="51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</row>
    <row r="53" spans="2:60" ht="15" thickBot="1">
      <c r="B53" s="49"/>
      <c r="C53" s="9" t="s">
        <v>8</v>
      </c>
      <c r="D53" s="10">
        <v>9115.2999999999993</v>
      </c>
      <c r="E53" s="10">
        <v>9115.2999999999993</v>
      </c>
      <c r="F53" s="10">
        <v>9115.2999999999993</v>
      </c>
      <c r="G53" s="10">
        <v>9115.2999999999993</v>
      </c>
      <c r="H53" s="10">
        <v>9115.2999999999993</v>
      </c>
      <c r="I53" s="10">
        <v>9115.2999999999993</v>
      </c>
      <c r="J53" s="10">
        <v>9115.2999999999993</v>
      </c>
      <c r="K53" s="10">
        <v>9115.2999999999993</v>
      </c>
      <c r="L53" s="10">
        <v>9115.2999999999993</v>
      </c>
      <c r="M53" s="10">
        <v>9115.2999999999993</v>
      </c>
      <c r="N53" s="10">
        <v>9115.2999999999993</v>
      </c>
      <c r="O53" s="10">
        <v>9115.2999999999993</v>
      </c>
      <c r="P53" s="10">
        <v>9115.2999999999993</v>
      </c>
      <c r="Q53" s="10">
        <v>9115.2999999999993</v>
      </c>
      <c r="R53" s="10">
        <v>9115.2999999999993</v>
      </c>
      <c r="S53" s="10">
        <v>9115.2999999999993</v>
      </c>
      <c r="T53" s="10">
        <v>9115.2999999999993</v>
      </c>
      <c r="U53" s="10">
        <v>9115.2999999999993</v>
      </c>
      <c r="V53" s="10">
        <v>9115.2999999999993</v>
      </c>
      <c r="W53" s="10">
        <v>9115.2999999999993</v>
      </c>
      <c r="X53" s="10">
        <v>9115.2999999999993</v>
      </c>
      <c r="Y53" s="10">
        <v>9115.2999999999993</v>
      </c>
      <c r="Z53" s="10">
        <v>9115.2999999999993</v>
      </c>
      <c r="AA53" s="13">
        <v>9115.2999999999993</v>
      </c>
      <c r="AB53" s="6">
        <f t="shared" si="0"/>
        <v>218767.19999999992</v>
      </c>
      <c r="AC53" s="6">
        <v>2</v>
      </c>
      <c r="AD53" s="52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</row>
    <row r="54" spans="2:60" ht="15" thickBot="1">
      <c r="AD54" s="17">
        <f>SUM(AD6:AD53)</f>
        <v>79850027.99999997</v>
      </c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</row>
    <row r="55" spans="2:60"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</row>
    <row r="56" spans="2:60"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</row>
    <row r="57" spans="2:60"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</row>
    <row r="58" spans="2:60"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</row>
    <row r="59" spans="2:60"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</row>
    <row r="60" spans="2:60"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</row>
    <row r="61" spans="2:60"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</row>
    <row r="62" spans="2:60"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</row>
    <row r="63" spans="2:60"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</row>
    <row r="64" spans="2:60"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</row>
    <row r="65" spans="33:60"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</row>
    <row r="66" spans="33:60"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</row>
    <row r="67" spans="33:60"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</row>
    <row r="68" spans="33:60"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</row>
    <row r="69" spans="33:60"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</row>
    <row r="70" spans="33:60"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</row>
    <row r="71" spans="33:60"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</row>
    <row r="72" spans="33:60"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</row>
    <row r="73" spans="33:60"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</row>
    <row r="74" spans="33:60"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</row>
    <row r="75" spans="33:60"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</row>
    <row r="76" spans="33:60"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</row>
    <row r="77" spans="33:60"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</row>
    <row r="78" spans="33:60"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</row>
    <row r="79" spans="33:60"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</row>
    <row r="80" spans="33:60"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</row>
    <row r="81" spans="33:60"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</row>
    <row r="82" spans="33:60"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</row>
    <row r="83" spans="33:60"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</row>
    <row r="84" spans="33:60"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</row>
    <row r="85" spans="33:60"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</row>
    <row r="86" spans="33:60"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</row>
    <row r="87" spans="33:60"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</row>
    <row r="88" spans="33:60"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</row>
    <row r="89" spans="33:60"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</row>
    <row r="90" spans="33:60"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</row>
    <row r="91" spans="33:60"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</row>
    <row r="92" spans="33:60"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</row>
    <row r="93" spans="33:60"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</row>
    <row r="94" spans="33:60"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</row>
    <row r="95" spans="33:60"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</row>
    <row r="96" spans="33:60"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</row>
    <row r="97" spans="33:60"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</row>
    <row r="98" spans="33:60"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</row>
    <row r="99" spans="33:60"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</row>
    <row r="100" spans="33:60"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</row>
    <row r="101" spans="33:60"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</row>
    <row r="102" spans="33:60"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</row>
    <row r="103" spans="33:60"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</row>
    <row r="104" spans="33:60"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</row>
    <row r="105" spans="33:60"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</row>
    <row r="106" spans="33:60"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</row>
    <row r="107" spans="33:60"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</row>
    <row r="108" spans="33:60"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</row>
    <row r="109" spans="33:60"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</row>
    <row r="110" spans="33:60"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</row>
    <row r="111" spans="33:60"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</row>
    <row r="112" spans="33:60"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</row>
    <row r="113" spans="37:60"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</row>
    <row r="114" spans="37:60"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</row>
    <row r="115" spans="37:60"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</row>
    <row r="116" spans="37:60"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</row>
    <row r="117" spans="37:60"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</row>
    <row r="118" spans="37:60"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</row>
    <row r="119" spans="37:60"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</row>
    <row r="120" spans="37:60"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</row>
    <row r="121" spans="37:60"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</row>
    <row r="122" spans="37:60"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</row>
    <row r="123" spans="37:60"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</row>
    <row r="124" spans="37:60"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</row>
    <row r="125" spans="37:60"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</row>
    <row r="126" spans="37:60"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</row>
    <row r="127" spans="37:60"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</row>
    <row r="128" spans="37:60"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</row>
    <row r="129" spans="37:60"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</row>
    <row r="130" spans="37:60"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</row>
    <row r="131" spans="37:60"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</row>
    <row r="132" spans="37:60"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</row>
    <row r="133" spans="37:60"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</row>
    <row r="134" spans="37:60"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</row>
    <row r="135" spans="37:60"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</row>
    <row r="136" spans="37:60"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</row>
    <row r="137" spans="37:60"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</row>
    <row r="138" spans="37:60"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</row>
    <row r="139" spans="37:60"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</row>
    <row r="140" spans="37:60"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</row>
    <row r="141" spans="37:60"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</row>
    <row r="142" spans="37:60"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</row>
    <row r="143" spans="37:60"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</row>
    <row r="144" spans="37:60"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</row>
    <row r="145" spans="37:60"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</row>
    <row r="146" spans="37:60"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</row>
    <row r="147" spans="37:60"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</row>
    <row r="148" spans="37:60"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</row>
    <row r="149" spans="37:60"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</row>
    <row r="150" spans="37:60"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</row>
    <row r="151" spans="37:60"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</row>
    <row r="152" spans="37:60"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</row>
    <row r="153" spans="37:60"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</row>
    <row r="154" spans="37:60"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</row>
    <row r="155" spans="37:60"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</row>
    <row r="156" spans="37:60"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</row>
    <row r="157" spans="37:60"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</row>
    <row r="158" spans="37:60"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</row>
    <row r="159" spans="37:60"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</row>
    <row r="160" spans="37:60"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</row>
    <row r="161" spans="37:60"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</row>
    <row r="162" spans="37:60"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</row>
    <row r="163" spans="37:60"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</row>
    <row r="164" spans="37:60"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</row>
    <row r="165" spans="37:60"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</row>
    <row r="166" spans="37:60"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</row>
    <row r="167" spans="37:60"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</row>
    <row r="168" spans="37:60"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</row>
    <row r="169" spans="37:60"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</row>
    <row r="170" spans="37:60"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</row>
    <row r="171" spans="37:60"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</row>
    <row r="172" spans="37:60"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</row>
    <row r="173" spans="37:60"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</row>
    <row r="174" spans="37:60"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</row>
    <row r="175" spans="37:60"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</row>
    <row r="176" spans="37:60"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</row>
    <row r="177" spans="37:60"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</row>
    <row r="178" spans="37:60"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</row>
    <row r="179" spans="37:60"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</row>
    <row r="180" spans="37:60"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</row>
    <row r="181" spans="37:60"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</row>
    <row r="182" spans="37:60"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</row>
    <row r="183" spans="37:60"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</row>
    <row r="184" spans="37:60"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  <c r="BH184" s="44"/>
    </row>
    <row r="185" spans="37:60"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</row>
    <row r="186" spans="37:60"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</row>
    <row r="187" spans="37:60"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</row>
    <row r="188" spans="37:60"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</row>
    <row r="189" spans="37:60"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</row>
    <row r="190" spans="37:60"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  <c r="BH190" s="44"/>
    </row>
    <row r="191" spans="37:60"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</row>
    <row r="192" spans="37:60"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</row>
    <row r="193" spans="37:60"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</row>
    <row r="194" spans="37:60"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</row>
    <row r="195" spans="37:60"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</row>
    <row r="196" spans="37:60"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</row>
    <row r="197" spans="37:60"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</row>
    <row r="198" spans="37:60"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  <c r="BH198" s="44"/>
    </row>
    <row r="199" spans="37:60"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  <c r="BH199" s="44"/>
    </row>
    <row r="200" spans="37:60"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</row>
    <row r="201" spans="37:60"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</row>
    <row r="202" spans="37:60"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</row>
    <row r="203" spans="37:60"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</row>
    <row r="204" spans="37:60"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</row>
    <row r="205" spans="37:60"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</row>
    <row r="206" spans="37:60"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</row>
    <row r="207" spans="37:60"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</row>
    <row r="208" spans="37:60"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</row>
    <row r="209" spans="37:60"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</row>
    <row r="210" spans="37:60"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</row>
    <row r="211" spans="37:60"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</row>
    <row r="212" spans="37:60"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</row>
    <row r="213" spans="37:60"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</row>
    <row r="214" spans="37:60"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</row>
    <row r="215" spans="37:60"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</row>
    <row r="216" spans="37:60"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</row>
    <row r="217" spans="37:60"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</row>
    <row r="218" spans="37:60"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</row>
    <row r="219" spans="37:60"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</row>
    <row r="220" spans="37:60"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  <c r="BF220" s="44"/>
      <c r="BG220" s="44"/>
      <c r="BH220" s="44"/>
    </row>
    <row r="221" spans="37:60"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4"/>
      <c r="BH221" s="44"/>
    </row>
    <row r="222" spans="37:60"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</row>
    <row r="223" spans="37:60"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4"/>
      <c r="BH223" s="44"/>
    </row>
    <row r="224" spans="37:60"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</row>
    <row r="225" spans="37:60"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4"/>
      <c r="BH225" s="44"/>
    </row>
    <row r="226" spans="37:60"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  <c r="BF226" s="44"/>
      <c r="BG226" s="44"/>
      <c r="BH226" s="44"/>
    </row>
    <row r="227" spans="37:60"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  <c r="BH227" s="44"/>
    </row>
    <row r="228" spans="37:60"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</row>
    <row r="229" spans="37:60"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4"/>
      <c r="BH229" s="44"/>
    </row>
    <row r="230" spans="37:60"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  <c r="BH230" s="44"/>
    </row>
    <row r="231" spans="37:60"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</row>
    <row r="232" spans="37:60"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</row>
    <row r="233" spans="37:60"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  <c r="BH233" s="44"/>
    </row>
    <row r="234" spans="37:60"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</row>
    <row r="235" spans="37:60"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</row>
    <row r="236" spans="37:60"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</row>
    <row r="237" spans="37:60"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  <c r="BH237" s="44"/>
    </row>
    <row r="238" spans="37:60"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</row>
    <row r="239" spans="37:60"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</row>
    <row r="240" spans="37:60"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</row>
    <row r="241" spans="37:60"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</row>
    <row r="242" spans="37:60"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</row>
    <row r="243" spans="37:60"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</row>
    <row r="244" spans="37:60"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</row>
    <row r="245" spans="37:60"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</row>
  </sheetData>
  <mergeCells count="27">
    <mergeCell ref="B50:B53"/>
    <mergeCell ref="AD50:AD53"/>
    <mergeCell ref="B38:B41"/>
    <mergeCell ref="AD38:AD41"/>
    <mergeCell ref="B42:B45"/>
    <mergeCell ref="AD42:AD45"/>
    <mergeCell ref="B46:B49"/>
    <mergeCell ref="AD46:AD49"/>
    <mergeCell ref="B26:B29"/>
    <mergeCell ref="AD26:AD29"/>
    <mergeCell ref="B30:B33"/>
    <mergeCell ref="AD30:AD33"/>
    <mergeCell ref="B34:B37"/>
    <mergeCell ref="AD34:AD37"/>
    <mergeCell ref="B14:B17"/>
    <mergeCell ref="AD14:AD17"/>
    <mergeCell ref="B18:B21"/>
    <mergeCell ref="AD18:AD21"/>
    <mergeCell ref="B22:B25"/>
    <mergeCell ref="AD22:AD25"/>
    <mergeCell ref="B6:B9"/>
    <mergeCell ref="AD6:AD9"/>
    <mergeCell ref="B10:B13"/>
    <mergeCell ref="AD10:AD13"/>
    <mergeCell ref="B2:AB2"/>
    <mergeCell ref="B3:AB3"/>
    <mergeCell ref="B4:AB4"/>
  </mergeCells>
  <conditionalFormatting sqref="D6:AA53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9026-ED2B-482B-BD30-19A38086675D}">
  <dimension ref="B3:I30"/>
  <sheetViews>
    <sheetView showGridLines="0" zoomScale="90" zoomScaleNormal="90" workbookViewId="0">
      <selection activeCell="B7" sqref="B7:G7"/>
    </sheetView>
  </sheetViews>
  <sheetFormatPr baseColWidth="10" defaultColWidth="11.453125" defaultRowHeight="14.5"/>
  <cols>
    <col min="1" max="3" width="11.453125" style="18"/>
    <col min="4" max="4" width="15.26953125" style="18" customWidth="1"/>
    <col min="5" max="5" width="11.453125" style="18"/>
    <col min="6" max="6" width="12.7265625" style="18" bestFit="1" customWidth="1"/>
    <col min="7" max="7" width="11.453125" style="18"/>
    <col min="8" max="8" width="14.1796875" style="79" bestFit="1" customWidth="1"/>
    <col min="9" max="9" width="11.453125" style="80"/>
    <col min="10" max="16384" width="11.453125" style="18"/>
  </cols>
  <sheetData>
    <row r="3" spans="2:7" ht="15" thickBot="1"/>
    <row r="4" spans="2:7">
      <c r="B4" s="57" t="s">
        <v>56</v>
      </c>
      <c r="C4" s="58"/>
      <c r="D4" s="58"/>
      <c r="E4" s="58"/>
      <c r="F4" s="58"/>
      <c r="G4" s="59"/>
    </row>
    <row r="5" spans="2:7">
      <c r="B5" s="60" t="s">
        <v>9</v>
      </c>
      <c r="C5" s="61"/>
      <c r="D5" s="61"/>
      <c r="E5" s="61"/>
      <c r="F5" s="61"/>
      <c r="G5" s="62"/>
    </row>
    <row r="6" spans="2:7">
      <c r="B6" s="63" t="s">
        <v>10</v>
      </c>
      <c r="C6" s="64"/>
      <c r="D6" s="64"/>
      <c r="E6" s="64"/>
      <c r="F6" s="64"/>
      <c r="G6" s="65"/>
    </row>
    <row r="7" spans="2:7" ht="15" thickBot="1">
      <c r="B7" s="66" t="s">
        <v>37</v>
      </c>
      <c r="C7" s="67"/>
      <c r="D7" s="67"/>
      <c r="E7" s="67"/>
      <c r="F7" s="67"/>
      <c r="G7" s="68"/>
    </row>
    <row r="8" spans="2:7" ht="15" thickBot="1">
      <c r="B8" s="69" t="s">
        <v>57</v>
      </c>
      <c r="C8" s="70"/>
      <c r="D8" s="70"/>
      <c r="E8" s="70"/>
      <c r="F8" s="70"/>
      <c r="G8" s="71"/>
    </row>
    <row r="9" spans="2:7" ht="15.75" customHeight="1" thickBot="1">
      <c r="B9" s="72" t="s">
        <v>12</v>
      </c>
      <c r="C9" s="72" t="s">
        <v>13</v>
      </c>
      <c r="D9" s="75" t="s">
        <v>63</v>
      </c>
      <c r="E9" s="75"/>
      <c r="F9" s="75"/>
      <c r="G9" s="76"/>
    </row>
    <row r="10" spans="2:7" ht="26.5" thickBot="1">
      <c r="B10" s="73"/>
      <c r="C10" s="74"/>
      <c r="D10" s="19" t="s">
        <v>14</v>
      </c>
      <c r="E10" s="21" t="s">
        <v>15</v>
      </c>
      <c r="F10" s="20" t="s">
        <v>16</v>
      </c>
      <c r="G10" s="22" t="s">
        <v>17</v>
      </c>
    </row>
    <row r="11" spans="2:7">
      <c r="B11" s="33">
        <v>2030</v>
      </c>
      <c r="C11" s="34" t="s">
        <v>25</v>
      </c>
      <c r="D11" s="35">
        <f>+'Producto 5 Plano 30'!AE6</f>
        <v>6781783.1999999974</v>
      </c>
      <c r="E11" s="77"/>
      <c r="F11" s="26">
        <f t="shared" ref="F11:F22" si="0">+E11*D11</f>
        <v>0</v>
      </c>
      <c r="G11" s="27"/>
    </row>
    <row r="12" spans="2:7">
      <c r="B12" s="23">
        <v>2030</v>
      </c>
      <c r="C12" s="24" t="s">
        <v>26</v>
      </c>
      <c r="D12" s="25">
        <f>+'Producto 5 Plano 30'!AE7</f>
        <v>6125481.5999999978</v>
      </c>
      <c r="E12" s="77"/>
      <c r="F12" s="26">
        <f t="shared" si="0"/>
        <v>0</v>
      </c>
      <c r="G12" s="27"/>
    </row>
    <row r="13" spans="2:7">
      <c r="B13" s="23">
        <v>2030</v>
      </c>
      <c r="C13" s="24" t="s">
        <v>27</v>
      </c>
      <c r="D13" s="25">
        <f>+'Producto 5 Plano 30'!AE8</f>
        <v>6781783.1999999983</v>
      </c>
      <c r="E13" s="77"/>
      <c r="F13" s="26">
        <f t="shared" si="0"/>
        <v>0</v>
      </c>
      <c r="G13" s="27"/>
    </row>
    <row r="14" spans="2:7">
      <c r="B14" s="23">
        <v>2030</v>
      </c>
      <c r="C14" s="24" t="s">
        <v>28</v>
      </c>
      <c r="D14" s="25">
        <f>+'Producto 5 Plano 30'!AE9</f>
        <v>6563015.9999999972</v>
      </c>
      <c r="E14" s="77"/>
      <c r="F14" s="26">
        <f t="shared" si="0"/>
        <v>0</v>
      </c>
      <c r="G14" s="27"/>
    </row>
    <row r="15" spans="2:7">
      <c r="B15" s="23">
        <v>2030</v>
      </c>
      <c r="C15" s="24" t="s">
        <v>29</v>
      </c>
      <c r="D15" s="25">
        <f>+'Producto 5 Plano 30'!AE10</f>
        <v>6781783.1999999983</v>
      </c>
      <c r="E15" s="77"/>
      <c r="F15" s="26">
        <f t="shared" si="0"/>
        <v>0</v>
      </c>
      <c r="G15" s="27"/>
    </row>
    <row r="16" spans="2:7">
      <c r="B16" s="23">
        <v>2030</v>
      </c>
      <c r="C16" s="24" t="s">
        <v>18</v>
      </c>
      <c r="D16" s="25">
        <f>+'Producto 5 Plano 30'!AE11</f>
        <v>6563015.9999999972</v>
      </c>
      <c r="E16" s="77"/>
      <c r="F16" s="26">
        <f t="shared" si="0"/>
        <v>0</v>
      </c>
      <c r="G16" s="27"/>
    </row>
    <row r="17" spans="2:9">
      <c r="B17" s="23">
        <v>2030</v>
      </c>
      <c r="C17" s="24" t="s">
        <v>19</v>
      </c>
      <c r="D17" s="25">
        <f>+'Producto 5 Plano 30'!AE12</f>
        <v>6781783.1999999974</v>
      </c>
      <c r="E17" s="77"/>
      <c r="F17" s="26">
        <f t="shared" si="0"/>
        <v>0</v>
      </c>
      <c r="G17" s="27"/>
    </row>
    <row r="18" spans="2:9">
      <c r="B18" s="23">
        <v>2030</v>
      </c>
      <c r="C18" s="24" t="s">
        <v>20</v>
      </c>
      <c r="D18" s="25">
        <f>+'Producto 5 Plano 30'!AE13</f>
        <v>6781783.1999999974</v>
      </c>
      <c r="E18" s="77"/>
      <c r="F18" s="26">
        <f t="shared" si="0"/>
        <v>0</v>
      </c>
      <c r="G18" s="27"/>
    </row>
    <row r="19" spans="2:9">
      <c r="B19" s="23">
        <v>2030</v>
      </c>
      <c r="C19" s="24" t="s">
        <v>21</v>
      </c>
      <c r="D19" s="25">
        <f>+'Producto 5 Plano 30'!AE14</f>
        <v>6563015.9999999981</v>
      </c>
      <c r="E19" s="77"/>
      <c r="F19" s="26">
        <f t="shared" si="0"/>
        <v>0</v>
      </c>
      <c r="G19" s="27"/>
    </row>
    <row r="20" spans="2:9">
      <c r="B20" s="23">
        <v>2030</v>
      </c>
      <c r="C20" s="24" t="s">
        <v>22</v>
      </c>
      <c r="D20" s="25">
        <f>+'Producto 5 Plano 30'!AE15</f>
        <v>6781783.1999999983</v>
      </c>
      <c r="E20" s="77"/>
      <c r="F20" s="26">
        <f t="shared" si="0"/>
        <v>0</v>
      </c>
      <c r="G20" s="27"/>
    </row>
    <row r="21" spans="2:9">
      <c r="B21" s="23">
        <v>2030</v>
      </c>
      <c r="C21" s="24" t="s">
        <v>23</v>
      </c>
      <c r="D21" s="25">
        <f>+'Producto 5 Plano 30'!AE16</f>
        <v>6563015.9999999972</v>
      </c>
      <c r="E21" s="77"/>
      <c r="F21" s="26">
        <f t="shared" si="0"/>
        <v>0</v>
      </c>
      <c r="G21" s="27"/>
    </row>
    <row r="22" spans="2:9" ht="15" thickBot="1">
      <c r="B22" s="28">
        <v>2030</v>
      </c>
      <c r="C22" s="29" t="s">
        <v>24</v>
      </c>
      <c r="D22" s="30">
        <f>+'Producto 5 Plano 30'!AE17</f>
        <v>6781783.1999999974</v>
      </c>
      <c r="E22" s="78"/>
      <c r="F22" s="31">
        <f t="shared" si="0"/>
        <v>0</v>
      </c>
      <c r="G22" s="32"/>
      <c r="H22" s="79">
        <f>SUM(D11:D22)</f>
        <v>79850027.99999997</v>
      </c>
      <c r="I22" s="81">
        <f>+H22/1000</f>
        <v>79850.027999999977</v>
      </c>
    </row>
    <row r="23" spans="2:9" ht="15" thickBot="1">
      <c r="B23" s="55" t="s">
        <v>58</v>
      </c>
      <c r="C23" s="56"/>
      <c r="D23" s="36">
        <f>+SUM(D11:D22)</f>
        <v>79850027.99999997</v>
      </c>
      <c r="I23" s="81">
        <f>+D23/1000</f>
        <v>79850.027999999977</v>
      </c>
    </row>
    <row r="25" spans="2:9">
      <c r="B25" s="18" t="s">
        <v>30</v>
      </c>
    </row>
    <row r="26" spans="2:9">
      <c r="B26" s="18" t="s">
        <v>31</v>
      </c>
    </row>
    <row r="27" spans="2:9">
      <c r="B27" s="18" t="s">
        <v>32</v>
      </c>
    </row>
    <row r="28" spans="2:9">
      <c r="B28" s="18" t="s">
        <v>33</v>
      </c>
    </row>
    <row r="30" spans="2:9">
      <c r="D30" s="43"/>
    </row>
  </sheetData>
  <mergeCells count="10">
    <mergeCell ref="E11:E22"/>
    <mergeCell ref="B23:C23"/>
    <mergeCell ref="B4:G4"/>
    <mergeCell ref="B5:G5"/>
    <mergeCell ref="B6:G6"/>
    <mergeCell ref="B7:G7"/>
    <mergeCell ref="B8:G8"/>
    <mergeCell ref="B9:B10"/>
    <mergeCell ref="C9:C10"/>
    <mergeCell ref="D9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Producto 1 Plano 26</vt:lpstr>
      <vt:lpstr>Anexo 2 Producto 1</vt:lpstr>
      <vt:lpstr>Producto 2 Plano 27</vt:lpstr>
      <vt:lpstr>Anexo 2 Producto 2</vt:lpstr>
      <vt:lpstr>Producto 3 Plano 28</vt:lpstr>
      <vt:lpstr>Anexo 2 Producto 3</vt:lpstr>
      <vt:lpstr>Producto 4 Plano 29</vt:lpstr>
      <vt:lpstr>Anexo 2 Producto 4</vt:lpstr>
      <vt:lpstr>Producto 5 Plano 30</vt:lpstr>
      <vt:lpstr>Anexo 2 Producto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Melissa Gonzalez Parra</dc:creator>
  <cp:lastModifiedBy>Daniel Bohorquez</cp:lastModifiedBy>
  <dcterms:created xsi:type="dcterms:W3CDTF">2021-03-30T14:28:44Z</dcterms:created>
  <dcterms:modified xsi:type="dcterms:W3CDTF">2025-07-18T19:36:59Z</dcterms:modified>
</cp:coreProperties>
</file>