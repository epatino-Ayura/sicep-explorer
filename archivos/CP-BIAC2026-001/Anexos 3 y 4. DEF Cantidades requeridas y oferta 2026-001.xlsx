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t. Requeridas Producto 1" sheetId="1" r:id="rId4"/>
    <sheet state="visible" name="Oferta Producto 1" sheetId="2" r:id="rId5"/>
    <sheet state="visible" name="Cant. Requeridas Producto 2" sheetId="3" r:id="rId6"/>
    <sheet state="visible" name="Oferta Producto 2" sheetId="4" r:id="rId7"/>
    <sheet state="visible" name="Cant. Requeridas Producto 3" sheetId="5" r:id="rId8"/>
    <sheet state="visible" name="Oferta Producto 3" sheetId="6" r:id="rId9"/>
    <sheet state="visible" name="Cant. Requeridas Producto 4" sheetId="7" r:id="rId10"/>
    <sheet state="visible" name="Oferta Producto 4" sheetId="8" r:id="rId11"/>
    <sheet state="visible" name="Cant. Requeridas Producto 5" sheetId="9" r:id="rId12"/>
    <sheet state="visible" name="Oferta Producto 5" sheetId="10" r:id="rId13"/>
    <sheet state="visible" name="Cant. Requeridas Producto 6" sheetId="11" r:id="rId14"/>
    <sheet state="visible" name="Oferta Producto 6" sheetId="12" r:id="rId15"/>
  </sheets>
  <definedNames/>
  <calcPr/>
  <extLst>
    <ext uri="GoogleSheetsCustomDataVersion2">
      <go:sheetsCustomData xmlns:go="http://customooxmlschemas.google.com/" r:id="rId16" roundtripDataChecksum="gAmuTbHWwjPo+IDGzSxZdVsqjRX1aEGLUEqAdwfhfwo="/>
    </ext>
  </extLst>
</workbook>
</file>

<file path=xl/sharedStrings.xml><?xml version="1.0" encoding="utf-8"?>
<sst xmlns="http://schemas.openxmlformats.org/spreadsheetml/2006/main" count="701" uniqueCount="75">
  <si>
    <t>ANEXO 3 - CANTIDADES DE  ENERGÍA SOLICITADA EN kWh</t>
  </si>
  <si>
    <t>PRODUCTO 1 - PAGUE LO CONTRATADO</t>
  </si>
  <si>
    <t>Periodo: 1 de abril 2026 a 31 diciembre de 2026</t>
  </si>
  <si>
    <t>CONVOCATORIA PÚBLICA N° CP-BIAC2026-001 - BIA ENERGY S.A.S. E.S.P.</t>
  </si>
  <si>
    <t>Mes</t>
  </si>
  <si>
    <t>Tipo de día</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</si>
  <si>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</si>
  <si>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</si>
  <si>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</si>
  <si>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</si>
  <si>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</si>
  <si>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</si>
  <si>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</si>
  <si>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</si>
  <si>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</si>
  <si>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</si>
  <si>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</si>
  <si>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</si>
  <si>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</si>
  <si>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</si>
  <si>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</si>
  <si>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</si>
  <si>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</si>
  <si>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</si>
  <si>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</si>
  <si>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</si>
  <si>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</si>
  <si>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</si>
  <si>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</si>
  <si>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</si>
  <si>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TOTAL DÍA</t>
  </si>
  <si>
    <t>DÍAS</t>
  </si>
  <si>
    <t>TOTAL</t>
  </si>
  <si>
    <t>TOTAL MES</t>
  </si>
  <si>
    <t>Ordinario</t>
  </si>
  <si>
    <t>Sábado</t>
  </si>
  <si>
    <t>Festivo</t>
  </si>
  <si>
    <t>ANEXO 4. FORMATO DE OFERTA - PRODUCTO 1</t>
  </si>
  <si>
    <t xml:space="preserve">NOMBRE DEL OFERENTE                                        
</t>
  </si>
  <si>
    <t>Precios y cantidades de la energía ofertada</t>
  </si>
  <si>
    <t>En pesos de diciembre de 2025</t>
  </si>
  <si>
    <t>OPCIÓN 24 HORAS</t>
  </si>
  <si>
    <t>E. Solicitada
[kWh-mes]</t>
  </si>
  <si>
    <t>% E. Ofertada</t>
  </si>
  <si>
    <t>E. Ofertada
[kWh-mes]</t>
  </si>
  <si>
    <t>$/kWh</t>
  </si>
  <si>
    <t>El oferente debe indicar si acepta adjudicaciones parciales o no</t>
  </si>
  <si>
    <t>• Para el periodo de 2026, se puede presentar oferta con diferente porcentaje cada 
mes, incluyendo el 0%</t>
  </si>
  <si>
    <t>• El precio ofertado podrá ser diferente para cada mes del producto, expresado en 
$/kWh, con hasta dos (2) decimales</t>
  </si>
  <si>
    <t>XXXXX</t>
  </si>
  <si>
    <t>XXXXXXXX S.A.S. E.S.P.</t>
  </si>
  <si>
    <t>PRODUCTO 2 - PAGUE LO CONTRATADO</t>
  </si>
  <si>
    <t>Periodo: 1 de enero 2027 a 31 diciembre de 2027</t>
  </si>
  <si>
    <t>ANEXO 4. FORMATO DE OFERTA - PRODUCTO 2</t>
  </si>
  <si>
    <t>• Para el periodo de 2027, se puede presentar oferta con diferente porcentaje cada 
mes, incluyendo el 0%</t>
  </si>
  <si>
    <t>PRODUCTO 3 - PAGUE LO CONTRATADO</t>
  </si>
  <si>
    <t>Periodo: 1 de enero 2028 a 31 diciembre de 2028</t>
  </si>
  <si>
    <t>ANEXO 4. FORMATO DE OFERTA - PRODUCTO 3</t>
  </si>
  <si>
    <t>• Para el periodo de 2028, se puede presentar oferta con diferente porcentaje cada 
mes, incluyendo el 0%</t>
  </si>
  <si>
    <t>PRODUCTO 4 - PAGUE LO CONTRATADO</t>
  </si>
  <si>
    <t>Periodo: 1 de enero 2029 a 31 diciembre de 2029</t>
  </si>
  <si>
    <t>ANEXO 4. FORMATO DE OFERTA - PRODUCTO 4</t>
  </si>
  <si>
    <t>• Para el año 2029, se debe presentar oferta con un único porcentaje.</t>
  </si>
  <si>
    <t>• El precio ofertado debe ser único para el año del producto, expresado en $/kWh, con hasta dos (2) decimales.</t>
  </si>
  <si>
    <t>PRODUCTO 5 - PAGUE LO CONTRATADO</t>
  </si>
  <si>
    <t>Periodo: 1 de enero 2030 a 31 diciembre de 2030</t>
  </si>
  <si>
    <t>ANEXO 4. FORMATO DE OFERTA - PRODUCTO 5</t>
  </si>
  <si>
    <t>• Para el año 2030, se debe presentar oferta con un único porcentaje.</t>
  </si>
  <si>
    <t>PRODUCTO 6 - PAGUE LO CONTRATADO</t>
  </si>
  <si>
    <t>Periodo: 1 de enero 2027 a 31 diciembre de 2032</t>
  </si>
  <si>
    <t>ANEXO 4. FORMATO DE OFERTA - PRODUCTO 6</t>
  </si>
  <si>
    <t xml:space="preserve">- Para los años 2027 y 2028, 
Se podrá presentar ofertas con un porcentaje diferente para cada mes, incluyendo el 0%. 
Para cada año del 2027 y 2028, el OFERENTE deberá presentar oferta para mínimo cinco (5) meses
Para cada mes en el que se presente oferta, la cantidad máxima no podrá ser superior al doble de la cantidad mínima. 
</t>
  </si>
  <si>
    <t xml:space="preserve">- Para los años de 2029 y 2032, 
Se deberá presentar oferta con un único porcentaje de oferta que aplique para todo el período comprendido entre 2029 y 2032.
</t>
  </si>
  <si>
    <t xml:space="preserve">- Para los años 2027 y 2028, el precio ofertado podrá ser diferente para cada mes, expresado en $/kWh, con hasta dos (2) decimales. </t>
  </si>
  <si>
    <t>- Para los años de 2029 y 2032, el precio ofertado podrá ser diferente para cada año, expresado en $/kWh, con hasta dos (2) decimales.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</si>
</sst>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 #,##0_-;_-* &quot;-&quot;??_-;_-@"/>
    <numFmt numFmtId="165" formatCode="_-* #,##0\ _€_-;\-* #,##0\ _€_-;_-* &quot;-&quot;??\ _€_-;_-@"/>
    <numFmt numFmtId="166" formatCode="_-* #,##0_-;\-* #,##0_-;_-* &quot;-&quot;_-;_-@"/>
  </numFmts>
  <fonts count="12">
    <font>
      <sz val="11.0"/>
      <color theme="1"/>
      <name val="Calibri"/>
      <scheme val="minor"/>
    </font>
    <font>
      <b/>
      <sz val="11.0"/>
      <color theme="1"/>
      <name val="Arial"/>
    </font>
    <font>
      <sz val="11.0"/>
      <color theme="1"/>
      <name val="Arial"/>
    </font>
    <font>
      <sz val="11.0"/>
      <color theme="1"/>
      <name val="Calibri"/>
    </font>
    <font/>
    <font>
      <b/>
      <sz val="11.0"/>
      <color theme="1"/>
      <name val="Calibri"/>
    </font>
    <font>
      <b/>
      <sz val="10.0"/>
      <color theme="1"/>
      <name val="Arial"/>
    </font>
    <font>
      <sz val="10.0"/>
      <color theme="1"/>
      <name val="Arial"/>
    </font>
    <font>
      <b/>
      <sz val="10.0"/>
      <color theme="1"/>
      <name val="Din-regular"/>
    </font>
    <font>
      <b/>
      <sz val="10.0"/>
      <color rgb="FF000000"/>
      <name val="Arial"/>
    </font>
    <font>
      <sz val="11.0"/>
      <color theme="1"/>
      <name val="Din-regular"/>
    </font>
    <font>
      <color theme="1"/>
      <name val="Calibri"/>
    </font>
  </fonts>
  <fills count="2">
    <fill>
      <patternFill patternType="none"/>
    </fill>
    <fill>
      <patternFill patternType="lightGray"/>
    </fill>
  </fills>
  <borders count="4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thick">
        <color rgb="FF000000"/>
      </left>
      <right style="thick">
        <color rgb="FF000000"/>
      </right>
      <top style="thick">
        <color rgb="FF000000"/>
      </top>
      <bottom style="thick">
        <color rgb="FF000000"/>
      </bottom>
    </border>
    <border>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medium">
        <color rgb="FF000000"/>
      </left>
      <right style="thin">
        <color rgb="FF000000"/>
      </right>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rder>
    <border>
      <top style="thin">
        <color rgb="FF000000"/>
      </top>
    </border>
    <border>
      <left style="medium">
        <color rgb="FF000000"/>
      </left>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3" xfId="0" applyFont="1" applyNumberFormat="1"/>
    <xf borderId="0" fillId="0" fontId="3" numFmtId="0" xfId="0" applyFont="1"/>
    <xf borderId="1" fillId="0" fontId="1" numFmtId="0" xfId="0" applyAlignment="1" applyBorder="1" applyFont="1">
      <alignment horizontal="center"/>
    </xf>
    <xf borderId="1" fillId="0" fontId="1" numFmtId="3" xfId="0" applyAlignment="1" applyBorder="1" applyFont="1" applyNumberFormat="1">
      <alignment horizontal="center"/>
    </xf>
    <xf borderId="1" fillId="0" fontId="3" numFmtId="17" xfId="0" applyBorder="1" applyFont="1" applyNumberFormat="1"/>
    <xf borderId="1" fillId="0" fontId="3" numFmtId="4" xfId="0" applyBorder="1" applyFont="1" applyNumberFormat="1"/>
    <xf borderId="1" fillId="0" fontId="3" numFmtId="164" xfId="0" applyBorder="1" applyFont="1" applyNumberFormat="1"/>
    <xf borderId="2" fillId="0" fontId="3" numFmtId="164" xfId="0" applyAlignment="1" applyBorder="1" applyFont="1" applyNumberFormat="1">
      <alignment vertical="center"/>
    </xf>
    <xf borderId="3" fillId="0" fontId="4" numFmtId="0" xfId="0" applyBorder="1" applyFont="1"/>
    <xf borderId="4" fillId="0" fontId="4" numFmtId="0" xfId="0" applyBorder="1" applyFont="1"/>
    <xf borderId="1" fillId="0" fontId="5" numFmtId="0" xfId="0" applyAlignment="1" applyBorder="1" applyFont="1">
      <alignment horizontal="center"/>
    </xf>
    <xf borderId="0" fillId="0" fontId="6" numFmtId="0" xfId="0" applyAlignment="1" applyFont="1">
      <alignment horizontal="center"/>
    </xf>
    <xf borderId="0" fillId="0" fontId="7" numFmtId="0" xfId="0" applyFont="1"/>
    <xf borderId="0" fillId="0" fontId="8" numFmtId="0" xfId="0" applyAlignment="1" applyFont="1">
      <alignment horizontal="center"/>
    </xf>
    <xf borderId="0" fillId="0" fontId="9" numFmtId="0" xfId="0" applyAlignment="1" applyFont="1">
      <alignment horizontal="center"/>
    </xf>
    <xf borderId="5" fillId="0" fontId="8" numFmtId="0" xfId="0" applyAlignment="1" applyBorder="1" applyFont="1">
      <alignment horizontal="center"/>
    </xf>
    <xf borderId="6" fillId="0" fontId="4" numFmtId="0" xfId="0" applyBorder="1" applyFont="1"/>
    <xf borderId="7" fillId="0" fontId="4" numFmtId="0" xfId="0" applyBorder="1" applyFont="1"/>
    <xf borderId="8" fillId="0" fontId="6"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9" fillId="0" fontId="6" numFmtId="0" xfId="0" applyAlignment="1" applyBorder="1" applyFont="1">
      <alignment horizontal="center" shrinkToFit="0" vertical="center" wrapText="1"/>
    </xf>
    <xf borderId="10" fillId="0" fontId="8" numFmtId="0" xfId="0" applyAlignment="1" applyBorder="1" applyFont="1">
      <alignment horizontal="center" shrinkToFit="0" vertical="center" wrapText="1"/>
    </xf>
    <xf borderId="11" fillId="0" fontId="8" numFmtId="17" xfId="0" applyAlignment="1" applyBorder="1" applyFont="1" applyNumberFormat="1">
      <alignment horizontal="center" vertical="center"/>
    </xf>
    <xf borderId="12" fillId="0" fontId="10" numFmtId="165" xfId="0" applyAlignment="1" applyBorder="1" applyFont="1" applyNumberFormat="1">
      <alignment horizontal="center"/>
    </xf>
    <xf borderId="13" fillId="0" fontId="7" numFmtId="10" xfId="0" applyAlignment="1" applyBorder="1" applyFont="1" applyNumberFormat="1">
      <alignment horizontal="center" vertical="center"/>
    </xf>
    <xf borderId="12" fillId="0" fontId="2" numFmtId="165" xfId="0" applyAlignment="1" applyBorder="1" applyFont="1" applyNumberFormat="1">
      <alignment horizontal="center"/>
    </xf>
    <xf borderId="13" fillId="0" fontId="7" numFmtId="0" xfId="0" applyAlignment="1" applyBorder="1" applyFont="1">
      <alignment horizontal="center" vertical="center"/>
    </xf>
    <xf borderId="14" fillId="0" fontId="8" numFmtId="17" xfId="0" applyAlignment="1" applyBorder="1" applyFont="1" applyNumberFormat="1">
      <alignment horizontal="center" vertical="center"/>
    </xf>
    <xf borderId="15" fillId="0" fontId="10" numFmtId="165" xfId="0" applyAlignment="1" applyBorder="1" applyFont="1" applyNumberFormat="1">
      <alignment horizontal="center"/>
    </xf>
    <xf borderId="16" fillId="0" fontId="7" numFmtId="10" xfId="0" applyAlignment="1" applyBorder="1" applyFont="1" applyNumberFormat="1">
      <alignment horizontal="center" vertical="center"/>
    </xf>
    <xf borderId="15" fillId="0" fontId="2" numFmtId="165" xfId="0" applyAlignment="1" applyBorder="1" applyFont="1" applyNumberFormat="1">
      <alignment horizontal="center"/>
    </xf>
    <xf borderId="16" fillId="0" fontId="7" numFmtId="0" xfId="0" applyAlignment="1" applyBorder="1" applyFont="1">
      <alignment horizontal="center" vertical="center"/>
    </xf>
    <xf borderId="17" fillId="0" fontId="8" numFmtId="17" xfId="0" applyAlignment="1" applyBorder="1" applyFont="1" applyNumberFormat="1">
      <alignment horizontal="left" vertical="center"/>
    </xf>
    <xf borderId="17" fillId="0" fontId="8" numFmtId="166" xfId="0" applyAlignment="1" applyBorder="1" applyFont="1" applyNumberFormat="1">
      <alignment horizontal="center" vertical="center"/>
    </xf>
    <xf borderId="17" fillId="0" fontId="7" numFmtId="0" xfId="0" applyBorder="1" applyFont="1"/>
    <xf borderId="0" fillId="0" fontId="8" numFmtId="4" xfId="0" applyAlignment="1" applyFont="1" applyNumberFormat="1">
      <alignment horizontal="center"/>
    </xf>
    <xf borderId="0" fillId="0" fontId="3" numFmtId="4" xfId="0" applyFont="1" applyNumberFormat="1"/>
    <xf borderId="0" fillId="0" fontId="3" numFmtId="0" xfId="0" applyAlignment="1" applyFont="1">
      <alignment horizontal="left" shrinkToFit="0" wrapText="1"/>
    </xf>
    <xf borderId="18" fillId="0" fontId="3" numFmtId="0" xfId="0" applyBorder="1" applyFont="1"/>
    <xf borderId="0" fillId="0" fontId="3" numFmtId="0" xfId="0" applyAlignment="1" applyFont="1">
      <alignment shrinkToFit="0" wrapText="1"/>
    </xf>
    <xf borderId="19" fillId="0" fontId="3" numFmtId="0" xfId="0" applyBorder="1" applyFont="1"/>
    <xf borderId="20" fillId="0" fontId="8" numFmtId="0" xfId="0" applyAlignment="1" applyBorder="1" applyFont="1">
      <alignment horizontal="center"/>
    </xf>
    <xf borderId="21" fillId="0" fontId="4" numFmtId="0" xfId="0" applyBorder="1" applyFont="1"/>
    <xf borderId="22" fillId="0" fontId="4" numFmtId="0" xfId="0" applyBorder="1" applyFont="1"/>
    <xf borderId="23" fillId="0" fontId="6" numFmtId="0" xfId="0" applyAlignment="1" applyBorder="1" applyFont="1">
      <alignment horizontal="center" shrinkToFit="0" vertical="center" wrapText="1"/>
    </xf>
    <xf borderId="24" fillId="0" fontId="8" numFmtId="0" xfId="0" applyAlignment="1" applyBorder="1" applyFont="1">
      <alignment horizontal="center" shrinkToFit="0" vertical="center" wrapText="1"/>
    </xf>
    <xf borderId="11" fillId="0" fontId="6" numFmtId="17" xfId="0" applyAlignment="1" applyBorder="1" applyFont="1" applyNumberFormat="1">
      <alignment horizontal="center" vertical="center"/>
    </xf>
    <xf borderId="25" fillId="0" fontId="7" numFmtId="10" xfId="0" applyAlignment="1" applyBorder="1" applyFont="1" applyNumberFormat="1">
      <alignment horizontal="center" vertical="center"/>
    </xf>
    <xf borderId="26" fillId="0" fontId="2" numFmtId="165" xfId="0" applyAlignment="1" applyBorder="1" applyFont="1" applyNumberFormat="1">
      <alignment horizontal="center"/>
    </xf>
    <xf borderId="27" fillId="0" fontId="7" numFmtId="0" xfId="0" applyAlignment="1" applyBorder="1" applyFont="1">
      <alignment horizontal="center" vertical="center"/>
    </xf>
    <xf borderId="28" fillId="0" fontId="7" numFmtId="10" xfId="0" applyAlignment="1" applyBorder="1" applyFont="1" applyNumberFormat="1">
      <alignment horizontal="center" vertical="center"/>
    </xf>
    <xf borderId="13" fillId="0" fontId="2" numFmtId="165" xfId="0" applyAlignment="1" applyBorder="1" applyFont="1" applyNumberFormat="1">
      <alignment horizontal="center"/>
    </xf>
    <xf borderId="29" fillId="0" fontId="7" numFmtId="0" xfId="0" applyAlignment="1" applyBorder="1" applyFont="1">
      <alignment horizontal="center" vertical="center"/>
    </xf>
    <xf borderId="30" fillId="0" fontId="7" numFmtId="10" xfId="0" applyAlignment="1" applyBorder="1" applyFont="1" applyNumberFormat="1">
      <alignment horizontal="center" vertical="center"/>
    </xf>
    <xf borderId="16" fillId="0" fontId="2" numFmtId="165" xfId="0" applyAlignment="1" applyBorder="1" applyFont="1" applyNumberFormat="1">
      <alignment horizontal="center"/>
    </xf>
    <xf borderId="31" fillId="0" fontId="7" numFmtId="0" xfId="0" applyAlignment="1" applyBorder="1" applyFont="1">
      <alignment horizontal="center" vertical="center"/>
    </xf>
    <xf borderId="32" fillId="0" fontId="8" numFmtId="17" xfId="0" applyAlignment="1" applyBorder="1" applyFont="1" applyNumberFormat="1">
      <alignment horizontal="left" vertical="center"/>
    </xf>
    <xf borderId="32" fillId="0" fontId="8" numFmtId="166" xfId="0" applyAlignment="1" applyBorder="1" applyFont="1" applyNumberFormat="1">
      <alignment horizontal="center" vertical="center"/>
    </xf>
    <xf borderId="1" fillId="0" fontId="3" numFmtId="164" xfId="0" applyAlignment="1" applyBorder="1" applyFont="1" applyNumberFormat="1">
      <alignment horizontal="right" vertical="bottom"/>
    </xf>
    <xf borderId="24" fillId="0" fontId="6" numFmtId="0" xfId="0" applyAlignment="1" applyBorder="1" applyFont="1">
      <alignment horizontal="center" shrinkToFit="0" vertical="center" wrapText="1"/>
    </xf>
    <xf borderId="33" fillId="0" fontId="8" numFmtId="0" xfId="0" applyAlignment="1" applyBorder="1" applyFont="1">
      <alignment horizontal="center" shrinkToFit="0" vertical="center" wrapText="1"/>
    </xf>
    <xf borderId="29" fillId="0" fontId="10" numFmtId="165" xfId="0" applyAlignment="1" applyBorder="1" applyFont="1" applyNumberFormat="1">
      <alignment horizontal="center"/>
    </xf>
    <xf borderId="29" fillId="0" fontId="2" numFmtId="165" xfId="0" applyAlignment="1" applyBorder="1" applyFont="1" applyNumberFormat="1">
      <alignment horizontal="center"/>
    </xf>
    <xf borderId="32" fillId="0" fontId="7" numFmtId="0" xfId="0" applyBorder="1" applyFont="1"/>
    <xf borderId="34" fillId="0" fontId="7" numFmtId="10" xfId="0" applyAlignment="1" applyBorder="1" applyFont="1" applyNumberFormat="1">
      <alignment horizontal="center" vertical="center"/>
    </xf>
    <xf borderId="0" fillId="0" fontId="2" numFmtId="165" xfId="0" applyAlignment="1" applyFont="1" applyNumberFormat="1">
      <alignment horizontal="center"/>
    </xf>
    <xf borderId="34" fillId="0" fontId="7" numFmtId="0" xfId="0" applyAlignment="1" applyBorder="1" applyFont="1">
      <alignment horizontal="center" vertical="center"/>
    </xf>
    <xf borderId="35" fillId="0" fontId="4" numFmtId="0" xfId="0" applyBorder="1" applyFont="1"/>
    <xf borderId="17" fillId="0" fontId="4" numFmtId="0" xfId="0" applyBorder="1" applyFont="1"/>
    <xf borderId="1" fillId="0" fontId="3" numFmtId="17" xfId="0" applyAlignment="1" applyBorder="1" applyFont="1" applyNumberFormat="1">
      <alignment horizontal="right" vertical="bottom"/>
    </xf>
    <xf borderId="36" fillId="0" fontId="6" numFmtId="17" xfId="0" applyAlignment="1" applyBorder="1" applyFont="1" applyNumberFormat="1">
      <alignment horizontal="center" vertical="center"/>
    </xf>
    <xf borderId="37" fillId="0" fontId="10" numFmtId="165" xfId="0" applyAlignment="1" applyBorder="1" applyFont="1" applyNumberFormat="1">
      <alignment horizontal="center"/>
    </xf>
    <xf borderId="14" fillId="0" fontId="6" numFmtId="17" xfId="0" applyAlignment="1" applyBorder="1" applyFont="1" applyNumberFormat="1">
      <alignment horizontal="center" vertical="center"/>
    </xf>
    <xf borderId="38" fillId="0" fontId="6" numFmtId="17" xfId="0" applyAlignment="1" applyBorder="1" applyFont="1" applyNumberFormat="1">
      <alignment horizontal="center" vertical="center"/>
    </xf>
    <xf borderId="19" fillId="0" fontId="10" numFmtId="165" xfId="0" applyAlignment="1" applyBorder="1" applyFont="1" applyNumberFormat="1">
      <alignment horizontal="center"/>
    </xf>
    <xf borderId="39" fillId="0" fontId="2" numFmtId="165" xfId="0" applyAlignment="1" applyBorder="1" applyFont="1" applyNumberFormat="1">
      <alignment horizontal="center"/>
    </xf>
    <xf borderId="40" fillId="0" fontId="6" numFmtId="17" xfId="0" applyAlignment="1" applyBorder="1" applyFont="1" applyNumberFormat="1">
      <alignment horizontal="center" vertical="center"/>
    </xf>
    <xf borderId="41" fillId="0" fontId="2" numFmtId="165" xfId="0" applyAlignment="1" applyBorder="1" applyFont="1" applyNumberFormat="1">
      <alignment horizontal="center"/>
    </xf>
    <xf borderId="42" fillId="0" fontId="2" numFmtId="165" xfId="0" applyAlignment="1" applyBorder="1" applyFont="1" applyNumberFormat="1">
      <alignment horizontal="center"/>
    </xf>
    <xf borderId="37" fillId="0" fontId="2" numFmtId="165" xfId="0" applyAlignment="1" applyBorder="1" applyFont="1" applyNumberFormat="1">
      <alignment horizontal="center"/>
    </xf>
    <xf borderId="5" fillId="0" fontId="7" numFmtId="10" xfId="0" applyAlignment="1" applyBorder="1" applyFont="1" applyNumberFormat="1">
      <alignment horizontal="center" vertical="center"/>
    </xf>
    <xf borderId="7" fillId="0" fontId="7" numFmtId="0" xfId="0" applyAlignment="1" applyBorder="1" applyFont="1">
      <alignment horizontal="center" vertical="center"/>
    </xf>
    <xf borderId="43" fillId="0" fontId="4" numFmtId="0" xfId="0" applyBorder="1" applyFont="1"/>
    <xf borderId="44" fillId="0" fontId="4" numFmtId="0" xfId="0" applyBorder="1" applyFont="1"/>
    <xf borderId="45" fillId="0" fontId="4" numFmtId="0" xfId="0" applyBorder="1" applyFont="1"/>
    <xf borderId="46" fillId="0" fontId="4" numFmtId="0" xfId="0" applyBorder="1" applyFont="1"/>
    <xf borderId="19" fillId="0" fontId="2" numFmtId="165" xfId="0" applyAlignment="1" applyBorder="1" applyFont="1" applyNumberFormat="1">
      <alignment horizontal="center"/>
    </xf>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4" width="10.71"/>
    <col customWidth="1" min="5" max="5" width="11.29"/>
    <col customWidth="1" min="6" max="26" width="10.71"/>
    <col customWidth="1" min="27" max="27" width="13.43"/>
    <col customWidth="1" min="28" max="28" width="7.86"/>
    <col customWidth="1" min="29" max="30" width="18.43"/>
  </cols>
  <sheetData>
    <row r="1" ht="14.25" customHeight="1">
      <c r="A1" s="1" t="s">
        <v>0</v>
      </c>
      <c r="AD1" s="1"/>
    </row>
    <row r="2" ht="14.25" customHeight="1">
      <c r="A2" s="1" t="s">
        <v>1</v>
      </c>
      <c r="AD2" s="1"/>
    </row>
    <row r="3" ht="14.25" customHeight="1">
      <c r="A3" s="1" t="s">
        <v>2</v>
      </c>
      <c r="AD3" s="1"/>
    </row>
    <row r="4" ht="14.25" customHeight="1">
      <c r="A4" s="1" t="s">
        <v>3</v>
      </c>
      <c r="AD4" s="1"/>
    </row>
    <row r="5" ht="14.25" customHeight="1">
      <c r="A5" s="2"/>
      <c r="B5" s="3"/>
      <c r="C5" s="3"/>
      <c r="D5" s="3"/>
      <c r="E5" s="2"/>
      <c r="F5" s="2"/>
      <c r="G5" s="2"/>
      <c r="H5" s="2"/>
      <c r="I5" s="2"/>
      <c r="J5" s="2"/>
      <c r="K5" s="2"/>
      <c r="L5" s="2"/>
      <c r="M5" s="2"/>
      <c r="N5" s="2"/>
      <c r="O5" s="2"/>
      <c r="P5" s="2"/>
      <c r="Q5" s="2"/>
      <c r="R5" s="2"/>
      <c r="S5" s="2"/>
      <c r="T5" s="2"/>
      <c r="U5" s="2"/>
      <c r="V5" s="2"/>
      <c r="W5" s="4"/>
      <c r="X5" s="4"/>
      <c r="Y5" s="4"/>
      <c r="Z5" s="4"/>
      <c r="AA5" s="4"/>
      <c r="AB5" s="4"/>
    </row>
    <row r="6" ht="14.25" customHeight="1">
      <c r="A6" s="2"/>
      <c r="B6" s="3"/>
      <c r="C6" s="3"/>
      <c r="D6" s="3"/>
      <c r="E6" s="2"/>
      <c r="F6" s="2"/>
      <c r="G6" s="2"/>
      <c r="H6" s="2"/>
      <c r="I6" s="2"/>
      <c r="J6" s="2"/>
      <c r="K6" s="2"/>
      <c r="L6" s="2"/>
      <c r="M6" s="2"/>
      <c r="N6" s="2"/>
      <c r="O6" s="2"/>
      <c r="P6" s="2"/>
      <c r="Q6" s="2"/>
      <c r="R6" s="2"/>
      <c r="S6" s="2"/>
      <c r="T6" s="2"/>
      <c r="U6" s="2"/>
      <c r="V6" s="2"/>
      <c r="W6" s="4"/>
      <c r="X6" s="4"/>
      <c r="Y6" s="4"/>
      <c r="Z6" s="4"/>
      <c r="AA6" s="4"/>
      <c r="AB6" s="4"/>
    </row>
    <row r="7" ht="14.25" customHeight="1">
      <c r="A7" s="2"/>
      <c r="B7" s="3"/>
      <c r="C7" s="3"/>
      <c r="D7" s="3"/>
      <c r="E7" s="2"/>
      <c r="F7" s="2"/>
      <c r="G7" s="2"/>
      <c r="H7" s="2"/>
      <c r="I7" s="2"/>
      <c r="J7" s="2"/>
      <c r="K7" s="2"/>
      <c r="L7" s="2"/>
      <c r="M7" s="2"/>
      <c r="N7" s="2"/>
      <c r="O7" s="2"/>
      <c r="P7" s="2"/>
      <c r="Q7" s="2"/>
      <c r="R7" s="2"/>
      <c r="S7" s="2"/>
      <c r="T7" s="2"/>
      <c r="U7" s="2"/>
      <c r="V7" s="2"/>
      <c r="W7" s="2"/>
      <c r="X7" s="2"/>
      <c r="Y7" s="2"/>
      <c r="Z7" s="2"/>
      <c r="AA7" s="2"/>
      <c r="AB7" s="2"/>
    </row>
    <row r="8" ht="14.25" customHeight="1">
      <c r="A8" s="2"/>
      <c r="B8" s="3"/>
      <c r="C8" s="3"/>
      <c r="D8" s="3"/>
      <c r="E8" s="2"/>
      <c r="F8" s="2"/>
      <c r="G8" s="2"/>
      <c r="H8" s="2"/>
      <c r="I8" s="2"/>
      <c r="J8" s="2"/>
      <c r="K8" s="2"/>
      <c r="L8" s="2"/>
      <c r="M8" s="2"/>
      <c r="N8" s="2"/>
      <c r="O8" s="2"/>
      <c r="P8" s="2"/>
      <c r="Q8" s="2"/>
      <c r="R8" s="2"/>
      <c r="S8" s="2"/>
      <c r="T8" s="2"/>
      <c r="U8" s="2"/>
      <c r="V8" s="2"/>
      <c r="W8" s="2"/>
      <c r="X8" s="2"/>
      <c r="Y8" s="2"/>
      <c r="Z8" s="2"/>
      <c r="AA8" s="2"/>
      <c r="AB8" s="2"/>
    </row>
    <row r="9" ht="14.25" customHeight="1">
      <c r="A9" s="5" t="s">
        <v>4</v>
      </c>
      <c r="B9" s="6" t="s">
        <v>5</v>
      </c>
      <c r="C9" s="6" t="s">
        <v>6</v>
      </c>
      <c r="D9" s="6" t="s">
        <v>7</v>
      </c>
      <c r="E9" s="6"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row>
    <row r="10" ht="14.25" customHeight="1">
      <c r="A10" s="7">
        <v>46113.0</v>
      </c>
      <c r="B10" s="8" t="s">
        <v>34</v>
      </c>
      <c r="C10" s="8">
        <v>3057.96544</v>
      </c>
      <c r="D10" s="8">
        <v>3011.9756799999996</v>
      </c>
      <c r="E10" s="8">
        <v>2886.83936</v>
      </c>
      <c r="F10" s="8">
        <v>2858.9376</v>
      </c>
      <c r="G10" s="8">
        <v>3011.6384</v>
      </c>
      <c r="H10" s="8">
        <v>3246.39072</v>
      </c>
      <c r="I10" s="8">
        <v>4185.253119999999</v>
      </c>
      <c r="J10" s="8">
        <v>5387.547519999999</v>
      </c>
      <c r="K10" s="8">
        <v>6234.45216</v>
      </c>
      <c r="L10" s="8">
        <v>6658.78304</v>
      </c>
      <c r="M10" s="8">
        <v>7153.072319999999</v>
      </c>
      <c r="N10" s="8">
        <v>7223.210239999999</v>
      </c>
      <c r="O10" s="8">
        <v>7064.764799999999</v>
      </c>
      <c r="P10" s="8">
        <v>7218.85824</v>
      </c>
      <c r="Q10" s="8">
        <v>7143.72096</v>
      </c>
      <c r="R10" s="8">
        <v>7010.34304</v>
      </c>
      <c r="S10" s="8">
        <v>6663.3744</v>
      </c>
      <c r="T10" s="8">
        <v>6107.87424</v>
      </c>
      <c r="U10" s="8">
        <v>5791.58176</v>
      </c>
      <c r="V10" s="8">
        <v>5348.7984</v>
      </c>
      <c r="W10" s="8">
        <v>4820.91712</v>
      </c>
      <c r="X10" s="8">
        <v>4380.9897599999995</v>
      </c>
      <c r="Y10" s="8">
        <v>3848.7891199999995</v>
      </c>
      <c r="Z10" s="8">
        <v>3474.69664</v>
      </c>
      <c r="AA10" s="9">
        <f t="shared" ref="AA10:AA36" si="1">SUM(C10:Z10)</f>
        <v>123790.7741</v>
      </c>
      <c r="AB10" s="9">
        <v>20.0</v>
      </c>
      <c r="AC10" s="9">
        <f t="shared" ref="AC10:AC36" si="2">AA10*AB10</f>
        <v>2475815.482</v>
      </c>
      <c r="AD10" s="10">
        <f>SUM(AC10:AC12)</f>
        <v>3186518.156</v>
      </c>
    </row>
    <row r="11" ht="14.25" customHeight="1">
      <c r="A11" s="7">
        <v>46113.0</v>
      </c>
      <c r="B11" s="8" t="s">
        <v>35</v>
      </c>
      <c r="C11" s="8">
        <v>3489.77632</v>
      </c>
      <c r="D11" s="8">
        <v>3300.0345599999996</v>
      </c>
      <c r="E11" s="8">
        <v>3180.84416</v>
      </c>
      <c r="F11" s="8">
        <v>3219.256</v>
      </c>
      <c r="G11" s="8">
        <v>3344.1910399999997</v>
      </c>
      <c r="H11" s="8">
        <v>3218.5161599999997</v>
      </c>
      <c r="I11" s="8">
        <v>3574.1452799999997</v>
      </c>
      <c r="J11" s="8">
        <v>2702.1785600000003</v>
      </c>
      <c r="K11" s="8">
        <v>4675.33184</v>
      </c>
      <c r="L11" s="8">
        <v>5110.90176</v>
      </c>
      <c r="M11" s="8">
        <v>5679.7952</v>
      </c>
      <c r="N11" s="8">
        <v>5410.439039999999</v>
      </c>
      <c r="O11" s="8">
        <v>5406.97376</v>
      </c>
      <c r="P11" s="8">
        <v>5236.75072</v>
      </c>
      <c r="Q11" s="8">
        <v>5091.84544</v>
      </c>
      <c r="R11" s="8">
        <v>5019.324799999999</v>
      </c>
      <c r="S11" s="8">
        <v>4835.1644799999995</v>
      </c>
      <c r="T11" s="8">
        <v>4478.68672</v>
      </c>
      <c r="U11" s="8">
        <v>4398.40864</v>
      </c>
      <c r="V11" s="8">
        <v>3993.64544</v>
      </c>
      <c r="W11" s="8">
        <v>3516.94368</v>
      </c>
      <c r="X11" s="8">
        <v>3247.77248</v>
      </c>
      <c r="Y11" s="8">
        <v>2853.67168</v>
      </c>
      <c r="Z11" s="8">
        <v>2494.22368</v>
      </c>
      <c r="AA11" s="9">
        <f t="shared" si="1"/>
        <v>97478.82144</v>
      </c>
      <c r="AB11" s="9">
        <v>4.0</v>
      </c>
      <c r="AC11" s="9">
        <f t="shared" si="2"/>
        <v>389915.2858</v>
      </c>
      <c r="AD11" s="11"/>
    </row>
    <row r="12" ht="14.25" customHeight="1">
      <c r="A12" s="7">
        <v>46113.0</v>
      </c>
      <c r="B12" s="8" t="s">
        <v>36</v>
      </c>
      <c r="C12" s="8">
        <v>2383.8896</v>
      </c>
      <c r="D12" s="8">
        <v>2296.8768</v>
      </c>
      <c r="E12" s="8">
        <v>2225.00896</v>
      </c>
      <c r="F12" s="8">
        <v>2103.63712</v>
      </c>
      <c r="G12" s="8">
        <v>2099.30688</v>
      </c>
      <c r="H12" s="8">
        <v>2107.4505599999998</v>
      </c>
      <c r="I12" s="8">
        <v>2309.20928</v>
      </c>
      <c r="J12" s="8">
        <v>0.0</v>
      </c>
      <c r="K12" s="8">
        <v>0.0</v>
      </c>
      <c r="L12" s="8">
        <v>419.93536</v>
      </c>
      <c r="M12" s="8">
        <v>1717.5712</v>
      </c>
      <c r="N12" s="8">
        <v>2476.5001599999996</v>
      </c>
      <c r="O12" s="8">
        <v>2651.6463999999996</v>
      </c>
      <c r="P12" s="8">
        <v>2479.40512</v>
      </c>
      <c r="Q12" s="8">
        <v>2135.84192</v>
      </c>
      <c r="R12" s="8">
        <v>1997.2524799999999</v>
      </c>
      <c r="S12" s="8">
        <v>1957.94848</v>
      </c>
      <c r="T12" s="8">
        <v>3361.0496</v>
      </c>
      <c r="U12" s="8">
        <v>3503.10976</v>
      </c>
      <c r="V12" s="8">
        <v>3439.4345599999997</v>
      </c>
      <c r="W12" s="8">
        <v>3324.11744</v>
      </c>
      <c r="X12" s="8">
        <v>3046.62848</v>
      </c>
      <c r="Y12" s="8">
        <v>2800.03328</v>
      </c>
      <c r="Z12" s="8">
        <v>2628.71136</v>
      </c>
      <c r="AA12" s="9">
        <f t="shared" si="1"/>
        <v>53464.5648</v>
      </c>
      <c r="AB12" s="9">
        <v>6.0</v>
      </c>
      <c r="AC12" s="9">
        <f t="shared" si="2"/>
        <v>320787.3888</v>
      </c>
      <c r="AD12" s="12"/>
    </row>
    <row r="13" ht="14.25" customHeight="1">
      <c r="A13" s="7">
        <v>46143.0</v>
      </c>
      <c r="B13" s="8" t="s">
        <v>34</v>
      </c>
      <c r="C13" s="8">
        <v>2028.1506080000006</v>
      </c>
      <c r="D13" s="8">
        <v>1997.648576</v>
      </c>
      <c r="E13" s="8">
        <v>1914.6537520000004</v>
      </c>
      <c r="F13" s="8">
        <v>1896.1483200000002</v>
      </c>
      <c r="G13" s="8">
        <v>1997.42488</v>
      </c>
      <c r="H13" s="8">
        <v>2153.1209040000003</v>
      </c>
      <c r="I13" s="8">
        <v>2775.807584</v>
      </c>
      <c r="J13" s="8">
        <v>3573.2116640000004</v>
      </c>
      <c r="K13" s="8">
        <v>4134.908712</v>
      </c>
      <c r="L13" s="8">
        <v>4416.339928000001</v>
      </c>
      <c r="M13" s="8">
        <v>4744.170024</v>
      </c>
      <c r="N13" s="8">
        <v>4790.687968000001</v>
      </c>
      <c r="O13" s="8">
        <v>4685.601360000001</v>
      </c>
      <c r="P13" s="8">
        <v>4787.801568000002</v>
      </c>
      <c r="Q13" s="8">
        <v>4737.967872</v>
      </c>
      <c r="R13" s="8">
        <v>4649.506928000001</v>
      </c>
      <c r="S13" s="8">
        <v>4419.385080000001</v>
      </c>
      <c r="T13" s="8">
        <v>4050.9577680000007</v>
      </c>
      <c r="U13" s="8">
        <v>3841.1814320000008</v>
      </c>
      <c r="V13" s="8">
        <v>3547.5118800000005</v>
      </c>
      <c r="W13" s="8">
        <v>3197.4023840000004</v>
      </c>
      <c r="X13" s="8">
        <v>2905.6270320000003</v>
      </c>
      <c r="Y13" s="8">
        <v>2552.6527840000003</v>
      </c>
      <c r="Z13" s="8">
        <v>2304.541448</v>
      </c>
      <c r="AA13" s="9">
        <f t="shared" si="1"/>
        <v>82102.41046</v>
      </c>
      <c r="AB13" s="9">
        <v>19.0</v>
      </c>
      <c r="AC13" s="9">
        <f t="shared" si="2"/>
        <v>1559945.799</v>
      </c>
      <c r="AD13" s="10">
        <f>SUM(AC13:AC15)</f>
        <v>2131419.877</v>
      </c>
    </row>
    <row r="14" ht="14.25" customHeight="1">
      <c r="A14" s="7">
        <v>46143.0</v>
      </c>
      <c r="B14" s="8" t="s">
        <v>35</v>
      </c>
      <c r="C14" s="8">
        <v>2314.542824</v>
      </c>
      <c r="D14" s="8">
        <v>2188.699392</v>
      </c>
      <c r="E14" s="8">
        <v>2109.6481120000003</v>
      </c>
      <c r="F14" s="8">
        <v>2135.1242</v>
      </c>
      <c r="G14" s="8">
        <v>2217.985528</v>
      </c>
      <c r="H14" s="8">
        <v>2134.6335120000003</v>
      </c>
      <c r="I14" s="8">
        <v>2370.4992960000004</v>
      </c>
      <c r="J14" s="8">
        <v>1792.1801920000003</v>
      </c>
      <c r="K14" s="8">
        <v>3100.845088000001</v>
      </c>
      <c r="L14" s="8">
        <v>3389.7304320000003</v>
      </c>
      <c r="M14" s="8">
        <v>3767.0406400000006</v>
      </c>
      <c r="N14" s="8">
        <v>3588.3941280000004</v>
      </c>
      <c r="O14" s="8">
        <v>3586.0958320000004</v>
      </c>
      <c r="P14" s="8">
        <v>3473.197904</v>
      </c>
      <c r="Q14" s="8">
        <v>3377.0916080000006</v>
      </c>
      <c r="R14" s="8">
        <v>3328.9933600000004</v>
      </c>
      <c r="S14" s="8">
        <v>3206.8517360000005</v>
      </c>
      <c r="T14" s="8">
        <v>2970.4231040000004</v>
      </c>
      <c r="U14" s="8">
        <v>2917.1798480000007</v>
      </c>
      <c r="V14" s="8">
        <v>2648.7266080000004</v>
      </c>
      <c r="W14" s="8">
        <v>2332.5611760000006</v>
      </c>
      <c r="X14" s="8">
        <v>2154.0373360000003</v>
      </c>
      <c r="Y14" s="8">
        <v>1892.6557760000003</v>
      </c>
      <c r="Z14" s="8">
        <v>1654.2571760000003</v>
      </c>
      <c r="AA14" s="9">
        <f t="shared" si="1"/>
        <v>64651.39481</v>
      </c>
      <c r="AB14" s="9">
        <v>5.0</v>
      </c>
      <c r="AC14" s="9">
        <f t="shared" si="2"/>
        <v>323256.974</v>
      </c>
      <c r="AD14" s="11"/>
    </row>
    <row r="15" ht="14.25" customHeight="1">
      <c r="A15" s="7">
        <v>46143.0</v>
      </c>
      <c r="B15" s="8" t="s">
        <v>36</v>
      </c>
      <c r="C15" s="8">
        <v>1581.0797200000002</v>
      </c>
      <c r="D15" s="8">
        <v>1523.3697600000003</v>
      </c>
      <c r="E15" s="8">
        <v>1475.7044720000001</v>
      </c>
      <c r="F15" s="8">
        <v>1395.2063840000003</v>
      </c>
      <c r="G15" s="8">
        <v>1392.3344160000004</v>
      </c>
      <c r="H15" s="8">
        <v>1397.7355920000002</v>
      </c>
      <c r="I15" s="8">
        <v>1531.5490960000002</v>
      </c>
      <c r="J15" s="8">
        <v>0.0</v>
      </c>
      <c r="K15" s="8">
        <v>0.0</v>
      </c>
      <c r="L15" s="8">
        <v>278.515952</v>
      </c>
      <c r="M15" s="8">
        <v>1139.15384</v>
      </c>
      <c r="N15" s="8">
        <v>1642.5023120000003</v>
      </c>
      <c r="O15" s="8">
        <v>1758.6654800000003</v>
      </c>
      <c r="P15" s="8">
        <v>1644.4289840000004</v>
      </c>
      <c r="Q15" s="8">
        <v>1416.5657440000002</v>
      </c>
      <c r="R15" s="8">
        <v>1324.6483360000002</v>
      </c>
      <c r="S15" s="8">
        <v>1298.580536</v>
      </c>
      <c r="T15" s="8">
        <v>2229.16672</v>
      </c>
      <c r="U15" s="8">
        <v>2323.3860320000003</v>
      </c>
      <c r="V15" s="8">
        <v>2281.154392</v>
      </c>
      <c r="W15" s="8">
        <v>2204.672008</v>
      </c>
      <c r="X15" s="8">
        <v>2020.631536</v>
      </c>
      <c r="Y15" s="8">
        <v>1857.0808960000002</v>
      </c>
      <c r="Z15" s="8">
        <v>1743.454152</v>
      </c>
      <c r="AA15" s="9">
        <f t="shared" si="1"/>
        <v>35459.58636</v>
      </c>
      <c r="AB15" s="9">
        <v>7.0</v>
      </c>
      <c r="AC15" s="9">
        <f t="shared" si="2"/>
        <v>248217.1045</v>
      </c>
      <c r="AD15" s="12"/>
    </row>
    <row r="16" ht="14.25" customHeight="1">
      <c r="A16" s="7">
        <v>46174.0</v>
      </c>
      <c r="B16" s="8" t="s">
        <v>34</v>
      </c>
      <c r="C16" s="8">
        <v>1901.3911950000004</v>
      </c>
      <c r="D16" s="8">
        <v>1872.79554</v>
      </c>
      <c r="E16" s="8">
        <v>1794.9878925000003</v>
      </c>
      <c r="F16" s="8">
        <v>1777.63905</v>
      </c>
      <c r="G16" s="8">
        <v>1872.585825</v>
      </c>
      <c r="H16" s="8">
        <v>2018.5508475000001</v>
      </c>
      <c r="I16" s="8">
        <v>2602.3196100000005</v>
      </c>
      <c r="J16" s="8">
        <v>3349.8859350000002</v>
      </c>
      <c r="K16" s="8">
        <v>3876.4769175</v>
      </c>
      <c r="L16" s="8">
        <v>4140.3186825</v>
      </c>
      <c r="M16" s="8">
        <v>4447.6593975000005</v>
      </c>
      <c r="N16" s="8">
        <v>4491.26997</v>
      </c>
      <c r="O16" s="8">
        <v>4392.7512750000005</v>
      </c>
      <c r="P16" s="8">
        <v>4488.56397</v>
      </c>
      <c r="Q16" s="8">
        <v>4441.84488</v>
      </c>
      <c r="R16" s="8">
        <v>4358.9127450000005</v>
      </c>
      <c r="S16" s="8">
        <v>4143.1735125000005</v>
      </c>
      <c r="T16" s="8">
        <v>3797.7729075</v>
      </c>
      <c r="U16" s="8">
        <v>3601.1075925000005</v>
      </c>
      <c r="V16" s="8">
        <v>3325.7923875</v>
      </c>
      <c r="W16" s="8">
        <v>2997.564735</v>
      </c>
      <c r="X16" s="8">
        <v>2724.0253425</v>
      </c>
      <c r="Y16" s="8">
        <v>2393.111985</v>
      </c>
      <c r="Z16" s="8">
        <v>2160.5076075</v>
      </c>
      <c r="AA16" s="9">
        <f t="shared" si="1"/>
        <v>76971.0098</v>
      </c>
      <c r="AB16" s="9">
        <v>19.0</v>
      </c>
      <c r="AC16" s="9">
        <f t="shared" si="2"/>
        <v>1462449.186</v>
      </c>
      <c r="AD16" s="10">
        <f>SUM(AC16:AC18)</f>
        <v>1937595.452</v>
      </c>
    </row>
    <row r="17" ht="14.25" customHeight="1">
      <c r="A17" s="7">
        <v>46174.0</v>
      </c>
      <c r="B17" s="8" t="s">
        <v>35</v>
      </c>
      <c r="C17" s="8">
        <v>2169.8838975000003</v>
      </c>
      <c r="D17" s="8">
        <v>2051.90568</v>
      </c>
      <c r="E17" s="8">
        <v>1977.7951050000004</v>
      </c>
      <c r="F17" s="8">
        <v>2001.6789375000003</v>
      </c>
      <c r="G17" s="8">
        <v>2079.3614325000003</v>
      </c>
      <c r="H17" s="8">
        <v>2001.2189175000003</v>
      </c>
      <c r="I17" s="8">
        <v>2222.3430900000003</v>
      </c>
      <c r="J17" s="8">
        <v>1680.1689300000003</v>
      </c>
      <c r="K17" s="8">
        <v>2907.0422700000004</v>
      </c>
      <c r="L17" s="8">
        <v>3177.87228</v>
      </c>
      <c r="M17" s="8">
        <v>3531.6006000000007</v>
      </c>
      <c r="N17" s="8">
        <v>3364.1194950000004</v>
      </c>
      <c r="O17" s="8">
        <v>3361.9648425000005</v>
      </c>
      <c r="P17" s="8">
        <v>3256.123035</v>
      </c>
      <c r="Q17" s="8">
        <v>3166.0233825</v>
      </c>
      <c r="R17" s="8">
        <v>3120.9312750000004</v>
      </c>
      <c r="S17" s="8">
        <v>3006.4235025000003</v>
      </c>
      <c r="T17" s="8">
        <v>2784.7716600000003</v>
      </c>
      <c r="U17" s="8">
        <v>2734.8561075000002</v>
      </c>
      <c r="V17" s="8">
        <v>2483.181195</v>
      </c>
      <c r="W17" s="8">
        <v>2186.7761025000004</v>
      </c>
      <c r="X17" s="8">
        <v>2019.4100025</v>
      </c>
      <c r="Y17" s="8">
        <v>1774.36479</v>
      </c>
      <c r="Z17" s="8">
        <v>1550.8661025000001</v>
      </c>
      <c r="AA17" s="9">
        <f t="shared" si="1"/>
        <v>60610.68263</v>
      </c>
      <c r="AB17" s="9">
        <v>4.0</v>
      </c>
      <c r="AC17" s="9">
        <f t="shared" si="2"/>
        <v>242442.7305</v>
      </c>
      <c r="AD17" s="11"/>
    </row>
    <row r="18" ht="14.25" customHeight="1">
      <c r="A18" s="7">
        <v>46174.0</v>
      </c>
      <c r="B18" s="8" t="s">
        <v>36</v>
      </c>
      <c r="C18" s="8">
        <v>1482.2622375</v>
      </c>
      <c r="D18" s="8">
        <v>1428.1591500000002</v>
      </c>
      <c r="E18" s="8">
        <v>1383.4729425</v>
      </c>
      <c r="F18" s="8">
        <v>1308.0059850000002</v>
      </c>
      <c r="G18" s="8">
        <v>1305.3135150000003</v>
      </c>
      <c r="H18" s="8">
        <v>1310.3771175000002</v>
      </c>
      <c r="I18" s="8">
        <v>1435.8272775</v>
      </c>
      <c r="J18" s="8">
        <v>0.0</v>
      </c>
      <c r="K18" s="8">
        <v>0.0</v>
      </c>
      <c r="L18" s="8">
        <v>261.10870500000004</v>
      </c>
      <c r="M18" s="8">
        <v>1067.956725</v>
      </c>
      <c r="N18" s="8">
        <v>1539.8459175</v>
      </c>
      <c r="O18" s="8">
        <v>1648.7488875000001</v>
      </c>
      <c r="P18" s="8">
        <v>1541.6521725000002</v>
      </c>
      <c r="Q18" s="8">
        <v>1328.030385</v>
      </c>
      <c r="R18" s="8">
        <v>1241.8578150000003</v>
      </c>
      <c r="S18" s="8">
        <v>1217.4192525</v>
      </c>
      <c r="T18" s="8">
        <v>2089.8437999999996</v>
      </c>
      <c r="U18" s="8">
        <v>2178.174405</v>
      </c>
      <c r="V18" s="8">
        <v>2138.5822424999997</v>
      </c>
      <c r="W18" s="8">
        <v>2066.8800075</v>
      </c>
      <c r="X18" s="8">
        <v>1894.342065</v>
      </c>
      <c r="Y18" s="8">
        <v>1741.01334</v>
      </c>
      <c r="Z18" s="8">
        <v>1634.4882675</v>
      </c>
      <c r="AA18" s="9">
        <f t="shared" si="1"/>
        <v>33243.36221</v>
      </c>
      <c r="AB18" s="9">
        <v>7.0</v>
      </c>
      <c r="AC18" s="9">
        <f t="shared" si="2"/>
        <v>232703.5355</v>
      </c>
      <c r="AD18" s="12"/>
    </row>
    <row r="19" ht="14.25" customHeight="1">
      <c r="A19" s="7">
        <v>46204.0</v>
      </c>
      <c r="B19" s="8" t="s">
        <v>34</v>
      </c>
      <c r="C19" s="8">
        <v>2955.7990395</v>
      </c>
      <c r="D19" s="8">
        <v>2911.345794</v>
      </c>
      <c r="E19" s="8">
        <v>2790.39026925</v>
      </c>
      <c r="F19" s="8">
        <v>2763.4207049999995</v>
      </c>
      <c r="G19" s="8">
        <v>2911.0197825</v>
      </c>
      <c r="H19" s="8">
        <v>3137.9290447500002</v>
      </c>
      <c r="I19" s="8">
        <v>4045.424121</v>
      </c>
      <c r="J19" s="8">
        <v>5207.549953499999</v>
      </c>
      <c r="K19" s="8">
        <v>6026.1595717499995</v>
      </c>
      <c r="L19" s="8">
        <v>6436.313588250001</v>
      </c>
      <c r="M19" s="8">
        <v>6914.088699749999</v>
      </c>
      <c r="N19" s="8">
        <v>6981.883317000001</v>
      </c>
      <c r="O19" s="8">
        <v>6828.731527499999</v>
      </c>
      <c r="P19" s="8">
        <v>6977.676717</v>
      </c>
      <c r="Q19" s="8">
        <v>6905.049768</v>
      </c>
      <c r="R19" s="8">
        <v>6776.127994500001</v>
      </c>
      <c r="S19" s="8">
        <v>6440.75155125</v>
      </c>
      <c r="T19" s="8">
        <v>5903.81061075</v>
      </c>
      <c r="U19" s="8">
        <v>5598.0854392500005</v>
      </c>
      <c r="V19" s="8">
        <v>5170.09543875</v>
      </c>
      <c r="W19" s="8">
        <v>4659.850633499999</v>
      </c>
      <c r="X19" s="8">
        <v>4234.621214249999</v>
      </c>
      <c r="Y19" s="8">
        <v>3720.201358499999</v>
      </c>
      <c r="Z19" s="8">
        <v>3358.6072807499995</v>
      </c>
      <c r="AA19" s="9">
        <f t="shared" si="1"/>
        <v>119654.9334</v>
      </c>
      <c r="AB19" s="9">
        <v>22.0</v>
      </c>
      <c r="AC19" s="9">
        <f t="shared" si="2"/>
        <v>2632408.535</v>
      </c>
      <c r="AD19" s="10">
        <f>SUM(AC19:AC21)</f>
        <v>3267688.368</v>
      </c>
    </row>
    <row r="20" ht="14.25" customHeight="1">
      <c r="A20" s="7">
        <v>46204.0</v>
      </c>
      <c r="B20" s="8" t="s">
        <v>35</v>
      </c>
      <c r="C20" s="8">
        <v>3373.1831497499998</v>
      </c>
      <c r="D20" s="8">
        <v>3189.7806479999995</v>
      </c>
      <c r="E20" s="8">
        <v>3074.5723905</v>
      </c>
      <c r="F20" s="8">
        <v>3111.70089375</v>
      </c>
      <c r="G20" s="8">
        <v>3232.4618632499996</v>
      </c>
      <c r="H20" s="8">
        <v>3110.98577175</v>
      </c>
      <c r="I20" s="8">
        <v>3454.733349</v>
      </c>
      <c r="J20" s="8">
        <v>2611.898973</v>
      </c>
      <c r="K20" s="8">
        <v>4519.129347</v>
      </c>
      <c r="L20" s="8">
        <v>4940.146908</v>
      </c>
      <c r="M20" s="8">
        <v>5490.03366</v>
      </c>
      <c r="N20" s="8">
        <v>5229.6766695</v>
      </c>
      <c r="O20" s="8">
        <v>5226.32716425</v>
      </c>
      <c r="P20" s="8">
        <v>5061.791263499999</v>
      </c>
      <c r="Q20" s="8">
        <v>4921.72725825</v>
      </c>
      <c r="R20" s="8">
        <v>4851.6295275</v>
      </c>
      <c r="S20" s="8">
        <v>4673.62199025</v>
      </c>
      <c r="T20" s="8">
        <v>4329.054126</v>
      </c>
      <c r="U20" s="8">
        <v>4251.458130749999</v>
      </c>
      <c r="V20" s="8">
        <v>3860.2180395</v>
      </c>
      <c r="W20" s="8">
        <v>3399.4428502500004</v>
      </c>
      <c r="X20" s="8">
        <v>3139.2646402499995</v>
      </c>
      <c r="Y20" s="8">
        <v>2758.330719</v>
      </c>
      <c r="Z20" s="8">
        <v>2410.89185025</v>
      </c>
      <c r="AA20" s="9">
        <f t="shared" si="1"/>
        <v>94222.06118</v>
      </c>
      <c r="AB20" s="9">
        <v>4.0</v>
      </c>
      <c r="AC20" s="9">
        <f t="shared" si="2"/>
        <v>376888.2447</v>
      </c>
      <c r="AD20" s="11"/>
    </row>
    <row r="21" ht="14.25" customHeight="1">
      <c r="A21" s="7">
        <v>46204.0</v>
      </c>
      <c r="B21" s="8" t="s">
        <v>36</v>
      </c>
      <c r="C21" s="8">
        <v>2304.24402375</v>
      </c>
      <c r="D21" s="8">
        <v>2220.138315</v>
      </c>
      <c r="E21" s="8">
        <v>2150.67157425</v>
      </c>
      <c r="F21" s="8">
        <v>2033.3547585000001</v>
      </c>
      <c r="G21" s="8">
        <v>2029.1691915000001</v>
      </c>
      <c r="H21" s="8">
        <v>2037.04079175</v>
      </c>
      <c r="I21" s="8">
        <v>2232.05876775</v>
      </c>
      <c r="J21" s="8">
        <v>0.0</v>
      </c>
      <c r="K21" s="8">
        <v>0.0</v>
      </c>
      <c r="L21" s="8">
        <v>405.9053505</v>
      </c>
      <c r="M21" s="8">
        <v>1660.1872724999998</v>
      </c>
      <c r="N21" s="8">
        <v>2393.76047175</v>
      </c>
      <c r="O21" s="8">
        <v>2563.05508875</v>
      </c>
      <c r="P21" s="8">
        <v>2396.56837725</v>
      </c>
      <c r="Q21" s="8">
        <v>2064.4835985</v>
      </c>
      <c r="R21" s="8">
        <v>1930.5244215000002</v>
      </c>
      <c r="S21" s="8">
        <v>1892.5335652499996</v>
      </c>
      <c r="T21" s="8">
        <v>3248.7571799999996</v>
      </c>
      <c r="U21" s="8">
        <v>3386.0711205000002</v>
      </c>
      <c r="V21" s="8">
        <v>3324.5233042499995</v>
      </c>
      <c r="W21" s="8">
        <v>3213.0589207499997</v>
      </c>
      <c r="X21" s="8">
        <v>2944.8408464999998</v>
      </c>
      <c r="Y21" s="8">
        <v>2706.484374</v>
      </c>
      <c r="Z21" s="8">
        <v>2540.8863067499997</v>
      </c>
      <c r="AA21" s="9">
        <f t="shared" si="1"/>
        <v>51678.31762</v>
      </c>
      <c r="AB21" s="9">
        <v>5.0</v>
      </c>
      <c r="AC21" s="9">
        <f t="shared" si="2"/>
        <v>258391.5881</v>
      </c>
      <c r="AD21" s="12"/>
    </row>
    <row r="22" ht="14.25" customHeight="1">
      <c r="A22" s="7">
        <v>46235.0</v>
      </c>
      <c r="B22" s="8" t="s">
        <v>34</v>
      </c>
      <c r="C22" s="8">
        <v>2074.24494</v>
      </c>
      <c r="D22" s="8">
        <v>2043.0496799999996</v>
      </c>
      <c r="E22" s="8">
        <v>1958.1686100000002</v>
      </c>
      <c r="F22" s="8">
        <v>1939.2425999999998</v>
      </c>
      <c r="G22" s="8">
        <v>2042.8209</v>
      </c>
      <c r="H22" s="8">
        <v>2202.05547</v>
      </c>
      <c r="I22" s="8">
        <v>2838.89412</v>
      </c>
      <c r="J22" s="8">
        <v>3654.4210199999998</v>
      </c>
      <c r="K22" s="8">
        <v>4228.88391</v>
      </c>
      <c r="L22" s="8">
        <v>4516.71129</v>
      </c>
      <c r="M22" s="8">
        <v>4851.992069999999</v>
      </c>
      <c r="N22" s="8">
        <v>4899.56724</v>
      </c>
      <c r="O22" s="8">
        <v>4792.092299999999</v>
      </c>
      <c r="P22" s="8">
        <v>4896.61524</v>
      </c>
      <c r="Q22" s="8">
        <v>4845.6489599999995</v>
      </c>
      <c r="R22" s="8">
        <v>4755.17754</v>
      </c>
      <c r="S22" s="8">
        <v>4519.82565</v>
      </c>
      <c r="T22" s="8">
        <v>4143.02499</v>
      </c>
      <c r="U22" s="8">
        <v>3928.48101</v>
      </c>
      <c r="V22" s="8">
        <v>3628.1371499999996</v>
      </c>
      <c r="W22" s="8">
        <v>3270.07062</v>
      </c>
      <c r="X22" s="8">
        <v>2971.6640099999995</v>
      </c>
      <c r="Y22" s="8">
        <v>2610.6676199999997</v>
      </c>
      <c r="Z22" s="8">
        <v>2356.9173899999996</v>
      </c>
      <c r="AA22" s="9">
        <f t="shared" si="1"/>
        <v>83968.37433</v>
      </c>
      <c r="AB22" s="9">
        <v>19.0</v>
      </c>
      <c r="AC22" s="9">
        <f t="shared" si="2"/>
        <v>1595399.112</v>
      </c>
      <c r="AD22" s="10">
        <f>SUM(AC22:AC24)</f>
        <v>2179861.238</v>
      </c>
    </row>
    <row r="23" ht="14.25" customHeight="1">
      <c r="A23" s="7">
        <v>46235.0</v>
      </c>
      <c r="B23" s="8" t="s">
        <v>35</v>
      </c>
      <c r="C23" s="8">
        <v>2367.14607</v>
      </c>
      <c r="D23" s="8">
        <v>2238.4425599999995</v>
      </c>
      <c r="E23" s="8">
        <v>2157.59466</v>
      </c>
      <c r="F23" s="8">
        <v>2183.64975</v>
      </c>
      <c r="G23" s="8">
        <v>2268.3942899999997</v>
      </c>
      <c r="H23" s="8">
        <v>2183.14791</v>
      </c>
      <c r="I23" s="8">
        <v>2424.37428</v>
      </c>
      <c r="J23" s="8">
        <v>1832.91156</v>
      </c>
      <c r="K23" s="8">
        <v>3171.31884</v>
      </c>
      <c r="L23" s="8">
        <v>3466.7697599999997</v>
      </c>
      <c r="M23" s="8">
        <v>3852.6552</v>
      </c>
      <c r="N23" s="8">
        <v>3669.94854</v>
      </c>
      <c r="O23" s="8">
        <v>3667.59801</v>
      </c>
      <c r="P23" s="8">
        <v>3552.1342199999995</v>
      </c>
      <c r="Q23" s="8">
        <v>3453.8436899999997</v>
      </c>
      <c r="R23" s="8">
        <v>3404.6523</v>
      </c>
      <c r="S23" s="8">
        <v>3279.7347299999997</v>
      </c>
      <c r="T23" s="8">
        <v>3037.93272</v>
      </c>
      <c r="U23" s="8">
        <v>2983.47939</v>
      </c>
      <c r="V23" s="8">
        <v>2708.92494</v>
      </c>
      <c r="W23" s="8">
        <v>2385.57393</v>
      </c>
      <c r="X23" s="8">
        <v>2202.99273</v>
      </c>
      <c r="Y23" s="8">
        <v>1935.67068</v>
      </c>
      <c r="Z23" s="8">
        <v>1691.85393</v>
      </c>
      <c r="AA23" s="9">
        <f t="shared" si="1"/>
        <v>66120.74469</v>
      </c>
      <c r="AB23" s="9">
        <v>5.0</v>
      </c>
      <c r="AC23" s="9">
        <f t="shared" si="2"/>
        <v>330603.7235</v>
      </c>
      <c r="AD23" s="11"/>
    </row>
    <row r="24" ht="14.25" customHeight="1">
      <c r="A24" s="7">
        <v>46235.0</v>
      </c>
      <c r="B24" s="8" t="s">
        <v>36</v>
      </c>
      <c r="C24" s="8">
        <v>1617.01335</v>
      </c>
      <c r="D24" s="8">
        <v>1557.9918</v>
      </c>
      <c r="E24" s="8">
        <v>1509.2432099999999</v>
      </c>
      <c r="F24" s="8">
        <v>1426.91562</v>
      </c>
      <c r="G24" s="8">
        <v>1423.97838</v>
      </c>
      <c r="H24" s="8">
        <v>1429.50231</v>
      </c>
      <c r="I24" s="8">
        <v>1566.35703</v>
      </c>
      <c r="J24" s="8">
        <v>0.0</v>
      </c>
      <c r="K24" s="8">
        <v>0.0</v>
      </c>
      <c r="L24" s="8">
        <v>284.84586</v>
      </c>
      <c r="M24" s="8">
        <v>1165.0437</v>
      </c>
      <c r="N24" s="8">
        <v>1679.8319099999999</v>
      </c>
      <c r="O24" s="8">
        <v>1798.6351499999998</v>
      </c>
      <c r="P24" s="8">
        <v>1681.80237</v>
      </c>
      <c r="Q24" s="8">
        <v>1448.7604199999998</v>
      </c>
      <c r="R24" s="8">
        <v>1354.7539800000002</v>
      </c>
      <c r="S24" s="8">
        <v>1328.0937299999998</v>
      </c>
      <c r="T24" s="8">
        <v>2279.8295999999996</v>
      </c>
      <c r="U24" s="8">
        <v>2376.19026</v>
      </c>
      <c r="V24" s="8">
        <v>2332.9988099999996</v>
      </c>
      <c r="W24" s="8">
        <v>2254.7781899999995</v>
      </c>
      <c r="X24" s="8">
        <v>2066.55498</v>
      </c>
      <c r="Y24" s="8">
        <v>1899.2872799999998</v>
      </c>
      <c r="Z24" s="8">
        <v>1783.0781099999997</v>
      </c>
      <c r="AA24" s="9">
        <f t="shared" si="1"/>
        <v>36265.48605</v>
      </c>
      <c r="AB24" s="9">
        <v>7.0</v>
      </c>
      <c r="AC24" s="9">
        <f t="shared" si="2"/>
        <v>253858.4024</v>
      </c>
      <c r="AD24" s="12"/>
    </row>
    <row r="25" ht="14.25" customHeight="1">
      <c r="A25" s="7">
        <v>46266.0</v>
      </c>
      <c r="B25" s="8" t="s">
        <v>34</v>
      </c>
      <c r="C25" s="8">
        <v>1669.51422</v>
      </c>
      <c r="D25" s="8">
        <v>1644.4058400000001</v>
      </c>
      <c r="E25" s="8">
        <v>1576.08693</v>
      </c>
      <c r="F25" s="8">
        <v>1560.8537999999999</v>
      </c>
      <c r="G25" s="8">
        <v>1644.2217</v>
      </c>
      <c r="H25" s="8">
        <v>1772.3861100000001</v>
      </c>
      <c r="I25" s="8">
        <v>2284.96356</v>
      </c>
      <c r="J25" s="8">
        <v>2941.36326</v>
      </c>
      <c r="K25" s="8">
        <v>3403.73583</v>
      </c>
      <c r="L25" s="8">
        <v>3635.4017700000004</v>
      </c>
      <c r="M25" s="8">
        <v>3905.26191</v>
      </c>
      <c r="N25" s="8">
        <v>3943.5541200000002</v>
      </c>
      <c r="O25" s="8">
        <v>3857.0499</v>
      </c>
      <c r="P25" s="8">
        <v>3941.17812</v>
      </c>
      <c r="Q25" s="8">
        <v>3900.15648</v>
      </c>
      <c r="R25" s="8">
        <v>3827.3380199999997</v>
      </c>
      <c r="S25" s="8">
        <v>3637.90845</v>
      </c>
      <c r="T25" s="8">
        <v>3334.62987</v>
      </c>
      <c r="U25" s="8">
        <v>3161.94813</v>
      </c>
      <c r="V25" s="8">
        <v>2920.20795</v>
      </c>
      <c r="W25" s="8">
        <v>2632.00806</v>
      </c>
      <c r="X25" s="8">
        <v>2391.82713</v>
      </c>
      <c r="Y25" s="8">
        <v>2101.26906</v>
      </c>
      <c r="Z25" s="8">
        <v>1897.03107</v>
      </c>
      <c r="AA25" s="9">
        <f t="shared" si="1"/>
        <v>67584.30129</v>
      </c>
      <c r="AB25" s="9">
        <v>22.0</v>
      </c>
      <c r="AC25" s="9">
        <f t="shared" si="2"/>
        <v>1486854.628</v>
      </c>
      <c r="AD25" s="10">
        <f>SUM(AC25:AC27)</f>
        <v>1816488.347</v>
      </c>
    </row>
    <row r="26" ht="14.25" customHeight="1">
      <c r="A26" s="7">
        <v>46266.0</v>
      </c>
      <c r="B26" s="8" t="s">
        <v>35</v>
      </c>
      <c r="C26" s="8">
        <v>1905.26391</v>
      </c>
      <c r="D26" s="8">
        <v>1801.6732800000002</v>
      </c>
      <c r="E26" s="8">
        <v>1736.60058</v>
      </c>
      <c r="F26" s="8">
        <v>1757.57175</v>
      </c>
      <c r="G26" s="8">
        <v>1825.7807699999998</v>
      </c>
      <c r="H26" s="8">
        <v>1757.16783</v>
      </c>
      <c r="I26" s="8">
        <v>1951.32564</v>
      </c>
      <c r="J26" s="8">
        <v>1475.27028</v>
      </c>
      <c r="K26" s="8">
        <v>2552.5249200000003</v>
      </c>
      <c r="L26" s="8">
        <v>2790.32688</v>
      </c>
      <c r="M26" s="8">
        <v>3100.9176</v>
      </c>
      <c r="N26" s="8">
        <v>2953.86102</v>
      </c>
      <c r="O26" s="8">
        <v>2951.9691300000004</v>
      </c>
      <c r="P26" s="8">
        <v>2859.0348599999998</v>
      </c>
      <c r="Q26" s="8">
        <v>2779.92297</v>
      </c>
      <c r="R26" s="8">
        <v>2740.3299</v>
      </c>
      <c r="S26" s="8">
        <v>2639.7864900000004</v>
      </c>
      <c r="T26" s="8">
        <v>2445.16536</v>
      </c>
      <c r="U26" s="8">
        <v>2401.33707</v>
      </c>
      <c r="V26" s="8">
        <v>2180.35422</v>
      </c>
      <c r="W26" s="8">
        <v>1920.0960899999998</v>
      </c>
      <c r="X26" s="8">
        <v>1773.14049</v>
      </c>
      <c r="Y26" s="8">
        <v>1557.97884</v>
      </c>
      <c r="Z26" s="8">
        <v>1361.7360899999999</v>
      </c>
      <c r="AA26" s="9">
        <f t="shared" si="1"/>
        <v>53219.13597</v>
      </c>
      <c r="AB26" s="9">
        <v>4.0</v>
      </c>
      <c r="AC26" s="9">
        <f t="shared" si="2"/>
        <v>212876.5439</v>
      </c>
      <c r="AD26" s="11"/>
    </row>
    <row r="27" ht="14.25" customHeight="1">
      <c r="A27" s="7">
        <v>46266.0</v>
      </c>
      <c r="B27" s="8" t="s">
        <v>36</v>
      </c>
      <c r="C27" s="8">
        <v>1301.49855</v>
      </c>
      <c r="D27" s="8">
        <v>1253.9934</v>
      </c>
      <c r="E27" s="8">
        <v>1214.75673</v>
      </c>
      <c r="F27" s="8">
        <v>1148.49306</v>
      </c>
      <c r="G27" s="8">
        <v>1146.12894</v>
      </c>
      <c r="H27" s="8">
        <v>1150.57503</v>
      </c>
      <c r="I27" s="8">
        <v>1260.72639</v>
      </c>
      <c r="J27" s="8">
        <v>0.0</v>
      </c>
      <c r="K27" s="8">
        <v>0.0</v>
      </c>
      <c r="L27" s="8">
        <v>229.26618</v>
      </c>
      <c r="M27" s="8">
        <v>937.7181000000002</v>
      </c>
      <c r="N27" s="8">
        <v>1352.0598300000001</v>
      </c>
      <c r="O27" s="8">
        <v>1447.68195</v>
      </c>
      <c r="P27" s="8">
        <v>1353.64581</v>
      </c>
      <c r="Q27" s="8">
        <v>1166.07546</v>
      </c>
      <c r="R27" s="8">
        <v>1090.41174</v>
      </c>
      <c r="S27" s="8">
        <v>1068.95349</v>
      </c>
      <c r="T27" s="8">
        <v>1834.9848000000002</v>
      </c>
      <c r="U27" s="8">
        <v>1912.5433800000003</v>
      </c>
      <c r="V27" s="8">
        <v>1877.77953</v>
      </c>
      <c r="W27" s="8">
        <v>1814.82147</v>
      </c>
      <c r="X27" s="8">
        <v>1663.32474</v>
      </c>
      <c r="Y27" s="8">
        <v>1528.6946400000002</v>
      </c>
      <c r="Z27" s="8">
        <v>1435.16043</v>
      </c>
      <c r="AA27" s="9">
        <f t="shared" si="1"/>
        <v>29189.29365</v>
      </c>
      <c r="AB27" s="9">
        <v>4.0</v>
      </c>
      <c r="AC27" s="9">
        <f t="shared" si="2"/>
        <v>116757.1746</v>
      </c>
      <c r="AD27" s="12"/>
    </row>
    <row r="28" ht="14.25" customHeight="1">
      <c r="A28" s="7">
        <v>46296.0</v>
      </c>
      <c r="B28" s="8" t="s">
        <v>34</v>
      </c>
      <c r="C28" s="8">
        <v>1987.8180675</v>
      </c>
      <c r="D28" s="8">
        <v>1957.9226099999996</v>
      </c>
      <c r="E28" s="8">
        <v>1876.57825125</v>
      </c>
      <c r="F28" s="8">
        <v>1858.440825</v>
      </c>
      <c r="G28" s="8">
        <v>1957.7033625</v>
      </c>
      <c r="H28" s="8">
        <v>2110.30315875</v>
      </c>
      <c r="I28" s="8">
        <v>2720.6068649999997</v>
      </c>
      <c r="J28" s="8">
        <v>3502.1534774999996</v>
      </c>
      <c r="K28" s="8">
        <v>4052.6804137499994</v>
      </c>
      <c r="L28" s="8">
        <v>4328.51498625</v>
      </c>
      <c r="M28" s="8">
        <v>4649.82573375</v>
      </c>
      <c r="N28" s="8">
        <v>4695.418605</v>
      </c>
      <c r="O28" s="8">
        <v>4592.4217874999995</v>
      </c>
      <c r="P28" s="8">
        <v>4692.589605</v>
      </c>
      <c r="Q28" s="8">
        <v>4643.74692</v>
      </c>
      <c r="R28" s="8">
        <v>4557.0451425</v>
      </c>
      <c r="S28" s="8">
        <v>4331.49958125</v>
      </c>
      <c r="T28" s="8">
        <v>3970.39894875</v>
      </c>
      <c r="U28" s="8">
        <v>3764.79430125</v>
      </c>
      <c r="V28" s="8">
        <v>3476.9647687499996</v>
      </c>
      <c r="W28" s="8">
        <v>3133.8176774999997</v>
      </c>
      <c r="X28" s="8">
        <v>2847.8446762499993</v>
      </c>
      <c r="Y28" s="8">
        <v>2501.8898024999994</v>
      </c>
      <c r="Z28" s="8">
        <v>2258.7124987499997</v>
      </c>
      <c r="AA28" s="9">
        <f t="shared" si="1"/>
        <v>80469.69207</v>
      </c>
      <c r="AB28" s="9">
        <v>21.0</v>
      </c>
      <c r="AC28" s="9">
        <f t="shared" si="2"/>
        <v>1689863.533</v>
      </c>
      <c r="AD28" s="10">
        <f>SUM(AC28:AC30)</f>
        <v>2180464.222</v>
      </c>
    </row>
    <row r="29" ht="14.25" customHeight="1">
      <c r="A29" s="7">
        <v>46296.0</v>
      </c>
      <c r="B29" s="8" t="s">
        <v>35</v>
      </c>
      <c r="C29" s="8">
        <v>2268.51498375</v>
      </c>
      <c r="D29" s="8">
        <v>2145.1741199999997</v>
      </c>
      <c r="E29" s="8">
        <v>2067.6948825</v>
      </c>
      <c r="F29" s="8">
        <v>2092.66434375</v>
      </c>
      <c r="G29" s="8">
        <v>2173.87786125</v>
      </c>
      <c r="H29" s="8">
        <v>2092.18341375</v>
      </c>
      <c r="I29" s="8">
        <v>2323.358685</v>
      </c>
      <c r="J29" s="8">
        <v>1756.540245</v>
      </c>
      <c r="K29" s="8">
        <v>3039.1805549999995</v>
      </c>
      <c r="L29" s="8">
        <v>3322.32102</v>
      </c>
      <c r="M29" s="8">
        <v>3692.1279</v>
      </c>
      <c r="N29" s="8">
        <v>3517.0340174999997</v>
      </c>
      <c r="O29" s="8">
        <v>3514.78142625</v>
      </c>
      <c r="P29" s="8">
        <v>3404.1286274999993</v>
      </c>
      <c r="Q29" s="8">
        <v>3309.9335362499996</v>
      </c>
      <c r="R29" s="8">
        <v>3262.7917875</v>
      </c>
      <c r="S29" s="8">
        <v>3143.0791162499995</v>
      </c>
      <c r="T29" s="8">
        <v>2911.3521899999996</v>
      </c>
      <c r="U29" s="8">
        <v>2859.1677487499996</v>
      </c>
      <c r="V29" s="8">
        <v>2596.0530674999995</v>
      </c>
      <c r="W29" s="8">
        <v>2286.17501625</v>
      </c>
      <c r="X29" s="8">
        <v>2111.20136625</v>
      </c>
      <c r="Y29" s="8">
        <v>1855.017735</v>
      </c>
      <c r="Z29" s="8">
        <v>1621.36001625</v>
      </c>
      <c r="AA29" s="9">
        <f t="shared" si="1"/>
        <v>63365.71366</v>
      </c>
      <c r="AB29" s="9">
        <v>5.0</v>
      </c>
      <c r="AC29" s="9">
        <f t="shared" si="2"/>
        <v>316828.5683</v>
      </c>
      <c r="AD29" s="11"/>
    </row>
    <row r="30" ht="14.25" customHeight="1">
      <c r="A30" s="7">
        <v>46296.0</v>
      </c>
      <c r="B30" s="8" t="s">
        <v>36</v>
      </c>
      <c r="C30" s="8">
        <v>1549.63779375</v>
      </c>
      <c r="D30" s="8">
        <v>1493.075475</v>
      </c>
      <c r="E30" s="8">
        <v>1446.3580762499998</v>
      </c>
      <c r="F30" s="8">
        <v>1367.4608025</v>
      </c>
      <c r="G30" s="8">
        <v>1364.6459475</v>
      </c>
      <c r="H30" s="8">
        <v>1369.93971375</v>
      </c>
      <c r="I30" s="8">
        <v>1501.0921537499999</v>
      </c>
      <c r="J30" s="8">
        <v>0.0</v>
      </c>
      <c r="K30" s="8">
        <v>0.0</v>
      </c>
      <c r="L30" s="8">
        <v>272.9772825</v>
      </c>
      <c r="M30" s="8">
        <v>1116.5002124999999</v>
      </c>
      <c r="N30" s="8">
        <v>1609.8389137499998</v>
      </c>
      <c r="O30" s="8">
        <v>1723.6920187499998</v>
      </c>
      <c r="P30" s="8">
        <v>1611.72727125</v>
      </c>
      <c r="Q30" s="8">
        <v>1388.3954024999998</v>
      </c>
      <c r="R30" s="8">
        <v>1298.3058975000001</v>
      </c>
      <c r="S30" s="8">
        <v>1272.7564912499997</v>
      </c>
      <c r="T30" s="8">
        <v>2184.8366999999994</v>
      </c>
      <c r="U30" s="8">
        <v>2277.1823325</v>
      </c>
      <c r="V30" s="8">
        <v>2235.7905262499994</v>
      </c>
      <c r="W30" s="8">
        <v>2160.8290987499995</v>
      </c>
      <c r="X30" s="8">
        <v>1980.4485224999999</v>
      </c>
      <c r="Y30" s="8">
        <v>1820.1503099999998</v>
      </c>
      <c r="Z30" s="8">
        <v>1708.7831887499997</v>
      </c>
      <c r="AA30" s="9">
        <f t="shared" si="1"/>
        <v>34754.42413</v>
      </c>
      <c r="AB30" s="9">
        <v>5.0</v>
      </c>
      <c r="AC30" s="9">
        <f t="shared" si="2"/>
        <v>173772.1207</v>
      </c>
      <c r="AD30" s="12"/>
    </row>
    <row r="31" ht="14.25" customHeight="1">
      <c r="A31" s="7">
        <v>46327.0</v>
      </c>
      <c r="B31" s="8" t="s">
        <v>34</v>
      </c>
      <c r="C31" s="8">
        <v>2133.26817</v>
      </c>
      <c r="D31" s="8">
        <v>2101.18524</v>
      </c>
      <c r="E31" s="8">
        <v>2013.8888549999997</v>
      </c>
      <c r="F31" s="8">
        <v>1994.4242999999997</v>
      </c>
      <c r="G31" s="8">
        <v>2100.9499499999997</v>
      </c>
      <c r="H31" s="8">
        <v>2264.715585</v>
      </c>
      <c r="I31" s="8">
        <v>2919.6756599999994</v>
      </c>
      <c r="J31" s="8">
        <v>3758.4086099999995</v>
      </c>
      <c r="K31" s="8">
        <v>4349.218005</v>
      </c>
      <c r="L31" s="8">
        <v>4645.235595</v>
      </c>
      <c r="M31" s="8">
        <v>4990.056885</v>
      </c>
      <c r="N31" s="8">
        <v>5038.98582</v>
      </c>
      <c r="O31" s="8">
        <v>4928.452649999999</v>
      </c>
      <c r="P31" s="8">
        <v>5035.94982</v>
      </c>
      <c r="Q31" s="8">
        <v>4983.53328</v>
      </c>
      <c r="R31" s="8">
        <v>4890.487469999999</v>
      </c>
      <c r="S31" s="8">
        <v>4648.438574999999</v>
      </c>
      <c r="T31" s="8">
        <v>4260.915945</v>
      </c>
      <c r="U31" s="8">
        <v>4040.267055</v>
      </c>
      <c r="V31" s="8">
        <v>3731.3768249999994</v>
      </c>
      <c r="W31" s="8">
        <v>3363.1214099999997</v>
      </c>
      <c r="X31" s="8">
        <v>3056.223555</v>
      </c>
      <c r="Y31" s="8">
        <v>2684.9549099999995</v>
      </c>
      <c r="Z31" s="8">
        <v>2423.984145</v>
      </c>
      <c r="AA31" s="9">
        <f t="shared" si="1"/>
        <v>86357.71832</v>
      </c>
      <c r="AB31" s="9">
        <v>19.0</v>
      </c>
      <c r="AC31" s="9">
        <f t="shared" si="2"/>
        <v>1640796.648</v>
      </c>
      <c r="AD31" s="10">
        <f>SUM(AC31:AC33)</f>
        <v>2173887.581</v>
      </c>
    </row>
    <row r="32" ht="14.25" customHeight="1">
      <c r="A32" s="7">
        <v>46327.0</v>
      </c>
      <c r="B32" s="8" t="s">
        <v>35</v>
      </c>
      <c r="C32" s="8">
        <v>2434.5038849999996</v>
      </c>
      <c r="D32" s="8">
        <v>2302.1380799999997</v>
      </c>
      <c r="E32" s="8">
        <v>2218.98963</v>
      </c>
      <c r="F32" s="8">
        <v>2245.786125</v>
      </c>
      <c r="G32" s="8">
        <v>2332.942095</v>
      </c>
      <c r="H32" s="8">
        <v>2245.270005</v>
      </c>
      <c r="I32" s="8">
        <v>2493.3605399999997</v>
      </c>
      <c r="J32" s="8">
        <v>1885.06758</v>
      </c>
      <c r="K32" s="8">
        <v>3261.55962</v>
      </c>
      <c r="L32" s="8">
        <v>3565.4176799999996</v>
      </c>
      <c r="M32" s="8">
        <v>3962.2835999999998</v>
      </c>
      <c r="N32" s="8">
        <v>3774.3779699999996</v>
      </c>
      <c r="O32" s="8">
        <v>3771.960555</v>
      </c>
      <c r="P32" s="8">
        <v>3653.2112099999995</v>
      </c>
      <c r="Q32" s="8">
        <v>3552.123795</v>
      </c>
      <c r="R32" s="8">
        <v>3501.53265</v>
      </c>
      <c r="S32" s="8">
        <v>3373.060515</v>
      </c>
      <c r="T32" s="8">
        <v>3124.3779599999993</v>
      </c>
      <c r="U32" s="8">
        <v>3068.375145</v>
      </c>
      <c r="V32" s="8">
        <v>2786.0081699999996</v>
      </c>
      <c r="W32" s="8">
        <v>2453.4561149999995</v>
      </c>
      <c r="X32" s="8">
        <v>2265.679515</v>
      </c>
      <c r="Y32" s="8">
        <v>1990.75074</v>
      </c>
      <c r="Z32" s="8">
        <v>1739.9961149999997</v>
      </c>
      <c r="AA32" s="9">
        <f t="shared" si="1"/>
        <v>68002.2293</v>
      </c>
      <c r="AB32" s="9">
        <v>4.0</v>
      </c>
      <c r="AC32" s="9">
        <f t="shared" si="2"/>
        <v>272008.9172</v>
      </c>
      <c r="AD32" s="11"/>
    </row>
    <row r="33" ht="14.25" customHeight="1">
      <c r="A33" s="7">
        <v>46327.0</v>
      </c>
      <c r="B33" s="8" t="s">
        <v>36</v>
      </c>
      <c r="C33" s="8">
        <v>1663.025925</v>
      </c>
      <c r="D33" s="8">
        <v>1602.3248999999998</v>
      </c>
      <c r="E33" s="8">
        <v>1552.189155</v>
      </c>
      <c r="F33" s="8">
        <v>1467.5189099999998</v>
      </c>
      <c r="G33" s="8">
        <v>1464.4980899999998</v>
      </c>
      <c r="H33" s="8">
        <v>1470.179205</v>
      </c>
      <c r="I33" s="8">
        <v>1610.9281649999998</v>
      </c>
      <c r="J33" s="8">
        <v>0.0</v>
      </c>
      <c r="K33" s="8">
        <v>0.0</v>
      </c>
      <c r="L33" s="8">
        <v>292.95122999999995</v>
      </c>
      <c r="M33" s="8">
        <v>1198.19535</v>
      </c>
      <c r="N33" s="8">
        <v>1727.632005</v>
      </c>
      <c r="O33" s="8">
        <v>1849.815825</v>
      </c>
      <c r="P33" s="8">
        <v>1729.6585349999998</v>
      </c>
      <c r="Q33" s="8">
        <v>1489.9853099999998</v>
      </c>
      <c r="R33" s="8">
        <v>1393.30389</v>
      </c>
      <c r="S33" s="8">
        <v>1365.885015</v>
      </c>
      <c r="T33" s="8">
        <v>2344.7028</v>
      </c>
      <c r="U33" s="8">
        <v>2443.80543</v>
      </c>
      <c r="V33" s="8">
        <v>2399.3849549999995</v>
      </c>
      <c r="W33" s="8">
        <v>2318.938545</v>
      </c>
      <c r="X33" s="8">
        <v>2125.3593899999996</v>
      </c>
      <c r="Y33" s="8">
        <v>1953.33204</v>
      </c>
      <c r="Z33" s="8">
        <v>1833.8161049999997</v>
      </c>
      <c r="AA33" s="9">
        <f t="shared" si="1"/>
        <v>37297.43078</v>
      </c>
      <c r="AB33" s="9">
        <v>7.0</v>
      </c>
      <c r="AC33" s="9">
        <f t="shared" si="2"/>
        <v>261082.0154</v>
      </c>
      <c r="AD33" s="12"/>
    </row>
    <row r="34" ht="14.25" customHeight="1">
      <c r="A34" s="7">
        <v>46357.0</v>
      </c>
      <c r="B34" s="8" t="s">
        <v>34</v>
      </c>
      <c r="C34" s="8">
        <v>1590.2544540000001</v>
      </c>
      <c r="D34" s="8">
        <v>1566.3380879999997</v>
      </c>
      <c r="E34" s="8">
        <v>1501.2626010000001</v>
      </c>
      <c r="F34" s="8">
        <v>1486.75266</v>
      </c>
      <c r="G34" s="8">
        <v>1566.16269</v>
      </c>
      <c r="H34" s="8">
        <v>1688.242527</v>
      </c>
      <c r="I34" s="8">
        <v>2176.485492</v>
      </c>
      <c r="J34" s="8">
        <v>2801.722782</v>
      </c>
      <c r="K34" s="8">
        <v>3242.1443309999995</v>
      </c>
      <c r="L34" s="8">
        <v>3462.8119890000003</v>
      </c>
      <c r="M34" s="8">
        <v>3719.860587</v>
      </c>
      <c r="N34" s="8">
        <v>3756.334884</v>
      </c>
      <c r="O34" s="8">
        <v>3673.93743</v>
      </c>
      <c r="P34" s="8">
        <v>3754.0716840000005</v>
      </c>
      <c r="Q34" s="8">
        <v>3714.997536</v>
      </c>
      <c r="R34" s="8">
        <v>3645.6361140000004</v>
      </c>
      <c r="S34" s="8">
        <v>3465.199665</v>
      </c>
      <c r="T34" s="8">
        <v>3176.319159</v>
      </c>
      <c r="U34" s="8">
        <v>3011.835441</v>
      </c>
      <c r="V34" s="8">
        <v>2781.571815</v>
      </c>
      <c r="W34" s="8">
        <v>2507.054142</v>
      </c>
      <c r="X34" s="8">
        <v>2278.2757409999995</v>
      </c>
      <c r="Y34" s="8">
        <v>2001.5118419999997</v>
      </c>
      <c r="Z34" s="8">
        <v>1806.969999</v>
      </c>
      <c r="AA34" s="9">
        <f t="shared" si="1"/>
        <v>64375.75365</v>
      </c>
      <c r="AB34" s="9">
        <v>21.0</v>
      </c>
      <c r="AC34" s="9">
        <f t="shared" si="2"/>
        <v>1351890.827</v>
      </c>
      <c r="AD34" s="10">
        <f>SUM(AC34:AC36)</f>
        <v>1721482.346</v>
      </c>
    </row>
    <row r="35" ht="14.25" customHeight="1">
      <c r="A35" s="7">
        <v>46357.0</v>
      </c>
      <c r="B35" s="8" t="s">
        <v>35</v>
      </c>
      <c r="C35" s="8">
        <v>1814.811987</v>
      </c>
      <c r="D35" s="8">
        <v>1716.1392959999998</v>
      </c>
      <c r="E35" s="8">
        <v>1654.155906</v>
      </c>
      <c r="F35" s="8">
        <v>1674.1314750000001</v>
      </c>
      <c r="G35" s="8">
        <v>1739.1022890000002</v>
      </c>
      <c r="H35" s="8">
        <v>1673.7467310000002</v>
      </c>
      <c r="I35" s="8">
        <v>1858.6869480000003</v>
      </c>
      <c r="J35" s="8">
        <v>1405.232196</v>
      </c>
      <c r="K35" s="8">
        <v>2431.344444</v>
      </c>
      <c r="L35" s="8">
        <v>2657.856816</v>
      </c>
      <c r="M35" s="8">
        <v>2953.7023200000003</v>
      </c>
      <c r="N35" s="8">
        <v>2813.627214</v>
      </c>
      <c r="O35" s="8">
        <v>2811.8251410000003</v>
      </c>
      <c r="P35" s="8">
        <v>2723.3029019999994</v>
      </c>
      <c r="Q35" s="8">
        <v>2647.946829</v>
      </c>
      <c r="R35" s="8">
        <v>2610.23343</v>
      </c>
      <c r="S35" s="8">
        <v>2514.463293</v>
      </c>
      <c r="T35" s="8">
        <v>2329.0817519999996</v>
      </c>
      <c r="U35" s="8">
        <v>2287.334199</v>
      </c>
      <c r="V35" s="8">
        <v>2076.8424539999996</v>
      </c>
      <c r="W35" s="8">
        <v>1828.9400130000004</v>
      </c>
      <c r="X35" s="8">
        <v>1688.961093</v>
      </c>
      <c r="Y35" s="8">
        <v>1484.014188</v>
      </c>
      <c r="Z35" s="8">
        <v>1297.088013</v>
      </c>
      <c r="AA35" s="9">
        <f t="shared" si="1"/>
        <v>50692.57093</v>
      </c>
      <c r="AB35" s="9">
        <v>4.0</v>
      </c>
      <c r="AC35" s="9">
        <f t="shared" si="2"/>
        <v>202770.2837</v>
      </c>
      <c r="AD35" s="11"/>
    </row>
    <row r="36" ht="14.25" customHeight="1">
      <c r="A36" s="7">
        <v>46357.0</v>
      </c>
      <c r="B36" s="8" t="s">
        <v>36</v>
      </c>
      <c r="C36" s="8">
        <v>1239.710235</v>
      </c>
      <c r="D36" s="8">
        <v>1194.4603800000002</v>
      </c>
      <c r="E36" s="8">
        <v>1157.0864609999999</v>
      </c>
      <c r="F36" s="8">
        <v>1093.968642</v>
      </c>
      <c r="G36" s="8">
        <v>1091.716758</v>
      </c>
      <c r="H36" s="8">
        <v>1095.951771</v>
      </c>
      <c r="I36" s="8">
        <v>1200.873723</v>
      </c>
      <c r="J36" s="8">
        <v>0.0</v>
      </c>
      <c r="K36" s="8">
        <v>0.0</v>
      </c>
      <c r="L36" s="8">
        <v>218.38182600000002</v>
      </c>
      <c r="M36" s="8">
        <v>893.20017</v>
      </c>
      <c r="N36" s="8">
        <v>1287.8711309999999</v>
      </c>
      <c r="O36" s="8">
        <v>1378.953615</v>
      </c>
      <c r="P36" s="8">
        <v>1289.3818170000002</v>
      </c>
      <c r="Q36" s="8">
        <v>1110.716322</v>
      </c>
      <c r="R36" s="8">
        <v>1038.6447180000002</v>
      </c>
      <c r="S36" s="8">
        <v>1018.2051929999998</v>
      </c>
      <c r="T36" s="8">
        <v>1747.8693599999997</v>
      </c>
      <c r="U36" s="8">
        <v>1821.7458660000002</v>
      </c>
      <c r="V36" s="8">
        <v>1788.6324209999996</v>
      </c>
      <c r="W36" s="8">
        <v>1728.6632789999996</v>
      </c>
      <c r="X36" s="8">
        <v>1584.358818</v>
      </c>
      <c r="Y36" s="8">
        <v>1456.120248</v>
      </c>
      <c r="Z36" s="8">
        <v>1367.026551</v>
      </c>
      <c r="AA36" s="9">
        <f t="shared" si="1"/>
        <v>27803.53931</v>
      </c>
      <c r="AB36" s="9">
        <v>6.0</v>
      </c>
      <c r="AC36" s="9">
        <f t="shared" si="2"/>
        <v>166821.2358</v>
      </c>
      <c r="AD36" s="12"/>
    </row>
    <row r="37" ht="14.25" customHeight="1">
      <c r="AB37" s="13" t="s">
        <v>32</v>
      </c>
      <c r="AC37" s="9">
        <f t="shared" ref="AC37:AD37" si="3">SUM(AC10:AC36)</f>
        <v>20595405.59</v>
      </c>
      <c r="AD37" s="9">
        <f t="shared" si="3"/>
        <v>20595405.59</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13">
    <mergeCell ref="AD19:AD21"/>
    <mergeCell ref="AD22:AD24"/>
    <mergeCell ref="AD25:AD27"/>
    <mergeCell ref="AD28:AD30"/>
    <mergeCell ref="AD31:AD33"/>
    <mergeCell ref="AD34:AD36"/>
    <mergeCell ref="A1:AC1"/>
    <mergeCell ref="A2:AC2"/>
    <mergeCell ref="A3:AC3"/>
    <mergeCell ref="A4:AC4"/>
    <mergeCell ref="AD10:AD12"/>
    <mergeCell ref="AD13:AD15"/>
    <mergeCell ref="AD16:AD18"/>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0.71"/>
    <col customWidth="1" min="3" max="3" width="16.0"/>
    <col customWidth="1" min="4" max="4" width="13.0"/>
    <col customWidth="1" min="5" max="5" width="14.14"/>
    <col customWidth="1" min="6" max="6" width="10.71"/>
    <col customWidth="1" min="7" max="7" width="14.86"/>
    <col customWidth="1" min="8" max="14" width="10.71"/>
  </cols>
  <sheetData>
    <row r="1" ht="14.25" customHeight="1"/>
    <row r="2" ht="14.25" customHeight="1"/>
    <row r="3" ht="14.25" customHeight="1"/>
    <row r="4" ht="14.25" customHeight="1">
      <c r="A4" s="14" t="s">
        <v>3</v>
      </c>
    </row>
    <row r="5" ht="14.25" customHeight="1">
      <c r="A5" s="15"/>
      <c r="B5" s="14" t="s">
        <v>37</v>
      </c>
    </row>
    <row r="6" ht="14.25" customHeight="1">
      <c r="A6" s="15"/>
      <c r="B6" s="14" t="s">
        <v>38</v>
      </c>
    </row>
    <row r="7" ht="14.25" customHeight="1">
      <c r="A7" s="15"/>
      <c r="B7" s="16" t="s">
        <v>39</v>
      </c>
    </row>
    <row r="8" ht="14.25" customHeight="1">
      <c r="A8" s="15"/>
      <c r="B8" s="17" t="s">
        <v>40</v>
      </c>
    </row>
    <row r="9" ht="14.25" customHeight="1">
      <c r="A9" s="15"/>
      <c r="B9" s="16"/>
      <c r="C9" s="16"/>
      <c r="D9" s="16"/>
      <c r="E9" s="16"/>
    </row>
    <row r="10" ht="14.25" customHeight="1">
      <c r="A10" s="15"/>
      <c r="B10" s="18" t="s">
        <v>41</v>
      </c>
      <c r="C10" s="19"/>
      <c r="D10" s="19"/>
      <c r="E10" s="19"/>
      <c r="F10" s="20"/>
    </row>
    <row r="11">
      <c r="A11" s="15"/>
      <c r="B11" s="21" t="s">
        <v>4</v>
      </c>
      <c r="C11" s="22" t="s">
        <v>42</v>
      </c>
      <c r="D11" s="23" t="s">
        <v>43</v>
      </c>
      <c r="E11" s="23" t="s">
        <v>44</v>
      </c>
      <c r="F11" s="24" t="s">
        <v>45</v>
      </c>
    </row>
    <row r="12" ht="14.25" customHeight="1">
      <c r="A12" s="15"/>
      <c r="B12" s="25">
        <v>46113.0</v>
      </c>
      <c r="C12" s="26">
        <f>'Cant. Requeridas Producto 1'!AD10</f>
        <v>3186518.156</v>
      </c>
      <c r="D12" s="27"/>
      <c r="E12" s="28">
        <f t="shared" ref="E12:E20" si="1">C12*$D12</f>
        <v>0</v>
      </c>
      <c r="F12" s="29"/>
    </row>
    <row r="13" ht="14.25" customHeight="1">
      <c r="A13" s="15"/>
      <c r="B13" s="25">
        <v>46143.0</v>
      </c>
      <c r="C13" s="28">
        <f>'Cant. Requeridas Producto 1'!AD13</f>
        <v>2131419.877</v>
      </c>
      <c r="D13" s="27"/>
      <c r="E13" s="28">
        <f t="shared" si="1"/>
        <v>0</v>
      </c>
      <c r="F13" s="29"/>
    </row>
    <row r="14" ht="14.25" customHeight="1">
      <c r="A14" s="15"/>
      <c r="B14" s="25">
        <v>46174.0</v>
      </c>
      <c r="C14" s="28">
        <f>'Cant. Requeridas Producto 1'!AD16</f>
        <v>1937595.452</v>
      </c>
      <c r="D14" s="27"/>
      <c r="E14" s="28">
        <f t="shared" si="1"/>
        <v>0</v>
      </c>
      <c r="F14" s="29"/>
    </row>
    <row r="15" ht="14.25" customHeight="1">
      <c r="A15" s="15"/>
      <c r="B15" s="25">
        <v>46204.0</v>
      </c>
      <c r="C15" s="28">
        <f>'Cant. Requeridas Producto 1'!AD19</f>
        <v>3267688.368</v>
      </c>
      <c r="D15" s="27"/>
      <c r="E15" s="28">
        <f t="shared" si="1"/>
        <v>0</v>
      </c>
      <c r="F15" s="29"/>
    </row>
    <row r="16" ht="14.25" customHeight="1">
      <c r="A16" s="15"/>
      <c r="B16" s="25">
        <v>46235.0</v>
      </c>
      <c r="C16" s="28">
        <f>'Cant. Requeridas Producto 1'!AD22</f>
        <v>2179861.238</v>
      </c>
      <c r="D16" s="27"/>
      <c r="E16" s="28">
        <f t="shared" si="1"/>
        <v>0</v>
      </c>
      <c r="F16" s="29"/>
    </row>
    <row r="17" ht="14.25" customHeight="1">
      <c r="A17" s="15"/>
      <c r="B17" s="25">
        <v>46266.0</v>
      </c>
      <c r="C17" s="28">
        <f>'Cant. Requeridas Producto 1'!AD25</f>
        <v>1816488.347</v>
      </c>
      <c r="D17" s="27"/>
      <c r="E17" s="28">
        <f t="shared" si="1"/>
        <v>0</v>
      </c>
      <c r="F17" s="29"/>
    </row>
    <row r="18" ht="14.25" customHeight="1">
      <c r="A18" s="15"/>
      <c r="B18" s="25">
        <v>46296.0</v>
      </c>
      <c r="C18" s="28">
        <f>'Cant. Requeridas Producto 1'!AD28</f>
        <v>2180464.222</v>
      </c>
      <c r="D18" s="27"/>
      <c r="E18" s="28">
        <f t="shared" si="1"/>
        <v>0</v>
      </c>
      <c r="F18" s="29"/>
    </row>
    <row r="19" ht="14.25" customHeight="1">
      <c r="A19" s="15"/>
      <c r="B19" s="25">
        <v>46327.0</v>
      </c>
      <c r="C19" s="26">
        <f>'Cant. Requeridas Producto 1'!AD31</f>
        <v>2173887.581</v>
      </c>
      <c r="D19" s="27"/>
      <c r="E19" s="28">
        <f t="shared" si="1"/>
        <v>0</v>
      </c>
      <c r="F19" s="29"/>
    </row>
    <row r="20" ht="14.25" customHeight="1">
      <c r="A20" s="15"/>
      <c r="B20" s="30">
        <v>46357.0</v>
      </c>
      <c r="C20" s="31">
        <f>'Cant. Requeridas Producto 1'!AD34</f>
        <v>1721482.346</v>
      </c>
      <c r="D20" s="32"/>
      <c r="E20" s="33">
        <f t="shared" si="1"/>
        <v>0</v>
      </c>
      <c r="F20" s="34"/>
    </row>
    <row r="21" ht="14.25" customHeight="1">
      <c r="A21" s="15"/>
      <c r="B21" s="35" t="s">
        <v>32</v>
      </c>
      <c r="C21" s="36">
        <f>SUM(C12:C20)</f>
        <v>20595405.59</v>
      </c>
      <c r="D21" s="37"/>
      <c r="E21" s="36">
        <f>SUM(E12:E20)</f>
        <v>0</v>
      </c>
      <c r="F21" s="37"/>
    </row>
    <row r="22" ht="14.25" customHeight="1">
      <c r="A22" s="15"/>
      <c r="B22" s="16"/>
      <c r="C22" s="38"/>
      <c r="D22" s="16"/>
      <c r="E22" s="16"/>
    </row>
    <row r="23" ht="14.25" customHeight="1">
      <c r="C23" s="39"/>
    </row>
    <row r="24" ht="30.0" customHeight="1">
      <c r="B24" s="40" t="s">
        <v>46</v>
      </c>
      <c r="E24" s="41"/>
    </row>
    <row r="25" ht="42.0" customHeight="1">
      <c r="B25" s="40" t="s">
        <v>47</v>
      </c>
      <c r="I25" s="40"/>
    </row>
    <row r="26" ht="44.25" customHeight="1">
      <c r="B26" s="40" t="s">
        <v>48</v>
      </c>
      <c r="I26" s="40"/>
    </row>
    <row r="27" ht="14.25" customHeight="1">
      <c r="B27" s="42"/>
    </row>
    <row r="28" ht="14.25" customHeight="1"/>
    <row r="29" ht="14.25" customHeight="1"/>
    <row r="30" ht="14.25" customHeight="1">
      <c r="B30" s="43"/>
      <c r="C30" s="43"/>
    </row>
    <row r="31" ht="14.25" customHeight="1">
      <c r="B31" s="4" t="s">
        <v>49</v>
      </c>
    </row>
    <row r="32" ht="14.25" customHeight="1">
      <c r="B32" s="4" t="s">
        <v>50</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2">
    <mergeCell ref="B25:E25"/>
    <mergeCell ref="I25:N25"/>
    <mergeCell ref="I26:N26"/>
    <mergeCell ref="B26:E26"/>
    <mergeCell ref="B27:E27"/>
    <mergeCell ref="A4:F4"/>
    <mergeCell ref="B5:E5"/>
    <mergeCell ref="B6:E6"/>
    <mergeCell ref="B7:E7"/>
    <mergeCell ref="B8:E8"/>
    <mergeCell ref="B10:F10"/>
    <mergeCell ref="B24:D2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4" width="10.71"/>
    <col customWidth="1" min="5" max="5" width="11.29"/>
    <col customWidth="1" min="6" max="26" width="10.71"/>
    <col customWidth="1" min="27" max="27" width="13.43"/>
    <col customWidth="1" min="28" max="28" width="7.86"/>
    <col customWidth="1" min="29" max="30" width="18.43"/>
  </cols>
  <sheetData>
    <row r="1" ht="14.25" customHeight="1">
      <c r="A1" s="1" t="s">
        <v>0</v>
      </c>
      <c r="AD1" s="1"/>
    </row>
    <row r="2" ht="14.25" customHeight="1">
      <c r="A2" s="1" t="s">
        <v>51</v>
      </c>
      <c r="AD2" s="1"/>
    </row>
    <row r="3" ht="14.25" customHeight="1">
      <c r="A3" s="1" t="s">
        <v>52</v>
      </c>
      <c r="AD3" s="1"/>
    </row>
    <row r="4" ht="14.25" customHeight="1">
      <c r="A4" s="1" t="s">
        <v>3</v>
      </c>
      <c r="AD4" s="1"/>
    </row>
    <row r="5" ht="14.25" customHeight="1">
      <c r="A5" s="2"/>
      <c r="B5" s="3"/>
      <c r="C5" s="3"/>
      <c r="D5" s="3"/>
      <c r="E5" s="2"/>
      <c r="F5" s="2"/>
      <c r="G5" s="2"/>
      <c r="H5" s="2"/>
      <c r="I5" s="2"/>
      <c r="J5" s="2"/>
      <c r="K5" s="2"/>
      <c r="L5" s="2"/>
      <c r="M5" s="2"/>
      <c r="N5" s="2"/>
      <c r="O5" s="2"/>
      <c r="P5" s="2"/>
      <c r="Q5" s="2"/>
      <c r="R5" s="2"/>
      <c r="S5" s="2"/>
      <c r="T5" s="2"/>
      <c r="U5" s="2"/>
      <c r="V5" s="2"/>
      <c r="W5" s="4"/>
      <c r="X5" s="4"/>
      <c r="Y5" s="4"/>
      <c r="Z5" s="4"/>
      <c r="AA5" s="4"/>
      <c r="AB5" s="4"/>
    </row>
    <row r="6" ht="14.25" customHeight="1">
      <c r="A6" s="2"/>
      <c r="B6" s="3"/>
      <c r="C6" s="3"/>
      <c r="D6" s="3"/>
      <c r="E6" s="2"/>
      <c r="F6" s="2"/>
      <c r="G6" s="2"/>
      <c r="H6" s="2"/>
      <c r="I6" s="2"/>
      <c r="J6" s="2"/>
      <c r="K6" s="2"/>
      <c r="L6" s="2"/>
      <c r="M6" s="2"/>
      <c r="N6" s="2"/>
      <c r="O6" s="2"/>
      <c r="P6" s="2"/>
      <c r="Q6" s="2"/>
      <c r="R6" s="2"/>
      <c r="S6" s="2"/>
      <c r="T6" s="2"/>
      <c r="U6" s="2"/>
      <c r="V6" s="2"/>
      <c r="W6" s="4"/>
      <c r="X6" s="4"/>
      <c r="Y6" s="4"/>
      <c r="Z6" s="4"/>
      <c r="AA6" s="4"/>
      <c r="AB6" s="4"/>
    </row>
    <row r="7" ht="14.25" customHeight="1">
      <c r="A7" s="2"/>
      <c r="B7" s="3"/>
      <c r="C7" s="3"/>
      <c r="D7" s="3"/>
      <c r="E7" s="2"/>
      <c r="F7" s="2"/>
      <c r="G7" s="2"/>
      <c r="H7" s="2"/>
      <c r="I7" s="2"/>
      <c r="J7" s="2"/>
      <c r="K7" s="2"/>
      <c r="L7" s="2"/>
      <c r="M7" s="2"/>
      <c r="N7" s="2"/>
      <c r="O7" s="2"/>
      <c r="P7" s="2"/>
      <c r="Q7" s="2"/>
      <c r="R7" s="2"/>
      <c r="S7" s="2"/>
      <c r="T7" s="2"/>
      <c r="U7" s="2"/>
      <c r="V7" s="2"/>
      <c r="W7" s="2"/>
      <c r="X7" s="2"/>
      <c r="Y7" s="2"/>
      <c r="Z7" s="2"/>
      <c r="AA7" s="2"/>
      <c r="AB7" s="2"/>
    </row>
    <row r="8" ht="14.25" customHeight="1">
      <c r="A8" s="2"/>
      <c r="B8" s="3"/>
      <c r="C8" s="3"/>
      <c r="D8" s="3"/>
      <c r="E8" s="2"/>
      <c r="F8" s="2"/>
      <c r="G8" s="2"/>
      <c r="H8" s="2"/>
      <c r="I8" s="2"/>
      <c r="J8" s="2"/>
      <c r="K8" s="2"/>
      <c r="L8" s="2"/>
      <c r="M8" s="2"/>
      <c r="N8" s="2"/>
      <c r="O8" s="2"/>
      <c r="P8" s="2"/>
      <c r="Q8" s="2"/>
      <c r="R8" s="2"/>
      <c r="S8" s="2"/>
      <c r="T8" s="2"/>
      <c r="U8" s="2"/>
      <c r="V8" s="2"/>
      <c r="W8" s="2"/>
      <c r="X8" s="2"/>
      <c r="Y8" s="2"/>
      <c r="Z8" s="2"/>
      <c r="AA8" s="2"/>
      <c r="AB8" s="2"/>
    </row>
    <row r="9" ht="14.25" customHeight="1">
      <c r="A9" s="5" t="s">
        <v>4</v>
      </c>
      <c r="B9" s="6" t="s">
        <v>5</v>
      </c>
      <c r="C9" s="6" t="s">
        <v>6</v>
      </c>
      <c r="D9" s="6" t="s">
        <v>7</v>
      </c>
      <c r="E9" s="6"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row>
    <row r="10" ht="14.25" customHeight="1">
      <c r="A10" s="7">
        <v>46388.0</v>
      </c>
      <c r="B10" s="8" t="s">
        <v>34</v>
      </c>
      <c r="C10" s="8">
        <v>2863.07592</v>
      </c>
      <c r="D10" s="8">
        <v>2745.9187616</v>
      </c>
      <c r="E10" s="8">
        <v>2680.3876176000003</v>
      </c>
      <c r="F10" s="8">
        <v>2653.5998944000003</v>
      </c>
      <c r="G10" s="8">
        <v>2694.5192816</v>
      </c>
      <c r="H10" s="8">
        <v>2867.444344</v>
      </c>
      <c r="I10" s="8">
        <v>3469.6331440000004</v>
      </c>
      <c r="J10" s="8">
        <v>4353.6472592</v>
      </c>
      <c r="K10" s="8">
        <v>5093.2364192000005</v>
      </c>
      <c r="L10" s="8">
        <v>5592.699955200001</v>
      </c>
      <c r="M10" s="8">
        <v>5999.048624</v>
      </c>
      <c r="N10" s="8">
        <v>6243.604260800001</v>
      </c>
      <c r="O10" s="8">
        <v>6161.476300800001</v>
      </c>
      <c r="P10" s="8">
        <v>6182.5296016</v>
      </c>
      <c r="Q10" s="8">
        <v>6346.3425632</v>
      </c>
      <c r="R10" s="8">
        <v>6349.021348800001</v>
      </c>
      <c r="S10" s="8">
        <v>6170.0601728</v>
      </c>
      <c r="T10" s="8">
        <v>5758.1967008</v>
      </c>
      <c r="U10" s="8">
        <v>5454.8112736</v>
      </c>
      <c r="V10" s="8">
        <v>5110.116440000001</v>
      </c>
      <c r="W10" s="8">
        <v>4654.422142400001</v>
      </c>
      <c r="X10" s="8">
        <v>4136.365936</v>
      </c>
      <c r="Y10" s="8">
        <v>3584.6843072000006</v>
      </c>
      <c r="Z10" s="8">
        <v>3208.1167424</v>
      </c>
      <c r="AA10" s="9">
        <f t="shared" ref="AA10:AA45" si="1">SUM(C10:Z10)</f>
        <v>110372.959</v>
      </c>
      <c r="AB10" s="9">
        <v>19.0</v>
      </c>
      <c r="AC10" s="9">
        <f t="shared" ref="AC10:AC45" si="2">AA10*AB10</f>
        <v>2097086.221</v>
      </c>
      <c r="AD10" s="10">
        <f>SUM(AC10:AC12)</f>
        <v>3170726.99</v>
      </c>
    </row>
    <row r="11" ht="14.25" customHeight="1">
      <c r="A11" s="7">
        <v>46388.0</v>
      </c>
      <c r="B11" s="8" t="s">
        <v>35</v>
      </c>
      <c r="C11" s="8">
        <v>3111.073952</v>
      </c>
      <c r="D11" s="8">
        <v>2948.6606432000003</v>
      </c>
      <c r="E11" s="8">
        <v>2858.1002528000004</v>
      </c>
      <c r="F11" s="8">
        <v>2787.8971312000003</v>
      </c>
      <c r="G11" s="8">
        <v>2801.348656</v>
      </c>
      <c r="H11" s="8">
        <v>2812.7779904</v>
      </c>
      <c r="I11" s="8">
        <v>3222.1964608</v>
      </c>
      <c r="J11" s="8">
        <v>3956.2184096</v>
      </c>
      <c r="K11" s="8">
        <v>4653.518993600001</v>
      </c>
      <c r="L11" s="8">
        <v>5198.1104464</v>
      </c>
      <c r="M11" s="8">
        <v>5537.9498656000005</v>
      </c>
      <c r="N11" s="8">
        <v>5693.9088416</v>
      </c>
      <c r="O11" s="8">
        <v>5534.168864</v>
      </c>
      <c r="P11" s="8">
        <v>5358.774459200001</v>
      </c>
      <c r="Q11" s="8">
        <v>5238.3860096</v>
      </c>
      <c r="R11" s="8">
        <v>5209.1915312</v>
      </c>
      <c r="S11" s="8">
        <v>5146.6213776</v>
      </c>
      <c r="T11" s="8">
        <v>5049.3710736</v>
      </c>
      <c r="U11" s="8">
        <v>4932.2434464</v>
      </c>
      <c r="V11" s="8">
        <v>4674.0284368</v>
      </c>
      <c r="W11" s="8">
        <v>4276.166601600001</v>
      </c>
      <c r="X11" s="8">
        <v>3828.8071600000003</v>
      </c>
      <c r="Y11" s="8">
        <v>3350.8821888</v>
      </c>
      <c r="Z11" s="8">
        <v>3007.8229200000005</v>
      </c>
      <c r="AA11" s="9">
        <f t="shared" si="1"/>
        <v>101188.2257</v>
      </c>
      <c r="AB11" s="9">
        <v>5.0</v>
      </c>
      <c r="AC11" s="9">
        <f t="shared" si="2"/>
        <v>505941.1286</v>
      </c>
      <c r="AD11" s="11"/>
    </row>
    <row r="12" ht="14.25" customHeight="1">
      <c r="A12" s="7">
        <v>46388.0</v>
      </c>
      <c r="B12" s="8" t="s">
        <v>36</v>
      </c>
      <c r="C12" s="8">
        <v>2785.5135200000004</v>
      </c>
      <c r="D12" s="8">
        <v>2647.1653152</v>
      </c>
      <c r="E12" s="8">
        <v>2519.3465552000002</v>
      </c>
      <c r="F12" s="8">
        <v>2454.4044976</v>
      </c>
      <c r="G12" s="8">
        <v>2399.6480224</v>
      </c>
      <c r="H12" s="8">
        <v>2352.5684144</v>
      </c>
      <c r="I12" s="8">
        <v>2428.6142368</v>
      </c>
      <c r="J12" s="8">
        <v>2714.7690000000002</v>
      </c>
      <c r="K12" s="8">
        <v>3091.1351712</v>
      </c>
      <c r="L12" s="8">
        <v>3614.5199503999997</v>
      </c>
      <c r="M12" s="8">
        <v>4037.3226368000005</v>
      </c>
      <c r="N12" s="8">
        <v>4276.6641008</v>
      </c>
      <c r="O12" s="8">
        <v>4359.1079216</v>
      </c>
      <c r="P12" s="8">
        <v>4379.0013424</v>
      </c>
      <c r="Q12" s="8">
        <v>4348.7533344</v>
      </c>
      <c r="R12" s="8">
        <v>4327.6944464</v>
      </c>
      <c r="S12" s="8">
        <v>4225.3103808000005</v>
      </c>
      <c r="T12" s="8">
        <v>4122.7909664</v>
      </c>
      <c r="U12" s="8">
        <v>4065.3999360000003</v>
      </c>
      <c r="V12" s="8">
        <v>3862.8390959999997</v>
      </c>
      <c r="W12" s="8">
        <v>3534.9433392</v>
      </c>
      <c r="X12" s="8">
        <v>3158.3862160000003</v>
      </c>
      <c r="Y12" s="8">
        <v>2819.6149600000003</v>
      </c>
      <c r="Z12" s="8">
        <v>2574.4351856000003</v>
      </c>
      <c r="AA12" s="9">
        <f t="shared" si="1"/>
        <v>81099.94855</v>
      </c>
      <c r="AB12" s="9">
        <v>7.0</v>
      </c>
      <c r="AC12" s="9">
        <f t="shared" si="2"/>
        <v>567699.6398</v>
      </c>
      <c r="AD12" s="12"/>
    </row>
    <row r="13" ht="14.25" customHeight="1">
      <c r="A13" s="7">
        <v>46419.0</v>
      </c>
      <c r="B13" s="8" t="s">
        <v>34</v>
      </c>
      <c r="C13" s="8">
        <v>2863.07592</v>
      </c>
      <c r="D13" s="8">
        <v>2745.9187616</v>
      </c>
      <c r="E13" s="8">
        <v>2680.3876176000003</v>
      </c>
      <c r="F13" s="8">
        <v>2653.5998944000003</v>
      </c>
      <c r="G13" s="8">
        <v>2694.5192816</v>
      </c>
      <c r="H13" s="8">
        <v>2867.444344</v>
      </c>
      <c r="I13" s="8">
        <v>3469.6331440000004</v>
      </c>
      <c r="J13" s="8">
        <v>4353.6472592</v>
      </c>
      <c r="K13" s="8">
        <v>5093.2364192000005</v>
      </c>
      <c r="L13" s="8">
        <v>5592.699955200001</v>
      </c>
      <c r="M13" s="8">
        <v>5999.048624</v>
      </c>
      <c r="N13" s="8">
        <v>6243.604260800001</v>
      </c>
      <c r="O13" s="8">
        <v>6161.476300800001</v>
      </c>
      <c r="P13" s="8">
        <v>6182.5296016</v>
      </c>
      <c r="Q13" s="8">
        <v>6346.3425632</v>
      </c>
      <c r="R13" s="8">
        <v>6349.021348800001</v>
      </c>
      <c r="S13" s="8">
        <v>6170.0601728</v>
      </c>
      <c r="T13" s="8">
        <v>5758.1967008</v>
      </c>
      <c r="U13" s="8">
        <v>5454.8112736</v>
      </c>
      <c r="V13" s="8">
        <v>5110.116440000001</v>
      </c>
      <c r="W13" s="8">
        <v>4654.422142400001</v>
      </c>
      <c r="X13" s="8">
        <v>4136.365936</v>
      </c>
      <c r="Y13" s="8">
        <v>3584.6843072000006</v>
      </c>
      <c r="Z13" s="8">
        <v>3208.1167424</v>
      </c>
      <c r="AA13" s="9">
        <f t="shared" si="1"/>
        <v>110372.959</v>
      </c>
      <c r="AB13" s="9">
        <v>20.0</v>
      </c>
      <c r="AC13" s="9">
        <f t="shared" si="2"/>
        <v>2207459.18</v>
      </c>
      <c r="AD13" s="10">
        <f>SUM(AC13:AC15)</f>
        <v>2936611.877</v>
      </c>
    </row>
    <row r="14" ht="14.25" customHeight="1">
      <c r="A14" s="7">
        <v>46419.0</v>
      </c>
      <c r="B14" s="8" t="s">
        <v>35</v>
      </c>
      <c r="C14" s="8">
        <v>3111.073952</v>
      </c>
      <c r="D14" s="8">
        <v>2948.6606432000003</v>
      </c>
      <c r="E14" s="8">
        <v>2858.1002528000004</v>
      </c>
      <c r="F14" s="8">
        <v>2787.8971312000003</v>
      </c>
      <c r="G14" s="8">
        <v>2801.348656</v>
      </c>
      <c r="H14" s="8">
        <v>2812.7779904</v>
      </c>
      <c r="I14" s="8">
        <v>3222.1964608</v>
      </c>
      <c r="J14" s="8">
        <v>3956.2184096</v>
      </c>
      <c r="K14" s="8">
        <v>4653.518993600001</v>
      </c>
      <c r="L14" s="8">
        <v>5198.1104464</v>
      </c>
      <c r="M14" s="8">
        <v>5537.9498656000005</v>
      </c>
      <c r="N14" s="8">
        <v>5693.9088416</v>
      </c>
      <c r="O14" s="8">
        <v>5534.168864</v>
      </c>
      <c r="P14" s="8">
        <v>5358.774459200001</v>
      </c>
      <c r="Q14" s="8">
        <v>5238.3860096</v>
      </c>
      <c r="R14" s="8">
        <v>5209.1915312</v>
      </c>
      <c r="S14" s="8">
        <v>5146.6213776</v>
      </c>
      <c r="T14" s="8">
        <v>5049.3710736</v>
      </c>
      <c r="U14" s="8">
        <v>4932.2434464</v>
      </c>
      <c r="V14" s="8">
        <v>4674.0284368</v>
      </c>
      <c r="W14" s="8">
        <v>4276.166601600001</v>
      </c>
      <c r="X14" s="8">
        <v>3828.8071600000003</v>
      </c>
      <c r="Y14" s="8">
        <v>3350.8821888</v>
      </c>
      <c r="Z14" s="8">
        <v>3007.8229200000005</v>
      </c>
      <c r="AA14" s="9">
        <f t="shared" si="1"/>
        <v>101188.2257</v>
      </c>
      <c r="AB14" s="9">
        <v>4.0</v>
      </c>
      <c r="AC14" s="9">
        <f t="shared" si="2"/>
        <v>404752.9028</v>
      </c>
      <c r="AD14" s="11"/>
    </row>
    <row r="15" ht="14.25" customHeight="1">
      <c r="A15" s="7">
        <v>46419.0</v>
      </c>
      <c r="B15" s="8" t="s">
        <v>36</v>
      </c>
      <c r="C15" s="8">
        <v>2785.5135200000004</v>
      </c>
      <c r="D15" s="8">
        <v>2647.1653152</v>
      </c>
      <c r="E15" s="8">
        <v>2519.3465552000002</v>
      </c>
      <c r="F15" s="8">
        <v>2454.4044976</v>
      </c>
      <c r="G15" s="8">
        <v>2399.6480224</v>
      </c>
      <c r="H15" s="8">
        <v>2352.5684144</v>
      </c>
      <c r="I15" s="8">
        <v>2428.6142368</v>
      </c>
      <c r="J15" s="8">
        <v>2714.7690000000002</v>
      </c>
      <c r="K15" s="8">
        <v>3091.1351712</v>
      </c>
      <c r="L15" s="8">
        <v>3614.5199503999997</v>
      </c>
      <c r="M15" s="8">
        <v>4037.3226368000005</v>
      </c>
      <c r="N15" s="8">
        <v>4276.6641008</v>
      </c>
      <c r="O15" s="8">
        <v>4359.1079216</v>
      </c>
      <c r="P15" s="8">
        <v>4379.0013424</v>
      </c>
      <c r="Q15" s="8">
        <v>4348.7533344</v>
      </c>
      <c r="R15" s="8">
        <v>4327.6944464</v>
      </c>
      <c r="S15" s="8">
        <v>4225.3103808000005</v>
      </c>
      <c r="T15" s="8">
        <v>4122.7909664</v>
      </c>
      <c r="U15" s="8">
        <v>4065.3999360000003</v>
      </c>
      <c r="V15" s="8">
        <v>3862.8390959999997</v>
      </c>
      <c r="W15" s="8">
        <v>3534.9433392</v>
      </c>
      <c r="X15" s="8">
        <v>3158.3862160000003</v>
      </c>
      <c r="Y15" s="8">
        <v>2819.6149600000003</v>
      </c>
      <c r="Z15" s="8">
        <v>2574.4351856000003</v>
      </c>
      <c r="AA15" s="9">
        <f t="shared" si="1"/>
        <v>81099.94855</v>
      </c>
      <c r="AB15" s="9">
        <v>4.0</v>
      </c>
      <c r="AC15" s="9">
        <f t="shared" si="2"/>
        <v>324399.7942</v>
      </c>
      <c r="AD15" s="12"/>
    </row>
    <row r="16" ht="14.25" customHeight="1">
      <c r="A16" s="7">
        <v>46447.0</v>
      </c>
      <c r="B16" s="8" t="s">
        <v>34</v>
      </c>
      <c r="C16" s="8">
        <v>2863.07592</v>
      </c>
      <c r="D16" s="8">
        <v>2745.9187616</v>
      </c>
      <c r="E16" s="8">
        <v>2680.3876176000003</v>
      </c>
      <c r="F16" s="8">
        <v>2653.5998944000003</v>
      </c>
      <c r="G16" s="8">
        <v>2694.5192816</v>
      </c>
      <c r="H16" s="8">
        <v>2867.444344</v>
      </c>
      <c r="I16" s="8">
        <v>3469.6331440000004</v>
      </c>
      <c r="J16" s="8">
        <v>4353.6472592</v>
      </c>
      <c r="K16" s="8">
        <v>5093.2364192000005</v>
      </c>
      <c r="L16" s="8">
        <v>5592.699955200001</v>
      </c>
      <c r="M16" s="8">
        <v>5999.048624</v>
      </c>
      <c r="N16" s="8">
        <v>6243.604260800001</v>
      </c>
      <c r="O16" s="8">
        <v>6161.476300800001</v>
      </c>
      <c r="P16" s="8">
        <v>6182.5296016</v>
      </c>
      <c r="Q16" s="8">
        <v>6346.3425632</v>
      </c>
      <c r="R16" s="8">
        <v>6349.021348800001</v>
      </c>
      <c r="S16" s="8">
        <v>6170.0601728</v>
      </c>
      <c r="T16" s="8">
        <v>5758.1967008</v>
      </c>
      <c r="U16" s="8">
        <v>5454.8112736</v>
      </c>
      <c r="V16" s="8">
        <v>5110.116440000001</v>
      </c>
      <c r="W16" s="8">
        <v>4654.422142400001</v>
      </c>
      <c r="X16" s="8">
        <v>4136.365936</v>
      </c>
      <c r="Y16" s="8">
        <v>3584.6843072000006</v>
      </c>
      <c r="Z16" s="8">
        <v>3208.1167424</v>
      </c>
      <c r="AA16" s="9">
        <f t="shared" si="1"/>
        <v>110372.959</v>
      </c>
      <c r="AB16" s="9">
        <v>20.0</v>
      </c>
      <c r="AC16" s="9">
        <f t="shared" si="2"/>
        <v>2207459.18</v>
      </c>
      <c r="AD16" s="10">
        <f>SUM(AC16:AC18)</f>
        <v>3179911.723</v>
      </c>
    </row>
    <row r="17" ht="14.25" customHeight="1">
      <c r="A17" s="7">
        <v>46447.0</v>
      </c>
      <c r="B17" s="8" t="s">
        <v>35</v>
      </c>
      <c r="C17" s="8">
        <v>3111.073952</v>
      </c>
      <c r="D17" s="8">
        <v>2948.6606432000003</v>
      </c>
      <c r="E17" s="8">
        <v>2858.1002528000004</v>
      </c>
      <c r="F17" s="8">
        <v>2787.8971312000003</v>
      </c>
      <c r="G17" s="8">
        <v>2801.348656</v>
      </c>
      <c r="H17" s="8">
        <v>2812.7779904</v>
      </c>
      <c r="I17" s="8">
        <v>3222.1964608</v>
      </c>
      <c r="J17" s="8">
        <v>3956.2184096</v>
      </c>
      <c r="K17" s="8">
        <v>4653.518993600001</v>
      </c>
      <c r="L17" s="8">
        <v>5198.1104464</v>
      </c>
      <c r="M17" s="8">
        <v>5537.9498656000005</v>
      </c>
      <c r="N17" s="8">
        <v>5693.9088416</v>
      </c>
      <c r="O17" s="8">
        <v>5534.168864</v>
      </c>
      <c r="P17" s="8">
        <v>5358.774459200001</v>
      </c>
      <c r="Q17" s="8">
        <v>5238.3860096</v>
      </c>
      <c r="R17" s="8">
        <v>5209.1915312</v>
      </c>
      <c r="S17" s="8">
        <v>5146.6213776</v>
      </c>
      <c r="T17" s="8">
        <v>5049.3710736</v>
      </c>
      <c r="U17" s="8">
        <v>4932.2434464</v>
      </c>
      <c r="V17" s="8">
        <v>4674.0284368</v>
      </c>
      <c r="W17" s="8">
        <v>4276.166601600001</v>
      </c>
      <c r="X17" s="8">
        <v>3828.8071600000003</v>
      </c>
      <c r="Y17" s="8">
        <v>3350.8821888</v>
      </c>
      <c r="Z17" s="8">
        <v>3007.8229200000005</v>
      </c>
      <c r="AA17" s="9">
        <f t="shared" si="1"/>
        <v>101188.2257</v>
      </c>
      <c r="AB17" s="9">
        <v>4.0</v>
      </c>
      <c r="AC17" s="9">
        <f t="shared" si="2"/>
        <v>404752.9028</v>
      </c>
      <c r="AD17" s="11"/>
    </row>
    <row r="18" ht="14.25" customHeight="1">
      <c r="A18" s="7">
        <v>46447.0</v>
      </c>
      <c r="B18" s="8" t="s">
        <v>36</v>
      </c>
      <c r="C18" s="8">
        <v>2785.5135200000004</v>
      </c>
      <c r="D18" s="8">
        <v>2647.1653152</v>
      </c>
      <c r="E18" s="8">
        <v>2519.3465552000002</v>
      </c>
      <c r="F18" s="8">
        <v>2454.4044976</v>
      </c>
      <c r="G18" s="8">
        <v>2399.6480224</v>
      </c>
      <c r="H18" s="8">
        <v>2352.5684144</v>
      </c>
      <c r="I18" s="8">
        <v>2428.6142368</v>
      </c>
      <c r="J18" s="8">
        <v>2714.7690000000002</v>
      </c>
      <c r="K18" s="8">
        <v>3091.1351712</v>
      </c>
      <c r="L18" s="8">
        <v>3614.5199503999997</v>
      </c>
      <c r="M18" s="8">
        <v>4037.3226368000005</v>
      </c>
      <c r="N18" s="8">
        <v>4276.6641008</v>
      </c>
      <c r="O18" s="8">
        <v>4359.1079216</v>
      </c>
      <c r="P18" s="8">
        <v>4379.0013424</v>
      </c>
      <c r="Q18" s="8">
        <v>4348.7533344</v>
      </c>
      <c r="R18" s="8">
        <v>4327.6944464</v>
      </c>
      <c r="S18" s="8">
        <v>4225.3103808000005</v>
      </c>
      <c r="T18" s="8">
        <v>4122.7909664</v>
      </c>
      <c r="U18" s="8">
        <v>4065.3999360000003</v>
      </c>
      <c r="V18" s="8">
        <v>3862.8390959999997</v>
      </c>
      <c r="W18" s="8">
        <v>3534.9433392</v>
      </c>
      <c r="X18" s="8">
        <v>3158.3862160000003</v>
      </c>
      <c r="Y18" s="8">
        <v>2819.6149600000003</v>
      </c>
      <c r="Z18" s="8">
        <v>2574.4351856000003</v>
      </c>
      <c r="AA18" s="9">
        <f t="shared" si="1"/>
        <v>81099.94855</v>
      </c>
      <c r="AB18" s="9">
        <v>7.0</v>
      </c>
      <c r="AC18" s="9">
        <f t="shared" si="2"/>
        <v>567699.6398</v>
      </c>
      <c r="AD18" s="12"/>
    </row>
    <row r="19" ht="14.25" customHeight="1">
      <c r="A19" s="7">
        <v>46478.0</v>
      </c>
      <c r="B19" s="8" t="s">
        <v>34</v>
      </c>
      <c r="C19" s="8">
        <v>2863.07592</v>
      </c>
      <c r="D19" s="8">
        <v>2745.9187616</v>
      </c>
      <c r="E19" s="8">
        <v>2680.3876176000003</v>
      </c>
      <c r="F19" s="8">
        <v>2653.5998944000003</v>
      </c>
      <c r="G19" s="8">
        <v>2694.5192816</v>
      </c>
      <c r="H19" s="8">
        <v>2867.444344</v>
      </c>
      <c r="I19" s="8">
        <v>3469.6331440000004</v>
      </c>
      <c r="J19" s="8">
        <v>4353.6472592</v>
      </c>
      <c r="K19" s="8">
        <v>5093.2364192000005</v>
      </c>
      <c r="L19" s="8">
        <v>5592.699955200001</v>
      </c>
      <c r="M19" s="8">
        <v>5999.048624</v>
      </c>
      <c r="N19" s="8">
        <v>6243.604260800001</v>
      </c>
      <c r="O19" s="8">
        <v>6161.476300800001</v>
      </c>
      <c r="P19" s="8">
        <v>6182.5296016</v>
      </c>
      <c r="Q19" s="8">
        <v>6346.3425632</v>
      </c>
      <c r="R19" s="8">
        <v>6349.021348800001</v>
      </c>
      <c r="S19" s="8">
        <v>6170.0601728</v>
      </c>
      <c r="T19" s="8">
        <v>5758.1967008</v>
      </c>
      <c r="U19" s="8">
        <v>5454.8112736</v>
      </c>
      <c r="V19" s="8">
        <v>5110.116440000001</v>
      </c>
      <c r="W19" s="8">
        <v>4654.422142400001</v>
      </c>
      <c r="X19" s="8">
        <v>4136.365936</v>
      </c>
      <c r="Y19" s="8">
        <v>3584.6843072000006</v>
      </c>
      <c r="Z19" s="8">
        <v>3208.1167424</v>
      </c>
      <c r="AA19" s="9">
        <f t="shared" si="1"/>
        <v>110372.959</v>
      </c>
      <c r="AB19" s="9">
        <v>22.0</v>
      </c>
      <c r="AC19" s="9">
        <f t="shared" si="2"/>
        <v>2428205.098</v>
      </c>
      <c r="AD19" s="10">
        <f>SUM(AC19:AC21)</f>
        <v>3157357.795</v>
      </c>
    </row>
    <row r="20" ht="14.25" customHeight="1">
      <c r="A20" s="7">
        <v>46478.0</v>
      </c>
      <c r="B20" s="8" t="s">
        <v>35</v>
      </c>
      <c r="C20" s="8">
        <v>3111.073952</v>
      </c>
      <c r="D20" s="8">
        <v>2948.6606432000003</v>
      </c>
      <c r="E20" s="8">
        <v>2858.1002528000004</v>
      </c>
      <c r="F20" s="8">
        <v>2787.8971312000003</v>
      </c>
      <c r="G20" s="8">
        <v>2801.348656</v>
      </c>
      <c r="H20" s="8">
        <v>2812.7779904</v>
      </c>
      <c r="I20" s="8">
        <v>3222.1964608</v>
      </c>
      <c r="J20" s="8">
        <v>3956.2184096</v>
      </c>
      <c r="K20" s="8">
        <v>4653.518993600001</v>
      </c>
      <c r="L20" s="8">
        <v>5198.1104464</v>
      </c>
      <c r="M20" s="8">
        <v>5537.9498656000005</v>
      </c>
      <c r="N20" s="8">
        <v>5693.9088416</v>
      </c>
      <c r="O20" s="8">
        <v>5534.168864</v>
      </c>
      <c r="P20" s="8">
        <v>5358.774459200001</v>
      </c>
      <c r="Q20" s="8">
        <v>5238.3860096</v>
      </c>
      <c r="R20" s="8">
        <v>5209.1915312</v>
      </c>
      <c r="S20" s="8">
        <v>5146.6213776</v>
      </c>
      <c r="T20" s="8">
        <v>5049.3710736</v>
      </c>
      <c r="U20" s="8">
        <v>4932.2434464</v>
      </c>
      <c r="V20" s="8">
        <v>4674.0284368</v>
      </c>
      <c r="W20" s="8">
        <v>4276.166601600001</v>
      </c>
      <c r="X20" s="8">
        <v>3828.8071600000003</v>
      </c>
      <c r="Y20" s="8">
        <v>3350.8821888</v>
      </c>
      <c r="Z20" s="8">
        <v>3007.8229200000005</v>
      </c>
      <c r="AA20" s="9">
        <f t="shared" si="1"/>
        <v>101188.2257</v>
      </c>
      <c r="AB20" s="9">
        <v>4.0</v>
      </c>
      <c r="AC20" s="9">
        <f t="shared" si="2"/>
        <v>404752.9028</v>
      </c>
      <c r="AD20" s="11"/>
    </row>
    <row r="21" ht="14.25" customHeight="1">
      <c r="A21" s="7">
        <v>46478.0</v>
      </c>
      <c r="B21" s="8" t="s">
        <v>36</v>
      </c>
      <c r="C21" s="8">
        <v>2785.5135200000004</v>
      </c>
      <c r="D21" s="8">
        <v>2647.1653152</v>
      </c>
      <c r="E21" s="8">
        <v>2519.3465552000002</v>
      </c>
      <c r="F21" s="8">
        <v>2454.4044976</v>
      </c>
      <c r="G21" s="8">
        <v>2399.6480224</v>
      </c>
      <c r="H21" s="8">
        <v>2352.5684144</v>
      </c>
      <c r="I21" s="8">
        <v>2428.6142368</v>
      </c>
      <c r="J21" s="8">
        <v>2714.7690000000002</v>
      </c>
      <c r="K21" s="8">
        <v>3091.1351712</v>
      </c>
      <c r="L21" s="8">
        <v>3614.5199503999997</v>
      </c>
      <c r="M21" s="8">
        <v>4037.3226368000005</v>
      </c>
      <c r="N21" s="8">
        <v>4276.6641008</v>
      </c>
      <c r="O21" s="8">
        <v>4359.1079216</v>
      </c>
      <c r="P21" s="8">
        <v>4379.0013424</v>
      </c>
      <c r="Q21" s="8">
        <v>4348.7533344</v>
      </c>
      <c r="R21" s="8">
        <v>4327.6944464</v>
      </c>
      <c r="S21" s="8">
        <v>4225.3103808000005</v>
      </c>
      <c r="T21" s="8">
        <v>4122.7909664</v>
      </c>
      <c r="U21" s="8">
        <v>4065.3999360000003</v>
      </c>
      <c r="V21" s="8">
        <v>3862.8390959999997</v>
      </c>
      <c r="W21" s="8">
        <v>3534.9433392</v>
      </c>
      <c r="X21" s="8">
        <v>3158.3862160000003</v>
      </c>
      <c r="Y21" s="8">
        <v>2819.6149600000003</v>
      </c>
      <c r="Z21" s="8">
        <v>2574.4351856000003</v>
      </c>
      <c r="AA21" s="9">
        <f t="shared" si="1"/>
        <v>81099.94855</v>
      </c>
      <c r="AB21" s="9">
        <v>4.0</v>
      </c>
      <c r="AC21" s="9">
        <f t="shared" si="2"/>
        <v>324399.7942</v>
      </c>
      <c r="AD21" s="12"/>
    </row>
    <row r="22" ht="14.25" customHeight="1">
      <c r="A22" s="7">
        <v>46508.0</v>
      </c>
      <c r="B22" s="8" t="s">
        <v>34</v>
      </c>
      <c r="C22" s="8">
        <v>2863.07592</v>
      </c>
      <c r="D22" s="8">
        <v>2745.9187616</v>
      </c>
      <c r="E22" s="8">
        <v>2680.3876176000003</v>
      </c>
      <c r="F22" s="8">
        <v>2653.5998944000003</v>
      </c>
      <c r="G22" s="8">
        <v>2694.5192816</v>
      </c>
      <c r="H22" s="8">
        <v>2867.444344</v>
      </c>
      <c r="I22" s="8">
        <v>3469.6331440000004</v>
      </c>
      <c r="J22" s="8">
        <v>4353.6472592</v>
      </c>
      <c r="K22" s="8">
        <v>5093.2364192000005</v>
      </c>
      <c r="L22" s="8">
        <v>5592.699955200001</v>
      </c>
      <c r="M22" s="8">
        <v>5999.048624</v>
      </c>
      <c r="N22" s="8">
        <v>6243.604260800001</v>
      </c>
      <c r="O22" s="8">
        <v>6161.476300800001</v>
      </c>
      <c r="P22" s="8">
        <v>6182.5296016</v>
      </c>
      <c r="Q22" s="8">
        <v>6346.3425632</v>
      </c>
      <c r="R22" s="8">
        <v>6349.021348800001</v>
      </c>
      <c r="S22" s="8">
        <v>6170.0601728</v>
      </c>
      <c r="T22" s="8">
        <v>5758.1967008</v>
      </c>
      <c r="U22" s="8">
        <v>5454.8112736</v>
      </c>
      <c r="V22" s="8">
        <v>5110.116440000001</v>
      </c>
      <c r="W22" s="8">
        <v>4654.422142400001</v>
      </c>
      <c r="X22" s="8">
        <v>4136.365936</v>
      </c>
      <c r="Y22" s="8">
        <v>3584.6843072000006</v>
      </c>
      <c r="Z22" s="8">
        <v>3208.1167424</v>
      </c>
      <c r="AA22" s="9">
        <f t="shared" si="1"/>
        <v>110372.959</v>
      </c>
      <c r="AB22" s="9">
        <v>19.0</v>
      </c>
      <c r="AC22" s="9">
        <f t="shared" si="2"/>
        <v>2097086.221</v>
      </c>
      <c r="AD22" s="10">
        <f>SUM(AC22:AC24)</f>
        <v>3150638.712</v>
      </c>
    </row>
    <row r="23" ht="14.25" customHeight="1">
      <c r="A23" s="7">
        <v>46508.0</v>
      </c>
      <c r="B23" s="8" t="s">
        <v>35</v>
      </c>
      <c r="C23" s="8">
        <v>3111.073952</v>
      </c>
      <c r="D23" s="8">
        <v>2948.6606432000003</v>
      </c>
      <c r="E23" s="8">
        <v>2858.1002528000004</v>
      </c>
      <c r="F23" s="8">
        <v>2787.8971312000003</v>
      </c>
      <c r="G23" s="8">
        <v>2801.348656</v>
      </c>
      <c r="H23" s="8">
        <v>2812.7779904</v>
      </c>
      <c r="I23" s="8">
        <v>3222.1964608</v>
      </c>
      <c r="J23" s="8">
        <v>3956.2184096</v>
      </c>
      <c r="K23" s="8">
        <v>4653.518993600001</v>
      </c>
      <c r="L23" s="8">
        <v>5198.1104464</v>
      </c>
      <c r="M23" s="8">
        <v>5537.9498656000005</v>
      </c>
      <c r="N23" s="8">
        <v>5693.9088416</v>
      </c>
      <c r="O23" s="8">
        <v>5534.168864</v>
      </c>
      <c r="P23" s="8">
        <v>5358.774459200001</v>
      </c>
      <c r="Q23" s="8">
        <v>5238.3860096</v>
      </c>
      <c r="R23" s="8">
        <v>5209.1915312</v>
      </c>
      <c r="S23" s="8">
        <v>5146.6213776</v>
      </c>
      <c r="T23" s="8">
        <v>5049.3710736</v>
      </c>
      <c r="U23" s="8">
        <v>4932.2434464</v>
      </c>
      <c r="V23" s="8">
        <v>4674.0284368</v>
      </c>
      <c r="W23" s="8">
        <v>4276.166601600001</v>
      </c>
      <c r="X23" s="8">
        <v>3828.8071600000003</v>
      </c>
      <c r="Y23" s="8">
        <v>3350.8821888</v>
      </c>
      <c r="Z23" s="8">
        <v>3007.8229200000005</v>
      </c>
      <c r="AA23" s="9">
        <f t="shared" si="1"/>
        <v>101188.2257</v>
      </c>
      <c r="AB23" s="9">
        <v>4.0</v>
      </c>
      <c r="AC23" s="9">
        <f t="shared" si="2"/>
        <v>404752.9028</v>
      </c>
      <c r="AD23" s="11"/>
    </row>
    <row r="24" ht="14.25" customHeight="1">
      <c r="A24" s="7">
        <v>46508.0</v>
      </c>
      <c r="B24" s="8" t="s">
        <v>36</v>
      </c>
      <c r="C24" s="8">
        <v>2785.5135200000004</v>
      </c>
      <c r="D24" s="8">
        <v>2647.1653152</v>
      </c>
      <c r="E24" s="8">
        <v>2519.3465552000002</v>
      </c>
      <c r="F24" s="8">
        <v>2454.4044976</v>
      </c>
      <c r="G24" s="8">
        <v>2399.6480224</v>
      </c>
      <c r="H24" s="8">
        <v>2352.5684144</v>
      </c>
      <c r="I24" s="8">
        <v>2428.6142368</v>
      </c>
      <c r="J24" s="8">
        <v>2714.7690000000002</v>
      </c>
      <c r="K24" s="8">
        <v>3091.1351712</v>
      </c>
      <c r="L24" s="8">
        <v>3614.5199503999997</v>
      </c>
      <c r="M24" s="8">
        <v>4037.3226368000005</v>
      </c>
      <c r="N24" s="8">
        <v>4276.6641008</v>
      </c>
      <c r="O24" s="8">
        <v>4359.1079216</v>
      </c>
      <c r="P24" s="8">
        <v>4379.0013424</v>
      </c>
      <c r="Q24" s="8">
        <v>4348.7533344</v>
      </c>
      <c r="R24" s="8">
        <v>4327.6944464</v>
      </c>
      <c r="S24" s="8">
        <v>4225.3103808000005</v>
      </c>
      <c r="T24" s="8">
        <v>4122.7909664</v>
      </c>
      <c r="U24" s="8">
        <v>4065.3999360000003</v>
      </c>
      <c r="V24" s="8">
        <v>3862.8390959999997</v>
      </c>
      <c r="W24" s="8">
        <v>3534.9433392</v>
      </c>
      <c r="X24" s="8">
        <v>3158.3862160000003</v>
      </c>
      <c r="Y24" s="8">
        <v>2819.6149600000003</v>
      </c>
      <c r="Z24" s="8">
        <v>2574.4351856000003</v>
      </c>
      <c r="AA24" s="9">
        <f t="shared" si="1"/>
        <v>81099.94855</v>
      </c>
      <c r="AB24" s="9">
        <v>8.0</v>
      </c>
      <c r="AC24" s="9">
        <f t="shared" si="2"/>
        <v>648799.5884</v>
      </c>
      <c r="AD24" s="12"/>
    </row>
    <row r="25" ht="14.25" customHeight="1">
      <c r="A25" s="7">
        <v>46539.0</v>
      </c>
      <c r="B25" s="8" t="s">
        <v>34</v>
      </c>
      <c r="C25" s="8">
        <v>2863.07592</v>
      </c>
      <c r="D25" s="8">
        <v>2745.9187616</v>
      </c>
      <c r="E25" s="8">
        <v>2680.3876176000003</v>
      </c>
      <c r="F25" s="8">
        <v>2653.5998944000003</v>
      </c>
      <c r="G25" s="8">
        <v>2694.5192816</v>
      </c>
      <c r="H25" s="8">
        <v>2867.444344</v>
      </c>
      <c r="I25" s="8">
        <v>3469.6331440000004</v>
      </c>
      <c r="J25" s="8">
        <v>4353.6472592</v>
      </c>
      <c r="K25" s="8">
        <v>5093.2364192000005</v>
      </c>
      <c r="L25" s="8">
        <v>5592.699955200001</v>
      </c>
      <c r="M25" s="8">
        <v>5999.048624</v>
      </c>
      <c r="N25" s="8">
        <v>6243.604260800001</v>
      </c>
      <c r="O25" s="8">
        <v>6161.476300800001</v>
      </c>
      <c r="P25" s="8">
        <v>6182.5296016</v>
      </c>
      <c r="Q25" s="8">
        <v>6346.3425632</v>
      </c>
      <c r="R25" s="8">
        <v>6349.021348800001</v>
      </c>
      <c r="S25" s="8">
        <v>6170.0601728</v>
      </c>
      <c r="T25" s="8">
        <v>5758.1967008</v>
      </c>
      <c r="U25" s="8">
        <v>5454.8112736</v>
      </c>
      <c r="V25" s="8">
        <v>5110.116440000001</v>
      </c>
      <c r="W25" s="8">
        <v>4654.422142400001</v>
      </c>
      <c r="X25" s="8">
        <v>4136.365936</v>
      </c>
      <c r="Y25" s="8">
        <v>3584.6843072000006</v>
      </c>
      <c r="Z25" s="8">
        <v>3208.1167424</v>
      </c>
      <c r="AA25" s="9">
        <f t="shared" si="1"/>
        <v>110372.959</v>
      </c>
      <c r="AB25" s="9">
        <v>21.0</v>
      </c>
      <c r="AC25" s="9">
        <f t="shared" si="2"/>
        <v>2317832.139</v>
      </c>
      <c r="AD25" s="10">
        <f>SUM(AC25:AC27)</f>
        <v>3128084.785</v>
      </c>
    </row>
    <row r="26" ht="14.25" customHeight="1">
      <c r="A26" s="7">
        <v>46539.0</v>
      </c>
      <c r="B26" s="8" t="s">
        <v>35</v>
      </c>
      <c r="C26" s="8">
        <v>3111.073952</v>
      </c>
      <c r="D26" s="8">
        <v>2948.6606432000003</v>
      </c>
      <c r="E26" s="8">
        <v>2858.1002528000004</v>
      </c>
      <c r="F26" s="8">
        <v>2787.8971312000003</v>
      </c>
      <c r="G26" s="8">
        <v>2801.348656</v>
      </c>
      <c r="H26" s="8">
        <v>2812.7779904</v>
      </c>
      <c r="I26" s="8">
        <v>3222.1964608</v>
      </c>
      <c r="J26" s="8">
        <v>3956.2184096</v>
      </c>
      <c r="K26" s="8">
        <v>4653.518993600001</v>
      </c>
      <c r="L26" s="8">
        <v>5198.1104464</v>
      </c>
      <c r="M26" s="8">
        <v>5537.9498656000005</v>
      </c>
      <c r="N26" s="8">
        <v>5693.9088416</v>
      </c>
      <c r="O26" s="8">
        <v>5534.168864</v>
      </c>
      <c r="P26" s="8">
        <v>5358.774459200001</v>
      </c>
      <c r="Q26" s="8">
        <v>5238.3860096</v>
      </c>
      <c r="R26" s="8">
        <v>5209.1915312</v>
      </c>
      <c r="S26" s="8">
        <v>5146.6213776</v>
      </c>
      <c r="T26" s="8">
        <v>5049.3710736</v>
      </c>
      <c r="U26" s="8">
        <v>4932.2434464</v>
      </c>
      <c r="V26" s="8">
        <v>4674.0284368</v>
      </c>
      <c r="W26" s="8">
        <v>4276.166601600001</v>
      </c>
      <c r="X26" s="8">
        <v>3828.8071600000003</v>
      </c>
      <c r="Y26" s="8">
        <v>3350.8821888</v>
      </c>
      <c r="Z26" s="8">
        <v>3007.8229200000005</v>
      </c>
      <c r="AA26" s="9">
        <f t="shared" si="1"/>
        <v>101188.2257</v>
      </c>
      <c r="AB26" s="9">
        <v>4.0</v>
      </c>
      <c r="AC26" s="9">
        <f t="shared" si="2"/>
        <v>404752.9028</v>
      </c>
      <c r="AD26" s="11"/>
    </row>
    <row r="27" ht="14.25" customHeight="1">
      <c r="A27" s="7">
        <v>46539.0</v>
      </c>
      <c r="B27" s="8" t="s">
        <v>36</v>
      </c>
      <c r="C27" s="8">
        <v>2785.5135200000004</v>
      </c>
      <c r="D27" s="8">
        <v>2647.1653152</v>
      </c>
      <c r="E27" s="8">
        <v>2519.3465552000002</v>
      </c>
      <c r="F27" s="8">
        <v>2454.4044976</v>
      </c>
      <c r="G27" s="8">
        <v>2399.6480224</v>
      </c>
      <c r="H27" s="8">
        <v>2352.5684144</v>
      </c>
      <c r="I27" s="8">
        <v>2428.6142368</v>
      </c>
      <c r="J27" s="8">
        <v>2714.7690000000002</v>
      </c>
      <c r="K27" s="8">
        <v>3091.1351712</v>
      </c>
      <c r="L27" s="8">
        <v>3614.5199503999997</v>
      </c>
      <c r="M27" s="8">
        <v>4037.3226368000005</v>
      </c>
      <c r="N27" s="8">
        <v>4276.6641008</v>
      </c>
      <c r="O27" s="8">
        <v>4359.1079216</v>
      </c>
      <c r="P27" s="8">
        <v>4379.0013424</v>
      </c>
      <c r="Q27" s="8">
        <v>4348.7533344</v>
      </c>
      <c r="R27" s="8">
        <v>4327.6944464</v>
      </c>
      <c r="S27" s="8">
        <v>4225.3103808000005</v>
      </c>
      <c r="T27" s="8">
        <v>4122.7909664</v>
      </c>
      <c r="U27" s="8">
        <v>4065.3999360000003</v>
      </c>
      <c r="V27" s="8">
        <v>3862.8390959999997</v>
      </c>
      <c r="W27" s="8">
        <v>3534.9433392</v>
      </c>
      <c r="X27" s="8">
        <v>3158.3862160000003</v>
      </c>
      <c r="Y27" s="8">
        <v>2819.6149600000003</v>
      </c>
      <c r="Z27" s="8">
        <v>2574.4351856000003</v>
      </c>
      <c r="AA27" s="9">
        <f t="shared" si="1"/>
        <v>81099.94855</v>
      </c>
      <c r="AB27" s="9">
        <v>5.0</v>
      </c>
      <c r="AC27" s="9">
        <f t="shared" si="2"/>
        <v>405499.7427</v>
      </c>
      <c r="AD27" s="12"/>
    </row>
    <row r="28" ht="14.25" customHeight="1">
      <c r="A28" s="7">
        <v>46569.0</v>
      </c>
      <c r="B28" s="8" t="s">
        <v>34</v>
      </c>
      <c r="C28" s="8">
        <v>2863.07592</v>
      </c>
      <c r="D28" s="8">
        <v>2745.9187616</v>
      </c>
      <c r="E28" s="8">
        <v>2680.3876176000003</v>
      </c>
      <c r="F28" s="8">
        <v>2653.5998944000003</v>
      </c>
      <c r="G28" s="8">
        <v>2694.5192816</v>
      </c>
      <c r="H28" s="8">
        <v>2867.444344</v>
      </c>
      <c r="I28" s="8">
        <v>3469.6331440000004</v>
      </c>
      <c r="J28" s="8">
        <v>4353.6472592</v>
      </c>
      <c r="K28" s="8">
        <v>5093.2364192000005</v>
      </c>
      <c r="L28" s="8">
        <v>5592.699955200001</v>
      </c>
      <c r="M28" s="8">
        <v>5999.048624</v>
      </c>
      <c r="N28" s="8">
        <v>6243.604260800001</v>
      </c>
      <c r="O28" s="8">
        <v>6161.476300800001</v>
      </c>
      <c r="P28" s="8">
        <v>6182.5296016</v>
      </c>
      <c r="Q28" s="8">
        <v>6346.3425632</v>
      </c>
      <c r="R28" s="8">
        <v>6349.021348800001</v>
      </c>
      <c r="S28" s="8">
        <v>6170.0601728</v>
      </c>
      <c r="T28" s="8">
        <v>5758.1967008</v>
      </c>
      <c r="U28" s="8">
        <v>5454.8112736</v>
      </c>
      <c r="V28" s="8">
        <v>5110.116440000001</v>
      </c>
      <c r="W28" s="8">
        <v>4654.422142400001</v>
      </c>
      <c r="X28" s="8">
        <v>4136.365936</v>
      </c>
      <c r="Y28" s="8">
        <v>3584.6843072000006</v>
      </c>
      <c r="Z28" s="8">
        <v>3208.1167424</v>
      </c>
      <c r="AA28" s="9">
        <f t="shared" si="1"/>
        <v>110372.959</v>
      </c>
      <c r="AB28" s="9">
        <v>20.0</v>
      </c>
      <c r="AC28" s="9">
        <f t="shared" si="2"/>
        <v>2207459.18</v>
      </c>
      <c r="AD28" s="10">
        <f>SUM(AC28:AC30)</f>
        <v>3200000</v>
      </c>
    </row>
    <row r="29" ht="14.25" customHeight="1">
      <c r="A29" s="7">
        <v>46569.0</v>
      </c>
      <c r="B29" s="8" t="s">
        <v>35</v>
      </c>
      <c r="C29" s="8">
        <v>3111.073952</v>
      </c>
      <c r="D29" s="8">
        <v>2948.6606432000003</v>
      </c>
      <c r="E29" s="8">
        <v>2858.1002528000004</v>
      </c>
      <c r="F29" s="8">
        <v>2787.8971312000003</v>
      </c>
      <c r="G29" s="8">
        <v>2801.348656</v>
      </c>
      <c r="H29" s="8">
        <v>2812.7779904</v>
      </c>
      <c r="I29" s="8">
        <v>3222.1964608</v>
      </c>
      <c r="J29" s="8">
        <v>3956.2184096</v>
      </c>
      <c r="K29" s="8">
        <v>4653.518993600001</v>
      </c>
      <c r="L29" s="8">
        <v>5198.1104464</v>
      </c>
      <c r="M29" s="8">
        <v>5537.9498656000005</v>
      </c>
      <c r="N29" s="8">
        <v>5693.9088416</v>
      </c>
      <c r="O29" s="8">
        <v>5534.168864</v>
      </c>
      <c r="P29" s="8">
        <v>5358.774459200001</v>
      </c>
      <c r="Q29" s="8">
        <v>5238.3860096</v>
      </c>
      <c r="R29" s="8">
        <v>5209.1915312</v>
      </c>
      <c r="S29" s="8">
        <v>5146.6213776</v>
      </c>
      <c r="T29" s="8">
        <v>5049.3710736</v>
      </c>
      <c r="U29" s="8">
        <v>4932.2434464</v>
      </c>
      <c r="V29" s="8">
        <v>4674.0284368</v>
      </c>
      <c r="W29" s="8">
        <v>4276.166601600001</v>
      </c>
      <c r="X29" s="8">
        <v>3828.8071600000003</v>
      </c>
      <c r="Y29" s="8">
        <v>3350.8821888</v>
      </c>
      <c r="Z29" s="8">
        <v>3007.8229200000005</v>
      </c>
      <c r="AA29" s="9">
        <f t="shared" si="1"/>
        <v>101188.2257</v>
      </c>
      <c r="AB29" s="9">
        <v>5.0</v>
      </c>
      <c r="AC29" s="9">
        <f t="shared" si="2"/>
        <v>505941.1286</v>
      </c>
      <c r="AD29" s="11"/>
    </row>
    <row r="30" ht="14.25" customHeight="1">
      <c r="A30" s="7">
        <v>46569.0</v>
      </c>
      <c r="B30" s="8" t="s">
        <v>36</v>
      </c>
      <c r="C30" s="8">
        <v>2785.5135200000004</v>
      </c>
      <c r="D30" s="8">
        <v>2647.1653152</v>
      </c>
      <c r="E30" s="8">
        <v>2519.3465552000002</v>
      </c>
      <c r="F30" s="8">
        <v>2454.4044976</v>
      </c>
      <c r="G30" s="8">
        <v>2399.6480224</v>
      </c>
      <c r="H30" s="8">
        <v>2352.5684144</v>
      </c>
      <c r="I30" s="8">
        <v>2428.6142368</v>
      </c>
      <c r="J30" s="8">
        <v>2714.7690000000002</v>
      </c>
      <c r="K30" s="8">
        <v>3091.1351712</v>
      </c>
      <c r="L30" s="8">
        <v>3614.5199503999997</v>
      </c>
      <c r="M30" s="8">
        <v>4037.3226368000005</v>
      </c>
      <c r="N30" s="8">
        <v>4276.6641008</v>
      </c>
      <c r="O30" s="8">
        <v>4359.1079216</v>
      </c>
      <c r="P30" s="8">
        <v>4379.0013424</v>
      </c>
      <c r="Q30" s="8">
        <v>4348.7533344</v>
      </c>
      <c r="R30" s="8">
        <v>4327.6944464</v>
      </c>
      <c r="S30" s="8">
        <v>4225.3103808000005</v>
      </c>
      <c r="T30" s="8">
        <v>4122.7909664</v>
      </c>
      <c r="U30" s="8">
        <v>4065.3999360000003</v>
      </c>
      <c r="V30" s="8">
        <v>3862.8390959999997</v>
      </c>
      <c r="W30" s="8">
        <v>3534.9433392</v>
      </c>
      <c r="X30" s="8">
        <v>3158.3862160000003</v>
      </c>
      <c r="Y30" s="8">
        <v>2819.6149600000003</v>
      </c>
      <c r="Z30" s="8">
        <v>2574.4351856000003</v>
      </c>
      <c r="AA30" s="9">
        <f t="shared" si="1"/>
        <v>81099.94855</v>
      </c>
      <c r="AB30" s="9">
        <v>6.0</v>
      </c>
      <c r="AC30" s="9">
        <f t="shared" si="2"/>
        <v>486599.6913</v>
      </c>
      <c r="AD30" s="12"/>
    </row>
    <row r="31" ht="14.25" customHeight="1">
      <c r="A31" s="7">
        <v>46600.0</v>
      </c>
      <c r="B31" s="8" t="s">
        <v>34</v>
      </c>
      <c r="C31" s="8">
        <v>2863.07592</v>
      </c>
      <c r="D31" s="8">
        <v>2745.9187616</v>
      </c>
      <c r="E31" s="8">
        <v>2680.3876176000003</v>
      </c>
      <c r="F31" s="8">
        <v>2653.5998944000003</v>
      </c>
      <c r="G31" s="8">
        <v>2694.5192816</v>
      </c>
      <c r="H31" s="8">
        <v>2867.444344</v>
      </c>
      <c r="I31" s="8">
        <v>3469.6331440000004</v>
      </c>
      <c r="J31" s="8">
        <v>4353.6472592</v>
      </c>
      <c r="K31" s="8">
        <v>5093.2364192000005</v>
      </c>
      <c r="L31" s="8">
        <v>5592.699955200001</v>
      </c>
      <c r="M31" s="8">
        <v>5999.048624</v>
      </c>
      <c r="N31" s="8">
        <v>6243.604260800001</v>
      </c>
      <c r="O31" s="8">
        <v>6161.476300800001</v>
      </c>
      <c r="P31" s="8">
        <v>6182.5296016</v>
      </c>
      <c r="Q31" s="8">
        <v>6346.3425632</v>
      </c>
      <c r="R31" s="8">
        <v>6349.021348800001</v>
      </c>
      <c r="S31" s="8">
        <v>6170.0601728</v>
      </c>
      <c r="T31" s="8">
        <v>5758.1967008</v>
      </c>
      <c r="U31" s="8">
        <v>5454.8112736</v>
      </c>
      <c r="V31" s="8">
        <v>5110.116440000001</v>
      </c>
      <c r="W31" s="8">
        <v>4654.422142400001</v>
      </c>
      <c r="X31" s="8">
        <v>4136.365936</v>
      </c>
      <c r="Y31" s="8">
        <v>3584.6843072000006</v>
      </c>
      <c r="Z31" s="8">
        <v>3208.1167424</v>
      </c>
      <c r="AA31" s="9">
        <f t="shared" si="1"/>
        <v>110372.959</v>
      </c>
      <c r="AB31" s="9">
        <v>21.0</v>
      </c>
      <c r="AC31" s="9">
        <f t="shared" si="2"/>
        <v>2317832.139</v>
      </c>
      <c r="AD31" s="10">
        <f>SUM(AC31:AC33)</f>
        <v>3189096.456</v>
      </c>
    </row>
    <row r="32" ht="14.25" customHeight="1">
      <c r="A32" s="7">
        <v>46600.0</v>
      </c>
      <c r="B32" s="8" t="s">
        <v>35</v>
      </c>
      <c r="C32" s="8">
        <v>3111.073952</v>
      </c>
      <c r="D32" s="8">
        <v>2948.6606432000003</v>
      </c>
      <c r="E32" s="8">
        <v>2858.1002528000004</v>
      </c>
      <c r="F32" s="8">
        <v>2787.8971312000003</v>
      </c>
      <c r="G32" s="8">
        <v>2801.348656</v>
      </c>
      <c r="H32" s="8">
        <v>2812.7779904</v>
      </c>
      <c r="I32" s="8">
        <v>3222.1964608</v>
      </c>
      <c r="J32" s="8">
        <v>3956.2184096</v>
      </c>
      <c r="K32" s="8">
        <v>4653.518993600001</v>
      </c>
      <c r="L32" s="8">
        <v>5198.1104464</v>
      </c>
      <c r="M32" s="8">
        <v>5537.9498656000005</v>
      </c>
      <c r="N32" s="8">
        <v>5693.9088416</v>
      </c>
      <c r="O32" s="8">
        <v>5534.168864</v>
      </c>
      <c r="P32" s="8">
        <v>5358.774459200001</v>
      </c>
      <c r="Q32" s="8">
        <v>5238.3860096</v>
      </c>
      <c r="R32" s="8">
        <v>5209.1915312</v>
      </c>
      <c r="S32" s="8">
        <v>5146.6213776</v>
      </c>
      <c r="T32" s="8">
        <v>5049.3710736</v>
      </c>
      <c r="U32" s="8">
        <v>4932.2434464</v>
      </c>
      <c r="V32" s="8">
        <v>4674.0284368</v>
      </c>
      <c r="W32" s="8">
        <v>4276.166601600001</v>
      </c>
      <c r="X32" s="8">
        <v>3828.8071600000003</v>
      </c>
      <c r="Y32" s="8">
        <v>3350.8821888</v>
      </c>
      <c r="Z32" s="8">
        <v>3007.8229200000005</v>
      </c>
      <c r="AA32" s="9">
        <f t="shared" si="1"/>
        <v>101188.2257</v>
      </c>
      <c r="AB32" s="9">
        <v>3.0</v>
      </c>
      <c r="AC32" s="9">
        <f t="shared" si="2"/>
        <v>303564.6771</v>
      </c>
      <c r="AD32" s="11"/>
    </row>
    <row r="33" ht="14.25" customHeight="1">
      <c r="A33" s="7">
        <v>46600.0</v>
      </c>
      <c r="B33" s="8" t="s">
        <v>36</v>
      </c>
      <c r="C33" s="8">
        <v>2785.5135200000004</v>
      </c>
      <c r="D33" s="8">
        <v>2647.1653152</v>
      </c>
      <c r="E33" s="8">
        <v>2519.3465552000002</v>
      </c>
      <c r="F33" s="8">
        <v>2454.4044976</v>
      </c>
      <c r="G33" s="8">
        <v>2399.6480224</v>
      </c>
      <c r="H33" s="8">
        <v>2352.5684144</v>
      </c>
      <c r="I33" s="8">
        <v>2428.6142368</v>
      </c>
      <c r="J33" s="8">
        <v>2714.7690000000002</v>
      </c>
      <c r="K33" s="8">
        <v>3091.1351712</v>
      </c>
      <c r="L33" s="8">
        <v>3614.5199503999997</v>
      </c>
      <c r="M33" s="8">
        <v>4037.3226368000005</v>
      </c>
      <c r="N33" s="8">
        <v>4276.6641008</v>
      </c>
      <c r="O33" s="8">
        <v>4359.1079216</v>
      </c>
      <c r="P33" s="8">
        <v>4379.0013424</v>
      </c>
      <c r="Q33" s="8">
        <v>4348.7533344</v>
      </c>
      <c r="R33" s="8">
        <v>4327.6944464</v>
      </c>
      <c r="S33" s="8">
        <v>4225.3103808000005</v>
      </c>
      <c r="T33" s="8">
        <v>4122.7909664</v>
      </c>
      <c r="U33" s="8">
        <v>4065.3999360000003</v>
      </c>
      <c r="V33" s="8">
        <v>3862.8390959999997</v>
      </c>
      <c r="W33" s="8">
        <v>3534.9433392</v>
      </c>
      <c r="X33" s="8">
        <v>3158.3862160000003</v>
      </c>
      <c r="Y33" s="8">
        <v>2819.6149600000003</v>
      </c>
      <c r="Z33" s="8">
        <v>2574.4351856000003</v>
      </c>
      <c r="AA33" s="9">
        <f t="shared" si="1"/>
        <v>81099.94855</v>
      </c>
      <c r="AB33" s="9">
        <v>7.0</v>
      </c>
      <c r="AC33" s="9">
        <f t="shared" si="2"/>
        <v>567699.6398</v>
      </c>
      <c r="AD33" s="12"/>
    </row>
    <row r="34" ht="14.25" customHeight="1">
      <c r="A34" s="7">
        <v>46631.0</v>
      </c>
      <c r="B34" s="8" t="s">
        <v>34</v>
      </c>
      <c r="C34" s="8">
        <v>2863.07592</v>
      </c>
      <c r="D34" s="8">
        <v>2745.9187616</v>
      </c>
      <c r="E34" s="8">
        <v>2680.3876176000003</v>
      </c>
      <c r="F34" s="8">
        <v>2653.5998944000003</v>
      </c>
      <c r="G34" s="8">
        <v>2694.5192816</v>
      </c>
      <c r="H34" s="8">
        <v>2867.444344</v>
      </c>
      <c r="I34" s="8">
        <v>3469.6331440000004</v>
      </c>
      <c r="J34" s="8">
        <v>4353.6472592</v>
      </c>
      <c r="K34" s="8">
        <v>5093.2364192000005</v>
      </c>
      <c r="L34" s="8">
        <v>5592.699955200001</v>
      </c>
      <c r="M34" s="8">
        <v>5999.048624</v>
      </c>
      <c r="N34" s="8">
        <v>6243.604260800001</v>
      </c>
      <c r="O34" s="8">
        <v>6161.476300800001</v>
      </c>
      <c r="P34" s="8">
        <v>6182.5296016</v>
      </c>
      <c r="Q34" s="8">
        <v>6346.3425632</v>
      </c>
      <c r="R34" s="8">
        <v>6349.021348800001</v>
      </c>
      <c r="S34" s="8">
        <v>6170.0601728</v>
      </c>
      <c r="T34" s="8">
        <v>5758.1967008</v>
      </c>
      <c r="U34" s="8">
        <v>5454.8112736</v>
      </c>
      <c r="V34" s="8">
        <v>5110.116440000001</v>
      </c>
      <c r="W34" s="8">
        <v>4654.422142400001</v>
      </c>
      <c r="X34" s="8">
        <v>4136.365936</v>
      </c>
      <c r="Y34" s="8">
        <v>3584.6843072000006</v>
      </c>
      <c r="Z34" s="8">
        <v>3208.1167424</v>
      </c>
      <c r="AA34" s="9">
        <f t="shared" si="1"/>
        <v>110372.959</v>
      </c>
      <c r="AB34" s="9">
        <v>22.0</v>
      </c>
      <c r="AC34" s="9">
        <f t="shared" si="2"/>
        <v>2428205.098</v>
      </c>
      <c r="AD34" s="10">
        <f>SUM(AC34:AC36)</f>
        <v>3157357.795</v>
      </c>
    </row>
    <row r="35" ht="14.25" customHeight="1">
      <c r="A35" s="7">
        <v>46631.0</v>
      </c>
      <c r="B35" s="8" t="s">
        <v>35</v>
      </c>
      <c r="C35" s="8">
        <v>3111.073952</v>
      </c>
      <c r="D35" s="8">
        <v>2948.6606432000003</v>
      </c>
      <c r="E35" s="8">
        <v>2858.1002528000004</v>
      </c>
      <c r="F35" s="8">
        <v>2787.8971312000003</v>
      </c>
      <c r="G35" s="8">
        <v>2801.348656</v>
      </c>
      <c r="H35" s="8">
        <v>2812.7779904</v>
      </c>
      <c r="I35" s="8">
        <v>3222.1964608</v>
      </c>
      <c r="J35" s="8">
        <v>3956.2184096</v>
      </c>
      <c r="K35" s="8">
        <v>4653.518993600001</v>
      </c>
      <c r="L35" s="8">
        <v>5198.1104464</v>
      </c>
      <c r="M35" s="8">
        <v>5537.9498656000005</v>
      </c>
      <c r="N35" s="8">
        <v>5693.9088416</v>
      </c>
      <c r="O35" s="8">
        <v>5534.168864</v>
      </c>
      <c r="P35" s="8">
        <v>5358.774459200001</v>
      </c>
      <c r="Q35" s="8">
        <v>5238.3860096</v>
      </c>
      <c r="R35" s="8">
        <v>5209.1915312</v>
      </c>
      <c r="S35" s="8">
        <v>5146.6213776</v>
      </c>
      <c r="T35" s="8">
        <v>5049.3710736</v>
      </c>
      <c r="U35" s="8">
        <v>4932.2434464</v>
      </c>
      <c r="V35" s="8">
        <v>4674.0284368</v>
      </c>
      <c r="W35" s="8">
        <v>4276.166601600001</v>
      </c>
      <c r="X35" s="8">
        <v>3828.8071600000003</v>
      </c>
      <c r="Y35" s="8">
        <v>3350.8821888</v>
      </c>
      <c r="Z35" s="8">
        <v>3007.8229200000005</v>
      </c>
      <c r="AA35" s="9">
        <f t="shared" si="1"/>
        <v>101188.2257</v>
      </c>
      <c r="AB35" s="9">
        <v>4.0</v>
      </c>
      <c r="AC35" s="9">
        <f t="shared" si="2"/>
        <v>404752.9028</v>
      </c>
      <c r="AD35" s="11"/>
    </row>
    <row r="36" ht="14.25" customHeight="1">
      <c r="A36" s="7">
        <v>46631.0</v>
      </c>
      <c r="B36" s="8" t="s">
        <v>36</v>
      </c>
      <c r="C36" s="8">
        <v>2785.5135200000004</v>
      </c>
      <c r="D36" s="8">
        <v>2647.1653152</v>
      </c>
      <c r="E36" s="8">
        <v>2519.3465552000002</v>
      </c>
      <c r="F36" s="8">
        <v>2454.4044976</v>
      </c>
      <c r="G36" s="8">
        <v>2399.6480224</v>
      </c>
      <c r="H36" s="8">
        <v>2352.5684144</v>
      </c>
      <c r="I36" s="8">
        <v>2428.6142368</v>
      </c>
      <c r="J36" s="8">
        <v>2714.7690000000002</v>
      </c>
      <c r="K36" s="8">
        <v>3091.1351712</v>
      </c>
      <c r="L36" s="8">
        <v>3614.5199503999997</v>
      </c>
      <c r="M36" s="8">
        <v>4037.3226368000005</v>
      </c>
      <c r="N36" s="8">
        <v>4276.6641008</v>
      </c>
      <c r="O36" s="8">
        <v>4359.1079216</v>
      </c>
      <c r="P36" s="8">
        <v>4379.0013424</v>
      </c>
      <c r="Q36" s="8">
        <v>4348.7533344</v>
      </c>
      <c r="R36" s="8">
        <v>4327.6944464</v>
      </c>
      <c r="S36" s="8">
        <v>4225.3103808000005</v>
      </c>
      <c r="T36" s="8">
        <v>4122.7909664</v>
      </c>
      <c r="U36" s="8">
        <v>4065.3999360000003</v>
      </c>
      <c r="V36" s="8">
        <v>3862.8390959999997</v>
      </c>
      <c r="W36" s="8">
        <v>3534.9433392</v>
      </c>
      <c r="X36" s="8">
        <v>3158.3862160000003</v>
      </c>
      <c r="Y36" s="8">
        <v>2819.6149600000003</v>
      </c>
      <c r="Z36" s="8">
        <v>2574.4351856000003</v>
      </c>
      <c r="AA36" s="9">
        <f t="shared" si="1"/>
        <v>81099.94855</v>
      </c>
      <c r="AB36" s="9">
        <v>4.0</v>
      </c>
      <c r="AC36" s="9">
        <f t="shared" si="2"/>
        <v>324399.7942</v>
      </c>
      <c r="AD36" s="12"/>
    </row>
    <row r="37" ht="14.25" customHeight="1">
      <c r="A37" s="7">
        <v>46661.0</v>
      </c>
      <c r="B37" s="8" t="s">
        <v>34</v>
      </c>
      <c r="C37" s="8">
        <v>2863.07592</v>
      </c>
      <c r="D37" s="8">
        <v>2745.9187616</v>
      </c>
      <c r="E37" s="8">
        <v>2680.3876176000003</v>
      </c>
      <c r="F37" s="8">
        <v>2653.5998944000003</v>
      </c>
      <c r="G37" s="8">
        <v>2694.5192816</v>
      </c>
      <c r="H37" s="8">
        <v>2867.444344</v>
      </c>
      <c r="I37" s="8">
        <v>3469.6331440000004</v>
      </c>
      <c r="J37" s="8">
        <v>4353.6472592</v>
      </c>
      <c r="K37" s="8">
        <v>5093.2364192000005</v>
      </c>
      <c r="L37" s="8">
        <v>5592.699955200001</v>
      </c>
      <c r="M37" s="8">
        <v>5999.048624</v>
      </c>
      <c r="N37" s="8">
        <v>6243.604260800001</v>
      </c>
      <c r="O37" s="8">
        <v>6161.476300800001</v>
      </c>
      <c r="P37" s="8">
        <v>6182.5296016</v>
      </c>
      <c r="Q37" s="8">
        <v>6346.3425632</v>
      </c>
      <c r="R37" s="8">
        <v>6349.021348800001</v>
      </c>
      <c r="S37" s="8">
        <v>6170.0601728</v>
      </c>
      <c r="T37" s="8">
        <v>5758.1967008</v>
      </c>
      <c r="U37" s="8">
        <v>5454.8112736</v>
      </c>
      <c r="V37" s="8">
        <v>5110.116440000001</v>
      </c>
      <c r="W37" s="8">
        <v>4654.422142400001</v>
      </c>
      <c r="X37" s="8">
        <v>4136.365936</v>
      </c>
      <c r="Y37" s="8">
        <v>3584.6843072000006</v>
      </c>
      <c r="Z37" s="8">
        <v>3208.1167424</v>
      </c>
      <c r="AA37" s="9">
        <f t="shared" si="1"/>
        <v>110372.959</v>
      </c>
      <c r="AB37" s="9">
        <v>20.0</v>
      </c>
      <c r="AC37" s="9">
        <f t="shared" si="2"/>
        <v>2207459.18</v>
      </c>
      <c r="AD37" s="10">
        <f>SUM(AC37:AC39)</f>
        <v>3200000</v>
      </c>
    </row>
    <row r="38" ht="14.25" customHeight="1">
      <c r="A38" s="7">
        <v>46661.0</v>
      </c>
      <c r="B38" s="8" t="s">
        <v>35</v>
      </c>
      <c r="C38" s="8">
        <v>3111.073952</v>
      </c>
      <c r="D38" s="8">
        <v>2948.6606432000003</v>
      </c>
      <c r="E38" s="8">
        <v>2858.1002528000004</v>
      </c>
      <c r="F38" s="8">
        <v>2787.8971312000003</v>
      </c>
      <c r="G38" s="8">
        <v>2801.348656</v>
      </c>
      <c r="H38" s="8">
        <v>2812.7779904</v>
      </c>
      <c r="I38" s="8">
        <v>3222.1964608</v>
      </c>
      <c r="J38" s="8">
        <v>3956.2184096</v>
      </c>
      <c r="K38" s="8">
        <v>4653.518993600001</v>
      </c>
      <c r="L38" s="8">
        <v>5198.1104464</v>
      </c>
      <c r="M38" s="8">
        <v>5537.9498656000005</v>
      </c>
      <c r="N38" s="8">
        <v>5693.9088416</v>
      </c>
      <c r="O38" s="8">
        <v>5534.168864</v>
      </c>
      <c r="P38" s="8">
        <v>5358.774459200001</v>
      </c>
      <c r="Q38" s="8">
        <v>5238.3860096</v>
      </c>
      <c r="R38" s="8">
        <v>5209.1915312</v>
      </c>
      <c r="S38" s="8">
        <v>5146.6213776</v>
      </c>
      <c r="T38" s="8">
        <v>5049.3710736</v>
      </c>
      <c r="U38" s="8">
        <v>4932.2434464</v>
      </c>
      <c r="V38" s="8">
        <v>4674.0284368</v>
      </c>
      <c r="W38" s="8">
        <v>4276.166601600001</v>
      </c>
      <c r="X38" s="8">
        <v>3828.8071600000003</v>
      </c>
      <c r="Y38" s="8">
        <v>3350.8821888</v>
      </c>
      <c r="Z38" s="8">
        <v>3007.8229200000005</v>
      </c>
      <c r="AA38" s="9">
        <f t="shared" si="1"/>
        <v>101188.2257</v>
      </c>
      <c r="AB38" s="9">
        <v>5.0</v>
      </c>
      <c r="AC38" s="9">
        <f t="shared" si="2"/>
        <v>505941.1286</v>
      </c>
      <c r="AD38" s="11"/>
    </row>
    <row r="39" ht="14.25" customHeight="1">
      <c r="A39" s="7">
        <v>46661.0</v>
      </c>
      <c r="B39" s="8" t="s">
        <v>36</v>
      </c>
      <c r="C39" s="8">
        <v>2785.5135200000004</v>
      </c>
      <c r="D39" s="8">
        <v>2647.1653152</v>
      </c>
      <c r="E39" s="8">
        <v>2519.3465552000002</v>
      </c>
      <c r="F39" s="8">
        <v>2454.4044976</v>
      </c>
      <c r="G39" s="8">
        <v>2399.6480224</v>
      </c>
      <c r="H39" s="8">
        <v>2352.5684144</v>
      </c>
      <c r="I39" s="8">
        <v>2428.6142368</v>
      </c>
      <c r="J39" s="8">
        <v>2714.7690000000002</v>
      </c>
      <c r="K39" s="8">
        <v>3091.1351712</v>
      </c>
      <c r="L39" s="8">
        <v>3614.5199503999997</v>
      </c>
      <c r="M39" s="8">
        <v>4037.3226368000005</v>
      </c>
      <c r="N39" s="8">
        <v>4276.6641008</v>
      </c>
      <c r="O39" s="8">
        <v>4359.1079216</v>
      </c>
      <c r="P39" s="8">
        <v>4379.0013424</v>
      </c>
      <c r="Q39" s="8">
        <v>4348.7533344</v>
      </c>
      <c r="R39" s="8">
        <v>4327.6944464</v>
      </c>
      <c r="S39" s="8">
        <v>4225.3103808000005</v>
      </c>
      <c r="T39" s="8">
        <v>4122.7909664</v>
      </c>
      <c r="U39" s="8">
        <v>4065.3999360000003</v>
      </c>
      <c r="V39" s="8">
        <v>3862.8390959999997</v>
      </c>
      <c r="W39" s="8">
        <v>3534.9433392</v>
      </c>
      <c r="X39" s="8">
        <v>3158.3862160000003</v>
      </c>
      <c r="Y39" s="8">
        <v>2819.6149600000003</v>
      </c>
      <c r="Z39" s="8">
        <v>2574.4351856000003</v>
      </c>
      <c r="AA39" s="9">
        <f t="shared" si="1"/>
        <v>81099.94855</v>
      </c>
      <c r="AB39" s="9">
        <v>6.0</v>
      </c>
      <c r="AC39" s="9">
        <f t="shared" si="2"/>
        <v>486599.6913</v>
      </c>
      <c r="AD39" s="12"/>
    </row>
    <row r="40" ht="14.25" customHeight="1">
      <c r="A40" s="7">
        <v>46692.0</v>
      </c>
      <c r="B40" s="8" t="s">
        <v>34</v>
      </c>
      <c r="C40" s="8">
        <v>2863.07592</v>
      </c>
      <c r="D40" s="8">
        <v>2745.9187616</v>
      </c>
      <c r="E40" s="8">
        <v>2680.3876176000003</v>
      </c>
      <c r="F40" s="8">
        <v>2653.5998944000003</v>
      </c>
      <c r="G40" s="8">
        <v>2694.5192816</v>
      </c>
      <c r="H40" s="8">
        <v>2867.444344</v>
      </c>
      <c r="I40" s="8">
        <v>3469.6331440000004</v>
      </c>
      <c r="J40" s="8">
        <v>4353.6472592</v>
      </c>
      <c r="K40" s="8">
        <v>5093.2364192000005</v>
      </c>
      <c r="L40" s="8">
        <v>5592.699955200001</v>
      </c>
      <c r="M40" s="8">
        <v>5999.048624</v>
      </c>
      <c r="N40" s="8">
        <v>6243.604260800001</v>
      </c>
      <c r="O40" s="8">
        <v>6161.476300800001</v>
      </c>
      <c r="P40" s="8">
        <v>6182.5296016</v>
      </c>
      <c r="Q40" s="8">
        <v>6346.3425632</v>
      </c>
      <c r="R40" s="8">
        <v>6349.021348800001</v>
      </c>
      <c r="S40" s="8">
        <v>6170.0601728</v>
      </c>
      <c r="T40" s="8">
        <v>5758.1967008</v>
      </c>
      <c r="U40" s="8">
        <v>5454.8112736</v>
      </c>
      <c r="V40" s="8">
        <v>5110.116440000001</v>
      </c>
      <c r="W40" s="8">
        <v>4654.422142400001</v>
      </c>
      <c r="X40" s="8">
        <v>4136.365936</v>
      </c>
      <c r="Y40" s="8">
        <v>3584.6843072000006</v>
      </c>
      <c r="Z40" s="8">
        <v>3208.1167424</v>
      </c>
      <c r="AA40" s="9">
        <f t="shared" si="1"/>
        <v>110372.959</v>
      </c>
      <c r="AB40" s="9">
        <v>20.0</v>
      </c>
      <c r="AC40" s="9">
        <f t="shared" si="2"/>
        <v>2207459.18</v>
      </c>
      <c r="AD40" s="10">
        <f>SUM(AC40:AC42)</f>
        <v>3098811.774</v>
      </c>
    </row>
    <row r="41" ht="14.25" customHeight="1">
      <c r="A41" s="7">
        <v>46692.0</v>
      </c>
      <c r="B41" s="8" t="s">
        <v>35</v>
      </c>
      <c r="C41" s="8">
        <v>3111.073952</v>
      </c>
      <c r="D41" s="8">
        <v>2948.6606432000003</v>
      </c>
      <c r="E41" s="8">
        <v>2858.1002528000004</v>
      </c>
      <c r="F41" s="8">
        <v>2787.8971312000003</v>
      </c>
      <c r="G41" s="8">
        <v>2801.348656</v>
      </c>
      <c r="H41" s="8">
        <v>2812.7779904</v>
      </c>
      <c r="I41" s="8">
        <v>3222.1964608</v>
      </c>
      <c r="J41" s="8">
        <v>3956.2184096</v>
      </c>
      <c r="K41" s="8">
        <v>4653.518993600001</v>
      </c>
      <c r="L41" s="8">
        <v>5198.1104464</v>
      </c>
      <c r="M41" s="8">
        <v>5537.9498656000005</v>
      </c>
      <c r="N41" s="8">
        <v>5693.9088416</v>
      </c>
      <c r="O41" s="8">
        <v>5534.168864</v>
      </c>
      <c r="P41" s="8">
        <v>5358.774459200001</v>
      </c>
      <c r="Q41" s="8">
        <v>5238.3860096</v>
      </c>
      <c r="R41" s="8">
        <v>5209.1915312</v>
      </c>
      <c r="S41" s="8">
        <v>5146.6213776</v>
      </c>
      <c r="T41" s="8">
        <v>5049.3710736</v>
      </c>
      <c r="U41" s="8">
        <v>4932.2434464</v>
      </c>
      <c r="V41" s="8">
        <v>4674.0284368</v>
      </c>
      <c r="W41" s="8">
        <v>4276.166601600001</v>
      </c>
      <c r="X41" s="8">
        <v>3828.8071600000003</v>
      </c>
      <c r="Y41" s="8">
        <v>3350.8821888</v>
      </c>
      <c r="Z41" s="8">
        <v>3007.8229200000005</v>
      </c>
      <c r="AA41" s="9">
        <f t="shared" si="1"/>
        <v>101188.2257</v>
      </c>
      <c r="AB41" s="9">
        <v>4.0</v>
      </c>
      <c r="AC41" s="9">
        <f t="shared" si="2"/>
        <v>404752.9028</v>
      </c>
      <c r="AD41" s="11"/>
    </row>
    <row r="42" ht="14.25" customHeight="1">
      <c r="A42" s="7">
        <v>46692.0</v>
      </c>
      <c r="B42" s="8" t="s">
        <v>36</v>
      </c>
      <c r="C42" s="8">
        <v>2785.5135200000004</v>
      </c>
      <c r="D42" s="8">
        <v>2647.1653152</v>
      </c>
      <c r="E42" s="8">
        <v>2519.3465552000002</v>
      </c>
      <c r="F42" s="8">
        <v>2454.4044976</v>
      </c>
      <c r="G42" s="8">
        <v>2399.6480224</v>
      </c>
      <c r="H42" s="8">
        <v>2352.5684144</v>
      </c>
      <c r="I42" s="8">
        <v>2428.6142368</v>
      </c>
      <c r="J42" s="8">
        <v>2714.7690000000002</v>
      </c>
      <c r="K42" s="8">
        <v>3091.1351712</v>
      </c>
      <c r="L42" s="8">
        <v>3614.5199503999997</v>
      </c>
      <c r="M42" s="8">
        <v>4037.3226368000005</v>
      </c>
      <c r="N42" s="8">
        <v>4276.6641008</v>
      </c>
      <c r="O42" s="8">
        <v>4359.1079216</v>
      </c>
      <c r="P42" s="8">
        <v>4379.0013424</v>
      </c>
      <c r="Q42" s="8">
        <v>4348.7533344</v>
      </c>
      <c r="R42" s="8">
        <v>4327.6944464</v>
      </c>
      <c r="S42" s="8">
        <v>4225.3103808000005</v>
      </c>
      <c r="T42" s="8">
        <v>4122.7909664</v>
      </c>
      <c r="U42" s="8">
        <v>4065.3999360000003</v>
      </c>
      <c r="V42" s="8">
        <v>3862.8390959999997</v>
      </c>
      <c r="W42" s="8">
        <v>3534.9433392</v>
      </c>
      <c r="X42" s="8">
        <v>3158.3862160000003</v>
      </c>
      <c r="Y42" s="8">
        <v>2819.6149600000003</v>
      </c>
      <c r="Z42" s="8">
        <v>2574.4351856000003</v>
      </c>
      <c r="AA42" s="9">
        <f t="shared" si="1"/>
        <v>81099.94855</v>
      </c>
      <c r="AB42" s="9">
        <v>6.0</v>
      </c>
      <c r="AC42" s="9">
        <f t="shared" si="2"/>
        <v>486599.6913</v>
      </c>
      <c r="AD42" s="12"/>
    </row>
    <row r="43" ht="14.25" customHeight="1">
      <c r="A43" s="7">
        <v>46722.0</v>
      </c>
      <c r="B43" s="8" t="s">
        <v>34</v>
      </c>
      <c r="C43" s="8">
        <v>2863.07592</v>
      </c>
      <c r="D43" s="8">
        <v>2745.9187616</v>
      </c>
      <c r="E43" s="8">
        <v>2680.3876176000003</v>
      </c>
      <c r="F43" s="8">
        <v>2653.5998944000003</v>
      </c>
      <c r="G43" s="8">
        <v>2694.5192816</v>
      </c>
      <c r="H43" s="8">
        <v>2867.444344</v>
      </c>
      <c r="I43" s="8">
        <v>3469.6331440000004</v>
      </c>
      <c r="J43" s="8">
        <v>4353.6472592</v>
      </c>
      <c r="K43" s="8">
        <v>5093.2364192000005</v>
      </c>
      <c r="L43" s="8">
        <v>5592.699955200001</v>
      </c>
      <c r="M43" s="8">
        <v>5999.048624</v>
      </c>
      <c r="N43" s="8">
        <v>6243.604260800001</v>
      </c>
      <c r="O43" s="8">
        <v>6161.476300800001</v>
      </c>
      <c r="P43" s="8">
        <v>6182.5296016</v>
      </c>
      <c r="Q43" s="8">
        <v>6346.3425632</v>
      </c>
      <c r="R43" s="8">
        <v>6349.021348800001</v>
      </c>
      <c r="S43" s="8">
        <v>6170.0601728</v>
      </c>
      <c r="T43" s="8">
        <v>5758.1967008</v>
      </c>
      <c r="U43" s="8">
        <v>5454.8112736</v>
      </c>
      <c r="V43" s="8">
        <v>5110.116440000001</v>
      </c>
      <c r="W43" s="8">
        <v>4654.422142400001</v>
      </c>
      <c r="X43" s="8">
        <v>4136.365936</v>
      </c>
      <c r="Y43" s="8">
        <v>3584.6843072000006</v>
      </c>
      <c r="Z43" s="8">
        <v>3208.1167424</v>
      </c>
      <c r="AA43" s="9">
        <f t="shared" si="1"/>
        <v>110372.959</v>
      </c>
      <c r="AB43" s="9">
        <v>22.0</v>
      </c>
      <c r="AC43" s="9">
        <f t="shared" si="2"/>
        <v>2428205.098</v>
      </c>
      <c r="AD43" s="10">
        <f>SUM(AC43:AC45)</f>
        <v>3218369.467</v>
      </c>
    </row>
    <row r="44" ht="14.25" customHeight="1">
      <c r="A44" s="7">
        <v>46722.0</v>
      </c>
      <c r="B44" s="8" t="s">
        <v>35</v>
      </c>
      <c r="C44" s="8">
        <v>3111.073952</v>
      </c>
      <c r="D44" s="8">
        <v>2948.6606432000003</v>
      </c>
      <c r="E44" s="8">
        <v>2858.1002528000004</v>
      </c>
      <c r="F44" s="8">
        <v>2787.8971312000003</v>
      </c>
      <c r="G44" s="8">
        <v>2801.348656</v>
      </c>
      <c r="H44" s="8">
        <v>2812.7779904</v>
      </c>
      <c r="I44" s="8">
        <v>3222.1964608</v>
      </c>
      <c r="J44" s="8">
        <v>3956.2184096</v>
      </c>
      <c r="K44" s="8">
        <v>4653.518993600001</v>
      </c>
      <c r="L44" s="8">
        <v>5198.1104464</v>
      </c>
      <c r="M44" s="8">
        <v>5537.9498656000005</v>
      </c>
      <c r="N44" s="8">
        <v>5693.9088416</v>
      </c>
      <c r="O44" s="8">
        <v>5534.168864</v>
      </c>
      <c r="P44" s="8">
        <v>5358.774459200001</v>
      </c>
      <c r="Q44" s="8">
        <v>5238.3860096</v>
      </c>
      <c r="R44" s="8">
        <v>5209.1915312</v>
      </c>
      <c r="S44" s="8">
        <v>5146.6213776</v>
      </c>
      <c r="T44" s="8">
        <v>5049.3710736</v>
      </c>
      <c r="U44" s="8">
        <v>4932.2434464</v>
      </c>
      <c r="V44" s="8">
        <v>4674.0284368</v>
      </c>
      <c r="W44" s="8">
        <v>4276.166601600001</v>
      </c>
      <c r="X44" s="8">
        <v>3828.8071600000003</v>
      </c>
      <c r="Y44" s="8">
        <v>3350.8821888</v>
      </c>
      <c r="Z44" s="8">
        <v>3007.8229200000005</v>
      </c>
      <c r="AA44" s="9">
        <f t="shared" si="1"/>
        <v>101188.2257</v>
      </c>
      <c r="AB44" s="9">
        <v>3.0</v>
      </c>
      <c r="AC44" s="9">
        <f t="shared" si="2"/>
        <v>303564.6771</v>
      </c>
      <c r="AD44" s="11"/>
    </row>
    <row r="45" ht="14.25" customHeight="1">
      <c r="A45" s="7">
        <v>46722.0</v>
      </c>
      <c r="B45" s="8" t="s">
        <v>36</v>
      </c>
      <c r="C45" s="8">
        <v>2785.5135200000004</v>
      </c>
      <c r="D45" s="8">
        <v>2647.1653152</v>
      </c>
      <c r="E45" s="8">
        <v>2519.3465552000002</v>
      </c>
      <c r="F45" s="8">
        <v>2454.4044976</v>
      </c>
      <c r="G45" s="8">
        <v>2399.6480224</v>
      </c>
      <c r="H45" s="8">
        <v>2352.5684144</v>
      </c>
      <c r="I45" s="8">
        <v>2428.6142368</v>
      </c>
      <c r="J45" s="8">
        <v>2714.7690000000002</v>
      </c>
      <c r="K45" s="8">
        <v>3091.1351712</v>
      </c>
      <c r="L45" s="8">
        <v>3614.5199503999997</v>
      </c>
      <c r="M45" s="8">
        <v>4037.3226368000005</v>
      </c>
      <c r="N45" s="8">
        <v>4276.6641008</v>
      </c>
      <c r="O45" s="8">
        <v>4359.1079216</v>
      </c>
      <c r="P45" s="8">
        <v>4379.0013424</v>
      </c>
      <c r="Q45" s="8">
        <v>4348.7533344</v>
      </c>
      <c r="R45" s="8">
        <v>4327.6944464</v>
      </c>
      <c r="S45" s="8">
        <v>4225.3103808000005</v>
      </c>
      <c r="T45" s="8">
        <v>4122.7909664</v>
      </c>
      <c r="U45" s="8">
        <v>4065.3999360000003</v>
      </c>
      <c r="V45" s="8">
        <v>3862.8390959999997</v>
      </c>
      <c r="W45" s="8">
        <v>3534.9433392</v>
      </c>
      <c r="X45" s="8">
        <v>3158.3862160000003</v>
      </c>
      <c r="Y45" s="8">
        <v>2819.6149600000003</v>
      </c>
      <c r="Z45" s="8">
        <v>2574.4351856000003</v>
      </c>
      <c r="AA45" s="9">
        <f t="shared" si="1"/>
        <v>81099.94855</v>
      </c>
      <c r="AB45" s="9">
        <v>6.0</v>
      </c>
      <c r="AC45" s="9">
        <f t="shared" si="2"/>
        <v>486599.6913</v>
      </c>
      <c r="AD45" s="12"/>
    </row>
    <row r="46" ht="14.25" customHeight="1">
      <c r="AB46" s="13" t="s">
        <v>32</v>
      </c>
      <c r="AC46" s="9">
        <f t="shared" ref="AC46:AD46" si="3">SUM(AC10:AC45)</f>
        <v>37786967.37</v>
      </c>
      <c r="AD46" s="9">
        <f t="shared" si="3"/>
        <v>37786967.37</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sheetData>
  <mergeCells count="16">
    <mergeCell ref="A1:AC1"/>
    <mergeCell ref="A2:AC2"/>
    <mergeCell ref="A3:AC3"/>
    <mergeCell ref="A4:AC4"/>
    <mergeCell ref="AD10:AD12"/>
    <mergeCell ref="AD13:AD15"/>
    <mergeCell ref="AD16:AD18"/>
    <mergeCell ref="AD40:AD42"/>
    <mergeCell ref="AD43:AD45"/>
    <mergeCell ref="AD19:AD21"/>
    <mergeCell ref="AD22:AD24"/>
    <mergeCell ref="AD25:AD27"/>
    <mergeCell ref="AD28:AD30"/>
    <mergeCell ref="AD31:AD33"/>
    <mergeCell ref="AD34:AD36"/>
    <mergeCell ref="AD37:AD39"/>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0.71"/>
    <col customWidth="1" min="3" max="3" width="16.0"/>
    <col customWidth="1" min="4" max="4" width="13.0"/>
    <col customWidth="1" min="5" max="5" width="14.14"/>
    <col customWidth="1" min="6" max="6" width="10.71"/>
    <col customWidth="1" min="7" max="7" width="14.86"/>
    <col customWidth="1" min="8" max="19" width="10.71"/>
  </cols>
  <sheetData>
    <row r="1" ht="14.25" customHeight="1"/>
    <row r="2" ht="14.25" customHeight="1"/>
    <row r="3" ht="14.25" customHeight="1"/>
    <row r="4" ht="14.25" customHeight="1">
      <c r="A4" s="14" t="s">
        <v>3</v>
      </c>
    </row>
    <row r="5" ht="14.25" customHeight="1">
      <c r="A5" s="15"/>
      <c r="B5" s="14" t="s">
        <v>53</v>
      </c>
    </row>
    <row r="6" ht="14.25" customHeight="1">
      <c r="A6" s="15"/>
      <c r="B6" s="14" t="s">
        <v>38</v>
      </c>
    </row>
    <row r="7" ht="14.25" customHeight="1">
      <c r="A7" s="15"/>
      <c r="B7" s="16" t="s">
        <v>39</v>
      </c>
    </row>
    <row r="8" ht="14.25" customHeight="1">
      <c r="A8" s="15"/>
      <c r="B8" s="17" t="s">
        <v>40</v>
      </c>
    </row>
    <row r="9" ht="14.25" customHeight="1">
      <c r="A9" s="15"/>
      <c r="B9" s="16"/>
      <c r="C9" s="16"/>
      <c r="D9" s="16"/>
      <c r="E9" s="16"/>
    </row>
    <row r="10" ht="14.25" customHeight="1">
      <c r="A10" s="15"/>
      <c r="B10" s="44" t="s">
        <v>41</v>
      </c>
      <c r="C10" s="45"/>
      <c r="D10" s="45"/>
      <c r="E10" s="45"/>
      <c r="F10" s="46"/>
    </row>
    <row r="11">
      <c r="A11" s="15"/>
      <c r="B11" s="47" t="s">
        <v>4</v>
      </c>
      <c r="C11" s="48" t="s">
        <v>42</v>
      </c>
      <c r="D11" s="23" t="s">
        <v>43</v>
      </c>
      <c r="E11" s="23" t="s">
        <v>44</v>
      </c>
      <c r="F11" s="24" t="s">
        <v>45</v>
      </c>
    </row>
    <row r="12" ht="14.25" customHeight="1">
      <c r="A12" s="15"/>
      <c r="B12" s="49">
        <v>46418.0</v>
      </c>
      <c r="C12" s="26">
        <f>'Cant. Requeridas Producto 2'!AD10</f>
        <v>3170726.99</v>
      </c>
      <c r="D12" s="50"/>
      <c r="E12" s="51">
        <f>C12*$D$12</f>
        <v>0</v>
      </c>
      <c r="F12" s="52"/>
    </row>
    <row r="13" ht="14.25" customHeight="1">
      <c r="A13" s="15"/>
      <c r="B13" s="49">
        <v>46419.0</v>
      </c>
      <c r="C13" s="26">
        <f>'Cant. Requeridas Producto 2'!AD13</f>
        <v>2936611.877</v>
      </c>
      <c r="D13" s="53"/>
      <c r="E13" s="54">
        <f t="shared" ref="E13:E23" si="1">C13*$D$13</f>
        <v>0</v>
      </c>
      <c r="F13" s="55"/>
    </row>
    <row r="14" ht="14.25" customHeight="1">
      <c r="A14" s="15"/>
      <c r="B14" s="49">
        <v>46447.0</v>
      </c>
      <c r="C14" s="26">
        <f>'Cant. Requeridas Producto 2'!AD16</f>
        <v>3179911.723</v>
      </c>
      <c r="D14" s="53"/>
      <c r="E14" s="54">
        <f t="shared" si="1"/>
        <v>0</v>
      </c>
      <c r="F14" s="55"/>
    </row>
    <row r="15" ht="14.25" customHeight="1">
      <c r="A15" s="15"/>
      <c r="B15" s="49">
        <v>46478.0</v>
      </c>
      <c r="C15" s="26">
        <f>'Cant. Requeridas Producto 2'!AD19</f>
        <v>3157357.795</v>
      </c>
      <c r="D15" s="53"/>
      <c r="E15" s="54">
        <f t="shared" si="1"/>
        <v>0</v>
      </c>
      <c r="F15" s="55"/>
    </row>
    <row r="16" ht="14.25" customHeight="1">
      <c r="A16" s="15"/>
      <c r="B16" s="49">
        <v>46508.0</v>
      </c>
      <c r="C16" s="28">
        <f>'Cant. Requeridas Producto 2'!AD22</f>
        <v>3150638.712</v>
      </c>
      <c r="D16" s="53"/>
      <c r="E16" s="54">
        <f t="shared" si="1"/>
        <v>0</v>
      </c>
      <c r="F16" s="55"/>
    </row>
    <row r="17" ht="14.25" customHeight="1">
      <c r="A17" s="15"/>
      <c r="B17" s="49">
        <v>46539.0</v>
      </c>
      <c r="C17" s="28">
        <f>'Cant. Requeridas Producto 2'!AD25</f>
        <v>3128084.785</v>
      </c>
      <c r="D17" s="53"/>
      <c r="E17" s="54">
        <f t="shared" si="1"/>
        <v>0</v>
      </c>
      <c r="F17" s="55"/>
    </row>
    <row r="18" ht="14.25" customHeight="1">
      <c r="A18" s="15"/>
      <c r="B18" s="49">
        <v>46569.0</v>
      </c>
      <c r="C18" s="28">
        <f>'Cant. Requeridas Producto 2'!AD28</f>
        <v>3200000</v>
      </c>
      <c r="D18" s="53"/>
      <c r="E18" s="54">
        <f t="shared" si="1"/>
        <v>0</v>
      </c>
      <c r="F18" s="55"/>
    </row>
    <row r="19" ht="14.25" customHeight="1">
      <c r="A19" s="15"/>
      <c r="B19" s="49">
        <v>46600.0</v>
      </c>
      <c r="C19" s="28">
        <f>'Cant. Requeridas Producto 2'!AD31</f>
        <v>3189096.456</v>
      </c>
      <c r="D19" s="53"/>
      <c r="E19" s="54">
        <f t="shared" si="1"/>
        <v>0</v>
      </c>
      <c r="F19" s="55"/>
    </row>
    <row r="20" ht="14.25" customHeight="1">
      <c r="A20" s="15"/>
      <c r="B20" s="49">
        <v>46631.0</v>
      </c>
      <c r="C20" s="28">
        <f>'Cant. Requeridas Producto 2'!AD34</f>
        <v>3157357.795</v>
      </c>
      <c r="D20" s="53"/>
      <c r="E20" s="54">
        <f t="shared" si="1"/>
        <v>0</v>
      </c>
      <c r="F20" s="55"/>
    </row>
    <row r="21" ht="14.25" customHeight="1">
      <c r="A21" s="15"/>
      <c r="B21" s="49">
        <v>46661.0</v>
      </c>
      <c r="C21" s="28">
        <f>'Cant. Requeridas Producto 2'!AD37</f>
        <v>3200000</v>
      </c>
      <c r="D21" s="53"/>
      <c r="E21" s="54">
        <f t="shared" si="1"/>
        <v>0</v>
      </c>
      <c r="F21" s="55"/>
    </row>
    <row r="22" ht="14.25" customHeight="1">
      <c r="A22" s="15"/>
      <c r="B22" s="49">
        <v>46692.0</v>
      </c>
      <c r="C22" s="26">
        <f>'Cant. Requeridas Producto 2'!AD40</f>
        <v>3098811.774</v>
      </c>
      <c r="D22" s="53"/>
      <c r="E22" s="54">
        <f t="shared" si="1"/>
        <v>0</v>
      </c>
      <c r="F22" s="55"/>
    </row>
    <row r="23" ht="14.25" customHeight="1">
      <c r="A23" s="15"/>
      <c r="B23" s="49">
        <v>46722.0</v>
      </c>
      <c r="C23" s="26">
        <f>'Cant. Requeridas Producto 2'!AD43</f>
        <v>3218369.467</v>
      </c>
      <c r="D23" s="56"/>
      <c r="E23" s="57">
        <f t="shared" si="1"/>
        <v>0</v>
      </c>
      <c r="F23" s="58"/>
    </row>
    <row r="24" ht="14.25" customHeight="1">
      <c r="A24" s="15"/>
      <c r="B24" s="59" t="s">
        <v>32</v>
      </c>
      <c r="C24" s="60">
        <f>SUM(C12:C23)</f>
        <v>37786967.37</v>
      </c>
      <c r="D24" s="37"/>
      <c r="E24" s="36">
        <f>SUM(E12:E23)</f>
        <v>0</v>
      </c>
      <c r="F24" s="37"/>
    </row>
    <row r="25" ht="14.25" customHeight="1">
      <c r="A25" s="15"/>
      <c r="B25" s="16"/>
      <c r="C25" s="38"/>
      <c r="D25" s="16"/>
      <c r="E25" s="16"/>
    </row>
    <row r="26" ht="14.25" customHeight="1">
      <c r="C26" s="39"/>
    </row>
    <row r="27" ht="30.0" customHeight="1">
      <c r="B27" s="40" t="s">
        <v>46</v>
      </c>
      <c r="E27" s="41"/>
    </row>
    <row r="28" ht="45.0" customHeight="1">
      <c r="B28" s="40" t="s">
        <v>54</v>
      </c>
      <c r="I28" s="40"/>
    </row>
    <row r="29" ht="44.25" customHeight="1">
      <c r="B29" s="40" t="s">
        <v>48</v>
      </c>
      <c r="I29" s="40"/>
    </row>
    <row r="30" ht="14.25" customHeight="1">
      <c r="B30" s="42"/>
    </row>
    <row r="31" ht="14.25" customHeight="1"/>
    <row r="32" ht="14.25" customHeight="1"/>
    <row r="33" ht="14.25" customHeight="1">
      <c r="B33" s="43"/>
      <c r="C33" s="43"/>
    </row>
    <row r="34" ht="14.25" customHeight="1">
      <c r="B34" s="4" t="s">
        <v>49</v>
      </c>
    </row>
    <row r="35" ht="14.25" customHeight="1">
      <c r="B35" s="4" t="s">
        <v>50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2">
    <mergeCell ref="B28:E28"/>
    <mergeCell ref="I28:N28"/>
    <mergeCell ref="I29:N29"/>
    <mergeCell ref="B29:E29"/>
    <mergeCell ref="B30:E30"/>
    <mergeCell ref="A4:F4"/>
    <mergeCell ref="B5:E5"/>
    <mergeCell ref="B6:E6"/>
    <mergeCell ref="B7:E7"/>
    <mergeCell ref="B8:E8"/>
    <mergeCell ref="B10:F10"/>
    <mergeCell ref="B27:D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4" width="10.71"/>
    <col customWidth="1" min="5" max="5" width="11.29"/>
    <col customWidth="1" min="6" max="26" width="10.71"/>
    <col customWidth="1" min="27" max="27" width="13.43"/>
    <col customWidth="1" min="28" max="28" width="7.86"/>
    <col customWidth="1" min="29" max="30" width="18.43"/>
  </cols>
  <sheetData>
    <row r="1" ht="14.25" customHeight="1">
      <c r="A1" s="1" t="s">
        <v>0</v>
      </c>
      <c r="AD1" s="1"/>
    </row>
    <row r="2" ht="14.25" customHeight="1">
      <c r="A2" s="1" t="s">
        <v>55</v>
      </c>
      <c r="AD2" s="1"/>
    </row>
    <row r="3" ht="14.25" customHeight="1">
      <c r="A3" s="1" t="s">
        <v>56</v>
      </c>
      <c r="AD3" s="1"/>
    </row>
    <row r="4" ht="14.25" customHeight="1">
      <c r="A4" s="1" t="s">
        <v>3</v>
      </c>
      <c r="AD4" s="1"/>
    </row>
    <row r="5" ht="14.25" customHeight="1">
      <c r="A5" s="2"/>
      <c r="B5" s="3"/>
      <c r="C5" s="3"/>
      <c r="D5" s="3"/>
      <c r="E5" s="2"/>
      <c r="F5" s="2"/>
      <c r="G5" s="2"/>
      <c r="H5" s="2"/>
      <c r="I5" s="2"/>
      <c r="J5" s="2"/>
      <c r="K5" s="2"/>
      <c r="L5" s="2"/>
      <c r="M5" s="2"/>
      <c r="N5" s="2"/>
      <c r="O5" s="2"/>
      <c r="P5" s="2"/>
      <c r="Q5" s="2"/>
      <c r="R5" s="2"/>
      <c r="S5" s="2"/>
      <c r="T5" s="2"/>
      <c r="U5" s="2"/>
      <c r="V5" s="2"/>
      <c r="W5" s="4"/>
      <c r="X5" s="4"/>
      <c r="Y5" s="4"/>
      <c r="Z5" s="4"/>
      <c r="AA5" s="4"/>
      <c r="AB5" s="4"/>
    </row>
    <row r="6" ht="14.25" customHeight="1">
      <c r="A6" s="2"/>
      <c r="B6" s="3"/>
      <c r="C6" s="3"/>
      <c r="D6" s="3"/>
      <c r="E6" s="2"/>
      <c r="F6" s="2"/>
      <c r="G6" s="2"/>
      <c r="H6" s="2"/>
      <c r="I6" s="2"/>
      <c r="J6" s="2"/>
      <c r="K6" s="2"/>
      <c r="L6" s="2"/>
      <c r="M6" s="2"/>
      <c r="N6" s="2"/>
      <c r="O6" s="2"/>
      <c r="P6" s="2"/>
      <c r="Q6" s="2"/>
      <c r="R6" s="2"/>
      <c r="S6" s="2"/>
      <c r="T6" s="2"/>
      <c r="U6" s="2"/>
      <c r="V6" s="2"/>
      <c r="W6" s="4"/>
      <c r="X6" s="4"/>
      <c r="Y6" s="4"/>
      <c r="Z6" s="4"/>
      <c r="AA6" s="4"/>
      <c r="AB6" s="4"/>
    </row>
    <row r="7" ht="14.25" customHeight="1">
      <c r="A7" s="2"/>
      <c r="B7" s="3"/>
      <c r="C7" s="3"/>
      <c r="D7" s="3"/>
      <c r="E7" s="2"/>
      <c r="F7" s="2"/>
      <c r="G7" s="2"/>
      <c r="H7" s="2"/>
      <c r="I7" s="2"/>
      <c r="J7" s="2"/>
      <c r="K7" s="2"/>
      <c r="L7" s="2"/>
      <c r="M7" s="2"/>
      <c r="N7" s="2"/>
      <c r="O7" s="2"/>
      <c r="P7" s="2"/>
      <c r="Q7" s="2"/>
      <c r="R7" s="2"/>
      <c r="S7" s="2"/>
      <c r="T7" s="2"/>
      <c r="U7" s="2"/>
      <c r="V7" s="2"/>
      <c r="W7" s="2"/>
      <c r="X7" s="2"/>
      <c r="Y7" s="2"/>
      <c r="Z7" s="2"/>
      <c r="AA7" s="2"/>
      <c r="AB7" s="2"/>
    </row>
    <row r="8" ht="14.25" customHeight="1">
      <c r="A8" s="2"/>
      <c r="B8" s="3"/>
      <c r="C8" s="3"/>
      <c r="D8" s="3"/>
      <c r="E8" s="2"/>
      <c r="F8" s="2"/>
      <c r="G8" s="2"/>
      <c r="H8" s="2"/>
      <c r="I8" s="2"/>
      <c r="J8" s="2"/>
      <c r="K8" s="2"/>
      <c r="L8" s="2"/>
      <c r="M8" s="2"/>
      <c r="N8" s="2"/>
      <c r="O8" s="2"/>
      <c r="P8" s="2"/>
      <c r="Q8" s="2"/>
      <c r="R8" s="2"/>
      <c r="S8" s="2"/>
      <c r="T8" s="2"/>
      <c r="U8" s="2"/>
      <c r="V8" s="2"/>
      <c r="W8" s="2"/>
      <c r="X8" s="2"/>
      <c r="Y8" s="2"/>
      <c r="Z8" s="2"/>
      <c r="AA8" s="2"/>
      <c r="AB8" s="2"/>
    </row>
    <row r="9" ht="14.25" customHeight="1">
      <c r="A9" s="5" t="s">
        <v>4</v>
      </c>
      <c r="B9" s="6" t="s">
        <v>5</v>
      </c>
      <c r="C9" s="6" t="s">
        <v>6</v>
      </c>
      <c r="D9" s="6" t="s">
        <v>7</v>
      </c>
      <c r="E9" s="6"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row>
    <row r="10" ht="14.25" customHeight="1">
      <c r="A10" s="7">
        <v>46753.0</v>
      </c>
      <c r="B10" s="8" t="s">
        <v>34</v>
      </c>
      <c r="C10" s="8">
        <v>1789.42245</v>
      </c>
      <c r="D10" s="8">
        <v>1716.199226</v>
      </c>
      <c r="E10" s="8">
        <v>1675.242261</v>
      </c>
      <c r="F10" s="8">
        <v>1658.499934</v>
      </c>
      <c r="G10" s="8">
        <v>1684.074551</v>
      </c>
      <c r="H10" s="8">
        <v>1792.152715</v>
      </c>
      <c r="I10" s="8">
        <v>2168.520715</v>
      </c>
      <c r="J10" s="8">
        <v>2721.029537</v>
      </c>
      <c r="K10" s="8">
        <v>3183.272762</v>
      </c>
      <c r="L10" s="8">
        <v>3495.437472</v>
      </c>
      <c r="M10" s="8">
        <v>3749.40539</v>
      </c>
      <c r="N10" s="8">
        <v>3902.252663</v>
      </c>
      <c r="O10" s="8">
        <v>3850.922688</v>
      </c>
      <c r="P10" s="8">
        <v>3864.081001</v>
      </c>
      <c r="Q10" s="8">
        <v>3966.464102</v>
      </c>
      <c r="R10" s="8">
        <v>3968.138343</v>
      </c>
      <c r="S10" s="8">
        <v>3856.287608</v>
      </c>
      <c r="T10" s="8">
        <v>3598.872938</v>
      </c>
      <c r="U10" s="8">
        <v>3409.257046</v>
      </c>
      <c r="V10" s="8">
        <v>3193.822775</v>
      </c>
      <c r="W10" s="8">
        <v>2909.013839</v>
      </c>
      <c r="X10" s="8">
        <v>2585.22871</v>
      </c>
      <c r="Y10" s="8">
        <v>2240.427692</v>
      </c>
      <c r="Z10" s="8">
        <v>2005.072964</v>
      </c>
      <c r="AA10" s="9">
        <f t="shared" ref="AA10:AA45" si="1">SUM(C10:Z10)</f>
        <v>68983.09938</v>
      </c>
      <c r="AB10" s="61">
        <v>20.0</v>
      </c>
      <c r="AC10" s="9">
        <f t="shared" ref="AC10:AC45" si="2">AA10*AB10</f>
        <v>1379661.988</v>
      </c>
      <c r="AD10" s="10">
        <f>SUM(AC10:AC12)</f>
        <v>1987444.827</v>
      </c>
    </row>
    <row r="11" ht="14.25" customHeight="1">
      <c r="A11" s="7">
        <v>46753.0</v>
      </c>
      <c r="B11" s="8" t="s">
        <v>35</v>
      </c>
      <c r="C11" s="8">
        <v>1944.42122</v>
      </c>
      <c r="D11" s="8">
        <v>1842.912902</v>
      </c>
      <c r="E11" s="8">
        <v>1786.312658</v>
      </c>
      <c r="F11" s="8">
        <v>1742.435707</v>
      </c>
      <c r="G11" s="8">
        <v>1750.84291</v>
      </c>
      <c r="H11" s="8">
        <v>1757.986244</v>
      </c>
      <c r="I11" s="8">
        <v>2013.872788</v>
      </c>
      <c r="J11" s="8">
        <v>2472.636506</v>
      </c>
      <c r="K11" s="8">
        <v>2908.449371</v>
      </c>
      <c r="L11" s="8">
        <v>3248.819029</v>
      </c>
      <c r="M11" s="8">
        <v>3461.218666</v>
      </c>
      <c r="N11" s="8">
        <v>3558.693026</v>
      </c>
      <c r="O11" s="8">
        <v>3458.85554</v>
      </c>
      <c r="P11" s="8">
        <v>3349.234037</v>
      </c>
      <c r="Q11" s="8">
        <v>3273.991256</v>
      </c>
      <c r="R11" s="8">
        <v>3255.744707</v>
      </c>
      <c r="S11" s="8">
        <v>3216.638361</v>
      </c>
      <c r="T11" s="8">
        <v>3155.856921</v>
      </c>
      <c r="U11" s="8">
        <v>3082.652154</v>
      </c>
      <c r="V11" s="8">
        <v>2921.267773</v>
      </c>
      <c r="W11" s="8">
        <v>2672.604126</v>
      </c>
      <c r="X11" s="8">
        <v>2393.004475</v>
      </c>
      <c r="Y11" s="8">
        <v>2094.301368</v>
      </c>
      <c r="Z11" s="8">
        <v>1879.889325</v>
      </c>
      <c r="AA11" s="9">
        <f t="shared" si="1"/>
        <v>63242.64107</v>
      </c>
      <c r="AB11" s="61">
        <v>4.0</v>
      </c>
      <c r="AC11" s="9">
        <f t="shared" si="2"/>
        <v>252970.5643</v>
      </c>
      <c r="AD11" s="11"/>
    </row>
    <row r="12" ht="14.25" customHeight="1">
      <c r="A12" s="7">
        <v>46753.0</v>
      </c>
      <c r="B12" s="8" t="s">
        <v>36</v>
      </c>
      <c r="C12" s="8">
        <v>1740.94595</v>
      </c>
      <c r="D12" s="8">
        <v>1654.478322</v>
      </c>
      <c r="E12" s="8">
        <v>1574.591597</v>
      </c>
      <c r="F12" s="8">
        <v>1534.002811</v>
      </c>
      <c r="G12" s="8">
        <v>1499.780014</v>
      </c>
      <c r="H12" s="8">
        <v>1470.355259</v>
      </c>
      <c r="I12" s="8">
        <v>1517.883898</v>
      </c>
      <c r="J12" s="8">
        <v>1696.730625</v>
      </c>
      <c r="K12" s="8">
        <v>1931.959482</v>
      </c>
      <c r="L12" s="8">
        <v>2259.074969</v>
      </c>
      <c r="M12" s="8">
        <v>2523.326648</v>
      </c>
      <c r="N12" s="8">
        <v>2672.915063</v>
      </c>
      <c r="O12" s="8">
        <v>2724.442451</v>
      </c>
      <c r="P12" s="8">
        <v>2736.875839</v>
      </c>
      <c r="Q12" s="8">
        <v>2717.970834</v>
      </c>
      <c r="R12" s="8">
        <v>2704.809029</v>
      </c>
      <c r="S12" s="8">
        <v>2640.818988</v>
      </c>
      <c r="T12" s="8">
        <v>2576.744354</v>
      </c>
      <c r="U12" s="8">
        <v>2540.87496</v>
      </c>
      <c r="V12" s="8">
        <v>2414.274435</v>
      </c>
      <c r="W12" s="8">
        <v>2209.339587</v>
      </c>
      <c r="X12" s="8">
        <v>1973.991385</v>
      </c>
      <c r="Y12" s="8">
        <v>1762.25935</v>
      </c>
      <c r="Z12" s="8">
        <v>1609.021991</v>
      </c>
      <c r="AA12" s="9">
        <f t="shared" si="1"/>
        <v>50687.46784</v>
      </c>
      <c r="AB12" s="61">
        <v>7.0</v>
      </c>
      <c r="AC12" s="9">
        <f t="shared" si="2"/>
        <v>354812.2749</v>
      </c>
      <c r="AD12" s="12"/>
    </row>
    <row r="13" ht="14.25" customHeight="1">
      <c r="A13" s="7">
        <v>46784.0</v>
      </c>
      <c r="B13" s="8" t="s">
        <v>34</v>
      </c>
      <c r="C13" s="8">
        <v>1789.42245</v>
      </c>
      <c r="D13" s="8">
        <v>1716.199226</v>
      </c>
      <c r="E13" s="8">
        <v>1675.242261</v>
      </c>
      <c r="F13" s="8">
        <v>1658.499934</v>
      </c>
      <c r="G13" s="8">
        <v>1684.074551</v>
      </c>
      <c r="H13" s="8">
        <v>1792.152715</v>
      </c>
      <c r="I13" s="8">
        <v>2168.520715</v>
      </c>
      <c r="J13" s="8">
        <v>2721.029537</v>
      </c>
      <c r="K13" s="8">
        <v>3183.272762</v>
      </c>
      <c r="L13" s="8">
        <v>3495.437472</v>
      </c>
      <c r="M13" s="8">
        <v>3749.40539</v>
      </c>
      <c r="N13" s="8">
        <v>3902.252663</v>
      </c>
      <c r="O13" s="8">
        <v>3850.922688</v>
      </c>
      <c r="P13" s="8">
        <v>3864.081001</v>
      </c>
      <c r="Q13" s="8">
        <v>3966.464102</v>
      </c>
      <c r="R13" s="8">
        <v>3968.138343</v>
      </c>
      <c r="S13" s="8">
        <v>3856.287608</v>
      </c>
      <c r="T13" s="8">
        <v>3598.872938</v>
      </c>
      <c r="U13" s="8">
        <v>3409.257046</v>
      </c>
      <c r="V13" s="8">
        <v>3193.822775</v>
      </c>
      <c r="W13" s="8">
        <v>2909.013839</v>
      </c>
      <c r="X13" s="8">
        <v>2585.22871</v>
      </c>
      <c r="Y13" s="8">
        <v>2240.427692</v>
      </c>
      <c r="Z13" s="8">
        <v>2005.072964</v>
      </c>
      <c r="AA13" s="9">
        <f t="shared" si="1"/>
        <v>68983.09938</v>
      </c>
      <c r="AB13" s="61">
        <v>21.0</v>
      </c>
      <c r="AC13" s="9">
        <f t="shared" si="2"/>
        <v>1448645.087</v>
      </c>
      <c r="AD13" s="10">
        <f>SUM(AC13:AC15)</f>
        <v>1904365.523</v>
      </c>
    </row>
    <row r="14" ht="14.25" customHeight="1">
      <c r="A14" s="7">
        <v>46784.0</v>
      </c>
      <c r="B14" s="8" t="s">
        <v>35</v>
      </c>
      <c r="C14" s="8">
        <v>1944.42122</v>
      </c>
      <c r="D14" s="8">
        <v>1842.912902</v>
      </c>
      <c r="E14" s="8">
        <v>1786.312658</v>
      </c>
      <c r="F14" s="8">
        <v>1742.435707</v>
      </c>
      <c r="G14" s="8">
        <v>1750.84291</v>
      </c>
      <c r="H14" s="8">
        <v>1757.986244</v>
      </c>
      <c r="I14" s="8">
        <v>2013.872788</v>
      </c>
      <c r="J14" s="8">
        <v>2472.636506</v>
      </c>
      <c r="K14" s="8">
        <v>2908.449371</v>
      </c>
      <c r="L14" s="8">
        <v>3248.819029</v>
      </c>
      <c r="M14" s="8">
        <v>3461.218666</v>
      </c>
      <c r="N14" s="8">
        <v>3558.693026</v>
      </c>
      <c r="O14" s="8">
        <v>3458.85554</v>
      </c>
      <c r="P14" s="8">
        <v>3349.234037</v>
      </c>
      <c r="Q14" s="8">
        <v>3273.991256</v>
      </c>
      <c r="R14" s="8">
        <v>3255.744707</v>
      </c>
      <c r="S14" s="8">
        <v>3216.638361</v>
      </c>
      <c r="T14" s="8">
        <v>3155.856921</v>
      </c>
      <c r="U14" s="8">
        <v>3082.652154</v>
      </c>
      <c r="V14" s="8">
        <v>2921.267773</v>
      </c>
      <c r="W14" s="8">
        <v>2672.604126</v>
      </c>
      <c r="X14" s="8">
        <v>2393.004475</v>
      </c>
      <c r="Y14" s="8">
        <v>2094.301368</v>
      </c>
      <c r="Z14" s="8">
        <v>1879.889325</v>
      </c>
      <c r="AA14" s="9">
        <f t="shared" si="1"/>
        <v>63242.64107</v>
      </c>
      <c r="AB14" s="61">
        <v>4.0</v>
      </c>
      <c r="AC14" s="9">
        <f t="shared" si="2"/>
        <v>252970.5643</v>
      </c>
      <c r="AD14" s="11"/>
    </row>
    <row r="15" ht="14.25" customHeight="1">
      <c r="A15" s="7">
        <v>46784.0</v>
      </c>
      <c r="B15" s="8" t="s">
        <v>36</v>
      </c>
      <c r="C15" s="8">
        <v>1740.94595</v>
      </c>
      <c r="D15" s="8">
        <v>1654.478322</v>
      </c>
      <c r="E15" s="8">
        <v>1574.591597</v>
      </c>
      <c r="F15" s="8">
        <v>1534.002811</v>
      </c>
      <c r="G15" s="8">
        <v>1499.780014</v>
      </c>
      <c r="H15" s="8">
        <v>1470.355259</v>
      </c>
      <c r="I15" s="8">
        <v>1517.883898</v>
      </c>
      <c r="J15" s="8">
        <v>1696.730625</v>
      </c>
      <c r="K15" s="8">
        <v>1931.959482</v>
      </c>
      <c r="L15" s="8">
        <v>2259.074969</v>
      </c>
      <c r="M15" s="8">
        <v>2523.326648</v>
      </c>
      <c r="N15" s="8">
        <v>2672.915063</v>
      </c>
      <c r="O15" s="8">
        <v>2724.442451</v>
      </c>
      <c r="P15" s="8">
        <v>2736.875839</v>
      </c>
      <c r="Q15" s="8">
        <v>2717.970834</v>
      </c>
      <c r="R15" s="8">
        <v>2704.809029</v>
      </c>
      <c r="S15" s="8">
        <v>2640.818988</v>
      </c>
      <c r="T15" s="8">
        <v>2576.744354</v>
      </c>
      <c r="U15" s="8">
        <v>2540.87496</v>
      </c>
      <c r="V15" s="8">
        <v>2414.274435</v>
      </c>
      <c r="W15" s="8">
        <v>2209.339587</v>
      </c>
      <c r="X15" s="8">
        <v>1973.991385</v>
      </c>
      <c r="Y15" s="8">
        <v>1762.25935</v>
      </c>
      <c r="Z15" s="8">
        <v>1609.021991</v>
      </c>
      <c r="AA15" s="9">
        <f t="shared" si="1"/>
        <v>50687.46784</v>
      </c>
      <c r="AB15" s="61">
        <v>4.0</v>
      </c>
      <c r="AC15" s="9">
        <f t="shared" si="2"/>
        <v>202749.8714</v>
      </c>
      <c r="AD15" s="12"/>
    </row>
    <row r="16" ht="14.25" customHeight="1">
      <c r="A16" s="7">
        <v>46813.0</v>
      </c>
      <c r="B16" s="8" t="s">
        <v>34</v>
      </c>
      <c r="C16" s="8">
        <v>1789.42245</v>
      </c>
      <c r="D16" s="8">
        <v>1716.199226</v>
      </c>
      <c r="E16" s="8">
        <v>1675.242261</v>
      </c>
      <c r="F16" s="8">
        <v>1658.499934</v>
      </c>
      <c r="G16" s="8">
        <v>1684.074551</v>
      </c>
      <c r="H16" s="8">
        <v>1792.152715</v>
      </c>
      <c r="I16" s="8">
        <v>2168.520715</v>
      </c>
      <c r="J16" s="8">
        <v>2721.029537</v>
      </c>
      <c r="K16" s="8">
        <v>3183.272762</v>
      </c>
      <c r="L16" s="8">
        <v>3495.437472</v>
      </c>
      <c r="M16" s="8">
        <v>3749.40539</v>
      </c>
      <c r="N16" s="8">
        <v>3902.252663</v>
      </c>
      <c r="O16" s="8">
        <v>3850.922688</v>
      </c>
      <c r="P16" s="8">
        <v>3864.081001</v>
      </c>
      <c r="Q16" s="8">
        <v>3966.464102</v>
      </c>
      <c r="R16" s="8">
        <v>3968.138343</v>
      </c>
      <c r="S16" s="8">
        <v>3856.287608</v>
      </c>
      <c r="T16" s="8">
        <v>3598.872938</v>
      </c>
      <c r="U16" s="8">
        <v>3409.257046</v>
      </c>
      <c r="V16" s="8">
        <v>3193.822775</v>
      </c>
      <c r="W16" s="8">
        <v>2909.013839</v>
      </c>
      <c r="X16" s="8">
        <v>2585.22871</v>
      </c>
      <c r="Y16" s="8">
        <v>2240.427692</v>
      </c>
      <c r="Z16" s="8">
        <v>2005.072964</v>
      </c>
      <c r="AA16" s="9">
        <f t="shared" si="1"/>
        <v>68983.09938</v>
      </c>
      <c r="AB16" s="61">
        <v>22.0</v>
      </c>
      <c r="AC16" s="9">
        <f t="shared" si="2"/>
        <v>1517628.186</v>
      </c>
      <c r="AD16" s="10">
        <f>SUM(AC16:AC18)</f>
        <v>2024036.09</v>
      </c>
    </row>
    <row r="17" ht="14.25" customHeight="1">
      <c r="A17" s="7">
        <v>46813.0</v>
      </c>
      <c r="B17" s="8" t="s">
        <v>35</v>
      </c>
      <c r="C17" s="8">
        <v>1944.42122</v>
      </c>
      <c r="D17" s="8">
        <v>1842.912902</v>
      </c>
      <c r="E17" s="8">
        <v>1786.312658</v>
      </c>
      <c r="F17" s="8">
        <v>1742.435707</v>
      </c>
      <c r="G17" s="8">
        <v>1750.84291</v>
      </c>
      <c r="H17" s="8">
        <v>1757.986244</v>
      </c>
      <c r="I17" s="8">
        <v>2013.872788</v>
      </c>
      <c r="J17" s="8">
        <v>2472.636506</v>
      </c>
      <c r="K17" s="8">
        <v>2908.449371</v>
      </c>
      <c r="L17" s="8">
        <v>3248.819029</v>
      </c>
      <c r="M17" s="8">
        <v>3461.218666</v>
      </c>
      <c r="N17" s="8">
        <v>3558.693026</v>
      </c>
      <c r="O17" s="8">
        <v>3458.85554</v>
      </c>
      <c r="P17" s="8">
        <v>3349.234037</v>
      </c>
      <c r="Q17" s="8">
        <v>3273.991256</v>
      </c>
      <c r="R17" s="8">
        <v>3255.744707</v>
      </c>
      <c r="S17" s="8">
        <v>3216.638361</v>
      </c>
      <c r="T17" s="8">
        <v>3155.856921</v>
      </c>
      <c r="U17" s="8">
        <v>3082.652154</v>
      </c>
      <c r="V17" s="8">
        <v>2921.267773</v>
      </c>
      <c r="W17" s="8">
        <v>2672.604126</v>
      </c>
      <c r="X17" s="8">
        <v>2393.004475</v>
      </c>
      <c r="Y17" s="8">
        <v>2094.301368</v>
      </c>
      <c r="Z17" s="8">
        <v>1879.889325</v>
      </c>
      <c r="AA17" s="9">
        <f t="shared" si="1"/>
        <v>63242.64107</v>
      </c>
      <c r="AB17" s="61">
        <v>4.0</v>
      </c>
      <c r="AC17" s="9">
        <f t="shared" si="2"/>
        <v>252970.5643</v>
      </c>
      <c r="AD17" s="11"/>
    </row>
    <row r="18" ht="14.25" customHeight="1">
      <c r="A18" s="7">
        <v>46813.0</v>
      </c>
      <c r="B18" s="8" t="s">
        <v>36</v>
      </c>
      <c r="C18" s="8">
        <v>1740.94595</v>
      </c>
      <c r="D18" s="8">
        <v>1654.478322</v>
      </c>
      <c r="E18" s="8">
        <v>1574.591597</v>
      </c>
      <c r="F18" s="8">
        <v>1534.002811</v>
      </c>
      <c r="G18" s="8">
        <v>1499.780014</v>
      </c>
      <c r="H18" s="8">
        <v>1470.355259</v>
      </c>
      <c r="I18" s="8">
        <v>1517.883898</v>
      </c>
      <c r="J18" s="8">
        <v>1696.730625</v>
      </c>
      <c r="K18" s="8">
        <v>1931.959482</v>
      </c>
      <c r="L18" s="8">
        <v>2259.074969</v>
      </c>
      <c r="M18" s="8">
        <v>2523.326648</v>
      </c>
      <c r="N18" s="8">
        <v>2672.915063</v>
      </c>
      <c r="O18" s="8">
        <v>2724.442451</v>
      </c>
      <c r="P18" s="8">
        <v>2736.875839</v>
      </c>
      <c r="Q18" s="8">
        <v>2717.970834</v>
      </c>
      <c r="R18" s="8">
        <v>2704.809029</v>
      </c>
      <c r="S18" s="8">
        <v>2640.818988</v>
      </c>
      <c r="T18" s="8">
        <v>2576.744354</v>
      </c>
      <c r="U18" s="8">
        <v>2540.87496</v>
      </c>
      <c r="V18" s="8">
        <v>2414.274435</v>
      </c>
      <c r="W18" s="8">
        <v>2209.339587</v>
      </c>
      <c r="X18" s="8">
        <v>1973.991385</v>
      </c>
      <c r="Y18" s="8">
        <v>1762.25935</v>
      </c>
      <c r="Z18" s="8">
        <v>1609.021991</v>
      </c>
      <c r="AA18" s="9">
        <f t="shared" si="1"/>
        <v>50687.46784</v>
      </c>
      <c r="AB18" s="61">
        <v>5.0</v>
      </c>
      <c r="AC18" s="9">
        <f t="shared" si="2"/>
        <v>253437.3392</v>
      </c>
      <c r="AD18" s="12"/>
    </row>
    <row r="19" ht="14.25" customHeight="1">
      <c r="A19" s="7">
        <v>46844.0</v>
      </c>
      <c r="B19" s="8" t="s">
        <v>34</v>
      </c>
      <c r="C19" s="8">
        <v>1789.42245</v>
      </c>
      <c r="D19" s="8">
        <v>1716.199226</v>
      </c>
      <c r="E19" s="8">
        <v>1675.242261</v>
      </c>
      <c r="F19" s="8">
        <v>1658.499934</v>
      </c>
      <c r="G19" s="8">
        <v>1684.074551</v>
      </c>
      <c r="H19" s="8">
        <v>1792.152715</v>
      </c>
      <c r="I19" s="8">
        <v>2168.520715</v>
      </c>
      <c r="J19" s="8">
        <v>2721.029537</v>
      </c>
      <c r="K19" s="8">
        <v>3183.272762</v>
      </c>
      <c r="L19" s="8">
        <v>3495.437472</v>
      </c>
      <c r="M19" s="8">
        <v>3749.40539</v>
      </c>
      <c r="N19" s="8">
        <v>3902.252663</v>
      </c>
      <c r="O19" s="8">
        <v>3850.922688</v>
      </c>
      <c r="P19" s="8">
        <v>3864.081001</v>
      </c>
      <c r="Q19" s="8">
        <v>3966.464102</v>
      </c>
      <c r="R19" s="8">
        <v>3968.138343</v>
      </c>
      <c r="S19" s="8">
        <v>3856.287608</v>
      </c>
      <c r="T19" s="8">
        <v>3598.872938</v>
      </c>
      <c r="U19" s="8">
        <v>3409.257046</v>
      </c>
      <c r="V19" s="8">
        <v>3193.822775</v>
      </c>
      <c r="W19" s="8">
        <v>2909.013839</v>
      </c>
      <c r="X19" s="8">
        <v>2585.22871</v>
      </c>
      <c r="Y19" s="8">
        <v>2240.427692</v>
      </c>
      <c r="Z19" s="8">
        <v>2005.072964</v>
      </c>
      <c r="AA19" s="9">
        <f t="shared" si="1"/>
        <v>68983.09938</v>
      </c>
      <c r="AB19" s="61">
        <v>18.0</v>
      </c>
      <c r="AC19" s="9">
        <f t="shared" si="2"/>
        <v>1241695.789</v>
      </c>
      <c r="AD19" s="10">
        <f>SUM(AC19:AC21)</f>
        <v>1912721.269</v>
      </c>
    </row>
    <row r="20" ht="14.25" customHeight="1">
      <c r="A20" s="7">
        <v>46844.0</v>
      </c>
      <c r="B20" s="8" t="s">
        <v>35</v>
      </c>
      <c r="C20" s="8">
        <v>1944.42122</v>
      </c>
      <c r="D20" s="8">
        <v>1842.912902</v>
      </c>
      <c r="E20" s="8">
        <v>1786.312658</v>
      </c>
      <c r="F20" s="8">
        <v>1742.435707</v>
      </c>
      <c r="G20" s="8">
        <v>1750.84291</v>
      </c>
      <c r="H20" s="8">
        <v>1757.986244</v>
      </c>
      <c r="I20" s="8">
        <v>2013.872788</v>
      </c>
      <c r="J20" s="8">
        <v>2472.636506</v>
      </c>
      <c r="K20" s="8">
        <v>2908.449371</v>
      </c>
      <c r="L20" s="8">
        <v>3248.819029</v>
      </c>
      <c r="M20" s="8">
        <v>3461.218666</v>
      </c>
      <c r="N20" s="8">
        <v>3558.693026</v>
      </c>
      <c r="O20" s="8">
        <v>3458.85554</v>
      </c>
      <c r="P20" s="8">
        <v>3349.234037</v>
      </c>
      <c r="Q20" s="8">
        <v>3273.991256</v>
      </c>
      <c r="R20" s="8">
        <v>3255.744707</v>
      </c>
      <c r="S20" s="8">
        <v>3216.638361</v>
      </c>
      <c r="T20" s="8">
        <v>3155.856921</v>
      </c>
      <c r="U20" s="8">
        <v>3082.652154</v>
      </c>
      <c r="V20" s="8">
        <v>2921.267773</v>
      </c>
      <c r="W20" s="8">
        <v>2672.604126</v>
      </c>
      <c r="X20" s="8">
        <v>2393.004475</v>
      </c>
      <c r="Y20" s="8">
        <v>2094.301368</v>
      </c>
      <c r="Z20" s="8">
        <v>1879.889325</v>
      </c>
      <c r="AA20" s="9">
        <f t="shared" si="1"/>
        <v>63242.64107</v>
      </c>
      <c r="AB20" s="61">
        <v>5.0</v>
      </c>
      <c r="AC20" s="9">
        <f t="shared" si="2"/>
        <v>316213.2054</v>
      </c>
      <c r="AD20" s="11"/>
    </row>
    <row r="21" ht="14.25" customHeight="1">
      <c r="A21" s="7">
        <v>46844.0</v>
      </c>
      <c r="B21" s="8" t="s">
        <v>36</v>
      </c>
      <c r="C21" s="8">
        <v>1740.94595</v>
      </c>
      <c r="D21" s="8">
        <v>1654.478322</v>
      </c>
      <c r="E21" s="8">
        <v>1574.591597</v>
      </c>
      <c r="F21" s="8">
        <v>1534.002811</v>
      </c>
      <c r="G21" s="8">
        <v>1499.780014</v>
      </c>
      <c r="H21" s="8">
        <v>1470.355259</v>
      </c>
      <c r="I21" s="8">
        <v>1517.883898</v>
      </c>
      <c r="J21" s="8">
        <v>1696.730625</v>
      </c>
      <c r="K21" s="8">
        <v>1931.959482</v>
      </c>
      <c r="L21" s="8">
        <v>2259.074969</v>
      </c>
      <c r="M21" s="8">
        <v>2523.326648</v>
      </c>
      <c r="N21" s="8">
        <v>2672.915063</v>
      </c>
      <c r="O21" s="8">
        <v>2724.442451</v>
      </c>
      <c r="P21" s="8">
        <v>2736.875839</v>
      </c>
      <c r="Q21" s="8">
        <v>2717.970834</v>
      </c>
      <c r="R21" s="8">
        <v>2704.809029</v>
      </c>
      <c r="S21" s="8">
        <v>2640.818988</v>
      </c>
      <c r="T21" s="8">
        <v>2576.744354</v>
      </c>
      <c r="U21" s="8">
        <v>2540.87496</v>
      </c>
      <c r="V21" s="8">
        <v>2414.274435</v>
      </c>
      <c r="W21" s="8">
        <v>2209.339587</v>
      </c>
      <c r="X21" s="8">
        <v>1973.991385</v>
      </c>
      <c r="Y21" s="8">
        <v>1762.25935</v>
      </c>
      <c r="Z21" s="8">
        <v>1609.021991</v>
      </c>
      <c r="AA21" s="9">
        <f t="shared" si="1"/>
        <v>50687.46784</v>
      </c>
      <c r="AB21" s="61">
        <v>7.0</v>
      </c>
      <c r="AC21" s="9">
        <f t="shared" si="2"/>
        <v>354812.2749</v>
      </c>
      <c r="AD21" s="12"/>
    </row>
    <row r="22" ht="14.25" customHeight="1">
      <c r="A22" s="7">
        <v>46874.0</v>
      </c>
      <c r="B22" s="8" t="s">
        <v>34</v>
      </c>
      <c r="C22" s="8">
        <v>1789.42245</v>
      </c>
      <c r="D22" s="8">
        <v>1716.199226</v>
      </c>
      <c r="E22" s="8">
        <v>1675.242261</v>
      </c>
      <c r="F22" s="8">
        <v>1658.499934</v>
      </c>
      <c r="G22" s="8">
        <v>1684.074551</v>
      </c>
      <c r="H22" s="8">
        <v>1792.152715</v>
      </c>
      <c r="I22" s="8">
        <v>2168.520715</v>
      </c>
      <c r="J22" s="8">
        <v>2721.029537</v>
      </c>
      <c r="K22" s="8">
        <v>3183.272762</v>
      </c>
      <c r="L22" s="8">
        <v>3495.437472</v>
      </c>
      <c r="M22" s="8">
        <v>3749.40539</v>
      </c>
      <c r="N22" s="8">
        <v>3902.252663</v>
      </c>
      <c r="O22" s="8">
        <v>3850.922688</v>
      </c>
      <c r="P22" s="8">
        <v>3864.081001</v>
      </c>
      <c r="Q22" s="8">
        <v>3966.464102</v>
      </c>
      <c r="R22" s="8">
        <v>3968.138343</v>
      </c>
      <c r="S22" s="8">
        <v>3856.287608</v>
      </c>
      <c r="T22" s="8">
        <v>3598.872938</v>
      </c>
      <c r="U22" s="8">
        <v>3409.257046</v>
      </c>
      <c r="V22" s="8">
        <v>3193.822775</v>
      </c>
      <c r="W22" s="8">
        <v>2909.013839</v>
      </c>
      <c r="X22" s="8">
        <v>2585.22871</v>
      </c>
      <c r="Y22" s="8">
        <v>2240.427692</v>
      </c>
      <c r="Z22" s="8">
        <v>2005.072964</v>
      </c>
      <c r="AA22" s="9">
        <f t="shared" si="1"/>
        <v>68983.09938</v>
      </c>
      <c r="AB22" s="61">
        <v>21.0</v>
      </c>
      <c r="AC22" s="9">
        <f t="shared" si="2"/>
        <v>1448645.087</v>
      </c>
      <c r="AD22" s="10">
        <f>SUM(AC22:AC24)</f>
        <v>2005740.458</v>
      </c>
    </row>
    <row r="23" ht="14.25" customHeight="1">
      <c r="A23" s="7">
        <v>46874.0</v>
      </c>
      <c r="B23" s="8" t="s">
        <v>35</v>
      </c>
      <c r="C23" s="8">
        <v>1944.42122</v>
      </c>
      <c r="D23" s="8">
        <v>1842.912902</v>
      </c>
      <c r="E23" s="8">
        <v>1786.312658</v>
      </c>
      <c r="F23" s="8">
        <v>1742.435707</v>
      </c>
      <c r="G23" s="8">
        <v>1750.84291</v>
      </c>
      <c r="H23" s="8">
        <v>1757.986244</v>
      </c>
      <c r="I23" s="8">
        <v>2013.872788</v>
      </c>
      <c r="J23" s="8">
        <v>2472.636506</v>
      </c>
      <c r="K23" s="8">
        <v>2908.449371</v>
      </c>
      <c r="L23" s="8">
        <v>3248.819029</v>
      </c>
      <c r="M23" s="8">
        <v>3461.218666</v>
      </c>
      <c r="N23" s="8">
        <v>3558.693026</v>
      </c>
      <c r="O23" s="8">
        <v>3458.85554</v>
      </c>
      <c r="P23" s="8">
        <v>3349.234037</v>
      </c>
      <c r="Q23" s="8">
        <v>3273.991256</v>
      </c>
      <c r="R23" s="8">
        <v>3255.744707</v>
      </c>
      <c r="S23" s="8">
        <v>3216.638361</v>
      </c>
      <c r="T23" s="8">
        <v>3155.856921</v>
      </c>
      <c r="U23" s="8">
        <v>3082.652154</v>
      </c>
      <c r="V23" s="8">
        <v>2921.267773</v>
      </c>
      <c r="W23" s="8">
        <v>2672.604126</v>
      </c>
      <c r="X23" s="8">
        <v>2393.004475</v>
      </c>
      <c r="Y23" s="8">
        <v>2094.301368</v>
      </c>
      <c r="Z23" s="8">
        <v>1879.889325</v>
      </c>
      <c r="AA23" s="9">
        <f t="shared" si="1"/>
        <v>63242.64107</v>
      </c>
      <c r="AB23" s="61">
        <v>4.0</v>
      </c>
      <c r="AC23" s="9">
        <f t="shared" si="2"/>
        <v>252970.5643</v>
      </c>
      <c r="AD23" s="11"/>
    </row>
    <row r="24" ht="14.25" customHeight="1">
      <c r="A24" s="7">
        <v>46874.0</v>
      </c>
      <c r="B24" s="8" t="s">
        <v>36</v>
      </c>
      <c r="C24" s="8">
        <v>1740.94595</v>
      </c>
      <c r="D24" s="8">
        <v>1654.478322</v>
      </c>
      <c r="E24" s="8">
        <v>1574.591597</v>
      </c>
      <c r="F24" s="8">
        <v>1534.002811</v>
      </c>
      <c r="G24" s="8">
        <v>1499.780014</v>
      </c>
      <c r="H24" s="8">
        <v>1470.355259</v>
      </c>
      <c r="I24" s="8">
        <v>1517.883898</v>
      </c>
      <c r="J24" s="8">
        <v>1696.730625</v>
      </c>
      <c r="K24" s="8">
        <v>1931.959482</v>
      </c>
      <c r="L24" s="8">
        <v>2259.074969</v>
      </c>
      <c r="M24" s="8">
        <v>2523.326648</v>
      </c>
      <c r="N24" s="8">
        <v>2672.915063</v>
      </c>
      <c r="O24" s="8">
        <v>2724.442451</v>
      </c>
      <c r="P24" s="8">
        <v>2736.875839</v>
      </c>
      <c r="Q24" s="8">
        <v>2717.970834</v>
      </c>
      <c r="R24" s="8">
        <v>2704.809029</v>
      </c>
      <c r="S24" s="8">
        <v>2640.818988</v>
      </c>
      <c r="T24" s="8">
        <v>2576.744354</v>
      </c>
      <c r="U24" s="8">
        <v>2540.87496</v>
      </c>
      <c r="V24" s="8">
        <v>2414.274435</v>
      </c>
      <c r="W24" s="8">
        <v>2209.339587</v>
      </c>
      <c r="X24" s="8">
        <v>1973.991385</v>
      </c>
      <c r="Y24" s="8">
        <v>1762.25935</v>
      </c>
      <c r="Z24" s="8">
        <v>1609.021991</v>
      </c>
      <c r="AA24" s="9">
        <f t="shared" si="1"/>
        <v>50687.46784</v>
      </c>
      <c r="AB24" s="61">
        <v>6.0</v>
      </c>
      <c r="AC24" s="9">
        <f t="shared" si="2"/>
        <v>304124.807</v>
      </c>
      <c r="AD24" s="12"/>
    </row>
    <row r="25" ht="14.25" customHeight="1">
      <c r="A25" s="7">
        <v>46905.0</v>
      </c>
      <c r="B25" s="8" t="s">
        <v>34</v>
      </c>
      <c r="C25" s="8">
        <v>1789.42245</v>
      </c>
      <c r="D25" s="8">
        <v>1716.199226</v>
      </c>
      <c r="E25" s="8">
        <v>1675.242261</v>
      </c>
      <c r="F25" s="8">
        <v>1658.499934</v>
      </c>
      <c r="G25" s="8">
        <v>1684.074551</v>
      </c>
      <c r="H25" s="8">
        <v>1792.152715</v>
      </c>
      <c r="I25" s="8">
        <v>2168.520715</v>
      </c>
      <c r="J25" s="8">
        <v>2721.029537</v>
      </c>
      <c r="K25" s="8">
        <v>3183.272762</v>
      </c>
      <c r="L25" s="8">
        <v>3495.437472</v>
      </c>
      <c r="M25" s="8">
        <v>3749.40539</v>
      </c>
      <c r="N25" s="8">
        <v>3902.252663</v>
      </c>
      <c r="O25" s="8">
        <v>3850.922688</v>
      </c>
      <c r="P25" s="8">
        <v>3864.081001</v>
      </c>
      <c r="Q25" s="8">
        <v>3966.464102</v>
      </c>
      <c r="R25" s="8">
        <v>3968.138343</v>
      </c>
      <c r="S25" s="8">
        <v>3856.287608</v>
      </c>
      <c r="T25" s="8">
        <v>3598.872938</v>
      </c>
      <c r="U25" s="8">
        <v>3409.257046</v>
      </c>
      <c r="V25" s="8">
        <v>3193.822775</v>
      </c>
      <c r="W25" s="8">
        <v>2909.013839</v>
      </c>
      <c r="X25" s="8">
        <v>2585.22871</v>
      </c>
      <c r="Y25" s="8">
        <v>2240.427692</v>
      </c>
      <c r="Z25" s="8">
        <v>2005.072964</v>
      </c>
      <c r="AA25" s="9">
        <f t="shared" si="1"/>
        <v>68983.09938</v>
      </c>
      <c r="AB25" s="61">
        <v>20.0</v>
      </c>
      <c r="AC25" s="9">
        <f t="shared" si="2"/>
        <v>1379661.988</v>
      </c>
      <c r="AD25" s="10">
        <f>SUM(AC25:AC27)</f>
        <v>1936757.359</v>
      </c>
    </row>
    <row r="26" ht="14.25" customHeight="1">
      <c r="A26" s="7">
        <v>46905.0</v>
      </c>
      <c r="B26" s="8" t="s">
        <v>35</v>
      </c>
      <c r="C26" s="8">
        <v>1944.42122</v>
      </c>
      <c r="D26" s="8">
        <v>1842.912902</v>
      </c>
      <c r="E26" s="8">
        <v>1786.312658</v>
      </c>
      <c r="F26" s="8">
        <v>1742.435707</v>
      </c>
      <c r="G26" s="8">
        <v>1750.84291</v>
      </c>
      <c r="H26" s="8">
        <v>1757.986244</v>
      </c>
      <c r="I26" s="8">
        <v>2013.872788</v>
      </c>
      <c r="J26" s="8">
        <v>2472.636506</v>
      </c>
      <c r="K26" s="8">
        <v>2908.449371</v>
      </c>
      <c r="L26" s="8">
        <v>3248.819029</v>
      </c>
      <c r="M26" s="8">
        <v>3461.218666</v>
      </c>
      <c r="N26" s="8">
        <v>3558.693026</v>
      </c>
      <c r="O26" s="8">
        <v>3458.85554</v>
      </c>
      <c r="P26" s="8">
        <v>3349.234037</v>
      </c>
      <c r="Q26" s="8">
        <v>3273.991256</v>
      </c>
      <c r="R26" s="8">
        <v>3255.744707</v>
      </c>
      <c r="S26" s="8">
        <v>3216.638361</v>
      </c>
      <c r="T26" s="8">
        <v>3155.856921</v>
      </c>
      <c r="U26" s="8">
        <v>3082.652154</v>
      </c>
      <c r="V26" s="8">
        <v>2921.267773</v>
      </c>
      <c r="W26" s="8">
        <v>2672.604126</v>
      </c>
      <c r="X26" s="8">
        <v>2393.004475</v>
      </c>
      <c r="Y26" s="8">
        <v>2094.301368</v>
      </c>
      <c r="Z26" s="8">
        <v>1879.889325</v>
      </c>
      <c r="AA26" s="9">
        <f t="shared" si="1"/>
        <v>63242.64107</v>
      </c>
      <c r="AB26" s="61">
        <v>4.0</v>
      </c>
      <c r="AC26" s="9">
        <f t="shared" si="2"/>
        <v>252970.5643</v>
      </c>
      <c r="AD26" s="11"/>
    </row>
    <row r="27" ht="14.25" customHeight="1">
      <c r="A27" s="7">
        <v>46905.0</v>
      </c>
      <c r="B27" s="8" t="s">
        <v>36</v>
      </c>
      <c r="C27" s="8">
        <v>1740.94595</v>
      </c>
      <c r="D27" s="8">
        <v>1654.478322</v>
      </c>
      <c r="E27" s="8">
        <v>1574.591597</v>
      </c>
      <c r="F27" s="8">
        <v>1534.002811</v>
      </c>
      <c r="G27" s="8">
        <v>1499.780014</v>
      </c>
      <c r="H27" s="8">
        <v>1470.355259</v>
      </c>
      <c r="I27" s="8">
        <v>1517.883898</v>
      </c>
      <c r="J27" s="8">
        <v>1696.730625</v>
      </c>
      <c r="K27" s="8">
        <v>1931.959482</v>
      </c>
      <c r="L27" s="8">
        <v>2259.074969</v>
      </c>
      <c r="M27" s="8">
        <v>2523.326648</v>
      </c>
      <c r="N27" s="8">
        <v>2672.915063</v>
      </c>
      <c r="O27" s="8">
        <v>2724.442451</v>
      </c>
      <c r="P27" s="8">
        <v>2736.875839</v>
      </c>
      <c r="Q27" s="8">
        <v>2717.970834</v>
      </c>
      <c r="R27" s="8">
        <v>2704.809029</v>
      </c>
      <c r="S27" s="8">
        <v>2640.818988</v>
      </c>
      <c r="T27" s="8">
        <v>2576.744354</v>
      </c>
      <c r="U27" s="8">
        <v>2540.87496</v>
      </c>
      <c r="V27" s="8">
        <v>2414.274435</v>
      </c>
      <c r="W27" s="8">
        <v>2209.339587</v>
      </c>
      <c r="X27" s="8">
        <v>1973.991385</v>
      </c>
      <c r="Y27" s="8">
        <v>1762.25935</v>
      </c>
      <c r="Z27" s="8">
        <v>1609.021991</v>
      </c>
      <c r="AA27" s="9">
        <f t="shared" si="1"/>
        <v>50687.46784</v>
      </c>
      <c r="AB27" s="61">
        <v>6.0</v>
      </c>
      <c r="AC27" s="9">
        <f t="shared" si="2"/>
        <v>304124.807</v>
      </c>
      <c r="AD27" s="12"/>
    </row>
    <row r="28" ht="14.25" customHeight="1">
      <c r="A28" s="7">
        <v>46935.0</v>
      </c>
      <c r="B28" s="8" t="s">
        <v>34</v>
      </c>
      <c r="C28" s="8">
        <v>1789.42245</v>
      </c>
      <c r="D28" s="8">
        <v>1716.199226</v>
      </c>
      <c r="E28" s="8">
        <v>1675.242261</v>
      </c>
      <c r="F28" s="8">
        <v>1658.499934</v>
      </c>
      <c r="G28" s="8">
        <v>1684.074551</v>
      </c>
      <c r="H28" s="8">
        <v>1792.152715</v>
      </c>
      <c r="I28" s="8">
        <v>2168.520715</v>
      </c>
      <c r="J28" s="8">
        <v>2721.029537</v>
      </c>
      <c r="K28" s="8">
        <v>3183.272762</v>
      </c>
      <c r="L28" s="8">
        <v>3495.437472</v>
      </c>
      <c r="M28" s="8">
        <v>3749.40539</v>
      </c>
      <c r="N28" s="8">
        <v>3902.252663</v>
      </c>
      <c r="O28" s="8">
        <v>3850.922688</v>
      </c>
      <c r="P28" s="8">
        <v>3864.081001</v>
      </c>
      <c r="Q28" s="8">
        <v>3966.464102</v>
      </c>
      <c r="R28" s="8">
        <v>3968.138343</v>
      </c>
      <c r="S28" s="8">
        <v>3856.287608</v>
      </c>
      <c r="T28" s="8">
        <v>3598.872938</v>
      </c>
      <c r="U28" s="8">
        <v>3409.257046</v>
      </c>
      <c r="V28" s="8">
        <v>3193.822775</v>
      </c>
      <c r="W28" s="8">
        <v>2909.013839</v>
      </c>
      <c r="X28" s="8">
        <v>2585.22871</v>
      </c>
      <c r="Y28" s="8">
        <v>2240.427692</v>
      </c>
      <c r="Z28" s="8">
        <v>2005.072964</v>
      </c>
      <c r="AA28" s="9">
        <f t="shared" si="1"/>
        <v>68983.09938</v>
      </c>
      <c r="AB28" s="61">
        <v>19.0</v>
      </c>
      <c r="AC28" s="9">
        <f t="shared" si="2"/>
        <v>1310678.888</v>
      </c>
      <c r="AD28" s="10">
        <f>SUM(AC28:AC30)</f>
        <v>1981704.368</v>
      </c>
    </row>
    <row r="29" ht="14.25" customHeight="1">
      <c r="A29" s="7">
        <v>46935.0</v>
      </c>
      <c r="B29" s="8" t="s">
        <v>35</v>
      </c>
      <c r="C29" s="8">
        <v>1944.42122</v>
      </c>
      <c r="D29" s="8">
        <v>1842.912902</v>
      </c>
      <c r="E29" s="8">
        <v>1786.312658</v>
      </c>
      <c r="F29" s="8">
        <v>1742.435707</v>
      </c>
      <c r="G29" s="8">
        <v>1750.84291</v>
      </c>
      <c r="H29" s="8">
        <v>1757.986244</v>
      </c>
      <c r="I29" s="8">
        <v>2013.872788</v>
      </c>
      <c r="J29" s="8">
        <v>2472.636506</v>
      </c>
      <c r="K29" s="8">
        <v>2908.449371</v>
      </c>
      <c r="L29" s="8">
        <v>3248.819029</v>
      </c>
      <c r="M29" s="8">
        <v>3461.218666</v>
      </c>
      <c r="N29" s="8">
        <v>3558.693026</v>
      </c>
      <c r="O29" s="8">
        <v>3458.85554</v>
      </c>
      <c r="P29" s="8">
        <v>3349.234037</v>
      </c>
      <c r="Q29" s="8">
        <v>3273.991256</v>
      </c>
      <c r="R29" s="8">
        <v>3255.744707</v>
      </c>
      <c r="S29" s="8">
        <v>3216.638361</v>
      </c>
      <c r="T29" s="8">
        <v>3155.856921</v>
      </c>
      <c r="U29" s="8">
        <v>3082.652154</v>
      </c>
      <c r="V29" s="8">
        <v>2921.267773</v>
      </c>
      <c r="W29" s="8">
        <v>2672.604126</v>
      </c>
      <c r="X29" s="8">
        <v>2393.004475</v>
      </c>
      <c r="Y29" s="8">
        <v>2094.301368</v>
      </c>
      <c r="Z29" s="8">
        <v>1879.889325</v>
      </c>
      <c r="AA29" s="9">
        <f t="shared" si="1"/>
        <v>63242.64107</v>
      </c>
      <c r="AB29" s="61">
        <v>5.0</v>
      </c>
      <c r="AC29" s="9">
        <f t="shared" si="2"/>
        <v>316213.2054</v>
      </c>
      <c r="AD29" s="11"/>
    </row>
    <row r="30" ht="14.25" customHeight="1">
      <c r="A30" s="7">
        <v>46935.0</v>
      </c>
      <c r="B30" s="8" t="s">
        <v>36</v>
      </c>
      <c r="C30" s="8">
        <v>1740.94595</v>
      </c>
      <c r="D30" s="8">
        <v>1654.478322</v>
      </c>
      <c r="E30" s="8">
        <v>1574.591597</v>
      </c>
      <c r="F30" s="8">
        <v>1534.002811</v>
      </c>
      <c r="G30" s="8">
        <v>1499.780014</v>
      </c>
      <c r="H30" s="8">
        <v>1470.355259</v>
      </c>
      <c r="I30" s="8">
        <v>1517.883898</v>
      </c>
      <c r="J30" s="8">
        <v>1696.730625</v>
      </c>
      <c r="K30" s="8">
        <v>1931.959482</v>
      </c>
      <c r="L30" s="8">
        <v>2259.074969</v>
      </c>
      <c r="M30" s="8">
        <v>2523.326648</v>
      </c>
      <c r="N30" s="8">
        <v>2672.915063</v>
      </c>
      <c r="O30" s="8">
        <v>2724.442451</v>
      </c>
      <c r="P30" s="8">
        <v>2736.875839</v>
      </c>
      <c r="Q30" s="8">
        <v>2717.970834</v>
      </c>
      <c r="R30" s="8">
        <v>2704.809029</v>
      </c>
      <c r="S30" s="8">
        <v>2640.818988</v>
      </c>
      <c r="T30" s="8">
        <v>2576.744354</v>
      </c>
      <c r="U30" s="8">
        <v>2540.87496</v>
      </c>
      <c r="V30" s="8">
        <v>2414.274435</v>
      </c>
      <c r="W30" s="8">
        <v>2209.339587</v>
      </c>
      <c r="X30" s="8">
        <v>1973.991385</v>
      </c>
      <c r="Y30" s="8">
        <v>1762.25935</v>
      </c>
      <c r="Z30" s="8">
        <v>1609.021991</v>
      </c>
      <c r="AA30" s="9">
        <f t="shared" si="1"/>
        <v>50687.46784</v>
      </c>
      <c r="AB30" s="61">
        <v>7.0</v>
      </c>
      <c r="AC30" s="9">
        <f t="shared" si="2"/>
        <v>354812.2749</v>
      </c>
      <c r="AD30" s="12"/>
    </row>
    <row r="31" ht="14.25" customHeight="1">
      <c r="A31" s="7">
        <v>46966.0</v>
      </c>
      <c r="B31" s="8" t="s">
        <v>34</v>
      </c>
      <c r="C31" s="8">
        <v>1789.42245</v>
      </c>
      <c r="D31" s="8">
        <v>1716.199226</v>
      </c>
      <c r="E31" s="8">
        <v>1675.242261</v>
      </c>
      <c r="F31" s="8">
        <v>1658.499934</v>
      </c>
      <c r="G31" s="8">
        <v>1684.074551</v>
      </c>
      <c r="H31" s="8">
        <v>1792.152715</v>
      </c>
      <c r="I31" s="8">
        <v>2168.520715</v>
      </c>
      <c r="J31" s="8">
        <v>2721.029537</v>
      </c>
      <c r="K31" s="8">
        <v>3183.272762</v>
      </c>
      <c r="L31" s="8">
        <v>3495.437472</v>
      </c>
      <c r="M31" s="8">
        <v>3749.40539</v>
      </c>
      <c r="N31" s="8">
        <v>3902.252663</v>
      </c>
      <c r="O31" s="8">
        <v>3850.922688</v>
      </c>
      <c r="P31" s="8">
        <v>3864.081001</v>
      </c>
      <c r="Q31" s="8">
        <v>3966.464102</v>
      </c>
      <c r="R31" s="8">
        <v>3968.138343</v>
      </c>
      <c r="S31" s="8">
        <v>3856.287608</v>
      </c>
      <c r="T31" s="8">
        <v>3598.872938</v>
      </c>
      <c r="U31" s="8">
        <v>3409.257046</v>
      </c>
      <c r="V31" s="8">
        <v>3193.822775</v>
      </c>
      <c r="W31" s="8">
        <v>2909.013839</v>
      </c>
      <c r="X31" s="8">
        <v>2585.22871</v>
      </c>
      <c r="Y31" s="8">
        <v>2240.427692</v>
      </c>
      <c r="Z31" s="8">
        <v>2005.072964</v>
      </c>
      <c r="AA31" s="9">
        <f t="shared" si="1"/>
        <v>68983.09938</v>
      </c>
      <c r="AB31" s="61">
        <v>21.0</v>
      </c>
      <c r="AC31" s="9">
        <f t="shared" si="2"/>
        <v>1448645.087</v>
      </c>
      <c r="AD31" s="10">
        <f>SUM(AC31:AC33)</f>
        <v>2005740.458</v>
      </c>
    </row>
    <row r="32" ht="14.25" customHeight="1">
      <c r="A32" s="7">
        <v>46966.0</v>
      </c>
      <c r="B32" s="8" t="s">
        <v>35</v>
      </c>
      <c r="C32" s="8">
        <v>1944.42122</v>
      </c>
      <c r="D32" s="8">
        <v>1842.912902</v>
      </c>
      <c r="E32" s="8">
        <v>1786.312658</v>
      </c>
      <c r="F32" s="8">
        <v>1742.435707</v>
      </c>
      <c r="G32" s="8">
        <v>1750.84291</v>
      </c>
      <c r="H32" s="8">
        <v>1757.986244</v>
      </c>
      <c r="I32" s="8">
        <v>2013.872788</v>
      </c>
      <c r="J32" s="8">
        <v>2472.636506</v>
      </c>
      <c r="K32" s="8">
        <v>2908.449371</v>
      </c>
      <c r="L32" s="8">
        <v>3248.819029</v>
      </c>
      <c r="M32" s="8">
        <v>3461.218666</v>
      </c>
      <c r="N32" s="8">
        <v>3558.693026</v>
      </c>
      <c r="O32" s="8">
        <v>3458.85554</v>
      </c>
      <c r="P32" s="8">
        <v>3349.234037</v>
      </c>
      <c r="Q32" s="8">
        <v>3273.991256</v>
      </c>
      <c r="R32" s="8">
        <v>3255.744707</v>
      </c>
      <c r="S32" s="8">
        <v>3216.638361</v>
      </c>
      <c r="T32" s="8">
        <v>3155.856921</v>
      </c>
      <c r="U32" s="8">
        <v>3082.652154</v>
      </c>
      <c r="V32" s="8">
        <v>2921.267773</v>
      </c>
      <c r="W32" s="8">
        <v>2672.604126</v>
      </c>
      <c r="X32" s="8">
        <v>2393.004475</v>
      </c>
      <c r="Y32" s="8">
        <v>2094.301368</v>
      </c>
      <c r="Z32" s="8">
        <v>1879.889325</v>
      </c>
      <c r="AA32" s="9">
        <f t="shared" si="1"/>
        <v>63242.64107</v>
      </c>
      <c r="AB32" s="61">
        <v>4.0</v>
      </c>
      <c r="AC32" s="9">
        <f t="shared" si="2"/>
        <v>252970.5643</v>
      </c>
      <c r="AD32" s="11"/>
    </row>
    <row r="33" ht="14.25" customHeight="1">
      <c r="A33" s="7">
        <v>46966.0</v>
      </c>
      <c r="B33" s="8" t="s">
        <v>36</v>
      </c>
      <c r="C33" s="8">
        <v>1740.94595</v>
      </c>
      <c r="D33" s="8">
        <v>1654.478322</v>
      </c>
      <c r="E33" s="8">
        <v>1574.591597</v>
      </c>
      <c r="F33" s="8">
        <v>1534.002811</v>
      </c>
      <c r="G33" s="8">
        <v>1499.780014</v>
      </c>
      <c r="H33" s="8">
        <v>1470.355259</v>
      </c>
      <c r="I33" s="8">
        <v>1517.883898</v>
      </c>
      <c r="J33" s="8">
        <v>1696.730625</v>
      </c>
      <c r="K33" s="8">
        <v>1931.959482</v>
      </c>
      <c r="L33" s="8">
        <v>2259.074969</v>
      </c>
      <c r="M33" s="8">
        <v>2523.326648</v>
      </c>
      <c r="N33" s="8">
        <v>2672.915063</v>
      </c>
      <c r="O33" s="8">
        <v>2724.442451</v>
      </c>
      <c r="P33" s="8">
        <v>2736.875839</v>
      </c>
      <c r="Q33" s="8">
        <v>2717.970834</v>
      </c>
      <c r="R33" s="8">
        <v>2704.809029</v>
      </c>
      <c r="S33" s="8">
        <v>2640.818988</v>
      </c>
      <c r="T33" s="8">
        <v>2576.744354</v>
      </c>
      <c r="U33" s="8">
        <v>2540.87496</v>
      </c>
      <c r="V33" s="8">
        <v>2414.274435</v>
      </c>
      <c r="W33" s="8">
        <v>2209.339587</v>
      </c>
      <c r="X33" s="8">
        <v>1973.991385</v>
      </c>
      <c r="Y33" s="8">
        <v>1762.25935</v>
      </c>
      <c r="Z33" s="8">
        <v>1609.021991</v>
      </c>
      <c r="AA33" s="9">
        <f t="shared" si="1"/>
        <v>50687.46784</v>
      </c>
      <c r="AB33" s="61">
        <v>6.0</v>
      </c>
      <c r="AC33" s="9">
        <f t="shared" si="2"/>
        <v>304124.807</v>
      </c>
      <c r="AD33" s="12"/>
    </row>
    <row r="34" ht="14.25" customHeight="1">
      <c r="A34" s="7">
        <v>46997.0</v>
      </c>
      <c r="B34" s="8" t="s">
        <v>34</v>
      </c>
      <c r="C34" s="8">
        <v>1789.42245</v>
      </c>
      <c r="D34" s="8">
        <v>1716.199226</v>
      </c>
      <c r="E34" s="8">
        <v>1675.242261</v>
      </c>
      <c r="F34" s="8">
        <v>1658.499934</v>
      </c>
      <c r="G34" s="8">
        <v>1684.074551</v>
      </c>
      <c r="H34" s="8">
        <v>1792.152715</v>
      </c>
      <c r="I34" s="8">
        <v>2168.520715</v>
      </c>
      <c r="J34" s="8">
        <v>2721.029537</v>
      </c>
      <c r="K34" s="8">
        <v>3183.272762</v>
      </c>
      <c r="L34" s="8">
        <v>3495.437472</v>
      </c>
      <c r="M34" s="8">
        <v>3749.40539</v>
      </c>
      <c r="N34" s="8">
        <v>3902.252663</v>
      </c>
      <c r="O34" s="8">
        <v>3850.922688</v>
      </c>
      <c r="P34" s="8">
        <v>3864.081001</v>
      </c>
      <c r="Q34" s="8">
        <v>3966.464102</v>
      </c>
      <c r="R34" s="8">
        <v>3968.138343</v>
      </c>
      <c r="S34" s="8">
        <v>3856.287608</v>
      </c>
      <c r="T34" s="8">
        <v>3598.872938</v>
      </c>
      <c r="U34" s="8">
        <v>3409.257046</v>
      </c>
      <c r="V34" s="8">
        <v>3193.822775</v>
      </c>
      <c r="W34" s="8">
        <v>2909.013839</v>
      </c>
      <c r="X34" s="8">
        <v>2585.22871</v>
      </c>
      <c r="Y34" s="8">
        <v>2240.427692</v>
      </c>
      <c r="Z34" s="8">
        <v>2005.072964</v>
      </c>
      <c r="AA34" s="9">
        <f t="shared" si="1"/>
        <v>68983.09938</v>
      </c>
      <c r="AB34" s="61">
        <v>21.0</v>
      </c>
      <c r="AC34" s="9">
        <f t="shared" si="2"/>
        <v>1448645.087</v>
      </c>
      <c r="AD34" s="10">
        <f>SUM(AC34:AC36)</f>
        <v>1967608.164</v>
      </c>
    </row>
    <row r="35" ht="14.25" customHeight="1">
      <c r="A35" s="7">
        <v>46997.0</v>
      </c>
      <c r="B35" s="8" t="s">
        <v>35</v>
      </c>
      <c r="C35" s="8">
        <v>1944.42122</v>
      </c>
      <c r="D35" s="8">
        <v>1842.912902</v>
      </c>
      <c r="E35" s="8">
        <v>1786.312658</v>
      </c>
      <c r="F35" s="8">
        <v>1742.435707</v>
      </c>
      <c r="G35" s="8">
        <v>1750.84291</v>
      </c>
      <c r="H35" s="8">
        <v>1757.986244</v>
      </c>
      <c r="I35" s="8">
        <v>2013.872788</v>
      </c>
      <c r="J35" s="8">
        <v>2472.636506</v>
      </c>
      <c r="K35" s="8">
        <v>2908.449371</v>
      </c>
      <c r="L35" s="8">
        <v>3248.819029</v>
      </c>
      <c r="M35" s="8">
        <v>3461.218666</v>
      </c>
      <c r="N35" s="8">
        <v>3558.693026</v>
      </c>
      <c r="O35" s="8">
        <v>3458.85554</v>
      </c>
      <c r="P35" s="8">
        <v>3349.234037</v>
      </c>
      <c r="Q35" s="8">
        <v>3273.991256</v>
      </c>
      <c r="R35" s="8">
        <v>3255.744707</v>
      </c>
      <c r="S35" s="8">
        <v>3216.638361</v>
      </c>
      <c r="T35" s="8">
        <v>3155.856921</v>
      </c>
      <c r="U35" s="8">
        <v>3082.652154</v>
      </c>
      <c r="V35" s="8">
        <v>2921.267773</v>
      </c>
      <c r="W35" s="8">
        <v>2672.604126</v>
      </c>
      <c r="X35" s="8">
        <v>2393.004475</v>
      </c>
      <c r="Y35" s="8">
        <v>2094.301368</v>
      </c>
      <c r="Z35" s="8">
        <v>1879.889325</v>
      </c>
      <c r="AA35" s="9">
        <f t="shared" si="1"/>
        <v>63242.64107</v>
      </c>
      <c r="AB35" s="61">
        <v>5.0</v>
      </c>
      <c r="AC35" s="9">
        <f t="shared" si="2"/>
        <v>316213.2054</v>
      </c>
      <c r="AD35" s="11"/>
    </row>
    <row r="36" ht="14.25" customHeight="1">
      <c r="A36" s="7">
        <v>46997.0</v>
      </c>
      <c r="B36" s="8" t="s">
        <v>36</v>
      </c>
      <c r="C36" s="8">
        <v>1740.94595</v>
      </c>
      <c r="D36" s="8">
        <v>1654.478322</v>
      </c>
      <c r="E36" s="8">
        <v>1574.591597</v>
      </c>
      <c r="F36" s="8">
        <v>1534.002811</v>
      </c>
      <c r="G36" s="8">
        <v>1499.780014</v>
      </c>
      <c r="H36" s="8">
        <v>1470.355259</v>
      </c>
      <c r="I36" s="8">
        <v>1517.883898</v>
      </c>
      <c r="J36" s="8">
        <v>1696.730625</v>
      </c>
      <c r="K36" s="8">
        <v>1931.959482</v>
      </c>
      <c r="L36" s="8">
        <v>2259.074969</v>
      </c>
      <c r="M36" s="8">
        <v>2523.326648</v>
      </c>
      <c r="N36" s="8">
        <v>2672.915063</v>
      </c>
      <c r="O36" s="8">
        <v>2724.442451</v>
      </c>
      <c r="P36" s="8">
        <v>2736.875839</v>
      </c>
      <c r="Q36" s="8">
        <v>2717.970834</v>
      </c>
      <c r="R36" s="8">
        <v>2704.809029</v>
      </c>
      <c r="S36" s="8">
        <v>2640.818988</v>
      </c>
      <c r="T36" s="8">
        <v>2576.744354</v>
      </c>
      <c r="U36" s="8">
        <v>2540.87496</v>
      </c>
      <c r="V36" s="8">
        <v>2414.274435</v>
      </c>
      <c r="W36" s="8">
        <v>2209.339587</v>
      </c>
      <c r="X36" s="8">
        <v>1973.991385</v>
      </c>
      <c r="Y36" s="8">
        <v>1762.25935</v>
      </c>
      <c r="Z36" s="8">
        <v>1609.021991</v>
      </c>
      <c r="AA36" s="9">
        <f t="shared" si="1"/>
        <v>50687.46784</v>
      </c>
      <c r="AB36" s="61">
        <v>4.0</v>
      </c>
      <c r="AC36" s="9">
        <f t="shared" si="2"/>
        <v>202749.8714</v>
      </c>
      <c r="AD36" s="12"/>
    </row>
    <row r="37" ht="14.25" customHeight="1">
      <c r="A37" s="7">
        <v>47027.0</v>
      </c>
      <c r="B37" s="8" t="s">
        <v>34</v>
      </c>
      <c r="C37" s="8">
        <v>1789.42245</v>
      </c>
      <c r="D37" s="8">
        <v>1716.199226</v>
      </c>
      <c r="E37" s="8">
        <v>1675.242261</v>
      </c>
      <c r="F37" s="8">
        <v>1658.499934</v>
      </c>
      <c r="G37" s="8">
        <v>1684.074551</v>
      </c>
      <c r="H37" s="8">
        <v>1792.152715</v>
      </c>
      <c r="I37" s="8">
        <v>2168.520715</v>
      </c>
      <c r="J37" s="8">
        <v>2721.029537</v>
      </c>
      <c r="K37" s="8">
        <v>3183.272762</v>
      </c>
      <c r="L37" s="8">
        <v>3495.437472</v>
      </c>
      <c r="M37" s="8">
        <v>3749.40539</v>
      </c>
      <c r="N37" s="8">
        <v>3902.252663</v>
      </c>
      <c r="O37" s="8">
        <v>3850.922688</v>
      </c>
      <c r="P37" s="8">
        <v>3864.081001</v>
      </c>
      <c r="Q37" s="8">
        <v>3966.464102</v>
      </c>
      <c r="R37" s="8">
        <v>3968.138343</v>
      </c>
      <c r="S37" s="8">
        <v>3856.287608</v>
      </c>
      <c r="T37" s="8">
        <v>3598.872938</v>
      </c>
      <c r="U37" s="8">
        <v>3409.257046</v>
      </c>
      <c r="V37" s="8">
        <v>3193.822775</v>
      </c>
      <c r="W37" s="8">
        <v>2909.013839</v>
      </c>
      <c r="X37" s="8">
        <v>2585.22871</v>
      </c>
      <c r="Y37" s="8">
        <v>2240.427692</v>
      </c>
      <c r="Z37" s="8">
        <v>2005.072964</v>
      </c>
      <c r="AA37" s="9">
        <f t="shared" si="1"/>
        <v>68983.09938</v>
      </c>
      <c r="AB37" s="61">
        <v>21.0</v>
      </c>
      <c r="AC37" s="9">
        <f t="shared" si="2"/>
        <v>1448645.087</v>
      </c>
      <c r="AD37" s="10">
        <f>SUM(AC37:AC39)</f>
        <v>2005740.458</v>
      </c>
    </row>
    <row r="38" ht="14.25" customHeight="1">
      <c r="A38" s="7">
        <v>47027.0</v>
      </c>
      <c r="B38" s="8" t="s">
        <v>35</v>
      </c>
      <c r="C38" s="8">
        <v>1944.42122</v>
      </c>
      <c r="D38" s="8">
        <v>1842.912902</v>
      </c>
      <c r="E38" s="8">
        <v>1786.312658</v>
      </c>
      <c r="F38" s="8">
        <v>1742.435707</v>
      </c>
      <c r="G38" s="8">
        <v>1750.84291</v>
      </c>
      <c r="H38" s="8">
        <v>1757.986244</v>
      </c>
      <c r="I38" s="8">
        <v>2013.872788</v>
      </c>
      <c r="J38" s="8">
        <v>2472.636506</v>
      </c>
      <c r="K38" s="8">
        <v>2908.449371</v>
      </c>
      <c r="L38" s="8">
        <v>3248.819029</v>
      </c>
      <c r="M38" s="8">
        <v>3461.218666</v>
      </c>
      <c r="N38" s="8">
        <v>3558.693026</v>
      </c>
      <c r="O38" s="8">
        <v>3458.85554</v>
      </c>
      <c r="P38" s="8">
        <v>3349.234037</v>
      </c>
      <c r="Q38" s="8">
        <v>3273.991256</v>
      </c>
      <c r="R38" s="8">
        <v>3255.744707</v>
      </c>
      <c r="S38" s="8">
        <v>3216.638361</v>
      </c>
      <c r="T38" s="8">
        <v>3155.856921</v>
      </c>
      <c r="U38" s="8">
        <v>3082.652154</v>
      </c>
      <c r="V38" s="8">
        <v>2921.267773</v>
      </c>
      <c r="W38" s="8">
        <v>2672.604126</v>
      </c>
      <c r="X38" s="8">
        <v>2393.004475</v>
      </c>
      <c r="Y38" s="8">
        <v>2094.301368</v>
      </c>
      <c r="Z38" s="8">
        <v>1879.889325</v>
      </c>
      <c r="AA38" s="9">
        <f t="shared" si="1"/>
        <v>63242.64107</v>
      </c>
      <c r="AB38" s="61">
        <v>4.0</v>
      </c>
      <c r="AC38" s="9">
        <f t="shared" si="2"/>
        <v>252970.5643</v>
      </c>
      <c r="AD38" s="11"/>
    </row>
    <row r="39" ht="14.25" customHeight="1">
      <c r="A39" s="7">
        <v>47027.0</v>
      </c>
      <c r="B39" s="8" t="s">
        <v>36</v>
      </c>
      <c r="C39" s="8">
        <v>1740.94595</v>
      </c>
      <c r="D39" s="8">
        <v>1654.478322</v>
      </c>
      <c r="E39" s="8">
        <v>1574.591597</v>
      </c>
      <c r="F39" s="8">
        <v>1534.002811</v>
      </c>
      <c r="G39" s="8">
        <v>1499.780014</v>
      </c>
      <c r="H39" s="8">
        <v>1470.355259</v>
      </c>
      <c r="I39" s="8">
        <v>1517.883898</v>
      </c>
      <c r="J39" s="8">
        <v>1696.730625</v>
      </c>
      <c r="K39" s="8">
        <v>1931.959482</v>
      </c>
      <c r="L39" s="8">
        <v>2259.074969</v>
      </c>
      <c r="M39" s="8">
        <v>2523.326648</v>
      </c>
      <c r="N39" s="8">
        <v>2672.915063</v>
      </c>
      <c r="O39" s="8">
        <v>2724.442451</v>
      </c>
      <c r="P39" s="8">
        <v>2736.875839</v>
      </c>
      <c r="Q39" s="8">
        <v>2717.970834</v>
      </c>
      <c r="R39" s="8">
        <v>2704.809029</v>
      </c>
      <c r="S39" s="8">
        <v>2640.818988</v>
      </c>
      <c r="T39" s="8">
        <v>2576.744354</v>
      </c>
      <c r="U39" s="8">
        <v>2540.87496</v>
      </c>
      <c r="V39" s="8">
        <v>2414.274435</v>
      </c>
      <c r="W39" s="8">
        <v>2209.339587</v>
      </c>
      <c r="X39" s="8">
        <v>1973.991385</v>
      </c>
      <c r="Y39" s="8">
        <v>1762.25935</v>
      </c>
      <c r="Z39" s="8">
        <v>1609.021991</v>
      </c>
      <c r="AA39" s="9">
        <f t="shared" si="1"/>
        <v>50687.46784</v>
      </c>
      <c r="AB39" s="61">
        <v>6.0</v>
      </c>
      <c r="AC39" s="9">
        <f t="shared" si="2"/>
        <v>304124.807</v>
      </c>
      <c r="AD39" s="12"/>
    </row>
    <row r="40" ht="14.25" customHeight="1">
      <c r="A40" s="7">
        <v>47058.0</v>
      </c>
      <c r="B40" s="8" t="s">
        <v>34</v>
      </c>
      <c r="C40" s="8">
        <v>1789.42245</v>
      </c>
      <c r="D40" s="8">
        <v>1716.199226</v>
      </c>
      <c r="E40" s="8">
        <v>1675.242261</v>
      </c>
      <c r="F40" s="8">
        <v>1658.499934</v>
      </c>
      <c r="G40" s="8">
        <v>1684.074551</v>
      </c>
      <c r="H40" s="8">
        <v>1792.152715</v>
      </c>
      <c r="I40" s="8">
        <v>2168.520715</v>
      </c>
      <c r="J40" s="8">
        <v>2721.029537</v>
      </c>
      <c r="K40" s="8">
        <v>3183.272762</v>
      </c>
      <c r="L40" s="8">
        <v>3495.437472</v>
      </c>
      <c r="M40" s="8">
        <v>3749.40539</v>
      </c>
      <c r="N40" s="8">
        <v>3902.252663</v>
      </c>
      <c r="O40" s="8">
        <v>3850.922688</v>
      </c>
      <c r="P40" s="8">
        <v>3864.081001</v>
      </c>
      <c r="Q40" s="8">
        <v>3966.464102</v>
      </c>
      <c r="R40" s="8">
        <v>3968.138343</v>
      </c>
      <c r="S40" s="8">
        <v>3856.287608</v>
      </c>
      <c r="T40" s="8">
        <v>3598.872938</v>
      </c>
      <c r="U40" s="8">
        <v>3409.257046</v>
      </c>
      <c r="V40" s="8">
        <v>3193.822775</v>
      </c>
      <c r="W40" s="8">
        <v>2909.013839</v>
      </c>
      <c r="X40" s="8">
        <v>2585.22871</v>
      </c>
      <c r="Y40" s="8">
        <v>2240.427692</v>
      </c>
      <c r="Z40" s="8">
        <v>2005.072964</v>
      </c>
      <c r="AA40" s="9">
        <f t="shared" si="1"/>
        <v>68983.09938</v>
      </c>
      <c r="AB40" s="61">
        <v>20.0</v>
      </c>
      <c r="AC40" s="9">
        <f t="shared" si="2"/>
        <v>1379661.988</v>
      </c>
      <c r="AD40" s="10">
        <f>SUM(AC40:AC42)</f>
        <v>1936757.359</v>
      </c>
    </row>
    <row r="41" ht="14.25" customHeight="1">
      <c r="A41" s="7">
        <v>47058.0</v>
      </c>
      <c r="B41" s="8" t="s">
        <v>35</v>
      </c>
      <c r="C41" s="8">
        <v>1944.42122</v>
      </c>
      <c r="D41" s="8">
        <v>1842.912902</v>
      </c>
      <c r="E41" s="8">
        <v>1786.312658</v>
      </c>
      <c r="F41" s="8">
        <v>1742.435707</v>
      </c>
      <c r="G41" s="8">
        <v>1750.84291</v>
      </c>
      <c r="H41" s="8">
        <v>1757.986244</v>
      </c>
      <c r="I41" s="8">
        <v>2013.872788</v>
      </c>
      <c r="J41" s="8">
        <v>2472.636506</v>
      </c>
      <c r="K41" s="8">
        <v>2908.449371</v>
      </c>
      <c r="L41" s="8">
        <v>3248.819029</v>
      </c>
      <c r="M41" s="8">
        <v>3461.218666</v>
      </c>
      <c r="N41" s="8">
        <v>3558.693026</v>
      </c>
      <c r="O41" s="8">
        <v>3458.85554</v>
      </c>
      <c r="P41" s="8">
        <v>3349.234037</v>
      </c>
      <c r="Q41" s="8">
        <v>3273.991256</v>
      </c>
      <c r="R41" s="8">
        <v>3255.744707</v>
      </c>
      <c r="S41" s="8">
        <v>3216.638361</v>
      </c>
      <c r="T41" s="8">
        <v>3155.856921</v>
      </c>
      <c r="U41" s="8">
        <v>3082.652154</v>
      </c>
      <c r="V41" s="8">
        <v>2921.267773</v>
      </c>
      <c r="W41" s="8">
        <v>2672.604126</v>
      </c>
      <c r="X41" s="8">
        <v>2393.004475</v>
      </c>
      <c r="Y41" s="8">
        <v>2094.301368</v>
      </c>
      <c r="Z41" s="8">
        <v>1879.889325</v>
      </c>
      <c r="AA41" s="9">
        <f t="shared" si="1"/>
        <v>63242.64107</v>
      </c>
      <c r="AB41" s="61">
        <v>4.0</v>
      </c>
      <c r="AC41" s="9">
        <f t="shared" si="2"/>
        <v>252970.5643</v>
      </c>
      <c r="AD41" s="11"/>
    </row>
    <row r="42" ht="14.25" customHeight="1">
      <c r="A42" s="7">
        <v>47058.0</v>
      </c>
      <c r="B42" s="8" t="s">
        <v>36</v>
      </c>
      <c r="C42" s="8">
        <v>1740.94595</v>
      </c>
      <c r="D42" s="8">
        <v>1654.478322</v>
      </c>
      <c r="E42" s="8">
        <v>1574.591597</v>
      </c>
      <c r="F42" s="8">
        <v>1534.002811</v>
      </c>
      <c r="G42" s="8">
        <v>1499.780014</v>
      </c>
      <c r="H42" s="8">
        <v>1470.355259</v>
      </c>
      <c r="I42" s="8">
        <v>1517.883898</v>
      </c>
      <c r="J42" s="8">
        <v>1696.730625</v>
      </c>
      <c r="K42" s="8">
        <v>1931.959482</v>
      </c>
      <c r="L42" s="8">
        <v>2259.074969</v>
      </c>
      <c r="M42" s="8">
        <v>2523.326648</v>
      </c>
      <c r="N42" s="8">
        <v>2672.915063</v>
      </c>
      <c r="O42" s="8">
        <v>2724.442451</v>
      </c>
      <c r="P42" s="8">
        <v>2736.875839</v>
      </c>
      <c r="Q42" s="8">
        <v>2717.970834</v>
      </c>
      <c r="R42" s="8">
        <v>2704.809029</v>
      </c>
      <c r="S42" s="8">
        <v>2640.818988</v>
      </c>
      <c r="T42" s="8">
        <v>2576.744354</v>
      </c>
      <c r="U42" s="8">
        <v>2540.87496</v>
      </c>
      <c r="V42" s="8">
        <v>2414.274435</v>
      </c>
      <c r="W42" s="8">
        <v>2209.339587</v>
      </c>
      <c r="X42" s="8">
        <v>1973.991385</v>
      </c>
      <c r="Y42" s="8">
        <v>1762.25935</v>
      </c>
      <c r="Z42" s="8">
        <v>1609.021991</v>
      </c>
      <c r="AA42" s="9">
        <f t="shared" si="1"/>
        <v>50687.46784</v>
      </c>
      <c r="AB42" s="61">
        <v>6.0</v>
      </c>
      <c r="AC42" s="9">
        <f t="shared" si="2"/>
        <v>304124.807</v>
      </c>
      <c r="AD42" s="12"/>
    </row>
    <row r="43" ht="14.25" customHeight="1">
      <c r="A43" s="7">
        <v>47088.0</v>
      </c>
      <c r="B43" s="8" t="s">
        <v>34</v>
      </c>
      <c r="C43" s="8">
        <v>1789.42245</v>
      </c>
      <c r="D43" s="8">
        <v>1716.199226</v>
      </c>
      <c r="E43" s="8">
        <v>1675.242261</v>
      </c>
      <c r="F43" s="8">
        <v>1658.499934</v>
      </c>
      <c r="G43" s="8">
        <v>1684.074551</v>
      </c>
      <c r="H43" s="8">
        <v>1792.152715</v>
      </c>
      <c r="I43" s="8">
        <v>2168.520715</v>
      </c>
      <c r="J43" s="8">
        <v>2721.029537</v>
      </c>
      <c r="K43" s="8">
        <v>3183.272762</v>
      </c>
      <c r="L43" s="8">
        <v>3495.437472</v>
      </c>
      <c r="M43" s="8">
        <v>3749.40539</v>
      </c>
      <c r="N43" s="8">
        <v>3902.252663</v>
      </c>
      <c r="O43" s="8">
        <v>3850.922688</v>
      </c>
      <c r="P43" s="8">
        <v>3864.081001</v>
      </c>
      <c r="Q43" s="8">
        <v>3966.464102</v>
      </c>
      <c r="R43" s="8">
        <v>3968.138343</v>
      </c>
      <c r="S43" s="8">
        <v>3856.287608</v>
      </c>
      <c r="T43" s="8">
        <v>3598.872938</v>
      </c>
      <c r="U43" s="8">
        <v>3409.257046</v>
      </c>
      <c r="V43" s="8">
        <v>3193.822775</v>
      </c>
      <c r="W43" s="8">
        <v>2909.013839</v>
      </c>
      <c r="X43" s="8">
        <v>2585.22871</v>
      </c>
      <c r="Y43" s="8">
        <v>2240.427692</v>
      </c>
      <c r="Z43" s="8">
        <v>2005.072964</v>
      </c>
      <c r="AA43" s="9">
        <f t="shared" si="1"/>
        <v>68983.09938</v>
      </c>
      <c r="AB43" s="61">
        <v>19.0</v>
      </c>
      <c r="AC43" s="9">
        <f t="shared" si="2"/>
        <v>1310678.888</v>
      </c>
      <c r="AD43" s="10">
        <f>SUM(AC43:AC45)</f>
        <v>1981704.368</v>
      </c>
    </row>
    <row r="44" ht="14.25" customHeight="1">
      <c r="A44" s="7">
        <v>47088.0</v>
      </c>
      <c r="B44" s="8" t="s">
        <v>35</v>
      </c>
      <c r="C44" s="8">
        <v>1944.42122</v>
      </c>
      <c r="D44" s="8">
        <v>1842.912902</v>
      </c>
      <c r="E44" s="8">
        <v>1786.312658</v>
      </c>
      <c r="F44" s="8">
        <v>1742.435707</v>
      </c>
      <c r="G44" s="8">
        <v>1750.84291</v>
      </c>
      <c r="H44" s="8">
        <v>1757.986244</v>
      </c>
      <c r="I44" s="8">
        <v>2013.872788</v>
      </c>
      <c r="J44" s="8">
        <v>2472.636506</v>
      </c>
      <c r="K44" s="8">
        <v>2908.449371</v>
      </c>
      <c r="L44" s="8">
        <v>3248.819029</v>
      </c>
      <c r="M44" s="8">
        <v>3461.218666</v>
      </c>
      <c r="N44" s="8">
        <v>3558.693026</v>
      </c>
      <c r="O44" s="8">
        <v>3458.85554</v>
      </c>
      <c r="P44" s="8">
        <v>3349.234037</v>
      </c>
      <c r="Q44" s="8">
        <v>3273.991256</v>
      </c>
      <c r="R44" s="8">
        <v>3255.744707</v>
      </c>
      <c r="S44" s="8">
        <v>3216.638361</v>
      </c>
      <c r="T44" s="8">
        <v>3155.856921</v>
      </c>
      <c r="U44" s="8">
        <v>3082.652154</v>
      </c>
      <c r="V44" s="8">
        <v>2921.267773</v>
      </c>
      <c r="W44" s="8">
        <v>2672.604126</v>
      </c>
      <c r="X44" s="8">
        <v>2393.004475</v>
      </c>
      <c r="Y44" s="8">
        <v>2094.301368</v>
      </c>
      <c r="Z44" s="8">
        <v>1879.889325</v>
      </c>
      <c r="AA44" s="9">
        <f t="shared" si="1"/>
        <v>63242.64107</v>
      </c>
      <c r="AB44" s="61">
        <v>5.0</v>
      </c>
      <c r="AC44" s="9">
        <f t="shared" si="2"/>
        <v>316213.2054</v>
      </c>
      <c r="AD44" s="11"/>
    </row>
    <row r="45" ht="14.25" customHeight="1">
      <c r="A45" s="7">
        <v>47088.0</v>
      </c>
      <c r="B45" s="8" t="s">
        <v>36</v>
      </c>
      <c r="C45" s="8">
        <v>1740.94595</v>
      </c>
      <c r="D45" s="8">
        <v>1654.478322</v>
      </c>
      <c r="E45" s="8">
        <v>1574.591597</v>
      </c>
      <c r="F45" s="8">
        <v>1534.002811</v>
      </c>
      <c r="G45" s="8">
        <v>1499.780014</v>
      </c>
      <c r="H45" s="8">
        <v>1470.355259</v>
      </c>
      <c r="I45" s="8">
        <v>1517.883898</v>
      </c>
      <c r="J45" s="8">
        <v>1696.730625</v>
      </c>
      <c r="K45" s="8">
        <v>1931.959482</v>
      </c>
      <c r="L45" s="8">
        <v>2259.074969</v>
      </c>
      <c r="M45" s="8">
        <v>2523.326648</v>
      </c>
      <c r="N45" s="8">
        <v>2672.915063</v>
      </c>
      <c r="O45" s="8">
        <v>2724.442451</v>
      </c>
      <c r="P45" s="8">
        <v>2736.875839</v>
      </c>
      <c r="Q45" s="8">
        <v>2717.970834</v>
      </c>
      <c r="R45" s="8">
        <v>2704.809029</v>
      </c>
      <c r="S45" s="8">
        <v>2640.818988</v>
      </c>
      <c r="T45" s="8">
        <v>2576.744354</v>
      </c>
      <c r="U45" s="8">
        <v>2540.87496</v>
      </c>
      <c r="V45" s="8">
        <v>2414.274435</v>
      </c>
      <c r="W45" s="8">
        <v>2209.339587</v>
      </c>
      <c r="X45" s="8">
        <v>1973.991385</v>
      </c>
      <c r="Y45" s="8">
        <v>1762.25935</v>
      </c>
      <c r="Z45" s="8">
        <v>1609.021991</v>
      </c>
      <c r="AA45" s="9">
        <f t="shared" si="1"/>
        <v>50687.46784</v>
      </c>
      <c r="AB45" s="61">
        <v>7.0</v>
      </c>
      <c r="AC45" s="9">
        <f t="shared" si="2"/>
        <v>354812.2749</v>
      </c>
      <c r="AD45" s="12"/>
    </row>
    <row r="46" ht="14.25" customHeight="1">
      <c r="AB46" s="13" t="s">
        <v>32</v>
      </c>
      <c r="AC46" s="9">
        <f t="shared" ref="AC46:AD46" si="3">SUM(AC10:AC45)</f>
        <v>23650320.7</v>
      </c>
      <c r="AD46" s="9">
        <f t="shared" si="3"/>
        <v>23650320.7</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sheetData>
  <mergeCells count="16">
    <mergeCell ref="A1:AC1"/>
    <mergeCell ref="A2:AC2"/>
    <mergeCell ref="A3:AC3"/>
    <mergeCell ref="A4:AC4"/>
    <mergeCell ref="AD10:AD12"/>
    <mergeCell ref="AD13:AD15"/>
    <mergeCell ref="AD16:AD18"/>
    <mergeCell ref="AD40:AD42"/>
    <mergeCell ref="AD43:AD45"/>
    <mergeCell ref="AD19:AD21"/>
    <mergeCell ref="AD22:AD24"/>
    <mergeCell ref="AD25:AD27"/>
    <mergeCell ref="AD28:AD30"/>
    <mergeCell ref="AD31:AD33"/>
    <mergeCell ref="AD34:AD36"/>
    <mergeCell ref="AD37:AD39"/>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0.71"/>
    <col customWidth="1" min="3" max="3" width="16.0"/>
    <col customWidth="1" min="4" max="4" width="13.0"/>
    <col customWidth="1" min="5" max="5" width="14.14"/>
    <col customWidth="1" min="6" max="6" width="10.71"/>
    <col customWidth="1" min="7" max="7" width="14.86"/>
    <col customWidth="1" min="8" max="19" width="10.71"/>
  </cols>
  <sheetData>
    <row r="1" ht="14.25" customHeight="1"/>
    <row r="2" ht="14.25" customHeight="1"/>
    <row r="3" ht="14.25" customHeight="1"/>
    <row r="4" ht="14.25" customHeight="1">
      <c r="A4" s="14" t="s">
        <v>3</v>
      </c>
    </row>
    <row r="5" ht="14.25" customHeight="1">
      <c r="A5" s="15"/>
      <c r="B5" s="14" t="s">
        <v>57</v>
      </c>
    </row>
    <row r="6" ht="14.25" customHeight="1">
      <c r="A6" s="15"/>
      <c r="B6" s="14" t="s">
        <v>38</v>
      </c>
    </row>
    <row r="7" ht="14.25" customHeight="1">
      <c r="A7" s="15"/>
      <c r="B7" s="16" t="s">
        <v>39</v>
      </c>
    </row>
    <row r="8" ht="14.25" customHeight="1">
      <c r="A8" s="15"/>
      <c r="B8" s="17" t="s">
        <v>40</v>
      </c>
    </row>
    <row r="9" ht="14.25" customHeight="1">
      <c r="A9" s="15"/>
      <c r="B9" s="16"/>
      <c r="C9" s="16"/>
      <c r="D9" s="16"/>
      <c r="E9" s="16"/>
    </row>
    <row r="10" ht="14.25" customHeight="1">
      <c r="A10" s="15"/>
      <c r="B10" s="44" t="s">
        <v>41</v>
      </c>
      <c r="C10" s="45"/>
      <c r="D10" s="45"/>
      <c r="E10" s="45"/>
      <c r="F10" s="46"/>
    </row>
    <row r="11">
      <c r="A11" s="15"/>
      <c r="B11" s="47" t="s">
        <v>4</v>
      </c>
      <c r="C11" s="48" t="s">
        <v>42</v>
      </c>
      <c r="D11" s="62" t="s">
        <v>43</v>
      </c>
      <c r="E11" s="62" t="s">
        <v>44</v>
      </c>
      <c r="F11" s="63" t="s">
        <v>45</v>
      </c>
    </row>
    <row r="12" ht="14.25" customHeight="1">
      <c r="A12" s="15"/>
      <c r="B12" s="49">
        <v>46783.0</v>
      </c>
      <c r="C12" s="64">
        <f>'Cant. Requeridas Producto 3'!AD10</f>
        <v>1987444.827</v>
      </c>
      <c r="D12" s="50"/>
      <c r="E12" s="54">
        <f>C12*$D$12</f>
        <v>0</v>
      </c>
      <c r="F12" s="52"/>
    </row>
    <row r="13" ht="14.25" customHeight="1">
      <c r="A13" s="15"/>
      <c r="B13" s="49">
        <v>46784.0</v>
      </c>
      <c r="C13" s="64">
        <f>'Cant. Requeridas Producto 3'!AD13</f>
        <v>1904365.523</v>
      </c>
      <c r="D13" s="53"/>
      <c r="E13" s="54">
        <f t="shared" ref="E13:E23" si="1">C13*$D$13</f>
        <v>0</v>
      </c>
      <c r="F13" s="55"/>
    </row>
    <row r="14" ht="14.25" customHeight="1">
      <c r="A14" s="15"/>
      <c r="B14" s="49">
        <v>46813.0</v>
      </c>
      <c r="C14" s="64">
        <f>'Cant. Requeridas Producto 3'!AD16</f>
        <v>2024036.09</v>
      </c>
      <c r="D14" s="53"/>
      <c r="E14" s="54">
        <f t="shared" si="1"/>
        <v>0</v>
      </c>
      <c r="F14" s="55"/>
    </row>
    <row r="15" ht="14.25" customHeight="1">
      <c r="A15" s="15"/>
      <c r="B15" s="49">
        <v>46844.0</v>
      </c>
      <c r="C15" s="64">
        <f>'Cant. Requeridas Producto 3'!AD19</f>
        <v>1912721.269</v>
      </c>
      <c r="D15" s="53"/>
      <c r="E15" s="54">
        <f t="shared" si="1"/>
        <v>0</v>
      </c>
      <c r="F15" s="55"/>
    </row>
    <row r="16" ht="14.25" customHeight="1">
      <c r="A16" s="15"/>
      <c r="B16" s="49">
        <v>46874.0</v>
      </c>
      <c r="C16" s="65">
        <f>'Cant. Requeridas Producto 3'!AD22</f>
        <v>2005740.458</v>
      </c>
      <c r="D16" s="53"/>
      <c r="E16" s="54">
        <f t="shared" si="1"/>
        <v>0</v>
      </c>
      <c r="F16" s="55"/>
    </row>
    <row r="17" ht="14.25" customHeight="1">
      <c r="A17" s="15"/>
      <c r="B17" s="49">
        <v>46905.0</v>
      </c>
      <c r="C17" s="65">
        <f>'Cant. Requeridas Producto 3'!AD25</f>
        <v>1936757.359</v>
      </c>
      <c r="D17" s="53"/>
      <c r="E17" s="54">
        <f t="shared" si="1"/>
        <v>0</v>
      </c>
      <c r="F17" s="55"/>
    </row>
    <row r="18" ht="14.25" customHeight="1">
      <c r="A18" s="15"/>
      <c r="B18" s="49">
        <v>46935.0</v>
      </c>
      <c r="C18" s="65">
        <f>'Cant. Requeridas Producto 3'!AD28</f>
        <v>1981704.368</v>
      </c>
      <c r="D18" s="53"/>
      <c r="E18" s="54">
        <f t="shared" si="1"/>
        <v>0</v>
      </c>
      <c r="F18" s="55"/>
    </row>
    <row r="19" ht="14.25" customHeight="1">
      <c r="A19" s="15"/>
      <c r="B19" s="49">
        <v>46966.0</v>
      </c>
      <c r="C19" s="65">
        <f>'Cant. Requeridas Producto 3'!AD31</f>
        <v>2005740.458</v>
      </c>
      <c r="D19" s="53"/>
      <c r="E19" s="54">
        <f t="shared" si="1"/>
        <v>0</v>
      </c>
      <c r="F19" s="55"/>
    </row>
    <row r="20" ht="14.25" customHeight="1">
      <c r="A20" s="15"/>
      <c r="B20" s="49">
        <v>46997.0</v>
      </c>
      <c r="C20" s="65">
        <f>'Cant. Requeridas Producto 3'!AD34</f>
        <v>1967608.164</v>
      </c>
      <c r="D20" s="53"/>
      <c r="E20" s="54">
        <f t="shared" si="1"/>
        <v>0</v>
      </c>
      <c r="F20" s="55"/>
    </row>
    <row r="21" ht="14.25" customHeight="1">
      <c r="A21" s="15"/>
      <c r="B21" s="49">
        <v>47027.0</v>
      </c>
      <c r="C21" s="65">
        <f>'Cant. Requeridas Producto 3'!AD37</f>
        <v>2005740.458</v>
      </c>
      <c r="D21" s="53"/>
      <c r="E21" s="54">
        <f t="shared" si="1"/>
        <v>0</v>
      </c>
      <c r="F21" s="55"/>
    </row>
    <row r="22" ht="14.25" customHeight="1">
      <c r="A22" s="15"/>
      <c r="B22" s="49">
        <v>47058.0</v>
      </c>
      <c r="C22" s="64">
        <f>'Cant. Requeridas Producto 3'!AD40</f>
        <v>1936757.359</v>
      </c>
      <c r="D22" s="53"/>
      <c r="E22" s="54">
        <f t="shared" si="1"/>
        <v>0</v>
      </c>
      <c r="F22" s="55"/>
    </row>
    <row r="23" ht="14.25" customHeight="1">
      <c r="A23" s="15"/>
      <c r="B23" s="49">
        <v>47088.0</v>
      </c>
      <c r="C23" s="64">
        <f>'Cant. Requeridas Producto 3'!AD43</f>
        <v>1981704.368</v>
      </c>
      <c r="D23" s="56"/>
      <c r="E23" s="57">
        <f t="shared" si="1"/>
        <v>0</v>
      </c>
      <c r="F23" s="58"/>
    </row>
    <row r="24" ht="14.25" customHeight="1">
      <c r="A24" s="15"/>
      <c r="B24" s="59" t="s">
        <v>32</v>
      </c>
      <c r="C24" s="60">
        <f>SUM(C12:C23)</f>
        <v>23650320.7</v>
      </c>
      <c r="D24" s="66"/>
      <c r="E24" s="60">
        <f>SUM(E12:E23)</f>
        <v>0</v>
      </c>
      <c r="F24" s="66"/>
    </row>
    <row r="25" ht="14.25" customHeight="1">
      <c r="A25" s="15"/>
      <c r="B25" s="16"/>
      <c r="C25" s="38"/>
      <c r="D25" s="16"/>
      <c r="E25" s="16"/>
    </row>
    <row r="26" ht="14.25" customHeight="1">
      <c r="C26" s="39"/>
    </row>
    <row r="27" ht="30.0" customHeight="1">
      <c r="B27" s="40" t="s">
        <v>46</v>
      </c>
      <c r="E27" s="41"/>
    </row>
    <row r="28" ht="38.25" customHeight="1">
      <c r="B28" s="40" t="s">
        <v>58</v>
      </c>
      <c r="I28" s="40"/>
    </row>
    <row r="29" ht="44.25" customHeight="1">
      <c r="B29" s="40" t="s">
        <v>48</v>
      </c>
      <c r="I29" s="40"/>
    </row>
    <row r="30" ht="14.25" customHeight="1">
      <c r="B30" s="42"/>
    </row>
    <row r="31" ht="14.25" customHeight="1"/>
    <row r="32" ht="14.25" customHeight="1"/>
    <row r="33" ht="14.25" customHeight="1">
      <c r="B33" s="43"/>
      <c r="C33" s="43"/>
    </row>
    <row r="34" ht="14.25" customHeight="1">
      <c r="B34" s="4" t="s">
        <v>49</v>
      </c>
    </row>
    <row r="35" ht="14.25" customHeight="1">
      <c r="B35" s="4" t="s">
        <v>50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2">
    <mergeCell ref="B28:E28"/>
    <mergeCell ref="I28:N28"/>
    <mergeCell ref="I29:N29"/>
    <mergeCell ref="B29:E29"/>
    <mergeCell ref="B30:E30"/>
    <mergeCell ref="A4:F4"/>
    <mergeCell ref="B5:E5"/>
    <mergeCell ref="B6:E6"/>
    <mergeCell ref="B7:E7"/>
    <mergeCell ref="B8:E8"/>
    <mergeCell ref="B10:F10"/>
    <mergeCell ref="B27:D2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4" width="10.71"/>
    <col customWidth="1" min="5" max="5" width="11.29"/>
    <col customWidth="1" min="6" max="26" width="10.71"/>
    <col customWidth="1" min="27" max="27" width="13.43"/>
    <col customWidth="1" min="28" max="28" width="7.86"/>
    <col customWidth="1" min="29" max="30" width="18.43"/>
  </cols>
  <sheetData>
    <row r="1" ht="14.25" customHeight="1">
      <c r="A1" s="1" t="s">
        <v>0</v>
      </c>
      <c r="AD1" s="1"/>
    </row>
    <row r="2" ht="14.25" customHeight="1">
      <c r="A2" s="1" t="s">
        <v>59</v>
      </c>
      <c r="AD2" s="1"/>
    </row>
    <row r="3" ht="14.25" customHeight="1">
      <c r="A3" s="1" t="s">
        <v>60</v>
      </c>
      <c r="AD3" s="1"/>
    </row>
    <row r="4" ht="14.25" customHeight="1">
      <c r="A4" s="1" t="s">
        <v>3</v>
      </c>
      <c r="AD4" s="1"/>
    </row>
    <row r="5" ht="14.25" customHeight="1">
      <c r="A5" s="2"/>
      <c r="B5" s="3"/>
      <c r="C5" s="3"/>
      <c r="D5" s="3"/>
      <c r="E5" s="2"/>
      <c r="F5" s="2"/>
      <c r="G5" s="2"/>
      <c r="H5" s="2"/>
      <c r="I5" s="2"/>
      <c r="J5" s="2"/>
      <c r="K5" s="2"/>
      <c r="L5" s="2"/>
      <c r="M5" s="2"/>
      <c r="N5" s="2"/>
      <c r="O5" s="2"/>
      <c r="P5" s="2"/>
      <c r="Q5" s="2"/>
      <c r="R5" s="2"/>
      <c r="S5" s="2"/>
      <c r="T5" s="2"/>
      <c r="U5" s="2"/>
      <c r="V5" s="2"/>
      <c r="W5" s="4"/>
      <c r="X5" s="4"/>
      <c r="Y5" s="4"/>
      <c r="Z5" s="4"/>
      <c r="AA5" s="4"/>
      <c r="AB5" s="4"/>
    </row>
    <row r="6" ht="14.25" customHeight="1">
      <c r="A6" s="2"/>
      <c r="B6" s="3"/>
      <c r="C6" s="3"/>
      <c r="D6" s="3"/>
      <c r="E6" s="2"/>
      <c r="F6" s="2"/>
      <c r="G6" s="2"/>
      <c r="H6" s="2"/>
      <c r="I6" s="2"/>
      <c r="J6" s="2"/>
      <c r="K6" s="2"/>
      <c r="L6" s="2"/>
      <c r="M6" s="2"/>
      <c r="N6" s="2"/>
      <c r="O6" s="2"/>
      <c r="P6" s="2"/>
      <c r="Q6" s="2"/>
      <c r="R6" s="2"/>
      <c r="S6" s="2"/>
      <c r="T6" s="2"/>
      <c r="U6" s="2"/>
      <c r="V6" s="2"/>
      <c r="W6" s="4"/>
      <c r="X6" s="4"/>
      <c r="Y6" s="4"/>
      <c r="Z6" s="4"/>
      <c r="AA6" s="4"/>
      <c r="AB6" s="4"/>
    </row>
    <row r="7" ht="14.25" customHeight="1">
      <c r="A7" s="2"/>
      <c r="B7" s="3"/>
      <c r="C7" s="3"/>
      <c r="D7" s="3"/>
      <c r="E7" s="2"/>
      <c r="F7" s="2"/>
      <c r="G7" s="2"/>
      <c r="H7" s="2"/>
      <c r="I7" s="2"/>
      <c r="J7" s="2"/>
      <c r="K7" s="2"/>
      <c r="L7" s="2"/>
      <c r="M7" s="2"/>
      <c r="N7" s="2"/>
      <c r="O7" s="2"/>
      <c r="P7" s="2"/>
      <c r="Q7" s="2"/>
      <c r="R7" s="2"/>
      <c r="S7" s="2"/>
      <c r="T7" s="2"/>
      <c r="U7" s="2"/>
      <c r="V7" s="2"/>
      <c r="W7" s="2"/>
      <c r="X7" s="2"/>
      <c r="Y7" s="2"/>
      <c r="Z7" s="2"/>
      <c r="AA7" s="2"/>
      <c r="AB7" s="2"/>
    </row>
    <row r="8" ht="14.25" customHeight="1">
      <c r="A8" s="2"/>
      <c r="B8" s="3"/>
      <c r="C8" s="3"/>
      <c r="D8" s="3"/>
      <c r="E8" s="2"/>
      <c r="F8" s="2"/>
      <c r="G8" s="2"/>
      <c r="H8" s="2"/>
      <c r="I8" s="2"/>
      <c r="J8" s="2"/>
      <c r="K8" s="2"/>
      <c r="L8" s="2"/>
      <c r="M8" s="2"/>
      <c r="N8" s="2"/>
      <c r="O8" s="2"/>
      <c r="P8" s="2"/>
      <c r="Q8" s="2"/>
      <c r="R8" s="2"/>
      <c r="S8" s="2"/>
      <c r="T8" s="2"/>
      <c r="U8" s="2"/>
      <c r="V8" s="2"/>
      <c r="W8" s="2"/>
      <c r="X8" s="2"/>
      <c r="Y8" s="2"/>
      <c r="Z8" s="2"/>
      <c r="AA8" s="2"/>
      <c r="AB8" s="2"/>
    </row>
    <row r="9" ht="14.25" customHeight="1">
      <c r="A9" s="5" t="s">
        <v>4</v>
      </c>
      <c r="B9" s="6" t="s">
        <v>5</v>
      </c>
      <c r="C9" s="6" t="s">
        <v>6</v>
      </c>
      <c r="D9" s="6" t="s">
        <v>7</v>
      </c>
      <c r="E9" s="6"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row>
    <row r="10" ht="14.25" customHeight="1">
      <c r="A10" s="7">
        <v>47119.0</v>
      </c>
      <c r="B10" s="8" t="s">
        <v>34</v>
      </c>
      <c r="C10" s="8">
        <v>2952.5470425</v>
      </c>
      <c r="D10" s="8">
        <v>2831.7287229</v>
      </c>
      <c r="E10" s="8">
        <v>2764.14973065</v>
      </c>
      <c r="F10" s="8">
        <v>2736.5248911</v>
      </c>
      <c r="G10" s="8">
        <v>2778.7230091499996</v>
      </c>
      <c r="H10" s="8">
        <v>2957.0519797499996</v>
      </c>
      <c r="I10" s="8">
        <v>3578.05917975</v>
      </c>
      <c r="J10" s="8">
        <v>4489.69873605</v>
      </c>
      <c r="K10" s="8">
        <v>5252.400057299999</v>
      </c>
      <c r="L10" s="8">
        <v>5767.4718287999995</v>
      </c>
      <c r="M10" s="8">
        <v>6186.5188935</v>
      </c>
      <c r="N10" s="8">
        <v>6438.71689395</v>
      </c>
      <c r="O10" s="8">
        <v>6354.0224352</v>
      </c>
      <c r="P10" s="8">
        <v>6375.73365165</v>
      </c>
      <c r="Q10" s="8">
        <v>6544.665768299999</v>
      </c>
      <c r="R10" s="8">
        <v>6547.4282659499995</v>
      </c>
      <c r="S10" s="8">
        <v>6362.874553199999</v>
      </c>
      <c r="T10" s="8">
        <v>5938.140347699999</v>
      </c>
      <c r="U10" s="8">
        <v>5625.2741259</v>
      </c>
      <c r="V10" s="8">
        <v>5269.80757875</v>
      </c>
      <c r="W10" s="8">
        <v>4799.87283435</v>
      </c>
      <c r="X10" s="8">
        <v>4265.6273715</v>
      </c>
      <c r="Y10" s="8">
        <v>3696.7056918000003</v>
      </c>
      <c r="Z10" s="8">
        <v>3308.3703905999996</v>
      </c>
      <c r="AA10" s="9">
        <f t="shared" ref="AA10:AA45" si="1">SUM(C10:Z10)</f>
        <v>113822.114</v>
      </c>
      <c r="AB10" s="9">
        <v>21.0</v>
      </c>
      <c r="AC10" s="9">
        <f t="shared" ref="AC10:AC45" si="2">AA10*AB10</f>
        <v>2390264.394</v>
      </c>
      <c r="AD10" s="10">
        <f>SUM(AC10:AC12)</f>
        <v>3309471.756</v>
      </c>
    </row>
    <row r="11" ht="14.25" customHeight="1">
      <c r="A11" s="7">
        <v>47119.0</v>
      </c>
      <c r="B11" s="8" t="s">
        <v>35</v>
      </c>
      <c r="C11" s="8">
        <v>3208.295013</v>
      </c>
      <c r="D11" s="8">
        <v>3040.8062883</v>
      </c>
      <c r="E11" s="8">
        <v>2947.4158856999998</v>
      </c>
      <c r="F11" s="8">
        <v>2875.01891655</v>
      </c>
      <c r="G11" s="8">
        <v>2888.8908015</v>
      </c>
      <c r="H11" s="8">
        <v>2900.6773025999996</v>
      </c>
      <c r="I11" s="8">
        <v>3322.8901002</v>
      </c>
      <c r="J11" s="8">
        <v>4079.8502348999996</v>
      </c>
      <c r="K11" s="8">
        <v>4798.94146215</v>
      </c>
      <c r="L11" s="8">
        <v>5360.551397849999</v>
      </c>
      <c r="M11" s="8">
        <v>5711.0107989</v>
      </c>
      <c r="N11" s="8">
        <v>5871.8434929</v>
      </c>
      <c r="O11" s="8">
        <v>5707.1116409999995</v>
      </c>
      <c r="P11" s="8">
        <v>5526.23616105</v>
      </c>
      <c r="Q11" s="8">
        <v>5402.085572399999</v>
      </c>
      <c r="R11" s="8">
        <v>5371.97876655</v>
      </c>
      <c r="S11" s="8">
        <v>5307.45329565</v>
      </c>
      <c r="T11" s="8">
        <v>5207.16391965</v>
      </c>
      <c r="U11" s="8">
        <v>5086.376054099999</v>
      </c>
      <c r="V11" s="8">
        <v>4820.09182545</v>
      </c>
      <c r="W11" s="8">
        <v>4409.7968079</v>
      </c>
      <c r="X11" s="8">
        <v>3948.45738375</v>
      </c>
      <c r="Y11" s="8">
        <v>3455.5972571999996</v>
      </c>
      <c r="Z11" s="8">
        <v>3101.81738625</v>
      </c>
      <c r="AA11" s="9">
        <f t="shared" si="1"/>
        <v>104350.3578</v>
      </c>
      <c r="AB11" s="9">
        <v>4.0</v>
      </c>
      <c r="AC11" s="9">
        <f t="shared" si="2"/>
        <v>417401.4311</v>
      </c>
      <c r="AD11" s="11"/>
    </row>
    <row r="12" ht="14.25" customHeight="1">
      <c r="A12" s="7">
        <v>47119.0</v>
      </c>
      <c r="B12" s="8" t="s">
        <v>36</v>
      </c>
      <c r="C12" s="8">
        <v>2872.5608174999998</v>
      </c>
      <c r="D12" s="8">
        <v>2729.8892312999997</v>
      </c>
      <c r="E12" s="8">
        <v>2598.07613505</v>
      </c>
      <c r="F12" s="8">
        <v>2531.10463815</v>
      </c>
      <c r="G12" s="8">
        <v>2474.6370230999996</v>
      </c>
      <c r="H12" s="8">
        <v>2426.0861773499996</v>
      </c>
      <c r="I12" s="8">
        <v>2504.5084317</v>
      </c>
      <c r="J12" s="8">
        <v>2799.60553125</v>
      </c>
      <c r="K12" s="8">
        <v>3187.7331452999997</v>
      </c>
      <c r="L12" s="8">
        <v>3727.4736988499994</v>
      </c>
      <c r="M12" s="8">
        <v>4163.4889692</v>
      </c>
      <c r="N12" s="8">
        <v>4410.30985395</v>
      </c>
      <c r="O12" s="8">
        <v>4495.33004415</v>
      </c>
      <c r="P12" s="8">
        <v>4515.845134349999</v>
      </c>
      <c r="Q12" s="8">
        <v>4484.6518761</v>
      </c>
      <c r="R12" s="8">
        <v>4462.93489785</v>
      </c>
      <c r="S12" s="8">
        <v>4357.3513302</v>
      </c>
      <c r="T12" s="8">
        <v>4251.6281841</v>
      </c>
      <c r="U12" s="8">
        <v>4192.443684</v>
      </c>
      <c r="V12" s="8">
        <v>3983.5528177499996</v>
      </c>
      <c r="W12" s="8">
        <v>3645.41031855</v>
      </c>
      <c r="X12" s="8">
        <v>3257.08578525</v>
      </c>
      <c r="Y12" s="8">
        <v>2907.7279275</v>
      </c>
      <c r="Z12" s="8">
        <v>2654.88628515</v>
      </c>
      <c r="AA12" s="9">
        <f t="shared" si="1"/>
        <v>83634.32194</v>
      </c>
      <c r="AB12" s="9">
        <v>6.0</v>
      </c>
      <c r="AC12" s="9">
        <f t="shared" si="2"/>
        <v>501805.9316</v>
      </c>
      <c r="AD12" s="12"/>
    </row>
    <row r="13" ht="14.25" customHeight="1">
      <c r="A13" s="7">
        <v>47150.0</v>
      </c>
      <c r="B13" s="8" t="s">
        <v>34</v>
      </c>
      <c r="C13" s="8">
        <v>2952.5470425</v>
      </c>
      <c r="D13" s="8">
        <v>2831.7287229</v>
      </c>
      <c r="E13" s="8">
        <v>2764.14973065</v>
      </c>
      <c r="F13" s="8">
        <v>2736.5248911</v>
      </c>
      <c r="G13" s="8">
        <v>2778.7230091499996</v>
      </c>
      <c r="H13" s="8">
        <v>2957.0519797499996</v>
      </c>
      <c r="I13" s="8">
        <v>3578.05917975</v>
      </c>
      <c r="J13" s="8">
        <v>4489.69873605</v>
      </c>
      <c r="K13" s="8">
        <v>5252.400057299999</v>
      </c>
      <c r="L13" s="8">
        <v>5767.4718287999995</v>
      </c>
      <c r="M13" s="8">
        <v>6186.5188935</v>
      </c>
      <c r="N13" s="8">
        <v>6438.71689395</v>
      </c>
      <c r="O13" s="8">
        <v>6354.0224352</v>
      </c>
      <c r="P13" s="8">
        <v>6375.73365165</v>
      </c>
      <c r="Q13" s="8">
        <v>6544.665768299999</v>
      </c>
      <c r="R13" s="8">
        <v>6547.4282659499995</v>
      </c>
      <c r="S13" s="8">
        <v>6362.874553199999</v>
      </c>
      <c r="T13" s="8">
        <v>5938.140347699999</v>
      </c>
      <c r="U13" s="8">
        <v>5625.2741259</v>
      </c>
      <c r="V13" s="8">
        <v>5269.80757875</v>
      </c>
      <c r="W13" s="8">
        <v>4799.87283435</v>
      </c>
      <c r="X13" s="8">
        <v>4265.6273715</v>
      </c>
      <c r="Y13" s="8">
        <v>3696.7056918000003</v>
      </c>
      <c r="Z13" s="8">
        <v>3308.3703905999996</v>
      </c>
      <c r="AA13" s="9">
        <f t="shared" si="1"/>
        <v>113822.114</v>
      </c>
      <c r="AB13" s="9">
        <v>20.0</v>
      </c>
      <c r="AC13" s="9">
        <f t="shared" si="2"/>
        <v>2276442.28</v>
      </c>
      <c r="AD13" s="10">
        <f>SUM(AC13:AC15)</f>
        <v>3028380.998</v>
      </c>
    </row>
    <row r="14" ht="14.25" customHeight="1">
      <c r="A14" s="7">
        <v>47150.0</v>
      </c>
      <c r="B14" s="8" t="s">
        <v>35</v>
      </c>
      <c r="C14" s="8">
        <v>3208.295013</v>
      </c>
      <c r="D14" s="8">
        <v>3040.8062883</v>
      </c>
      <c r="E14" s="8">
        <v>2947.4158856999998</v>
      </c>
      <c r="F14" s="8">
        <v>2875.01891655</v>
      </c>
      <c r="G14" s="8">
        <v>2888.8908015</v>
      </c>
      <c r="H14" s="8">
        <v>2900.6773025999996</v>
      </c>
      <c r="I14" s="8">
        <v>3322.8901002</v>
      </c>
      <c r="J14" s="8">
        <v>4079.8502348999996</v>
      </c>
      <c r="K14" s="8">
        <v>4798.94146215</v>
      </c>
      <c r="L14" s="8">
        <v>5360.551397849999</v>
      </c>
      <c r="M14" s="8">
        <v>5711.0107989</v>
      </c>
      <c r="N14" s="8">
        <v>5871.8434929</v>
      </c>
      <c r="O14" s="8">
        <v>5707.1116409999995</v>
      </c>
      <c r="P14" s="8">
        <v>5526.23616105</v>
      </c>
      <c r="Q14" s="8">
        <v>5402.085572399999</v>
      </c>
      <c r="R14" s="8">
        <v>5371.97876655</v>
      </c>
      <c r="S14" s="8">
        <v>5307.45329565</v>
      </c>
      <c r="T14" s="8">
        <v>5207.16391965</v>
      </c>
      <c r="U14" s="8">
        <v>5086.376054099999</v>
      </c>
      <c r="V14" s="8">
        <v>4820.09182545</v>
      </c>
      <c r="W14" s="8">
        <v>4409.7968079</v>
      </c>
      <c r="X14" s="8">
        <v>3948.45738375</v>
      </c>
      <c r="Y14" s="8">
        <v>3455.5972571999996</v>
      </c>
      <c r="Z14" s="8">
        <v>3101.81738625</v>
      </c>
      <c r="AA14" s="9">
        <f t="shared" si="1"/>
        <v>104350.3578</v>
      </c>
      <c r="AB14" s="9">
        <v>4.0</v>
      </c>
      <c r="AC14" s="9">
        <f t="shared" si="2"/>
        <v>417401.4311</v>
      </c>
      <c r="AD14" s="11"/>
    </row>
    <row r="15" ht="14.25" customHeight="1">
      <c r="A15" s="7">
        <v>47150.0</v>
      </c>
      <c r="B15" s="8" t="s">
        <v>36</v>
      </c>
      <c r="C15" s="8">
        <v>2872.5608174999998</v>
      </c>
      <c r="D15" s="8">
        <v>2729.8892312999997</v>
      </c>
      <c r="E15" s="8">
        <v>2598.07613505</v>
      </c>
      <c r="F15" s="8">
        <v>2531.10463815</v>
      </c>
      <c r="G15" s="8">
        <v>2474.6370230999996</v>
      </c>
      <c r="H15" s="8">
        <v>2426.0861773499996</v>
      </c>
      <c r="I15" s="8">
        <v>2504.5084317</v>
      </c>
      <c r="J15" s="8">
        <v>2799.60553125</v>
      </c>
      <c r="K15" s="8">
        <v>3187.7331452999997</v>
      </c>
      <c r="L15" s="8">
        <v>3727.4736988499994</v>
      </c>
      <c r="M15" s="8">
        <v>4163.4889692</v>
      </c>
      <c r="N15" s="8">
        <v>4410.30985395</v>
      </c>
      <c r="O15" s="8">
        <v>4495.33004415</v>
      </c>
      <c r="P15" s="8">
        <v>4515.845134349999</v>
      </c>
      <c r="Q15" s="8">
        <v>4484.6518761</v>
      </c>
      <c r="R15" s="8">
        <v>4462.93489785</v>
      </c>
      <c r="S15" s="8">
        <v>4357.3513302</v>
      </c>
      <c r="T15" s="8">
        <v>4251.6281841</v>
      </c>
      <c r="U15" s="8">
        <v>4192.443684</v>
      </c>
      <c r="V15" s="8">
        <v>3983.5528177499996</v>
      </c>
      <c r="W15" s="8">
        <v>3645.41031855</v>
      </c>
      <c r="X15" s="8">
        <v>3257.08578525</v>
      </c>
      <c r="Y15" s="8">
        <v>2907.7279275</v>
      </c>
      <c r="Z15" s="8">
        <v>2654.88628515</v>
      </c>
      <c r="AA15" s="9">
        <f t="shared" si="1"/>
        <v>83634.32194</v>
      </c>
      <c r="AB15" s="9">
        <v>4.0</v>
      </c>
      <c r="AC15" s="9">
        <f t="shared" si="2"/>
        <v>334537.2878</v>
      </c>
      <c r="AD15" s="12"/>
    </row>
    <row r="16" ht="14.25" customHeight="1">
      <c r="A16" s="7">
        <v>47178.0</v>
      </c>
      <c r="B16" s="8" t="s">
        <v>34</v>
      </c>
      <c r="C16" s="8">
        <v>2952.5470425</v>
      </c>
      <c r="D16" s="8">
        <v>2831.7287229</v>
      </c>
      <c r="E16" s="8">
        <v>2764.14973065</v>
      </c>
      <c r="F16" s="8">
        <v>2736.5248911</v>
      </c>
      <c r="G16" s="8">
        <v>2778.7230091499996</v>
      </c>
      <c r="H16" s="8">
        <v>2957.0519797499996</v>
      </c>
      <c r="I16" s="8">
        <v>3578.05917975</v>
      </c>
      <c r="J16" s="8">
        <v>4489.69873605</v>
      </c>
      <c r="K16" s="8">
        <v>5252.400057299999</v>
      </c>
      <c r="L16" s="8">
        <v>5767.4718287999995</v>
      </c>
      <c r="M16" s="8">
        <v>6186.5188935</v>
      </c>
      <c r="N16" s="8">
        <v>6438.71689395</v>
      </c>
      <c r="O16" s="8">
        <v>6354.0224352</v>
      </c>
      <c r="P16" s="8">
        <v>6375.73365165</v>
      </c>
      <c r="Q16" s="8">
        <v>6544.665768299999</v>
      </c>
      <c r="R16" s="8">
        <v>6547.4282659499995</v>
      </c>
      <c r="S16" s="8">
        <v>6362.874553199999</v>
      </c>
      <c r="T16" s="8">
        <v>5938.140347699999</v>
      </c>
      <c r="U16" s="8">
        <v>5625.2741259</v>
      </c>
      <c r="V16" s="8">
        <v>5269.80757875</v>
      </c>
      <c r="W16" s="8">
        <v>4799.87283435</v>
      </c>
      <c r="X16" s="8">
        <v>4265.6273715</v>
      </c>
      <c r="Y16" s="8">
        <v>3696.7056918000003</v>
      </c>
      <c r="Z16" s="8">
        <v>3308.3703905999996</v>
      </c>
      <c r="AA16" s="9">
        <f t="shared" si="1"/>
        <v>113822.114</v>
      </c>
      <c r="AB16" s="9">
        <v>19.0</v>
      </c>
      <c r="AC16" s="9">
        <f t="shared" si="2"/>
        <v>2162620.166</v>
      </c>
      <c r="AD16" s="10">
        <f>SUM(AC16:AC18)</f>
        <v>3269812.208</v>
      </c>
    </row>
    <row r="17" ht="14.25" customHeight="1">
      <c r="A17" s="7">
        <v>47178.0</v>
      </c>
      <c r="B17" s="8" t="s">
        <v>35</v>
      </c>
      <c r="C17" s="8">
        <v>3208.295013</v>
      </c>
      <c r="D17" s="8">
        <v>3040.8062883</v>
      </c>
      <c r="E17" s="8">
        <v>2947.4158856999998</v>
      </c>
      <c r="F17" s="8">
        <v>2875.01891655</v>
      </c>
      <c r="G17" s="8">
        <v>2888.8908015</v>
      </c>
      <c r="H17" s="8">
        <v>2900.6773025999996</v>
      </c>
      <c r="I17" s="8">
        <v>3322.8901002</v>
      </c>
      <c r="J17" s="8">
        <v>4079.8502348999996</v>
      </c>
      <c r="K17" s="8">
        <v>4798.94146215</v>
      </c>
      <c r="L17" s="8">
        <v>5360.551397849999</v>
      </c>
      <c r="M17" s="8">
        <v>5711.0107989</v>
      </c>
      <c r="N17" s="8">
        <v>5871.8434929</v>
      </c>
      <c r="O17" s="8">
        <v>5707.1116409999995</v>
      </c>
      <c r="P17" s="8">
        <v>5526.23616105</v>
      </c>
      <c r="Q17" s="8">
        <v>5402.085572399999</v>
      </c>
      <c r="R17" s="8">
        <v>5371.97876655</v>
      </c>
      <c r="S17" s="8">
        <v>5307.45329565</v>
      </c>
      <c r="T17" s="8">
        <v>5207.16391965</v>
      </c>
      <c r="U17" s="8">
        <v>5086.376054099999</v>
      </c>
      <c r="V17" s="8">
        <v>4820.09182545</v>
      </c>
      <c r="W17" s="8">
        <v>4409.7968079</v>
      </c>
      <c r="X17" s="8">
        <v>3948.45738375</v>
      </c>
      <c r="Y17" s="8">
        <v>3455.5972571999996</v>
      </c>
      <c r="Z17" s="8">
        <v>3101.81738625</v>
      </c>
      <c r="AA17" s="9">
        <f t="shared" si="1"/>
        <v>104350.3578</v>
      </c>
      <c r="AB17" s="9">
        <v>5.0</v>
      </c>
      <c r="AC17" s="9">
        <f t="shared" si="2"/>
        <v>521751.7888</v>
      </c>
      <c r="AD17" s="11"/>
    </row>
    <row r="18" ht="14.25" customHeight="1">
      <c r="A18" s="7">
        <v>47178.0</v>
      </c>
      <c r="B18" s="8" t="s">
        <v>36</v>
      </c>
      <c r="C18" s="8">
        <v>2872.5608174999998</v>
      </c>
      <c r="D18" s="8">
        <v>2729.8892312999997</v>
      </c>
      <c r="E18" s="8">
        <v>2598.07613505</v>
      </c>
      <c r="F18" s="8">
        <v>2531.10463815</v>
      </c>
      <c r="G18" s="8">
        <v>2474.6370230999996</v>
      </c>
      <c r="H18" s="8">
        <v>2426.0861773499996</v>
      </c>
      <c r="I18" s="8">
        <v>2504.5084317</v>
      </c>
      <c r="J18" s="8">
        <v>2799.60553125</v>
      </c>
      <c r="K18" s="8">
        <v>3187.7331452999997</v>
      </c>
      <c r="L18" s="8">
        <v>3727.4736988499994</v>
      </c>
      <c r="M18" s="8">
        <v>4163.4889692</v>
      </c>
      <c r="N18" s="8">
        <v>4410.30985395</v>
      </c>
      <c r="O18" s="8">
        <v>4495.33004415</v>
      </c>
      <c r="P18" s="8">
        <v>4515.845134349999</v>
      </c>
      <c r="Q18" s="8">
        <v>4484.6518761</v>
      </c>
      <c r="R18" s="8">
        <v>4462.93489785</v>
      </c>
      <c r="S18" s="8">
        <v>4357.3513302</v>
      </c>
      <c r="T18" s="8">
        <v>4251.6281841</v>
      </c>
      <c r="U18" s="8">
        <v>4192.443684</v>
      </c>
      <c r="V18" s="8">
        <v>3983.5528177499996</v>
      </c>
      <c r="W18" s="8">
        <v>3645.41031855</v>
      </c>
      <c r="X18" s="8">
        <v>3257.08578525</v>
      </c>
      <c r="Y18" s="8">
        <v>2907.7279275</v>
      </c>
      <c r="Z18" s="8">
        <v>2654.88628515</v>
      </c>
      <c r="AA18" s="9">
        <f t="shared" si="1"/>
        <v>83634.32194</v>
      </c>
      <c r="AB18" s="9">
        <v>7.0</v>
      </c>
      <c r="AC18" s="9">
        <f t="shared" si="2"/>
        <v>585440.2536</v>
      </c>
      <c r="AD18" s="12"/>
    </row>
    <row r="19" ht="14.25" customHeight="1">
      <c r="A19" s="7">
        <v>47209.0</v>
      </c>
      <c r="B19" s="8" t="s">
        <v>34</v>
      </c>
      <c r="C19" s="8">
        <v>2952.5470425</v>
      </c>
      <c r="D19" s="8">
        <v>2831.7287229</v>
      </c>
      <c r="E19" s="8">
        <v>2764.14973065</v>
      </c>
      <c r="F19" s="8">
        <v>2736.5248911</v>
      </c>
      <c r="G19" s="8">
        <v>2778.7230091499996</v>
      </c>
      <c r="H19" s="8">
        <v>2957.0519797499996</v>
      </c>
      <c r="I19" s="8">
        <v>3578.05917975</v>
      </c>
      <c r="J19" s="8">
        <v>4489.69873605</v>
      </c>
      <c r="K19" s="8">
        <v>5252.400057299999</v>
      </c>
      <c r="L19" s="8">
        <v>5767.4718287999995</v>
      </c>
      <c r="M19" s="8">
        <v>6186.5188935</v>
      </c>
      <c r="N19" s="8">
        <v>6438.71689395</v>
      </c>
      <c r="O19" s="8">
        <v>6354.0224352</v>
      </c>
      <c r="P19" s="8">
        <v>6375.73365165</v>
      </c>
      <c r="Q19" s="8">
        <v>6544.665768299999</v>
      </c>
      <c r="R19" s="8">
        <v>6547.4282659499995</v>
      </c>
      <c r="S19" s="8">
        <v>6362.874553199999</v>
      </c>
      <c r="T19" s="8">
        <v>5938.140347699999</v>
      </c>
      <c r="U19" s="8">
        <v>5625.2741259</v>
      </c>
      <c r="V19" s="8">
        <v>5269.80757875</v>
      </c>
      <c r="W19" s="8">
        <v>4799.87283435</v>
      </c>
      <c r="X19" s="8">
        <v>4265.6273715</v>
      </c>
      <c r="Y19" s="8">
        <v>3696.7056918000003</v>
      </c>
      <c r="Z19" s="8">
        <v>3308.3703905999996</v>
      </c>
      <c r="AA19" s="9">
        <f t="shared" si="1"/>
        <v>113822.114</v>
      </c>
      <c r="AB19" s="9">
        <v>21.0</v>
      </c>
      <c r="AC19" s="9">
        <f t="shared" si="2"/>
        <v>2390264.394</v>
      </c>
      <c r="AD19" s="10">
        <f>SUM(AC19:AC21)</f>
        <v>3225837.434</v>
      </c>
    </row>
    <row r="20" ht="14.25" customHeight="1">
      <c r="A20" s="7">
        <v>47209.0</v>
      </c>
      <c r="B20" s="8" t="s">
        <v>35</v>
      </c>
      <c r="C20" s="8">
        <v>3208.295013</v>
      </c>
      <c r="D20" s="8">
        <v>3040.8062883</v>
      </c>
      <c r="E20" s="8">
        <v>2947.4158856999998</v>
      </c>
      <c r="F20" s="8">
        <v>2875.01891655</v>
      </c>
      <c r="G20" s="8">
        <v>2888.8908015</v>
      </c>
      <c r="H20" s="8">
        <v>2900.6773025999996</v>
      </c>
      <c r="I20" s="8">
        <v>3322.8901002</v>
      </c>
      <c r="J20" s="8">
        <v>4079.8502348999996</v>
      </c>
      <c r="K20" s="8">
        <v>4798.94146215</v>
      </c>
      <c r="L20" s="8">
        <v>5360.551397849999</v>
      </c>
      <c r="M20" s="8">
        <v>5711.0107989</v>
      </c>
      <c r="N20" s="8">
        <v>5871.8434929</v>
      </c>
      <c r="O20" s="8">
        <v>5707.1116409999995</v>
      </c>
      <c r="P20" s="8">
        <v>5526.23616105</v>
      </c>
      <c r="Q20" s="8">
        <v>5402.085572399999</v>
      </c>
      <c r="R20" s="8">
        <v>5371.97876655</v>
      </c>
      <c r="S20" s="8">
        <v>5307.45329565</v>
      </c>
      <c r="T20" s="8">
        <v>5207.16391965</v>
      </c>
      <c r="U20" s="8">
        <v>5086.376054099999</v>
      </c>
      <c r="V20" s="8">
        <v>4820.09182545</v>
      </c>
      <c r="W20" s="8">
        <v>4409.7968079</v>
      </c>
      <c r="X20" s="8">
        <v>3948.45738375</v>
      </c>
      <c r="Y20" s="8">
        <v>3455.5972571999996</v>
      </c>
      <c r="Z20" s="8">
        <v>3101.81738625</v>
      </c>
      <c r="AA20" s="9">
        <f t="shared" si="1"/>
        <v>104350.3578</v>
      </c>
      <c r="AB20" s="9">
        <v>4.0</v>
      </c>
      <c r="AC20" s="9">
        <f t="shared" si="2"/>
        <v>417401.4311</v>
      </c>
      <c r="AD20" s="11"/>
    </row>
    <row r="21" ht="14.25" customHeight="1">
      <c r="A21" s="7">
        <v>47209.0</v>
      </c>
      <c r="B21" s="8" t="s">
        <v>36</v>
      </c>
      <c r="C21" s="8">
        <v>2872.5608174999998</v>
      </c>
      <c r="D21" s="8">
        <v>2729.8892312999997</v>
      </c>
      <c r="E21" s="8">
        <v>2598.07613505</v>
      </c>
      <c r="F21" s="8">
        <v>2531.10463815</v>
      </c>
      <c r="G21" s="8">
        <v>2474.6370230999996</v>
      </c>
      <c r="H21" s="8">
        <v>2426.0861773499996</v>
      </c>
      <c r="I21" s="8">
        <v>2504.5084317</v>
      </c>
      <c r="J21" s="8">
        <v>2799.60553125</v>
      </c>
      <c r="K21" s="8">
        <v>3187.7331452999997</v>
      </c>
      <c r="L21" s="8">
        <v>3727.4736988499994</v>
      </c>
      <c r="M21" s="8">
        <v>4163.4889692</v>
      </c>
      <c r="N21" s="8">
        <v>4410.30985395</v>
      </c>
      <c r="O21" s="8">
        <v>4495.33004415</v>
      </c>
      <c r="P21" s="8">
        <v>4515.845134349999</v>
      </c>
      <c r="Q21" s="8">
        <v>4484.6518761</v>
      </c>
      <c r="R21" s="8">
        <v>4462.93489785</v>
      </c>
      <c r="S21" s="8">
        <v>4357.3513302</v>
      </c>
      <c r="T21" s="8">
        <v>4251.6281841</v>
      </c>
      <c r="U21" s="8">
        <v>4192.443684</v>
      </c>
      <c r="V21" s="8">
        <v>3983.5528177499996</v>
      </c>
      <c r="W21" s="8">
        <v>3645.41031855</v>
      </c>
      <c r="X21" s="8">
        <v>3257.08578525</v>
      </c>
      <c r="Y21" s="8">
        <v>2907.7279275</v>
      </c>
      <c r="Z21" s="8">
        <v>2654.88628515</v>
      </c>
      <c r="AA21" s="9">
        <f t="shared" si="1"/>
        <v>83634.32194</v>
      </c>
      <c r="AB21" s="9">
        <v>5.0</v>
      </c>
      <c r="AC21" s="9">
        <f t="shared" si="2"/>
        <v>418171.6097</v>
      </c>
      <c r="AD21" s="12"/>
    </row>
    <row r="22" ht="14.25" customHeight="1">
      <c r="A22" s="7">
        <v>47239.0</v>
      </c>
      <c r="B22" s="8" t="s">
        <v>34</v>
      </c>
      <c r="C22" s="8">
        <v>2952.5470425</v>
      </c>
      <c r="D22" s="8">
        <v>2831.7287229</v>
      </c>
      <c r="E22" s="8">
        <v>2764.14973065</v>
      </c>
      <c r="F22" s="8">
        <v>2736.5248911</v>
      </c>
      <c r="G22" s="8">
        <v>2778.7230091499996</v>
      </c>
      <c r="H22" s="8">
        <v>2957.0519797499996</v>
      </c>
      <c r="I22" s="8">
        <v>3578.05917975</v>
      </c>
      <c r="J22" s="8">
        <v>4489.69873605</v>
      </c>
      <c r="K22" s="8">
        <v>5252.400057299999</v>
      </c>
      <c r="L22" s="8">
        <v>5767.4718287999995</v>
      </c>
      <c r="M22" s="8">
        <v>6186.5188935</v>
      </c>
      <c r="N22" s="8">
        <v>6438.71689395</v>
      </c>
      <c r="O22" s="8">
        <v>6354.0224352</v>
      </c>
      <c r="P22" s="8">
        <v>6375.73365165</v>
      </c>
      <c r="Q22" s="8">
        <v>6544.665768299999</v>
      </c>
      <c r="R22" s="8">
        <v>6547.4282659499995</v>
      </c>
      <c r="S22" s="8">
        <v>6362.874553199999</v>
      </c>
      <c r="T22" s="8">
        <v>5938.140347699999</v>
      </c>
      <c r="U22" s="8">
        <v>5625.2741259</v>
      </c>
      <c r="V22" s="8">
        <v>5269.80757875</v>
      </c>
      <c r="W22" s="8">
        <v>4799.87283435</v>
      </c>
      <c r="X22" s="8">
        <v>4265.6273715</v>
      </c>
      <c r="Y22" s="8">
        <v>3696.7056918000003</v>
      </c>
      <c r="Z22" s="8">
        <v>3308.3703905999996</v>
      </c>
      <c r="AA22" s="9">
        <f t="shared" si="1"/>
        <v>113822.114</v>
      </c>
      <c r="AB22" s="9">
        <v>21.0</v>
      </c>
      <c r="AC22" s="9">
        <f t="shared" si="2"/>
        <v>2390264.394</v>
      </c>
      <c r="AD22" s="10">
        <f>SUM(AC22:AC24)</f>
        <v>3309471.756</v>
      </c>
    </row>
    <row r="23" ht="14.25" customHeight="1">
      <c r="A23" s="7">
        <v>47239.0</v>
      </c>
      <c r="B23" s="8" t="s">
        <v>35</v>
      </c>
      <c r="C23" s="8">
        <v>3208.295013</v>
      </c>
      <c r="D23" s="8">
        <v>3040.8062883</v>
      </c>
      <c r="E23" s="8">
        <v>2947.4158856999998</v>
      </c>
      <c r="F23" s="8">
        <v>2875.01891655</v>
      </c>
      <c r="G23" s="8">
        <v>2888.8908015</v>
      </c>
      <c r="H23" s="8">
        <v>2900.6773025999996</v>
      </c>
      <c r="I23" s="8">
        <v>3322.8901002</v>
      </c>
      <c r="J23" s="8">
        <v>4079.8502348999996</v>
      </c>
      <c r="K23" s="8">
        <v>4798.94146215</v>
      </c>
      <c r="L23" s="8">
        <v>5360.551397849999</v>
      </c>
      <c r="M23" s="8">
        <v>5711.0107989</v>
      </c>
      <c r="N23" s="8">
        <v>5871.8434929</v>
      </c>
      <c r="O23" s="8">
        <v>5707.1116409999995</v>
      </c>
      <c r="P23" s="8">
        <v>5526.23616105</v>
      </c>
      <c r="Q23" s="8">
        <v>5402.085572399999</v>
      </c>
      <c r="R23" s="8">
        <v>5371.97876655</v>
      </c>
      <c r="S23" s="8">
        <v>5307.45329565</v>
      </c>
      <c r="T23" s="8">
        <v>5207.16391965</v>
      </c>
      <c r="U23" s="8">
        <v>5086.376054099999</v>
      </c>
      <c r="V23" s="8">
        <v>4820.09182545</v>
      </c>
      <c r="W23" s="8">
        <v>4409.7968079</v>
      </c>
      <c r="X23" s="8">
        <v>3948.45738375</v>
      </c>
      <c r="Y23" s="8">
        <v>3455.5972571999996</v>
      </c>
      <c r="Z23" s="8">
        <v>3101.81738625</v>
      </c>
      <c r="AA23" s="9">
        <f t="shared" si="1"/>
        <v>104350.3578</v>
      </c>
      <c r="AB23" s="9">
        <v>4.0</v>
      </c>
      <c r="AC23" s="9">
        <f t="shared" si="2"/>
        <v>417401.4311</v>
      </c>
      <c r="AD23" s="11"/>
    </row>
    <row r="24" ht="14.25" customHeight="1">
      <c r="A24" s="7">
        <v>47239.0</v>
      </c>
      <c r="B24" s="8" t="s">
        <v>36</v>
      </c>
      <c r="C24" s="8">
        <v>2872.5608174999998</v>
      </c>
      <c r="D24" s="8">
        <v>2729.8892312999997</v>
      </c>
      <c r="E24" s="8">
        <v>2598.07613505</v>
      </c>
      <c r="F24" s="8">
        <v>2531.10463815</v>
      </c>
      <c r="G24" s="8">
        <v>2474.6370230999996</v>
      </c>
      <c r="H24" s="8">
        <v>2426.0861773499996</v>
      </c>
      <c r="I24" s="8">
        <v>2504.5084317</v>
      </c>
      <c r="J24" s="8">
        <v>2799.60553125</v>
      </c>
      <c r="K24" s="8">
        <v>3187.7331452999997</v>
      </c>
      <c r="L24" s="8">
        <v>3727.4736988499994</v>
      </c>
      <c r="M24" s="8">
        <v>4163.4889692</v>
      </c>
      <c r="N24" s="8">
        <v>4410.30985395</v>
      </c>
      <c r="O24" s="8">
        <v>4495.33004415</v>
      </c>
      <c r="P24" s="8">
        <v>4515.845134349999</v>
      </c>
      <c r="Q24" s="8">
        <v>4484.6518761</v>
      </c>
      <c r="R24" s="8">
        <v>4462.93489785</v>
      </c>
      <c r="S24" s="8">
        <v>4357.3513302</v>
      </c>
      <c r="T24" s="8">
        <v>4251.6281841</v>
      </c>
      <c r="U24" s="8">
        <v>4192.443684</v>
      </c>
      <c r="V24" s="8">
        <v>3983.5528177499996</v>
      </c>
      <c r="W24" s="8">
        <v>3645.41031855</v>
      </c>
      <c r="X24" s="8">
        <v>3257.08578525</v>
      </c>
      <c r="Y24" s="8">
        <v>2907.7279275</v>
      </c>
      <c r="Z24" s="8">
        <v>2654.88628515</v>
      </c>
      <c r="AA24" s="9">
        <f t="shared" si="1"/>
        <v>83634.32194</v>
      </c>
      <c r="AB24" s="9">
        <v>6.0</v>
      </c>
      <c r="AC24" s="9">
        <f t="shared" si="2"/>
        <v>501805.9316</v>
      </c>
      <c r="AD24" s="12"/>
    </row>
    <row r="25" ht="14.25" customHeight="1">
      <c r="A25" s="7">
        <v>47270.0</v>
      </c>
      <c r="B25" s="8" t="s">
        <v>34</v>
      </c>
      <c r="C25" s="8">
        <v>2952.5470425</v>
      </c>
      <c r="D25" s="8">
        <v>2831.7287229</v>
      </c>
      <c r="E25" s="8">
        <v>2764.14973065</v>
      </c>
      <c r="F25" s="8">
        <v>2736.5248911</v>
      </c>
      <c r="G25" s="8">
        <v>2778.7230091499996</v>
      </c>
      <c r="H25" s="8">
        <v>2957.0519797499996</v>
      </c>
      <c r="I25" s="8">
        <v>3578.05917975</v>
      </c>
      <c r="J25" s="8">
        <v>4489.69873605</v>
      </c>
      <c r="K25" s="8">
        <v>5252.400057299999</v>
      </c>
      <c r="L25" s="8">
        <v>5767.4718287999995</v>
      </c>
      <c r="M25" s="8">
        <v>6186.5188935</v>
      </c>
      <c r="N25" s="8">
        <v>6438.71689395</v>
      </c>
      <c r="O25" s="8">
        <v>6354.0224352</v>
      </c>
      <c r="P25" s="8">
        <v>6375.73365165</v>
      </c>
      <c r="Q25" s="8">
        <v>6544.665768299999</v>
      </c>
      <c r="R25" s="8">
        <v>6547.4282659499995</v>
      </c>
      <c r="S25" s="8">
        <v>6362.874553199999</v>
      </c>
      <c r="T25" s="8">
        <v>5938.140347699999</v>
      </c>
      <c r="U25" s="8">
        <v>5625.2741259</v>
      </c>
      <c r="V25" s="8">
        <v>5269.80757875</v>
      </c>
      <c r="W25" s="8">
        <v>4799.87283435</v>
      </c>
      <c r="X25" s="8">
        <v>4265.6273715</v>
      </c>
      <c r="Y25" s="8">
        <v>3696.7056918000003</v>
      </c>
      <c r="Z25" s="8">
        <v>3308.3703905999996</v>
      </c>
      <c r="AA25" s="9">
        <f t="shared" si="1"/>
        <v>113822.114</v>
      </c>
      <c r="AB25" s="9">
        <v>19.0</v>
      </c>
      <c r="AC25" s="9">
        <f t="shared" si="2"/>
        <v>2162620.166</v>
      </c>
      <c r="AD25" s="10">
        <f>SUM(AC25:AC27)</f>
        <v>3186177.886</v>
      </c>
    </row>
    <row r="26" ht="14.25" customHeight="1">
      <c r="A26" s="7">
        <v>47270.0</v>
      </c>
      <c r="B26" s="8" t="s">
        <v>35</v>
      </c>
      <c r="C26" s="8">
        <v>3208.295013</v>
      </c>
      <c r="D26" s="8">
        <v>3040.8062883</v>
      </c>
      <c r="E26" s="8">
        <v>2947.4158856999998</v>
      </c>
      <c r="F26" s="8">
        <v>2875.01891655</v>
      </c>
      <c r="G26" s="8">
        <v>2888.8908015</v>
      </c>
      <c r="H26" s="8">
        <v>2900.6773025999996</v>
      </c>
      <c r="I26" s="8">
        <v>3322.8901002</v>
      </c>
      <c r="J26" s="8">
        <v>4079.8502348999996</v>
      </c>
      <c r="K26" s="8">
        <v>4798.94146215</v>
      </c>
      <c r="L26" s="8">
        <v>5360.551397849999</v>
      </c>
      <c r="M26" s="8">
        <v>5711.0107989</v>
      </c>
      <c r="N26" s="8">
        <v>5871.8434929</v>
      </c>
      <c r="O26" s="8">
        <v>5707.1116409999995</v>
      </c>
      <c r="P26" s="8">
        <v>5526.23616105</v>
      </c>
      <c r="Q26" s="8">
        <v>5402.085572399999</v>
      </c>
      <c r="R26" s="8">
        <v>5371.97876655</v>
      </c>
      <c r="S26" s="8">
        <v>5307.45329565</v>
      </c>
      <c r="T26" s="8">
        <v>5207.16391965</v>
      </c>
      <c r="U26" s="8">
        <v>5086.376054099999</v>
      </c>
      <c r="V26" s="8">
        <v>4820.09182545</v>
      </c>
      <c r="W26" s="8">
        <v>4409.7968079</v>
      </c>
      <c r="X26" s="8">
        <v>3948.45738375</v>
      </c>
      <c r="Y26" s="8">
        <v>3455.5972571999996</v>
      </c>
      <c r="Z26" s="8">
        <v>3101.81738625</v>
      </c>
      <c r="AA26" s="9">
        <f t="shared" si="1"/>
        <v>104350.3578</v>
      </c>
      <c r="AB26" s="9">
        <v>5.0</v>
      </c>
      <c r="AC26" s="9">
        <f t="shared" si="2"/>
        <v>521751.7888</v>
      </c>
      <c r="AD26" s="11"/>
    </row>
    <row r="27" ht="14.25" customHeight="1">
      <c r="A27" s="7">
        <v>47270.0</v>
      </c>
      <c r="B27" s="8" t="s">
        <v>36</v>
      </c>
      <c r="C27" s="8">
        <v>2872.5608174999998</v>
      </c>
      <c r="D27" s="8">
        <v>2729.8892312999997</v>
      </c>
      <c r="E27" s="8">
        <v>2598.07613505</v>
      </c>
      <c r="F27" s="8">
        <v>2531.10463815</v>
      </c>
      <c r="G27" s="8">
        <v>2474.6370230999996</v>
      </c>
      <c r="H27" s="8">
        <v>2426.0861773499996</v>
      </c>
      <c r="I27" s="8">
        <v>2504.5084317</v>
      </c>
      <c r="J27" s="8">
        <v>2799.60553125</v>
      </c>
      <c r="K27" s="8">
        <v>3187.7331452999997</v>
      </c>
      <c r="L27" s="8">
        <v>3727.4736988499994</v>
      </c>
      <c r="M27" s="8">
        <v>4163.4889692</v>
      </c>
      <c r="N27" s="8">
        <v>4410.30985395</v>
      </c>
      <c r="O27" s="8">
        <v>4495.33004415</v>
      </c>
      <c r="P27" s="8">
        <v>4515.845134349999</v>
      </c>
      <c r="Q27" s="8">
        <v>4484.6518761</v>
      </c>
      <c r="R27" s="8">
        <v>4462.93489785</v>
      </c>
      <c r="S27" s="8">
        <v>4357.3513302</v>
      </c>
      <c r="T27" s="8">
        <v>4251.6281841</v>
      </c>
      <c r="U27" s="8">
        <v>4192.443684</v>
      </c>
      <c r="V27" s="8">
        <v>3983.5528177499996</v>
      </c>
      <c r="W27" s="8">
        <v>3645.41031855</v>
      </c>
      <c r="X27" s="8">
        <v>3257.08578525</v>
      </c>
      <c r="Y27" s="8">
        <v>2907.7279275</v>
      </c>
      <c r="Z27" s="8">
        <v>2654.88628515</v>
      </c>
      <c r="AA27" s="9">
        <f t="shared" si="1"/>
        <v>83634.32194</v>
      </c>
      <c r="AB27" s="9">
        <v>6.0</v>
      </c>
      <c r="AC27" s="9">
        <f t="shared" si="2"/>
        <v>501805.9316</v>
      </c>
      <c r="AD27" s="12"/>
    </row>
    <row r="28" ht="14.25" customHeight="1">
      <c r="A28" s="7">
        <v>47300.0</v>
      </c>
      <c r="B28" s="8" t="s">
        <v>34</v>
      </c>
      <c r="C28" s="8">
        <v>2952.5470425</v>
      </c>
      <c r="D28" s="8">
        <v>2831.7287229</v>
      </c>
      <c r="E28" s="8">
        <v>2764.14973065</v>
      </c>
      <c r="F28" s="8">
        <v>2736.5248911</v>
      </c>
      <c r="G28" s="8">
        <v>2778.7230091499996</v>
      </c>
      <c r="H28" s="8">
        <v>2957.0519797499996</v>
      </c>
      <c r="I28" s="8">
        <v>3578.05917975</v>
      </c>
      <c r="J28" s="8">
        <v>4489.69873605</v>
      </c>
      <c r="K28" s="8">
        <v>5252.400057299999</v>
      </c>
      <c r="L28" s="8">
        <v>5767.4718287999995</v>
      </c>
      <c r="M28" s="8">
        <v>6186.5188935</v>
      </c>
      <c r="N28" s="8">
        <v>6438.71689395</v>
      </c>
      <c r="O28" s="8">
        <v>6354.0224352</v>
      </c>
      <c r="P28" s="8">
        <v>6375.73365165</v>
      </c>
      <c r="Q28" s="8">
        <v>6544.665768299999</v>
      </c>
      <c r="R28" s="8">
        <v>6547.4282659499995</v>
      </c>
      <c r="S28" s="8">
        <v>6362.874553199999</v>
      </c>
      <c r="T28" s="8">
        <v>5938.140347699999</v>
      </c>
      <c r="U28" s="8">
        <v>5625.2741259</v>
      </c>
      <c r="V28" s="8">
        <v>5269.80757875</v>
      </c>
      <c r="W28" s="8">
        <v>4799.87283435</v>
      </c>
      <c r="X28" s="8">
        <v>4265.6273715</v>
      </c>
      <c r="Y28" s="8">
        <v>3696.7056918000003</v>
      </c>
      <c r="Z28" s="8">
        <v>3308.3703905999996</v>
      </c>
      <c r="AA28" s="9">
        <f t="shared" si="1"/>
        <v>113822.114</v>
      </c>
      <c r="AB28" s="9">
        <v>20.0</v>
      </c>
      <c r="AC28" s="9">
        <f t="shared" si="2"/>
        <v>2276442.28</v>
      </c>
      <c r="AD28" s="10">
        <f>SUM(AC28:AC30)</f>
        <v>3279283.964</v>
      </c>
    </row>
    <row r="29" ht="14.25" customHeight="1">
      <c r="A29" s="7">
        <v>47300.0</v>
      </c>
      <c r="B29" s="8" t="s">
        <v>35</v>
      </c>
      <c r="C29" s="8">
        <v>3208.295013</v>
      </c>
      <c r="D29" s="8">
        <v>3040.8062883</v>
      </c>
      <c r="E29" s="8">
        <v>2947.4158856999998</v>
      </c>
      <c r="F29" s="8">
        <v>2875.01891655</v>
      </c>
      <c r="G29" s="8">
        <v>2888.8908015</v>
      </c>
      <c r="H29" s="8">
        <v>2900.6773025999996</v>
      </c>
      <c r="I29" s="8">
        <v>3322.8901002</v>
      </c>
      <c r="J29" s="8">
        <v>4079.8502348999996</v>
      </c>
      <c r="K29" s="8">
        <v>4798.94146215</v>
      </c>
      <c r="L29" s="8">
        <v>5360.551397849999</v>
      </c>
      <c r="M29" s="8">
        <v>5711.0107989</v>
      </c>
      <c r="N29" s="8">
        <v>5871.8434929</v>
      </c>
      <c r="O29" s="8">
        <v>5707.1116409999995</v>
      </c>
      <c r="P29" s="8">
        <v>5526.23616105</v>
      </c>
      <c r="Q29" s="8">
        <v>5402.085572399999</v>
      </c>
      <c r="R29" s="8">
        <v>5371.97876655</v>
      </c>
      <c r="S29" s="8">
        <v>5307.45329565</v>
      </c>
      <c r="T29" s="8">
        <v>5207.16391965</v>
      </c>
      <c r="U29" s="8">
        <v>5086.376054099999</v>
      </c>
      <c r="V29" s="8">
        <v>4820.09182545</v>
      </c>
      <c r="W29" s="8">
        <v>4409.7968079</v>
      </c>
      <c r="X29" s="8">
        <v>3948.45738375</v>
      </c>
      <c r="Y29" s="8">
        <v>3455.5972571999996</v>
      </c>
      <c r="Z29" s="8">
        <v>3101.81738625</v>
      </c>
      <c r="AA29" s="9">
        <f t="shared" si="1"/>
        <v>104350.3578</v>
      </c>
      <c r="AB29" s="9">
        <v>4.0</v>
      </c>
      <c r="AC29" s="9">
        <f t="shared" si="2"/>
        <v>417401.4311</v>
      </c>
      <c r="AD29" s="11"/>
    </row>
    <row r="30" ht="14.25" customHeight="1">
      <c r="A30" s="7">
        <v>47300.0</v>
      </c>
      <c r="B30" s="8" t="s">
        <v>36</v>
      </c>
      <c r="C30" s="8">
        <v>2872.5608174999998</v>
      </c>
      <c r="D30" s="8">
        <v>2729.8892312999997</v>
      </c>
      <c r="E30" s="8">
        <v>2598.07613505</v>
      </c>
      <c r="F30" s="8">
        <v>2531.10463815</v>
      </c>
      <c r="G30" s="8">
        <v>2474.6370230999996</v>
      </c>
      <c r="H30" s="8">
        <v>2426.0861773499996</v>
      </c>
      <c r="I30" s="8">
        <v>2504.5084317</v>
      </c>
      <c r="J30" s="8">
        <v>2799.60553125</v>
      </c>
      <c r="K30" s="8">
        <v>3187.7331452999997</v>
      </c>
      <c r="L30" s="8">
        <v>3727.4736988499994</v>
      </c>
      <c r="M30" s="8">
        <v>4163.4889692</v>
      </c>
      <c r="N30" s="8">
        <v>4410.30985395</v>
      </c>
      <c r="O30" s="8">
        <v>4495.33004415</v>
      </c>
      <c r="P30" s="8">
        <v>4515.845134349999</v>
      </c>
      <c r="Q30" s="8">
        <v>4484.6518761</v>
      </c>
      <c r="R30" s="8">
        <v>4462.93489785</v>
      </c>
      <c r="S30" s="8">
        <v>4357.3513302</v>
      </c>
      <c r="T30" s="8">
        <v>4251.6281841</v>
      </c>
      <c r="U30" s="8">
        <v>4192.443684</v>
      </c>
      <c r="V30" s="8">
        <v>3983.5528177499996</v>
      </c>
      <c r="W30" s="8">
        <v>3645.41031855</v>
      </c>
      <c r="X30" s="8">
        <v>3257.08578525</v>
      </c>
      <c r="Y30" s="8">
        <v>2907.7279275</v>
      </c>
      <c r="Z30" s="8">
        <v>2654.88628515</v>
      </c>
      <c r="AA30" s="9">
        <f t="shared" si="1"/>
        <v>83634.32194</v>
      </c>
      <c r="AB30" s="9">
        <v>7.0</v>
      </c>
      <c r="AC30" s="9">
        <f t="shared" si="2"/>
        <v>585440.2536</v>
      </c>
      <c r="AD30" s="12"/>
    </row>
    <row r="31" ht="14.25" customHeight="1">
      <c r="A31" s="7">
        <v>47331.0</v>
      </c>
      <c r="B31" s="8" t="s">
        <v>34</v>
      </c>
      <c r="C31" s="8">
        <v>2952.5470425</v>
      </c>
      <c r="D31" s="8">
        <v>2831.7287229</v>
      </c>
      <c r="E31" s="8">
        <v>2764.14973065</v>
      </c>
      <c r="F31" s="8">
        <v>2736.5248911</v>
      </c>
      <c r="G31" s="8">
        <v>2778.7230091499996</v>
      </c>
      <c r="H31" s="8">
        <v>2957.0519797499996</v>
      </c>
      <c r="I31" s="8">
        <v>3578.05917975</v>
      </c>
      <c r="J31" s="8">
        <v>4489.69873605</v>
      </c>
      <c r="K31" s="8">
        <v>5252.400057299999</v>
      </c>
      <c r="L31" s="8">
        <v>5767.4718287999995</v>
      </c>
      <c r="M31" s="8">
        <v>6186.5188935</v>
      </c>
      <c r="N31" s="8">
        <v>6438.71689395</v>
      </c>
      <c r="O31" s="8">
        <v>6354.0224352</v>
      </c>
      <c r="P31" s="8">
        <v>6375.73365165</v>
      </c>
      <c r="Q31" s="8">
        <v>6544.665768299999</v>
      </c>
      <c r="R31" s="8">
        <v>6547.4282659499995</v>
      </c>
      <c r="S31" s="8">
        <v>6362.874553199999</v>
      </c>
      <c r="T31" s="8">
        <v>5938.140347699999</v>
      </c>
      <c r="U31" s="8">
        <v>5625.2741259</v>
      </c>
      <c r="V31" s="8">
        <v>5269.80757875</v>
      </c>
      <c r="W31" s="8">
        <v>4799.87283435</v>
      </c>
      <c r="X31" s="8">
        <v>4265.6273715</v>
      </c>
      <c r="Y31" s="8">
        <v>3696.7056918000003</v>
      </c>
      <c r="Z31" s="8">
        <v>3308.3703905999996</v>
      </c>
      <c r="AA31" s="9">
        <f t="shared" si="1"/>
        <v>113822.114</v>
      </c>
      <c r="AB31" s="9">
        <v>21.0</v>
      </c>
      <c r="AC31" s="9">
        <f t="shared" si="2"/>
        <v>2390264.394</v>
      </c>
      <c r="AD31" s="10">
        <f>SUM(AC31:AC33)</f>
        <v>3309471.756</v>
      </c>
    </row>
    <row r="32" ht="14.25" customHeight="1">
      <c r="A32" s="7">
        <v>47331.0</v>
      </c>
      <c r="B32" s="8" t="s">
        <v>35</v>
      </c>
      <c r="C32" s="8">
        <v>3208.295013</v>
      </c>
      <c r="D32" s="8">
        <v>3040.8062883</v>
      </c>
      <c r="E32" s="8">
        <v>2947.4158856999998</v>
      </c>
      <c r="F32" s="8">
        <v>2875.01891655</v>
      </c>
      <c r="G32" s="8">
        <v>2888.8908015</v>
      </c>
      <c r="H32" s="8">
        <v>2900.6773025999996</v>
      </c>
      <c r="I32" s="8">
        <v>3322.8901002</v>
      </c>
      <c r="J32" s="8">
        <v>4079.8502348999996</v>
      </c>
      <c r="K32" s="8">
        <v>4798.94146215</v>
      </c>
      <c r="L32" s="8">
        <v>5360.551397849999</v>
      </c>
      <c r="M32" s="8">
        <v>5711.0107989</v>
      </c>
      <c r="N32" s="8">
        <v>5871.8434929</v>
      </c>
      <c r="O32" s="8">
        <v>5707.1116409999995</v>
      </c>
      <c r="P32" s="8">
        <v>5526.23616105</v>
      </c>
      <c r="Q32" s="8">
        <v>5402.085572399999</v>
      </c>
      <c r="R32" s="8">
        <v>5371.97876655</v>
      </c>
      <c r="S32" s="8">
        <v>5307.45329565</v>
      </c>
      <c r="T32" s="8">
        <v>5207.16391965</v>
      </c>
      <c r="U32" s="8">
        <v>5086.376054099999</v>
      </c>
      <c r="V32" s="8">
        <v>4820.09182545</v>
      </c>
      <c r="W32" s="8">
        <v>4409.7968079</v>
      </c>
      <c r="X32" s="8">
        <v>3948.45738375</v>
      </c>
      <c r="Y32" s="8">
        <v>3455.5972571999996</v>
      </c>
      <c r="Z32" s="8">
        <v>3101.81738625</v>
      </c>
      <c r="AA32" s="9">
        <f t="shared" si="1"/>
        <v>104350.3578</v>
      </c>
      <c r="AB32" s="9">
        <v>4.0</v>
      </c>
      <c r="AC32" s="9">
        <f t="shared" si="2"/>
        <v>417401.4311</v>
      </c>
      <c r="AD32" s="11"/>
    </row>
    <row r="33" ht="14.25" customHeight="1">
      <c r="A33" s="7">
        <v>47331.0</v>
      </c>
      <c r="B33" s="8" t="s">
        <v>36</v>
      </c>
      <c r="C33" s="8">
        <v>2872.5608174999998</v>
      </c>
      <c r="D33" s="8">
        <v>2729.8892312999997</v>
      </c>
      <c r="E33" s="8">
        <v>2598.07613505</v>
      </c>
      <c r="F33" s="8">
        <v>2531.10463815</v>
      </c>
      <c r="G33" s="8">
        <v>2474.6370230999996</v>
      </c>
      <c r="H33" s="8">
        <v>2426.0861773499996</v>
      </c>
      <c r="I33" s="8">
        <v>2504.5084317</v>
      </c>
      <c r="J33" s="8">
        <v>2799.60553125</v>
      </c>
      <c r="K33" s="8">
        <v>3187.7331452999997</v>
      </c>
      <c r="L33" s="8">
        <v>3727.4736988499994</v>
      </c>
      <c r="M33" s="8">
        <v>4163.4889692</v>
      </c>
      <c r="N33" s="8">
        <v>4410.30985395</v>
      </c>
      <c r="O33" s="8">
        <v>4495.33004415</v>
      </c>
      <c r="P33" s="8">
        <v>4515.845134349999</v>
      </c>
      <c r="Q33" s="8">
        <v>4484.6518761</v>
      </c>
      <c r="R33" s="8">
        <v>4462.93489785</v>
      </c>
      <c r="S33" s="8">
        <v>4357.3513302</v>
      </c>
      <c r="T33" s="8">
        <v>4251.6281841</v>
      </c>
      <c r="U33" s="8">
        <v>4192.443684</v>
      </c>
      <c r="V33" s="8">
        <v>3983.5528177499996</v>
      </c>
      <c r="W33" s="8">
        <v>3645.41031855</v>
      </c>
      <c r="X33" s="8">
        <v>3257.08578525</v>
      </c>
      <c r="Y33" s="8">
        <v>2907.7279275</v>
      </c>
      <c r="Z33" s="8">
        <v>2654.88628515</v>
      </c>
      <c r="AA33" s="9">
        <f t="shared" si="1"/>
        <v>83634.32194</v>
      </c>
      <c r="AB33" s="9">
        <v>6.0</v>
      </c>
      <c r="AC33" s="9">
        <f t="shared" si="2"/>
        <v>501805.9316</v>
      </c>
      <c r="AD33" s="12"/>
    </row>
    <row r="34" ht="14.25" customHeight="1">
      <c r="A34" s="7">
        <v>47362.0</v>
      </c>
      <c r="B34" s="8" t="s">
        <v>34</v>
      </c>
      <c r="C34" s="8">
        <v>2952.5470425</v>
      </c>
      <c r="D34" s="8">
        <v>2831.7287229</v>
      </c>
      <c r="E34" s="8">
        <v>2764.14973065</v>
      </c>
      <c r="F34" s="8">
        <v>2736.5248911</v>
      </c>
      <c r="G34" s="8">
        <v>2778.7230091499996</v>
      </c>
      <c r="H34" s="8">
        <v>2957.0519797499996</v>
      </c>
      <c r="I34" s="8">
        <v>3578.05917975</v>
      </c>
      <c r="J34" s="8">
        <v>4489.69873605</v>
      </c>
      <c r="K34" s="8">
        <v>5252.400057299999</v>
      </c>
      <c r="L34" s="8">
        <v>5767.4718287999995</v>
      </c>
      <c r="M34" s="8">
        <v>6186.5188935</v>
      </c>
      <c r="N34" s="8">
        <v>6438.71689395</v>
      </c>
      <c r="O34" s="8">
        <v>6354.0224352</v>
      </c>
      <c r="P34" s="8">
        <v>6375.73365165</v>
      </c>
      <c r="Q34" s="8">
        <v>6544.665768299999</v>
      </c>
      <c r="R34" s="8">
        <v>6547.4282659499995</v>
      </c>
      <c r="S34" s="8">
        <v>6362.874553199999</v>
      </c>
      <c r="T34" s="8">
        <v>5938.140347699999</v>
      </c>
      <c r="U34" s="8">
        <v>5625.2741259</v>
      </c>
      <c r="V34" s="8">
        <v>5269.80757875</v>
      </c>
      <c r="W34" s="8">
        <v>4799.87283435</v>
      </c>
      <c r="X34" s="8">
        <v>4265.6273715</v>
      </c>
      <c r="Y34" s="8">
        <v>3696.7056918000003</v>
      </c>
      <c r="Z34" s="8">
        <v>3308.3703905999996</v>
      </c>
      <c r="AA34" s="9">
        <f t="shared" si="1"/>
        <v>113822.114</v>
      </c>
      <c r="AB34" s="9">
        <v>20.0</v>
      </c>
      <c r="AC34" s="9">
        <f t="shared" si="2"/>
        <v>2276442.28</v>
      </c>
      <c r="AD34" s="10">
        <f>SUM(AC34:AC36)</f>
        <v>3216365.678</v>
      </c>
    </row>
    <row r="35" ht="14.25" customHeight="1">
      <c r="A35" s="7">
        <v>47362.0</v>
      </c>
      <c r="B35" s="8" t="s">
        <v>35</v>
      </c>
      <c r="C35" s="8">
        <v>3208.295013</v>
      </c>
      <c r="D35" s="8">
        <v>3040.8062883</v>
      </c>
      <c r="E35" s="8">
        <v>2947.4158856999998</v>
      </c>
      <c r="F35" s="8">
        <v>2875.01891655</v>
      </c>
      <c r="G35" s="8">
        <v>2888.8908015</v>
      </c>
      <c r="H35" s="8">
        <v>2900.6773025999996</v>
      </c>
      <c r="I35" s="8">
        <v>3322.8901002</v>
      </c>
      <c r="J35" s="8">
        <v>4079.8502348999996</v>
      </c>
      <c r="K35" s="8">
        <v>4798.94146215</v>
      </c>
      <c r="L35" s="8">
        <v>5360.551397849999</v>
      </c>
      <c r="M35" s="8">
        <v>5711.0107989</v>
      </c>
      <c r="N35" s="8">
        <v>5871.8434929</v>
      </c>
      <c r="O35" s="8">
        <v>5707.1116409999995</v>
      </c>
      <c r="P35" s="8">
        <v>5526.23616105</v>
      </c>
      <c r="Q35" s="8">
        <v>5402.085572399999</v>
      </c>
      <c r="R35" s="8">
        <v>5371.97876655</v>
      </c>
      <c r="S35" s="8">
        <v>5307.45329565</v>
      </c>
      <c r="T35" s="8">
        <v>5207.16391965</v>
      </c>
      <c r="U35" s="8">
        <v>5086.376054099999</v>
      </c>
      <c r="V35" s="8">
        <v>4820.09182545</v>
      </c>
      <c r="W35" s="8">
        <v>4409.7968079</v>
      </c>
      <c r="X35" s="8">
        <v>3948.45738375</v>
      </c>
      <c r="Y35" s="8">
        <v>3455.5972571999996</v>
      </c>
      <c r="Z35" s="8">
        <v>3101.81738625</v>
      </c>
      <c r="AA35" s="9">
        <f t="shared" si="1"/>
        <v>104350.3578</v>
      </c>
      <c r="AB35" s="9">
        <v>5.0</v>
      </c>
      <c r="AC35" s="9">
        <f t="shared" si="2"/>
        <v>521751.7888</v>
      </c>
      <c r="AD35" s="11"/>
    </row>
    <row r="36" ht="14.25" customHeight="1">
      <c r="A36" s="7">
        <v>47362.0</v>
      </c>
      <c r="B36" s="8" t="s">
        <v>36</v>
      </c>
      <c r="C36" s="8">
        <v>2872.5608174999998</v>
      </c>
      <c r="D36" s="8">
        <v>2729.8892312999997</v>
      </c>
      <c r="E36" s="8">
        <v>2598.07613505</v>
      </c>
      <c r="F36" s="8">
        <v>2531.10463815</v>
      </c>
      <c r="G36" s="8">
        <v>2474.6370230999996</v>
      </c>
      <c r="H36" s="8">
        <v>2426.0861773499996</v>
      </c>
      <c r="I36" s="8">
        <v>2504.5084317</v>
      </c>
      <c r="J36" s="8">
        <v>2799.60553125</v>
      </c>
      <c r="K36" s="8">
        <v>3187.7331452999997</v>
      </c>
      <c r="L36" s="8">
        <v>3727.4736988499994</v>
      </c>
      <c r="M36" s="8">
        <v>4163.4889692</v>
      </c>
      <c r="N36" s="8">
        <v>4410.30985395</v>
      </c>
      <c r="O36" s="8">
        <v>4495.33004415</v>
      </c>
      <c r="P36" s="8">
        <v>4515.845134349999</v>
      </c>
      <c r="Q36" s="8">
        <v>4484.6518761</v>
      </c>
      <c r="R36" s="8">
        <v>4462.93489785</v>
      </c>
      <c r="S36" s="8">
        <v>4357.3513302</v>
      </c>
      <c r="T36" s="8">
        <v>4251.6281841</v>
      </c>
      <c r="U36" s="8">
        <v>4192.443684</v>
      </c>
      <c r="V36" s="8">
        <v>3983.5528177499996</v>
      </c>
      <c r="W36" s="8">
        <v>3645.41031855</v>
      </c>
      <c r="X36" s="8">
        <v>3257.08578525</v>
      </c>
      <c r="Y36" s="8">
        <v>2907.7279275</v>
      </c>
      <c r="Z36" s="8">
        <v>2654.88628515</v>
      </c>
      <c r="AA36" s="9">
        <f t="shared" si="1"/>
        <v>83634.32194</v>
      </c>
      <c r="AB36" s="9">
        <v>5.0</v>
      </c>
      <c r="AC36" s="9">
        <f t="shared" si="2"/>
        <v>418171.6097</v>
      </c>
      <c r="AD36" s="12"/>
    </row>
    <row r="37" ht="14.25" customHeight="1">
      <c r="A37" s="7">
        <v>47392.0</v>
      </c>
      <c r="B37" s="8" t="s">
        <v>34</v>
      </c>
      <c r="C37" s="8">
        <v>2952.5470425</v>
      </c>
      <c r="D37" s="8">
        <v>2831.7287229</v>
      </c>
      <c r="E37" s="8">
        <v>2764.14973065</v>
      </c>
      <c r="F37" s="8">
        <v>2736.5248911</v>
      </c>
      <c r="G37" s="8">
        <v>2778.7230091499996</v>
      </c>
      <c r="H37" s="8">
        <v>2957.0519797499996</v>
      </c>
      <c r="I37" s="8">
        <v>3578.05917975</v>
      </c>
      <c r="J37" s="8">
        <v>4489.69873605</v>
      </c>
      <c r="K37" s="8">
        <v>5252.400057299999</v>
      </c>
      <c r="L37" s="8">
        <v>5767.4718287999995</v>
      </c>
      <c r="M37" s="8">
        <v>6186.5188935</v>
      </c>
      <c r="N37" s="8">
        <v>6438.71689395</v>
      </c>
      <c r="O37" s="8">
        <v>6354.0224352</v>
      </c>
      <c r="P37" s="8">
        <v>6375.73365165</v>
      </c>
      <c r="Q37" s="8">
        <v>6544.665768299999</v>
      </c>
      <c r="R37" s="8">
        <v>6547.4282659499995</v>
      </c>
      <c r="S37" s="8">
        <v>6362.874553199999</v>
      </c>
      <c r="T37" s="8">
        <v>5938.140347699999</v>
      </c>
      <c r="U37" s="8">
        <v>5625.2741259</v>
      </c>
      <c r="V37" s="8">
        <v>5269.80757875</v>
      </c>
      <c r="W37" s="8">
        <v>4799.87283435</v>
      </c>
      <c r="X37" s="8">
        <v>4265.6273715</v>
      </c>
      <c r="Y37" s="8">
        <v>3696.7056918000003</v>
      </c>
      <c r="Z37" s="8">
        <v>3308.3703905999996</v>
      </c>
      <c r="AA37" s="9">
        <f t="shared" si="1"/>
        <v>113822.114</v>
      </c>
      <c r="AB37" s="9">
        <v>22.0</v>
      </c>
      <c r="AC37" s="9">
        <f t="shared" si="2"/>
        <v>2504086.508</v>
      </c>
      <c r="AD37" s="10">
        <f>SUM(AC37:AC39)</f>
        <v>3339659.548</v>
      </c>
    </row>
    <row r="38" ht="14.25" customHeight="1">
      <c r="A38" s="7">
        <v>47392.0</v>
      </c>
      <c r="B38" s="8" t="s">
        <v>35</v>
      </c>
      <c r="C38" s="8">
        <v>3208.295013</v>
      </c>
      <c r="D38" s="8">
        <v>3040.8062883</v>
      </c>
      <c r="E38" s="8">
        <v>2947.4158856999998</v>
      </c>
      <c r="F38" s="8">
        <v>2875.01891655</v>
      </c>
      <c r="G38" s="8">
        <v>2888.8908015</v>
      </c>
      <c r="H38" s="8">
        <v>2900.6773025999996</v>
      </c>
      <c r="I38" s="8">
        <v>3322.8901002</v>
      </c>
      <c r="J38" s="8">
        <v>4079.8502348999996</v>
      </c>
      <c r="K38" s="8">
        <v>4798.94146215</v>
      </c>
      <c r="L38" s="8">
        <v>5360.551397849999</v>
      </c>
      <c r="M38" s="8">
        <v>5711.0107989</v>
      </c>
      <c r="N38" s="8">
        <v>5871.8434929</v>
      </c>
      <c r="O38" s="8">
        <v>5707.1116409999995</v>
      </c>
      <c r="P38" s="8">
        <v>5526.23616105</v>
      </c>
      <c r="Q38" s="8">
        <v>5402.085572399999</v>
      </c>
      <c r="R38" s="8">
        <v>5371.97876655</v>
      </c>
      <c r="S38" s="8">
        <v>5307.45329565</v>
      </c>
      <c r="T38" s="8">
        <v>5207.16391965</v>
      </c>
      <c r="U38" s="8">
        <v>5086.376054099999</v>
      </c>
      <c r="V38" s="8">
        <v>4820.09182545</v>
      </c>
      <c r="W38" s="8">
        <v>4409.7968079</v>
      </c>
      <c r="X38" s="8">
        <v>3948.45738375</v>
      </c>
      <c r="Y38" s="8">
        <v>3455.5972571999996</v>
      </c>
      <c r="Z38" s="8">
        <v>3101.81738625</v>
      </c>
      <c r="AA38" s="9">
        <f t="shared" si="1"/>
        <v>104350.3578</v>
      </c>
      <c r="AB38" s="9">
        <v>4.0</v>
      </c>
      <c r="AC38" s="9">
        <f t="shared" si="2"/>
        <v>417401.4311</v>
      </c>
      <c r="AD38" s="11"/>
    </row>
    <row r="39" ht="14.25" customHeight="1">
      <c r="A39" s="7">
        <v>47392.0</v>
      </c>
      <c r="B39" s="8" t="s">
        <v>36</v>
      </c>
      <c r="C39" s="8">
        <v>2872.5608174999998</v>
      </c>
      <c r="D39" s="8">
        <v>2729.8892312999997</v>
      </c>
      <c r="E39" s="8">
        <v>2598.07613505</v>
      </c>
      <c r="F39" s="8">
        <v>2531.10463815</v>
      </c>
      <c r="G39" s="8">
        <v>2474.6370230999996</v>
      </c>
      <c r="H39" s="8">
        <v>2426.0861773499996</v>
      </c>
      <c r="I39" s="8">
        <v>2504.5084317</v>
      </c>
      <c r="J39" s="8">
        <v>2799.60553125</v>
      </c>
      <c r="K39" s="8">
        <v>3187.7331452999997</v>
      </c>
      <c r="L39" s="8">
        <v>3727.4736988499994</v>
      </c>
      <c r="M39" s="8">
        <v>4163.4889692</v>
      </c>
      <c r="N39" s="8">
        <v>4410.30985395</v>
      </c>
      <c r="O39" s="8">
        <v>4495.33004415</v>
      </c>
      <c r="P39" s="8">
        <v>4515.845134349999</v>
      </c>
      <c r="Q39" s="8">
        <v>4484.6518761</v>
      </c>
      <c r="R39" s="8">
        <v>4462.93489785</v>
      </c>
      <c r="S39" s="8">
        <v>4357.3513302</v>
      </c>
      <c r="T39" s="8">
        <v>4251.6281841</v>
      </c>
      <c r="U39" s="8">
        <v>4192.443684</v>
      </c>
      <c r="V39" s="8">
        <v>3983.5528177499996</v>
      </c>
      <c r="W39" s="8">
        <v>3645.41031855</v>
      </c>
      <c r="X39" s="8">
        <v>3257.08578525</v>
      </c>
      <c r="Y39" s="8">
        <v>2907.7279275</v>
      </c>
      <c r="Z39" s="8">
        <v>2654.88628515</v>
      </c>
      <c r="AA39" s="9">
        <f t="shared" si="1"/>
        <v>83634.32194</v>
      </c>
      <c r="AB39" s="9">
        <v>5.0</v>
      </c>
      <c r="AC39" s="9">
        <f t="shared" si="2"/>
        <v>418171.6097</v>
      </c>
      <c r="AD39" s="12"/>
    </row>
    <row r="40" ht="14.25" customHeight="1">
      <c r="A40" s="7">
        <v>47423.0</v>
      </c>
      <c r="B40" s="8" t="s">
        <v>34</v>
      </c>
      <c r="C40" s="8">
        <v>2952.5470425</v>
      </c>
      <c r="D40" s="8">
        <v>2831.7287229</v>
      </c>
      <c r="E40" s="8">
        <v>2764.14973065</v>
      </c>
      <c r="F40" s="8">
        <v>2736.5248911</v>
      </c>
      <c r="G40" s="8">
        <v>2778.7230091499996</v>
      </c>
      <c r="H40" s="8">
        <v>2957.0519797499996</v>
      </c>
      <c r="I40" s="8">
        <v>3578.05917975</v>
      </c>
      <c r="J40" s="8">
        <v>4489.69873605</v>
      </c>
      <c r="K40" s="8">
        <v>5252.400057299999</v>
      </c>
      <c r="L40" s="8">
        <v>5767.4718287999995</v>
      </c>
      <c r="M40" s="8">
        <v>6186.5188935</v>
      </c>
      <c r="N40" s="8">
        <v>6438.71689395</v>
      </c>
      <c r="O40" s="8">
        <v>6354.0224352</v>
      </c>
      <c r="P40" s="8">
        <v>6375.73365165</v>
      </c>
      <c r="Q40" s="8">
        <v>6544.665768299999</v>
      </c>
      <c r="R40" s="8">
        <v>6547.4282659499995</v>
      </c>
      <c r="S40" s="8">
        <v>6362.874553199999</v>
      </c>
      <c r="T40" s="8">
        <v>5938.140347699999</v>
      </c>
      <c r="U40" s="8">
        <v>5625.2741259</v>
      </c>
      <c r="V40" s="8">
        <v>5269.80757875</v>
      </c>
      <c r="W40" s="8">
        <v>4799.87283435</v>
      </c>
      <c r="X40" s="8">
        <v>4265.6273715</v>
      </c>
      <c r="Y40" s="8">
        <v>3696.7056918000003</v>
      </c>
      <c r="Z40" s="8">
        <v>3308.3703905999996</v>
      </c>
      <c r="AA40" s="9">
        <f t="shared" si="1"/>
        <v>113822.114</v>
      </c>
      <c r="AB40" s="9">
        <v>20.0</v>
      </c>
      <c r="AC40" s="9">
        <f t="shared" si="2"/>
        <v>2276442.28</v>
      </c>
      <c r="AD40" s="10">
        <f>SUM(AC40:AC42)</f>
        <v>3195649.642</v>
      </c>
    </row>
    <row r="41" ht="14.25" customHeight="1">
      <c r="A41" s="7">
        <v>47423.0</v>
      </c>
      <c r="B41" s="8" t="s">
        <v>35</v>
      </c>
      <c r="C41" s="8">
        <v>3208.295013</v>
      </c>
      <c r="D41" s="8">
        <v>3040.8062883</v>
      </c>
      <c r="E41" s="8">
        <v>2947.4158856999998</v>
      </c>
      <c r="F41" s="8">
        <v>2875.01891655</v>
      </c>
      <c r="G41" s="8">
        <v>2888.8908015</v>
      </c>
      <c r="H41" s="8">
        <v>2900.6773025999996</v>
      </c>
      <c r="I41" s="8">
        <v>3322.8901002</v>
      </c>
      <c r="J41" s="8">
        <v>4079.8502348999996</v>
      </c>
      <c r="K41" s="8">
        <v>4798.94146215</v>
      </c>
      <c r="L41" s="8">
        <v>5360.551397849999</v>
      </c>
      <c r="M41" s="8">
        <v>5711.0107989</v>
      </c>
      <c r="N41" s="8">
        <v>5871.8434929</v>
      </c>
      <c r="O41" s="8">
        <v>5707.1116409999995</v>
      </c>
      <c r="P41" s="8">
        <v>5526.23616105</v>
      </c>
      <c r="Q41" s="8">
        <v>5402.085572399999</v>
      </c>
      <c r="R41" s="8">
        <v>5371.97876655</v>
      </c>
      <c r="S41" s="8">
        <v>5307.45329565</v>
      </c>
      <c r="T41" s="8">
        <v>5207.16391965</v>
      </c>
      <c r="U41" s="8">
        <v>5086.376054099999</v>
      </c>
      <c r="V41" s="8">
        <v>4820.09182545</v>
      </c>
      <c r="W41" s="8">
        <v>4409.7968079</v>
      </c>
      <c r="X41" s="8">
        <v>3948.45738375</v>
      </c>
      <c r="Y41" s="8">
        <v>3455.5972571999996</v>
      </c>
      <c r="Z41" s="8">
        <v>3101.81738625</v>
      </c>
      <c r="AA41" s="9">
        <f t="shared" si="1"/>
        <v>104350.3578</v>
      </c>
      <c r="AB41" s="9">
        <v>4.0</v>
      </c>
      <c r="AC41" s="9">
        <f t="shared" si="2"/>
        <v>417401.4311</v>
      </c>
      <c r="AD41" s="11"/>
    </row>
    <row r="42" ht="14.25" customHeight="1">
      <c r="A42" s="7">
        <v>47423.0</v>
      </c>
      <c r="B42" s="8" t="s">
        <v>36</v>
      </c>
      <c r="C42" s="8">
        <v>2872.5608174999998</v>
      </c>
      <c r="D42" s="8">
        <v>2729.8892312999997</v>
      </c>
      <c r="E42" s="8">
        <v>2598.07613505</v>
      </c>
      <c r="F42" s="8">
        <v>2531.10463815</v>
      </c>
      <c r="G42" s="8">
        <v>2474.6370230999996</v>
      </c>
      <c r="H42" s="8">
        <v>2426.0861773499996</v>
      </c>
      <c r="I42" s="8">
        <v>2504.5084317</v>
      </c>
      <c r="J42" s="8">
        <v>2799.60553125</v>
      </c>
      <c r="K42" s="8">
        <v>3187.7331452999997</v>
      </c>
      <c r="L42" s="8">
        <v>3727.4736988499994</v>
      </c>
      <c r="M42" s="8">
        <v>4163.4889692</v>
      </c>
      <c r="N42" s="8">
        <v>4410.30985395</v>
      </c>
      <c r="O42" s="8">
        <v>4495.33004415</v>
      </c>
      <c r="P42" s="8">
        <v>4515.845134349999</v>
      </c>
      <c r="Q42" s="8">
        <v>4484.6518761</v>
      </c>
      <c r="R42" s="8">
        <v>4462.93489785</v>
      </c>
      <c r="S42" s="8">
        <v>4357.3513302</v>
      </c>
      <c r="T42" s="8">
        <v>4251.6281841</v>
      </c>
      <c r="U42" s="8">
        <v>4192.443684</v>
      </c>
      <c r="V42" s="8">
        <v>3983.5528177499996</v>
      </c>
      <c r="W42" s="8">
        <v>3645.41031855</v>
      </c>
      <c r="X42" s="8">
        <v>3257.08578525</v>
      </c>
      <c r="Y42" s="8">
        <v>2907.7279275</v>
      </c>
      <c r="Z42" s="8">
        <v>2654.88628515</v>
      </c>
      <c r="AA42" s="9">
        <f t="shared" si="1"/>
        <v>83634.32194</v>
      </c>
      <c r="AB42" s="9">
        <v>6.0</v>
      </c>
      <c r="AC42" s="9">
        <f t="shared" si="2"/>
        <v>501805.9316</v>
      </c>
      <c r="AD42" s="12"/>
    </row>
    <row r="43" ht="14.25" customHeight="1">
      <c r="A43" s="7">
        <v>47453.0</v>
      </c>
      <c r="B43" s="8" t="s">
        <v>34</v>
      </c>
      <c r="C43" s="8">
        <v>2952.5470425</v>
      </c>
      <c r="D43" s="8">
        <v>2831.7287229</v>
      </c>
      <c r="E43" s="8">
        <v>2764.14973065</v>
      </c>
      <c r="F43" s="8">
        <v>2736.5248911</v>
      </c>
      <c r="G43" s="8">
        <v>2778.7230091499996</v>
      </c>
      <c r="H43" s="8">
        <v>2957.0519797499996</v>
      </c>
      <c r="I43" s="8">
        <v>3578.05917975</v>
      </c>
      <c r="J43" s="8">
        <v>4489.69873605</v>
      </c>
      <c r="K43" s="8">
        <v>5252.400057299999</v>
      </c>
      <c r="L43" s="8">
        <v>5767.4718287999995</v>
      </c>
      <c r="M43" s="8">
        <v>6186.5188935</v>
      </c>
      <c r="N43" s="8">
        <v>6438.71689395</v>
      </c>
      <c r="O43" s="8">
        <v>6354.0224352</v>
      </c>
      <c r="P43" s="8">
        <v>6375.73365165</v>
      </c>
      <c r="Q43" s="8">
        <v>6544.665768299999</v>
      </c>
      <c r="R43" s="8">
        <v>6547.4282659499995</v>
      </c>
      <c r="S43" s="8">
        <v>6362.874553199999</v>
      </c>
      <c r="T43" s="8">
        <v>5938.140347699999</v>
      </c>
      <c r="U43" s="8">
        <v>5625.2741259</v>
      </c>
      <c r="V43" s="8">
        <v>5269.80757875</v>
      </c>
      <c r="W43" s="8">
        <v>4799.87283435</v>
      </c>
      <c r="X43" s="8">
        <v>4265.6273715</v>
      </c>
      <c r="Y43" s="8">
        <v>3696.7056918000003</v>
      </c>
      <c r="Z43" s="8">
        <v>3308.3703905999996</v>
      </c>
      <c r="AA43" s="9">
        <f t="shared" si="1"/>
        <v>113822.114</v>
      </c>
      <c r="AB43" s="9">
        <v>20.0</v>
      </c>
      <c r="AC43" s="9">
        <f t="shared" si="2"/>
        <v>2276442.28</v>
      </c>
      <c r="AD43" s="10">
        <f>SUM(AC43:AC45)</f>
        <v>3279283.964</v>
      </c>
    </row>
    <row r="44" ht="14.25" customHeight="1">
      <c r="A44" s="7">
        <v>47453.0</v>
      </c>
      <c r="B44" s="8" t="s">
        <v>35</v>
      </c>
      <c r="C44" s="8">
        <v>3208.295013</v>
      </c>
      <c r="D44" s="8">
        <v>3040.8062883</v>
      </c>
      <c r="E44" s="8">
        <v>2947.4158856999998</v>
      </c>
      <c r="F44" s="8">
        <v>2875.01891655</v>
      </c>
      <c r="G44" s="8">
        <v>2888.8908015</v>
      </c>
      <c r="H44" s="8">
        <v>2900.6773025999996</v>
      </c>
      <c r="I44" s="8">
        <v>3322.8901002</v>
      </c>
      <c r="J44" s="8">
        <v>4079.8502348999996</v>
      </c>
      <c r="K44" s="8">
        <v>4798.94146215</v>
      </c>
      <c r="L44" s="8">
        <v>5360.551397849999</v>
      </c>
      <c r="M44" s="8">
        <v>5711.0107989</v>
      </c>
      <c r="N44" s="8">
        <v>5871.8434929</v>
      </c>
      <c r="O44" s="8">
        <v>5707.1116409999995</v>
      </c>
      <c r="P44" s="8">
        <v>5526.23616105</v>
      </c>
      <c r="Q44" s="8">
        <v>5402.085572399999</v>
      </c>
      <c r="R44" s="8">
        <v>5371.97876655</v>
      </c>
      <c r="S44" s="8">
        <v>5307.45329565</v>
      </c>
      <c r="T44" s="8">
        <v>5207.16391965</v>
      </c>
      <c r="U44" s="8">
        <v>5086.376054099999</v>
      </c>
      <c r="V44" s="8">
        <v>4820.09182545</v>
      </c>
      <c r="W44" s="8">
        <v>4409.7968079</v>
      </c>
      <c r="X44" s="8">
        <v>3948.45738375</v>
      </c>
      <c r="Y44" s="8">
        <v>3455.5972571999996</v>
      </c>
      <c r="Z44" s="8">
        <v>3101.81738625</v>
      </c>
      <c r="AA44" s="9">
        <f t="shared" si="1"/>
        <v>104350.3578</v>
      </c>
      <c r="AB44" s="9">
        <v>4.0</v>
      </c>
      <c r="AC44" s="9">
        <f t="shared" si="2"/>
        <v>417401.4311</v>
      </c>
      <c r="AD44" s="11"/>
    </row>
    <row r="45" ht="14.25" customHeight="1">
      <c r="A45" s="7">
        <v>47453.0</v>
      </c>
      <c r="B45" s="8" t="s">
        <v>36</v>
      </c>
      <c r="C45" s="8">
        <v>2872.5608174999998</v>
      </c>
      <c r="D45" s="8">
        <v>2729.8892312999997</v>
      </c>
      <c r="E45" s="8">
        <v>2598.07613505</v>
      </c>
      <c r="F45" s="8">
        <v>2531.10463815</v>
      </c>
      <c r="G45" s="8">
        <v>2474.6370230999996</v>
      </c>
      <c r="H45" s="8">
        <v>2426.0861773499996</v>
      </c>
      <c r="I45" s="8">
        <v>2504.5084317</v>
      </c>
      <c r="J45" s="8">
        <v>2799.60553125</v>
      </c>
      <c r="K45" s="8">
        <v>3187.7331452999997</v>
      </c>
      <c r="L45" s="8">
        <v>3727.4736988499994</v>
      </c>
      <c r="M45" s="8">
        <v>4163.4889692</v>
      </c>
      <c r="N45" s="8">
        <v>4410.30985395</v>
      </c>
      <c r="O45" s="8">
        <v>4495.33004415</v>
      </c>
      <c r="P45" s="8">
        <v>4515.845134349999</v>
      </c>
      <c r="Q45" s="8">
        <v>4484.6518761</v>
      </c>
      <c r="R45" s="8">
        <v>4462.93489785</v>
      </c>
      <c r="S45" s="8">
        <v>4357.3513302</v>
      </c>
      <c r="T45" s="8">
        <v>4251.6281841</v>
      </c>
      <c r="U45" s="8">
        <v>4192.443684</v>
      </c>
      <c r="V45" s="8">
        <v>3983.5528177499996</v>
      </c>
      <c r="W45" s="8">
        <v>3645.41031855</v>
      </c>
      <c r="X45" s="8">
        <v>3257.08578525</v>
      </c>
      <c r="Y45" s="8">
        <v>2907.7279275</v>
      </c>
      <c r="Z45" s="8">
        <v>2654.88628515</v>
      </c>
      <c r="AA45" s="9">
        <f t="shared" si="1"/>
        <v>83634.32194</v>
      </c>
      <c r="AB45" s="9">
        <v>7.0</v>
      </c>
      <c r="AC45" s="9">
        <f t="shared" si="2"/>
        <v>585440.2536</v>
      </c>
      <c r="AD45" s="12"/>
    </row>
    <row r="46" ht="14.25" customHeight="1">
      <c r="AB46" s="13" t="s">
        <v>32</v>
      </c>
      <c r="AC46" s="9">
        <f t="shared" ref="AC46:AD46" si="3">SUM(AC10:AC45)</f>
        <v>38948866.59</v>
      </c>
      <c r="AD46" s="9">
        <f t="shared" si="3"/>
        <v>38948866.59</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sheetData>
  <mergeCells count="16">
    <mergeCell ref="A1:AC1"/>
    <mergeCell ref="A2:AC2"/>
    <mergeCell ref="A3:AC3"/>
    <mergeCell ref="A4:AC4"/>
    <mergeCell ref="AD10:AD12"/>
    <mergeCell ref="AD13:AD15"/>
    <mergeCell ref="AD16:AD18"/>
    <mergeCell ref="AD40:AD42"/>
    <mergeCell ref="AD43:AD45"/>
    <mergeCell ref="AD19:AD21"/>
    <mergeCell ref="AD22:AD24"/>
    <mergeCell ref="AD25:AD27"/>
    <mergeCell ref="AD28:AD30"/>
    <mergeCell ref="AD31:AD33"/>
    <mergeCell ref="AD34:AD36"/>
    <mergeCell ref="AD37:AD39"/>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0.71"/>
    <col customWidth="1" min="3" max="3" width="16.0"/>
    <col customWidth="1" min="4" max="4" width="13.0"/>
    <col customWidth="1" min="5" max="5" width="14.14"/>
    <col customWidth="1" min="6" max="6" width="10.71"/>
    <col customWidth="1" min="7" max="7" width="14.86"/>
    <col customWidth="1" min="8" max="19" width="10.71"/>
  </cols>
  <sheetData>
    <row r="1" ht="14.25" customHeight="1"/>
    <row r="2" ht="14.25" customHeight="1"/>
    <row r="3" ht="14.25" customHeight="1"/>
    <row r="4" ht="14.25" customHeight="1">
      <c r="A4" s="14" t="s">
        <v>3</v>
      </c>
    </row>
    <row r="5" ht="14.25" customHeight="1">
      <c r="A5" s="15"/>
      <c r="B5" s="14" t="s">
        <v>61</v>
      </c>
    </row>
    <row r="6" ht="14.25" customHeight="1">
      <c r="A6" s="15"/>
      <c r="B6" s="14" t="s">
        <v>38</v>
      </c>
    </row>
    <row r="7" ht="14.25" customHeight="1">
      <c r="A7" s="15"/>
      <c r="B7" s="16" t="s">
        <v>39</v>
      </c>
    </row>
    <row r="8" ht="14.25" customHeight="1">
      <c r="A8" s="15"/>
      <c r="B8" s="17" t="s">
        <v>40</v>
      </c>
    </row>
    <row r="9" ht="14.25" customHeight="1">
      <c r="A9" s="15"/>
      <c r="B9" s="16"/>
      <c r="C9" s="16"/>
      <c r="D9" s="16"/>
      <c r="E9" s="16"/>
    </row>
    <row r="10" ht="14.25" customHeight="1">
      <c r="A10" s="15"/>
      <c r="B10" s="44" t="s">
        <v>41</v>
      </c>
      <c r="C10" s="45"/>
      <c r="D10" s="45"/>
      <c r="E10" s="45"/>
      <c r="F10" s="46"/>
    </row>
    <row r="11">
      <c r="A11" s="15"/>
      <c r="B11" s="47" t="s">
        <v>4</v>
      </c>
      <c r="C11" s="48" t="s">
        <v>42</v>
      </c>
      <c r="D11" s="62" t="s">
        <v>43</v>
      </c>
      <c r="E11" s="62" t="s">
        <v>44</v>
      </c>
      <c r="F11" s="63" t="s">
        <v>45</v>
      </c>
    </row>
    <row r="12" ht="14.25" customHeight="1">
      <c r="A12" s="15"/>
      <c r="B12" s="49">
        <v>47149.0</v>
      </c>
      <c r="C12" s="64">
        <f>'Cant. Requeridas Producto 4'!AD10</f>
        <v>3309471.756</v>
      </c>
      <c r="D12" s="67"/>
      <c r="E12" s="68"/>
      <c r="F12" s="69"/>
    </row>
    <row r="13" ht="14.25" customHeight="1">
      <c r="A13" s="15"/>
      <c r="B13" s="49">
        <v>47150.0</v>
      </c>
      <c r="C13" s="64">
        <f>'Cant. Requeridas Producto 4'!AD13</f>
        <v>3028380.998</v>
      </c>
      <c r="D13" s="70"/>
      <c r="E13" s="65">
        <f t="shared" ref="E13:E23" si="1">C13*$D$13</f>
        <v>0</v>
      </c>
      <c r="F13" s="70"/>
    </row>
    <row r="14" ht="14.25" customHeight="1">
      <c r="A14" s="15"/>
      <c r="B14" s="49">
        <v>47178.0</v>
      </c>
      <c r="C14" s="64">
        <f>'Cant. Requeridas Producto 4'!AD16</f>
        <v>3269812.208</v>
      </c>
      <c r="D14" s="70"/>
      <c r="E14" s="65">
        <f t="shared" si="1"/>
        <v>0</v>
      </c>
      <c r="F14" s="70"/>
    </row>
    <row r="15" ht="14.25" customHeight="1">
      <c r="A15" s="15"/>
      <c r="B15" s="49">
        <v>47209.0</v>
      </c>
      <c r="C15" s="64">
        <f>'Cant. Requeridas Producto 4'!AD19</f>
        <v>3225837.434</v>
      </c>
      <c r="D15" s="70"/>
      <c r="E15" s="65">
        <f t="shared" si="1"/>
        <v>0</v>
      </c>
      <c r="F15" s="70"/>
    </row>
    <row r="16" ht="14.25" customHeight="1">
      <c r="A16" s="15"/>
      <c r="B16" s="49">
        <v>47239.0</v>
      </c>
      <c r="C16" s="65">
        <f>'Cant. Requeridas Producto 4'!AD22</f>
        <v>3309471.756</v>
      </c>
      <c r="D16" s="70"/>
      <c r="E16" s="65">
        <f t="shared" si="1"/>
        <v>0</v>
      </c>
      <c r="F16" s="70"/>
    </row>
    <row r="17" ht="14.25" customHeight="1">
      <c r="A17" s="15"/>
      <c r="B17" s="49">
        <v>47270.0</v>
      </c>
      <c r="C17" s="65">
        <f>'Cant. Requeridas Producto 4'!AD25</f>
        <v>3186177.886</v>
      </c>
      <c r="D17" s="70"/>
      <c r="E17" s="65">
        <f t="shared" si="1"/>
        <v>0</v>
      </c>
      <c r="F17" s="70"/>
    </row>
    <row r="18" ht="14.25" customHeight="1">
      <c r="A18" s="15"/>
      <c r="B18" s="49">
        <v>47300.0</v>
      </c>
      <c r="C18" s="65">
        <f>'Cant. Requeridas Producto 4'!AD28</f>
        <v>3279283.964</v>
      </c>
      <c r="D18" s="70"/>
      <c r="E18" s="65">
        <f t="shared" si="1"/>
        <v>0</v>
      </c>
      <c r="F18" s="70"/>
    </row>
    <row r="19" ht="14.25" customHeight="1">
      <c r="A19" s="15"/>
      <c r="B19" s="49">
        <v>47331.0</v>
      </c>
      <c r="C19" s="65">
        <f>'Cant. Requeridas Producto 4'!AD31</f>
        <v>3309471.756</v>
      </c>
      <c r="D19" s="70"/>
      <c r="E19" s="65">
        <f t="shared" si="1"/>
        <v>0</v>
      </c>
      <c r="F19" s="70"/>
    </row>
    <row r="20" ht="14.25" customHeight="1">
      <c r="A20" s="15"/>
      <c r="B20" s="49">
        <v>47362.0</v>
      </c>
      <c r="C20" s="65">
        <f>'Cant. Requeridas Producto 4'!AD34</f>
        <v>3216365.678</v>
      </c>
      <c r="D20" s="70"/>
      <c r="E20" s="65">
        <f t="shared" si="1"/>
        <v>0</v>
      </c>
      <c r="F20" s="70"/>
    </row>
    <row r="21" ht="14.25" customHeight="1">
      <c r="A21" s="15"/>
      <c r="B21" s="49">
        <v>47392.0</v>
      </c>
      <c r="C21" s="65">
        <f>'Cant. Requeridas Producto 4'!AD37</f>
        <v>3339659.548</v>
      </c>
      <c r="D21" s="70"/>
      <c r="E21" s="65">
        <f t="shared" si="1"/>
        <v>0</v>
      </c>
      <c r="F21" s="70"/>
    </row>
    <row r="22" ht="14.25" customHeight="1">
      <c r="A22" s="15"/>
      <c r="B22" s="49">
        <v>47423.0</v>
      </c>
      <c r="C22" s="64">
        <f>'Cant. Requeridas Producto 4'!AD40</f>
        <v>3195649.642</v>
      </c>
      <c r="D22" s="70"/>
      <c r="E22" s="65">
        <f t="shared" si="1"/>
        <v>0</v>
      </c>
      <c r="F22" s="70"/>
    </row>
    <row r="23" ht="14.25" customHeight="1">
      <c r="A23" s="15"/>
      <c r="B23" s="49">
        <v>47453.0</v>
      </c>
      <c r="C23" s="64">
        <f>'Cant. Requeridas Producto 4'!AD43</f>
        <v>3279283.964</v>
      </c>
      <c r="D23" s="71"/>
      <c r="E23" s="65">
        <f t="shared" si="1"/>
        <v>0</v>
      </c>
      <c r="F23" s="71"/>
    </row>
    <row r="24" ht="14.25" customHeight="1">
      <c r="A24" s="15"/>
      <c r="B24" s="59" t="s">
        <v>32</v>
      </c>
      <c r="C24" s="60">
        <f>SUM(C12:C23)</f>
        <v>38948866.59</v>
      </c>
      <c r="D24" s="66"/>
      <c r="E24" s="60">
        <f>SUM(E12:E23)</f>
        <v>0</v>
      </c>
      <c r="F24" s="66"/>
    </row>
    <row r="25" ht="14.25" customHeight="1">
      <c r="A25" s="15"/>
      <c r="B25" s="16"/>
      <c r="C25" s="38"/>
      <c r="D25" s="16"/>
      <c r="E25" s="16"/>
    </row>
    <row r="26" ht="14.25" customHeight="1">
      <c r="C26" s="39"/>
    </row>
    <row r="27" ht="30.0" customHeight="1">
      <c r="B27" s="40" t="s">
        <v>46</v>
      </c>
      <c r="E27" s="41"/>
    </row>
    <row r="28" ht="38.25" customHeight="1">
      <c r="B28" s="40" t="s">
        <v>62</v>
      </c>
      <c r="I28" s="40"/>
    </row>
    <row r="29" ht="44.25" customHeight="1">
      <c r="B29" s="40" t="s">
        <v>63</v>
      </c>
      <c r="I29" s="40"/>
    </row>
    <row r="30" ht="14.25" customHeight="1">
      <c r="B30" s="42"/>
    </row>
    <row r="31" ht="14.25" customHeight="1"/>
    <row r="32" ht="14.25" customHeight="1"/>
    <row r="33" ht="14.25" customHeight="1">
      <c r="B33" s="43"/>
      <c r="C33" s="43"/>
    </row>
    <row r="34" ht="14.25" customHeight="1">
      <c r="B34" s="4" t="s">
        <v>49</v>
      </c>
    </row>
    <row r="35" ht="14.25" customHeight="1">
      <c r="B35" s="4" t="s">
        <v>50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4">
    <mergeCell ref="D12:D23"/>
    <mergeCell ref="B27:D27"/>
    <mergeCell ref="B28:E28"/>
    <mergeCell ref="I28:N28"/>
    <mergeCell ref="B29:E29"/>
    <mergeCell ref="I29:N29"/>
    <mergeCell ref="B30:E30"/>
    <mergeCell ref="A4:F4"/>
    <mergeCell ref="B5:E5"/>
    <mergeCell ref="B6:E6"/>
    <mergeCell ref="B7:E7"/>
    <mergeCell ref="B8:E8"/>
    <mergeCell ref="B10:F10"/>
    <mergeCell ref="F12:F2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4" width="10.71"/>
    <col customWidth="1" min="5" max="5" width="11.29"/>
    <col customWidth="1" min="6" max="26" width="10.71"/>
    <col customWidth="1" min="27" max="27" width="13.43"/>
    <col customWidth="1" min="28" max="28" width="7.86"/>
    <col customWidth="1" min="29" max="30" width="18.43"/>
  </cols>
  <sheetData>
    <row r="1" ht="14.25" customHeight="1">
      <c r="A1" s="1" t="s">
        <v>0</v>
      </c>
      <c r="AD1" s="1"/>
    </row>
    <row r="2" ht="14.25" customHeight="1">
      <c r="A2" s="1" t="s">
        <v>64</v>
      </c>
      <c r="AD2" s="1"/>
    </row>
    <row r="3" ht="14.25" customHeight="1">
      <c r="A3" s="1" t="s">
        <v>65</v>
      </c>
      <c r="AD3" s="1"/>
    </row>
    <row r="4" ht="14.25" customHeight="1">
      <c r="A4" s="1" t="s">
        <v>3</v>
      </c>
      <c r="AD4" s="1"/>
    </row>
    <row r="5" ht="14.25" customHeight="1">
      <c r="A5" s="2"/>
      <c r="B5" s="3"/>
      <c r="C5" s="3"/>
      <c r="D5" s="3"/>
      <c r="E5" s="2"/>
      <c r="F5" s="2"/>
      <c r="G5" s="2"/>
      <c r="H5" s="2"/>
      <c r="I5" s="2"/>
      <c r="J5" s="2"/>
      <c r="K5" s="2"/>
      <c r="L5" s="2"/>
      <c r="M5" s="2"/>
      <c r="N5" s="2"/>
      <c r="O5" s="2"/>
      <c r="P5" s="2"/>
      <c r="Q5" s="2"/>
      <c r="R5" s="2"/>
      <c r="S5" s="2"/>
      <c r="T5" s="2"/>
      <c r="U5" s="2"/>
      <c r="V5" s="2"/>
      <c r="W5" s="4"/>
      <c r="X5" s="4"/>
      <c r="Y5" s="4"/>
      <c r="Z5" s="4"/>
      <c r="AA5" s="4"/>
      <c r="AB5" s="4"/>
    </row>
    <row r="6" ht="14.25" customHeight="1">
      <c r="A6" s="2"/>
      <c r="B6" s="3"/>
      <c r="C6" s="3"/>
      <c r="D6" s="3"/>
      <c r="E6" s="2"/>
      <c r="F6" s="2"/>
      <c r="G6" s="2"/>
      <c r="H6" s="2"/>
      <c r="I6" s="2"/>
      <c r="J6" s="2"/>
      <c r="K6" s="2"/>
      <c r="L6" s="2"/>
      <c r="M6" s="2"/>
      <c r="N6" s="2"/>
      <c r="O6" s="2"/>
      <c r="P6" s="2"/>
      <c r="Q6" s="2"/>
      <c r="R6" s="2"/>
      <c r="S6" s="2"/>
      <c r="T6" s="2"/>
      <c r="U6" s="2"/>
      <c r="V6" s="2"/>
      <c r="W6" s="4"/>
      <c r="X6" s="4"/>
      <c r="Y6" s="4"/>
      <c r="Z6" s="4"/>
      <c r="AA6" s="4"/>
      <c r="AB6" s="4"/>
    </row>
    <row r="7" ht="14.25" customHeight="1">
      <c r="A7" s="2"/>
      <c r="B7" s="3"/>
      <c r="C7" s="3"/>
      <c r="D7" s="3"/>
      <c r="E7" s="2"/>
      <c r="F7" s="2"/>
      <c r="G7" s="2"/>
      <c r="H7" s="2"/>
      <c r="I7" s="2"/>
      <c r="J7" s="2"/>
      <c r="K7" s="2"/>
      <c r="L7" s="2"/>
      <c r="M7" s="2"/>
      <c r="N7" s="2"/>
      <c r="O7" s="2"/>
      <c r="P7" s="2"/>
      <c r="Q7" s="2"/>
      <c r="R7" s="2"/>
      <c r="S7" s="2"/>
      <c r="T7" s="2"/>
      <c r="U7" s="2"/>
      <c r="V7" s="2"/>
      <c r="W7" s="2"/>
      <c r="X7" s="2"/>
      <c r="Y7" s="2"/>
      <c r="Z7" s="2"/>
      <c r="AA7" s="2"/>
      <c r="AB7" s="2"/>
    </row>
    <row r="8" ht="14.25" customHeight="1">
      <c r="A8" s="2"/>
      <c r="B8" s="3"/>
      <c r="C8" s="3"/>
      <c r="D8" s="3"/>
      <c r="E8" s="2"/>
      <c r="F8" s="2"/>
      <c r="G8" s="2"/>
      <c r="H8" s="2"/>
      <c r="I8" s="2"/>
      <c r="J8" s="2"/>
      <c r="K8" s="2"/>
      <c r="L8" s="2"/>
      <c r="M8" s="2"/>
      <c r="N8" s="2"/>
      <c r="O8" s="2"/>
      <c r="P8" s="2"/>
      <c r="Q8" s="2"/>
      <c r="R8" s="2"/>
      <c r="S8" s="2"/>
      <c r="T8" s="2"/>
      <c r="U8" s="2"/>
      <c r="V8" s="2"/>
      <c r="W8" s="2"/>
      <c r="X8" s="2"/>
      <c r="Y8" s="2"/>
      <c r="Z8" s="2"/>
      <c r="AA8" s="2"/>
      <c r="AB8" s="2"/>
    </row>
    <row r="9" ht="14.25" customHeight="1">
      <c r="A9" s="5" t="s">
        <v>4</v>
      </c>
      <c r="B9" s="6" t="s">
        <v>5</v>
      </c>
      <c r="C9" s="6" t="s">
        <v>6</v>
      </c>
      <c r="D9" s="6" t="s">
        <v>7</v>
      </c>
      <c r="E9" s="6"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row>
    <row r="10" ht="14.25" customHeight="1">
      <c r="A10" s="7">
        <v>47484.0</v>
      </c>
      <c r="B10" s="8" t="s">
        <v>34</v>
      </c>
      <c r="C10" s="8">
        <v>1431.53796</v>
      </c>
      <c r="D10" s="8">
        <v>1372.9593808</v>
      </c>
      <c r="E10" s="8">
        <v>1340.1938088000002</v>
      </c>
      <c r="F10" s="8">
        <v>1326.7999472000001</v>
      </c>
      <c r="G10" s="8">
        <v>1347.2596408</v>
      </c>
      <c r="H10" s="8">
        <v>1433.722172</v>
      </c>
      <c r="I10" s="8">
        <v>1734.8165720000002</v>
      </c>
      <c r="J10" s="8">
        <v>2176.8236296</v>
      </c>
      <c r="K10" s="8">
        <v>2546.6182096000002</v>
      </c>
      <c r="L10" s="8">
        <v>2796.3499776000003</v>
      </c>
      <c r="M10" s="8">
        <v>2999.524312</v>
      </c>
      <c r="N10" s="8">
        <v>3121.8021304000004</v>
      </c>
      <c r="O10" s="8">
        <v>3080.7381504000004</v>
      </c>
      <c r="P10" s="8">
        <v>3091.2648008</v>
      </c>
      <c r="Q10" s="8">
        <v>3173.1712816</v>
      </c>
      <c r="R10" s="8">
        <v>3174.5106744000004</v>
      </c>
      <c r="S10" s="8">
        <v>3085.0300864</v>
      </c>
      <c r="T10" s="8">
        <v>2879.0983504</v>
      </c>
      <c r="U10" s="8">
        <v>2727.4056368</v>
      </c>
      <c r="V10" s="8">
        <v>2555.0582200000003</v>
      </c>
      <c r="W10" s="8">
        <v>2327.2110712000003</v>
      </c>
      <c r="X10" s="8">
        <v>2068.182968</v>
      </c>
      <c r="Y10" s="8">
        <v>1792.3421536000003</v>
      </c>
      <c r="Z10" s="8">
        <v>1604.0583712</v>
      </c>
      <c r="AA10" s="9">
        <f t="shared" ref="AA10:AA45" si="1">SUM(C10:Z10)</f>
        <v>55186.47951</v>
      </c>
      <c r="AB10" s="9">
        <v>21.0</v>
      </c>
      <c r="AC10" s="9">
        <f t="shared" ref="AC10:AC45" si="2">AA10*AB10</f>
        <v>1158916.07</v>
      </c>
      <c r="AD10" s="10">
        <f>SUM(AC10:AC12)</f>
        <v>1604592.367</v>
      </c>
    </row>
    <row r="11" ht="14.25" customHeight="1">
      <c r="A11" s="7">
        <v>47484.0</v>
      </c>
      <c r="B11" s="8" t="s">
        <v>35</v>
      </c>
      <c r="C11" s="8">
        <v>1555.536976</v>
      </c>
      <c r="D11" s="8">
        <v>1474.3303216000002</v>
      </c>
      <c r="E11" s="8">
        <v>1429.0501264000002</v>
      </c>
      <c r="F11" s="8">
        <v>1393.9485656000002</v>
      </c>
      <c r="G11" s="8">
        <v>1400.674328</v>
      </c>
      <c r="H11" s="8">
        <v>1406.3889952</v>
      </c>
      <c r="I11" s="8">
        <v>1611.0982304</v>
      </c>
      <c r="J11" s="8">
        <v>1978.1092048</v>
      </c>
      <c r="K11" s="8">
        <v>2326.7594968000003</v>
      </c>
      <c r="L11" s="8">
        <v>2599.0552232</v>
      </c>
      <c r="M11" s="8">
        <v>2768.9749328000003</v>
      </c>
      <c r="N11" s="8">
        <v>2846.9544208</v>
      </c>
      <c r="O11" s="8">
        <v>2767.084432</v>
      </c>
      <c r="P11" s="8">
        <v>2679.3872296000004</v>
      </c>
      <c r="Q11" s="8">
        <v>2619.1930048</v>
      </c>
      <c r="R11" s="8">
        <v>2604.5957656</v>
      </c>
      <c r="S11" s="8">
        <v>2573.3106888</v>
      </c>
      <c r="T11" s="8">
        <v>2524.6855368</v>
      </c>
      <c r="U11" s="8">
        <v>2466.1217232</v>
      </c>
      <c r="V11" s="8">
        <v>2337.0142184</v>
      </c>
      <c r="W11" s="8">
        <v>2138.0833008000004</v>
      </c>
      <c r="X11" s="8">
        <v>1914.4035800000001</v>
      </c>
      <c r="Y11" s="8">
        <v>1675.4410944</v>
      </c>
      <c r="Z11" s="8">
        <v>1503.9114600000003</v>
      </c>
      <c r="AA11" s="9">
        <f t="shared" si="1"/>
        <v>50594.11286</v>
      </c>
      <c r="AB11" s="9">
        <v>4.0</v>
      </c>
      <c r="AC11" s="9">
        <f t="shared" si="2"/>
        <v>202376.4514</v>
      </c>
      <c r="AD11" s="11"/>
    </row>
    <row r="12" ht="14.25" customHeight="1">
      <c r="A12" s="7">
        <v>47484.0</v>
      </c>
      <c r="B12" s="8" t="s">
        <v>36</v>
      </c>
      <c r="C12" s="8">
        <v>1392.7567600000002</v>
      </c>
      <c r="D12" s="8">
        <v>1323.5826576</v>
      </c>
      <c r="E12" s="8">
        <v>1259.6732776000001</v>
      </c>
      <c r="F12" s="8">
        <v>1227.2022488</v>
      </c>
      <c r="G12" s="8">
        <v>1199.8240112</v>
      </c>
      <c r="H12" s="8">
        <v>1176.2842072</v>
      </c>
      <c r="I12" s="8">
        <v>1214.3071184</v>
      </c>
      <c r="J12" s="8">
        <v>1357.3845000000001</v>
      </c>
      <c r="K12" s="8">
        <v>1545.5675856</v>
      </c>
      <c r="L12" s="8">
        <v>1807.2599751999999</v>
      </c>
      <c r="M12" s="8">
        <v>2018.6613184000003</v>
      </c>
      <c r="N12" s="8">
        <v>2138.3320504</v>
      </c>
      <c r="O12" s="8">
        <v>2179.5539608</v>
      </c>
      <c r="P12" s="8">
        <v>2189.5006712</v>
      </c>
      <c r="Q12" s="8">
        <v>2174.3766672</v>
      </c>
      <c r="R12" s="8">
        <v>2163.8472232</v>
      </c>
      <c r="S12" s="8">
        <v>2112.6551904000003</v>
      </c>
      <c r="T12" s="8">
        <v>2061.3954832</v>
      </c>
      <c r="U12" s="8">
        <v>2032.6999680000001</v>
      </c>
      <c r="V12" s="8">
        <v>1931.4195479999998</v>
      </c>
      <c r="W12" s="8">
        <v>1767.4716696</v>
      </c>
      <c r="X12" s="8">
        <v>1579.1931080000002</v>
      </c>
      <c r="Y12" s="8">
        <v>1409.8074800000002</v>
      </c>
      <c r="Z12" s="8">
        <v>1287.2175928000001</v>
      </c>
      <c r="AA12" s="9">
        <f t="shared" si="1"/>
        <v>40549.97427</v>
      </c>
      <c r="AB12" s="9">
        <v>6.0</v>
      </c>
      <c r="AC12" s="9">
        <f t="shared" si="2"/>
        <v>243299.8456</v>
      </c>
      <c r="AD12" s="12"/>
    </row>
    <row r="13" ht="14.25" customHeight="1">
      <c r="A13" s="7">
        <v>47515.0</v>
      </c>
      <c r="B13" s="8" t="s">
        <v>34</v>
      </c>
      <c r="C13" s="8">
        <v>1431.53796</v>
      </c>
      <c r="D13" s="8">
        <v>1372.9593808</v>
      </c>
      <c r="E13" s="8">
        <v>1340.1938088000002</v>
      </c>
      <c r="F13" s="8">
        <v>1326.7999472000001</v>
      </c>
      <c r="G13" s="8">
        <v>1347.2596408</v>
      </c>
      <c r="H13" s="8">
        <v>1433.722172</v>
      </c>
      <c r="I13" s="8">
        <v>1734.8165720000002</v>
      </c>
      <c r="J13" s="8">
        <v>2176.8236296</v>
      </c>
      <c r="K13" s="8">
        <v>2546.6182096000002</v>
      </c>
      <c r="L13" s="8">
        <v>2796.3499776000003</v>
      </c>
      <c r="M13" s="8">
        <v>2999.524312</v>
      </c>
      <c r="N13" s="8">
        <v>3121.8021304000004</v>
      </c>
      <c r="O13" s="8">
        <v>3080.7381504000004</v>
      </c>
      <c r="P13" s="8">
        <v>3091.2648008</v>
      </c>
      <c r="Q13" s="8">
        <v>3173.1712816</v>
      </c>
      <c r="R13" s="8">
        <v>3174.5106744000004</v>
      </c>
      <c r="S13" s="8">
        <v>3085.0300864</v>
      </c>
      <c r="T13" s="8">
        <v>2879.0983504</v>
      </c>
      <c r="U13" s="8">
        <v>2727.4056368</v>
      </c>
      <c r="V13" s="8">
        <v>2555.0582200000003</v>
      </c>
      <c r="W13" s="8">
        <v>2327.2110712000003</v>
      </c>
      <c r="X13" s="8">
        <v>2068.182968</v>
      </c>
      <c r="Y13" s="8">
        <v>1792.3421536000003</v>
      </c>
      <c r="Z13" s="8">
        <v>1604.0583712</v>
      </c>
      <c r="AA13" s="9">
        <f t="shared" si="1"/>
        <v>55186.47951</v>
      </c>
      <c r="AB13" s="9">
        <v>20.0</v>
      </c>
      <c r="AC13" s="9">
        <f t="shared" si="2"/>
        <v>1103729.59</v>
      </c>
      <c r="AD13" s="10">
        <f>SUM(AC13:AC15)</f>
        <v>1468305.939</v>
      </c>
    </row>
    <row r="14" ht="14.25" customHeight="1">
      <c r="A14" s="7">
        <v>47515.0</v>
      </c>
      <c r="B14" s="8" t="s">
        <v>35</v>
      </c>
      <c r="C14" s="8">
        <v>1555.536976</v>
      </c>
      <c r="D14" s="8">
        <v>1474.3303216000002</v>
      </c>
      <c r="E14" s="8">
        <v>1429.0501264000002</v>
      </c>
      <c r="F14" s="8">
        <v>1393.9485656000002</v>
      </c>
      <c r="G14" s="8">
        <v>1400.674328</v>
      </c>
      <c r="H14" s="8">
        <v>1406.3889952</v>
      </c>
      <c r="I14" s="8">
        <v>1611.0982304</v>
      </c>
      <c r="J14" s="8">
        <v>1978.1092048</v>
      </c>
      <c r="K14" s="8">
        <v>2326.7594968000003</v>
      </c>
      <c r="L14" s="8">
        <v>2599.0552232</v>
      </c>
      <c r="M14" s="8">
        <v>2768.9749328000003</v>
      </c>
      <c r="N14" s="8">
        <v>2846.9544208</v>
      </c>
      <c r="O14" s="8">
        <v>2767.084432</v>
      </c>
      <c r="P14" s="8">
        <v>2679.3872296000004</v>
      </c>
      <c r="Q14" s="8">
        <v>2619.1930048</v>
      </c>
      <c r="R14" s="8">
        <v>2604.5957656</v>
      </c>
      <c r="S14" s="8">
        <v>2573.3106888</v>
      </c>
      <c r="T14" s="8">
        <v>2524.6855368</v>
      </c>
      <c r="U14" s="8">
        <v>2466.1217232</v>
      </c>
      <c r="V14" s="8">
        <v>2337.0142184</v>
      </c>
      <c r="W14" s="8">
        <v>2138.0833008000004</v>
      </c>
      <c r="X14" s="8">
        <v>1914.4035800000001</v>
      </c>
      <c r="Y14" s="8">
        <v>1675.4410944</v>
      </c>
      <c r="Z14" s="8">
        <v>1503.9114600000003</v>
      </c>
      <c r="AA14" s="9">
        <f t="shared" si="1"/>
        <v>50594.11286</v>
      </c>
      <c r="AB14" s="9">
        <v>4.0</v>
      </c>
      <c r="AC14" s="9">
        <f t="shared" si="2"/>
        <v>202376.4514</v>
      </c>
      <c r="AD14" s="11"/>
    </row>
    <row r="15" ht="14.25" customHeight="1">
      <c r="A15" s="7">
        <v>47515.0</v>
      </c>
      <c r="B15" s="8" t="s">
        <v>36</v>
      </c>
      <c r="C15" s="8">
        <v>1392.7567600000002</v>
      </c>
      <c r="D15" s="8">
        <v>1323.5826576</v>
      </c>
      <c r="E15" s="8">
        <v>1259.6732776000001</v>
      </c>
      <c r="F15" s="8">
        <v>1227.2022488</v>
      </c>
      <c r="G15" s="8">
        <v>1199.8240112</v>
      </c>
      <c r="H15" s="8">
        <v>1176.2842072</v>
      </c>
      <c r="I15" s="8">
        <v>1214.3071184</v>
      </c>
      <c r="J15" s="8">
        <v>1357.3845000000001</v>
      </c>
      <c r="K15" s="8">
        <v>1545.5675856</v>
      </c>
      <c r="L15" s="8">
        <v>1807.2599751999999</v>
      </c>
      <c r="M15" s="8">
        <v>2018.6613184000003</v>
      </c>
      <c r="N15" s="8">
        <v>2138.3320504</v>
      </c>
      <c r="O15" s="8">
        <v>2179.5539608</v>
      </c>
      <c r="P15" s="8">
        <v>2189.5006712</v>
      </c>
      <c r="Q15" s="8">
        <v>2174.3766672</v>
      </c>
      <c r="R15" s="8">
        <v>2163.8472232</v>
      </c>
      <c r="S15" s="8">
        <v>2112.6551904000003</v>
      </c>
      <c r="T15" s="8">
        <v>2061.3954832</v>
      </c>
      <c r="U15" s="8">
        <v>2032.6999680000001</v>
      </c>
      <c r="V15" s="8">
        <v>1931.4195479999998</v>
      </c>
      <c r="W15" s="8">
        <v>1767.4716696</v>
      </c>
      <c r="X15" s="8">
        <v>1579.1931080000002</v>
      </c>
      <c r="Y15" s="8">
        <v>1409.8074800000002</v>
      </c>
      <c r="Z15" s="8">
        <v>1287.2175928000001</v>
      </c>
      <c r="AA15" s="9">
        <f t="shared" si="1"/>
        <v>40549.97427</v>
      </c>
      <c r="AB15" s="9">
        <v>4.0</v>
      </c>
      <c r="AC15" s="9">
        <f t="shared" si="2"/>
        <v>162199.8971</v>
      </c>
      <c r="AD15" s="12"/>
    </row>
    <row r="16" ht="14.25" customHeight="1">
      <c r="A16" s="7">
        <v>47543.0</v>
      </c>
      <c r="B16" s="8" t="s">
        <v>34</v>
      </c>
      <c r="C16" s="8">
        <v>1431.53796</v>
      </c>
      <c r="D16" s="8">
        <v>1372.9593808</v>
      </c>
      <c r="E16" s="8">
        <v>1340.1938088000002</v>
      </c>
      <c r="F16" s="8">
        <v>1326.7999472000001</v>
      </c>
      <c r="G16" s="8">
        <v>1347.2596408</v>
      </c>
      <c r="H16" s="8">
        <v>1433.722172</v>
      </c>
      <c r="I16" s="8">
        <v>1734.8165720000002</v>
      </c>
      <c r="J16" s="8">
        <v>2176.8236296</v>
      </c>
      <c r="K16" s="8">
        <v>2546.6182096000002</v>
      </c>
      <c r="L16" s="8">
        <v>2796.3499776000003</v>
      </c>
      <c r="M16" s="8">
        <v>2999.524312</v>
      </c>
      <c r="N16" s="8">
        <v>3121.8021304000004</v>
      </c>
      <c r="O16" s="8">
        <v>3080.7381504000004</v>
      </c>
      <c r="P16" s="8">
        <v>3091.2648008</v>
      </c>
      <c r="Q16" s="8">
        <v>3173.1712816</v>
      </c>
      <c r="R16" s="8">
        <v>3174.5106744000004</v>
      </c>
      <c r="S16" s="8">
        <v>3085.0300864</v>
      </c>
      <c r="T16" s="8">
        <v>2879.0983504</v>
      </c>
      <c r="U16" s="8">
        <v>2727.4056368</v>
      </c>
      <c r="V16" s="8">
        <v>2555.0582200000003</v>
      </c>
      <c r="W16" s="8">
        <v>2327.2110712000003</v>
      </c>
      <c r="X16" s="8">
        <v>2068.182968</v>
      </c>
      <c r="Y16" s="8">
        <v>1792.3421536000003</v>
      </c>
      <c r="Z16" s="8">
        <v>1604.0583712</v>
      </c>
      <c r="AA16" s="9">
        <f t="shared" si="1"/>
        <v>55186.47951</v>
      </c>
      <c r="AB16" s="9">
        <v>20.0</v>
      </c>
      <c r="AC16" s="9">
        <f t="shared" si="2"/>
        <v>1103729.59</v>
      </c>
      <c r="AD16" s="10">
        <f>SUM(AC16:AC18)</f>
        <v>1600000</v>
      </c>
    </row>
    <row r="17" ht="14.25" customHeight="1">
      <c r="A17" s="7">
        <v>47543.0</v>
      </c>
      <c r="B17" s="8" t="s">
        <v>35</v>
      </c>
      <c r="C17" s="8">
        <v>1555.536976</v>
      </c>
      <c r="D17" s="8">
        <v>1474.3303216000002</v>
      </c>
      <c r="E17" s="8">
        <v>1429.0501264000002</v>
      </c>
      <c r="F17" s="8">
        <v>1393.9485656000002</v>
      </c>
      <c r="G17" s="8">
        <v>1400.674328</v>
      </c>
      <c r="H17" s="8">
        <v>1406.3889952</v>
      </c>
      <c r="I17" s="8">
        <v>1611.0982304</v>
      </c>
      <c r="J17" s="8">
        <v>1978.1092048</v>
      </c>
      <c r="K17" s="8">
        <v>2326.7594968000003</v>
      </c>
      <c r="L17" s="8">
        <v>2599.0552232</v>
      </c>
      <c r="M17" s="8">
        <v>2768.9749328000003</v>
      </c>
      <c r="N17" s="8">
        <v>2846.9544208</v>
      </c>
      <c r="O17" s="8">
        <v>2767.084432</v>
      </c>
      <c r="P17" s="8">
        <v>2679.3872296000004</v>
      </c>
      <c r="Q17" s="8">
        <v>2619.1930048</v>
      </c>
      <c r="R17" s="8">
        <v>2604.5957656</v>
      </c>
      <c r="S17" s="8">
        <v>2573.3106888</v>
      </c>
      <c r="T17" s="8">
        <v>2524.6855368</v>
      </c>
      <c r="U17" s="8">
        <v>2466.1217232</v>
      </c>
      <c r="V17" s="8">
        <v>2337.0142184</v>
      </c>
      <c r="W17" s="8">
        <v>2138.0833008000004</v>
      </c>
      <c r="X17" s="8">
        <v>1914.4035800000001</v>
      </c>
      <c r="Y17" s="8">
        <v>1675.4410944</v>
      </c>
      <c r="Z17" s="8">
        <v>1503.9114600000003</v>
      </c>
      <c r="AA17" s="9">
        <f t="shared" si="1"/>
        <v>50594.11286</v>
      </c>
      <c r="AB17" s="9">
        <v>5.0</v>
      </c>
      <c r="AC17" s="9">
        <f t="shared" si="2"/>
        <v>252970.5643</v>
      </c>
      <c r="AD17" s="11"/>
    </row>
    <row r="18" ht="14.25" customHeight="1">
      <c r="A18" s="7">
        <v>47543.0</v>
      </c>
      <c r="B18" s="8" t="s">
        <v>36</v>
      </c>
      <c r="C18" s="8">
        <v>1392.7567600000002</v>
      </c>
      <c r="D18" s="8">
        <v>1323.5826576</v>
      </c>
      <c r="E18" s="8">
        <v>1259.6732776000001</v>
      </c>
      <c r="F18" s="8">
        <v>1227.2022488</v>
      </c>
      <c r="G18" s="8">
        <v>1199.8240112</v>
      </c>
      <c r="H18" s="8">
        <v>1176.2842072</v>
      </c>
      <c r="I18" s="8">
        <v>1214.3071184</v>
      </c>
      <c r="J18" s="8">
        <v>1357.3845000000001</v>
      </c>
      <c r="K18" s="8">
        <v>1545.5675856</v>
      </c>
      <c r="L18" s="8">
        <v>1807.2599751999999</v>
      </c>
      <c r="M18" s="8">
        <v>2018.6613184000003</v>
      </c>
      <c r="N18" s="8">
        <v>2138.3320504</v>
      </c>
      <c r="O18" s="8">
        <v>2179.5539608</v>
      </c>
      <c r="P18" s="8">
        <v>2189.5006712</v>
      </c>
      <c r="Q18" s="8">
        <v>2174.3766672</v>
      </c>
      <c r="R18" s="8">
        <v>2163.8472232</v>
      </c>
      <c r="S18" s="8">
        <v>2112.6551904000003</v>
      </c>
      <c r="T18" s="8">
        <v>2061.3954832</v>
      </c>
      <c r="U18" s="8">
        <v>2032.6999680000001</v>
      </c>
      <c r="V18" s="8">
        <v>1931.4195479999998</v>
      </c>
      <c r="W18" s="8">
        <v>1767.4716696</v>
      </c>
      <c r="X18" s="8">
        <v>1579.1931080000002</v>
      </c>
      <c r="Y18" s="8">
        <v>1409.8074800000002</v>
      </c>
      <c r="Z18" s="8">
        <v>1287.2175928000001</v>
      </c>
      <c r="AA18" s="9">
        <f t="shared" si="1"/>
        <v>40549.97427</v>
      </c>
      <c r="AB18" s="9">
        <v>6.0</v>
      </c>
      <c r="AC18" s="9">
        <f t="shared" si="2"/>
        <v>243299.8456</v>
      </c>
      <c r="AD18" s="12"/>
    </row>
    <row r="19" ht="14.25" customHeight="1">
      <c r="A19" s="7">
        <v>47574.0</v>
      </c>
      <c r="B19" s="8" t="s">
        <v>34</v>
      </c>
      <c r="C19" s="8">
        <v>1431.53796</v>
      </c>
      <c r="D19" s="8">
        <v>1372.9593808</v>
      </c>
      <c r="E19" s="8">
        <v>1340.1938088000002</v>
      </c>
      <c r="F19" s="8">
        <v>1326.7999472000001</v>
      </c>
      <c r="G19" s="8">
        <v>1347.2596408</v>
      </c>
      <c r="H19" s="8">
        <v>1433.722172</v>
      </c>
      <c r="I19" s="8">
        <v>1734.8165720000002</v>
      </c>
      <c r="J19" s="8">
        <v>2176.8236296</v>
      </c>
      <c r="K19" s="8">
        <v>2546.6182096000002</v>
      </c>
      <c r="L19" s="8">
        <v>2796.3499776000003</v>
      </c>
      <c r="M19" s="8">
        <v>2999.524312</v>
      </c>
      <c r="N19" s="8">
        <v>3121.8021304000004</v>
      </c>
      <c r="O19" s="8">
        <v>3080.7381504000004</v>
      </c>
      <c r="P19" s="8">
        <v>3091.2648008</v>
      </c>
      <c r="Q19" s="8">
        <v>3173.1712816</v>
      </c>
      <c r="R19" s="8">
        <v>3174.5106744000004</v>
      </c>
      <c r="S19" s="8">
        <v>3085.0300864</v>
      </c>
      <c r="T19" s="8">
        <v>2879.0983504</v>
      </c>
      <c r="U19" s="8">
        <v>2727.4056368</v>
      </c>
      <c r="V19" s="8">
        <v>2555.0582200000003</v>
      </c>
      <c r="W19" s="8">
        <v>2327.2110712000003</v>
      </c>
      <c r="X19" s="8">
        <v>2068.182968</v>
      </c>
      <c r="Y19" s="8">
        <v>1792.3421536000003</v>
      </c>
      <c r="Z19" s="8">
        <v>1604.0583712</v>
      </c>
      <c r="AA19" s="9">
        <f t="shared" si="1"/>
        <v>55186.47951</v>
      </c>
      <c r="AB19" s="9">
        <v>20.0</v>
      </c>
      <c r="AC19" s="9">
        <f t="shared" si="2"/>
        <v>1103729.59</v>
      </c>
      <c r="AD19" s="10">
        <f>SUM(AC19:AC21)</f>
        <v>1549405.887</v>
      </c>
    </row>
    <row r="20" ht="14.25" customHeight="1">
      <c r="A20" s="7">
        <v>47574.0</v>
      </c>
      <c r="B20" s="8" t="s">
        <v>35</v>
      </c>
      <c r="C20" s="8">
        <v>1555.536976</v>
      </c>
      <c r="D20" s="8">
        <v>1474.3303216000002</v>
      </c>
      <c r="E20" s="8">
        <v>1429.0501264000002</v>
      </c>
      <c r="F20" s="8">
        <v>1393.9485656000002</v>
      </c>
      <c r="G20" s="8">
        <v>1400.674328</v>
      </c>
      <c r="H20" s="8">
        <v>1406.3889952</v>
      </c>
      <c r="I20" s="8">
        <v>1611.0982304</v>
      </c>
      <c r="J20" s="8">
        <v>1978.1092048</v>
      </c>
      <c r="K20" s="8">
        <v>2326.7594968000003</v>
      </c>
      <c r="L20" s="8">
        <v>2599.0552232</v>
      </c>
      <c r="M20" s="8">
        <v>2768.9749328000003</v>
      </c>
      <c r="N20" s="8">
        <v>2846.9544208</v>
      </c>
      <c r="O20" s="8">
        <v>2767.084432</v>
      </c>
      <c r="P20" s="8">
        <v>2679.3872296000004</v>
      </c>
      <c r="Q20" s="8">
        <v>2619.1930048</v>
      </c>
      <c r="R20" s="8">
        <v>2604.5957656</v>
      </c>
      <c r="S20" s="8">
        <v>2573.3106888</v>
      </c>
      <c r="T20" s="8">
        <v>2524.6855368</v>
      </c>
      <c r="U20" s="8">
        <v>2466.1217232</v>
      </c>
      <c r="V20" s="8">
        <v>2337.0142184</v>
      </c>
      <c r="W20" s="8">
        <v>2138.0833008000004</v>
      </c>
      <c r="X20" s="8">
        <v>1914.4035800000001</v>
      </c>
      <c r="Y20" s="8">
        <v>1675.4410944</v>
      </c>
      <c r="Z20" s="8">
        <v>1503.9114600000003</v>
      </c>
      <c r="AA20" s="9">
        <f t="shared" si="1"/>
        <v>50594.11286</v>
      </c>
      <c r="AB20" s="9">
        <v>4.0</v>
      </c>
      <c r="AC20" s="9">
        <f t="shared" si="2"/>
        <v>202376.4514</v>
      </c>
      <c r="AD20" s="11"/>
    </row>
    <row r="21" ht="14.25" customHeight="1">
      <c r="A21" s="7">
        <v>47574.0</v>
      </c>
      <c r="B21" s="8" t="s">
        <v>36</v>
      </c>
      <c r="C21" s="8">
        <v>1392.7567600000002</v>
      </c>
      <c r="D21" s="8">
        <v>1323.5826576</v>
      </c>
      <c r="E21" s="8">
        <v>1259.6732776000001</v>
      </c>
      <c r="F21" s="8">
        <v>1227.2022488</v>
      </c>
      <c r="G21" s="8">
        <v>1199.8240112</v>
      </c>
      <c r="H21" s="8">
        <v>1176.2842072</v>
      </c>
      <c r="I21" s="8">
        <v>1214.3071184</v>
      </c>
      <c r="J21" s="8">
        <v>1357.3845000000001</v>
      </c>
      <c r="K21" s="8">
        <v>1545.5675856</v>
      </c>
      <c r="L21" s="8">
        <v>1807.2599751999999</v>
      </c>
      <c r="M21" s="8">
        <v>2018.6613184000003</v>
      </c>
      <c r="N21" s="8">
        <v>2138.3320504</v>
      </c>
      <c r="O21" s="8">
        <v>2179.5539608</v>
      </c>
      <c r="P21" s="8">
        <v>2189.5006712</v>
      </c>
      <c r="Q21" s="8">
        <v>2174.3766672</v>
      </c>
      <c r="R21" s="8">
        <v>2163.8472232</v>
      </c>
      <c r="S21" s="8">
        <v>2112.6551904000003</v>
      </c>
      <c r="T21" s="8">
        <v>2061.3954832</v>
      </c>
      <c r="U21" s="8">
        <v>2032.6999680000001</v>
      </c>
      <c r="V21" s="8">
        <v>1931.4195479999998</v>
      </c>
      <c r="W21" s="8">
        <v>1767.4716696</v>
      </c>
      <c r="X21" s="8">
        <v>1579.1931080000002</v>
      </c>
      <c r="Y21" s="8">
        <v>1409.8074800000002</v>
      </c>
      <c r="Z21" s="8">
        <v>1287.2175928000001</v>
      </c>
      <c r="AA21" s="9">
        <f t="shared" si="1"/>
        <v>40549.97427</v>
      </c>
      <c r="AB21" s="9">
        <v>6.0</v>
      </c>
      <c r="AC21" s="9">
        <f t="shared" si="2"/>
        <v>243299.8456</v>
      </c>
      <c r="AD21" s="12"/>
    </row>
    <row r="22" ht="14.25" customHeight="1">
      <c r="A22" s="7">
        <v>47604.0</v>
      </c>
      <c r="B22" s="8" t="s">
        <v>34</v>
      </c>
      <c r="C22" s="8">
        <v>1431.53796</v>
      </c>
      <c r="D22" s="8">
        <v>1372.9593808</v>
      </c>
      <c r="E22" s="8">
        <v>1340.1938088000002</v>
      </c>
      <c r="F22" s="8">
        <v>1326.7999472000001</v>
      </c>
      <c r="G22" s="8">
        <v>1347.2596408</v>
      </c>
      <c r="H22" s="8">
        <v>1433.722172</v>
      </c>
      <c r="I22" s="8">
        <v>1734.8165720000002</v>
      </c>
      <c r="J22" s="8">
        <v>2176.8236296</v>
      </c>
      <c r="K22" s="8">
        <v>2546.6182096000002</v>
      </c>
      <c r="L22" s="8">
        <v>2796.3499776000003</v>
      </c>
      <c r="M22" s="8">
        <v>2999.524312</v>
      </c>
      <c r="N22" s="8">
        <v>3121.8021304000004</v>
      </c>
      <c r="O22" s="8">
        <v>3080.7381504000004</v>
      </c>
      <c r="P22" s="8">
        <v>3091.2648008</v>
      </c>
      <c r="Q22" s="8">
        <v>3173.1712816</v>
      </c>
      <c r="R22" s="8">
        <v>3174.5106744000004</v>
      </c>
      <c r="S22" s="8">
        <v>3085.0300864</v>
      </c>
      <c r="T22" s="8">
        <v>2879.0983504</v>
      </c>
      <c r="U22" s="8">
        <v>2727.4056368</v>
      </c>
      <c r="V22" s="8">
        <v>2555.0582200000003</v>
      </c>
      <c r="W22" s="8">
        <v>2327.2110712000003</v>
      </c>
      <c r="X22" s="8">
        <v>2068.182968</v>
      </c>
      <c r="Y22" s="8">
        <v>1792.3421536000003</v>
      </c>
      <c r="Z22" s="8">
        <v>1604.0583712</v>
      </c>
      <c r="AA22" s="9">
        <f t="shared" si="1"/>
        <v>55186.47951</v>
      </c>
      <c r="AB22" s="9">
        <v>22.0</v>
      </c>
      <c r="AC22" s="9">
        <f t="shared" si="2"/>
        <v>1214102.549</v>
      </c>
      <c r="AD22" s="10">
        <f>SUM(AC22:AC24)</f>
        <v>1619228.872</v>
      </c>
    </row>
    <row r="23" ht="14.25" customHeight="1">
      <c r="A23" s="7">
        <v>47604.0</v>
      </c>
      <c r="B23" s="8" t="s">
        <v>35</v>
      </c>
      <c r="C23" s="8">
        <v>1555.536976</v>
      </c>
      <c r="D23" s="8">
        <v>1474.3303216000002</v>
      </c>
      <c r="E23" s="8">
        <v>1429.0501264000002</v>
      </c>
      <c r="F23" s="8">
        <v>1393.9485656000002</v>
      </c>
      <c r="G23" s="8">
        <v>1400.674328</v>
      </c>
      <c r="H23" s="8">
        <v>1406.3889952</v>
      </c>
      <c r="I23" s="8">
        <v>1611.0982304</v>
      </c>
      <c r="J23" s="8">
        <v>1978.1092048</v>
      </c>
      <c r="K23" s="8">
        <v>2326.7594968000003</v>
      </c>
      <c r="L23" s="8">
        <v>2599.0552232</v>
      </c>
      <c r="M23" s="8">
        <v>2768.9749328000003</v>
      </c>
      <c r="N23" s="8">
        <v>2846.9544208</v>
      </c>
      <c r="O23" s="8">
        <v>2767.084432</v>
      </c>
      <c r="P23" s="8">
        <v>2679.3872296000004</v>
      </c>
      <c r="Q23" s="8">
        <v>2619.1930048</v>
      </c>
      <c r="R23" s="8">
        <v>2604.5957656</v>
      </c>
      <c r="S23" s="8">
        <v>2573.3106888</v>
      </c>
      <c r="T23" s="8">
        <v>2524.6855368</v>
      </c>
      <c r="U23" s="8">
        <v>2466.1217232</v>
      </c>
      <c r="V23" s="8">
        <v>2337.0142184</v>
      </c>
      <c r="W23" s="8">
        <v>2138.0833008000004</v>
      </c>
      <c r="X23" s="8">
        <v>1914.4035800000001</v>
      </c>
      <c r="Y23" s="8">
        <v>1675.4410944</v>
      </c>
      <c r="Z23" s="8">
        <v>1503.9114600000003</v>
      </c>
      <c r="AA23" s="9">
        <f t="shared" si="1"/>
        <v>50594.11286</v>
      </c>
      <c r="AB23" s="9">
        <v>4.0</v>
      </c>
      <c r="AC23" s="9">
        <f t="shared" si="2"/>
        <v>202376.4514</v>
      </c>
      <c r="AD23" s="11"/>
    </row>
    <row r="24" ht="14.25" customHeight="1">
      <c r="A24" s="7">
        <v>47604.0</v>
      </c>
      <c r="B24" s="8" t="s">
        <v>36</v>
      </c>
      <c r="C24" s="8">
        <v>1392.7567600000002</v>
      </c>
      <c r="D24" s="8">
        <v>1323.5826576</v>
      </c>
      <c r="E24" s="8">
        <v>1259.6732776000001</v>
      </c>
      <c r="F24" s="8">
        <v>1227.2022488</v>
      </c>
      <c r="G24" s="8">
        <v>1199.8240112</v>
      </c>
      <c r="H24" s="8">
        <v>1176.2842072</v>
      </c>
      <c r="I24" s="8">
        <v>1214.3071184</v>
      </c>
      <c r="J24" s="8">
        <v>1357.3845000000001</v>
      </c>
      <c r="K24" s="8">
        <v>1545.5675856</v>
      </c>
      <c r="L24" s="8">
        <v>1807.2599751999999</v>
      </c>
      <c r="M24" s="8">
        <v>2018.6613184000003</v>
      </c>
      <c r="N24" s="8">
        <v>2138.3320504</v>
      </c>
      <c r="O24" s="8">
        <v>2179.5539608</v>
      </c>
      <c r="P24" s="8">
        <v>2189.5006712</v>
      </c>
      <c r="Q24" s="8">
        <v>2174.3766672</v>
      </c>
      <c r="R24" s="8">
        <v>2163.8472232</v>
      </c>
      <c r="S24" s="8">
        <v>2112.6551904000003</v>
      </c>
      <c r="T24" s="8">
        <v>2061.3954832</v>
      </c>
      <c r="U24" s="8">
        <v>2032.6999680000001</v>
      </c>
      <c r="V24" s="8">
        <v>1931.4195479999998</v>
      </c>
      <c r="W24" s="8">
        <v>1767.4716696</v>
      </c>
      <c r="X24" s="8">
        <v>1579.1931080000002</v>
      </c>
      <c r="Y24" s="8">
        <v>1409.8074800000002</v>
      </c>
      <c r="Z24" s="8">
        <v>1287.2175928000001</v>
      </c>
      <c r="AA24" s="9">
        <f t="shared" si="1"/>
        <v>40549.97427</v>
      </c>
      <c r="AB24" s="9">
        <v>5.0</v>
      </c>
      <c r="AC24" s="9">
        <f t="shared" si="2"/>
        <v>202749.8714</v>
      </c>
      <c r="AD24" s="12"/>
    </row>
    <row r="25" ht="14.25" customHeight="1">
      <c r="A25" s="7">
        <v>47635.0</v>
      </c>
      <c r="B25" s="8" t="s">
        <v>34</v>
      </c>
      <c r="C25" s="8">
        <v>1431.53796</v>
      </c>
      <c r="D25" s="8">
        <v>1372.9593808</v>
      </c>
      <c r="E25" s="8">
        <v>1340.1938088000002</v>
      </c>
      <c r="F25" s="8">
        <v>1326.7999472000001</v>
      </c>
      <c r="G25" s="8">
        <v>1347.2596408</v>
      </c>
      <c r="H25" s="8">
        <v>1433.722172</v>
      </c>
      <c r="I25" s="8">
        <v>1734.8165720000002</v>
      </c>
      <c r="J25" s="8">
        <v>2176.8236296</v>
      </c>
      <c r="K25" s="8">
        <v>2546.6182096000002</v>
      </c>
      <c r="L25" s="8">
        <v>2796.3499776000003</v>
      </c>
      <c r="M25" s="8">
        <v>2999.524312</v>
      </c>
      <c r="N25" s="8">
        <v>3121.8021304000004</v>
      </c>
      <c r="O25" s="8">
        <v>3080.7381504000004</v>
      </c>
      <c r="P25" s="8">
        <v>3091.2648008</v>
      </c>
      <c r="Q25" s="8">
        <v>3173.1712816</v>
      </c>
      <c r="R25" s="8">
        <v>3174.5106744000004</v>
      </c>
      <c r="S25" s="8">
        <v>3085.0300864</v>
      </c>
      <c r="T25" s="8">
        <v>2879.0983504</v>
      </c>
      <c r="U25" s="8">
        <v>2727.4056368</v>
      </c>
      <c r="V25" s="8">
        <v>2555.0582200000003</v>
      </c>
      <c r="W25" s="8">
        <v>2327.2110712000003</v>
      </c>
      <c r="X25" s="8">
        <v>2068.182968</v>
      </c>
      <c r="Y25" s="8">
        <v>1792.3421536000003</v>
      </c>
      <c r="Z25" s="8">
        <v>1604.0583712</v>
      </c>
      <c r="AA25" s="9">
        <f t="shared" si="1"/>
        <v>55186.47951</v>
      </c>
      <c r="AB25" s="9">
        <v>18.0</v>
      </c>
      <c r="AC25" s="9">
        <f t="shared" si="2"/>
        <v>993356.6311</v>
      </c>
      <c r="AD25" s="10">
        <f>SUM(AC25:AC27)</f>
        <v>1530177.015</v>
      </c>
    </row>
    <row r="26" ht="14.25" customHeight="1">
      <c r="A26" s="7">
        <v>47635.0</v>
      </c>
      <c r="B26" s="8" t="s">
        <v>35</v>
      </c>
      <c r="C26" s="8">
        <v>1555.536976</v>
      </c>
      <c r="D26" s="8">
        <v>1474.3303216000002</v>
      </c>
      <c r="E26" s="8">
        <v>1429.0501264000002</v>
      </c>
      <c r="F26" s="8">
        <v>1393.9485656000002</v>
      </c>
      <c r="G26" s="8">
        <v>1400.674328</v>
      </c>
      <c r="H26" s="8">
        <v>1406.3889952</v>
      </c>
      <c r="I26" s="8">
        <v>1611.0982304</v>
      </c>
      <c r="J26" s="8">
        <v>1978.1092048</v>
      </c>
      <c r="K26" s="8">
        <v>2326.7594968000003</v>
      </c>
      <c r="L26" s="8">
        <v>2599.0552232</v>
      </c>
      <c r="M26" s="8">
        <v>2768.9749328000003</v>
      </c>
      <c r="N26" s="8">
        <v>2846.9544208</v>
      </c>
      <c r="O26" s="8">
        <v>2767.084432</v>
      </c>
      <c r="P26" s="8">
        <v>2679.3872296000004</v>
      </c>
      <c r="Q26" s="8">
        <v>2619.1930048</v>
      </c>
      <c r="R26" s="8">
        <v>2604.5957656</v>
      </c>
      <c r="S26" s="8">
        <v>2573.3106888</v>
      </c>
      <c r="T26" s="8">
        <v>2524.6855368</v>
      </c>
      <c r="U26" s="8">
        <v>2466.1217232</v>
      </c>
      <c r="V26" s="8">
        <v>2337.0142184</v>
      </c>
      <c r="W26" s="8">
        <v>2138.0833008000004</v>
      </c>
      <c r="X26" s="8">
        <v>1914.4035800000001</v>
      </c>
      <c r="Y26" s="8">
        <v>1675.4410944</v>
      </c>
      <c r="Z26" s="8">
        <v>1503.9114600000003</v>
      </c>
      <c r="AA26" s="9">
        <f t="shared" si="1"/>
        <v>50594.11286</v>
      </c>
      <c r="AB26" s="9">
        <v>5.0</v>
      </c>
      <c r="AC26" s="9">
        <f t="shared" si="2"/>
        <v>252970.5643</v>
      </c>
      <c r="AD26" s="11"/>
    </row>
    <row r="27" ht="14.25" customHeight="1">
      <c r="A27" s="7">
        <v>47635.0</v>
      </c>
      <c r="B27" s="8" t="s">
        <v>36</v>
      </c>
      <c r="C27" s="8">
        <v>1392.7567600000002</v>
      </c>
      <c r="D27" s="8">
        <v>1323.5826576</v>
      </c>
      <c r="E27" s="8">
        <v>1259.6732776000001</v>
      </c>
      <c r="F27" s="8">
        <v>1227.2022488</v>
      </c>
      <c r="G27" s="8">
        <v>1199.8240112</v>
      </c>
      <c r="H27" s="8">
        <v>1176.2842072</v>
      </c>
      <c r="I27" s="8">
        <v>1214.3071184</v>
      </c>
      <c r="J27" s="8">
        <v>1357.3845000000001</v>
      </c>
      <c r="K27" s="8">
        <v>1545.5675856</v>
      </c>
      <c r="L27" s="8">
        <v>1807.2599751999999</v>
      </c>
      <c r="M27" s="8">
        <v>2018.6613184000003</v>
      </c>
      <c r="N27" s="8">
        <v>2138.3320504</v>
      </c>
      <c r="O27" s="8">
        <v>2179.5539608</v>
      </c>
      <c r="P27" s="8">
        <v>2189.5006712</v>
      </c>
      <c r="Q27" s="8">
        <v>2174.3766672</v>
      </c>
      <c r="R27" s="8">
        <v>2163.8472232</v>
      </c>
      <c r="S27" s="8">
        <v>2112.6551904000003</v>
      </c>
      <c r="T27" s="8">
        <v>2061.3954832</v>
      </c>
      <c r="U27" s="8">
        <v>2032.6999680000001</v>
      </c>
      <c r="V27" s="8">
        <v>1931.4195479999998</v>
      </c>
      <c r="W27" s="8">
        <v>1767.4716696</v>
      </c>
      <c r="X27" s="8">
        <v>1579.1931080000002</v>
      </c>
      <c r="Y27" s="8">
        <v>1409.8074800000002</v>
      </c>
      <c r="Z27" s="8">
        <v>1287.2175928000001</v>
      </c>
      <c r="AA27" s="9">
        <f t="shared" si="1"/>
        <v>40549.97427</v>
      </c>
      <c r="AB27" s="9">
        <v>7.0</v>
      </c>
      <c r="AC27" s="9">
        <f t="shared" si="2"/>
        <v>283849.8199</v>
      </c>
      <c r="AD27" s="12"/>
    </row>
    <row r="28" ht="14.25" customHeight="1">
      <c r="A28" s="7">
        <v>47665.0</v>
      </c>
      <c r="B28" s="8" t="s">
        <v>34</v>
      </c>
      <c r="C28" s="8">
        <v>1431.53796</v>
      </c>
      <c r="D28" s="8">
        <v>1372.9593808</v>
      </c>
      <c r="E28" s="8">
        <v>1340.1938088000002</v>
      </c>
      <c r="F28" s="8">
        <v>1326.7999472000001</v>
      </c>
      <c r="G28" s="8">
        <v>1347.2596408</v>
      </c>
      <c r="H28" s="8">
        <v>1433.722172</v>
      </c>
      <c r="I28" s="8">
        <v>1734.8165720000002</v>
      </c>
      <c r="J28" s="8">
        <v>2176.8236296</v>
      </c>
      <c r="K28" s="8">
        <v>2546.6182096000002</v>
      </c>
      <c r="L28" s="8">
        <v>2796.3499776000003</v>
      </c>
      <c r="M28" s="8">
        <v>2999.524312</v>
      </c>
      <c r="N28" s="8">
        <v>3121.8021304000004</v>
      </c>
      <c r="O28" s="8">
        <v>3080.7381504000004</v>
      </c>
      <c r="P28" s="8">
        <v>3091.2648008</v>
      </c>
      <c r="Q28" s="8">
        <v>3173.1712816</v>
      </c>
      <c r="R28" s="8">
        <v>3174.5106744000004</v>
      </c>
      <c r="S28" s="8">
        <v>3085.0300864</v>
      </c>
      <c r="T28" s="8">
        <v>2879.0983504</v>
      </c>
      <c r="U28" s="8">
        <v>2727.4056368</v>
      </c>
      <c r="V28" s="8">
        <v>2555.0582200000003</v>
      </c>
      <c r="W28" s="8">
        <v>2327.2110712000003</v>
      </c>
      <c r="X28" s="8">
        <v>2068.182968</v>
      </c>
      <c r="Y28" s="8">
        <v>1792.3421536000003</v>
      </c>
      <c r="Z28" s="8">
        <v>1604.0583712</v>
      </c>
      <c r="AA28" s="9">
        <f t="shared" si="1"/>
        <v>55186.47951</v>
      </c>
      <c r="AB28" s="9">
        <v>22.0</v>
      </c>
      <c r="AC28" s="9">
        <f t="shared" si="2"/>
        <v>1214102.549</v>
      </c>
      <c r="AD28" s="10">
        <f>SUM(AC28:AC30)</f>
        <v>1609184.733</v>
      </c>
    </row>
    <row r="29" ht="14.25" customHeight="1">
      <c r="A29" s="7">
        <v>47665.0</v>
      </c>
      <c r="B29" s="8" t="s">
        <v>35</v>
      </c>
      <c r="C29" s="8">
        <v>1555.536976</v>
      </c>
      <c r="D29" s="8">
        <v>1474.3303216000002</v>
      </c>
      <c r="E29" s="8">
        <v>1429.0501264000002</v>
      </c>
      <c r="F29" s="8">
        <v>1393.9485656000002</v>
      </c>
      <c r="G29" s="8">
        <v>1400.674328</v>
      </c>
      <c r="H29" s="8">
        <v>1406.3889952</v>
      </c>
      <c r="I29" s="8">
        <v>1611.0982304</v>
      </c>
      <c r="J29" s="8">
        <v>1978.1092048</v>
      </c>
      <c r="K29" s="8">
        <v>2326.7594968000003</v>
      </c>
      <c r="L29" s="8">
        <v>2599.0552232</v>
      </c>
      <c r="M29" s="8">
        <v>2768.9749328000003</v>
      </c>
      <c r="N29" s="8">
        <v>2846.9544208</v>
      </c>
      <c r="O29" s="8">
        <v>2767.084432</v>
      </c>
      <c r="P29" s="8">
        <v>2679.3872296000004</v>
      </c>
      <c r="Q29" s="8">
        <v>2619.1930048</v>
      </c>
      <c r="R29" s="8">
        <v>2604.5957656</v>
      </c>
      <c r="S29" s="8">
        <v>2573.3106888</v>
      </c>
      <c r="T29" s="8">
        <v>2524.6855368</v>
      </c>
      <c r="U29" s="8">
        <v>2466.1217232</v>
      </c>
      <c r="V29" s="8">
        <v>2337.0142184</v>
      </c>
      <c r="W29" s="8">
        <v>2138.0833008000004</v>
      </c>
      <c r="X29" s="8">
        <v>1914.4035800000001</v>
      </c>
      <c r="Y29" s="8">
        <v>1675.4410944</v>
      </c>
      <c r="Z29" s="8">
        <v>1503.9114600000003</v>
      </c>
      <c r="AA29" s="9">
        <f t="shared" si="1"/>
        <v>50594.11286</v>
      </c>
      <c r="AB29" s="9">
        <v>3.0</v>
      </c>
      <c r="AC29" s="9">
        <f t="shared" si="2"/>
        <v>151782.3386</v>
      </c>
      <c r="AD29" s="11"/>
    </row>
    <row r="30" ht="14.25" customHeight="1">
      <c r="A30" s="7">
        <v>47665.0</v>
      </c>
      <c r="B30" s="8" t="s">
        <v>36</v>
      </c>
      <c r="C30" s="8">
        <v>1392.7567600000002</v>
      </c>
      <c r="D30" s="8">
        <v>1323.5826576</v>
      </c>
      <c r="E30" s="8">
        <v>1259.6732776000001</v>
      </c>
      <c r="F30" s="8">
        <v>1227.2022488</v>
      </c>
      <c r="G30" s="8">
        <v>1199.8240112</v>
      </c>
      <c r="H30" s="8">
        <v>1176.2842072</v>
      </c>
      <c r="I30" s="8">
        <v>1214.3071184</v>
      </c>
      <c r="J30" s="8">
        <v>1357.3845000000001</v>
      </c>
      <c r="K30" s="8">
        <v>1545.5675856</v>
      </c>
      <c r="L30" s="8">
        <v>1807.2599751999999</v>
      </c>
      <c r="M30" s="8">
        <v>2018.6613184000003</v>
      </c>
      <c r="N30" s="8">
        <v>2138.3320504</v>
      </c>
      <c r="O30" s="8">
        <v>2179.5539608</v>
      </c>
      <c r="P30" s="8">
        <v>2189.5006712</v>
      </c>
      <c r="Q30" s="8">
        <v>2174.3766672</v>
      </c>
      <c r="R30" s="8">
        <v>2163.8472232</v>
      </c>
      <c r="S30" s="8">
        <v>2112.6551904000003</v>
      </c>
      <c r="T30" s="8">
        <v>2061.3954832</v>
      </c>
      <c r="U30" s="8">
        <v>2032.6999680000001</v>
      </c>
      <c r="V30" s="8">
        <v>1931.4195479999998</v>
      </c>
      <c r="W30" s="8">
        <v>1767.4716696</v>
      </c>
      <c r="X30" s="8">
        <v>1579.1931080000002</v>
      </c>
      <c r="Y30" s="8">
        <v>1409.8074800000002</v>
      </c>
      <c r="Z30" s="8">
        <v>1287.2175928000001</v>
      </c>
      <c r="AA30" s="9">
        <f t="shared" si="1"/>
        <v>40549.97427</v>
      </c>
      <c r="AB30" s="9">
        <v>6.0</v>
      </c>
      <c r="AC30" s="9">
        <f t="shared" si="2"/>
        <v>243299.8456</v>
      </c>
      <c r="AD30" s="12"/>
    </row>
    <row r="31" ht="14.25" customHeight="1">
      <c r="A31" s="7">
        <v>47696.0</v>
      </c>
      <c r="B31" s="8" t="s">
        <v>34</v>
      </c>
      <c r="C31" s="8">
        <v>1431.53796</v>
      </c>
      <c r="D31" s="8">
        <v>1372.9593808</v>
      </c>
      <c r="E31" s="8">
        <v>1340.1938088000002</v>
      </c>
      <c r="F31" s="8">
        <v>1326.7999472000001</v>
      </c>
      <c r="G31" s="8">
        <v>1347.2596408</v>
      </c>
      <c r="H31" s="8">
        <v>1433.722172</v>
      </c>
      <c r="I31" s="8">
        <v>1734.8165720000002</v>
      </c>
      <c r="J31" s="8">
        <v>2176.8236296</v>
      </c>
      <c r="K31" s="8">
        <v>2546.6182096000002</v>
      </c>
      <c r="L31" s="8">
        <v>2796.3499776000003</v>
      </c>
      <c r="M31" s="8">
        <v>2999.524312</v>
      </c>
      <c r="N31" s="8">
        <v>3121.8021304000004</v>
      </c>
      <c r="O31" s="8">
        <v>3080.7381504000004</v>
      </c>
      <c r="P31" s="8">
        <v>3091.2648008</v>
      </c>
      <c r="Q31" s="8">
        <v>3173.1712816</v>
      </c>
      <c r="R31" s="8">
        <v>3174.5106744000004</v>
      </c>
      <c r="S31" s="8">
        <v>3085.0300864</v>
      </c>
      <c r="T31" s="8">
        <v>2879.0983504</v>
      </c>
      <c r="U31" s="8">
        <v>2727.4056368</v>
      </c>
      <c r="V31" s="8">
        <v>2555.0582200000003</v>
      </c>
      <c r="W31" s="8">
        <v>2327.2110712000003</v>
      </c>
      <c r="X31" s="8">
        <v>2068.182968</v>
      </c>
      <c r="Y31" s="8">
        <v>1792.3421536000003</v>
      </c>
      <c r="Z31" s="8">
        <v>1604.0583712</v>
      </c>
      <c r="AA31" s="9">
        <f t="shared" si="1"/>
        <v>55186.47951</v>
      </c>
      <c r="AB31" s="9">
        <v>20.0</v>
      </c>
      <c r="AC31" s="9">
        <f t="shared" si="2"/>
        <v>1103729.59</v>
      </c>
      <c r="AD31" s="10">
        <f>SUM(AC31:AC33)</f>
        <v>1600000</v>
      </c>
    </row>
    <row r="32" ht="14.25" customHeight="1">
      <c r="A32" s="7">
        <v>47696.0</v>
      </c>
      <c r="B32" s="8" t="s">
        <v>35</v>
      </c>
      <c r="C32" s="8">
        <v>1555.536976</v>
      </c>
      <c r="D32" s="8">
        <v>1474.3303216000002</v>
      </c>
      <c r="E32" s="8">
        <v>1429.0501264000002</v>
      </c>
      <c r="F32" s="8">
        <v>1393.9485656000002</v>
      </c>
      <c r="G32" s="8">
        <v>1400.674328</v>
      </c>
      <c r="H32" s="8">
        <v>1406.3889952</v>
      </c>
      <c r="I32" s="8">
        <v>1611.0982304</v>
      </c>
      <c r="J32" s="8">
        <v>1978.1092048</v>
      </c>
      <c r="K32" s="8">
        <v>2326.7594968000003</v>
      </c>
      <c r="L32" s="8">
        <v>2599.0552232</v>
      </c>
      <c r="M32" s="8">
        <v>2768.9749328000003</v>
      </c>
      <c r="N32" s="8">
        <v>2846.9544208</v>
      </c>
      <c r="O32" s="8">
        <v>2767.084432</v>
      </c>
      <c r="P32" s="8">
        <v>2679.3872296000004</v>
      </c>
      <c r="Q32" s="8">
        <v>2619.1930048</v>
      </c>
      <c r="R32" s="8">
        <v>2604.5957656</v>
      </c>
      <c r="S32" s="8">
        <v>2573.3106888</v>
      </c>
      <c r="T32" s="8">
        <v>2524.6855368</v>
      </c>
      <c r="U32" s="8">
        <v>2466.1217232</v>
      </c>
      <c r="V32" s="8">
        <v>2337.0142184</v>
      </c>
      <c r="W32" s="8">
        <v>2138.0833008000004</v>
      </c>
      <c r="X32" s="8">
        <v>1914.4035800000001</v>
      </c>
      <c r="Y32" s="8">
        <v>1675.4410944</v>
      </c>
      <c r="Z32" s="8">
        <v>1503.9114600000003</v>
      </c>
      <c r="AA32" s="9">
        <f t="shared" si="1"/>
        <v>50594.11286</v>
      </c>
      <c r="AB32" s="9">
        <v>5.0</v>
      </c>
      <c r="AC32" s="9">
        <f t="shared" si="2"/>
        <v>252970.5643</v>
      </c>
      <c r="AD32" s="11"/>
    </row>
    <row r="33" ht="14.25" customHeight="1">
      <c r="A33" s="7">
        <v>47696.0</v>
      </c>
      <c r="B33" s="8" t="s">
        <v>36</v>
      </c>
      <c r="C33" s="8">
        <v>1392.7567600000002</v>
      </c>
      <c r="D33" s="8">
        <v>1323.5826576</v>
      </c>
      <c r="E33" s="8">
        <v>1259.6732776000001</v>
      </c>
      <c r="F33" s="8">
        <v>1227.2022488</v>
      </c>
      <c r="G33" s="8">
        <v>1199.8240112</v>
      </c>
      <c r="H33" s="8">
        <v>1176.2842072</v>
      </c>
      <c r="I33" s="8">
        <v>1214.3071184</v>
      </c>
      <c r="J33" s="8">
        <v>1357.3845000000001</v>
      </c>
      <c r="K33" s="8">
        <v>1545.5675856</v>
      </c>
      <c r="L33" s="8">
        <v>1807.2599751999999</v>
      </c>
      <c r="M33" s="8">
        <v>2018.6613184000003</v>
      </c>
      <c r="N33" s="8">
        <v>2138.3320504</v>
      </c>
      <c r="O33" s="8">
        <v>2179.5539608</v>
      </c>
      <c r="P33" s="8">
        <v>2189.5006712</v>
      </c>
      <c r="Q33" s="8">
        <v>2174.3766672</v>
      </c>
      <c r="R33" s="8">
        <v>2163.8472232</v>
      </c>
      <c r="S33" s="8">
        <v>2112.6551904000003</v>
      </c>
      <c r="T33" s="8">
        <v>2061.3954832</v>
      </c>
      <c r="U33" s="8">
        <v>2032.6999680000001</v>
      </c>
      <c r="V33" s="8">
        <v>1931.4195479999998</v>
      </c>
      <c r="W33" s="8">
        <v>1767.4716696</v>
      </c>
      <c r="X33" s="8">
        <v>1579.1931080000002</v>
      </c>
      <c r="Y33" s="8">
        <v>1409.8074800000002</v>
      </c>
      <c r="Z33" s="8">
        <v>1287.2175928000001</v>
      </c>
      <c r="AA33" s="9">
        <f t="shared" si="1"/>
        <v>40549.97427</v>
      </c>
      <c r="AB33" s="9">
        <v>6.0</v>
      </c>
      <c r="AC33" s="9">
        <f t="shared" si="2"/>
        <v>243299.8456</v>
      </c>
      <c r="AD33" s="12"/>
    </row>
    <row r="34" ht="14.25" customHeight="1">
      <c r="A34" s="7">
        <v>47727.0</v>
      </c>
      <c r="B34" s="8" t="s">
        <v>34</v>
      </c>
      <c r="C34" s="8">
        <v>1431.53796</v>
      </c>
      <c r="D34" s="8">
        <v>1372.9593808</v>
      </c>
      <c r="E34" s="8">
        <v>1340.1938088000002</v>
      </c>
      <c r="F34" s="8">
        <v>1326.7999472000001</v>
      </c>
      <c r="G34" s="8">
        <v>1347.2596408</v>
      </c>
      <c r="H34" s="8">
        <v>1433.722172</v>
      </c>
      <c r="I34" s="8">
        <v>1734.8165720000002</v>
      </c>
      <c r="J34" s="8">
        <v>2176.8236296</v>
      </c>
      <c r="K34" s="8">
        <v>2546.6182096000002</v>
      </c>
      <c r="L34" s="8">
        <v>2796.3499776000003</v>
      </c>
      <c r="M34" s="8">
        <v>2999.524312</v>
      </c>
      <c r="N34" s="8">
        <v>3121.8021304000004</v>
      </c>
      <c r="O34" s="8">
        <v>3080.7381504000004</v>
      </c>
      <c r="P34" s="8">
        <v>3091.2648008</v>
      </c>
      <c r="Q34" s="8">
        <v>3173.1712816</v>
      </c>
      <c r="R34" s="8">
        <v>3174.5106744000004</v>
      </c>
      <c r="S34" s="8">
        <v>3085.0300864</v>
      </c>
      <c r="T34" s="8">
        <v>2879.0983504</v>
      </c>
      <c r="U34" s="8">
        <v>2727.4056368</v>
      </c>
      <c r="V34" s="8">
        <v>2555.0582200000003</v>
      </c>
      <c r="W34" s="8">
        <v>2327.2110712000003</v>
      </c>
      <c r="X34" s="8">
        <v>2068.182968</v>
      </c>
      <c r="Y34" s="8">
        <v>1792.3421536000003</v>
      </c>
      <c r="Z34" s="8">
        <v>1604.0583712</v>
      </c>
      <c r="AA34" s="9">
        <f t="shared" si="1"/>
        <v>55186.47951</v>
      </c>
      <c r="AB34" s="9">
        <v>21.0</v>
      </c>
      <c r="AC34" s="9">
        <f t="shared" si="2"/>
        <v>1158916.07</v>
      </c>
      <c r="AD34" s="10">
        <f>SUM(AC34:AC36)</f>
        <v>1564042.392</v>
      </c>
    </row>
    <row r="35" ht="14.25" customHeight="1">
      <c r="A35" s="7">
        <v>47727.0</v>
      </c>
      <c r="B35" s="8" t="s">
        <v>35</v>
      </c>
      <c r="C35" s="8">
        <v>1555.536976</v>
      </c>
      <c r="D35" s="8">
        <v>1474.3303216000002</v>
      </c>
      <c r="E35" s="8">
        <v>1429.0501264000002</v>
      </c>
      <c r="F35" s="8">
        <v>1393.9485656000002</v>
      </c>
      <c r="G35" s="8">
        <v>1400.674328</v>
      </c>
      <c r="H35" s="8">
        <v>1406.3889952</v>
      </c>
      <c r="I35" s="8">
        <v>1611.0982304</v>
      </c>
      <c r="J35" s="8">
        <v>1978.1092048</v>
      </c>
      <c r="K35" s="8">
        <v>2326.7594968000003</v>
      </c>
      <c r="L35" s="8">
        <v>2599.0552232</v>
      </c>
      <c r="M35" s="8">
        <v>2768.9749328000003</v>
      </c>
      <c r="N35" s="8">
        <v>2846.9544208</v>
      </c>
      <c r="O35" s="8">
        <v>2767.084432</v>
      </c>
      <c r="P35" s="8">
        <v>2679.3872296000004</v>
      </c>
      <c r="Q35" s="8">
        <v>2619.1930048</v>
      </c>
      <c r="R35" s="8">
        <v>2604.5957656</v>
      </c>
      <c r="S35" s="8">
        <v>2573.3106888</v>
      </c>
      <c r="T35" s="8">
        <v>2524.6855368</v>
      </c>
      <c r="U35" s="8">
        <v>2466.1217232</v>
      </c>
      <c r="V35" s="8">
        <v>2337.0142184</v>
      </c>
      <c r="W35" s="8">
        <v>2138.0833008000004</v>
      </c>
      <c r="X35" s="8">
        <v>1914.4035800000001</v>
      </c>
      <c r="Y35" s="8">
        <v>1675.4410944</v>
      </c>
      <c r="Z35" s="8">
        <v>1503.9114600000003</v>
      </c>
      <c r="AA35" s="9">
        <f t="shared" si="1"/>
        <v>50594.11286</v>
      </c>
      <c r="AB35" s="9">
        <v>4.0</v>
      </c>
      <c r="AC35" s="9">
        <f t="shared" si="2"/>
        <v>202376.4514</v>
      </c>
      <c r="AD35" s="11"/>
    </row>
    <row r="36" ht="14.25" customHeight="1">
      <c r="A36" s="7">
        <v>47727.0</v>
      </c>
      <c r="B36" s="8" t="s">
        <v>36</v>
      </c>
      <c r="C36" s="8">
        <v>1392.7567600000002</v>
      </c>
      <c r="D36" s="8">
        <v>1323.5826576</v>
      </c>
      <c r="E36" s="8">
        <v>1259.6732776000001</v>
      </c>
      <c r="F36" s="8">
        <v>1227.2022488</v>
      </c>
      <c r="G36" s="8">
        <v>1199.8240112</v>
      </c>
      <c r="H36" s="8">
        <v>1176.2842072</v>
      </c>
      <c r="I36" s="8">
        <v>1214.3071184</v>
      </c>
      <c r="J36" s="8">
        <v>1357.3845000000001</v>
      </c>
      <c r="K36" s="8">
        <v>1545.5675856</v>
      </c>
      <c r="L36" s="8">
        <v>1807.2599751999999</v>
      </c>
      <c r="M36" s="8">
        <v>2018.6613184000003</v>
      </c>
      <c r="N36" s="8">
        <v>2138.3320504</v>
      </c>
      <c r="O36" s="8">
        <v>2179.5539608</v>
      </c>
      <c r="P36" s="8">
        <v>2189.5006712</v>
      </c>
      <c r="Q36" s="8">
        <v>2174.3766672</v>
      </c>
      <c r="R36" s="8">
        <v>2163.8472232</v>
      </c>
      <c r="S36" s="8">
        <v>2112.6551904000003</v>
      </c>
      <c r="T36" s="8">
        <v>2061.3954832</v>
      </c>
      <c r="U36" s="8">
        <v>2032.6999680000001</v>
      </c>
      <c r="V36" s="8">
        <v>1931.4195479999998</v>
      </c>
      <c r="W36" s="8">
        <v>1767.4716696</v>
      </c>
      <c r="X36" s="8">
        <v>1579.1931080000002</v>
      </c>
      <c r="Y36" s="8">
        <v>1409.8074800000002</v>
      </c>
      <c r="Z36" s="8">
        <v>1287.2175928000001</v>
      </c>
      <c r="AA36" s="9">
        <f t="shared" si="1"/>
        <v>40549.97427</v>
      </c>
      <c r="AB36" s="9">
        <v>5.0</v>
      </c>
      <c r="AC36" s="9">
        <f t="shared" si="2"/>
        <v>202749.8714</v>
      </c>
      <c r="AD36" s="12"/>
    </row>
    <row r="37" ht="14.25" customHeight="1">
      <c r="A37" s="7">
        <v>47757.0</v>
      </c>
      <c r="B37" s="8" t="s">
        <v>34</v>
      </c>
      <c r="C37" s="8">
        <v>1431.53796</v>
      </c>
      <c r="D37" s="8">
        <v>1372.9593808</v>
      </c>
      <c r="E37" s="8">
        <v>1340.1938088000002</v>
      </c>
      <c r="F37" s="8">
        <v>1326.7999472000001</v>
      </c>
      <c r="G37" s="8">
        <v>1347.2596408</v>
      </c>
      <c r="H37" s="8">
        <v>1433.722172</v>
      </c>
      <c r="I37" s="8">
        <v>1734.8165720000002</v>
      </c>
      <c r="J37" s="8">
        <v>2176.8236296</v>
      </c>
      <c r="K37" s="8">
        <v>2546.6182096000002</v>
      </c>
      <c r="L37" s="8">
        <v>2796.3499776000003</v>
      </c>
      <c r="M37" s="8">
        <v>2999.524312</v>
      </c>
      <c r="N37" s="8">
        <v>3121.8021304000004</v>
      </c>
      <c r="O37" s="8">
        <v>3080.7381504000004</v>
      </c>
      <c r="P37" s="8">
        <v>3091.2648008</v>
      </c>
      <c r="Q37" s="8">
        <v>3173.1712816</v>
      </c>
      <c r="R37" s="8">
        <v>3174.5106744000004</v>
      </c>
      <c r="S37" s="8">
        <v>3085.0300864</v>
      </c>
      <c r="T37" s="8">
        <v>2879.0983504</v>
      </c>
      <c r="U37" s="8">
        <v>2727.4056368</v>
      </c>
      <c r="V37" s="8">
        <v>2555.0582200000003</v>
      </c>
      <c r="W37" s="8">
        <v>2327.2110712000003</v>
      </c>
      <c r="X37" s="8">
        <v>2068.182968</v>
      </c>
      <c r="Y37" s="8">
        <v>1792.3421536000003</v>
      </c>
      <c r="Z37" s="8">
        <v>1604.0583712</v>
      </c>
      <c r="AA37" s="9">
        <f t="shared" si="1"/>
        <v>55186.47951</v>
      </c>
      <c r="AB37" s="9">
        <v>22.0</v>
      </c>
      <c r="AC37" s="9">
        <f t="shared" si="2"/>
        <v>1214102.549</v>
      </c>
      <c r="AD37" s="10">
        <f>SUM(AC37:AC39)</f>
        <v>1619228.872</v>
      </c>
    </row>
    <row r="38" ht="14.25" customHeight="1">
      <c r="A38" s="7">
        <v>47757.0</v>
      </c>
      <c r="B38" s="8" t="s">
        <v>35</v>
      </c>
      <c r="C38" s="8">
        <v>1555.536976</v>
      </c>
      <c r="D38" s="8">
        <v>1474.3303216000002</v>
      </c>
      <c r="E38" s="8">
        <v>1429.0501264000002</v>
      </c>
      <c r="F38" s="8">
        <v>1393.9485656000002</v>
      </c>
      <c r="G38" s="8">
        <v>1400.674328</v>
      </c>
      <c r="H38" s="8">
        <v>1406.3889952</v>
      </c>
      <c r="I38" s="8">
        <v>1611.0982304</v>
      </c>
      <c r="J38" s="8">
        <v>1978.1092048</v>
      </c>
      <c r="K38" s="8">
        <v>2326.7594968000003</v>
      </c>
      <c r="L38" s="8">
        <v>2599.0552232</v>
      </c>
      <c r="M38" s="8">
        <v>2768.9749328000003</v>
      </c>
      <c r="N38" s="8">
        <v>2846.9544208</v>
      </c>
      <c r="O38" s="8">
        <v>2767.084432</v>
      </c>
      <c r="P38" s="8">
        <v>2679.3872296000004</v>
      </c>
      <c r="Q38" s="8">
        <v>2619.1930048</v>
      </c>
      <c r="R38" s="8">
        <v>2604.5957656</v>
      </c>
      <c r="S38" s="8">
        <v>2573.3106888</v>
      </c>
      <c r="T38" s="8">
        <v>2524.6855368</v>
      </c>
      <c r="U38" s="8">
        <v>2466.1217232</v>
      </c>
      <c r="V38" s="8">
        <v>2337.0142184</v>
      </c>
      <c r="W38" s="8">
        <v>2138.0833008000004</v>
      </c>
      <c r="X38" s="8">
        <v>1914.4035800000001</v>
      </c>
      <c r="Y38" s="8">
        <v>1675.4410944</v>
      </c>
      <c r="Z38" s="8">
        <v>1503.9114600000003</v>
      </c>
      <c r="AA38" s="9">
        <f t="shared" si="1"/>
        <v>50594.11286</v>
      </c>
      <c r="AB38" s="9">
        <v>4.0</v>
      </c>
      <c r="AC38" s="9">
        <f t="shared" si="2"/>
        <v>202376.4514</v>
      </c>
      <c r="AD38" s="11"/>
    </row>
    <row r="39" ht="14.25" customHeight="1">
      <c r="A39" s="7">
        <v>47757.0</v>
      </c>
      <c r="B39" s="8" t="s">
        <v>36</v>
      </c>
      <c r="C39" s="8">
        <v>1392.7567600000002</v>
      </c>
      <c r="D39" s="8">
        <v>1323.5826576</v>
      </c>
      <c r="E39" s="8">
        <v>1259.6732776000001</v>
      </c>
      <c r="F39" s="8">
        <v>1227.2022488</v>
      </c>
      <c r="G39" s="8">
        <v>1199.8240112</v>
      </c>
      <c r="H39" s="8">
        <v>1176.2842072</v>
      </c>
      <c r="I39" s="8">
        <v>1214.3071184</v>
      </c>
      <c r="J39" s="8">
        <v>1357.3845000000001</v>
      </c>
      <c r="K39" s="8">
        <v>1545.5675856</v>
      </c>
      <c r="L39" s="8">
        <v>1807.2599751999999</v>
      </c>
      <c r="M39" s="8">
        <v>2018.6613184000003</v>
      </c>
      <c r="N39" s="8">
        <v>2138.3320504</v>
      </c>
      <c r="O39" s="8">
        <v>2179.5539608</v>
      </c>
      <c r="P39" s="8">
        <v>2189.5006712</v>
      </c>
      <c r="Q39" s="8">
        <v>2174.3766672</v>
      </c>
      <c r="R39" s="8">
        <v>2163.8472232</v>
      </c>
      <c r="S39" s="8">
        <v>2112.6551904000003</v>
      </c>
      <c r="T39" s="8">
        <v>2061.3954832</v>
      </c>
      <c r="U39" s="8">
        <v>2032.6999680000001</v>
      </c>
      <c r="V39" s="8">
        <v>1931.4195479999998</v>
      </c>
      <c r="W39" s="8">
        <v>1767.4716696</v>
      </c>
      <c r="X39" s="8">
        <v>1579.1931080000002</v>
      </c>
      <c r="Y39" s="8">
        <v>1409.8074800000002</v>
      </c>
      <c r="Z39" s="8">
        <v>1287.2175928000001</v>
      </c>
      <c r="AA39" s="9">
        <f t="shared" si="1"/>
        <v>40549.97427</v>
      </c>
      <c r="AB39" s="9">
        <v>5.0</v>
      </c>
      <c r="AC39" s="9">
        <f t="shared" si="2"/>
        <v>202749.8714</v>
      </c>
      <c r="AD39" s="12"/>
    </row>
    <row r="40" ht="14.25" customHeight="1">
      <c r="A40" s="7">
        <v>47788.0</v>
      </c>
      <c r="B40" s="8" t="s">
        <v>34</v>
      </c>
      <c r="C40" s="8">
        <v>1431.53796</v>
      </c>
      <c r="D40" s="8">
        <v>1372.9593808</v>
      </c>
      <c r="E40" s="8">
        <v>1340.1938088000002</v>
      </c>
      <c r="F40" s="8">
        <v>1326.7999472000001</v>
      </c>
      <c r="G40" s="8">
        <v>1347.2596408</v>
      </c>
      <c r="H40" s="8">
        <v>1433.722172</v>
      </c>
      <c r="I40" s="8">
        <v>1734.8165720000002</v>
      </c>
      <c r="J40" s="8">
        <v>2176.8236296</v>
      </c>
      <c r="K40" s="8">
        <v>2546.6182096000002</v>
      </c>
      <c r="L40" s="8">
        <v>2796.3499776000003</v>
      </c>
      <c r="M40" s="8">
        <v>2999.524312</v>
      </c>
      <c r="N40" s="8">
        <v>3121.8021304000004</v>
      </c>
      <c r="O40" s="8">
        <v>3080.7381504000004</v>
      </c>
      <c r="P40" s="8">
        <v>3091.2648008</v>
      </c>
      <c r="Q40" s="8">
        <v>3173.1712816</v>
      </c>
      <c r="R40" s="8">
        <v>3174.5106744000004</v>
      </c>
      <c r="S40" s="8">
        <v>3085.0300864</v>
      </c>
      <c r="T40" s="8">
        <v>2879.0983504</v>
      </c>
      <c r="U40" s="8">
        <v>2727.4056368</v>
      </c>
      <c r="V40" s="8">
        <v>2555.0582200000003</v>
      </c>
      <c r="W40" s="8">
        <v>2327.2110712000003</v>
      </c>
      <c r="X40" s="8">
        <v>2068.182968</v>
      </c>
      <c r="Y40" s="8">
        <v>1792.3421536000003</v>
      </c>
      <c r="Z40" s="8">
        <v>1604.0583712</v>
      </c>
      <c r="AA40" s="9">
        <f t="shared" si="1"/>
        <v>55186.47951</v>
      </c>
      <c r="AB40" s="9">
        <v>19.0</v>
      </c>
      <c r="AC40" s="9">
        <f t="shared" si="2"/>
        <v>1048543.111</v>
      </c>
      <c r="AD40" s="10">
        <f>SUM(AC40:AC42)</f>
        <v>1544813.521</v>
      </c>
    </row>
    <row r="41" ht="14.25" customHeight="1">
      <c r="A41" s="7">
        <v>47788.0</v>
      </c>
      <c r="B41" s="8" t="s">
        <v>35</v>
      </c>
      <c r="C41" s="8">
        <v>1555.536976</v>
      </c>
      <c r="D41" s="8">
        <v>1474.3303216000002</v>
      </c>
      <c r="E41" s="8">
        <v>1429.0501264000002</v>
      </c>
      <c r="F41" s="8">
        <v>1393.9485656000002</v>
      </c>
      <c r="G41" s="8">
        <v>1400.674328</v>
      </c>
      <c r="H41" s="8">
        <v>1406.3889952</v>
      </c>
      <c r="I41" s="8">
        <v>1611.0982304</v>
      </c>
      <c r="J41" s="8">
        <v>1978.1092048</v>
      </c>
      <c r="K41" s="8">
        <v>2326.7594968000003</v>
      </c>
      <c r="L41" s="8">
        <v>2599.0552232</v>
      </c>
      <c r="M41" s="8">
        <v>2768.9749328000003</v>
      </c>
      <c r="N41" s="8">
        <v>2846.9544208</v>
      </c>
      <c r="O41" s="8">
        <v>2767.084432</v>
      </c>
      <c r="P41" s="8">
        <v>2679.3872296000004</v>
      </c>
      <c r="Q41" s="8">
        <v>2619.1930048</v>
      </c>
      <c r="R41" s="8">
        <v>2604.5957656</v>
      </c>
      <c r="S41" s="8">
        <v>2573.3106888</v>
      </c>
      <c r="T41" s="8">
        <v>2524.6855368</v>
      </c>
      <c r="U41" s="8">
        <v>2466.1217232</v>
      </c>
      <c r="V41" s="8">
        <v>2337.0142184</v>
      </c>
      <c r="W41" s="8">
        <v>2138.0833008000004</v>
      </c>
      <c r="X41" s="8">
        <v>1914.4035800000001</v>
      </c>
      <c r="Y41" s="8">
        <v>1675.4410944</v>
      </c>
      <c r="Z41" s="8">
        <v>1503.9114600000003</v>
      </c>
      <c r="AA41" s="9">
        <f t="shared" si="1"/>
        <v>50594.11286</v>
      </c>
      <c r="AB41" s="9">
        <v>5.0</v>
      </c>
      <c r="AC41" s="9">
        <f t="shared" si="2"/>
        <v>252970.5643</v>
      </c>
      <c r="AD41" s="11"/>
    </row>
    <row r="42" ht="14.25" customHeight="1">
      <c r="A42" s="7">
        <v>47788.0</v>
      </c>
      <c r="B42" s="8" t="s">
        <v>36</v>
      </c>
      <c r="C42" s="8">
        <v>1392.7567600000002</v>
      </c>
      <c r="D42" s="8">
        <v>1323.5826576</v>
      </c>
      <c r="E42" s="8">
        <v>1259.6732776000001</v>
      </c>
      <c r="F42" s="8">
        <v>1227.2022488</v>
      </c>
      <c r="G42" s="8">
        <v>1199.8240112</v>
      </c>
      <c r="H42" s="8">
        <v>1176.2842072</v>
      </c>
      <c r="I42" s="8">
        <v>1214.3071184</v>
      </c>
      <c r="J42" s="8">
        <v>1357.3845000000001</v>
      </c>
      <c r="K42" s="8">
        <v>1545.5675856</v>
      </c>
      <c r="L42" s="8">
        <v>1807.2599751999999</v>
      </c>
      <c r="M42" s="8">
        <v>2018.6613184000003</v>
      </c>
      <c r="N42" s="8">
        <v>2138.3320504</v>
      </c>
      <c r="O42" s="8">
        <v>2179.5539608</v>
      </c>
      <c r="P42" s="8">
        <v>2189.5006712</v>
      </c>
      <c r="Q42" s="8">
        <v>2174.3766672</v>
      </c>
      <c r="R42" s="8">
        <v>2163.8472232</v>
      </c>
      <c r="S42" s="8">
        <v>2112.6551904000003</v>
      </c>
      <c r="T42" s="8">
        <v>2061.3954832</v>
      </c>
      <c r="U42" s="8">
        <v>2032.6999680000001</v>
      </c>
      <c r="V42" s="8">
        <v>1931.4195479999998</v>
      </c>
      <c r="W42" s="8">
        <v>1767.4716696</v>
      </c>
      <c r="X42" s="8">
        <v>1579.1931080000002</v>
      </c>
      <c r="Y42" s="8">
        <v>1409.8074800000002</v>
      </c>
      <c r="Z42" s="8">
        <v>1287.2175928000001</v>
      </c>
      <c r="AA42" s="9">
        <f t="shared" si="1"/>
        <v>40549.97427</v>
      </c>
      <c r="AB42" s="9">
        <v>6.0</v>
      </c>
      <c r="AC42" s="9">
        <f t="shared" si="2"/>
        <v>243299.8456</v>
      </c>
      <c r="AD42" s="12"/>
    </row>
    <row r="43" ht="14.25" customHeight="1">
      <c r="A43" s="7">
        <v>47818.0</v>
      </c>
      <c r="B43" s="8" t="s">
        <v>34</v>
      </c>
      <c r="C43" s="8">
        <v>1431.53796</v>
      </c>
      <c r="D43" s="8">
        <v>1372.9593808</v>
      </c>
      <c r="E43" s="8">
        <v>1340.1938088000002</v>
      </c>
      <c r="F43" s="8">
        <v>1326.7999472000001</v>
      </c>
      <c r="G43" s="8">
        <v>1347.2596408</v>
      </c>
      <c r="H43" s="8">
        <v>1433.722172</v>
      </c>
      <c r="I43" s="8">
        <v>1734.8165720000002</v>
      </c>
      <c r="J43" s="8">
        <v>2176.8236296</v>
      </c>
      <c r="K43" s="8">
        <v>2546.6182096000002</v>
      </c>
      <c r="L43" s="8">
        <v>2796.3499776000003</v>
      </c>
      <c r="M43" s="8">
        <v>2999.524312</v>
      </c>
      <c r="N43" s="8">
        <v>3121.8021304000004</v>
      </c>
      <c r="O43" s="8">
        <v>3080.7381504000004</v>
      </c>
      <c r="P43" s="8">
        <v>3091.2648008</v>
      </c>
      <c r="Q43" s="8">
        <v>3173.1712816</v>
      </c>
      <c r="R43" s="8">
        <v>3174.5106744000004</v>
      </c>
      <c r="S43" s="8">
        <v>3085.0300864</v>
      </c>
      <c r="T43" s="8">
        <v>2879.0983504</v>
      </c>
      <c r="U43" s="8">
        <v>2727.4056368</v>
      </c>
      <c r="V43" s="8">
        <v>2555.0582200000003</v>
      </c>
      <c r="W43" s="8">
        <v>2327.2110712000003</v>
      </c>
      <c r="X43" s="8">
        <v>2068.182968</v>
      </c>
      <c r="Y43" s="8">
        <v>1792.3421536000003</v>
      </c>
      <c r="Z43" s="8">
        <v>1604.0583712</v>
      </c>
      <c r="AA43" s="9">
        <f t="shared" si="1"/>
        <v>55186.47951</v>
      </c>
      <c r="AB43" s="9">
        <v>21.0</v>
      </c>
      <c r="AC43" s="9">
        <f t="shared" si="2"/>
        <v>1158916.07</v>
      </c>
      <c r="AD43" s="10">
        <f>SUM(AC43:AC45)</f>
        <v>1604592.367</v>
      </c>
    </row>
    <row r="44" ht="14.25" customHeight="1">
      <c r="A44" s="7">
        <v>47818.0</v>
      </c>
      <c r="B44" s="8" t="s">
        <v>35</v>
      </c>
      <c r="C44" s="8">
        <v>1555.536976</v>
      </c>
      <c r="D44" s="8">
        <v>1474.3303216000002</v>
      </c>
      <c r="E44" s="8">
        <v>1429.0501264000002</v>
      </c>
      <c r="F44" s="8">
        <v>1393.9485656000002</v>
      </c>
      <c r="G44" s="8">
        <v>1400.674328</v>
      </c>
      <c r="H44" s="8">
        <v>1406.3889952</v>
      </c>
      <c r="I44" s="8">
        <v>1611.0982304</v>
      </c>
      <c r="J44" s="8">
        <v>1978.1092048</v>
      </c>
      <c r="K44" s="8">
        <v>2326.7594968000003</v>
      </c>
      <c r="L44" s="8">
        <v>2599.0552232</v>
      </c>
      <c r="M44" s="8">
        <v>2768.9749328000003</v>
      </c>
      <c r="N44" s="8">
        <v>2846.9544208</v>
      </c>
      <c r="O44" s="8">
        <v>2767.084432</v>
      </c>
      <c r="P44" s="8">
        <v>2679.3872296000004</v>
      </c>
      <c r="Q44" s="8">
        <v>2619.1930048</v>
      </c>
      <c r="R44" s="8">
        <v>2604.5957656</v>
      </c>
      <c r="S44" s="8">
        <v>2573.3106888</v>
      </c>
      <c r="T44" s="8">
        <v>2524.6855368</v>
      </c>
      <c r="U44" s="8">
        <v>2466.1217232</v>
      </c>
      <c r="V44" s="8">
        <v>2337.0142184</v>
      </c>
      <c r="W44" s="8">
        <v>2138.0833008000004</v>
      </c>
      <c r="X44" s="8">
        <v>1914.4035800000001</v>
      </c>
      <c r="Y44" s="8">
        <v>1675.4410944</v>
      </c>
      <c r="Z44" s="8">
        <v>1503.9114600000003</v>
      </c>
      <c r="AA44" s="9">
        <f t="shared" si="1"/>
        <v>50594.11286</v>
      </c>
      <c r="AB44" s="9">
        <v>4.0</v>
      </c>
      <c r="AC44" s="9">
        <f t="shared" si="2"/>
        <v>202376.4514</v>
      </c>
      <c r="AD44" s="11"/>
    </row>
    <row r="45" ht="14.25" customHeight="1">
      <c r="A45" s="7">
        <v>47818.0</v>
      </c>
      <c r="B45" s="8" t="s">
        <v>36</v>
      </c>
      <c r="C45" s="8">
        <v>1392.7567600000002</v>
      </c>
      <c r="D45" s="8">
        <v>1323.5826576</v>
      </c>
      <c r="E45" s="8">
        <v>1259.6732776000001</v>
      </c>
      <c r="F45" s="8">
        <v>1227.2022488</v>
      </c>
      <c r="G45" s="8">
        <v>1199.8240112</v>
      </c>
      <c r="H45" s="8">
        <v>1176.2842072</v>
      </c>
      <c r="I45" s="8">
        <v>1214.3071184</v>
      </c>
      <c r="J45" s="8">
        <v>1357.3845000000001</v>
      </c>
      <c r="K45" s="8">
        <v>1545.5675856</v>
      </c>
      <c r="L45" s="8">
        <v>1807.2599751999999</v>
      </c>
      <c r="M45" s="8">
        <v>2018.6613184000003</v>
      </c>
      <c r="N45" s="8">
        <v>2138.3320504</v>
      </c>
      <c r="O45" s="8">
        <v>2179.5539608</v>
      </c>
      <c r="P45" s="8">
        <v>2189.5006712</v>
      </c>
      <c r="Q45" s="8">
        <v>2174.3766672</v>
      </c>
      <c r="R45" s="8">
        <v>2163.8472232</v>
      </c>
      <c r="S45" s="8">
        <v>2112.6551904000003</v>
      </c>
      <c r="T45" s="8">
        <v>2061.3954832</v>
      </c>
      <c r="U45" s="8">
        <v>2032.6999680000001</v>
      </c>
      <c r="V45" s="8">
        <v>1931.4195479999998</v>
      </c>
      <c r="W45" s="8">
        <v>1767.4716696</v>
      </c>
      <c r="X45" s="8">
        <v>1579.1931080000002</v>
      </c>
      <c r="Y45" s="8">
        <v>1409.8074800000002</v>
      </c>
      <c r="Z45" s="8">
        <v>1287.2175928000001</v>
      </c>
      <c r="AA45" s="9">
        <f t="shared" si="1"/>
        <v>40549.97427</v>
      </c>
      <c r="AB45" s="9">
        <v>6.0</v>
      </c>
      <c r="AC45" s="9">
        <f t="shared" si="2"/>
        <v>243299.8456</v>
      </c>
      <c r="AD45" s="12"/>
    </row>
    <row r="46" ht="14.25" customHeight="1">
      <c r="AB46" s="13" t="s">
        <v>32</v>
      </c>
      <c r="AC46" s="9">
        <f t="shared" ref="AC46:AD46" si="3">SUM(AC10:AC45)</f>
        <v>18913571.96</v>
      </c>
      <c r="AD46" s="9">
        <f t="shared" si="3"/>
        <v>18913571.96</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sheetData>
  <mergeCells count="16">
    <mergeCell ref="A1:AC1"/>
    <mergeCell ref="A2:AC2"/>
    <mergeCell ref="A3:AC3"/>
    <mergeCell ref="A4:AC4"/>
    <mergeCell ref="AD10:AD12"/>
    <mergeCell ref="AD13:AD15"/>
    <mergeCell ref="AD16:AD18"/>
    <mergeCell ref="AD40:AD42"/>
    <mergeCell ref="AD43:AD45"/>
    <mergeCell ref="AD19:AD21"/>
    <mergeCell ref="AD22:AD24"/>
    <mergeCell ref="AD25:AD27"/>
    <mergeCell ref="AD28:AD30"/>
    <mergeCell ref="AD31:AD33"/>
    <mergeCell ref="AD34:AD36"/>
    <mergeCell ref="AD37:AD39"/>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0.71"/>
    <col customWidth="1" min="3" max="3" width="16.0"/>
    <col customWidth="1" min="4" max="4" width="13.0"/>
    <col customWidth="1" min="5" max="5" width="14.14"/>
    <col customWidth="1" min="6" max="6" width="10.71"/>
    <col customWidth="1" min="7" max="7" width="14.86"/>
    <col customWidth="1" min="8" max="19" width="10.71"/>
  </cols>
  <sheetData>
    <row r="1" ht="14.25" customHeight="1"/>
    <row r="2" ht="14.25" customHeight="1"/>
    <row r="3" ht="14.25" customHeight="1"/>
    <row r="4" ht="14.25" customHeight="1">
      <c r="A4" s="14" t="s">
        <v>3</v>
      </c>
    </row>
    <row r="5" ht="14.25" customHeight="1">
      <c r="A5" s="15"/>
      <c r="B5" s="14" t="s">
        <v>66</v>
      </c>
    </row>
    <row r="6" ht="14.25" customHeight="1">
      <c r="A6" s="15"/>
      <c r="B6" s="14" t="s">
        <v>38</v>
      </c>
    </row>
    <row r="7" ht="14.25" customHeight="1">
      <c r="A7" s="15"/>
      <c r="B7" s="16" t="s">
        <v>39</v>
      </c>
    </row>
    <row r="8" ht="14.25" customHeight="1">
      <c r="A8" s="15"/>
      <c r="B8" s="17" t="s">
        <v>40</v>
      </c>
    </row>
    <row r="9" ht="14.25" customHeight="1">
      <c r="A9" s="15"/>
      <c r="B9" s="16"/>
      <c r="C9" s="16"/>
      <c r="D9" s="16"/>
      <c r="E9" s="16"/>
    </row>
    <row r="10" ht="14.25" customHeight="1">
      <c r="A10" s="15"/>
      <c r="B10" s="44" t="s">
        <v>41</v>
      </c>
      <c r="C10" s="45"/>
      <c r="D10" s="45"/>
      <c r="E10" s="45"/>
      <c r="F10" s="46"/>
    </row>
    <row r="11">
      <c r="A11" s="15"/>
      <c r="B11" s="47" t="s">
        <v>4</v>
      </c>
      <c r="C11" s="48" t="s">
        <v>42</v>
      </c>
      <c r="D11" s="62" t="s">
        <v>43</v>
      </c>
      <c r="E11" s="62" t="s">
        <v>44</v>
      </c>
      <c r="F11" s="63" t="s">
        <v>45</v>
      </c>
    </row>
    <row r="12" ht="14.25" customHeight="1">
      <c r="A12" s="15"/>
      <c r="B12" s="49">
        <v>47514.0</v>
      </c>
      <c r="C12" s="64">
        <f>'Cant. Requeridas Producto 5'!AD10</f>
        <v>1604592.367</v>
      </c>
      <c r="D12" s="67"/>
      <c r="E12" s="68"/>
      <c r="F12" s="69"/>
    </row>
    <row r="13" ht="14.25" customHeight="1">
      <c r="A13" s="15"/>
      <c r="B13" s="49">
        <v>47515.0</v>
      </c>
      <c r="C13" s="64">
        <f>'Cant. Requeridas Producto 5'!AD13</f>
        <v>1468305.939</v>
      </c>
      <c r="D13" s="70"/>
      <c r="E13" s="65">
        <f t="shared" ref="E13:E23" si="1">C13*$D$13</f>
        <v>0</v>
      </c>
      <c r="F13" s="70"/>
    </row>
    <row r="14" ht="14.25" customHeight="1">
      <c r="A14" s="15"/>
      <c r="B14" s="49">
        <v>47543.0</v>
      </c>
      <c r="C14" s="64">
        <f>'Cant. Requeridas Producto 5'!AD16</f>
        <v>1600000</v>
      </c>
      <c r="D14" s="70"/>
      <c r="E14" s="65">
        <f t="shared" si="1"/>
        <v>0</v>
      </c>
      <c r="F14" s="70"/>
    </row>
    <row r="15" ht="14.25" customHeight="1">
      <c r="A15" s="15"/>
      <c r="B15" s="49">
        <v>47574.0</v>
      </c>
      <c r="C15" s="64">
        <f>'Cant. Requeridas Producto 5'!AD19</f>
        <v>1549405.887</v>
      </c>
      <c r="D15" s="70"/>
      <c r="E15" s="65">
        <f t="shared" si="1"/>
        <v>0</v>
      </c>
      <c r="F15" s="70"/>
    </row>
    <row r="16" ht="14.25" customHeight="1">
      <c r="A16" s="15"/>
      <c r="B16" s="49">
        <v>47604.0</v>
      </c>
      <c r="C16" s="65">
        <f>'Cant. Requeridas Producto 5'!AD22</f>
        <v>1619228.872</v>
      </c>
      <c r="D16" s="70"/>
      <c r="E16" s="65">
        <f t="shared" si="1"/>
        <v>0</v>
      </c>
      <c r="F16" s="70"/>
    </row>
    <row r="17" ht="14.25" customHeight="1">
      <c r="A17" s="15"/>
      <c r="B17" s="49">
        <v>47635.0</v>
      </c>
      <c r="C17" s="65">
        <f>'Cant. Requeridas Producto 5'!AD25</f>
        <v>1530177.015</v>
      </c>
      <c r="D17" s="70"/>
      <c r="E17" s="65">
        <f t="shared" si="1"/>
        <v>0</v>
      </c>
      <c r="F17" s="70"/>
    </row>
    <row r="18" ht="14.25" customHeight="1">
      <c r="A18" s="15"/>
      <c r="B18" s="49">
        <v>47665.0</v>
      </c>
      <c r="C18" s="65">
        <f>'Cant. Requeridas Producto 5'!AD28</f>
        <v>1609184.733</v>
      </c>
      <c r="D18" s="70"/>
      <c r="E18" s="65">
        <f t="shared" si="1"/>
        <v>0</v>
      </c>
      <c r="F18" s="70"/>
    </row>
    <row r="19" ht="14.25" customHeight="1">
      <c r="A19" s="15"/>
      <c r="B19" s="49">
        <v>47696.0</v>
      </c>
      <c r="C19" s="65">
        <f>'Cant. Requeridas Producto 5'!AD31</f>
        <v>1600000</v>
      </c>
      <c r="D19" s="70"/>
      <c r="E19" s="65">
        <f t="shared" si="1"/>
        <v>0</v>
      </c>
      <c r="F19" s="70"/>
    </row>
    <row r="20" ht="14.25" customHeight="1">
      <c r="A20" s="15"/>
      <c r="B20" s="49">
        <v>47727.0</v>
      </c>
      <c r="C20" s="65">
        <f>'Cant. Requeridas Producto 5'!AD34</f>
        <v>1564042.392</v>
      </c>
      <c r="D20" s="70"/>
      <c r="E20" s="65">
        <f t="shared" si="1"/>
        <v>0</v>
      </c>
      <c r="F20" s="70"/>
    </row>
    <row r="21" ht="14.25" customHeight="1">
      <c r="A21" s="15"/>
      <c r="B21" s="49">
        <v>47757.0</v>
      </c>
      <c r="C21" s="65">
        <f>'Cant. Requeridas Producto 5'!AD37</f>
        <v>1619228.872</v>
      </c>
      <c r="D21" s="70"/>
      <c r="E21" s="65">
        <f t="shared" si="1"/>
        <v>0</v>
      </c>
      <c r="F21" s="70"/>
    </row>
    <row r="22" ht="14.25" customHeight="1">
      <c r="A22" s="15"/>
      <c r="B22" s="49">
        <v>47788.0</v>
      </c>
      <c r="C22" s="64">
        <f>'Cant. Requeridas Producto 5'!AD40</f>
        <v>1544813.521</v>
      </c>
      <c r="D22" s="70"/>
      <c r="E22" s="65">
        <f t="shared" si="1"/>
        <v>0</v>
      </c>
      <c r="F22" s="70"/>
    </row>
    <row r="23" ht="14.25" customHeight="1">
      <c r="A23" s="15"/>
      <c r="B23" s="49">
        <v>47818.0</v>
      </c>
      <c r="C23" s="64">
        <f>'Cant. Requeridas Producto 5'!AD43</f>
        <v>1604592.367</v>
      </c>
      <c r="D23" s="71"/>
      <c r="E23" s="65">
        <f t="shared" si="1"/>
        <v>0</v>
      </c>
      <c r="F23" s="71"/>
    </row>
    <row r="24" ht="14.25" customHeight="1">
      <c r="A24" s="15"/>
      <c r="B24" s="59" t="s">
        <v>32</v>
      </c>
      <c r="C24" s="60">
        <f>SUM(C12:C23)</f>
        <v>18913571.96</v>
      </c>
      <c r="D24" s="66"/>
      <c r="E24" s="60">
        <f>SUM(E12:E23)</f>
        <v>0</v>
      </c>
      <c r="F24" s="66"/>
    </row>
    <row r="25" ht="14.25" customHeight="1">
      <c r="A25" s="15"/>
      <c r="B25" s="16"/>
      <c r="C25" s="38"/>
      <c r="D25" s="16"/>
      <c r="E25" s="16"/>
    </row>
    <row r="26" ht="14.25" customHeight="1">
      <c r="C26" s="39"/>
    </row>
    <row r="27" ht="30.0" customHeight="1">
      <c r="B27" s="40" t="s">
        <v>46</v>
      </c>
      <c r="E27" s="41"/>
    </row>
    <row r="28" ht="38.25" customHeight="1">
      <c r="B28" s="40" t="s">
        <v>67</v>
      </c>
      <c r="I28" s="40"/>
    </row>
    <row r="29" ht="44.25" customHeight="1">
      <c r="B29" s="40" t="s">
        <v>63</v>
      </c>
      <c r="I29" s="40"/>
    </row>
    <row r="30" ht="14.25" customHeight="1">
      <c r="B30" s="42"/>
    </row>
    <row r="31" ht="14.25" customHeight="1"/>
    <row r="32" ht="14.25" customHeight="1"/>
    <row r="33" ht="14.25" customHeight="1">
      <c r="B33" s="43"/>
      <c r="C33" s="43"/>
    </row>
    <row r="34" ht="14.25" customHeight="1">
      <c r="B34" s="4" t="s">
        <v>49</v>
      </c>
    </row>
    <row r="35" ht="14.25" customHeight="1">
      <c r="B35" s="4" t="s">
        <v>50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4">
    <mergeCell ref="D12:D23"/>
    <mergeCell ref="B27:D27"/>
    <mergeCell ref="B28:E28"/>
    <mergeCell ref="I28:N28"/>
    <mergeCell ref="B29:E29"/>
    <mergeCell ref="I29:N29"/>
    <mergeCell ref="B30:E30"/>
    <mergeCell ref="A4:F4"/>
    <mergeCell ref="B5:E5"/>
    <mergeCell ref="B6:E6"/>
    <mergeCell ref="B7:E7"/>
    <mergeCell ref="B8:E8"/>
    <mergeCell ref="B10:F10"/>
    <mergeCell ref="F12:F2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4" width="10.71"/>
    <col customWidth="1" min="5" max="5" width="11.29"/>
    <col customWidth="1" min="6" max="26" width="10.71"/>
    <col customWidth="1" min="27" max="27" width="13.43"/>
    <col customWidth="1" min="28" max="28" width="7.86"/>
    <col customWidth="1" min="29" max="30" width="18.43"/>
  </cols>
  <sheetData>
    <row r="1" ht="14.25" customHeight="1">
      <c r="A1" s="1" t="s">
        <v>0</v>
      </c>
      <c r="AD1" s="1"/>
    </row>
    <row r="2" ht="14.25" customHeight="1">
      <c r="A2" s="1" t="s">
        <v>68</v>
      </c>
      <c r="AD2" s="1"/>
    </row>
    <row r="3" ht="14.25" customHeight="1">
      <c r="A3" s="1" t="s">
        <v>69</v>
      </c>
      <c r="AD3" s="1"/>
    </row>
    <row r="4" ht="14.25" customHeight="1">
      <c r="A4" s="1" t="s">
        <v>3</v>
      </c>
      <c r="AD4" s="1"/>
    </row>
    <row r="5" ht="14.25" customHeight="1">
      <c r="A5" s="2"/>
      <c r="B5" s="3"/>
      <c r="C5" s="3"/>
      <c r="D5" s="3"/>
      <c r="E5" s="2"/>
      <c r="F5" s="2"/>
      <c r="G5" s="2"/>
      <c r="H5" s="2"/>
      <c r="I5" s="2"/>
      <c r="J5" s="2"/>
      <c r="K5" s="2"/>
      <c r="L5" s="2"/>
      <c r="M5" s="2"/>
      <c r="N5" s="2"/>
      <c r="O5" s="2"/>
      <c r="P5" s="2"/>
      <c r="Q5" s="2"/>
      <c r="R5" s="2"/>
      <c r="S5" s="2"/>
      <c r="T5" s="2"/>
      <c r="U5" s="2"/>
      <c r="V5" s="2"/>
      <c r="W5" s="4"/>
      <c r="X5" s="4"/>
      <c r="Y5" s="4"/>
      <c r="Z5" s="4"/>
      <c r="AA5" s="4"/>
      <c r="AB5" s="4"/>
    </row>
    <row r="6" ht="14.25" customHeight="1">
      <c r="A6" s="2"/>
      <c r="B6" s="3"/>
      <c r="C6" s="3"/>
      <c r="D6" s="3"/>
      <c r="E6" s="2"/>
      <c r="F6" s="2"/>
      <c r="G6" s="2"/>
      <c r="H6" s="2"/>
      <c r="I6" s="2"/>
      <c r="J6" s="2"/>
      <c r="K6" s="2"/>
      <c r="L6" s="2"/>
      <c r="M6" s="2"/>
      <c r="N6" s="2"/>
      <c r="O6" s="2"/>
      <c r="P6" s="2"/>
      <c r="Q6" s="2"/>
      <c r="R6" s="2"/>
      <c r="S6" s="2"/>
      <c r="T6" s="2"/>
      <c r="U6" s="2"/>
      <c r="V6" s="2"/>
      <c r="W6" s="4"/>
      <c r="X6" s="4"/>
      <c r="Y6" s="4"/>
      <c r="Z6" s="4"/>
      <c r="AA6" s="4"/>
      <c r="AB6" s="4"/>
    </row>
    <row r="7" ht="14.25" customHeight="1">
      <c r="A7" s="2"/>
      <c r="B7" s="3"/>
      <c r="C7" s="3"/>
      <c r="D7" s="3"/>
      <c r="E7" s="2"/>
      <c r="F7" s="2"/>
      <c r="G7" s="2"/>
      <c r="H7" s="2"/>
      <c r="I7" s="2"/>
      <c r="J7" s="2"/>
      <c r="K7" s="2"/>
      <c r="L7" s="2"/>
      <c r="M7" s="2"/>
      <c r="N7" s="2"/>
      <c r="O7" s="2"/>
      <c r="P7" s="2"/>
      <c r="Q7" s="2"/>
      <c r="R7" s="2"/>
      <c r="S7" s="2"/>
      <c r="T7" s="2"/>
      <c r="U7" s="2"/>
      <c r="V7" s="2"/>
      <c r="W7" s="2"/>
      <c r="X7" s="2"/>
      <c r="Y7" s="2"/>
      <c r="Z7" s="2"/>
      <c r="AA7" s="2"/>
      <c r="AB7" s="2"/>
    </row>
    <row r="8" ht="14.25" customHeight="1">
      <c r="A8" s="2"/>
      <c r="B8" s="3"/>
      <c r="C8" s="3"/>
      <c r="D8" s="3"/>
      <c r="E8" s="2"/>
      <c r="F8" s="2"/>
      <c r="G8" s="2"/>
      <c r="H8" s="2"/>
      <c r="I8" s="2"/>
      <c r="J8" s="2"/>
      <c r="K8" s="2"/>
      <c r="L8" s="2"/>
      <c r="M8" s="2"/>
      <c r="N8" s="2"/>
      <c r="O8" s="2"/>
      <c r="P8" s="2"/>
      <c r="Q8" s="2"/>
      <c r="R8" s="2"/>
      <c r="S8" s="2"/>
      <c r="T8" s="2"/>
      <c r="U8" s="2"/>
      <c r="V8" s="2"/>
      <c r="W8" s="2"/>
      <c r="X8" s="2"/>
      <c r="Y8" s="2"/>
      <c r="Z8" s="2"/>
      <c r="AA8" s="2"/>
      <c r="AB8" s="2"/>
    </row>
    <row r="9" ht="14.25" customHeight="1">
      <c r="A9" s="5" t="s">
        <v>4</v>
      </c>
      <c r="B9" s="6" t="s">
        <v>5</v>
      </c>
      <c r="C9" s="6" t="s">
        <v>6</v>
      </c>
      <c r="D9" s="6" t="s">
        <v>7</v>
      </c>
      <c r="E9" s="6"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row>
    <row r="10" ht="14.25" customHeight="1">
      <c r="A10" s="7">
        <v>46388.0</v>
      </c>
      <c r="B10" s="8" t="s">
        <v>34</v>
      </c>
      <c r="C10" s="8">
        <v>2326.249185</v>
      </c>
      <c r="D10" s="8">
        <v>2231.0589938</v>
      </c>
      <c r="E10" s="8">
        <v>2177.8149393000003</v>
      </c>
      <c r="F10" s="8">
        <v>2156.0499142</v>
      </c>
      <c r="G10" s="8">
        <v>2189.2969163</v>
      </c>
      <c r="H10" s="8">
        <v>2329.7985295</v>
      </c>
      <c r="I10" s="8">
        <v>2819.0769295000005</v>
      </c>
      <c r="J10" s="8">
        <v>3537.3383981</v>
      </c>
      <c r="K10" s="8">
        <v>4138.2545906000005</v>
      </c>
      <c r="L10" s="8">
        <v>4544.068713600001</v>
      </c>
      <c r="M10" s="8">
        <v>4874.227007</v>
      </c>
      <c r="N10" s="8">
        <v>5072.9284619</v>
      </c>
      <c r="O10" s="8">
        <v>5006.199494400001</v>
      </c>
      <c r="P10" s="8">
        <v>5023.3053013</v>
      </c>
      <c r="Q10" s="8">
        <v>5156.4033326</v>
      </c>
      <c r="R10" s="8">
        <v>5158.579845900001</v>
      </c>
      <c r="S10" s="8">
        <v>5013.1738904</v>
      </c>
      <c r="T10" s="8">
        <v>4678.5348194</v>
      </c>
      <c r="U10" s="8">
        <v>4432.0341598</v>
      </c>
      <c r="V10" s="8">
        <v>4151.9696075</v>
      </c>
      <c r="W10" s="8">
        <v>3781.7179907000004</v>
      </c>
      <c r="X10" s="8">
        <v>3360.797323</v>
      </c>
      <c r="Y10" s="8">
        <v>2912.5559996</v>
      </c>
      <c r="Z10" s="8">
        <v>2606.5948532</v>
      </c>
      <c r="AA10" s="9">
        <f t="shared" ref="AA10:AA225" si="1">SUM(C10:Z10)</f>
        <v>89678.0292</v>
      </c>
      <c r="AB10" s="9">
        <v>19.0</v>
      </c>
      <c r="AC10" s="9">
        <f t="shared" ref="AC10:AC225" si="2">AA10*AB10</f>
        <v>1703882.555</v>
      </c>
      <c r="AD10" s="10">
        <f>SUM(AC10:AC12)</f>
        <v>2576215.679</v>
      </c>
    </row>
    <row r="11" ht="14.25" customHeight="1">
      <c r="A11" s="7">
        <v>46388.0</v>
      </c>
      <c r="B11" s="8" t="s">
        <v>35</v>
      </c>
      <c r="C11" s="8">
        <v>2527.747586</v>
      </c>
      <c r="D11" s="8">
        <v>2395.7867726</v>
      </c>
      <c r="E11" s="8">
        <v>2322.2064554000003</v>
      </c>
      <c r="F11" s="8">
        <v>2265.1664191</v>
      </c>
      <c r="G11" s="8">
        <v>2276.095783</v>
      </c>
      <c r="H11" s="8">
        <v>2285.3821172</v>
      </c>
      <c r="I11" s="8">
        <v>2618.0346243999998</v>
      </c>
      <c r="J11" s="8">
        <v>3214.4274578</v>
      </c>
      <c r="K11" s="8">
        <v>3780.9841823</v>
      </c>
      <c r="L11" s="8">
        <v>4223.4647377</v>
      </c>
      <c r="M11" s="8">
        <v>4499.5842658</v>
      </c>
      <c r="N11" s="8">
        <v>4626.3009338</v>
      </c>
      <c r="O11" s="8">
        <v>4496.512202</v>
      </c>
      <c r="P11" s="8">
        <v>4354.0042481</v>
      </c>
      <c r="Q11" s="8">
        <v>4256.1886328</v>
      </c>
      <c r="R11" s="8">
        <v>4232.4681191</v>
      </c>
      <c r="S11" s="8">
        <v>4181.6298693</v>
      </c>
      <c r="T11" s="8">
        <v>4102.6139973</v>
      </c>
      <c r="U11" s="8">
        <v>4007.4478002</v>
      </c>
      <c r="V11" s="8">
        <v>3797.6481049000004</v>
      </c>
      <c r="W11" s="8">
        <v>3474.3853638000005</v>
      </c>
      <c r="X11" s="8">
        <v>3110.9058175000005</v>
      </c>
      <c r="Y11" s="8">
        <v>2722.5917784</v>
      </c>
      <c r="Z11" s="8">
        <v>2443.8561225000003</v>
      </c>
      <c r="AA11" s="9">
        <f t="shared" si="1"/>
        <v>82215.43339</v>
      </c>
      <c r="AB11" s="9">
        <v>5.0</v>
      </c>
      <c r="AC11" s="9">
        <f t="shared" si="2"/>
        <v>411077.167</v>
      </c>
      <c r="AD11" s="11"/>
    </row>
    <row r="12" ht="14.25" customHeight="1">
      <c r="A12" s="7">
        <v>46388.0</v>
      </c>
      <c r="B12" s="8" t="s">
        <v>36</v>
      </c>
      <c r="C12" s="8">
        <v>2263.2297350000003</v>
      </c>
      <c r="D12" s="8">
        <v>2150.8218186</v>
      </c>
      <c r="E12" s="8">
        <v>2046.9690761000002</v>
      </c>
      <c r="F12" s="8">
        <v>1994.2036543000002</v>
      </c>
      <c r="G12" s="8">
        <v>1949.7140182</v>
      </c>
      <c r="H12" s="8">
        <v>1911.4618367</v>
      </c>
      <c r="I12" s="8">
        <v>1973.2490674</v>
      </c>
      <c r="J12" s="8">
        <v>2205.7498125</v>
      </c>
      <c r="K12" s="8">
        <v>2511.5473266</v>
      </c>
      <c r="L12" s="8">
        <v>2936.7974596999998</v>
      </c>
      <c r="M12" s="8">
        <v>3280.3246424000004</v>
      </c>
      <c r="N12" s="8">
        <v>3474.7895819</v>
      </c>
      <c r="O12" s="8">
        <v>3541.7751863</v>
      </c>
      <c r="P12" s="8">
        <v>3557.9385907</v>
      </c>
      <c r="Q12" s="8">
        <v>3533.3620842000005</v>
      </c>
      <c r="R12" s="8">
        <v>3516.2517377</v>
      </c>
      <c r="S12" s="8">
        <v>3433.0646844000003</v>
      </c>
      <c r="T12" s="8">
        <v>3349.7676602</v>
      </c>
      <c r="U12" s="8">
        <v>3303.1374480000004</v>
      </c>
      <c r="V12" s="8">
        <v>3138.5567655</v>
      </c>
      <c r="W12" s="8">
        <v>2872.1414631000002</v>
      </c>
      <c r="X12" s="8">
        <v>2566.1888005</v>
      </c>
      <c r="Y12" s="8">
        <v>2290.937155</v>
      </c>
      <c r="Z12" s="8">
        <v>2091.7285883</v>
      </c>
      <c r="AA12" s="9">
        <f t="shared" si="1"/>
        <v>65893.70819</v>
      </c>
      <c r="AB12" s="9">
        <v>7.0</v>
      </c>
      <c r="AC12" s="9">
        <f t="shared" si="2"/>
        <v>461255.9574</v>
      </c>
      <c r="AD12" s="12"/>
    </row>
    <row r="13" ht="14.25" customHeight="1">
      <c r="A13" s="7">
        <v>46419.0</v>
      </c>
      <c r="B13" s="8" t="s">
        <v>34</v>
      </c>
      <c r="C13" s="8">
        <v>2326.249185</v>
      </c>
      <c r="D13" s="8">
        <v>2231.0589938</v>
      </c>
      <c r="E13" s="8">
        <v>2177.8149393000003</v>
      </c>
      <c r="F13" s="8">
        <v>2156.0499142</v>
      </c>
      <c r="G13" s="8">
        <v>2189.2969163</v>
      </c>
      <c r="H13" s="8">
        <v>2329.7985295</v>
      </c>
      <c r="I13" s="8">
        <v>2819.0769295000005</v>
      </c>
      <c r="J13" s="8">
        <v>3537.3383981</v>
      </c>
      <c r="K13" s="8">
        <v>4138.2545906000005</v>
      </c>
      <c r="L13" s="8">
        <v>4544.068713600001</v>
      </c>
      <c r="M13" s="8">
        <v>4874.227007</v>
      </c>
      <c r="N13" s="8">
        <v>5072.9284619</v>
      </c>
      <c r="O13" s="8">
        <v>5006.199494400001</v>
      </c>
      <c r="P13" s="8">
        <v>5023.3053013</v>
      </c>
      <c r="Q13" s="8">
        <v>5156.4033326</v>
      </c>
      <c r="R13" s="8">
        <v>5158.579845900001</v>
      </c>
      <c r="S13" s="8">
        <v>5013.1738904</v>
      </c>
      <c r="T13" s="8">
        <v>4678.5348194</v>
      </c>
      <c r="U13" s="8">
        <v>4432.0341598</v>
      </c>
      <c r="V13" s="8">
        <v>4151.9696075</v>
      </c>
      <c r="W13" s="8">
        <v>3781.7179907000004</v>
      </c>
      <c r="X13" s="8">
        <v>3360.797323</v>
      </c>
      <c r="Y13" s="8">
        <v>2912.5559996</v>
      </c>
      <c r="Z13" s="8">
        <v>2606.5948532</v>
      </c>
      <c r="AA13" s="9">
        <f t="shared" si="1"/>
        <v>89678.0292</v>
      </c>
      <c r="AB13" s="9">
        <v>20.0</v>
      </c>
      <c r="AC13" s="9">
        <f t="shared" si="2"/>
        <v>1793560.584</v>
      </c>
      <c r="AD13" s="10">
        <f>SUM(AC13:AC15)</f>
        <v>2385997.15</v>
      </c>
    </row>
    <row r="14" ht="14.25" customHeight="1">
      <c r="A14" s="7">
        <v>46419.0</v>
      </c>
      <c r="B14" s="8" t="s">
        <v>35</v>
      </c>
      <c r="C14" s="8">
        <v>2527.747586</v>
      </c>
      <c r="D14" s="8">
        <v>2395.7867726</v>
      </c>
      <c r="E14" s="8">
        <v>2322.2064554000003</v>
      </c>
      <c r="F14" s="8">
        <v>2265.1664191</v>
      </c>
      <c r="G14" s="8">
        <v>2276.095783</v>
      </c>
      <c r="H14" s="8">
        <v>2285.3821172</v>
      </c>
      <c r="I14" s="8">
        <v>2618.0346243999998</v>
      </c>
      <c r="J14" s="8">
        <v>3214.4274578</v>
      </c>
      <c r="K14" s="8">
        <v>3780.9841823</v>
      </c>
      <c r="L14" s="8">
        <v>4223.4647377</v>
      </c>
      <c r="M14" s="8">
        <v>4499.5842658</v>
      </c>
      <c r="N14" s="8">
        <v>4626.3009338</v>
      </c>
      <c r="O14" s="8">
        <v>4496.512202</v>
      </c>
      <c r="P14" s="8">
        <v>4354.0042481</v>
      </c>
      <c r="Q14" s="8">
        <v>4256.1886328</v>
      </c>
      <c r="R14" s="8">
        <v>4232.4681191</v>
      </c>
      <c r="S14" s="8">
        <v>4181.6298693</v>
      </c>
      <c r="T14" s="8">
        <v>4102.6139973</v>
      </c>
      <c r="U14" s="8">
        <v>4007.4478002</v>
      </c>
      <c r="V14" s="8">
        <v>3797.6481049000004</v>
      </c>
      <c r="W14" s="8">
        <v>3474.3853638000005</v>
      </c>
      <c r="X14" s="8">
        <v>3110.9058175000005</v>
      </c>
      <c r="Y14" s="8">
        <v>2722.5917784</v>
      </c>
      <c r="Z14" s="8">
        <v>2443.8561225000003</v>
      </c>
      <c r="AA14" s="9">
        <f t="shared" si="1"/>
        <v>82215.43339</v>
      </c>
      <c r="AB14" s="9">
        <v>4.0</v>
      </c>
      <c r="AC14" s="9">
        <f t="shared" si="2"/>
        <v>328861.7336</v>
      </c>
      <c r="AD14" s="11"/>
    </row>
    <row r="15" ht="14.25" customHeight="1">
      <c r="A15" s="7">
        <v>46419.0</v>
      </c>
      <c r="B15" s="8" t="s">
        <v>36</v>
      </c>
      <c r="C15" s="8">
        <v>2263.2297350000003</v>
      </c>
      <c r="D15" s="8">
        <v>2150.8218186</v>
      </c>
      <c r="E15" s="8">
        <v>2046.9690761000002</v>
      </c>
      <c r="F15" s="8">
        <v>1994.2036543000002</v>
      </c>
      <c r="G15" s="8">
        <v>1949.7140182</v>
      </c>
      <c r="H15" s="8">
        <v>1911.4618367</v>
      </c>
      <c r="I15" s="8">
        <v>1973.2490674</v>
      </c>
      <c r="J15" s="8">
        <v>2205.7498125</v>
      </c>
      <c r="K15" s="8">
        <v>2511.5473266</v>
      </c>
      <c r="L15" s="8">
        <v>2936.7974596999998</v>
      </c>
      <c r="M15" s="8">
        <v>3280.3246424000004</v>
      </c>
      <c r="N15" s="8">
        <v>3474.7895819</v>
      </c>
      <c r="O15" s="8">
        <v>3541.7751863</v>
      </c>
      <c r="P15" s="8">
        <v>3557.9385907</v>
      </c>
      <c r="Q15" s="8">
        <v>3533.3620842000005</v>
      </c>
      <c r="R15" s="8">
        <v>3516.2517377</v>
      </c>
      <c r="S15" s="8">
        <v>3433.0646844000003</v>
      </c>
      <c r="T15" s="8">
        <v>3349.7676602</v>
      </c>
      <c r="U15" s="8">
        <v>3303.1374480000004</v>
      </c>
      <c r="V15" s="8">
        <v>3138.5567655</v>
      </c>
      <c r="W15" s="8">
        <v>2872.1414631000002</v>
      </c>
      <c r="X15" s="8">
        <v>2566.1888005</v>
      </c>
      <c r="Y15" s="8">
        <v>2290.937155</v>
      </c>
      <c r="Z15" s="8">
        <v>2091.7285883</v>
      </c>
      <c r="AA15" s="9">
        <f t="shared" si="1"/>
        <v>65893.70819</v>
      </c>
      <c r="AB15" s="9">
        <v>4.0</v>
      </c>
      <c r="AC15" s="9">
        <f t="shared" si="2"/>
        <v>263574.8328</v>
      </c>
      <c r="AD15" s="12"/>
    </row>
    <row r="16" ht="14.25" customHeight="1">
      <c r="A16" s="7">
        <v>46447.0</v>
      </c>
      <c r="B16" s="8" t="s">
        <v>34</v>
      </c>
      <c r="C16" s="8">
        <v>2326.249185</v>
      </c>
      <c r="D16" s="8">
        <v>2231.0589938</v>
      </c>
      <c r="E16" s="8">
        <v>2177.8149393000003</v>
      </c>
      <c r="F16" s="8">
        <v>2156.0499142</v>
      </c>
      <c r="G16" s="8">
        <v>2189.2969163</v>
      </c>
      <c r="H16" s="8">
        <v>2329.7985295</v>
      </c>
      <c r="I16" s="8">
        <v>2819.0769295000005</v>
      </c>
      <c r="J16" s="8">
        <v>3537.3383981</v>
      </c>
      <c r="K16" s="8">
        <v>4138.2545906000005</v>
      </c>
      <c r="L16" s="8">
        <v>4544.068713600001</v>
      </c>
      <c r="M16" s="8">
        <v>4874.227007</v>
      </c>
      <c r="N16" s="8">
        <v>5072.9284619</v>
      </c>
      <c r="O16" s="8">
        <v>5006.199494400001</v>
      </c>
      <c r="P16" s="8">
        <v>5023.3053013</v>
      </c>
      <c r="Q16" s="8">
        <v>5156.4033326</v>
      </c>
      <c r="R16" s="8">
        <v>5158.579845900001</v>
      </c>
      <c r="S16" s="8">
        <v>5013.1738904</v>
      </c>
      <c r="T16" s="8">
        <v>4678.5348194</v>
      </c>
      <c r="U16" s="8">
        <v>4432.0341598</v>
      </c>
      <c r="V16" s="8">
        <v>4151.9696075</v>
      </c>
      <c r="W16" s="8">
        <v>3781.7179907000004</v>
      </c>
      <c r="X16" s="8">
        <v>3360.797323</v>
      </c>
      <c r="Y16" s="8">
        <v>2912.5559996</v>
      </c>
      <c r="Z16" s="8">
        <v>2606.5948532</v>
      </c>
      <c r="AA16" s="9">
        <f t="shared" si="1"/>
        <v>89678.0292</v>
      </c>
      <c r="AB16" s="9">
        <v>20.0</v>
      </c>
      <c r="AC16" s="9">
        <f t="shared" si="2"/>
        <v>1793560.584</v>
      </c>
      <c r="AD16" s="10">
        <f>SUM(AC16:AC18)</f>
        <v>2583678.275</v>
      </c>
    </row>
    <row r="17" ht="14.25" customHeight="1">
      <c r="A17" s="7">
        <v>46447.0</v>
      </c>
      <c r="B17" s="8" t="s">
        <v>35</v>
      </c>
      <c r="C17" s="8">
        <v>2527.747586</v>
      </c>
      <c r="D17" s="8">
        <v>2395.7867726</v>
      </c>
      <c r="E17" s="8">
        <v>2322.2064554000003</v>
      </c>
      <c r="F17" s="8">
        <v>2265.1664191</v>
      </c>
      <c r="G17" s="8">
        <v>2276.095783</v>
      </c>
      <c r="H17" s="8">
        <v>2285.3821172</v>
      </c>
      <c r="I17" s="8">
        <v>2618.0346243999998</v>
      </c>
      <c r="J17" s="8">
        <v>3214.4274578</v>
      </c>
      <c r="K17" s="8">
        <v>3780.9841823</v>
      </c>
      <c r="L17" s="8">
        <v>4223.4647377</v>
      </c>
      <c r="M17" s="8">
        <v>4499.5842658</v>
      </c>
      <c r="N17" s="8">
        <v>4626.3009338</v>
      </c>
      <c r="O17" s="8">
        <v>4496.512202</v>
      </c>
      <c r="P17" s="8">
        <v>4354.0042481</v>
      </c>
      <c r="Q17" s="8">
        <v>4256.1886328</v>
      </c>
      <c r="R17" s="8">
        <v>4232.4681191</v>
      </c>
      <c r="S17" s="8">
        <v>4181.6298693</v>
      </c>
      <c r="T17" s="8">
        <v>4102.6139973</v>
      </c>
      <c r="U17" s="8">
        <v>4007.4478002</v>
      </c>
      <c r="V17" s="8">
        <v>3797.6481049000004</v>
      </c>
      <c r="W17" s="8">
        <v>3474.3853638000005</v>
      </c>
      <c r="X17" s="8">
        <v>3110.9058175000005</v>
      </c>
      <c r="Y17" s="8">
        <v>2722.5917784</v>
      </c>
      <c r="Z17" s="8">
        <v>2443.8561225000003</v>
      </c>
      <c r="AA17" s="9">
        <f t="shared" si="1"/>
        <v>82215.43339</v>
      </c>
      <c r="AB17" s="9">
        <v>4.0</v>
      </c>
      <c r="AC17" s="9">
        <f t="shared" si="2"/>
        <v>328861.7336</v>
      </c>
      <c r="AD17" s="11"/>
    </row>
    <row r="18" ht="14.25" customHeight="1">
      <c r="A18" s="7">
        <v>46447.0</v>
      </c>
      <c r="B18" s="8" t="s">
        <v>36</v>
      </c>
      <c r="C18" s="8">
        <v>2263.2297350000003</v>
      </c>
      <c r="D18" s="8">
        <v>2150.8218186</v>
      </c>
      <c r="E18" s="8">
        <v>2046.9690761000002</v>
      </c>
      <c r="F18" s="8">
        <v>1994.2036543000002</v>
      </c>
      <c r="G18" s="8">
        <v>1949.7140182</v>
      </c>
      <c r="H18" s="8">
        <v>1911.4618367</v>
      </c>
      <c r="I18" s="8">
        <v>1973.2490674</v>
      </c>
      <c r="J18" s="8">
        <v>2205.7498125</v>
      </c>
      <c r="K18" s="8">
        <v>2511.5473266</v>
      </c>
      <c r="L18" s="8">
        <v>2936.7974596999998</v>
      </c>
      <c r="M18" s="8">
        <v>3280.3246424000004</v>
      </c>
      <c r="N18" s="8">
        <v>3474.7895819</v>
      </c>
      <c r="O18" s="8">
        <v>3541.7751863</v>
      </c>
      <c r="P18" s="8">
        <v>3557.9385907</v>
      </c>
      <c r="Q18" s="8">
        <v>3533.3620842000005</v>
      </c>
      <c r="R18" s="8">
        <v>3516.2517377</v>
      </c>
      <c r="S18" s="8">
        <v>3433.0646844000003</v>
      </c>
      <c r="T18" s="8">
        <v>3349.7676602</v>
      </c>
      <c r="U18" s="8">
        <v>3303.1374480000004</v>
      </c>
      <c r="V18" s="8">
        <v>3138.5567655</v>
      </c>
      <c r="W18" s="8">
        <v>2872.1414631000002</v>
      </c>
      <c r="X18" s="8">
        <v>2566.1888005</v>
      </c>
      <c r="Y18" s="8">
        <v>2290.937155</v>
      </c>
      <c r="Z18" s="8">
        <v>2091.7285883</v>
      </c>
      <c r="AA18" s="9">
        <f t="shared" si="1"/>
        <v>65893.70819</v>
      </c>
      <c r="AB18" s="9">
        <v>7.0</v>
      </c>
      <c r="AC18" s="9">
        <f t="shared" si="2"/>
        <v>461255.9574</v>
      </c>
      <c r="AD18" s="12"/>
    </row>
    <row r="19" ht="14.25" customHeight="1">
      <c r="A19" s="7">
        <v>46478.0</v>
      </c>
      <c r="B19" s="8" t="s">
        <v>34</v>
      </c>
      <c r="C19" s="8">
        <v>2326.249185</v>
      </c>
      <c r="D19" s="8">
        <v>2231.0589938</v>
      </c>
      <c r="E19" s="8">
        <v>2177.8149393000003</v>
      </c>
      <c r="F19" s="8">
        <v>2156.0499142</v>
      </c>
      <c r="G19" s="8">
        <v>2189.2969163</v>
      </c>
      <c r="H19" s="8">
        <v>2329.7985295</v>
      </c>
      <c r="I19" s="8">
        <v>2819.0769295000005</v>
      </c>
      <c r="J19" s="8">
        <v>3537.3383981</v>
      </c>
      <c r="K19" s="8">
        <v>4138.2545906000005</v>
      </c>
      <c r="L19" s="8">
        <v>4544.068713600001</v>
      </c>
      <c r="M19" s="8">
        <v>4874.227007</v>
      </c>
      <c r="N19" s="8">
        <v>5072.9284619</v>
      </c>
      <c r="O19" s="8">
        <v>5006.199494400001</v>
      </c>
      <c r="P19" s="8">
        <v>5023.3053013</v>
      </c>
      <c r="Q19" s="8">
        <v>5156.4033326</v>
      </c>
      <c r="R19" s="8">
        <v>5158.579845900001</v>
      </c>
      <c r="S19" s="8">
        <v>5013.1738904</v>
      </c>
      <c r="T19" s="8">
        <v>4678.5348194</v>
      </c>
      <c r="U19" s="8">
        <v>4432.0341598</v>
      </c>
      <c r="V19" s="8">
        <v>4151.9696075</v>
      </c>
      <c r="W19" s="8">
        <v>3781.7179907000004</v>
      </c>
      <c r="X19" s="8">
        <v>3360.797323</v>
      </c>
      <c r="Y19" s="8">
        <v>2912.5559996</v>
      </c>
      <c r="Z19" s="8">
        <v>2606.5948532</v>
      </c>
      <c r="AA19" s="9">
        <f t="shared" si="1"/>
        <v>89678.0292</v>
      </c>
      <c r="AB19" s="9">
        <v>22.0</v>
      </c>
      <c r="AC19" s="9">
        <f t="shared" si="2"/>
        <v>1972916.642</v>
      </c>
      <c r="AD19" s="10">
        <f>SUM(AC19:AC21)</f>
        <v>2565353.209</v>
      </c>
    </row>
    <row r="20" ht="14.25" customHeight="1">
      <c r="A20" s="7">
        <v>46478.0</v>
      </c>
      <c r="B20" s="8" t="s">
        <v>35</v>
      </c>
      <c r="C20" s="8">
        <v>2527.747586</v>
      </c>
      <c r="D20" s="8">
        <v>2395.7867726</v>
      </c>
      <c r="E20" s="8">
        <v>2322.2064554000003</v>
      </c>
      <c r="F20" s="8">
        <v>2265.1664191</v>
      </c>
      <c r="G20" s="8">
        <v>2276.095783</v>
      </c>
      <c r="H20" s="8">
        <v>2285.3821172</v>
      </c>
      <c r="I20" s="8">
        <v>2618.0346243999998</v>
      </c>
      <c r="J20" s="8">
        <v>3214.4274578</v>
      </c>
      <c r="K20" s="8">
        <v>3780.9841823</v>
      </c>
      <c r="L20" s="8">
        <v>4223.4647377</v>
      </c>
      <c r="M20" s="8">
        <v>4499.5842658</v>
      </c>
      <c r="N20" s="8">
        <v>4626.3009338</v>
      </c>
      <c r="O20" s="8">
        <v>4496.512202</v>
      </c>
      <c r="P20" s="8">
        <v>4354.0042481</v>
      </c>
      <c r="Q20" s="8">
        <v>4256.1886328</v>
      </c>
      <c r="R20" s="8">
        <v>4232.4681191</v>
      </c>
      <c r="S20" s="8">
        <v>4181.6298693</v>
      </c>
      <c r="T20" s="8">
        <v>4102.6139973</v>
      </c>
      <c r="U20" s="8">
        <v>4007.4478002</v>
      </c>
      <c r="V20" s="8">
        <v>3797.6481049000004</v>
      </c>
      <c r="W20" s="8">
        <v>3474.3853638000005</v>
      </c>
      <c r="X20" s="8">
        <v>3110.9058175000005</v>
      </c>
      <c r="Y20" s="8">
        <v>2722.5917784</v>
      </c>
      <c r="Z20" s="8">
        <v>2443.8561225000003</v>
      </c>
      <c r="AA20" s="9">
        <f t="shared" si="1"/>
        <v>82215.43339</v>
      </c>
      <c r="AB20" s="9">
        <v>4.0</v>
      </c>
      <c r="AC20" s="9">
        <f t="shared" si="2"/>
        <v>328861.7336</v>
      </c>
      <c r="AD20" s="11"/>
    </row>
    <row r="21" ht="14.25" customHeight="1">
      <c r="A21" s="7">
        <v>46478.0</v>
      </c>
      <c r="B21" s="8" t="s">
        <v>36</v>
      </c>
      <c r="C21" s="8">
        <v>2263.2297350000003</v>
      </c>
      <c r="D21" s="8">
        <v>2150.8218186</v>
      </c>
      <c r="E21" s="8">
        <v>2046.9690761000002</v>
      </c>
      <c r="F21" s="8">
        <v>1994.2036543000002</v>
      </c>
      <c r="G21" s="8">
        <v>1949.7140182</v>
      </c>
      <c r="H21" s="8">
        <v>1911.4618367</v>
      </c>
      <c r="I21" s="8">
        <v>1973.2490674</v>
      </c>
      <c r="J21" s="8">
        <v>2205.7498125</v>
      </c>
      <c r="K21" s="8">
        <v>2511.5473266</v>
      </c>
      <c r="L21" s="8">
        <v>2936.7974596999998</v>
      </c>
      <c r="M21" s="8">
        <v>3280.3246424000004</v>
      </c>
      <c r="N21" s="8">
        <v>3474.7895819</v>
      </c>
      <c r="O21" s="8">
        <v>3541.7751863</v>
      </c>
      <c r="P21" s="8">
        <v>3557.9385907</v>
      </c>
      <c r="Q21" s="8">
        <v>3533.3620842000005</v>
      </c>
      <c r="R21" s="8">
        <v>3516.2517377</v>
      </c>
      <c r="S21" s="8">
        <v>3433.0646844000003</v>
      </c>
      <c r="T21" s="8">
        <v>3349.7676602</v>
      </c>
      <c r="U21" s="8">
        <v>3303.1374480000004</v>
      </c>
      <c r="V21" s="8">
        <v>3138.5567655</v>
      </c>
      <c r="W21" s="8">
        <v>2872.1414631000002</v>
      </c>
      <c r="X21" s="8">
        <v>2566.1888005</v>
      </c>
      <c r="Y21" s="8">
        <v>2290.937155</v>
      </c>
      <c r="Z21" s="8">
        <v>2091.7285883</v>
      </c>
      <c r="AA21" s="9">
        <f t="shared" si="1"/>
        <v>65893.70819</v>
      </c>
      <c r="AB21" s="9">
        <v>4.0</v>
      </c>
      <c r="AC21" s="9">
        <f t="shared" si="2"/>
        <v>263574.8328</v>
      </c>
      <c r="AD21" s="12"/>
    </row>
    <row r="22" ht="14.25" customHeight="1">
      <c r="A22" s="7">
        <v>46508.0</v>
      </c>
      <c r="B22" s="8" t="s">
        <v>34</v>
      </c>
      <c r="C22" s="8">
        <v>2326.249185</v>
      </c>
      <c r="D22" s="8">
        <v>2231.0589938</v>
      </c>
      <c r="E22" s="8">
        <v>2177.8149393000003</v>
      </c>
      <c r="F22" s="8">
        <v>2156.0499142</v>
      </c>
      <c r="G22" s="8">
        <v>2189.2969163</v>
      </c>
      <c r="H22" s="8">
        <v>2329.7985295</v>
      </c>
      <c r="I22" s="8">
        <v>2819.0769295000005</v>
      </c>
      <c r="J22" s="8">
        <v>3537.3383981</v>
      </c>
      <c r="K22" s="8">
        <v>4138.2545906000005</v>
      </c>
      <c r="L22" s="8">
        <v>4544.068713600001</v>
      </c>
      <c r="M22" s="8">
        <v>4874.227007</v>
      </c>
      <c r="N22" s="8">
        <v>5072.9284619</v>
      </c>
      <c r="O22" s="8">
        <v>5006.199494400001</v>
      </c>
      <c r="P22" s="8">
        <v>5023.3053013</v>
      </c>
      <c r="Q22" s="8">
        <v>5156.4033326</v>
      </c>
      <c r="R22" s="8">
        <v>5158.579845900001</v>
      </c>
      <c r="S22" s="8">
        <v>5013.1738904</v>
      </c>
      <c r="T22" s="8">
        <v>4678.5348194</v>
      </c>
      <c r="U22" s="8">
        <v>4432.0341598</v>
      </c>
      <c r="V22" s="8">
        <v>4151.9696075</v>
      </c>
      <c r="W22" s="8">
        <v>3781.7179907000004</v>
      </c>
      <c r="X22" s="8">
        <v>3360.797323</v>
      </c>
      <c r="Y22" s="8">
        <v>2912.5559996</v>
      </c>
      <c r="Z22" s="8">
        <v>2606.5948532</v>
      </c>
      <c r="AA22" s="9">
        <f t="shared" si="1"/>
        <v>89678.0292</v>
      </c>
      <c r="AB22" s="9">
        <v>19.0</v>
      </c>
      <c r="AC22" s="9">
        <f t="shared" si="2"/>
        <v>1703882.555</v>
      </c>
      <c r="AD22" s="10">
        <f>SUM(AC22:AC24)</f>
        <v>2559893.954</v>
      </c>
    </row>
    <row r="23" ht="14.25" customHeight="1">
      <c r="A23" s="7">
        <v>46508.0</v>
      </c>
      <c r="B23" s="8" t="s">
        <v>35</v>
      </c>
      <c r="C23" s="8">
        <v>2527.747586</v>
      </c>
      <c r="D23" s="8">
        <v>2395.7867726</v>
      </c>
      <c r="E23" s="8">
        <v>2322.2064554000003</v>
      </c>
      <c r="F23" s="8">
        <v>2265.1664191</v>
      </c>
      <c r="G23" s="8">
        <v>2276.095783</v>
      </c>
      <c r="H23" s="8">
        <v>2285.3821172</v>
      </c>
      <c r="I23" s="8">
        <v>2618.0346243999998</v>
      </c>
      <c r="J23" s="8">
        <v>3214.4274578</v>
      </c>
      <c r="K23" s="8">
        <v>3780.9841823</v>
      </c>
      <c r="L23" s="8">
        <v>4223.4647377</v>
      </c>
      <c r="M23" s="8">
        <v>4499.5842658</v>
      </c>
      <c r="N23" s="8">
        <v>4626.3009338</v>
      </c>
      <c r="O23" s="8">
        <v>4496.512202</v>
      </c>
      <c r="P23" s="8">
        <v>4354.0042481</v>
      </c>
      <c r="Q23" s="8">
        <v>4256.1886328</v>
      </c>
      <c r="R23" s="8">
        <v>4232.4681191</v>
      </c>
      <c r="S23" s="8">
        <v>4181.6298693</v>
      </c>
      <c r="T23" s="8">
        <v>4102.6139973</v>
      </c>
      <c r="U23" s="8">
        <v>4007.4478002</v>
      </c>
      <c r="V23" s="8">
        <v>3797.6481049000004</v>
      </c>
      <c r="W23" s="8">
        <v>3474.3853638000005</v>
      </c>
      <c r="X23" s="8">
        <v>3110.9058175000005</v>
      </c>
      <c r="Y23" s="8">
        <v>2722.5917784</v>
      </c>
      <c r="Z23" s="8">
        <v>2443.8561225000003</v>
      </c>
      <c r="AA23" s="9">
        <f t="shared" si="1"/>
        <v>82215.43339</v>
      </c>
      <c r="AB23" s="9">
        <v>4.0</v>
      </c>
      <c r="AC23" s="9">
        <f t="shared" si="2"/>
        <v>328861.7336</v>
      </c>
      <c r="AD23" s="11"/>
    </row>
    <row r="24" ht="14.25" customHeight="1">
      <c r="A24" s="7">
        <v>46508.0</v>
      </c>
      <c r="B24" s="8" t="s">
        <v>36</v>
      </c>
      <c r="C24" s="8">
        <v>2263.2297350000003</v>
      </c>
      <c r="D24" s="8">
        <v>2150.8218186</v>
      </c>
      <c r="E24" s="8">
        <v>2046.9690761000002</v>
      </c>
      <c r="F24" s="8">
        <v>1994.2036543000002</v>
      </c>
      <c r="G24" s="8">
        <v>1949.7140182</v>
      </c>
      <c r="H24" s="8">
        <v>1911.4618367</v>
      </c>
      <c r="I24" s="8">
        <v>1973.2490674</v>
      </c>
      <c r="J24" s="8">
        <v>2205.7498125</v>
      </c>
      <c r="K24" s="8">
        <v>2511.5473266</v>
      </c>
      <c r="L24" s="8">
        <v>2936.7974596999998</v>
      </c>
      <c r="M24" s="8">
        <v>3280.3246424000004</v>
      </c>
      <c r="N24" s="8">
        <v>3474.7895819</v>
      </c>
      <c r="O24" s="8">
        <v>3541.7751863</v>
      </c>
      <c r="P24" s="8">
        <v>3557.9385907</v>
      </c>
      <c r="Q24" s="8">
        <v>3533.3620842000005</v>
      </c>
      <c r="R24" s="8">
        <v>3516.2517377</v>
      </c>
      <c r="S24" s="8">
        <v>3433.0646844000003</v>
      </c>
      <c r="T24" s="8">
        <v>3349.7676602</v>
      </c>
      <c r="U24" s="8">
        <v>3303.1374480000004</v>
      </c>
      <c r="V24" s="8">
        <v>3138.5567655</v>
      </c>
      <c r="W24" s="8">
        <v>2872.1414631000002</v>
      </c>
      <c r="X24" s="8">
        <v>2566.1888005</v>
      </c>
      <c r="Y24" s="8">
        <v>2290.937155</v>
      </c>
      <c r="Z24" s="8">
        <v>2091.7285883</v>
      </c>
      <c r="AA24" s="9">
        <f t="shared" si="1"/>
        <v>65893.70819</v>
      </c>
      <c r="AB24" s="9">
        <v>8.0</v>
      </c>
      <c r="AC24" s="9">
        <f t="shared" si="2"/>
        <v>527149.6655</v>
      </c>
      <c r="AD24" s="12"/>
    </row>
    <row r="25" ht="14.25" customHeight="1">
      <c r="A25" s="7">
        <v>46539.0</v>
      </c>
      <c r="B25" s="8" t="s">
        <v>34</v>
      </c>
      <c r="C25" s="8">
        <v>2326.249185</v>
      </c>
      <c r="D25" s="8">
        <v>2231.0589938</v>
      </c>
      <c r="E25" s="8">
        <v>2177.8149393000003</v>
      </c>
      <c r="F25" s="8">
        <v>2156.0499142</v>
      </c>
      <c r="G25" s="8">
        <v>2189.2969163</v>
      </c>
      <c r="H25" s="8">
        <v>2329.7985295</v>
      </c>
      <c r="I25" s="8">
        <v>2819.0769295000005</v>
      </c>
      <c r="J25" s="8">
        <v>3537.3383981</v>
      </c>
      <c r="K25" s="8">
        <v>4138.2545906000005</v>
      </c>
      <c r="L25" s="8">
        <v>4544.068713600001</v>
      </c>
      <c r="M25" s="8">
        <v>4874.227007</v>
      </c>
      <c r="N25" s="8">
        <v>5072.9284619</v>
      </c>
      <c r="O25" s="8">
        <v>5006.199494400001</v>
      </c>
      <c r="P25" s="8">
        <v>5023.3053013</v>
      </c>
      <c r="Q25" s="8">
        <v>5156.4033326</v>
      </c>
      <c r="R25" s="8">
        <v>5158.579845900001</v>
      </c>
      <c r="S25" s="8">
        <v>5013.1738904</v>
      </c>
      <c r="T25" s="8">
        <v>4678.5348194</v>
      </c>
      <c r="U25" s="8">
        <v>4432.0341598</v>
      </c>
      <c r="V25" s="8">
        <v>4151.9696075</v>
      </c>
      <c r="W25" s="8">
        <v>3781.7179907000004</v>
      </c>
      <c r="X25" s="8">
        <v>3360.797323</v>
      </c>
      <c r="Y25" s="8">
        <v>2912.5559996</v>
      </c>
      <c r="Z25" s="8">
        <v>2606.5948532</v>
      </c>
      <c r="AA25" s="9">
        <f t="shared" si="1"/>
        <v>89678.0292</v>
      </c>
      <c r="AB25" s="9">
        <v>21.0</v>
      </c>
      <c r="AC25" s="9">
        <f t="shared" si="2"/>
        <v>1883238.613</v>
      </c>
      <c r="AD25" s="10">
        <f>SUM(AC25:AC27)</f>
        <v>2541568.888</v>
      </c>
    </row>
    <row r="26" ht="14.25" customHeight="1">
      <c r="A26" s="7">
        <v>46539.0</v>
      </c>
      <c r="B26" s="8" t="s">
        <v>35</v>
      </c>
      <c r="C26" s="8">
        <v>2527.747586</v>
      </c>
      <c r="D26" s="8">
        <v>2395.7867726</v>
      </c>
      <c r="E26" s="8">
        <v>2322.2064554000003</v>
      </c>
      <c r="F26" s="8">
        <v>2265.1664191</v>
      </c>
      <c r="G26" s="8">
        <v>2276.095783</v>
      </c>
      <c r="H26" s="8">
        <v>2285.3821172</v>
      </c>
      <c r="I26" s="8">
        <v>2618.0346243999998</v>
      </c>
      <c r="J26" s="8">
        <v>3214.4274578</v>
      </c>
      <c r="K26" s="8">
        <v>3780.9841823</v>
      </c>
      <c r="L26" s="8">
        <v>4223.4647377</v>
      </c>
      <c r="M26" s="8">
        <v>4499.5842658</v>
      </c>
      <c r="N26" s="8">
        <v>4626.3009338</v>
      </c>
      <c r="O26" s="8">
        <v>4496.512202</v>
      </c>
      <c r="P26" s="8">
        <v>4354.0042481</v>
      </c>
      <c r="Q26" s="8">
        <v>4256.1886328</v>
      </c>
      <c r="R26" s="8">
        <v>4232.4681191</v>
      </c>
      <c r="S26" s="8">
        <v>4181.6298693</v>
      </c>
      <c r="T26" s="8">
        <v>4102.6139973</v>
      </c>
      <c r="U26" s="8">
        <v>4007.4478002</v>
      </c>
      <c r="V26" s="8">
        <v>3797.6481049000004</v>
      </c>
      <c r="W26" s="8">
        <v>3474.3853638000005</v>
      </c>
      <c r="X26" s="8">
        <v>3110.9058175000005</v>
      </c>
      <c r="Y26" s="8">
        <v>2722.5917784</v>
      </c>
      <c r="Z26" s="8">
        <v>2443.8561225000003</v>
      </c>
      <c r="AA26" s="9">
        <f t="shared" si="1"/>
        <v>82215.43339</v>
      </c>
      <c r="AB26" s="9">
        <v>4.0</v>
      </c>
      <c r="AC26" s="9">
        <f t="shared" si="2"/>
        <v>328861.7336</v>
      </c>
      <c r="AD26" s="11"/>
    </row>
    <row r="27" ht="14.25" customHeight="1">
      <c r="A27" s="7">
        <v>46539.0</v>
      </c>
      <c r="B27" s="8" t="s">
        <v>36</v>
      </c>
      <c r="C27" s="8">
        <v>2263.2297350000003</v>
      </c>
      <c r="D27" s="8">
        <v>2150.8218186</v>
      </c>
      <c r="E27" s="8">
        <v>2046.9690761000002</v>
      </c>
      <c r="F27" s="8">
        <v>1994.2036543000002</v>
      </c>
      <c r="G27" s="8">
        <v>1949.7140182</v>
      </c>
      <c r="H27" s="8">
        <v>1911.4618367</v>
      </c>
      <c r="I27" s="8">
        <v>1973.2490674</v>
      </c>
      <c r="J27" s="8">
        <v>2205.7498125</v>
      </c>
      <c r="K27" s="8">
        <v>2511.5473266</v>
      </c>
      <c r="L27" s="8">
        <v>2936.7974596999998</v>
      </c>
      <c r="M27" s="8">
        <v>3280.3246424000004</v>
      </c>
      <c r="N27" s="8">
        <v>3474.7895819</v>
      </c>
      <c r="O27" s="8">
        <v>3541.7751863</v>
      </c>
      <c r="P27" s="8">
        <v>3557.9385907</v>
      </c>
      <c r="Q27" s="8">
        <v>3533.3620842000005</v>
      </c>
      <c r="R27" s="8">
        <v>3516.2517377</v>
      </c>
      <c r="S27" s="8">
        <v>3433.0646844000003</v>
      </c>
      <c r="T27" s="8">
        <v>3349.7676602</v>
      </c>
      <c r="U27" s="8">
        <v>3303.1374480000004</v>
      </c>
      <c r="V27" s="8">
        <v>3138.5567655</v>
      </c>
      <c r="W27" s="8">
        <v>2872.1414631000002</v>
      </c>
      <c r="X27" s="8">
        <v>2566.1888005</v>
      </c>
      <c r="Y27" s="8">
        <v>2290.937155</v>
      </c>
      <c r="Z27" s="8">
        <v>2091.7285883</v>
      </c>
      <c r="AA27" s="9">
        <f t="shared" si="1"/>
        <v>65893.70819</v>
      </c>
      <c r="AB27" s="9">
        <v>5.0</v>
      </c>
      <c r="AC27" s="9">
        <f t="shared" si="2"/>
        <v>329468.541</v>
      </c>
      <c r="AD27" s="12"/>
    </row>
    <row r="28" ht="14.25" customHeight="1">
      <c r="A28" s="7">
        <v>46569.0</v>
      </c>
      <c r="B28" s="8" t="s">
        <v>34</v>
      </c>
      <c r="C28" s="8">
        <v>2326.249185</v>
      </c>
      <c r="D28" s="8">
        <v>2231.0589938</v>
      </c>
      <c r="E28" s="8">
        <v>2177.8149393000003</v>
      </c>
      <c r="F28" s="8">
        <v>2156.0499142</v>
      </c>
      <c r="G28" s="8">
        <v>2189.2969163</v>
      </c>
      <c r="H28" s="8">
        <v>2329.7985295</v>
      </c>
      <c r="I28" s="8">
        <v>2819.0769295000005</v>
      </c>
      <c r="J28" s="8">
        <v>3537.3383981</v>
      </c>
      <c r="K28" s="8">
        <v>4138.2545906000005</v>
      </c>
      <c r="L28" s="8">
        <v>4544.068713600001</v>
      </c>
      <c r="M28" s="8">
        <v>4874.227007</v>
      </c>
      <c r="N28" s="8">
        <v>5072.9284619</v>
      </c>
      <c r="O28" s="8">
        <v>5006.199494400001</v>
      </c>
      <c r="P28" s="8">
        <v>5023.3053013</v>
      </c>
      <c r="Q28" s="8">
        <v>5156.4033326</v>
      </c>
      <c r="R28" s="8">
        <v>5158.579845900001</v>
      </c>
      <c r="S28" s="8">
        <v>5013.1738904</v>
      </c>
      <c r="T28" s="8">
        <v>4678.5348194</v>
      </c>
      <c r="U28" s="8">
        <v>4432.0341598</v>
      </c>
      <c r="V28" s="8">
        <v>4151.9696075</v>
      </c>
      <c r="W28" s="8">
        <v>3781.7179907000004</v>
      </c>
      <c r="X28" s="8">
        <v>3360.797323</v>
      </c>
      <c r="Y28" s="8">
        <v>2912.5559996</v>
      </c>
      <c r="Z28" s="8">
        <v>2606.5948532</v>
      </c>
      <c r="AA28" s="9">
        <f t="shared" si="1"/>
        <v>89678.0292</v>
      </c>
      <c r="AB28" s="9">
        <v>20.0</v>
      </c>
      <c r="AC28" s="9">
        <f t="shared" si="2"/>
        <v>1793560.584</v>
      </c>
      <c r="AD28" s="10">
        <f>SUM(AC28:AC30)</f>
        <v>2600000</v>
      </c>
    </row>
    <row r="29" ht="14.25" customHeight="1">
      <c r="A29" s="7">
        <v>46569.0</v>
      </c>
      <c r="B29" s="8" t="s">
        <v>35</v>
      </c>
      <c r="C29" s="8">
        <v>2527.747586</v>
      </c>
      <c r="D29" s="8">
        <v>2395.7867726</v>
      </c>
      <c r="E29" s="8">
        <v>2322.2064554000003</v>
      </c>
      <c r="F29" s="8">
        <v>2265.1664191</v>
      </c>
      <c r="G29" s="8">
        <v>2276.095783</v>
      </c>
      <c r="H29" s="8">
        <v>2285.3821172</v>
      </c>
      <c r="I29" s="8">
        <v>2618.0346243999998</v>
      </c>
      <c r="J29" s="8">
        <v>3214.4274578</v>
      </c>
      <c r="K29" s="8">
        <v>3780.9841823</v>
      </c>
      <c r="L29" s="8">
        <v>4223.4647377</v>
      </c>
      <c r="M29" s="8">
        <v>4499.5842658</v>
      </c>
      <c r="N29" s="8">
        <v>4626.3009338</v>
      </c>
      <c r="O29" s="8">
        <v>4496.512202</v>
      </c>
      <c r="P29" s="8">
        <v>4354.0042481</v>
      </c>
      <c r="Q29" s="8">
        <v>4256.1886328</v>
      </c>
      <c r="R29" s="8">
        <v>4232.4681191</v>
      </c>
      <c r="S29" s="8">
        <v>4181.6298693</v>
      </c>
      <c r="T29" s="8">
        <v>4102.6139973</v>
      </c>
      <c r="U29" s="8">
        <v>4007.4478002</v>
      </c>
      <c r="V29" s="8">
        <v>3797.6481049000004</v>
      </c>
      <c r="W29" s="8">
        <v>3474.3853638000005</v>
      </c>
      <c r="X29" s="8">
        <v>3110.9058175000005</v>
      </c>
      <c r="Y29" s="8">
        <v>2722.5917784</v>
      </c>
      <c r="Z29" s="8">
        <v>2443.8561225000003</v>
      </c>
      <c r="AA29" s="9">
        <f t="shared" si="1"/>
        <v>82215.43339</v>
      </c>
      <c r="AB29" s="9">
        <v>5.0</v>
      </c>
      <c r="AC29" s="9">
        <f t="shared" si="2"/>
        <v>411077.167</v>
      </c>
      <c r="AD29" s="11"/>
    </row>
    <row r="30" ht="14.25" customHeight="1">
      <c r="A30" s="7">
        <v>46569.0</v>
      </c>
      <c r="B30" s="8" t="s">
        <v>36</v>
      </c>
      <c r="C30" s="8">
        <v>2263.2297350000003</v>
      </c>
      <c r="D30" s="8">
        <v>2150.8218186</v>
      </c>
      <c r="E30" s="8">
        <v>2046.9690761000002</v>
      </c>
      <c r="F30" s="8">
        <v>1994.2036543000002</v>
      </c>
      <c r="G30" s="8">
        <v>1949.7140182</v>
      </c>
      <c r="H30" s="8">
        <v>1911.4618367</v>
      </c>
      <c r="I30" s="8">
        <v>1973.2490674</v>
      </c>
      <c r="J30" s="8">
        <v>2205.7498125</v>
      </c>
      <c r="K30" s="8">
        <v>2511.5473266</v>
      </c>
      <c r="L30" s="8">
        <v>2936.7974596999998</v>
      </c>
      <c r="M30" s="8">
        <v>3280.3246424000004</v>
      </c>
      <c r="N30" s="8">
        <v>3474.7895819</v>
      </c>
      <c r="O30" s="8">
        <v>3541.7751863</v>
      </c>
      <c r="P30" s="8">
        <v>3557.9385907</v>
      </c>
      <c r="Q30" s="8">
        <v>3533.3620842000005</v>
      </c>
      <c r="R30" s="8">
        <v>3516.2517377</v>
      </c>
      <c r="S30" s="8">
        <v>3433.0646844000003</v>
      </c>
      <c r="T30" s="8">
        <v>3349.7676602</v>
      </c>
      <c r="U30" s="8">
        <v>3303.1374480000004</v>
      </c>
      <c r="V30" s="8">
        <v>3138.5567655</v>
      </c>
      <c r="W30" s="8">
        <v>2872.1414631000002</v>
      </c>
      <c r="X30" s="8">
        <v>2566.1888005</v>
      </c>
      <c r="Y30" s="8">
        <v>2290.937155</v>
      </c>
      <c r="Z30" s="8">
        <v>2091.7285883</v>
      </c>
      <c r="AA30" s="9">
        <f t="shared" si="1"/>
        <v>65893.70819</v>
      </c>
      <c r="AB30" s="9">
        <v>6.0</v>
      </c>
      <c r="AC30" s="9">
        <f t="shared" si="2"/>
        <v>395362.2492</v>
      </c>
      <c r="AD30" s="12"/>
    </row>
    <row r="31" ht="14.25" customHeight="1">
      <c r="A31" s="7">
        <v>46600.0</v>
      </c>
      <c r="B31" s="8" t="s">
        <v>34</v>
      </c>
      <c r="C31" s="8">
        <v>2326.249185</v>
      </c>
      <c r="D31" s="8">
        <v>2231.0589938</v>
      </c>
      <c r="E31" s="8">
        <v>2177.8149393000003</v>
      </c>
      <c r="F31" s="8">
        <v>2156.0499142</v>
      </c>
      <c r="G31" s="8">
        <v>2189.2969163</v>
      </c>
      <c r="H31" s="8">
        <v>2329.7985295</v>
      </c>
      <c r="I31" s="8">
        <v>2819.0769295000005</v>
      </c>
      <c r="J31" s="8">
        <v>3537.3383981</v>
      </c>
      <c r="K31" s="8">
        <v>4138.2545906000005</v>
      </c>
      <c r="L31" s="8">
        <v>4544.068713600001</v>
      </c>
      <c r="M31" s="8">
        <v>4874.227007</v>
      </c>
      <c r="N31" s="8">
        <v>5072.9284619</v>
      </c>
      <c r="O31" s="8">
        <v>5006.199494400001</v>
      </c>
      <c r="P31" s="8">
        <v>5023.3053013</v>
      </c>
      <c r="Q31" s="8">
        <v>5156.4033326</v>
      </c>
      <c r="R31" s="8">
        <v>5158.579845900001</v>
      </c>
      <c r="S31" s="8">
        <v>5013.1738904</v>
      </c>
      <c r="T31" s="8">
        <v>4678.5348194</v>
      </c>
      <c r="U31" s="8">
        <v>4432.0341598</v>
      </c>
      <c r="V31" s="8">
        <v>4151.9696075</v>
      </c>
      <c r="W31" s="8">
        <v>3781.7179907000004</v>
      </c>
      <c r="X31" s="8">
        <v>3360.797323</v>
      </c>
      <c r="Y31" s="8">
        <v>2912.5559996</v>
      </c>
      <c r="Z31" s="8">
        <v>2606.5948532</v>
      </c>
      <c r="AA31" s="9">
        <f t="shared" si="1"/>
        <v>89678.0292</v>
      </c>
      <c r="AB31" s="9">
        <v>21.0</v>
      </c>
      <c r="AC31" s="9">
        <f t="shared" si="2"/>
        <v>1883238.613</v>
      </c>
      <c r="AD31" s="10">
        <f>SUM(AC31:AC33)</f>
        <v>2591140.871</v>
      </c>
    </row>
    <row r="32" ht="14.25" customHeight="1">
      <c r="A32" s="7">
        <v>46600.0</v>
      </c>
      <c r="B32" s="8" t="s">
        <v>35</v>
      </c>
      <c r="C32" s="8">
        <v>2527.747586</v>
      </c>
      <c r="D32" s="8">
        <v>2395.7867726</v>
      </c>
      <c r="E32" s="8">
        <v>2322.2064554000003</v>
      </c>
      <c r="F32" s="8">
        <v>2265.1664191</v>
      </c>
      <c r="G32" s="8">
        <v>2276.095783</v>
      </c>
      <c r="H32" s="8">
        <v>2285.3821172</v>
      </c>
      <c r="I32" s="8">
        <v>2618.0346243999998</v>
      </c>
      <c r="J32" s="8">
        <v>3214.4274578</v>
      </c>
      <c r="K32" s="8">
        <v>3780.9841823</v>
      </c>
      <c r="L32" s="8">
        <v>4223.4647377</v>
      </c>
      <c r="M32" s="8">
        <v>4499.5842658</v>
      </c>
      <c r="N32" s="8">
        <v>4626.3009338</v>
      </c>
      <c r="O32" s="8">
        <v>4496.512202</v>
      </c>
      <c r="P32" s="8">
        <v>4354.0042481</v>
      </c>
      <c r="Q32" s="8">
        <v>4256.1886328</v>
      </c>
      <c r="R32" s="8">
        <v>4232.4681191</v>
      </c>
      <c r="S32" s="8">
        <v>4181.6298693</v>
      </c>
      <c r="T32" s="8">
        <v>4102.6139973</v>
      </c>
      <c r="U32" s="8">
        <v>4007.4478002</v>
      </c>
      <c r="V32" s="8">
        <v>3797.6481049000004</v>
      </c>
      <c r="W32" s="8">
        <v>3474.3853638000005</v>
      </c>
      <c r="X32" s="8">
        <v>3110.9058175000005</v>
      </c>
      <c r="Y32" s="8">
        <v>2722.5917784</v>
      </c>
      <c r="Z32" s="8">
        <v>2443.8561225000003</v>
      </c>
      <c r="AA32" s="9">
        <f t="shared" si="1"/>
        <v>82215.43339</v>
      </c>
      <c r="AB32" s="9">
        <v>3.0</v>
      </c>
      <c r="AC32" s="9">
        <f t="shared" si="2"/>
        <v>246646.3002</v>
      </c>
      <c r="AD32" s="11"/>
    </row>
    <row r="33" ht="14.25" customHeight="1">
      <c r="A33" s="7">
        <v>46600.0</v>
      </c>
      <c r="B33" s="8" t="s">
        <v>36</v>
      </c>
      <c r="C33" s="8">
        <v>2263.2297350000003</v>
      </c>
      <c r="D33" s="8">
        <v>2150.8218186</v>
      </c>
      <c r="E33" s="8">
        <v>2046.9690761000002</v>
      </c>
      <c r="F33" s="8">
        <v>1994.2036543000002</v>
      </c>
      <c r="G33" s="8">
        <v>1949.7140182</v>
      </c>
      <c r="H33" s="8">
        <v>1911.4618367</v>
      </c>
      <c r="I33" s="8">
        <v>1973.2490674</v>
      </c>
      <c r="J33" s="8">
        <v>2205.7498125</v>
      </c>
      <c r="K33" s="8">
        <v>2511.5473266</v>
      </c>
      <c r="L33" s="8">
        <v>2936.7974596999998</v>
      </c>
      <c r="M33" s="8">
        <v>3280.3246424000004</v>
      </c>
      <c r="N33" s="8">
        <v>3474.7895819</v>
      </c>
      <c r="O33" s="8">
        <v>3541.7751863</v>
      </c>
      <c r="P33" s="8">
        <v>3557.9385907</v>
      </c>
      <c r="Q33" s="8">
        <v>3533.3620842000005</v>
      </c>
      <c r="R33" s="8">
        <v>3516.2517377</v>
      </c>
      <c r="S33" s="8">
        <v>3433.0646844000003</v>
      </c>
      <c r="T33" s="8">
        <v>3349.7676602</v>
      </c>
      <c r="U33" s="8">
        <v>3303.1374480000004</v>
      </c>
      <c r="V33" s="8">
        <v>3138.5567655</v>
      </c>
      <c r="W33" s="8">
        <v>2872.1414631000002</v>
      </c>
      <c r="X33" s="8">
        <v>2566.1888005</v>
      </c>
      <c r="Y33" s="8">
        <v>2290.937155</v>
      </c>
      <c r="Z33" s="8">
        <v>2091.7285883</v>
      </c>
      <c r="AA33" s="9">
        <f t="shared" si="1"/>
        <v>65893.70819</v>
      </c>
      <c r="AB33" s="9">
        <v>7.0</v>
      </c>
      <c r="AC33" s="9">
        <f t="shared" si="2"/>
        <v>461255.9574</v>
      </c>
      <c r="AD33" s="12"/>
    </row>
    <row r="34" ht="14.25" customHeight="1">
      <c r="A34" s="7">
        <v>46631.0</v>
      </c>
      <c r="B34" s="8" t="s">
        <v>34</v>
      </c>
      <c r="C34" s="8">
        <v>2326.249185</v>
      </c>
      <c r="D34" s="8">
        <v>2231.0589938</v>
      </c>
      <c r="E34" s="8">
        <v>2177.8149393000003</v>
      </c>
      <c r="F34" s="8">
        <v>2156.0499142</v>
      </c>
      <c r="G34" s="8">
        <v>2189.2969163</v>
      </c>
      <c r="H34" s="8">
        <v>2329.7985295</v>
      </c>
      <c r="I34" s="8">
        <v>2819.0769295000005</v>
      </c>
      <c r="J34" s="8">
        <v>3537.3383981</v>
      </c>
      <c r="K34" s="8">
        <v>4138.2545906000005</v>
      </c>
      <c r="L34" s="8">
        <v>4544.068713600001</v>
      </c>
      <c r="M34" s="8">
        <v>4874.227007</v>
      </c>
      <c r="N34" s="8">
        <v>5072.9284619</v>
      </c>
      <c r="O34" s="8">
        <v>5006.199494400001</v>
      </c>
      <c r="P34" s="8">
        <v>5023.3053013</v>
      </c>
      <c r="Q34" s="8">
        <v>5156.4033326</v>
      </c>
      <c r="R34" s="8">
        <v>5158.579845900001</v>
      </c>
      <c r="S34" s="8">
        <v>5013.1738904</v>
      </c>
      <c r="T34" s="8">
        <v>4678.5348194</v>
      </c>
      <c r="U34" s="8">
        <v>4432.0341598</v>
      </c>
      <c r="V34" s="8">
        <v>4151.9696075</v>
      </c>
      <c r="W34" s="8">
        <v>3781.7179907000004</v>
      </c>
      <c r="X34" s="8">
        <v>3360.797323</v>
      </c>
      <c r="Y34" s="8">
        <v>2912.5559996</v>
      </c>
      <c r="Z34" s="8">
        <v>2606.5948532</v>
      </c>
      <c r="AA34" s="9">
        <f t="shared" si="1"/>
        <v>89678.0292</v>
      </c>
      <c r="AB34" s="9">
        <v>22.0</v>
      </c>
      <c r="AC34" s="9">
        <f t="shared" si="2"/>
        <v>1972916.642</v>
      </c>
      <c r="AD34" s="10">
        <f>SUM(AC34:AC36)</f>
        <v>2565353.209</v>
      </c>
    </row>
    <row r="35" ht="14.25" customHeight="1">
      <c r="A35" s="7">
        <v>46631.0</v>
      </c>
      <c r="B35" s="8" t="s">
        <v>35</v>
      </c>
      <c r="C35" s="8">
        <v>2527.747586</v>
      </c>
      <c r="D35" s="8">
        <v>2395.7867726</v>
      </c>
      <c r="E35" s="8">
        <v>2322.2064554000003</v>
      </c>
      <c r="F35" s="8">
        <v>2265.1664191</v>
      </c>
      <c r="G35" s="8">
        <v>2276.095783</v>
      </c>
      <c r="H35" s="8">
        <v>2285.3821172</v>
      </c>
      <c r="I35" s="8">
        <v>2618.0346243999998</v>
      </c>
      <c r="J35" s="8">
        <v>3214.4274578</v>
      </c>
      <c r="K35" s="8">
        <v>3780.9841823</v>
      </c>
      <c r="L35" s="8">
        <v>4223.4647377</v>
      </c>
      <c r="M35" s="8">
        <v>4499.5842658</v>
      </c>
      <c r="N35" s="8">
        <v>4626.3009338</v>
      </c>
      <c r="O35" s="8">
        <v>4496.512202</v>
      </c>
      <c r="P35" s="8">
        <v>4354.0042481</v>
      </c>
      <c r="Q35" s="8">
        <v>4256.1886328</v>
      </c>
      <c r="R35" s="8">
        <v>4232.4681191</v>
      </c>
      <c r="S35" s="8">
        <v>4181.6298693</v>
      </c>
      <c r="T35" s="8">
        <v>4102.6139973</v>
      </c>
      <c r="U35" s="8">
        <v>4007.4478002</v>
      </c>
      <c r="V35" s="8">
        <v>3797.6481049000004</v>
      </c>
      <c r="W35" s="8">
        <v>3474.3853638000005</v>
      </c>
      <c r="X35" s="8">
        <v>3110.9058175000005</v>
      </c>
      <c r="Y35" s="8">
        <v>2722.5917784</v>
      </c>
      <c r="Z35" s="8">
        <v>2443.8561225000003</v>
      </c>
      <c r="AA35" s="9">
        <f t="shared" si="1"/>
        <v>82215.43339</v>
      </c>
      <c r="AB35" s="9">
        <v>4.0</v>
      </c>
      <c r="AC35" s="9">
        <f t="shared" si="2"/>
        <v>328861.7336</v>
      </c>
      <c r="AD35" s="11"/>
    </row>
    <row r="36" ht="14.25" customHeight="1">
      <c r="A36" s="7">
        <v>46631.0</v>
      </c>
      <c r="B36" s="8" t="s">
        <v>36</v>
      </c>
      <c r="C36" s="8">
        <v>2263.2297350000003</v>
      </c>
      <c r="D36" s="8">
        <v>2150.8218186</v>
      </c>
      <c r="E36" s="8">
        <v>2046.9690761000002</v>
      </c>
      <c r="F36" s="8">
        <v>1994.2036543000002</v>
      </c>
      <c r="G36" s="8">
        <v>1949.7140182</v>
      </c>
      <c r="H36" s="8">
        <v>1911.4618367</v>
      </c>
      <c r="I36" s="8">
        <v>1973.2490674</v>
      </c>
      <c r="J36" s="8">
        <v>2205.7498125</v>
      </c>
      <c r="K36" s="8">
        <v>2511.5473266</v>
      </c>
      <c r="L36" s="8">
        <v>2936.7974596999998</v>
      </c>
      <c r="M36" s="8">
        <v>3280.3246424000004</v>
      </c>
      <c r="N36" s="8">
        <v>3474.7895819</v>
      </c>
      <c r="O36" s="8">
        <v>3541.7751863</v>
      </c>
      <c r="P36" s="8">
        <v>3557.9385907</v>
      </c>
      <c r="Q36" s="8">
        <v>3533.3620842000005</v>
      </c>
      <c r="R36" s="8">
        <v>3516.2517377</v>
      </c>
      <c r="S36" s="8">
        <v>3433.0646844000003</v>
      </c>
      <c r="T36" s="8">
        <v>3349.7676602</v>
      </c>
      <c r="U36" s="8">
        <v>3303.1374480000004</v>
      </c>
      <c r="V36" s="8">
        <v>3138.5567655</v>
      </c>
      <c r="W36" s="8">
        <v>2872.1414631000002</v>
      </c>
      <c r="X36" s="8">
        <v>2566.1888005</v>
      </c>
      <c r="Y36" s="8">
        <v>2290.937155</v>
      </c>
      <c r="Z36" s="8">
        <v>2091.7285883</v>
      </c>
      <c r="AA36" s="9">
        <f t="shared" si="1"/>
        <v>65893.70819</v>
      </c>
      <c r="AB36" s="9">
        <v>4.0</v>
      </c>
      <c r="AC36" s="9">
        <f t="shared" si="2"/>
        <v>263574.8328</v>
      </c>
      <c r="AD36" s="12"/>
    </row>
    <row r="37" ht="14.25" customHeight="1">
      <c r="A37" s="7">
        <v>46661.0</v>
      </c>
      <c r="B37" s="8" t="s">
        <v>34</v>
      </c>
      <c r="C37" s="8">
        <v>2326.249185</v>
      </c>
      <c r="D37" s="8">
        <v>2231.0589938</v>
      </c>
      <c r="E37" s="8">
        <v>2177.8149393000003</v>
      </c>
      <c r="F37" s="8">
        <v>2156.0499142</v>
      </c>
      <c r="G37" s="8">
        <v>2189.2969163</v>
      </c>
      <c r="H37" s="8">
        <v>2329.7985295</v>
      </c>
      <c r="I37" s="8">
        <v>2819.0769295000005</v>
      </c>
      <c r="J37" s="8">
        <v>3537.3383981</v>
      </c>
      <c r="K37" s="8">
        <v>4138.2545906000005</v>
      </c>
      <c r="L37" s="8">
        <v>4544.068713600001</v>
      </c>
      <c r="M37" s="8">
        <v>4874.227007</v>
      </c>
      <c r="N37" s="8">
        <v>5072.9284619</v>
      </c>
      <c r="O37" s="8">
        <v>5006.199494400001</v>
      </c>
      <c r="P37" s="8">
        <v>5023.3053013</v>
      </c>
      <c r="Q37" s="8">
        <v>5156.4033326</v>
      </c>
      <c r="R37" s="8">
        <v>5158.579845900001</v>
      </c>
      <c r="S37" s="8">
        <v>5013.1738904</v>
      </c>
      <c r="T37" s="8">
        <v>4678.5348194</v>
      </c>
      <c r="U37" s="8">
        <v>4432.0341598</v>
      </c>
      <c r="V37" s="8">
        <v>4151.9696075</v>
      </c>
      <c r="W37" s="8">
        <v>3781.7179907000004</v>
      </c>
      <c r="X37" s="8">
        <v>3360.797323</v>
      </c>
      <c r="Y37" s="8">
        <v>2912.5559996</v>
      </c>
      <c r="Z37" s="8">
        <v>2606.5948532</v>
      </c>
      <c r="AA37" s="9">
        <f t="shared" si="1"/>
        <v>89678.0292</v>
      </c>
      <c r="AB37" s="9">
        <v>20.0</v>
      </c>
      <c r="AC37" s="9">
        <f t="shared" si="2"/>
        <v>1793560.584</v>
      </c>
      <c r="AD37" s="10">
        <f>SUM(AC37:AC39)</f>
        <v>2600000</v>
      </c>
    </row>
    <row r="38" ht="14.25" customHeight="1">
      <c r="A38" s="7">
        <v>46661.0</v>
      </c>
      <c r="B38" s="8" t="s">
        <v>35</v>
      </c>
      <c r="C38" s="8">
        <v>2527.747586</v>
      </c>
      <c r="D38" s="8">
        <v>2395.7867726</v>
      </c>
      <c r="E38" s="8">
        <v>2322.2064554000003</v>
      </c>
      <c r="F38" s="8">
        <v>2265.1664191</v>
      </c>
      <c r="G38" s="8">
        <v>2276.095783</v>
      </c>
      <c r="H38" s="8">
        <v>2285.3821172</v>
      </c>
      <c r="I38" s="8">
        <v>2618.0346243999998</v>
      </c>
      <c r="J38" s="8">
        <v>3214.4274578</v>
      </c>
      <c r="K38" s="8">
        <v>3780.9841823</v>
      </c>
      <c r="L38" s="8">
        <v>4223.4647377</v>
      </c>
      <c r="M38" s="8">
        <v>4499.5842658</v>
      </c>
      <c r="N38" s="8">
        <v>4626.3009338</v>
      </c>
      <c r="O38" s="8">
        <v>4496.512202</v>
      </c>
      <c r="P38" s="8">
        <v>4354.0042481</v>
      </c>
      <c r="Q38" s="8">
        <v>4256.1886328</v>
      </c>
      <c r="R38" s="8">
        <v>4232.4681191</v>
      </c>
      <c r="S38" s="8">
        <v>4181.6298693</v>
      </c>
      <c r="T38" s="8">
        <v>4102.6139973</v>
      </c>
      <c r="U38" s="8">
        <v>4007.4478002</v>
      </c>
      <c r="V38" s="8">
        <v>3797.6481049000004</v>
      </c>
      <c r="W38" s="8">
        <v>3474.3853638000005</v>
      </c>
      <c r="X38" s="8">
        <v>3110.9058175000005</v>
      </c>
      <c r="Y38" s="8">
        <v>2722.5917784</v>
      </c>
      <c r="Z38" s="8">
        <v>2443.8561225000003</v>
      </c>
      <c r="AA38" s="9">
        <f t="shared" si="1"/>
        <v>82215.43339</v>
      </c>
      <c r="AB38" s="9">
        <v>5.0</v>
      </c>
      <c r="AC38" s="9">
        <f t="shared" si="2"/>
        <v>411077.167</v>
      </c>
      <c r="AD38" s="11"/>
    </row>
    <row r="39" ht="14.25" customHeight="1">
      <c r="A39" s="7">
        <v>46661.0</v>
      </c>
      <c r="B39" s="8" t="s">
        <v>36</v>
      </c>
      <c r="C39" s="8">
        <v>2263.2297350000003</v>
      </c>
      <c r="D39" s="8">
        <v>2150.8218186</v>
      </c>
      <c r="E39" s="8">
        <v>2046.9690761000002</v>
      </c>
      <c r="F39" s="8">
        <v>1994.2036543000002</v>
      </c>
      <c r="G39" s="8">
        <v>1949.7140182</v>
      </c>
      <c r="H39" s="8">
        <v>1911.4618367</v>
      </c>
      <c r="I39" s="8">
        <v>1973.2490674</v>
      </c>
      <c r="J39" s="8">
        <v>2205.7498125</v>
      </c>
      <c r="K39" s="8">
        <v>2511.5473266</v>
      </c>
      <c r="L39" s="8">
        <v>2936.7974596999998</v>
      </c>
      <c r="M39" s="8">
        <v>3280.3246424000004</v>
      </c>
      <c r="N39" s="8">
        <v>3474.7895819</v>
      </c>
      <c r="O39" s="8">
        <v>3541.7751863</v>
      </c>
      <c r="P39" s="8">
        <v>3557.9385907</v>
      </c>
      <c r="Q39" s="8">
        <v>3533.3620842000005</v>
      </c>
      <c r="R39" s="8">
        <v>3516.2517377</v>
      </c>
      <c r="S39" s="8">
        <v>3433.0646844000003</v>
      </c>
      <c r="T39" s="8">
        <v>3349.7676602</v>
      </c>
      <c r="U39" s="8">
        <v>3303.1374480000004</v>
      </c>
      <c r="V39" s="8">
        <v>3138.5567655</v>
      </c>
      <c r="W39" s="8">
        <v>2872.1414631000002</v>
      </c>
      <c r="X39" s="8">
        <v>2566.1888005</v>
      </c>
      <c r="Y39" s="8">
        <v>2290.937155</v>
      </c>
      <c r="Z39" s="8">
        <v>2091.7285883</v>
      </c>
      <c r="AA39" s="9">
        <f t="shared" si="1"/>
        <v>65893.70819</v>
      </c>
      <c r="AB39" s="9">
        <v>6.0</v>
      </c>
      <c r="AC39" s="9">
        <f t="shared" si="2"/>
        <v>395362.2492</v>
      </c>
      <c r="AD39" s="12"/>
    </row>
    <row r="40" ht="14.25" customHeight="1">
      <c r="A40" s="7">
        <v>46692.0</v>
      </c>
      <c r="B40" s="8" t="s">
        <v>34</v>
      </c>
      <c r="C40" s="8">
        <v>2326.249185</v>
      </c>
      <c r="D40" s="8">
        <v>2231.0589938</v>
      </c>
      <c r="E40" s="8">
        <v>2177.8149393000003</v>
      </c>
      <c r="F40" s="8">
        <v>2156.0499142</v>
      </c>
      <c r="G40" s="8">
        <v>2189.2969163</v>
      </c>
      <c r="H40" s="8">
        <v>2329.7985295</v>
      </c>
      <c r="I40" s="8">
        <v>2819.0769295000005</v>
      </c>
      <c r="J40" s="8">
        <v>3537.3383981</v>
      </c>
      <c r="K40" s="8">
        <v>4138.2545906000005</v>
      </c>
      <c r="L40" s="8">
        <v>4544.068713600001</v>
      </c>
      <c r="M40" s="8">
        <v>4874.227007</v>
      </c>
      <c r="N40" s="8">
        <v>5072.9284619</v>
      </c>
      <c r="O40" s="8">
        <v>5006.199494400001</v>
      </c>
      <c r="P40" s="8">
        <v>5023.3053013</v>
      </c>
      <c r="Q40" s="8">
        <v>5156.4033326</v>
      </c>
      <c r="R40" s="8">
        <v>5158.579845900001</v>
      </c>
      <c r="S40" s="8">
        <v>5013.1738904</v>
      </c>
      <c r="T40" s="8">
        <v>4678.5348194</v>
      </c>
      <c r="U40" s="8">
        <v>4432.0341598</v>
      </c>
      <c r="V40" s="8">
        <v>4151.9696075</v>
      </c>
      <c r="W40" s="8">
        <v>3781.7179907000004</v>
      </c>
      <c r="X40" s="8">
        <v>3360.797323</v>
      </c>
      <c r="Y40" s="8">
        <v>2912.5559996</v>
      </c>
      <c r="Z40" s="8">
        <v>2606.5948532</v>
      </c>
      <c r="AA40" s="9">
        <f t="shared" si="1"/>
        <v>89678.0292</v>
      </c>
      <c r="AB40" s="9">
        <v>20.0</v>
      </c>
      <c r="AC40" s="9">
        <f t="shared" si="2"/>
        <v>1793560.584</v>
      </c>
      <c r="AD40" s="10">
        <f>SUM(AC40:AC42)</f>
        <v>2517784.567</v>
      </c>
    </row>
    <row r="41" ht="14.25" customHeight="1">
      <c r="A41" s="7">
        <v>46692.0</v>
      </c>
      <c r="B41" s="8" t="s">
        <v>35</v>
      </c>
      <c r="C41" s="8">
        <v>2527.747586</v>
      </c>
      <c r="D41" s="8">
        <v>2395.7867726</v>
      </c>
      <c r="E41" s="8">
        <v>2322.2064554000003</v>
      </c>
      <c r="F41" s="8">
        <v>2265.1664191</v>
      </c>
      <c r="G41" s="8">
        <v>2276.095783</v>
      </c>
      <c r="H41" s="8">
        <v>2285.3821172</v>
      </c>
      <c r="I41" s="8">
        <v>2618.0346243999998</v>
      </c>
      <c r="J41" s="8">
        <v>3214.4274578</v>
      </c>
      <c r="K41" s="8">
        <v>3780.9841823</v>
      </c>
      <c r="L41" s="8">
        <v>4223.4647377</v>
      </c>
      <c r="M41" s="8">
        <v>4499.5842658</v>
      </c>
      <c r="N41" s="8">
        <v>4626.3009338</v>
      </c>
      <c r="O41" s="8">
        <v>4496.512202</v>
      </c>
      <c r="P41" s="8">
        <v>4354.0042481</v>
      </c>
      <c r="Q41" s="8">
        <v>4256.1886328</v>
      </c>
      <c r="R41" s="8">
        <v>4232.4681191</v>
      </c>
      <c r="S41" s="8">
        <v>4181.6298693</v>
      </c>
      <c r="T41" s="8">
        <v>4102.6139973</v>
      </c>
      <c r="U41" s="8">
        <v>4007.4478002</v>
      </c>
      <c r="V41" s="8">
        <v>3797.6481049000004</v>
      </c>
      <c r="W41" s="8">
        <v>3474.3853638000005</v>
      </c>
      <c r="X41" s="8">
        <v>3110.9058175000005</v>
      </c>
      <c r="Y41" s="8">
        <v>2722.5917784</v>
      </c>
      <c r="Z41" s="8">
        <v>2443.8561225000003</v>
      </c>
      <c r="AA41" s="9">
        <f t="shared" si="1"/>
        <v>82215.43339</v>
      </c>
      <c r="AB41" s="9">
        <v>4.0</v>
      </c>
      <c r="AC41" s="9">
        <f t="shared" si="2"/>
        <v>328861.7336</v>
      </c>
      <c r="AD41" s="11"/>
    </row>
    <row r="42" ht="14.25" customHeight="1">
      <c r="A42" s="7">
        <v>46692.0</v>
      </c>
      <c r="B42" s="8" t="s">
        <v>36</v>
      </c>
      <c r="C42" s="8">
        <v>2263.2297350000003</v>
      </c>
      <c r="D42" s="8">
        <v>2150.8218186</v>
      </c>
      <c r="E42" s="8">
        <v>2046.9690761000002</v>
      </c>
      <c r="F42" s="8">
        <v>1994.2036543000002</v>
      </c>
      <c r="G42" s="8">
        <v>1949.7140182</v>
      </c>
      <c r="H42" s="8">
        <v>1911.4618367</v>
      </c>
      <c r="I42" s="8">
        <v>1973.2490674</v>
      </c>
      <c r="J42" s="8">
        <v>2205.7498125</v>
      </c>
      <c r="K42" s="8">
        <v>2511.5473266</v>
      </c>
      <c r="L42" s="8">
        <v>2936.7974596999998</v>
      </c>
      <c r="M42" s="8">
        <v>3280.3246424000004</v>
      </c>
      <c r="N42" s="8">
        <v>3474.7895819</v>
      </c>
      <c r="O42" s="8">
        <v>3541.7751863</v>
      </c>
      <c r="P42" s="8">
        <v>3557.9385907</v>
      </c>
      <c r="Q42" s="8">
        <v>3533.3620842000005</v>
      </c>
      <c r="R42" s="8">
        <v>3516.2517377</v>
      </c>
      <c r="S42" s="8">
        <v>3433.0646844000003</v>
      </c>
      <c r="T42" s="8">
        <v>3349.7676602</v>
      </c>
      <c r="U42" s="8">
        <v>3303.1374480000004</v>
      </c>
      <c r="V42" s="8">
        <v>3138.5567655</v>
      </c>
      <c r="W42" s="8">
        <v>2872.1414631000002</v>
      </c>
      <c r="X42" s="8">
        <v>2566.1888005</v>
      </c>
      <c r="Y42" s="8">
        <v>2290.937155</v>
      </c>
      <c r="Z42" s="8">
        <v>2091.7285883</v>
      </c>
      <c r="AA42" s="9">
        <f t="shared" si="1"/>
        <v>65893.70819</v>
      </c>
      <c r="AB42" s="9">
        <v>6.0</v>
      </c>
      <c r="AC42" s="9">
        <f t="shared" si="2"/>
        <v>395362.2492</v>
      </c>
      <c r="AD42" s="12"/>
    </row>
    <row r="43" ht="14.25" customHeight="1">
      <c r="A43" s="7">
        <v>46722.0</v>
      </c>
      <c r="B43" s="8" t="s">
        <v>34</v>
      </c>
      <c r="C43" s="8">
        <v>2326.249185</v>
      </c>
      <c r="D43" s="8">
        <v>2231.0589938</v>
      </c>
      <c r="E43" s="8">
        <v>2177.8149393000003</v>
      </c>
      <c r="F43" s="8">
        <v>2156.0499142</v>
      </c>
      <c r="G43" s="8">
        <v>2189.2969163</v>
      </c>
      <c r="H43" s="8">
        <v>2329.7985295</v>
      </c>
      <c r="I43" s="8">
        <v>2819.0769295000005</v>
      </c>
      <c r="J43" s="8">
        <v>3537.3383981</v>
      </c>
      <c r="K43" s="8">
        <v>4138.2545906000005</v>
      </c>
      <c r="L43" s="8">
        <v>4544.068713600001</v>
      </c>
      <c r="M43" s="8">
        <v>4874.227007</v>
      </c>
      <c r="N43" s="8">
        <v>5072.9284619</v>
      </c>
      <c r="O43" s="8">
        <v>5006.199494400001</v>
      </c>
      <c r="P43" s="8">
        <v>5023.3053013</v>
      </c>
      <c r="Q43" s="8">
        <v>5156.4033326</v>
      </c>
      <c r="R43" s="8">
        <v>5158.579845900001</v>
      </c>
      <c r="S43" s="8">
        <v>5013.1738904</v>
      </c>
      <c r="T43" s="8">
        <v>4678.5348194</v>
      </c>
      <c r="U43" s="8">
        <v>4432.0341598</v>
      </c>
      <c r="V43" s="8">
        <v>4151.9696075</v>
      </c>
      <c r="W43" s="8">
        <v>3781.7179907000004</v>
      </c>
      <c r="X43" s="8">
        <v>3360.797323</v>
      </c>
      <c r="Y43" s="8">
        <v>2912.5559996</v>
      </c>
      <c r="Z43" s="8">
        <v>2606.5948532</v>
      </c>
      <c r="AA43" s="9">
        <f t="shared" si="1"/>
        <v>89678.0292</v>
      </c>
      <c r="AB43" s="9">
        <v>22.0</v>
      </c>
      <c r="AC43" s="9">
        <f t="shared" si="2"/>
        <v>1972916.642</v>
      </c>
      <c r="AD43" s="10">
        <f>SUM(AC43:AC45)</f>
        <v>2614925.192</v>
      </c>
    </row>
    <row r="44" ht="14.25" customHeight="1">
      <c r="A44" s="7">
        <v>46722.0</v>
      </c>
      <c r="B44" s="8" t="s">
        <v>35</v>
      </c>
      <c r="C44" s="8">
        <v>2527.747586</v>
      </c>
      <c r="D44" s="8">
        <v>2395.7867726</v>
      </c>
      <c r="E44" s="8">
        <v>2322.2064554000003</v>
      </c>
      <c r="F44" s="8">
        <v>2265.1664191</v>
      </c>
      <c r="G44" s="8">
        <v>2276.095783</v>
      </c>
      <c r="H44" s="8">
        <v>2285.3821172</v>
      </c>
      <c r="I44" s="8">
        <v>2618.0346243999998</v>
      </c>
      <c r="J44" s="8">
        <v>3214.4274578</v>
      </c>
      <c r="K44" s="8">
        <v>3780.9841823</v>
      </c>
      <c r="L44" s="8">
        <v>4223.4647377</v>
      </c>
      <c r="M44" s="8">
        <v>4499.5842658</v>
      </c>
      <c r="N44" s="8">
        <v>4626.3009338</v>
      </c>
      <c r="O44" s="8">
        <v>4496.512202</v>
      </c>
      <c r="P44" s="8">
        <v>4354.0042481</v>
      </c>
      <c r="Q44" s="8">
        <v>4256.1886328</v>
      </c>
      <c r="R44" s="8">
        <v>4232.4681191</v>
      </c>
      <c r="S44" s="8">
        <v>4181.6298693</v>
      </c>
      <c r="T44" s="8">
        <v>4102.6139973</v>
      </c>
      <c r="U44" s="8">
        <v>4007.4478002</v>
      </c>
      <c r="V44" s="8">
        <v>3797.6481049000004</v>
      </c>
      <c r="W44" s="8">
        <v>3474.3853638000005</v>
      </c>
      <c r="X44" s="8">
        <v>3110.9058175000005</v>
      </c>
      <c r="Y44" s="8">
        <v>2722.5917784</v>
      </c>
      <c r="Z44" s="8">
        <v>2443.8561225000003</v>
      </c>
      <c r="AA44" s="9">
        <f t="shared" si="1"/>
        <v>82215.43339</v>
      </c>
      <c r="AB44" s="9">
        <v>3.0</v>
      </c>
      <c r="AC44" s="9">
        <f t="shared" si="2"/>
        <v>246646.3002</v>
      </c>
      <c r="AD44" s="11"/>
    </row>
    <row r="45" ht="14.25" customHeight="1">
      <c r="A45" s="7">
        <v>46722.0</v>
      </c>
      <c r="B45" s="8" t="s">
        <v>36</v>
      </c>
      <c r="C45" s="8">
        <v>2263.2297350000003</v>
      </c>
      <c r="D45" s="8">
        <v>2150.8218186</v>
      </c>
      <c r="E45" s="8">
        <v>2046.9690761000002</v>
      </c>
      <c r="F45" s="8">
        <v>1994.2036543000002</v>
      </c>
      <c r="G45" s="8">
        <v>1949.7140182</v>
      </c>
      <c r="H45" s="8">
        <v>1911.4618367</v>
      </c>
      <c r="I45" s="8">
        <v>1973.2490674</v>
      </c>
      <c r="J45" s="8">
        <v>2205.7498125</v>
      </c>
      <c r="K45" s="8">
        <v>2511.5473266</v>
      </c>
      <c r="L45" s="8">
        <v>2936.7974596999998</v>
      </c>
      <c r="M45" s="8">
        <v>3280.3246424000004</v>
      </c>
      <c r="N45" s="8">
        <v>3474.7895819</v>
      </c>
      <c r="O45" s="8">
        <v>3541.7751863</v>
      </c>
      <c r="P45" s="8">
        <v>3557.9385907</v>
      </c>
      <c r="Q45" s="8">
        <v>3533.3620842000005</v>
      </c>
      <c r="R45" s="8">
        <v>3516.2517377</v>
      </c>
      <c r="S45" s="8">
        <v>3433.0646844000003</v>
      </c>
      <c r="T45" s="8">
        <v>3349.7676602</v>
      </c>
      <c r="U45" s="8">
        <v>3303.1374480000004</v>
      </c>
      <c r="V45" s="8">
        <v>3138.5567655</v>
      </c>
      <c r="W45" s="8">
        <v>2872.1414631000002</v>
      </c>
      <c r="X45" s="8">
        <v>2566.1888005</v>
      </c>
      <c r="Y45" s="8">
        <v>2290.937155</v>
      </c>
      <c r="Z45" s="8">
        <v>2091.7285883</v>
      </c>
      <c r="AA45" s="9">
        <f t="shared" si="1"/>
        <v>65893.70819</v>
      </c>
      <c r="AB45" s="9">
        <v>6.0</v>
      </c>
      <c r="AC45" s="9">
        <f t="shared" si="2"/>
        <v>395362.2492</v>
      </c>
      <c r="AD45" s="12"/>
    </row>
    <row r="46" ht="14.25" customHeight="1">
      <c r="A46" s="7">
        <v>46753.0</v>
      </c>
      <c r="B46" s="8" t="s">
        <v>34</v>
      </c>
      <c r="C46" s="8">
        <v>1968.3646950000002</v>
      </c>
      <c r="D46" s="8">
        <v>1887.8191486</v>
      </c>
      <c r="E46" s="8">
        <v>1842.7664871000002</v>
      </c>
      <c r="F46" s="8">
        <v>1824.3499274</v>
      </c>
      <c r="G46" s="8">
        <v>1852.4820061</v>
      </c>
      <c r="H46" s="8">
        <v>1971.3679865000001</v>
      </c>
      <c r="I46" s="8">
        <v>2385.3727865000005</v>
      </c>
      <c r="J46" s="8">
        <v>2993.1324907000003</v>
      </c>
      <c r="K46" s="8">
        <v>3501.6000382</v>
      </c>
      <c r="L46" s="8">
        <v>3844.9812192000004</v>
      </c>
      <c r="M46" s="8">
        <v>4124.345929</v>
      </c>
      <c r="N46" s="8">
        <v>4292.4779293</v>
      </c>
      <c r="O46" s="8">
        <v>4236.014956800001</v>
      </c>
      <c r="P46" s="8">
        <v>4250.4891011</v>
      </c>
      <c r="Q46" s="8">
        <v>4363.1105122</v>
      </c>
      <c r="R46" s="8">
        <v>4364.952177300001</v>
      </c>
      <c r="S46" s="8">
        <v>4241.916368800001</v>
      </c>
      <c r="T46" s="8">
        <v>3958.7602318000004</v>
      </c>
      <c r="U46" s="8">
        <v>3750.1827506000004</v>
      </c>
      <c r="V46" s="8">
        <v>3513.2050525000004</v>
      </c>
      <c r="W46" s="8">
        <v>3199.9152229000006</v>
      </c>
      <c r="X46" s="8">
        <v>2843.751581</v>
      </c>
      <c r="Y46" s="8">
        <v>2464.4704612000005</v>
      </c>
      <c r="Z46" s="8">
        <v>2205.5802604</v>
      </c>
      <c r="AA46" s="9">
        <f t="shared" si="1"/>
        <v>75881.40932</v>
      </c>
      <c r="AB46" s="9">
        <v>20.0</v>
      </c>
      <c r="AC46" s="9">
        <f t="shared" si="2"/>
        <v>1517628.186</v>
      </c>
      <c r="AD46" s="10">
        <f>SUM(AC46:AC48)</f>
        <v>2186189.309</v>
      </c>
    </row>
    <row r="47" ht="14.25" customHeight="1">
      <c r="A47" s="7">
        <v>46753.0</v>
      </c>
      <c r="B47" s="8" t="s">
        <v>35</v>
      </c>
      <c r="C47" s="8">
        <v>2138.863342</v>
      </c>
      <c r="D47" s="8">
        <v>2027.2041922000003</v>
      </c>
      <c r="E47" s="8">
        <v>1964.9439238000002</v>
      </c>
      <c r="F47" s="8">
        <v>1916.6792777000003</v>
      </c>
      <c r="G47" s="8">
        <v>1925.9272010000002</v>
      </c>
      <c r="H47" s="8">
        <v>1933.7848684</v>
      </c>
      <c r="I47" s="8">
        <v>2215.2600668</v>
      </c>
      <c r="J47" s="8">
        <v>2719.9001566</v>
      </c>
      <c r="K47" s="8">
        <v>3199.2943081000003</v>
      </c>
      <c r="L47" s="8">
        <v>3573.7009319</v>
      </c>
      <c r="M47" s="8">
        <v>3807.3405326000006</v>
      </c>
      <c r="N47" s="8">
        <v>3914.5623286</v>
      </c>
      <c r="O47" s="8">
        <v>3804.7410940000004</v>
      </c>
      <c r="P47" s="8">
        <v>3684.1574407000003</v>
      </c>
      <c r="Q47" s="8">
        <v>3601.3903816</v>
      </c>
      <c r="R47" s="8">
        <v>3581.3191777</v>
      </c>
      <c r="S47" s="8">
        <v>3538.3021971000003</v>
      </c>
      <c r="T47" s="8">
        <v>3471.4426131000005</v>
      </c>
      <c r="U47" s="8">
        <v>3390.9173694</v>
      </c>
      <c r="V47" s="8">
        <v>3213.3945503000004</v>
      </c>
      <c r="W47" s="8">
        <v>2939.8645386000003</v>
      </c>
      <c r="X47" s="8">
        <v>2632.3049225000004</v>
      </c>
      <c r="Y47" s="8">
        <v>2303.7315048</v>
      </c>
      <c r="Z47" s="8">
        <v>2067.8782575000005</v>
      </c>
      <c r="AA47" s="9">
        <f t="shared" si="1"/>
        <v>69566.90518</v>
      </c>
      <c r="AB47" s="9">
        <v>4.0</v>
      </c>
      <c r="AC47" s="9">
        <f t="shared" si="2"/>
        <v>278267.6207</v>
      </c>
      <c r="AD47" s="11"/>
    </row>
    <row r="48" ht="14.25" customHeight="1">
      <c r="A48" s="7">
        <v>46753.0</v>
      </c>
      <c r="B48" s="8" t="s">
        <v>36</v>
      </c>
      <c r="C48" s="8">
        <v>1915.0405450000003</v>
      </c>
      <c r="D48" s="8">
        <v>1819.9261542000002</v>
      </c>
      <c r="E48" s="8">
        <v>1732.0507567000002</v>
      </c>
      <c r="F48" s="8">
        <v>1687.4030921</v>
      </c>
      <c r="G48" s="8">
        <v>1649.7580154</v>
      </c>
      <c r="H48" s="8">
        <v>1617.3907849</v>
      </c>
      <c r="I48" s="8">
        <v>1669.6722878000003</v>
      </c>
      <c r="J48" s="8">
        <v>1866.4036875000002</v>
      </c>
      <c r="K48" s="8">
        <v>2125.1554302</v>
      </c>
      <c r="L48" s="8">
        <v>2484.9824659</v>
      </c>
      <c r="M48" s="8">
        <v>2775.6593128000004</v>
      </c>
      <c r="N48" s="8">
        <v>2940.2065693</v>
      </c>
      <c r="O48" s="8">
        <v>2996.8866961000003</v>
      </c>
      <c r="P48" s="8">
        <v>3010.5634229</v>
      </c>
      <c r="Q48" s="8">
        <v>2989.7679174000004</v>
      </c>
      <c r="R48" s="8">
        <v>2975.2899319000003</v>
      </c>
      <c r="S48" s="8">
        <v>2904.9008868</v>
      </c>
      <c r="T48" s="8">
        <v>2834.4187894</v>
      </c>
      <c r="U48" s="8">
        <v>2794.962456</v>
      </c>
      <c r="V48" s="8">
        <v>2655.7018785</v>
      </c>
      <c r="W48" s="8">
        <v>2430.2735457000003</v>
      </c>
      <c r="X48" s="8">
        <v>2171.3905235</v>
      </c>
      <c r="Y48" s="8">
        <v>1938.4852850000002</v>
      </c>
      <c r="Z48" s="8">
        <v>1769.9241901000003</v>
      </c>
      <c r="AA48" s="9">
        <f t="shared" si="1"/>
        <v>55756.21463</v>
      </c>
      <c r="AB48" s="9">
        <v>7.0</v>
      </c>
      <c r="AC48" s="9">
        <f t="shared" si="2"/>
        <v>390293.5024</v>
      </c>
      <c r="AD48" s="12"/>
    </row>
    <row r="49" ht="14.25" customHeight="1">
      <c r="A49" s="7">
        <v>46784.0</v>
      </c>
      <c r="B49" s="8" t="s">
        <v>34</v>
      </c>
      <c r="C49" s="8">
        <v>1968.3646950000002</v>
      </c>
      <c r="D49" s="8">
        <v>1887.8191486</v>
      </c>
      <c r="E49" s="8">
        <v>1842.7664871000002</v>
      </c>
      <c r="F49" s="8">
        <v>1824.3499274</v>
      </c>
      <c r="G49" s="8">
        <v>1852.4820061</v>
      </c>
      <c r="H49" s="8">
        <v>1971.3679865000001</v>
      </c>
      <c r="I49" s="8">
        <v>2385.3727865000005</v>
      </c>
      <c r="J49" s="8">
        <v>2993.1324907000003</v>
      </c>
      <c r="K49" s="8">
        <v>3501.6000382</v>
      </c>
      <c r="L49" s="8">
        <v>3844.9812192000004</v>
      </c>
      <c r="M49" s="8">
        <v>4124.345929</v>
      </c>
      <c r="N49" s="8">
        <v>4292.4779293</v>
      </c>
      <c r="O49" s="8">
        <v>4236.014956800001</v>
      </c>
      <c r="P49" s="8">
        <v>4250.4891011</v>
      </c>
      <c r="Q49" s="8">
        <v>4363.1105122</v>
      </c>
      <c r="R49" s="8">
        <v>4364.952177300001</v>
      </c>
      <c r="S49" s="8">
        <v>4241.916368800001</v>
      </c>
      <c r="T49" s="8">
        <v>3958.7602318000004</v>
      </c>
      <c r="U49" s="8">
        <v>3750.1827506000004</v>
      </c>
      <c r="V49" s="8">
        <v>3513.2050525000004</v>
      </c>
      <c r="W49" s="8">
        <v>3199.9152229000006</v>
      </c>
      <c r="X49" s="8">
        <v>2843.751581</v>
      </c>
      <c r="Y49" s="8">
        <v>2464.4704612000005</v>
      </c>
      <c r="Z49" s="8">
        <v>2205.5802604</v>
      </c>
      <c r="AA49" s="9">
        <f t="shared" si="1"/>
        <v>75881.40932</v>
      </c>
      <c r="AB49" s="9">
        <v>21.0</v>
      </c>
      <c r="AC49" s="9">
        <f t="shared" si="2"/>
        <v>1593509.596</v>
      </c>
      <c r="AD49" s="10">
        <f>SUM(AC49:AC51)</f>
        <v>2094802.075</v>
      </c>
    </row>
    <row r="50" ht="14.25" customHeight="1">
      <c r="A50" s="7">
        <v>46784.0</v>
      </c>
      <c r="B50" s="8" t="s">
        <v>35</v>
      </c>
      <c r="C50" s="8">
        <v>2138.863342</v>
      </c>
      <c r="D50" s="8">
        <v>2027.2041922000003</v>
      </c>
      <c r="E50" s="8">
        <v>1964.9439238000002</v>
      </c>
      <c r="F50" s="8">
        <v>1916.6792777000003</v>
      </c>
      <c r="G50" s="8">
        <v>1925.9272010000002</v>
      </c>
      <c r="H50" s="8">
        <v>1933.7848684</v>
      </c>
      <c r="I50" s="8">
        <v>2215.2600668</v>
      </c>
      <c r="J50" s="8">
        <v>2719.9001566</v>
      </c>
      <c r="K50" s="8">
        <v>3199.2943081000003</v>
      </c>
      <c r="L50" s="8">
        <v>3573.7009319</v>
      </c>
      <c r="M50" s="8">
        <v>3807.3405326000006</v>
      </c>
      <c r="N50" s="8">
        <v>3914.5623286</v>
      </c>
      <c r="O50" s="8">
        <v>3804.7410940000004</v>
      </c>
      <c r="P50" s="8">
        <v>3684.1574407000003</v>
      </c>
      <c r="Q50" s="8">
        <v>3601.3903816</v>
      </c>
      <c r="R50" s="8">
        <v>3581.3191777</v>
      </c>
      <c r="S50" s="8">
        <v>3538.3021971000003</v>
      </c>
      <c r="T50" s="8">
        <v>3471.4426131000005</v>
      </c>
      <c r="U50" s="8">
        <v>3390.9173694</v>
      </c>
      <c r="V50" s="8">
        <v>3213.3945503000004</v>
      </c>
      <c r="W50" s="8">
        <v>2939.8645386000003</v>
      </c>
      <c r="X50" s="8">
        <v>2632.3049225000004</v>
      </c>
      <c r="Y50" s="8">
        <v>2303.7315048</v>
      </c>
      <c r="Z50" s="8">
        <v>2067.8782575000005</v>
      </c>
      <c r="AA50" s="9">
        <f t="shared" si="1"/>
        <v>69566.90518</v>
      </c>
      <c r="AB50" s="9">
        <v>4.0</v>
      </c>
      <c r="AC50" s="9">
        <f t="shared" si="2"/>
        <v>278267.6207</v>
      </c>
      <c r="AD50" s="11"/>
    </row>
    <row r="51" ht="14.25" customHeight="1">
      <c r="A51" s="7">
        <v>46784.0</v>
      </c>
      <c r="B51" s="8" t="s">
        <v>36</v>
      </c>
      <c r="C51" s="8">
        <v>1915.0405450000003</v>
      </c>
      <c r="D51" s="8">
        <v>1819.9261542000002</v>
      </c>
      <c r="E51" s="8">
        <v>1732.0507567000002</v>
      </c>
      <c r="F51" s="8">
        <v>1687.4030921</v>
      </c>
      <c r="G51" s="8">
        <v>1649.7580154</v>
      </c>
      <c r="H51" s="8">
        <v>1617.3907849</v>
      </c>
      <c r="I51" s="8">
        <v>1669.6722878000003</v>
      </c>
      <c r="J51" s="8">
        <v>1866.4036875000002</v>
      </c>
      <c r="K51" s="8">
        <v>2125.1554302</v>
      </c>
      <c r="L51" s="8">
        <v>2484.9824659</v>
      </c>
      <c r="M51" s="8">
        <v>2775.6593128000004</v>
      </c>
      <c r="N51" s="8">
        <v>2940.2065693</v>
      </c>
      <c r="O51" s="8">
        <v>2996.8866961000003</v>
      </c>
      <c r="P51" s="8">
        <v>3010.5634229</v>
      </c>
      <c r="Q51" s="8">
        <v>2989.7679174000004</v>
      </c>
      <c r="R51" s="8">
        <v>2975.2899319000003</v>
      </c>
      <c r="S51" s="8">
        <v>2904.9008868</v>
      </c>
      <c r="T51" s="8">
        <v>2834.4187894</v>
      </c>
      <c r="U51" s="8">
        <v>2794.962456</v>
      </c>
      <c r="V51" s="8">
        <v>2655.7018785</v>
      </c>
      <c r="W51" s="8">
        <v>2430.2735457000003</v>
      </c>
      <c r="X51" s="8">
        <v>2171.3905235</v>
      </c>
      <c r="Y51" s="8">
        <v>1938.4852850000002</v>
      </c>
      <c r="Z51" s="8">
        <v>1769.9241901000003</v>
      </c>
      <c r="AA51" s="9">
        <f t="shared" si="1"/>
        <v>55756.21463</v>
      </c>
      <c r="AB51" s="9">
        <v>4.0</v>
      </c>
      <c r="AC51" s="9">
        <f t="shared" si="2"/>
        <v>223024.8585</v>
      </c>
      <c r="AD51" s="12"/>
    </row>
    <row r="52" ht="14.25" customHeight="1">
      <c r="A52" s="7">
        <v>46813.0</v>
      </c>
      <c r="B52" s="8" t="s">
        <v>34</v>
      </c>
      <c r="C52" s="8">
        <v>1968.3646950000002</v>
      </c>
      <c r="D52" s="8">
        <v>1887.8191486</v>
      </c>
      <c r="E52" s="8">
        <v>1842.7664871000002</v>
      </c>
      <c r="F52" s="8">
        <v>1824.3499274</v>
      </c>
      <c r="G52" s="8">
        <v>1852.4820061</v>
      </c>
      <c r="H52" s="8">
        <v>1971.3679865000001</v>
      </c>
      <c r="I52" s="8">
        <v>2385.3727865000005</v>
      </c>
      <c r="J52" s="8">
        <v>2993.1324907000003</v>
      </c>
      <c r="K52" s="8">
        <v>3501.6000382</v>
      </c>
      <c r="L52" s="8">
        <v>3844.9812192000004</v>
      </c>
      <c r="M52" s="8">
        <v>4124.345929</v>
      </c>
      <c r="N52" s="8">
        <v>4292.4779293</v>
      </c>
      <c r="O52" s="8">
        <v>4236.014956800001</v>
      </c>
      <c r="P52" s="8">
        <v>4250.4891011</v>
      </c>
      <c r="Q52" s="8">
        <v>4363.1105122</v>
      </c>
      <c r="R52" s="8">
        <v>4364.952177300001</v>
      </c>
      <c r="S52" s="8">
        <v>4241.916368800001</v>
      </c>
      <c r="T52" s="8">
        <v>3958.7602318000004</v>
      </c>
      <c r="U52" s="8">
        <v>3750.1827506000004</v>
      </c>
      <c r="V52" s="8">
        <v>3513.2050525000004</v>
      </c>
      <c r="W52" s="8">
        <v>3199.9152229000006</v>
      </c>
      <c r="X52" s="8">
        <v>2843.751581</v>
      </c>
      <c r="Y52" s="8">
        <v>2464.4704612000005</v>
      </c>
      <c r="Z52" s="8">
        <v>2205.5802604</v>
      </c>
      <c r="AA52" s="9">
        <f t="shared" si="1"/>
        <v>75881.40932</v>
      </c>
      <c r="AB52" s="9">
        <v>22.0</v>
      </c>
      <c r="AC52" s="9">
        <f t="shared" si="2"/>
        <v>1669391.005</v>
      </c>
      <c r="AD52" s="10">
        <f>SUM(AC52:AC54)</f>
        <v>2226439.699</v>
      </c>
    </row>
    <row r="53" ht="14.25" customHeight="1">
      <c r="A53" s="7">
        <v>46813.0</v>
      </c>
      <c r="B53" s="8" t="s">
        <v>35</v>
      </c>
      <c r="C53" s="8">
        <v>2138.863342</v>
      </c>
      <c r="D53" s="8">
        <v>2027.2041922000003</v>
      </c>
      <c r="E53" s="8">
        <v>1964.9439238000002</v>
      </c>
      <c r="F53" s="8">
        <v>1916.6792777000003</v>
      </c>
      <c r="G53" s="8">
        <v>1925.9272010000002</v>
      </c>
      <c r="H53" s="8">
        <v>1933.7848684</v>
      </c>
      <c r="I53" s="8">
        <v>2215.2600668</v>
      </c>
      <c r="J53" s="8">
        <v>2719.9001566</v>
      </c>
      <c r="K53" s="8">
        <v>3199.2943081000003</v>
      </c>
      <c r="L53" s="8">
        <v>3573.7009319</v>
      </c>
      <c r="M53" s="8">
        <v>3807.3405326000006</v>
      </c>
      <c r="N53" s="8">
        <v>3914.5623286</v>
      </c>
      <c r="O53" s="8">
        <v>3804.7410940000004</v>
      </c>
      <c r="P53" s="8">
        <v>3684.1574407000003</v>
      </c>
      <c r="Q53" s="8">
        <v>3601.3903816</v>
      </c>
      <c r="R53" s="8">
        <v>3581.3191777</v>
      </c>
      <c r="S53" s="8">
        <v>3538.3021971000003</v>
      </c>
      <c r="T53" s="8">
        <v>3471.4426131000005</v>
      </c>
      <c r="U53" s="8">
        <v>3390.9173694</v>
      </c>
      <c r="V53" s="8">
        <v>3213.3945503000004</v>
      </c>
      <c r="W53" s="8">
        <v>2939.8645386000003</v>
      </c>
      <c r="X53" s="8">
        <v>2632.3049225000004</v>
      </c>
      <c r="Y53" s="8">
        <v>2303.7315048</v>
      </c>
      <c r="Z53" s="8">
        <v>2067.8782575000005</v>
      </c>
      <c r="AA53" s="9">
        <f t="shared" si="1"/>
        <v>69566.90518</v>
      </c>
      <c r="AB53" s="9">
        <v>4.0</v>
      </c>
      <c r="AC53" s="9">
        <f t="shared" si="2"/>
        <v>278267.6207</v>
      </c>
      <c r="AD53" s="11"/>
    </row>
    <row r="54" ht="14.25" customHeight="1">
      <c r="A54" s="7">
        <v>46813.0</v>
      </c>
      <c r="B54" s="8" t="s">
        <v>36</v>
      </c>
      <c r="C54" s="8">
        <v>1915.0405450000003</v>
      </c>
      <c r="D54" s="8">
        <v>1819.9261542000002</v>
      </c>
      <c r="E54" s="8">
        <v>1732.0507567000002</v>
      </c>
      <c r="F54" s="8">
        <v>1687.4030921</v>
      </c>
      <c r="G54" s="8">
        <v>1649.7580154</v>
      </c>
      <c r="H54" s="8">
        <v>1617.3907849</v>
      </c>
      <c r="I54" s="8">
        <v>1669.6722878000003</v>
      </c>
      <c r="J54" s="8">
        <v>1866.4036875000002</v>
      </c>
      <c r="K54" s="8">
        <v>2125.1554302</v>
      </c>
      <c r="L54" s="8">
        <v>2484.9824659</v>
      </c>
      <c r="M54" s="8">
        <v>2775.6593128000004</v>
      </c>
      <c r="N54" s="8">
        <v>2940.2065693</v>
      </c>
      <c r="O54" s="8">
        <v>2996.8866961000003</v>
      </c>
      <c r="P54" s="8">
        <v>3010.5634229</v>
      </c>
      <c r="Q54" s="8">
        <v>2989.7679174000004</v>
      </c>
      <c r="R54" s="8">
        <v>2975.2899319000003</v>
      </c>
      <c r="S54" s="8">
        <v>2904.9008868</v>
      </c>
      <c r="T54" s="8">
        <v>2834.4187894</v>
      </c>
      <c r="U54" s="8">
        <v>2794.962456</v>
      </c>
      <c r="V54" s="8">
        <v>2655.7018785</v>
      </c>
      <c r="W54" s="8">
        <v>2430.2735457000003</v>
      </c>
      <c r="X54" s="8">
        <v>2171.3905235</v>
      </c>
      <c r="Y54" s="8">
        <v>1938.4852850000002</v>
      </c>
      <c r="Z54" s="8">
        <v>1769.9241901000003</v>
      </c>
      <c r="AA54" s="9">
        <f t="shared" si="1"/>
        <v>55756.21463</v>
      </c>
      <c r="AB54" s="9">
        <v>5.0</v>
      </c>
      <c r="AC54" s="9">
        <f t="shared" si="2"/>
        <v>278781.0731</v>
      </c>
      <c r="AD54" s="12"/>
    </row>
    <row r="55" ht="14.25" customHeight="1">
      <c r="A55" s="7">
        <v>46844.0</v>
      </c>
      <c r="B55" s="8" t="s">
        <v>34</v>
      </c>
      <c r="C55" s="8">
        <v>1968.3646950000002</v>
      </c>
      <c r="D55" s="8">
        <v>1887.8191486</v>
      </c>
      <c r="E55" s="8">
        <v>1842.7664871000002</v>
      </c>
      <c r="F55" s="8">
        <v>1824.3499274</v>
      </c>
      <c r="G55" s="8">
        <v>1852.4820061</v>
      </c>
      <c r="H55" s="8">
        <v>1971.3679865000001</v>
      </c>
      <c r="I55" s="8">
        <v>2385.3727865000005</v>
      </c>
      <c r="J55" s="8">
        <v>2993.1324907000003</v>
      </c>
      <c r="K55" s="8">
        <v>3501.6000382</v>
      </c>
      <c r="L55" s="8">
        <v>3844.9812192000004</v>
      </c>
      <c r="M55" s="8">
        <v>4124.345929</v>
      </c>
      <c r="N55" s="8">
        <v>4292.4779293</v>
      </c>
      <c r="O55" s="8">
        <v>4236.014956800001</v>
      </c>
      <c r="P55" s="8">
        <v>4250.4891011</v>
      </c>
      <c r="Q55" s="8">
        <v>4363.1105122</v>
      </c>
      <c r="R55" s="8">
        <v>4364.952177300001</v>
      </c>
      <c r="S55" s="8">
        <v>4241.916368800001</v>
      </c>
      <c r="T55" s="8">
        <v>3958.7602318000004</v>
      </c>
      <c r="U55" s="8">
        <v>3750.1827506000004</v>
      </c>
      <c r="V55" s="8">
        <v>3513.2050525000004</v>
      </c>
      <c r="W55" s="8">
        <v>3199.9152229000006</v>
      </c>
      <c r="X55" s="8">
        <v>2843.751581</v>
      </c>
      <c r="Y55" s="8">
        <v>2464.4704612000005</v>
      </c>
      <c r="Z55" s="8">
        <v>2205.5802604</v>
      </c>
      <c r="AA55" s="9">
        <f t="shared" si="1"/>
        <v>75881.40932</v>
      </c>
      <c r="AB55" s="9">
        <v>18.0</v>
      </c>
      <c r="AC55" s="9">
        <f t="shared" si="2"/>
        <v>1365865.368</v>
      </c>
      <c r="AD55" s="10">
        <f>SUM(AC55:AC57)</f>
        <v>2103993.396</v>
      </c>
    </row>
    <row r="56" ht="14.25" customHeight="1">
      <c r="A56" s="7">
        <v>46844.0</v>
      </c>
      <c r="B56" s="8" t="s">
        <v>35</v>
      </c>
      <c r="C56" s="8">
        <v>2138.863342</v>
      </c>
      <c r="D56" s="8">
        <v>2027.2041922000003</v>
      </c>
      <c r="E56" s="8">
        <v>1964.9439238000002</v>
      </c>
      <c r="F56" s="8">
        <v>1916.6792777000003</v>
      </c>
      <c r="G56" s="8">
        <v>1925.9272010000002</v>
      </c>
      <c r="H56" s="8">
        <v>1933.7848684</v>
      </c>
      <c r="I56" s="8">
        <v>2215.2600668</v>
      </c>
      <c r="J56" s="8">
        <v>2719.9001566</v>
      </c>
      <c r="K56" s="8">
        <v>3199.2943081000003</v>
      </c>
      <c r="L56" s="8">
        <v>3573.7009319</v>
      </c>
      <c r="M56" s="8">
        <v>3807.3405326000006</v>
      </c>
      <c r="N56" s="8">
        <v>3914.5623286</v>
      </c>
      <c r="O56" s="8">
        <v>3804.7410940000004</v>
      </c>
      <c r="P56" s="8">
        <v>3684.1574407000003</v>
      </c>
      <c r="Q56" s="8">
        <v>3601.3903816</v>
      </c>
      <c r="R56" s="8">
        <v>3581.3191777</v>
      </c>
      <c r="S56" s="8">
        <v>3538.3021971000003</v>
      </c>
      <c r="T56" s="8">
        <v>3471.4426131000005</v>
      </c>
      <c r="U56" s="8">
        <v>3390.9173694</v>
      </c>
      <c r="V56" s="8">
        <v>3213.3945503000004</v>
      </c>
      <c r="W56" s="8">
        <v>2939.8645386000003</v>
      </c>
      <c r="X56" s="8">
        <v>2632.3049225000004</v>
      </c>
      <c r="Y56" s="8">
        <v>2303.7315048</v>
      </c>
      <c r="Z56" s="8">
        <v>2067.8782575000005</v>
      </c>
      <c r="AA56" s="9">
        <f t="shared" si="1"/>
        <v>69566.90518</v>
      </c>
      <c r="AB56" s="9">
        <v>5.0</v>
      </c>
      <c r="AC56" s="9">
        <f t="shared" si="2"/>
        <v>347834.5259</v>
      </c>
      <c r="AD56" s="11"/>
    </row>
    <row r="57" ht="14.25" customHeight="1">
      <c r="A57" s="7">
        <v>46844.0</v>
      </c>
      <c r="B57" s="8" t="s">
        <v>36</v>
      </c>
      <c r="C57" s="8">
        <v>1915.0405450000003</v>
      </c>
      <c r="D57" s="8">
        <v>1819.9261542000002</v>
      </c>
      <c r="E57" s="8">
        <v>1732.0507567000002</v>
      </c>
      <c r="F57" s="8">
        <v>1687.4030921</v>
      </c>
      <c r="G57" s="8">
        <v>1649.7580154</v>
      </c>
      <c r="H57" s="8">
        <v>1617.3907849</v>
      </c>
      <c r="I57" s="8">
        <v>1669.6722878000003</v>
      </c>
      <c r="J57" s="8">
        <v>1866.4036875000002</v>
      </c>
      <c r="K57" s="8">
        <v>2125.1554302</v>
      </c>
      <c r="L57" s="8">
        <v>2484.9824659</v>
      </c>
      <c r="M57" s="8">
        <v>2775.6593128000004</v>
      </c>
      <c r="N57" s="8">
        <v>2940.2065693</v>
      </c>
      <c r="O57" s="8">
        <v>2996.8866961000003</v>
      </c>
      <c r="P57" s="8">
        <v>3010.5634229</v>
      </c>
      <c r="Q57" s="8">
        <v>2989.7679174000004</v>
      </c>
      <c r="R57" s="8">
        <v>2975.2899319000003</v>
      </c>
      <c r="S57" s="8">
        <v>2904.9008868</v>
      </c>
      <c r="T57" s="8">
        <v>2834.4187894</v>
      </c>
      <c r="U57" s="8">
        <v>2794.962456</v>
      </c>
      <c r="V57" s="8">
        <v>2655.7018785</v>
      </c>
      <c r="W57" s="8">
        <v>2430.2735457000003</v>
      </c>
      <c r="X57" s="8">
        <v>2171.3905235</v>
      </c>
      <c r="Y57" s="8">
        <v>1938.4852850000002</v>
      </c>
      <c r="Z57" s="8">
        <v>1769.9241901000003</v>
      </c>
      <c r="AA57" s="9">
        <f t="shared" si="1"/>
        <v>55756.21463</v>
      </c>
      <c r="AB57" s="9">
        <v>7.0</v>
      </c>
      <c r="AC57" s="9">
        <f t="shared" si="2"/>
        <v>390293.5024</v>
      </c>
      <c r="AD57" s="12"/>
    </row>
    <row r="58" ht="14.25" customHeight="1">
      <c r="A58" s="7">
        <v>46874.0</v>
      </c>
      <c r="B58" s="8" t="s">
        <v>34</v>
      </c>
      <c r="C58" s="8">
        <v>1968.3646950000002</v>
      </c>
      <c r="D58" s="8">
        <v>1887.8191486</v>
      </c>
      <c r="E58" s="8">
        <v>1842.7664871000002</v>
      </c>
      <c r="F58" s="8">
        <v>1824.3499274</v>
      </c>
      <c r="G58" s="8">
        <v>1852.4820061</v>
      </c>
      <c r="H58" s="8">
        <v>1971.3679865000001</v>
      </c>
      <c r="I58" s="8">
        <v>2385.3727865000005</v>
      </c>
      <c r="J58" s="8">
        <v>2993.1324907000003</v>
      </c>
      <c r="K58" s="8">
        <v>3501.6000382</v>
      </c>
      <c r="L58" s="8">
        <v>3844.9812192000004</v>
      </c>
      <c r="M58" s="8">
        <v>4124.345929</v>
      </c>
      <c r="N58" s="8">
        <v>4292.4779293</v>
      </c>
      <c r="O58" s="8">
        <v>4236.014956800001</v>
      </c>
      <c r="P58" s="8">
        <v>4250.4891011</v>
      </c>
      <c r="Q58" s="8">
        <v>4363.1105122</v>
      </c>
      <c r="R58" s="8">
        <v>4364.952177300001</v>
      </c>
      <c r="S58" s="8">
        <v>4241.916368800001</v>
      </c>
      <c r="T58" s="8">
        <v>3958.7602318000004</v>
      </c>
      <c r="U58" s="8">
        <v>3750.1827506000004</v>
      </c>
      <c r="V58" s="8">
        <v>3513.2050525000004</v>
      </c>
      <c r="W58" s="8">
        <v>3199.9152229000006</v>
      </c>
      <c r="X58" s="8">
        <v>2843.751581</v>
      </c>
      <c r="Y58" s="8">
        <v>2464.4704612000005</v>
      </c>
      <c r="Z58" s="8">
        <v>2205.5802604</v>
      </c>
      <c r="AA58" s="9">
        <f t="shared" si="1"/>
        <v>75881.40932</v>
      </c>
      <c r="AB58" s="9">
        <v>21.0</v>
      </c>
      <c r="AC58" s="9">
        <f t="shared" si="2"/>
        <v>1593509.596</v>
      </c>
      <c r="AD58" s="10">
        <f>SUM(AC58:AC60)</f>
        <v>2206314.504</v>
      </c>
    </row>
    <row r="59" ht="14.25" customHeight="1">
      <c r="A59" s="7">
        <v>46874.0</v>
      </c>
      <c r="B59" s="8" t="s">
        <v>35</v>
      </c>
      <c r="C59" s="8">
        <v>2138.863342</v>
      </c>
      <c r="D59" s="8">
        <v>2027.2041922000003</v>
      </c>
      <c r="E59" s="8">
        <v>1964.9439238000002</v>
      </c>
      <c r="F59" s="8">
        <v>1916.6792777000003</v>
      </c>
      <c r="G59" s="8">
        <v>1925.9272010000002</v>
      </c>
      <c r="H59" s="8">
        <v>1933.7848684</v>
      </c>
      <c r="I59" s="8">
        <v>2215.2600668</v>
      </c>
      <c r="J59" s="8">
        <v>2719.9001566</v>
      </c>
      <c r="K59" s="8">
        <v>3199.2943081000003</v>
      </c>
      <c r="L59" s="8">
        <v>3573.7009319</v>
      </c>
      <c r="M59" s="8">
        <v>3807.3405326000006</v>
      </c>
      <c r="N59" s="8">
        <v>3914.5623286</v>
      </c>
      <c r="O59" s="8">
        <v>3804.7410940000004</v>
      </c>
      <c r="P59" s="8">
        <v>3684.1574407000003</v>
      </c>
      <c r="Q59" s="8">
        <v>3601.3903816</v>
      </c>
      <c r="R59" s="8">
        <v>3581.3191777</v>
      </c>
      <c r="S59" s="8">
        <v>3538.3021971000003</v>
      </c>
      <c r="T59" s="8">
        <v>3471.4426131000005</v>
      </c>
      <c r="U59" s="8">
        <v>3390.9173694</v>
      </c>
      <c r="V59" s="8">
        <v>3213.3945503000004</v>
      </c>
      <c r="W59" s="8">
        <v>2939.8645386000003</v>
      </c>
      <c r="X59" s="8">
        <v>2632.3049225000004</v>
      </c>
      <c r="Y59" s="8">
        <v>2303.7315048</v>
      </c>
      <c r="Z59" s="8">
        <v>2067.8782575000005</v>
      </c>
      <c r="AA59" s="9">
        <f t="shared" si="1"/>
        <v>69566.90518</v>
      </c>
      <c r="AB59" s="9">
        <v>4.0</v>
      </c>
      <c r="AC59" s="9">
        <f t="shared" si="2"/>
        <v>278267.6207</v>
      </c>
      <c r="AD59" s="11"/>
    </row>
    <row r="60" ht="14.25" customHeight="1">
      <c r="A60" s="7">
        <v>46874.0</v>
      </c>
      <c r="B60" s="8" t="s">
        <v>36</v>
      </c>
      <c r="C60" s="8">
        <v>1915.0405450000003</v>
      </c>
      <c r="D60" s="8">
        <v>1819.9261542000002</v>
      </c>
      <c r="E60" s="8">
        <v>1732.0507567000002</v>
      </c>
      <c r="F60" s="8">
        <v>1687.4030921</v>
      </c>
      <c r="G60" s="8">
        <v>1649.7580154</v>
      </c>
      <c r="H60" s="8">
        <v>1617.3907849</v>
      </c>
      <c r="I60" s="8">
        <v>1669.6722878000003</v>
      </c>
      <c r="J60" s="8">
        <v>1866.4036875000002</v>
      </c>
      <c r="K60" s="8">
        <v>2125.1554302</v>
      </c>
      <c r="L60" s="8">
        <v>2484.9824659</v>
      </c>
      <c r="M60" s="8">
        <v>2775.6593128000004</v>
      </c>
      <c r="N60" s="8">
        <v>2940.2065693</v>
      </c>
      <c r="O60" s="8">
        <v>2996.8866961000003</v>
      </c>
      <c r="P60" s="8">
        <v>3010.5634229</v>
      </c>
      <c r="Q60" s="8">
        <v>2989.7679174000004</v>
      </c>
      <c r="R60" s="8">
        <v>2975.2899319000003</v>
      </c>
      <c r="S60" s="8">
        <v>2904.9008868</v>
      </c>
      <c r="T60" s="8">
        <v>2834.4187894</v>
      </c>
      <c r="U60" s="8">
        <v>2794.962456</v>
      </c>
      <c r="V60" s="8">
        <v>2655.7018785</v>
      </c>
      <c r="W60" s="8">
        <v>2430.2735457000003</v>
      </c>
      <c r="X60" s="8">
        <v>2171.3905235</v>
      </c>
      <c r="Y60" s="8">
        <v>1938.4852850000002</v>
      </c>
      <c r="Z60" s="8">
        <v>1769.9241901000003</v>
      </c>
      <c r="AA60" s="9">
        <f t="shared" si="1"/>
        <v>55756.21463</v>
      </c>
      <c r="AB60" s="9">
        <v>6.0</v>
      </c>
      <c r="AC60" s="9">
        <f t="shared" si="2"/>
        <v>334537.2878</v>
      </c>
      <c r="AD60" s="12"/>
    </row>
    <row r="61" ht="14.25" customHeight="1">
      <c r="A61" s="7">
        <v>46905.0</v>
      </c>
      <c r="B61" s="8" t="s">
        <v>34</v>
      </c>
      <c r="C61" s="8">
        <v>1968.3646950000002</v>
      </c>
      <c r="D61" s="8">
        <v>1887.8191486</v>
      </c>
      <c r="E61" s="8">
        <v>1842.7664871000002</v>
      </c>
      <c r="F61" s="8">
        <v>1824.3499274</v>
      </c>
      <c r="G61" s="8">
        <v>1852.4820061</v>
      </c>
      <c r="H61" s="8">
        <v>1971.3679865000001</v>
      </c>
      <c r="I61" s="8">
        <v>2385.3727865000005</v>
      </c>
      <c r="J61" s="8">
        <v>2993.1324907000003</v>
      </c>
      <c r="K61" s="8">
        <v>3501.6000382</v>
      </c>
      <c r="L61" s="8">
        <v>3844.9812192000004</v>
      </c>
      <c r="M61" s="8">
        <v>4124.345929</v>
      </c>
      <c r="N61" s="8">
        <v>4292.4779293</v>
      </c>
      <c r="O61" s="8">
        <v>4236.014956800001</v>
      </c>
      <c r="P61" s="8">
        <v>4250.4891011</v>
      </c>
      <c r="Q61" s="8">
        <v>4363.1105122</v>
      </c>
      <c r="R61" s="8">
        <v>4364.952177300001</v>
      </c>
      <c r="S61" s="8">
        <v>4241.916368800001</v>
      </c>
      <c r="T61" s="8">
        <v>3958.7602318000004</v>
      </c>
      <c r="U61" s="8">
        <v>3750.1827506000004</v>
      </c>
      <c r="V61" s="8">
        <v>3513.2050525000004</v>
      </c>
      <c r="W61" s="8">
        <v>3199.9152229000006</v>
      </c>
      <c r="X61" s="8">
        <v>2843.751581</v>
      </c>
      <c r="Y61" s="8">
        <v>2464.4704612000005</v>
      </c>
      <c r="Z61" s="8">
        <v>2205.5802604</v>
      </c>
      <c r="AA61" s="9">
        <f t="shared" si="1"/>
        <v>75881.40932</v>
      </c>
      <c r="AB61" s="9">
        <v>20.0</v>
      </c>
      <c r="AC61" s="9">
        <f t="shared" si="2"/>
        <v>1517628.186</v>
      </c>
      <c r="AD61" s="10">
        <f>SUM(AC61:AC63)</f>
        <v>2130433.095</v>
      </c>
    </row>
    <row r="62" ht="14.25" customHeight="1">
      <c r="A62" s="7">
        <v>46905.0</v>
      </c>
      <c r="B62" s="8" t="s">
        <v>35</v>
      </c>
      <c r="C62" s="8">
        <v>2138.863342</v>
      </c>
      <c r="D62" s="8">
        <v>2027.2041922000003</v>
      </c>
      <c r="E62" s="8">
        <v>1964.9439238000002</v>
      </c>
      <c r="F62" s="8">
        <v>1916.6792777000003</v>
      </c>
      <c r="G62" s="8">
        <v>1925.9272010000002</v>
      </c>
      <c r="H62" s="8">
        <v>1933.7848684</v>
      </c>
      <c r="I62" s="8">
        <v>2215.2600668</v>
      </c>
      <c r="J62" s="8">
        <v>2719.9001566</v>
      </c>
      <c r="K62" s="8">
        <v>3199.2943081000003</v>
      </c>
      <c r="L62" s="8">
        <v>3573.7009319</v>
      </c>
      <c r="M62" s="8">
        <v>3807.3405326000006</v>
      </c>
      <c r="N62" s="8">
        <v>3914.5623286</v>
      </c>
      <c r="O62" s="8">
        <v>3804.7410940000004</v>
      </c>
      <c r="P62" s="8">
        <v>3684.1574407000003</v>
      </c>
      <c r="Q62" s="8">
        <v>3601.3903816</v>
      </c>
      <c r="R62" s="8">
        <v>3581.3191777</v>
      </c>
      <c r="S62" s="8">
        <v>3538.3021971000003</v>
      </c>
      <c r="T62" s="8">
        <v>3471.4426131000005</v>
      </c>
      <c r="U62" s="8">
        <v>3390.9173694</v>
      </c>
      <c r="V62" s="8">
        <v>3213.3945503000004</v>
      </c>
      <c r="W62" s="8">
        <v>2939.8645386000003</v>
      </c>
      <c r="X62" s="8">
        <v>2632.3049225000004</v>
      </c>
      <c r="Y62" s="8">
        <v>2303.7315048</v>
      </c>
      <c r="Z62" s="8">
        <v>2067.8782575000005</v>
      </c>
      <c r="AA62" s="9">
        <f t="shared" si="1"/>
        <v>69566.90518</v>
      </c>
      <c r="AB62" s="9">
        <v>4.0</v>
      </c>
      <c r="AC62" s="9">
        <f t="shared" si="2"/>
        <v>278267.6207</v>
      </c>
      <c r="AD62" s="11"/>
    </row>
    <row r="63" ht="14.25" customHeight="1">
      <c r="A63" s="7">
        <v>46905.0</v>
      </c>
      <c r="B63" s="8" t="s">
        <v>36</v>
      </c>
      <c r="C63" s="8">
        <v>1915.0405450000003</v>
      </c>
      <c r="D63" s="8">
        <v>1819.9261542000002</v>
      </c>
      <c r="E63" s="8">
        <v>1732.0507567000002</v>
      </c>
      <c r="F63" s="8">
        <v>1687.4030921</v>
      </c>
      <c r="G63" s="8">
        <v>1649.7580154</v>
      </c>
      <c r="H63" s="8">
        <v>1617.3907849</v>
      </c>
      <c r="I63" s="8">
        <v>1669.6722878000003</v>
      </c>
      <c r="J63" s="8">
        <v>1866.4036875000002</v>
      </c>
      <c r="K63" s="8">
        <v>2125.1554302</v>
      </c>
      <c r="L63" s="8">
        <v>2484.9824659</v>
      </c>
      <c r="M63" s="8">
        <v>2775.6593128000004</v>
      </c>
      <c r="N63" s="8">
        <v>2940.2065693</v>
      </c>
      <c r="O63" s="8">
        <v>2996.8866961000003</v>
      </c>
      <c r="P63" s="8">
        <v>3010.5634229</v>
      </c>
      <c r="Q63" s="8">
        <v>2989.7679174000004</v>
      </c>
      <c r="R63" s="8">
        <v>2975.2899319000003</v>
      </c>
      <c r="S63" s="8">
        <v>2904.9008868</v>
      </c>
      <c r="T63" s="8">
        <v>2834.4187894</v>
      </c>
      <c r="U63" s="8">
        <v>2794.962456</v>
      </c>
      <c r="V63" s="8">
        <v>2655.7018785</v>
      </c>
      <c r="W63" s="8">
        <v>2430.2735457000003</v>
      </c>
      <c r="X63" s="8">
        <v>2171.3905235</v>
      </c>
      <c r="Y63" s="8">
        <v>1938.4852850000002</v>
      </c>
      <c r="Z63" s="8">
        <v>1769.9241901000003</v>
      </c>
      <c r="AA63" s="9">
        <f t="shared" si="1"/>
        <v>55756.21463</v>
      </c>
      <c r="AB63" s="9">
        <v>6.0</v>
      </c>
      <c r="AC63" s="9">
        <f t="shared" si="2"/>
        <v>334537.2878</v>
      </c>
      <c r="AD63" s="12"/>
    </row>
    <row r="64" ht="14.25" customHeight="1">
      <c r="A64" s="7">
        <v>46935.0</v>
      </c>
      <c r="B64" s="8" t="s">
        <v>34</v>
      </c>
      <c r="C64" s="8">
        <v>1968.3646950000002</v>
      </c>
      <c r="D64" s="8">
        <v>1887.8191486</v>
      </c>
      <c r="E64" s="8">
        <v>1842.7664871000002</v>
      </c>
      <c r="F64" s="8">
        <v>1824.3499274</v>
      </c>
      <c r="G64" s="8">
        <v>1852.4820061</v>
      </c>
      <c r="H64" s="8">
        <v>1971.3679865000001</v>
      </c>
      <c r="I64" s="8">
        <v>2385.3727865000005</v>
      </c>
      <c r="J64" s="8">
        <v>2993.1324907000003</v>
      </c>
      <c r="K64" s="8">
        <v>3501.6000382</v>
      </c>
      <c r="L64" s="8">
        <v>3844.9812192000004</v>
      </c>
      <c r="M64" s="8">
        <v>4124.345929</v>
      </c>
      <c r="N64" s="8">
        <v>4292.4779293</v>
      </c>
      <c r="O64" s="8">
        <v>4236.014956800001</v>
      </c>
      <c r="P64" s="8">
        <v>4250.4891011</v>
      </c>
      <c r="Q64" s="8">
        <v>4363.1105122</v>
      </c>
      <c r="R64" s="8">
        <v>4364.952177300001</v>
      </c>
      <c r="S64" s="8">
        <v>4241.916368800001</v>
      </c>
      <c r="T64" s="8">
        <v>3958.7602318000004</v>
      </c>
      <c r="U64" s="8">
        <v>3750.1827506000004</v>
      </c>
      <c r="V64" s="8">
        <v>3513.2050525000004</v>
      </c>
      <c r="W64" s="8">
        <v>3199.9152229000006</v>
      </c>
      <c r="X64" s="8">
        <v>2843.751581</v>
      </c>
      <c r="Y64" s="8">
        <v>2464.4704612000005</v>
      </c>
      <c r="Z64" s="8">
        <v>2205.5802604</v>
      </c>
      <c r="AA64" s="9">
        <f t="shared" si="1"/>
        <v>75881.40932</v>
      </c>
      <c r="AB64" s="9">
        <v>19.0</v>
      </c>
      <c r="AC64" s="9">
        <f t="shared" si="2"/>
        <v>1441746.777</v>
      </c>
      <c r="AD64" s="10">
        <f>SUM(AC64:AC66)</f>
        <v>2179874.805</v>
      </c>
    </row>
    <row r="65" ht="14.25" customHeight="1">
      <c r="A65" s="7">
        <v>46935.0</v>
      </c>
      <c r="B65" s="8" t="s">
        <v>35</v>
      </c>
      <c r="C65" s="8">
        <v>2138.863342</v>
      </c>
      <c r="D65" s="8">
        <v>2027.2041922000003</v>
      </c>
      <c r="E65" s="8">
        <v>1964.9439238000002</v>
      </c>
      <c r="F65" s="8">
        <v>1916.6792777000003</v>
      </c>
      <c r="G65" s="8">
        <v>1925.9272010000002</v>
      </c>
      <c r="H65" s="8">
        <v>1933.7848684</v>
      </c>
      <c r="I65" s="8">
        <v>2215.2600668</v>
      </c>
      <c r="J65" s="8">
        <v>2719.9001566</v>
      </c>
      <c r="K65" s="8">
        <v>3199.2943081000003</v>
      </c>
      <c r="L65" s="8">
        <v>3573.7009319</v>
      </c>
      <c r="M65" s="8">
        <v>3807.3405326000006</v>
      </c>
      <c r="N65" s="8">
        <v>3914.5623286</v>
      </c>
      <c r="O65" s="8">
        <v>3804.7410940000004</v>
      </c>
      <c r="P65" s="8">
        <v>3684.1574407000003</v>
      </c>
      <c r="Q65" s="8">
        <v>3601.3903816</v>
      </c>
      <c r="R65" s="8">
        <v>3581.3191777</v>
      </c>
      <c r="S65" s="8">
        <v>3538.3021971000003</v>
      </c>
      <c r="T65" s="8">
        <v>3471.4426131000005</v>
      </c>
      <c r="U65" s="8">
        <v>3390.9173694</v>
      </c>
      <c r="V65" s="8">
        <v>3213.3945503000004</v>
      </c>
      <c r="W65" s="8">
        <v>2939.8645386000003</v>
      </c>
      <c r="X65" s="8">
        <v>2632.3049225000004</v>
      </c>
      <c r="Y65" s="8">
        <v>2303.7315048</v>
      </c>
      <c r="Z65" s="8">
        <v>2067.8782575000005</v>
      </c>
      <c r="AA65" s="9">
        <f t="shared" si="1"/>
        <v>69566.90518</v>
      </c>
      <c r="AB65" s="9">
        <v>5.0</v>
      </c>
      <c r="AC65" s="9">
        <f t="shared" si="2"/>
        <v>347834.5259</v>
      </c>
      <c r="AD65" s="11"/>
    </row>
    <row r="66" ht="14.25" customHeight="1">
      <c r="A66" s="7">
        <v>46935.0</v>
      </c>
      <c r="B66" s="8" t="s">
        <v>36</v>
      </c>
      <c r="C66" s="8">
        <v>1915.0405450000003</v>
      </c>
      <c r="D66" s="8">
        <v>1819.9261542000002</v>
      </c>
      <c r="E66" s="8">
        <v>1732.0507567000002</v>
      </c>
      <c r="F66" s="8">
        <v>1687.4030921</v>
      </c>
      <c r="G66" s="8">
        <v>1649.7580154</v>
      </c>
      <c r="H66" s="8">
        <v>1617.3907849</v>
      </c>
      <c r="I66" s="8">
        <v>1669.6722878000003</v>
      </c>
      <c r="J66" s="8">
        <v>1866.4036875000002</v>
      </c>
      <c r="K66" s="8">
        <v>2125.1554302</v>
      </c>
      <c r="L66" s="8">
        <v>2484.9824659</v>
      </c>
      <c r="M66" s="8">
        <v>2775.6593128000004</v>
      </c>
      <c r="N66" s="8">
        <v>2940.2065693</v>
      </c>
      <c r="O66" s="8">
        <v>2996.8866961000003</v>
      </c>
      <c r="P66" s="8">
        <v>3010.5634229</v>
      </c>
      <c r="Q66" s="8">
        <v>2989.7679174000004</v>
      </c>
      <c r="R66" s="8">
        <v>2975.2899319000003</v>
      </c>
      <c r="S66" s="8">
        <v>2904.9008868</v>
      </c>
      <c r="T66" s="8">
        <v>2834.4187894</v>
      </c>
      <c r="U66" s="8">
        <v>2794.962456</v>
      </c>
      <c r="V66" s="8">
        <v>2655.7018785</v>
      </c>
      <c r="W66" s="8">
        <v>2430.2735457000003</v>
      </c>
      <c r="X66" s="8">
        <v>2171.3905235</v>
      </c>
      <c r="Y66" s="8">
        <v>1938.4852850000002</v>
      </c>
      <c r="Z66" s="8">
        <v>1769.9241901000003</v>
      </c>
      <c r="AA66" s="9">
        <f t="shared" si="1"/>
        <v>55756.21463</v>
      </c>
      <c r="AB66" s="9">
        <v>7.0</v>
      </c>
      <c r="AC66" s="9">
        <f t="shared" si="2"/>
        <v>390293.5024</v>
      </c>
      <c r="AD66" s="12"/>
    </row>
    <row r="67" ht="14.25" customHeight="1">
      <c r="A67" s="7">
        <v>46966.0</v>
      </c>
      <c r="B67" s="8" t="s">
        <v>34</v>
      </c>
      <c r="C67" s="8">
        <v>1968.3646950000002</v>
      </c>
      <c r="D67" s="8">
        <v>1887.8191486</v>
      </c>
      <c r="E67" s="8">
        <v>1842.7664871000002</v>
      </c>
      <c r="F67" s="8">
        <v>1824.3499274</v>
      </c>
      <c r="G67" s="8">
        <v>1852.4820061</v>
      </c>
      <c r="H67" s="8">
        <v>1971.3679865000001</v>
      </c>
      <c r="I67" s="8">
        <v>2385.3727865000005</v>
      </c>
      <c r="J67" s="8">
        <v>2993.1324907000003</v>
      </c>
      <c r="K67" s="8">
        <v>3501.6000382</v>
      </c>
      <c r="L67" s="8">
        <v>3844.9812192000004</v>
      </c>
      <c r="M67" s="8">
        <v>4124.345929</v>
      </c>
      <c r="N67" s="8">
        <v>4292.4779293</v>
      </c>
      <c r="O67" s="8">
        <v>4236.014956800001</v>
      </c>
      <c r="P67" s="8">
        <v>4250.4891011</v>
      </c>
      <c r="Q67" s="8">
        <v>4363.1105122</v>
      </c>
      <c r="R67" s="8">
        <v>4364.952177300001</v>
      </c>
      <c r="S67" s="8">
        <v>4241.916368800001</v>
      </c>
      <c r="T67" s="8">
        <v>3958.7602318000004</v>
      </c>
      <c r="U67" s="8">
        <v>3750.1827506000004</v>
      </c>
      <c r="V67" s="8">
        <v>3513.2050525000004</v>
      </c>
      <c r="W67" s="8">
        <v>3199.9152229000006</v>
      </c>
      <c r="X67" s="8">
        <v>2843.751581</v>
      </c>
      <c r="Y67" s="8">
        <v>2464.4704612000005</v>
      </c>
      <c r="Z67" s="8">
        <v>2205.5802604</v>
      </c>
      <c r="AA67" s="9">
        <f t="shared" si="1"/>
        <v>75881.40932</v>
      </c>
      <c r="AB67" s="9">
        <v>21.0</v>
      </c>
      <c r="AC67" s="9">
        <f t="shared" si="2"/>
        <v>1593509.596</v>
      </c>
      <c r="AD67" s="10">
        <f>SUM(AC67:AC69)</f>
        <v>2206314.504</v>
      </c>
    </row>
    <row r="68" ht="14.25" customHeight="1">
      <c r="A68" s="7">
        <v>46966.0</v>
      </c>
      <c r="B68" s="8" t="s">
        <v>35</v>
      </c>
      <c r="C68" s="8">
        <v>2138.863342</v>
      </c>
      <c r="D68" s="8">
        <v>2027.2041922000003</v>
      </c>
      <c r="E68" s="8">
        <v>1964.9439238000002</v>
      </c>
      <c r="F68" s="8">
        <v>1916.6792777000003</v>
      </c>
      <c r="G68" s="8">
        <v>1925.9272010000002</v>
      </c>
      <c r="H68" s="8">
        <v>1933.7848684</v>
      </c>
      <c r="I68" s="8">
        <v>2215.2600668</v>
      </c>
      <c r="J68" s="8">
        <v>2719.9001566</v>
      </c>
      <c r="K68" s="8">
        <v>3199.2943081000003</v>
      </c>
      <c r="L68" s="8">
        <v>3573.7009319</v>
      </c>
      <c r="M68" s="8">
        <v>3807.3405326000006</v>
      </c>
      <c r="N68" s="8">
        <v>3914.5623286</v>
      </c>
      <c r="O68" s="8">
        <v>3804.7410940000004</v>
      </c>
      <c r="P68" s="8">
        <v>3684.1574407000003</v>
      </c>
      <c r="Q68" s="8">
        <v>3601.3903816</v>
      </c>
      <c r="R68" s="8">
        <v>3581.3191777</v>
      </c>
      <c r="S68" s="8">
        <v>3538.3021971000003</v>
      </c>
      <c r="T68" s="8">
        <v>3471.4426131000005</v>
      </c>
      <c r="U68" s="8">
        <v>3390.9173694</v>
      </c>
      <c r="V68" s="8">
        <v>3213.3945503000004</v>
      </c>
      <c r="W68" s="8">
        <v>2939.8645386000003</v>
      </c>
      <c r="X68" s="8">
        <v>2632.3049225000004</v>
      </c>
      <c r="Y68" s="8">
        <v>2303.7315048</v>
      </c>
      <c r="Z68" s="8">
        <v>2067.8782575000005</v>
      </c>
      <c r="AA68" s="9">
        <f t="shared" si="1"/>
        <v>69566.90518</v>
      </c>
      <c r="AB68" s="9">
        <v>4.0</v>
      </c>
      <c r="AC68" s="9">
        <f t="shared" si="2"/>
        <v>278267.6207</v>
      </c>
      <c r="AD68" s="11"/>
    </row>
    <row r="69" ht="14.25" customHeight="1">
      <c r="A69" s="7">
        <v>46966.0</v>
      </c>
      <c r="B69" s="8" t="s">
        <v>36</v>
      </c>
      <c r="C69" s="8">
        <v>1915.0405450000003</v>
      </c>
      <c r="D69" s="8">
        <v>1819.9261542000002</v>
      </c>
      <c r="E69" s="8">
        <v>1732.0507567000002</v>
      </c>
      <c r="F69" s="8">
        <v>1687.4030921</v>
      </c>
      <c r="G69" s="8">
        <v>1649.7580154</v>
      </c>
      <c r="H69" s="8">
        <v>1617.3907849</v>
      </c>
      <c r="I69" s="8">
        <v>1669.6722878000003</v>
      </c>
      <c r="J69" s="8">
        <v>1866.4036875000002</v>
      </c>
      <c r="K69" s="8">
        <v>2125.1554302</v>
      </c>
      <c r="L69" s="8">
        <v>2484.9824659</v>
      </c>
      <c r="M69" s="8">
        <v>2775.6593128000004</v>
      </c>
      <c r="N69" s="8">
        <v>2940.2065693</v>
      </c>
      <c r="O69" s="8">
        <v>2996.8866961000003</v>
      </c>
      <c r="P69" s="8">
        <v>3010.5634229</v>
      </c>
      <c r="Q69" s="8">
        <v>2989.7679174000004</v>
      </c>
      <c r="R69" s="8">
        <v>2975.2899319000003</v>
      </c>
      <c r="S69" s="8">
        <v>2904.9008868</v>
      </c>
      <c r="T69" s="8">
        <v>2834.4187894</v>
      </c>
      <c r="U69" s="8">
        <v>2794.962456</v>
      </c>
      <c r="V69" s="8">
        <v>2655.7018785</v>
      </c>
      <c r="W69" s="8">
        <v>2430.2735457000003</v>
      </c>
      <c r="X69" s="8">
        <v>2171.3905235</v>
      </c>
      <c r="Y69" s="8">
        <v>1938.4852850000002</v>
      </c>
      <c r="Z69" s="8">
        <v>1769.9241901000003</v>
      </c>
      <c r="AA69" s="9">
        <f t="shared" si="1"/>
        <v>55756.21463</v>
      </c>
      <c r="AB69" s="9">
        <v>6.0</v>
      </c>
      <c r="AC69" s="9">
        <f t="shared" si="2"/>
        <v>334537.2878</v>
      </c>
      <c r="AD69" s="12"/>
    </row>
    <row r="70" ht="14.25" customHeight="1">
      <c r="A70" s="7">
        <v>46997.0</v>
      </c>
      <c r="B70" s="8" t="s">
        <v>34</v>
      </c>
      <c r="C70" s="8">
        <v>1968.3646950000002</v>
      </c>
      <c r="D70" s="8">
        <v>1887.8191486</v>
      </c>
      <c r="E70" s="8">
        <v>1842.7664871000002</v>
      </c>
      <c r="F70" s="8">
        <v>1824.3499274</v>
      </c>
      <c r="G70" s="8">
        <v>1852.4820061</v>
      </c>
      <c r="H70" s="8">
        <v>1971.3679865000001</v>
      </c>
      <c r="I70" s="8">
        <v>2385.3727865000005</v>
      </c>
      <c r="J70" s="8">
        <v>2993.1324907000003</v>
      </c>
      <c r="K70" s="8">
        <v>3501.6000382</v>
      </c>
      <c r="L70" s="8">
        <v>3844.9812192000004</v>
      </c>
      <c r="M70" s="8">
        <v>4124.345929</v>
      </c>
      <c r="N70" s="8">
        <v>4292.4779293</v>
      </c>
      <c r="O70" s="8">
        <v>4236.014956800001</v>
      </c>
      <c r="P70" s="8">
        <v>4250.4891011</v>
      </c>
      <c r="Q70" s="8">
        <v>4363.1105122</v>
      </c>
      <c r="R70" s="8">
        <v>4364.952177300001</v>
      </c>
      <c r="S70" s="8">
        <v>4241.916368800001</v>
      </c>
      <c r="T70" s="8">
        <v>3958.7602318000004</v>
      </c>
      <c r="U70" s="8">
        <v>3750.1827506000004</v>
      </c>
      <c r="V70" s="8">
        <v>3513.2050525000004</v>
      </c>
      <c r="W70" s="8">
        <v>3199.9152229000006</v>
      </c>
      <c r="X70" s="8">
        <v>2843.751581</v>
      </c>
      <c r="Y70" s="8">
        <v>2464.4704612000005</v>
      </c>
      <c r="Z70" s="8">
        <v>2205.5802604</v>
      </c>
      <c r="AA70" s="9">
        <f t="shared" si="1"/>
        <v>75881.40932</v>
      </c>
      <c r="AB70" s="9">
        <v>21.0</v>
      </c>
      <c r="AC70" s="9">
        <f t="shared" si="2"/>
        <v>1593509.596</v>
      </c>
      <c r="AD70" s="10">
        <f>SUM(AC70:AC72)</f>
        <v>2164368.98</v>
      </c>
    </row>
    <row r="71" ht="14.25" customHeight="1">
      <c r="A71" s="7">
        <v>46997.0</v>
      </c>
      <c r="B71" s="8" t="s">
        <v>35</v>
      </c>
      <c r="C71" s="8">
        <v>2138.863342</v>
      </c>
      <c r="D71" s="8">
        <v>2027.2041922000003</v>
      </c>
      <c r="E71" s="8">
        <v>1964.9439238000002</v>
      </c>
      <c r="F71" s="8">
        <v>1916.6792777000003</v>
      </c>
      <c r="G71" s="8">
        <v>1925.9272010000002</v>
      </c>
      <c r="H71" s="8">
        <v>1933.7848684</v>
      </c>
      <c r="I71" s="8">
        <v>2215.2600668</v>
      </c>
      <c r="J71" s="8">
        <v>2719.9001566</v>
      </c>
      <c r="K71" s="8">
        <v>3199.2943081000003</v>
      </c>
      <c r="L71" s="8">
        <v>3573.7009319</v>
      </c>
      <c r="M71" s="8">
        <v>3807.3405326000006</v>
      </c>
      <c r="N71" s="8">
        <v>3914.5623286</v>
      </c>
      <c r="O71" s="8">
        <v>3804.7410940000004</v>
      </c>
      <c r="P71" s="8">
        <v>3684.1574407000003</v>
      </c>
      <c r="Q71" s="8">
        <v>3601.3903816</v>
      </c>
      <c r="R71" s="8">
        <v>3581.3191777</v>
      </c>
      <c r="S71" s="8">
        <v>3538.3021971000003</v>
      </c>
      <c r="T71" s="8">
        <v>3471.4426131000005</v>
      </c>
      <c r="U71" s="8">
        <v>3390.9173694</v>
      </c>
      <c r="V71" s="8">
        <v>3213.3945503000004</v>
      </c>
      <c r="W71" s="8">
        <v>2939.8645386000003</v>
      </c>
      <c r="X71" s="8">
        <v>2632.3049225000004</v>
      </c>
      <c r="Y71" s="8">
        <v>2303.7315048</v>
      </c>
      <c r="Z71" s="8">
        <v>2067.8782575000005</v>
      </c>
      <c r="AA71" s="9">
        <f t="shared" si="1"/>
        <v>69566.90518</v>
      </c>
      <c r="AB71" s="9">
        <v>5.0</v>
      </c>
      <c r="AC71" s="9">
        <f t="shared" si="2"/>
        <v>347834.5259</v>
      </c>
      <c r="AD71" s="11"/>
    </row>
    <row r="72" ht="14.25" customHeight="1">
      <c r="A72" s="7">
        <v>46997.0</v>
      </c>
      <c r="B72" s="8" t="s">
        <v>36</v>
      </c>
      <c r="C72" s="8">
        <v>1915.0405450000003</v>
      </c>
      <c r="D72" s="8">
        <v>1819.9261542000002</v>
      </c>
      <c r="E72" s="8">
        <v>1732.0507567000002</v>
      </c>
      <c r="F72" s="8">
        <v>1687.4030921</v>
      </c>
      <c r="G72" s="8">
        <v>1649.7580154</v>
      </c>
      <c r="H72" s="8">
        <v>1617.3907849</v>
      </c>
      <c r="I72" s="8">
        <v>1669.6722878000003</v>
      </c>
      <c r="J72" s="8">
        <v>1866.4036875000002</v>
      </c>
      <c r="K72" s="8">
        <v>2125.1554302</v>
      </c>
      <c r="L72" s="8">
        <v>2484.9824659</v>
      </c>
      <c r="M72" s="8">
        <v>2775.6593128000004</v>
      </c>
      <c r="N72" s="8">
        <v>2940.2065693</v>
      </c>
      <c r="O72" s="8">
        <v>2996.8866961000003</v>
      </c>
      <c r="P72" s="8">
        <v>3010.5634229</v>
      </c>
      <c r="Q72" s="8">
        <v>2989.7679174000004</v>
      </c>
      <c r="R72" s="8">
        <v>2975.2899319000003</v>
      </c>
      <c r="S72" s="8">
        <v>2904.9008868</v>
      </c>
      <c r="T72" s="8">
        <v>2834.4187894</v>
      </c>
      <c r="U72" s="8">
        <v>2794.962456</v>
      </c>
      <c r="V72" s="8">
        <v>2655.7018785</v>
      </c>
      <c r="W72" s="8">
        <v>2430.2735457000003</v>
      </c>
      <c r="X72" s="8">
        <v>2171.3905235</v>
      </c>
      <c r="Y72" s="8">
        <v>1938.4852850000002</v>
      </c>
      <c r="Z72" s="8">
        <v>1769.9241901000003</v>
      </c>
      <c r="AA72" s="9">
        <f t="shared" si="1"/>
        <v>55756.21463</v>
      </c>
      <c r="AB72" s="9">
        <v>4.0</v>
      </c>
      <c r="AC72" s="9">
        <f t="shared" si="2"/>
        <v>223024.8585</v>
      </c>
      <c r="AD72" s="12"/>
    </row>
    <row r="73" ht="14.25" customHeight="1">
      <c r="A73" s="7">
        <v>47027.0</v>
      </c>
      <c r="B73" s="8" t="s">
        <v>34</v>
      </c>
      <c r="C73" s="8">
        <v>1968.3646950000002</v>
      </c>
      <c r="D73" s="8">
        <v>1887.8191486</v>
      </c>
      <c r="E73" s="8">
        <v>1842.7664871000002</v>
      </c>
      <c r="F73" s="8">
        <v>1824.3499274</v>
      </c>
      <c r="G73" s="8">
        <v>1852.4820061</v>
      </c>
      <c r="H73" s="8">
        <v>1971.3679865000001</v>
      </c>
      <c r="I73" s="8">
        <v>2385.3727865000005</v>
      </c>
      <c r="J73" s="8">
        <v>2993.1324907000003</v>
      </c>
      <c r="K73" s="8">
        <v>3501.6000382</v>
      </c>
      <c r="L73" s="8">
        <v>3844.9812192000004</v>
      </c>
      <c r="M73" s="8">
        <v>4124.345929</v>
      </c>
      <c r="N73" s="8">
        <v>4292.4779293</v>
      </c>
      <c r="O73" s="8">
        <v>4236.014956800001</v>
      </c>
      <c r="P73" s="8">
        <v>4250.4891011</v>
      </c>
      <c r="Q73" s="8">
        <v>4363.1105122</v>
      </c>
      <c r="R73" s="8">
        <v>4364.952177300001</v>
      </c>
      <c r="S73" s="8">
        <v>4241.916368800001</v>
      </c>
      <c r="T73" s="8">
        <v>3958.7602318000004</v>
      </c>
      <c r="U73" s="8">
        <v>3750.1827506000004</v>
      </c>
      <c r="V73" s="8">
        <v>3513.2050525000004</v>
      </c>
      <c r="W73" s="8">
        <v>3199.9152229000006</v>
      </c>
      <c r="X73" s="8">
        <v>2843.751581</v>
      </c>
      <c r="Y73" s="8">
        <v>2464.4704612000005</v>
      </c>
      <c r="Z73" s="8">
        <v>2205.5802604</v>
      </c>
      <c r="AA73" s="9">
        <f t="shared" si="1"/>
        <v>75881.40932</v>
      </c>
      <c r="AB73" s="9">
        <v>21.0</v>
      </c>
      <c r="AC73" s="9">
        <f t="shared" si="2"/>
        <v>1593509.596</v>
      </c>
      <c r="AD73" s="10">
        <f>SUM(AC73:AC75)</f>
        <v>2206314.504</v>
      </c>
    </row>
    <row r="74" ht="14.25" customHeight="1">
      <c r="A74" s="7">
        <v>47027.0</v>
      </c>
      <c r="B74" s="8" t="s">
        <v>35</v>
      </c>
      <c r="C74" s="8">
        <v>2138.863342</v>
      </c>
      <c r="D74" s="8">
        <v>2027.2041922000003</v>
      </c>
      <c r="E74" s="8">
        <v>1964.9439238000002</v>
      </c>
      <c r="F74" s="8">
        <v>1916.6792777000003</v>
      </c>
      <c r="G74" s="8">
        <v>1925.9272010000002</v>
      </c>
      <c r="H74" s="8">
        <v>1933.7848684</v>
      </c>
      <c r="I74" s="8">
        <v>2215.2600668</v>
      </c>
      <c r="J74" s="8">
        <v>2719.9001566</v>
      </c>
      <c r="K74" s="8">
        <v>3199.2943081000003</v>
      </c>
      <c r="L74" s="8">
        <v>3573.7009319</v>
      </c>
      <c r="M74" s="8">
        <v>3807.3405326000006</v>
      </c>
      <c r="N74" s="8">
        <v>3914.5623286</v>
      </c>
      <c r="O74" s="8">
        <v>3804.7410940000004</v>
      </c>
      <c r="P74" s="8">
        <v>3684.1574407000003</v>
      </c>
      <c r="Q74" s="8">
        <v>3601.3903816</v>
      </c>
      <c r="R74" s="8">
        <v>3581.3191777</v>
      </c>
      <c r="S74" s="8">
        <v>3538.3021971000003</v>
      </c>
      <c r="T74" s="8">
        <v>3471.4426131000005</v>
      </c>
      <c r="U74" s="8">
        <v>3390.9173694</v>
      </c>
      <c r="V74" s="8">
        <v>3213.3945503000004</v>
      </c>
      <c r="W74" s="8">
        <v>2939.8645386000003</v>
      </c>
      <c r="X74" s="8">
        <v>2632.3049225000004</v>
      </c>
      <c r="Y74" s="8">
        <v>2303.7315048</v>
      </c>
      <c r="Z74" s="8">
        <v>2067.8782575000005</v>
      </c>
      <c r="AA74" s="9">
        <f t="shared" si="1"/>
        <v>69566.90518</v>
      </c>
      <c r="AB74" s="9">
        <v>4.0</v>
      </c>
      <c r="AC74" s="9">
        <f t="shared" si="2"/>
        <v>278267.6207</v>
      </c>
      <c r="AD74" s="11"/>
    </row>
    <row r="75" ht="14.25" customHeight="1">
      <c r="A75" s="7">
        <v>47027.0</v>
      </c>
      <c r="B75" s="8" t="s">
        <v>36</v>
      </c>
      <c r="C75" s="8">
        <v>1915.0405450000003</v>
      </c>
      <c r="D75" s="8">
        <v>1819.9261542000002</v>
      </c>
      <c r="E75" s="8">
        <v>1732.0507567000002</v>
      </c>
      <c r="F75" s="8">
        <v>1687.4030921</v>
      </c>
      <c r="G75" s="8">
        <v>1649.7580154</v>
      </c>
      <c r="H75" s="8">
        <v>1617.3907849</v>
      </c>
      <c r="I75" s="8">
        <v>1669.6722878000003</v>
      </c>
      <c r="J75" s="8">
        <v>1866.4036875000002</v>
      </c>
      <c r="K75" s="8">
        <v>2125.1554302</v>
      </c>
      <c r="L75" s="8">
        <v>2484.9824659</v>
      </c>
      <c r="M75" s="8">
        <v>2775.6593128000004</v>
      </c>
      <c r="N75" s="8">
        <v>2940.2065693</v>
      </c>
      <c r="O75" s="8">
        <v>2996.8866961000003</v>
      </c>
      <c r="P75" s="8">
        <v>3010.5634229</v>
      </c>
      <c r="Q75" s="8">
        <v>2989.7679174000004</v>
      </c>
      <c r="R75" s="8">
        <v>2975.2899319000003</v>
      </c>
      <c r="S75" s="8">
        <v>2904.9008868</v>
      </c>
      <c r="T75" s="8">
        <v>2834.4187894</v>
      </c>
      <c r="U75" s="8">
        <v>2794.962456</v>
      </c>
      <c r="V75" s="8">
        <v>2655.7018785</v>
      </c>
      <c r="W75" s="8">
        <v>2430.2735457000003</v>
      </c>
      <c r="X75" s="8">
        <v>2171.3905235</v>
      </c>
      <c r="Y75" s="8">
        <v>1938.4852850000002</v>
      </c>
      <c r="Z75" s="8">
        <v>1769.9241901000003</v>
      </c>
      <c r="AA75" s="9">
        <f t="shared" si="1"/>
        <v>55756.21463</v>
      </c>
      <c r="AB75" s="9">
        <v>6.0</v>
      </c>
      <c r="AC75" s="9">
        <f t="shared" si="2"/>
        <v>334537.2878</v>
      </c>
      <c r="AD75" s="12"/>
    </row>
    <row r="76" ht="14.25" customHeight="1">
      <c r="A76" s="7">
        <v>47058.0</v>
      </c>
      <c r="B76" s="8" t="s">
        <v>34</v>
      </c>
      <c r="C76" s="8">
        <v>1968.3646950000002</v>
      </c>
      <c r="D76" s="8">
        <v>1887.8191486</v>
      </c>
      <c r="E76" s="8">
        <v>1842.7664871000002</v>
      </c>
      <c r="F76" s="8">
        <v>1824.3499274</v>
      </c>
      <c r="G76" s="8">
        <v>1852.4820061</v>
      </c>
      <c r="H76" s="8">
        <v>1971.3679865000001</v>
      </c>
      <c r="I76" s="8">
        <v>2385.3727865000005</v>
      </c>
      <c r="J76" s="8">
        <v>2993.1324907000003</v>
      </c>
      <c r="K76" s="8">
        <v>3501.6000382</v>
      </c>
      <c r="L76" s="8">
        <v>3844.9812192000004</v>
      </c>
      <c r="M76" s="8">
        <v>4124.345929</v>
      </c>
      <c r="N76" s="8">
        <v>4292.4779293</v>
      </c>
      <c r="O76" s="8">
        <v>4236.014956800001</v>
      </c>
      <c r="P76" s="8">
        <v>4250.4891011</v>
      </c>
      <c r="Q76" s="8">
        <v>4363.1105122</v>
      </c>
      <c r="R76" s="8">
        <v>4364.952177300001</v>
      </c>
      <c r="S76" s="8">
        <v>4241.916368800001</v>
      </c>
      <c r="T76" s="8">
        <v>3958.7602318000004</v>
      </c>
      <c r="U76" s="8">
        <v>3750.1827506000004</v>
      </c>
      <c r="V76" s="8">
        <v>3513.2050525000004</v>
      </c>
      <c r="W76" s="8">
        <v>3199.9152229000006</v>
      </c>
      <c r="X76" s="8">
        <v>2843.751581</v>
      </c>
      <c r="Y76" s="8">
        <v>2464.4704612000005</v>
      </c>
      <c r="Z76" s="8">
        <v>2205.5802604</v>
      </c>
      <c r="AA76" s="9">
        <f t="shared" si="1"/>
        <v>75881.40932</v>
      </c>
      <c r="AB76" s="9">
        <v>20.0</v>
      </c>
      <c r="AC76" s="9">
        <f t="shared" si="2"/>
        <v>1517628.186</v>
      </c>
      <c r="AD76" s="10">
        <f>SUM(AC76:AC78)</f>
        <v>2130433.095</v>
      </c>
    </row>
    <row r="77" ht="14.25" customHeight="1">
      <c r="A77" s="7">
        <v>47058.0</v>
      </c>
      <c r="B77" s="8" t="s">
        <v>35</v>
      </c>
      <c r="C77" s="8">
        <v>2138.863342</v>
      </c>
      <c r="D77" s="8">
        <v>2027.2041922000003</v>
      </c>
      <c r="E77" s="8">
        <v>1964.9439238000002</v>
      </c>
      <c r="F77" s="8">
        <v>1916.6792777000003</v>
      </c>
      <c r="G77" s="8">
        <v>1925.9272010000002</v>
      </c>
      <c r="H77" s="8">
        <v>1933.7848684</v>
      </c>
      <c r="I77" s="8">
        <v>2215.2600668</v>
      </c>
      <c r="J77" s="8">
        <v>2719.9001566</v>
      </c>
      <c r="K77" s="8">
        <v>3199.2943081000003</v>
      </c>
      <c r="L77" s="8">
        <v>3573.7009319</v>
      </c>
      <c r="M77" s="8">
        <v>3807.3405326000006</v>
      </c>
      <c r="N77" s="8">
        <v>3914.5623286</v>
      </c>
      <c r="O77" s="8">
        <v>3804.7410940000004</v>
      </c>
      <c r="P77" s="8">
        <v>3684.1574407000003</v>
      </c>
      <c r="Q77" s="8">
        <v>3601.3903816</v>
      </c>
      <c r="R77" s="8">
        <v>3581.3191777</v>
      </c>
      <c r="S77" s="8">
        <v>3538.3021971000003</v>
      </c>
      <c r="T77" s="8">
        <v>3471.4426131000005</v>
      </c>
      <c r="U77" s="8">
        <v>3390.9173694</v>
      </c>
      <c r="V77" s="8">
        <v>3213.3945503000004</v>
      </c>
      <c r="W77" s="8">
        <v>2939.8645386000003</v>
      </c>
      <c r="X77" s="8">
        <v>2632.3049225000004</v>
      </c>
      <c r="Y77" s="8">
        <v>2303.7315048</v>
      </c>
      <c r="Z77" s="8">
        <v>2067.8782575000005</v>
      </c>
      <c r="AA77" s="9">
        <f t="shared" si="1"/>
        <v>69566.90518</v>
      </c>
      <c r="AB77" s="9">
        <v>4.0</v>
      </c>
      <c r="AC77" s="9">
        <f t="shared" si="2"/>
        <v>278267.6207</v>
      </c>
      <c r="AD77" s="11"/>
    </row>
    <row r="78" ht="14.25" customHeight="1">
      <c r="A78" s="7">
        <v>47058.0</v>
      </c>
      <c r="B78" s="8" t="s">
        <v>36</v>
      </c>
      <c r="C78" s="8">
        <v>1915.0405450000003</v>
      </c>
      <c r="D78" s="8">
        <v>1819.9261542000002</v>
      </c>
      <c r="E78" s="8">
        <v>1732.0507567000002</v>
      </c>
      <c r="F78" s="8">
        <v>1687.4030921</v>
      </c>
      <c r="G78" s="8">
        <v>1649.7580154</v>
      </c>
      <c r="H78" s="8">
        <v>1617.3907849</v>
      </c>
      <c r="I78" s="8">
        <v>1669.6722878000003</v>
      </c>
      <c r="J78" s="8">
        <v>1866.4036875000002</v>
      </c>
      <c r="K78" s="8">
        <v>2125.1554302</v>
      </c>
      <c r="L78" s="8">
        <v>2484.9824659</v>
      </c>
      <c r="M78" s="8">
        <v>2775.6593128000004</v>
      </c>
      <c r="N78" s="8">
        <v>2940.2065693</v>
      </c>
      <c r="O78" s="8">
        <v>2996.8866961000003</v>
      </c>
      <c r="P78" s="8">
        <v>3010.5634229</v>
      </c>
      <c r="Q78" s="8">
        <v>2989.7679174000004</v>
      </c>
      <c r="R78" s="8">
        <v>2975.2899319000003</v>
      </c>
      <c r="S78" s="8">
        <v>2904.9008868</v>
      </c>
      <c r="T78" s="8">
        <v>2834.4187894</v>
      </c>
      <c r="U78" s="8">
        <v>2794.962456</v>
      </c>
      <c r="V78" s="8">
        <v>2655.7018785</v>
      </c>
      <c r="W78" s="8">
        <v>2430.2735457000003</v>
      </c>
      <c r="X78" s="8">
        <v>2171.3905235</v>
      </c>
      <c r="Y78" s="8">
        <v>1938.4852850000002</v>
      </c>
      <c r="Z78" s="8">
        <v>1769.9241901000003</v>
      </c>
      <c r="AA78" s="9">
        <f t="shared" si="1"/>
        <v>55756.21463</v>
      </c>
      <c r="AB78" s="9">
        <v>6.0</v>
      </c>
      <c r="AC78" s="9">
        <f t="shared" si="2"/>
        <v>334537.2878</v>
      </c>
      <c r="AD78" s="12"/>
    </row>
    <row r="79" ht="14.25" customHeight="1">
      <c r="A79" s="7">
        <v>47088.0</v>
      </c>
      <c r="B79" s="8" t="s">
        <v>34</v>
      </c>
      <c r="C79" s="8">
        <v>1968.3646950000002</v>
      </c>
      <c r="D79" s="8">
        <v>1887.8191486</v>
      </c>
      <c r="E79" s="8">
        <v>1842.7664871000002</v>
      </c>
      <c r="F79" s="8">
        <v>1824.3499274</v>
      </c>
      <c r="G79" s="8">
        <v>1852.4820061</v>
      </c>
      <c r="H79" s="8">
        <v>1971.3679865000001</v>
      </c>
      <c r="I79" s="8">
        <v>2385.3727865000005</v>
      </c>
      <c r="J79" s="8">
        <v>2993.1324907000003</v>
      </c>
      <c r="K79" s="8">
        <v>3501.6000382</v>
      </c>
      <c r="L79" s="8">
        <v>3844.9812192000004</v>
      </c>
      <c r="M79" s="8">
        <v>4124.345929</v>
      </c>
      <c r="N79" s="8">
        <v>4292.4779293</v>
      </c>
      <c r="O79" s="8">
        <v>4236.014956800001</v>
      </c>
      <c r="P79" s="8">
        <v>4250.4891011</v>
      </c>
      <c r="Q79" s="8">
        <v>4363.1105122</v>
      </c>
      <c r="R79" s="8">
        <v>4364.952177300001</v>
      </c>
      <c r="S79" s="8">
        <v>4241.916368800001</v>
      </c>
      <c r="T79" s="8">
        <v>3958.7602318000004</v>
      </c>
      <c r="U79" s="8">
        <v>3750.1827506000004</v>
      </c>
      <c r="V79" s="8">
        <v>3513.2050525000004</v>
      </c>
      <c r="W79" s="8">
        <v>3199.9152229000006</v>
      </c>
      <c r="X79" s="8">
        <v>2843.751581</v>
      </c>
      <c r="Y79" s="8">
        <v>2464.4704612000005</v>
      </c>
      <c r="Z79" s="8">
        <v>2205.5802604</v>
      </c>
      <c r="AA79" s="9">
        <f t="shared" si="1"/>
        <v>75881.40932</v>
      </c>
      <c r="AB79" s="9">
        <v>19.0</v>
      </c>
      <c r="AC79" s="9">
        <f t="shared" si="2"/>
        <v>1441746.777</v>
      </c>
      <c r="AD79" s="10">
        <f>SUM(AC79:AC81)</f>
        <v>2179874.805</v>
      </c>
    </row>
    <row r="80" ht="14.25" customHeight="1">
      <c r="A80" s="7">
        <v>47088.0</v>
      </c>
      <c r="B80" s="8" t="s">
        <v>35</v>
      </c>
      <c r="C80" s="8">
        <v>2138.863342</v>
      </c>
      <c r="D80" s="8">
        <v>2027.2041922000003</v>
      </c>
      <c r="E80" s="8">
        <v>1964.9439238000002</v>
      </c>
      <c r="F80" s="8">
        <v>1916.6792777000003</v>
      </c>
      <c r="G80" s="8">
        <v>1925.9272010000002</v>
      </c>
      <c r="H80" s="8">
        <v>1933.7848684</v>
      </c>
      <c r="I80" s="8">
        <v>2215.2600668</v>
      </c>
      <c r="J80" s="8">
        <v>2719.9001566</v>
      </c>
      <c r="K80" s="8">
        <v>3199.2943081000003</v>
      </c>
      <c r="L80" s="8">
        <v>3573.7009319</v>
      </c>
      <c r="M80" s="8">
        <v>3807.3405326000006</v>
      </c>
      <c r="N80" s="8">
        <v>3914.5623286</v>
      </c>
      <c r="O80" s="8">
        <v>3804.7410940000004</v>
      </c>
      <c r="P80" s="8">
        <v>3684.1574407000003</v>
      </c>
      <c r="Q80" s="8">
        <v>3601.3903816</v>
      </c>
      <c r="R80" s="8">
        <v>3581.3191777</v>
      </c>
      <c r="S80" s="8">
        <v>3538.3021971000003</v>
      </c>
      <c r="T80" s="8">
        <v>3471.4426131000005</v>
      </c>
      <c r="U80" s="8">
        <v>3390.9173694</v>
      </c>
      <c r="V80" s="8">
        <v>3213.3945503000004</v>
      </c>
      <c r="W80" s="8">
        <v>2939.8645386000003</v>
      </c>
      <c r="X80" s="8">
        <v>2632.3049225000004</v>
      </c>
      <c r="Y80" s="8">
        <v>2303.7315048</v>
      </c>
      <c r="Z80" s="8">
        <v>2067.8782575000005</v>
      </c>
      <c r="AA80" s="9">
        <f t="shared" si="1"/>
        <v>69566.90518</v>
      </c>
      <c r="AB80" s="9">
        <v>5.0</v>
      </c>
      <c r="AC80" s="9">
        <f t="shared" si="2"/>
        <v>347834.5259</v>
      </c>
      <c r="AD80" s="11"/>
    </row>
    <row r="81" ht="14.25" customHeight="1">
      <c r="A81" s="7">
        <v>47088.0</v>
      </c>
      <c r="B81" s="8" t="s">
        <v>36</v>
      </c>
      <c r="C81" s="8">
        <v>1915.0405450000003</v>
      </c>
      <c r="D81" s="8">
        <v>1819.9261542000002</v>
      </c>
      <c r="E81" s="8">
        <v>1732.0507567000002</v>
      </c>
      <c r="F81" s="8">
        <v>1687.4030921</v>
      </c>
      <c r="G81" s="8">
        <v>1649.7580154</v>
      </c>
      <c r="H81" s="8">
        <v>1617.3907849</v>
      </c>
      <c r="I81" s="8">
        <v>1669.6722878000003</v>
      </c>
      <c r="J81" s="8">
        <v>1866.4036875000002</v>
      </c>
      <c r="K81" s="8">
        <v>2125.1554302</v>
      </c>
      <c r="L81" s="8">
        <v>2484.9824659</v>
      </c>
      <c r="M81" s="8">
        <v>2775.6593128000004</v>
      </c>
      <c r="N81" s="8">
        <v>2940.2065693</v>
      </c>
      <c r="O81" s="8">
        <v>2996.8866961000003</v>
      </c>
      <c r="P81" s="8">
        <v>3010.5634229</v>
      </c>
      <c r="Q81" s="8">
        <v>2989.7679174000004</v>
      </c>
      <c r="R81" s="8">
        <v>2975.2899319000003</v>
      </c>
      <c r="S81" s="8">
        <v>2904.9008868</v>
      </c>
      <c r="T81" s="8">
        <v>2834.4187894</v>
      </c>
      <c r="U81" s="8">
        <v>2794.962456</v>
      </c>
      <c r="V81" s="8">
        <v>2655.7018785</v>
      </c>
      <c r="W81" s="8">
        <v>2430.2735457000003</v>
      </c>
      <c r="X81" s="8">
        <v>2171.3905235</v>
      </c>
      <c r="Y81" s="8">
        <v>1938.4852850000002</v>
      </c>
      <c r="Z81" s="8">
        <v>1769.9241901000003</v>
      </c>
      <c r="AA81" s="9">
        <f t="shared" si="1"/>
        <v>55756.21463</v>
      </c>
      <c r="AB81" s="9">
        <v>7.0</v>
      </c>
      <c r="AC81" s="9">
        <f t="shared" si="2"/>
        <v>390293.5024</v>
      </c>
      <c r="AD81" s="12"/>
    </row>
    <row r="82" ht="14.25" customHeight="1">
      <c r="A82" s="7">
        <v>47119.0</v>
      </c>
      <c r="B82" s="8" t="s">
        <v>34</v>
      </c>
      <c r="C82" s="8">
        <v>1610.480205</v>
      </c>
      <c r="D82" s="8">
        <v>1544.5793034</v>
      </c>
      <c r="E82" s="8">
        <v>1507.7180349</v>
      </c>
      <c r="F82" s="8">
        <v>1492.6499406</v>
      </c>
      <c r="G82" s="8">
        <v>1515.6670959</v>
      </c>
      <c r="H82" s="8">
        <v>1612.9374435</v>
      </c>
      <c r="I82" s="8">
        <v>1951.6686435000001</v>
      </c>
      <c r="J82" s="8">
        <v>2448.9265833</v>
      </c>
      <c r="K82" s="8">
        <v>2864.9454858</v>
      </c>
      <c r="L82" s="8">
        <v>3145.8937248</v>
      </c>
      <c r="M82" s="8">
        <v>3374.464851</v>
      </c>
      <c r="N82" s="8">
        <v>3512.0273967000003</v>
      </c>
      <c r="O82" s="8">
        <v>3465.8304192</v>
      </c>
      <c r="P82" s="8">
        <v>3477.6729009</v>
      </c>
      <c r="Q82" s="8">
        <v>3569.8176918</v>
      </c>
      <c r="R82" s="8">
        <v>3571.3245087</v>
      </c>
      <c r="S82" s="8">
        <v>3470.6588472000003</v>
      </c>
      <c r="T82" s="8">
        <v>3238.9856442</v>
      </c>
      <c r="U82" s="8">
        <v>3068.3313414000004</v>
      </c>
      <c r="V82" s="8">
        <v>2874.4404975</v>
      </c>
      <c r="W82" s="8">
        <v>2618.1124551000003</v>
      </c>
      <c r="X82" s="8">
        <v>2326.7058389999997</v>
      </c>
      <c r="Y82" s="8">
        <v>2016.3849228000001</v>
      </c>
      <c r="Z82" s="8">
        <v>1804.5656676</v>
      </c>
      <c r="AA82" s="9">
        <f t="shared" si="1"/>
        <v>62084.78944</v>
      </c>
      <c r="AB82" s="9">
        <v>21.0</v>
      </c>
      <c r="AC82" s="9">
        <f t="shared" si="2"/>
        <v>1303780.578</v>
      </c>
      <c r="AD82" s="10">
        <f>SUM(AC82:AC84)</f>
        <v>1805166.413</v>
      </c>
    </row>
    <row r="83" ht="14.25" customHeight="1">
      <c r="A83" s="7">
        <v>47119.0</v>
      </c>
      <c r="B83" s="8" t="s">
        <v>35</v>
      </c>
      <c r="C83" s="8">
        <v>1749.979098</v>
      </c>
      <c r="D83" s="8">
        <v>1658.6216118</v>
      </c>
      <c r="E83" s="8">
        <v>1607.6813922000001</v>
      </c>
      <c r="F83" s="8">
        <v>1568.1921363000001</v>
      </c>
      <c r="G83" s="8">
        <v>1575.7586190000002</v>
      </c>
      <c r="H83" s="8">
        <v>1582.1876196</v>
      </c>
      <c r="I83" s="8">
        <v>1812.4855092</v>
      </c>
      <c r="J83" s="8">
        <v>2225.3728554</v>
      </c>
      <c r="K83" s="8">
        <v>2617.6044339</v>
      </c>
      <c r="L83" s="8">
        <v>2923.9371260999997</v>
      </c>
      <c r="M83" s="8">
        <v>3115.0967994000002</v>
      </c>
      <c r="N83" s="8">
        <v>3202.8237234</v>
      </c>
      <c r="O83" s="8">
        <v>3112.969986</v>
      </c>
      <c r="P83" s="8">
        <v>3014.3106333</v>
      </c>
      <c r="Q83" s="8">
        <v>2946.5921304</v>
      </c>
      <c r="R83" s="8">
        <v>2930.1702363</v>
      </c>
      <c r="S83" s="8">
        <v>2894.9745249</v>
      </c>
      <c r="T83" s="8">
        <v>2840.2712289</v>
      </c>
      <c r="U83" s="8">
        <v>2774.3869386</v>
      </c>
      <c r="V83" s="8">
        <v>2629.1409957</v>
      </c>
      <c r="W83" s="8">
        <v>2405.3437134</v>
      </c>
      <c r="X83" s="8">
        <v>2153.7040275000004</v>
      </c>
      <c r="Y83" s="8">
        <v>1884.8712312</v>
      </c>
      <c r="Z83" s="8">
        <v>1691.9003925000002</v>
      </c>
      <c r="AA83" s="9">
        <f t="shared" si="1"/>
        <v>56918.37696</v>
      </c>
      <c r="AB83" s="9">
        <v>4.0</v>
      </c>
      <c r="AC83" s="9">
        <f t="shared" si="2"/>
        <v>227673.5079</v>
      </c>
      <c r="AD83" s="11"/>
    </row>
    <row r="84" ht="14.25" customHeight="1">
      <c r="A84" s="7">
        <v>47119.0</v>
      </c>
      <c r="B84" s="8" t="s">
        <v>36</v>
      </c>
      <c r="C84" s="8">
        <v>1566.851355</v>
      </c>
      <c r="D84" s="8">
        <v>1489.0304898</v>
      </c>
      <c r="E84" s="8">
        <v>1417.1324373000002</v>
      </c>
      <c r="F84" s="8">
        <v>1380.6025299</v>
      </c>
      <c r="G84" s="8">
        <v>1349.8020126</v>
      </c>
      <c r="H84" s="8">
        <v>1323.3197331</v>
      </c>
      <c r="I84" s="8">
        <v>1366.0955082</v>
      </c>
      <c r="J84" s="8">
        <v>1527.0575625</v>
      </c>
      <c r="K84" s="8">
        <v>1738.7635338</v>
      </c>
      <c r="L84" s="8">
        <v>2033.1674721</v>
      </c>
      <c r="M84" s="8">
        <v>2270.9939832000005</v>
      </c>
      <c r="N84" s="8">
        <v>2405.6235567</v>
      </c>
      <c r="O84" s="8">
        <v>2451.9982059</v>
      </c>
      <c r="P84" s="8">
        <v>2463.1882551</v>
      </c>
      <c r="Q84" s="8">
        <v>2446.1737506000004</v>
      </c>
      <c r="R84" s="8">
        <v>2434.3281261</v>
      </c>
      <c r="S84" s="8">
        <v>2376.7370892</v>
      </c>
      <c r="T84" s="8">
        <v>2319.0699186</v>
      </c>
      <c r="U84" s="8">
        <v>2286.787464</v>
      </c>
      <c r="V84" s="8">
        <v>2172.8469915</v>
      </c>
      <c r="W84" s="8">
        <v>1988.4056283</v>
      </c>
      <c r="X84" s="8">
        <v>1776.5922465</v>
      </c>
      <c r="Y84" s="8">
        <v>1586.033415</v>
      </c>
      <c r="Z84" s="8">
        <v>1448.1197919</v>
      </c>
      <c r="AA84" s="9">
        <f t="shared" si="1"/>
        <v>45618.72106</v>
      </c>
      <c r="AB84" s="9">
        <v>6.0</v>
      </c>
      <c r="AC84" s="9">
        <f t="shared" si="2"/>
        <v>273712.3263</v>
      </c>
      <c r="AD84" s="12"/>
    </row>
    <row r="85" ht="14.25" customHeight="1">
      <c r="A85" s="7">
        <v>47150.0</v>
      </c>
      <c r="B85" s="8" t="s">
        <v>34</v>
      </c>
      <c r="C85" s="8">
        <v>1610.480205</v>
      </c>
      <c r="D85" s="8">
        <v>1544.5793034</v>
      </c>
      <c r="E85" s="8">
        <v>1507.7180349</v>
      </c>
      <c r="F85" s="8">
        <v>1492.6499406</v>
      </c>
      <c r="G85" s="8">
        <v>1515.6670959</v>
      </c>
      <c r="H85" s="8">
        <v>1612.9374435</v>
      </c>
      <c r="I85" s="8">
        <v>1951.6686435000001</v>
      </c>
      <c r="J85" s="8">
        <v>2448.9265833</v>
      </c>
      <c r="K85" s="8">
        <v>2864.9454858</v>
      </c>
      <c r="L85" s="8">
        <v>3145.8937248</v>
      </c>
      <c r="M85" s="8">
        <v>3374.464851</v>
      </c>
      <c r="N85" s="8">
        <v>3512.0273967000003</v>
      </c>
      <c r="O85" s="8">
        <v>3465.8304192</v>
      </c>
      <c r="P85" s="8">
        <v>3477.6729009</v>
      </c>
      <c r="Q85" s="8">
        <v>3569.8176918</v>
      </c>
      <c r="R85" s="8">
        <v>3571.3245087</v>
      </c>
      <c r="S85" s="8">
        <v>3470.6588472000003</v>
      </c>
      <c r="T85" s="8">
        <v>3238.9856442</v>
      </c>
      <c r="U85" s="8">
        <v>3068.3313414000004</v>
      </c>
      <c r="V85" s="8">
        <v>2874.4404975</v>
      </c>
      <c r="W85" s="8">
        <v>2618.1124551000003</v>
      </c>
      <c r="X85" s="8">
        <v>2326.7058389999997</v>
      </c>
      <c r="Y85" s="8">
        <v>2016.3849228000001</v>
      </c>
      <c r="Z85" s="8">
        <v>1804.5656676</v>
      </c>
      <c r="AA85" s="9">
        <f t="shared" si="1"/>
        <v>62084.78944</v>
      </c>
      <c r="AB85" s="9">
        <v>20.0</v>
      </c>
      <c r="AC85" s="9">
        <f t="shared" si="2"/>
        <v>1241695.789</v>
      </c>
      <c r="AD85" s="10">
        <f>SUM(AC85:AC87)</f>
        <v>1651844.181</v>
      </c>
    </row>
    <row r="86" ht="14.25" customHeight="1">
      <c r="A86" s="7">
        <v>47150.0</v>
      </c>
      <c r="B86" s="8" t="s">
        <v>35</v>
      </c>
      <c r="C86" s="8">
        <v>1749.979098</v>
      </c>
      <c r="D86" s="8">
        <v>1658.6216118</v>
      </c>
      <c r="E86" s="8">
        <v>1607.6813922000001</v>
      </c>
      <c r="F86" s="8">
        <v>1568.1921363000001</v>
      </c>
      <c r="G86" s="8">
        <v>1575.7586190000002</v>
      </c>
      <c r="H86" s="8">
        <v>1582.1876196</v>
      </c>
      <c r="I86" s="8">
        <v>1812.4855092</v>
      </c>
      <c r="J86" s="8">
        <v>2225.3728554</v>
      </c>
      <c r="K86" s="8">
        <v>2617.6044339</v>
      </c>
      <c r="L86" s="8">
        <v>2923.9371260999997</v>
      </c>
      <c r="M86" s="8">
        <v>3115.0967994000002</v>
      </c>
      <c r="N86" s="8">
        <v>3202.8237234</v>
      </c>
      <c r="O86" s="8">
        <v>3112.969986</v>
      </c>
      <c r="P86" s="8">
        <v>3014.3106333</v>
      </c>
      <c r="Q86" s="8">
        <v>2946.5921304</v>
      </c>
      <c r="R86" s="8">
        <v>2930.1702363</v>
      </c>
      <c r="S86" s="8">
        <v>2894.9745249</v>
      </c>
      <c r="T86" s="8">
        <v>2840.2712289</v>
      </c>
      <c r="U86" s="8">
        <v>2774.3869386</v>
      </c>
      <c r="V86" s="8">
        <v>2629.1409957</v>
      </c>
      <c r="W86" s="8">
        <v>2405.3437134</v>
      </c>
      <c r="X86" s="8">
        <v>2153.7040275000004</v>
      </c>
      <c r="Y86" s="8">
        <v>1884.8712312</v>
      </c>
      <c r="Z86" s="8">
        <v>1691.9003925000002</v>
      </c>
      <c r="AA86" s="9">
        <f t="shared" si="1"/>
        <v>56918.37696</v>
      </c>
      <c r="AB86" s="9">
        <v>4.0</v>
      </c>
      <c r="AC86" s="9">
        <f t="shared" si="2"/>
        <v>227673.5079</v>
      </c>
      <c r="AD86" s="11"/>
    </row>
    <row r="87" ht="14.25" customHeight="1">
      <c r="A87" s="7">
        <v>47150.0</v>
      </c>
      <c r="B87" s="8" t="s">
        <v>36</v>
      </c>
      <c r="C87" s="8">
        <v>1566.851355</v>
      </c>
      <c r="D87" s="8">
        <v>1489.0304898</v>
      </c>
      <c r="E87" s="8">
        <v>1417.1324373000002</v>
      </c>
      <c r="F87" s="8">
        <v>1380.6025299</v>
      </c>
      <c r="G87" s="8">
        <v>1349.8020126</v>
      </c>
      <c r="H87" s="8">
        <v>1323.3197331</v>
      </c>
      <c r="I87" s="8">
        <v>1366.0955082</v>
      </c>
      <c r="J87" s="8">
        <v>1527.0575625</v>
      </c>
      <c r="K87" s="8">
        <v>1738.7635338</v>
      </c>
      <c r="L87" s="8">
        <v>2033.1674721</v>
      </c>
      <c r="M87" s="8">
        <v>2270.9939832000005</v>
      </c>
      <c r="N87" s="8">
        <v>2405.6235567</v>
      </c>
      <c r="O87" s="8">
        <v>2451.9982059</v>
      </c>
      <c r="P87" s="8">
        <v>2463.1882551</v>
      </c>
      <c r="Q87" s="8">
        <v>2446.1737506000004</v>
      </c>
      <c r="R87" s="8">
        <v>2434.3281261</v>
      </c>
      <c r="S87" s="8">
        <v>2376.7370892</v>
      </c>
      <c r="T87" s="8">
        <v>2319.0699186</v>
      </c>
      <c r="U87" s="8">
        <v>2286.787464</v>
      </c>
      <c r="V87" s="8">
        <v>2172.8469915</v>
      </c>
      <c r="W87" s="8">
        <v>1988.4056283</v>
      </c>
      <c r="X87" s="8">
        <v>1776.5922465</v>
      </c>
      <c r="Y87" s="8">
        <v>1586.033415</v>
      </c>
      <c r="Z87" s="8">
        <v>1448.1197919</v>
      </c>
      <c r="AA87" s="9">
        <f t="shared" si="1"/>
        <v>45618.72106</v>
      </c>
      <c r="AB87" s="9">
        <v>4.0</v>
      </c>
      <c r="AC87" s="9">
        <f t="shared" si="2"/>
        <v>182474.8842</v>
      </c>
      <c r="AD87" s="12"/>
    </row>
    <row r="88" ht="14.25" customHeight="1">
      <c r="A88" s="7">
        <v>47178.0</v>
      </c>
      <c r="B88" s="8" t="s">
        <v>34</v>
      </c>
      <c r="C88" s="8">
        <v>1610.480205</v>
      </c>
      <c r="D88" s="8">
        <v>1544.5793034</v>
      </c>
      <c r="E88" s="8">
        <v>1507.7180349</v>
      </c>
      <c r="F88" s="8">
        <v>1492.6499406</v>
      </c>
      <c r="G88" s="8">
        <v>1515.6670959</v>
      </c>
      <c r="H88" s="8">
        <v>1612.9374435</v>
      </c>
      <c r="I88" s="8">
        <v>1951.6686435000001</v>
      </c>
      <c r="J88" s="8">
        <v>2448.9265833</v>
      </c>
      <c r="K88" s="8">
        <v>2864.9454858</v>
      </c>
      <c r="L88" s="8">
        <v>3145.8937248</v>
      </c>
      <c r="M88" s="8">
        <v>3374.464851</v>
      </c>
      <c r="N88" s="8">
        <v>3512.0273967000003</v>
      </c>
      <c r="O88" s="8">
        <v>3465.8304192</v>
      </c>
      <c r="P88" s="8">
        <v>3477.6729009</v>
      </c>
      <c r="Q88" s="8">
        <v>3569.8176918</v>
      </c>
      <c r="R88" s="8">
        <v>3571.3245087</v>
      </c>
      <c r="S88" s="8">
        <v>3470.6588472000003</v>
      </c>
      <c r="T88" s="8">
        <v>3238.9856442</v>
      </c>
      <c r="U88" s="8">
        <v>3068.3313414000004</v>
      </c>
      <c r="V88" s="8">
        <v>2874.4404975</v>
      </c>
      <c r="W88" s="8">
        <v>2618.1124551000003</v>
      </c>
      <c r="X88" s="8">
        <v>2326.7058389999997</v>
      </c>
      <c r="Y88" s="8">
        <v>2016.3849228000001</v>
      </c>
      <c r="Z88" s="8">
        <v>1804.5656676</v>
      </c>
      <c r="AA88" s="9">
        <f t="shared" si="1"/>
        <v>62084.78944</v>
      </c>
      <c r="AB88" s="9">
        <v>19.0</v>
      </c>
      <c r="AC88" s="9">
        <f t="shared" si="2"/>
        <v>1179610.999</v>
      </c>
      <c r="AD88" s="10">
        <f>SUM(AC88:AC90)</f>
        <v>1783533.932</v>
      </c>
    </row>
    <row r="89" ht="14.25" customHeight="1">
      <c r="A89" s="7">
        <v>47178.0</v>
      </c>
      <c r="B89" s="8" t="s">
        <v>35</v>
      </c>
      <c r="C89" s="8">
        <v>1749.979098</v>
      </c>
      <c r="D89" s="8">
        <v>1658.6216118</v>
      </c>
      <c r="E89" s="8">
        <v>1607.6813922000001</v>
      </c>
      <c r="F89" s="8">
        <v>1568.1921363000001</v>
      </c>
      <c r="G89" s="8">
        <v>1575.7586190000002</v>
      </c>
      <c r="H89" s="8">
        <v>1582.1876196</v>
      </c>
      <c r="I89" s="8">
        <v>1812.4855092</v>
      </c>
      <c r="J89" s="8">
        <v>2225.3728554</v>
      </c>
      <c r="K89" s="8">
        <v>2617.6044339</v>
      </c>
      <c r="L89" s="8">
        <v>2923.9371260999997</v>
      </c>
      <c r="M89" s="8">
        <v>3115.0967994000002</v>
      </c>
      <c r="N89" s="8">
        <v>3202.8237234</v>
      </c>
      <c r="O89" s="8">
        <v>3112.969986</v>
      </c>
      <c r="P89" s="8">
        <v>3014.3106333</v>
      </c>
      <c r="Q89" s="8">
        <v>2946.5921304</v>
      </c>
      <c r="R89" s="8">
        <v>2930.1702363</v>
      </c>
      <c r="S89" s="8">
        <v>2894.9745249</v>
      </c>
      <c r="T89" s="8">
        <v>2840.2712289</v>
      </c>
      <c r="U89" s="8">
        <v>2774.3869386</v>
      </c>
      <c r="V89" s="8">
        <v>2629.1409957</v>
      </c>
      <c r="W89" s="8">
        <v>2405.3437134</v>
      </c>
      <c r="X89" s="8">
        <v>2153.7040275000004</v>
      </c>
      <c r="Y89" s="8">
        <v>1884.8712312</v>
      </c>
      <c r="Z89" s="8">
        <v>1691.9003925000002</v>
      </c>
      <c r="AA89" s="9">
        <f t="shared" si="1"/>
        <v>56918.37696</v>
      </c>
      <c r="AB89" s="9">
        <v>5.0</v>
      </c>
      <c r="AC89" s="9">
        <f t="shared" si="2"/>
        <v>284591.8848</v>
      </c>
      <c r="AD89" s="11"/>
    </row>
    <row r="90" ht="14.25" customHeight="1">
      <c r="A90" s="7">
        <v>47178.0</v>
      </c>
      <c r="B90" s="8" t="s">
        <v>36</v>
      </c>
      <c r="C90" s="8">
        <v>1566.851355</v>
      </c>
      <c r="D90" s="8">
        <v>1489.0304898</v>
      </c>
      <c r="E90" s="8">
        <v>1417.1324373000002</v>
      </c>
      <c r="F90" s="8">
        <v>1380.6025299</v>
      </c>
      <c r="G90" s="8">
        <v>1349.8020126</v>
      </c>
      <c r="H90" s="8">
        <v>1323.3197331</v>
      </c>
      <c r="I90" s="8">
        <v>1366.0955082</v>
      </c>
      <c r="J90" s="8">
        <v>1527.0575625</v>
      </c>
      <c r="K90" s="8">
        <v>1738.7635338</v>
      </c>
      <c r="L90" s="8">
        <v>2033.1674721</v>
      </c>
      <c r="M90" s="8">
        <v>2270.9939832000005</v>
      </c>
      <c r="N90" s="8">
        <v>2405.6235567</v>
      </c>
      <c r="O90" s="8">
        <v>2451.9982059</v>
      </c>
      <c r="P90" s="8">
        <v>2463.1882551</v>
      </c>
      <c r="Q90" s="8">
        <v>2446.1737506000004</v>
      </c>
      <c r="R90" s="8">
        <v>2434.3281261</v>
      </c>
      <c r="S90" s="8">
        <v>2376.7370892</v>
      </c>
      <c r="T90" s="8">
        <v>2319.0699186</v>
      </c>
      <c r="U90" s="8">
        <v>2286.787464</v>
      </c>
      <c r="V90" s="8">
        <v>2172.8469915</v>
      </c>
      <c r="W90" s="8">
        <v>1988.4056283</v>
      </c>
      <c r="X90" s="8">
        <v>1776.5922465</v>
      </c>
      <c r="Y90" s="8">
        <v>1586.033415</v>
      </c>
      <c r="Z90" s="8">
        <v>1448.1197919</v>
      </c>
      <c r="AA90" s="9">
        <f t="shared" si="1"/>
        <v>45618.72106</v>
      </c>
      <c r="AB90" s="9">
        <v>7.0</v>
      </c>
      <c r="AC90" s="9">
        <f t="shared" si="2"/>
        <v>319331.0474</v>
      </c>
      <c r="AD90" s="12"/>
    </row>
    <row r="91" ht="14.25" customHeight="1">
      <c r="A91" s="7">
        <v>47209.0</v>
      </c>
      <c r="B91" s="8" t="s">
        <v>34</v>
      </c>
      <c r="C91" s="8">
        <v>1610.480205</v>
      </c>
      <c r="D91" s="8">
        <v>1544.5793034</v>
      </c>
      <c r="E91" s="8">
        <v>1507.7180349</v>
      </c>
      <c r="F91" s="8">
        <v>1492.6499406</v>
      </c>
      <c r="G91" s="8">
        <v>1515.6670959</v>
      </c>
      <c r="H91" s="8">
        <v>1612.9374435</v>
      </c>
      <c r="I91" s="8">
        <v>1951.6686435000001</v>
      </c>
      <c r="J91" s="8">
        <v>2448.9265833</v>
      </c>
      <c r="K91" s="8">
        <v>2864.9454858</v>
      </c>
      <c r="L91" s="8">
        <v>3145.8937248</v>
      </c>
      <c r="M91" s="8">
        <v>3374.464851</v>
      </c>
      <c r="N91" s="8">
        <v>3512.0273967000003</v>
      </c>
      <c r="O91" s="8">
        <v>3465.8304192</v>
      </c>
      <c r="P91" s="8">
        <v>3477.6729009</v>
      </c>
      <c r="Q91" s="8">
        <v>3569.8176918</v>
      </c>
      <c r="R91" s="8">
        <v>3571.3245087</v>
      </c>
      <c r="S91" s="8">
        <v>3470.6588472000003</v>
      </c>
      <c r="T91" s="8">
        <v>3238.9856442</v>
      </c>
      <c r="U91" s="8">
        <v>3068.3313414000004</v>
      </c>
      <c r="V91" s="8">
        <v>2874.4404975</v>
      </c>
      <c r="W91" s="8">
        <v>2618.1124551000003</v>
      </c>
      <c r="X91" s="8">
        <v>2326.7058389999997</v>
      </c>
      <c r="Y91" s="8">
        <v>2016.3849228000001</v>
      </c>
      <c r="Z91" s="8">
        <v>1804.5656676</v>
      </c>
      <c r="AA91" s="9">
        <f t="shared" si="1"/>
        <v>62084.78944</v>
      </c>
      <c r="AB91" s="9">
        <v>21.0</v>
      </c>
      <c r="AC91" s="9">
        <f t="shared" si="2"/>
        <v>1303780.578</v>
      </c>
      <c r="AD91" s="10">
        <f>SUM(AC91:AC93)</f>
        <v>1759547.691</v>
      </c>
    </row>
    <row r="92" ht="14.25" customHeight="1">
      <c r="A92" s="7">
        <v>47209.0</v>
      </c>
      <c r="B92" s="8" t="s">
        <v>35</v>
      </c>
      <c r="C92" s="8">
        <v>1749.979098</v>
      </c>
      <c r="D92" s="8">
        <v>1658.6216118</v>
      </c>
      <c r="E92" s="8">
        <v>1607.6813922000001</v>
      </c>
      <c r="F92" s="8">
        <v>1568.1921363000001</v>
      </c>
      <c r="G92" s="8">
        <v>1575.7586190000002</v>
      </c>
      <c r="H92" s="8">
        <v>1582.1876196</v>
      </c>
      <c r="I92" s="8">
        <v>1812.4855092</v>
      </c>
      <c r="J92" s="8">
        <v>2225.3728554</v>
      </c>
      <c r="K92" s="8">
        <v>2617.6044339</v>
      </c>
      <c r="L92" s="8">
        <v>2923.9371260999997</v>
      </c>
      <c r="M92" s="8">
        <v>3115.0967994000002</v>
      </c>
      <c r="N92" s="8">
        <v>3202.8237234</v>
      </c>
      <c r="O92" s="8">
        <v>3112.969986</v>
      </c>
      <c r="P92" s="8">
        <v>3014.3106333</v>
      </c>
      <c r="Q92" s="8">
        <v>2946.5921304</v>
      </c>
      <c r="R92" s="8">
        <v>2930.1702363</v>
      </c>
      <c r="S92" s="8">
        <v>2894.9745249</v>
      </c>
      <c r="T92" s="8">
        <v>2840.2712289</v>
      </c>
      <c r="U92" s="8">
        <v>2774.3869386</v>
      </c>
      <c r="V92" s="8">
        <v>2629.1409957</v>
      </c>
      <c r="W92" s="8">
        <v>2405.3437134</v>
      </c>
      <c r="X92" s="8">
        <v>2153.7040275000004</v>
      </c>
      <c r="Y92" s="8">
        <v>1884.8712312</v>
      </c>
      <c r="Z92" s="8">
        <v>1691.9003925000002</v>
      </c>
      <c r="AA92" s="9">
        <f t="shared" si="1"/>
        <v>56918.37696</v>
      </c>
      <c r="AB92" s="9">
        <v>4.0</v>
      </c>
      <c r="AC92" s="9">
        <f t="shared" si="2"/>
        <v>227673.5079</v>
      </c>
      <c r="AD92" s="11"/>
    </row>
    <row r="93" ht="14.25" customHeight="1">
      <c r="A93" s="7">
        <v>47209.0</v>
      </c>
      <c r="B93" s="8" t="s">
        <v>36</v>
      </c>
      <c r="C93" s="8">
        <v>1566.851355</v>
      </c>
      <c r="D93" s="8">
        <v>1489.0304898</v>
      </c>
      <c r="E93" s="8">
        <v>1417.1324373000002</v>
      </c>
      <c r="F93" s="8">
        <v>1380.6025299</v>
      </c>
      <c r="G93" s="8">
        <v>1349.8020126</v>
      </c>
      <c r="H93" s="8">
        <v>1323.3197331</v>
      </c>
      <c r="I93" s="8">
        <v>1366.0955082</v>
      </c>
      <c r="J93" s="8">
        <v>1527.0575625</v>
      </c>
      <c r="K93" s="8">
        <v>1738.7635338</v>
      </c>
      <c r="L93" s="8">
        <v>2033.1674721</v>
      </c>
      <c r="M93" s="8">
        <v>2270.9939832000005</v>
      </c>
      <c r="N93" s="8">
        <v>2405.6235567</v>
      </c>
      <c r="O93" s="8">
        <v>2451.9982059</v>
      </c>
      <c r="P93" s="8">
        <v>2463.1882551</v>
      </c>
      <c r="Q93" s="8">
        <v>2446.1737506000004</v>
      </c>
      <c r="R93" s="8">
        <v>2434.3281261</v>
      </c>
      <c r="S93" s="8">
        <v>2376.7370892</v>
      </c>
      <c r="T93" s="8">
        <v>2319.0699186</v>
      </c>
      <c r="U93" s="8">
        <v>2286.787464</v>
      </c>
      <c r="V93" s="8">
        <v>2172.8469915</v>
      </c>
      <c r="W93" s="8">
        <v>1988.4056283</v>
      </c>
      <c r="X93" s="8">
        <v>1776.5922465</v>
      </c>
      <c r="Y93" s="8">
        <v>1586.033415</v>
      </c>
      <c r="Z93" s="8">
        <v>1448.1197919</v>
      </c>
      <c r="AA93" s="9">
        <f t="shared" si="1"/>
        <v>45618.72106</v>
      </c>
      <c r="AB93" s="9">
        <v>5.0</v>
      </c>
      <c r="AC93" s="9">
        <f t="shared" si="2"/>
        <v>228093.6053</v>
      </c>
      <c r="AD93" s="12"/>
    </row>
    <row r="94" ht="14.25" customHeight="1">
      <c r="A94" s="7">
        <v>47239.0</v>
      </c>
      <c r="B94" s="8" t="s">
        <v>34</v>
      </c>
      <c r="C94" s="8">
        <v>1610.480205</v>
      </c>
      <c r="D94" s="8">
        <v>1544.5793034</v>
      </c>
      <c r="E94" s="8">
        <v>1507.7180349</v>
      </c>
      <c r="F94" s="8">
        <v>1492.6499406</v>
      </c>
      <c r="G94" s="8">
        <v>1515.6670959</v>
      </c>
      <c r="H94" s="8">
        <v>1612.9374435</v>
      </c>
      <c r="I94" s="8">
        <v>1951.6686435000001</v>
      </c>
      <c r="J94" s="8">
        <v>2448.9265833</v>
      </c>
      <c r="K94" s="8">
        <v>2864.9454858</v>
      </c>
      <c r="L94" s="8">
        <v>3145.8937248</v>
      </c>
      <c r="M94" s="8">
        <v>3374.464851</v>
      </c>
      <c r="N94" s="8">
        <v>3512.0273967000003</v>
      </c>
      <c r="O94" s="8">
        <v>3465.8304192</v>
      </c>
      <c r="P94" s="8">
        <v>3477.6729009</v>
      </c>
      <c r="Q94" s="8">
        <v>3569.8176918</v>
      </c>
      <c r="R94" s="8">
        <v>3571.3245087</v>
      </c>
      <c r="S94" s="8">
        <v>3470.6588472000003</v>
      </c>
      <c r="T94" s="8">
        <v>3238.9856442</v>
      </c>
      <c r="U94" s="8">
        <v>3068.3313414000004</v>
      </c>
      <c r="V94" s="8">
        <v>2874.4404975</v>
      </c>
      <c r="W94" s="8">
        <v>2618.1124551000003</v>
      </c>
      <c r="X94" s="8">
        <v>2326.7058389999997</v>
      </c>
      <c r="Y94" s="8">
        <v>2016.3849228000001</v>
      </c>
      <c r="Z94" s="8">
        <v>1804.5656676</v>
      </c>
      <c r="AA94" s="9">
        <f t="shared" si="1"/>
        <v>62084.78944</v>
      </c>
      <c r="AB94" s="9">
        <v>21.0</v>
      </c>
      <c r="AC94" s="9">
        <f t="shared" si="2"/>
        <v>1303780.578</v>
      </c>
      <c r="AD94" s="10">
        <f>SUM(AC94:AC96)</f>
        <v>1805166.413</v>
      </c>
    </row>
    <row r="95" ht="14.25" customHeight="1">
      <c r="A95" s="7">
        <v>47239.0</v>
      </c>
      <c r="B95" s="8" t="s">
        <v>35</v>
      </c>
      <c r="C95" s="8">
        <v>1749.979098</v>
      </c>
      <c r="D95" s="8">
        <v>1658.6216118</v>
      </c>
      <c r="E95" s="8">
        <v>1607.6813922000001</v>
      </c>
      <c r="F95" s="8">
        <v>1568.1921363000001</v>
      </c>
      <c r="G95" s="8">
        <v>1575.7586190000002</v>
      </c>
      <c r="H95" s="8">
        <v>1582.1876196</v>
      </c>
      <c r="I95" s="8">
        <v>1812.4855092</v>
      </c>
      <c r="J95" s="8">
        <v>2225.3728554</v>
      </c>
      <c r="K95" s="8">
        <v>2617.6044339</v>
      </c>
      <c r="L95" s="8">
        <v>2923.9371260999997</v>
      </c>
      <c r="M95" s="8">
        <v>3115.0967994000002</v>
      </c>
      <c r="N95" s="8">
        <v>3202.8237234</v>
      </c>
      <c r="O95" s="8">
        <v>3112.969986</v>
      </c>
      <c r="P95" s="8">
        <v>3014.3106333</v>
      </c>
      <c r="Q95" s="8">
        <v>2946.5921304</v>
      </c>
      <c r="R95" s="8">
        <v>2930.1702363</v>
      </c>
      <c r="S95" s="8">
        <v>2894.9745249</v>
      </c>
      <c r="T95" s="8">
        <v>2840.2712289</v>
      </c>
      <c r="U95" s="8">
        <v>2774.3869386</v>
      </c>
      <c r="V95" s="8">
        <v>2629.1409957</v>
      </c>
      <c r="W95" s="8">
        <v>2405.3437134</v>
      </c>
      <c r="X95" s="8">
        <v>2153.7040275000004</v>
      </c>
      <c r="Y95" s="8">
        <v>1884.8712312</v>
      </c>
      <c r="Z95" s="8">
        <v>1691.9003925000002</v>
      </c>
      <c r="AA95" s="9">
        <f t="shared" si="1"/>
        <v>56918.37696</v>
      </c>
      <c r="AB95" s="9">
        <v>4.0</v>
      </c>
      <c r="AC95" s="9">
        <f t="shared" si="2"/>
        <v>227673.5079</v>
      </c>
      <c r="AD95" s="11"/>
    </row>
    <row r="96" ht="14.25" customHeight="1">
      <c r="A96" s="7">
        <v>47239.0</v>
      </c>
      <c r="B96" s="8" t="s">
        <v>36</v>
      </c>
      <c r="C96" s="8">
        <v>1566.851355</v>
      </c>
      <c r="D96" s="8">
        <v>1489.0304898</v>
      </c>
      <c r="E96" s="8">
        <v>1417.1324373000002</v>
      </c>
      <c r="F96" s="8">
        <v>1380.6025299</v>
      </c>
      <c r="G96" s="8">
        <v>1349.8020126</v>
      </c>
      <c r="H96" s="8">
        <v>1323.3197331</v>
      </c>
      <c r="I96" s="8">
        <v>1366.0955082</v>
      </c>
      <c r="J96" s="8">
        <v>1527.0575625</v>
      </c>
      <c r="K96" s="8">
        <v>1738.7635338</v>
      </c>
      <c r="L96" s="8">
        <v>2033.1674721</v>
      </c>
      <c r="M96" s="8">
        <v>2270.9939832000005</v>
      </c>
      <c r="N96" s="8">
        <v>2405.6235567</v>
      </c>
      <c r="O96" s="8">
        <v>2451.9982059</v>
      </c>
      <c r="P96" s="8">
        <v>2463.1882551</v>
      </c>
      <c r="Q96" s="8">
        <v>2446.1737506000004</v>
      </c>
      <c r="R96" s="8">
        <v>2434.3281261</v>
      </c>
      <c r="S96" s="8">
        <v>2376.7370892</v>
      </c>
      <c r="T96" s="8">
        <v>2319.0699186</v>
      </c>
      <c r="U96" s="8">
        <v>2286.787464</v>
      </c>
      <c r="V96" s="8">
        <v>2172.8469915</v>
      </c>
      <c r="W96" s="8">
        <v>1988.4056283</v>
      </c>
      <c r="X96" s="8">
        <v>1776.5922465</v>
      </c>
      <c r="Y96" s="8">
        <v>1586.033415</v>
      </c>
      <c r="Z96" s="8">
        <v>1448.1197919</v>
      </c>
      <c r="AA96" s="9">
        <f t="shared" si="1"/>
        <v>45618.72106</v>
      </c>
      <c r="AB96" s="9">
        <v>6.0</v>
      </c>
      <c r="AC96" s="9">
        <f t="shared" si="2"/>
        <v>273712.3263</v>
      </c>
      <c r="AD96" s="12"/>
    </row>
    <row r="97" ht="14.25" customHeight="1">
      <c r="A97" s="7">
        <v>47270.0</v>
      </c>
      <c r="B97" s="8" t="s">
        <v>34</v>
      </c>
      <c r="C97" s="8">
        <v>1610.480205</v>
      </c>
      <c r="D97" s="8">
        <v>1544.5793034</v>
      </c>
      <c r="E97" s="8">
        <v>1507.7180349</v>
      </c>
      <c r="F97" s="8">
        <v>1492.6499406</v>
      </c>
      <c r="G97" s="8">
        <v>1515.6670959</v>
      </c>
      <c r="H97" s="8">
        <v>1612.9374435</v>
      </c>
      <c r="I97" s="8">
        <v>1951.6686435000001</v>
      </c>
      <c r="J97" s="8">
        <v>2448.9265833</v>
      </c>
      <c r="K97" s="8">
        <v>2864.9454858</v>
      </c>
      <c r="L97" s="8">
        <v>3145.8937248</v>
      </c>
      <c r="M97" s="8">
        <v>3374.464851</v>
      </c>
      <c r="N97" s="8">
        <v>3512.0273967000003</v>
      </c>
      <c r="O97" s="8">
        <v>3465.8304192</v>
      </c>
      <c r="P97" s="8">
        <v>3477.6729009</v>
      </c>
      <c r="Q97" s="8">
        <v>3569.8176918</v>
      </c>
      <c r="R97" s="8">
        <v>3571.3245087</v>
      </c>
      <c r="S97" s="8">
        <v>3470.6588472000003</v>
      </c>
      <c r="T97" s="8">
        <v>3238.9856442</v>
      </c>
      <c r="U97" s="8">
        <v>3068.3313414000004</v>
      </c>
      <c r="V97" s="8">
        <v>2874.4404975</v>
      </c>
      <c r="W97" s="8">
        <v>2618.1124551000003</v>
      </c>
      <c r="X97" s="8">
        <v>2326.7058389999997</v>
      </c>
      <c r="Y97" s="8">
        <v>2016.3849228000001</v>
      </c>
      <c r="Z97" s="8">
        <v>1804.5656676</v>
      </c>
      <c r="AA97" s="9">
        <f t="shared" si="1"/>
        <v>62084.78944</v>
      </c>
      <c r="AB97" s="9">
        <v>19.0</v>
      </c>
      <c r="AC97" s="9">
        <f t="shared" si="2"/>
        <v>1179610.999</v>
      </c>
      <c r="AD97" s="10">
        <f>SUM(AC97:AC99)</f>
        <v>1737915.211</v>
      </c>
    </row>
    <row r="98" ht="14.25" customHeight="1">
      <c r="A98" s="7">
        <v>47270.0</v>
      </c>
      <c r="B98" s="8" t="s">
        <v>35</v>
      </c>
      <c r="C98" s="8">
        <v>1749.979098</v>
      </c>
      <c r="D98" s="8">
        <v>1658.6216118</v>
      </c>
      <c r="E98" s="8">
        <v>1607.6813922000001</v>
      </c>
      <c r="F98" s="8">
        <v>1568.1921363000001</v>
      </c>
      <c r="G98" s="8">
        <v>1575.7586190000002</v>
      </c>
      <c r="H98" s="8">
        <v>1582.1876196</v>
      </c>
      <c r="I98" s="8">
        <v>1812.4855092</v>
      </c>
      <c r="J98" s="8">
        <v>2225.3728554</v>
      </c>
      <c r="K98" s="8">
        <v>2617.6044339</v>
      </c>
      <c r="L98" s="8">
        <v>2923.9371260999997</v>
      </c>
      <c r="M98" s="8">
        <v>3115.0967994000002</v>
      </c>
      <c r="N98" s="8">
        <v>3202.8237234</v>
      </c>
      <c r="O98" s="8">
        <v>3112.969986</v>
      </c>
      <c r="P98" s="8">
        <v>3014.3106333</v>
      </c>
      <c r="Q98" s="8">
        <v>2946.5921304</v>
      </c>
      <c r="R98" s="8">
        <v>2930.1702363</v>
      </c>
      <c r="S98" s="8">
        <v>2894.9745249</v>
      </c>
      <c r="T98" s="8">
        <v>2840.2712289</v>
      </c>
      <c r="U98" s="8">
        <v>2774.3869386</v>
      </c>
      <c r="V98" s="8">
        <v>2629.1409957</v>
      </c>
      <c r="W98" s="8">
        <v>2405.3437134</v>
      </c>
      <c r="X98" s="8">
        <v>2153.7040275000004</v>
      </c>
      <c r="Y98" s="8">
        <v>1884.8712312</v>
      </c>
      <c r="Z98" s="8">
        <v>1691.9003925000002</v>
      </c>
      <c r="AA98" s="9">
        <f t="shared" si="1"/>
        <v>56918.37696</v>
      </c>
      <c r="AB98" s="9">
        <v>5.0</v>
      </c>
      <c r="AC98" s="9">
        <f t="shared" si="2"/>
        <v>284591.8848</v>
      </c>
      <c r="AD98" s="11"/>
    </row>
    <row r="99" ht="14.25" customHeight="1">
      <c r="A99" s="7">
        <v>47270.0</v>
      </c>
      <c r="B99" s="8" t="s">
        <v>36</v>
      </c>
      <c r="C99" s="8">
        <v>1566.851355</v>
      </c>
      <c r="D99" s="8">
        <v>1489.0304898</v>
      </c>
      <c r="E99" s="8">
        <v>1417.1324373000002</v>
      </c>
      <c r="F99" s="8">
        <v>1380.6025299</v>
      </c>
      <c r="G99" s="8">
        <v>1349.8020126</v>
      </c>
      <c r="H99" s="8">
        <v>1323.3197331</v>
      </c>
      <c r="I99" s="8">
        <v>1366.0955082</v>
      </c>
      <c r="J99" s="8">
        <v>1527.0575625</v>
      </c>
      <c r="K99" s="8">
        <v>1738.7635338</v>
      </c>
      <c r="L99" s="8">
        <v>2033.1674721</v>
      </c>
      <c r="M99" s="8">
        <v>2270.9939832000005</v>
      </c>
      <c r="N99" s="8">
        <v>2405.6235567</v>
      </c>
      <c r="O99" s="8">
        <v>2451.9982059</v>
      </c>
      <c r="P99" s="8">
        <v>2463.1882551</v>
      </c>
      <c r="Q99" s="8">
        <v>2446.1737506000004</v>
      </c>
      <c r="R99" s="8">
        <v>2434.3281261</v>
      </c>
      <c r="S99" s="8">
        <v>2376.7370892</v>
      </c>
      <c r="T99" s="8">
        <v>2319.0699186</v>
      </c>
      <c r="U99" s="8">
        <v>2286.787464</v>
      </c>
      <c r="V99" s="8">
        <v>2172.8469915</v>
      </c>
      <c r="W99" s="8">
        <v>1988.4056283</v>
      </c>
      <c r="X99" s="8">
        <v>1776.5922465</v>
      </c>
      <c r="Y99" s="8">
        <v>1586.033415</v>
      </c>
      <c r="Z99" s="8">
        <v>1448.1197919</v>
      </c>
      <c r="AA99" s="9">
        <f t="shared" si="1"/>
        <v>45618.72106</v>
      </c>
      <c r="AB99" s="9">
        <v>6.0</v>
      </c>
      <c r="AC99" s="9">
        <f t="shared" si="2"/>
        <v>273712.3263</v>
      </c>
      <c r="AD99" s="12"/>
    </row>
    <row r="100" ht="14.25" customHeight="1">
      <c r="A100" s="7">
        <v>47300.0</v>
      </c>
      <c r="B100" s="8" t="s">
        <v>34</v>
      </c>
      <c r="C100" s="8">
        <v>1610.480205</v>
      </c>
      <c r="D100" s="8">
        <v>1544.5793034</v>
      </c>
      <c r="E100" s="8">
        <v>1507.7180349</v>
      </c>
      <c r="F100" s="8">
        <v>1492.6499406</v>
      </c>
      <c r="G100" s="8">
        <v>1515.6670959</v>
      </c>
      <c r="H100" s="8">
        <v>1612.9374435</v>
      </c>
      <c r="I100" s="8">
        <v>1951.6686435000001</v>
      </c>
      <c r="J100" s="8">
        <v>2448.9265833</v>
      </c>
      <c r="K100" s="8">
        <v>2864.9454858</v>
      </c>
      <c r="L100" s="8">
        <v>3145.8937248</v>
      </c>
      <c r="M100" s="8">
        <v>3374.464851</v>
      </c>
      <c r="N100" s="8">
        <v>3512.0273967000003</v>
      </c>
      <c r="O100" s="8">
        <v>3465.8304192</v>
      </c>
      <c r="P100" s="8">
        <v>3477.6729009</v>
      </c>
      <c r="Q100" s="8">
        <v>3569.8176918</v>
      </c>
      <c r="R100" s="8">
        <v>3571.3245087</v>
      </c>
      <c r="S100" s="8">
        <v>3470.6588472000003</v>
      </c>
      <c r="T100" s="8">
        <v>3238.9856442</v>
      </c>
      <c r="U100" s="8">
        <v>3068.3313414000004</v>
      </c>
      <c r="V100" s="8">
        <v>2874.4404975</v>
      </c>
      <c r="W100" s="8">
        <v>2618.1124551000003</v>
      </c>
      <c r="X100" s="8">
        <v>2326.7058389999997</v>
      </c>
      <c r="Y100" s="8">
        <v>2016.3849228000001</v>
      </c>
      <c r="Z100" s="8">
        <v>1804.5656676</v>
      </c>
      <c r="AA100" s="9">
        <f t="shared" si="1"/>
        <v>62084.78944</v>
      </c>
      <c r="AB100" s="9">
        <v>20.0</v>
      </c>
      <c r="AC100" s="9">
        <f t="shared" si="2"/>
        <v>1241695.789</v>
      </c>
      <c r="AD100" s="10">
        <f>SUM(AC100:AC102)</f>
        <v>1788700.344</v>
      </c>
    </row>
    <row r="101" ht="14.25" customHeight="1">
      <c r="A101" s="7">
        <v>47300.0</v>
      </c>
      <c r="B101" s="8" t="s">
        <v>35</v>
      </c>
      <c r="C101" s="8">
        <v>1749.979098</v>
      </c>
      <c r="D101" s="8">
        <v>1658.6216118</v>
      </c>
      <c r="E101" s="8">
        <v>1607.6813922000001</v>
      </c>
      <c r="F101" s="8">
        <v>1568.1921363000001</v>
      </c>
      <c r="G101" s="8">
        <v>1575.7586190000002</v>
      </c>
      <c r="H101" s="8">
        <v>1582.1876196</v>
      </c>
      <c r="I101" s="8">
        <v>1812.4855092</v>
      </c>
      <c r="J101" s="8">
        <v>2225.3728554</v>
      </c>
      <c r="K101" s="8">
        <v>2617.6044339</v>
      </c>
      <c r="L101" s="8">
        <v>2923.9371260999997</v>
      </c>
      <c r="M101" s="8">
        <v>3115.0967994000002</v>
      </c>
      <c r="N101" s="8">
        <v>3202.8237234</v>
      </c>
      <c r="O101" s="8">
        <v>3112.969986</v>
      </c>
      <c r="P101" s="8">
        <v>3014.3106333</v>
      </c>
      <c r="Q101" s="8">
        <v>2946.5921304</v>
      </c>
      <c r="R101" s="8">
        <v>2930.1702363</v>
      </c>
      <c r="S101" s="8">
        <v>2894.9745249</v>
      </c>
      <c r="T101" s="8">
        <v>2840.2712289</v>
      </c>
      <c r="U101" s="8">
        <v>2774.3869386</v>
      </c>
      <c r="V101" s="8">
        <v>2629.1409957</v>
      </c>
      <c r="W101" s="8">
        <v>2405.3437134</v>
      </c>
      <c r="X101" s="8">
        <v>2153.7040275000004</v>
      </c>
      <c r="Y101" s="8">
        <v>1884.8712312</v>
      </c>
      <c r="Z101" s="8">
        <v>1691.9003925000002</v>
      </c>
      <c r="AA101" s="9">
        <f t="shared" si="1"/>
        <v>56918.37696</v>
      </c>
      <c r="AB101" s="9">
        <v>4.0</v>
      </c>
      <c r="AC101" s="9">
        <f t="shared" si="2"/>
        <v>227673.5079</v>
      </c>
      <c r="AD101" s="11"/>
    </row>
    <row r="102" ht="14.25" customHeight="1">
      <c r="A102" s="7">
        <v>47300.0</v>
      </c>
      <c r="B102" s="8" t="s">
        <v>36</v>
      </c>
      <c r="C102" s="8">
        <v>1566.851355</v>
      </c>
      <c r="D102" s="8">
        <v>1489.0304898</v>
      </c>
      <c r="E102" s="8">
        <v>1417.1324373000002</v>
      </c>
      <c r="F102" s="8">
        <v>1380.6025299</v>
      </c>
      <c r="G102" s="8">
        <v>1349.8020126</v>
      </c>
      <c r="H102" s="8">
        <v>1323.3197331</v>
      </c>
      <c r="I102" s="8">
        <v>1366.0955082</v>
      </c>
      <c r="J102" s="8">
        <v>1527.0575625</v>
      </c>
      <c r="K102" s="8">
        <v>1738.7635338</v>
      </c>
      <c r="L102" s="8">
        <v>2033.1674721</v>
      </c>
      <c r="M102" s="8">
        <v>2270.9939832000005</v>
      </c>
      <c r="N102" s="8">
        <v>2405.6235567</v>
      </c>
      <c r="O102" s="8">
        <v>2451.9982059</v>
      </c>
      <c r="P102" s="8">
        <v>2463.1882551</v>
      </c>
      <c r="Q102" s="8">
        <v>2446.1737506000004</v>
      </c>
      <c r="R102" s="8">
        <v>2434.3281261</v>
      </c>
      <c r="S102" s="8">
        <v>2376.7370892</v>
      </c>
      <c r="T102" s="8">
        <v>2319.0699186</v>
      </c>
      <c r="U102" s="8">
        <v>2286.787464</v>
      </c>
      <c r="V102" s="8">
        <v>2172.8469915</v>
      </c>
      <c r="W102" s="8">
        <v>1988.4056283</v>
      </c>
      <c r="X102" s="8">
        <v>1776.5922465</v>
      </c>
      <c r="Y102" s="8">
        <v>1586.033415</v>
      </c>
      <c r="Z102" s="8">
        <v>1448.1197919</v>
      </c>
      <c r="AA102" s="9">
        <f t="shared" si="1"/>
        <v>45618.72106</v>
      </c>
      <c r="AB102" s="9">
        <v>7.0</v>
      </c>
      <c r="AC102" s="9">
        <f t="shared" si="2"/>
        <v>319331.0474</v>
      </c>
      <c r="AD102" s="12"/>
    </row>
    <row r="103" ht="14.25" customHeight="1">
      <c r="A103" s="7">
        <v>47331.0</v>
      </c>
      <c r="B103" s="8" t="s">
        <v>34</v>
      </c>
      <c r="C103" s="8">
        <v>1610.480205</v>
      </c>
      <c r="D103" s="8">
        <v>1544.5793034</v>
      </c>
      <c r="E103" s="8">
        <v>1507.7180349</v>
      </c>
      <c r="F103" s="8">
        <v>1492.6499406</v>
      </c>
      <c r="G103" s="8">
        <v>1515.6670959</v>
      </c>
      <c r="H103" s="8">
        <v>1612.9374435</v>
      </c>
      <c r="I103" s="8">
        <v>1951.6686435000001</v>
      </c>
      <c r="J103" s="8">
        <v>2448.9265833</v>
      </c>
      <c r="K103" s="8">
        <v>2864.9454858</v>
      </c>
      <c r="L103" s="8">
        <v>3145.8937248</v>
      </c>
      <c r="M103" s="8">
        <v>3374.464851</v>
      </c>
      <c r="N103" s="8">
        <v>3512.0273967000003</v>
      </c>
      <c r="O103" s="8">
        <v>3465.8304192</v>
      </c>
      <c r="P103" s="8">
        <v>3477.6729009</v>
      </c>
      <c r="Q103" s="8">
        <v>3569.8176918</v>
      </c>
      <c r="R103" s="8">
        <v>3571.3245087</v>
      </c>
      <c r="S103" s="8">
        <v>3470.6588472000003</v>
      </c>
      <c r="T103" s="8">
        <v>3238.9856442</v>
      </c>
      <c r="U103" s="8">
        <v>3068.3313414000004</v>
      </c>
      <c r="V103" s="8">
        <v>2874.4404975</v>
      </c>
      <c r="W103" s="8">
        <v>2618.1124551000003</v>
      </c>
      <c r="X103" s="8">
        <v>2326.7058389999997</v>
      </c>
      <c r="Y103" s="8">
        <v>2016.3849228000001</v>
      </c>
      <c r="Z103" s="8">
        <v>1804.5656676</v>
      </c>
      <c r="AA103" s="9">
        <f t="shared" si="1"/>
        <v>62084.78944</v>
      </c>
      <c r="AB103" s="9">
        <v>21.0</v>
      </c>
      <c r="AC103" s="9">
        <f t="shared" si="2"/>
        <v>1303780.578</v>
      </c>
      <c r="AD103" s="10">
        <f>SUM(AC103:AC105)</f>
        <v>1805166.413</v>
      </c>
    </row>
    <row r="104" ht="14.25" customHeight="1">
      <c r="A104" s="7">
        <v>47331.0</v>
      </c>
      <c r="B104" s="8" t="s">
        <v>35</v>
      </c>
      <c r="C104" s="8">
        <v>1749.979098</v>
      </c>
      <c r="D104" s="8">
        <v>1658.6216118</v>
      </c>
      <c r="E104" s="8">
        <v>1607.6813922000001</v>
      </c>
      <c r="F104" s="8">
        <v>1568.1921363000001</v>
      </c>
      <c r="G104" s="8">
        <v>1575.7586190000002</v>
      </c>
      <c r="H104" s="8">
        <v>1582.1876196</v>
      </c>
      <c r="I104" s="8">
        <v>1812.4855092</v>
      </c>
      <c r="J104" s="8">
        <v>2225.3728554</v>
      </c>
      <c r="K104" s="8">
        <v>2617.6044339</v>
      </c>
      <c r="L104" s="8">
        <v>2923.9371260999997</v>
      </c>
      <c r="M104" s="8">
        <v>3115.0967994000002</v>
      </c>
      <c r="N104" s="8">
        <v>3202.8237234</v>
      </c>
      <c r="O104" s="8">
        <v>3112.969986</v>
      </c>
      <c r="P104" s="8">
        <v>3014.3106333</v>
      </c>
      <c r="Q104" s="8">
        <v>2946.5921304</v>
      </c>
      <c r="R104" s="8">
        <v>2930.1702363</v>
      </c>
      <c r="S104" s="8">
        <v>2894.9745249</v>
      </c>
      <c r="T104" s="8">
        <v>2840.2712289</v>
      </c>
      <c r="U104" s="8">
        <v>2774.3869386</v>
      </c>
      <c r="V104" s="8">
        <v>2629.1409957</v>
      </c>
      <c r="W104" s="8">
        <v>2405.3437134</v>
      </c>
      <c r="X104" s="8">
        <v>2153.7040275000004</v>
      </c>
      <c r="Y104" s="8">
        <v>1884.8712312</v>
      </c>
      <c r="Z104" s="8">
        <v>1691.9003925000002</v>
      </c>
      <c r="AA104" s="9">
        <f t="shared" si="1"/>
        <v>56918.37696</v>
      </c>
      <c r="AB104" s="9">
        <v>4.0</v>
      </c>
      <c r="AC104" s="9">
        <f t="shared" si="2"/>
        <v>227673.5079</v>
      </c>
      <c r="AD104" s="11"/>
    </row>
    <row r="105" ht="14.25" customHeight="1">
      <c r="A105" s="7">
        <v>47331.0</v>
      </c>
      <c r="B105" s="8" t="s">
        <v>36</v>
      </c>
      <c r="C105" s="8">
        <v>1566.851355</v>
      </c>
      <c r="D105" s="8">
        <v>1489.0304898</v>
      </c>
      <c r="E105" s="8">
        <v>1417.1324373000002</v>
      </c>
      <c r="F105" s="8">
        <v>1380.6025299</v>
      </c>
      <c r="G105" s="8">
        <v>1349.8020126</v>
      </c>
      <c r="H105" s="8">
        <v>1323.3197331</v>
      </c>
      <c r="I105" s="8">
        <v>1366.0955082</v>
      </c>
      <c r="J105" s="8">
        <v>1527.0575625</v>
      </c>
      <c r="K105" s="8">
        <v>1738.7635338</v>
      </c>
      <c r="L105" s="8">
        <v>2033.1674721</v>
      </c>
      <c r="M105" s="8">
        <v>2270.9939832000005</v>
      </c>
      <c r="N105" s="8">
        <v>2405.6235567</v>
      </c>
      <c r="O105" s="8">
        <v>2451.9982059</v>
      </c>
      <c r="P105" s="8">
        <v>2463.1882551</v>
      </c>
      <c r="Q105" s="8">
        <v>2446.1737506000004</v>
      </c>
      <c r="R105" s="8">
        <v>2434.3281261</v>
      </c>
      <c r="S105" s="8">
        <v>2376.7370892</v>
      </c>
      <c r="T105" s="8">
        <v>2319.0699186</v>
      </c>
      <c r="U105" s="8">
        <v>2286.787464</v>
      </c>
      <c r="V105" s="8">
        <v>2172.8469915</v>
      </c>
      <c r="W105" s="8">
        <v>1988.4056283</v>
      </c>
      <c r="X105" s="8">
        <v>1776.5922465</v>
      </c>
      <c r="Y105" s="8">
        <v>1586.033415</v>
      </c>
      <c r="Z105" s="8">
        <v>1448.1197919</v>
      </c>
      <c r="AA105" s="9">
        <f t="shared" si="1"/>
        <v>45618.72106</v>
      </c>
      <c r="AB105" s="9">
        <v>6.0</v>
      </c>
      <c r="AC105" s="9">
        <f t="shared" si="2"/>
        <v>273712.3263</v>
      </c>
      <c r="AD105" s="12"/>
    </row>
    <row r="106" ht="14.25" customHeight="1">
      <c r="A106" s="7">
        <v>47362.0</v>
      </c>
      <c r="B106" s="8" t="s">
        <v>34</v>
      </c>
      <c r="C106" s="8">
        <v>1610.480205</v>
      </c>
      <c r="D106" s="8">
        <v>1544.5793034</v>
      </c>
      <c r="E106" s="8">
        <v>1507.7180349</v>
      </c>
      <c r="F106" s="8">
        <v>1492.6499406</v>
      </c>
      <c r="G106" s="8">
        <v>1515.6670959</v>
      </c>
      <c r="H106" s="8">
        <v>1612.9374435</v>
      </c>
      <c r="I106" s="8">
        <v>1951.6686435000001</v>
      </c>
      <c r="J106" s="8">
        <v>2448.9265833</v>
      </c>
      <c r="K106" s="8">
        <v>2864.9454858</v>
      </c>
      <c r="L106" s="8">
        <v>3145.8937248</v>
      </c>
      <c r="M106" s="8">
        <v>3374.464851</v>
      </c>
      <c r="N106" s="8">
        <v>3512.0273967000003</v>
      </c>
      <c r="O106" s="8">
        <v>3465.8304192</v>
      </c>
      <c r="P106" s="8">
        <v>3477.6729009</v>
      </c>
      <c r="Q106" s="8">
        <v>3569.8176918</v>
      </c>
      <c r="R106" s="8">
        <v>3571.3245087</v>
      </c>
      <c r="S106" s="8">
        <v>3470.6588472000003</v>
      </c>
      <c r="T106" s="8">
        <v>3238.9856442</v>
      </c>
      <c r="U106" s="8">
        <v>3068.3313414000004</v>
      </c>
      <c r="V106" s="8">
        <v>2874.4404975</v>
      </c>
      <c r="W106" s="8">
        <v>2618.1124551000003</v>
      </c>
      <c r="X106" s="8">
        <v>2326.7058389999997</v>
      </c>
      <c r="Y106" s="8">
        <v>2016.3849228000001</v>
      </c>
      <c r="Z106" s="8">
        <v>1804.5656676</v>
      </c>
      <c r="AA106" s="9">
        <f t="shared" si="1"/>
        <v>62084.78944</v>
      </c>
      <c r="AB106" s="9">
        <v>20.0</v>
      </c>
      <c r="AC106" s="9">
        <f t="shared" si="2"/>
        <v>1241695.789</v>
      </c>
      <c r="AD106" s="10">
        <f>SUM(AC106:AC108)</f>
        <v>1754381.279</v>
      </c>
    </row>
    <row r="107" ht="14.25" customHeight="1">
      <c r="A107" s="7">
        <v>47362.0</v>
      </c>
      <c r="B107" s="8" t="s">
        <v>35</v>
      </c>
      <c r="C107" s="8">
        <v>1749.979098</v>
      </c>
      <c r="D107" s="8">
        <v>1658.6216118</v>
      </c>
      <c r="E107" s="8">
        <v>1607.6813922000001</v>
      </c>
      <c r="F107" s="8">
        <v>1568.1921363000001</v>
      </c>
      <c r="G107" s="8">
        <v>1575.7586190000002</v>
      </c>
      <c r="H107" s="8">
        <v>1582.1876196</v>
      </c>
      <c r="I107" s="8">
        <v>1812.4855092</v>
      </c>
      <c r="J107" s="8">
        <v>2225.3728554</v>
      </c>
      <c r="K107" s="8">
        <v>2617.6044339</v>
      </c>
      <c r="L107" s="8">
        <v>2923.9371260999997</v>
      </c>
      <c r="M107" s="8">
        <v>3115.0967994000002</v>
      </c>
      <c r="N107" s="8">
        <v>3202.8237234</v>
      </c>
      <c r="O107" s="8">
        <v>3112.969986</v>
      </c>
      <c r="P107" s="8">
        <v>3014.3106333</v>
      </c>
      <c r="Q107" s="8">
        <v>2946.5921304</v>
      </c>
      <c r="R107" s="8">
        <v>2930.1702363</v>
      </c>
      <c r="S107" s="8">
        <v>2894.9745249</v>
      </c>
      <c r="T107" s="8">
        <v>2840.2712289</v>
      </c>
      <c r="U107" s="8">
        <v>2774.3869386</v>
      </c>
      <c r="V107" s="8">
        <v>2629.1409957</v>
      </c>
      <c r="W107" s="8">
        <v>2405.3437134</v>
      </c>
      <c r="X107" s="8">
        <v>2153.7040275000004</v>
      </c>
      <c r="Y107" s="8">
        <v>1884.8712312</v>
      </c>
      <c r="Z107" s="8">
        <v>1691.9003925000002</v>
      </c>
      <c r="AA107" s="9">
        <f t="shared" si="1"/>
        <v>56918.37696</v>
      </c>
      <c r="AB107" s="9">
        <v>5.0</v>
      </c>
      <c r="AC107" s="9">
        <f t="shared" si="2"/>
        <v>284591.8848</v>
      </c>
      <c r="AD107" s="11"/>
    </row>
    <row r="108" ht="14.25" customHeight="1">
      <c r="A108" s="7">
        <v>47362.0</v>
      </c>
      <c r="B108" s="8" t="s">
        <v>36</v>
      </c>
      <c r="C108" s="8">
        <v>1566.851355</v>
      </c>
      <c r="D108" s="8">
        <v>1489.0304898</v>
      </c>
      <c r="E108" s="8">
        <v>1417.1324373000002</v>
      </c>
      <c r="F108" s="8">
        <v>1380.6025299</v>
      </c>
      <c r="G108" s="8">
        <v>1349.8020126</v>
      </c>
      <c r="H108" s="8">
        <v>1323.3197331</v>
      </c>
      <c r="I108" s="8">
        <v>1366.0955082</v>
      </c>
      <c r="J108" s="8">
        <v>1527.0575625</v>
      </c>
      <c r="K108" s="8">
        <v>1738.7635338</v>
      </c>
      <c r="L108" s="8">
        <v>2033.1674721</v>
      </c>
      <c r="M108" s="8">
        <v>2270.9939832000005</v>
      </c>
      <c r="N108" s="8">
        <v>2405.6235567</v>
      </c>
      <c r="O108" s="8">
        <v>2451.9982059</v>
      </c>
      <c r="P108" s="8">
        <v>2463.1882551</v>
      </c>
      <c r="Q108" s="8">
        <v>2446.1737506000004</v>
      </c>
      <c r="R108" s="8">
        <v>2434.3281261</v>
      </c>
      <c r="S108" s="8">
        <v>2376.7370892</v>
      </c>
      <c r="T108" s="8">
        <v>2319.0699186</v>
      </c>
      <c r="U108" s="8">
        <v>2286.787464</v>
      </c>
      <c r="V108" s="8">
        <v>2172.8469915</v>
      </c>
      <c r="W108" s="8">
        <v>1988.4056283</v>
      </c>
      <c r="X108" s="8">
        <v>1776.5922465</v>
      </c>
      <c r="Y108" s="8">
        <v>1586.033415</v>
      </c>
      <c r="Z108" s="8">
        <v>1448.1197919</v>
      </c>
      <c r="AA108" s="9">
        <f t="shared" si="1"/>
        <v>45618.72106</v>
      </c>
      <c r="AB108" s="9">
        <v>5.0</v>
      </c>
      <c r="AC108" s="9">
        <f t="shared" si="2"/>
        <v>228093.6053</v>
      </c>
      <c r="AD108" s="12"/>
    </row>
    <row r="109" ht="14.25" customHeight="1">
      <c r="A109" s="7">
        <v>47392.0</v>
      </c>
      <c r="B109" s="8" t="s">
        <v>34</v>
      </c>
      <c r="C109" s="8">
        <v>1610.480205</v>
      </c>
      <c r="D109" s="8">
        <v>1544.5793034</v>
      </c>
      <c r="E109" s="8">
        <v>1507.7180349</v>
      </c>
      <c r="F109" s="8">
        <v>1492.6499406</v>
      </c>
      <c r="G109" s="8">
        <v>1515.6670959</v>
      </c>
      <c r="H109" s="8">
        <v>1612.9374435</v>
      </c>
      <c r="I109" s="8">
        <v>1951.6686435000001</v>
      </c>
      <c r="J109" s="8">
        <v>2448.9265833</v>
      </c>
      <c r="K109" s="8">
        <v>2864.9454858</v>
      </c>
      <c r="L109" s="8">
        <v>3145.8937248</v>
      </c>
      <c r="M109" s="8">
        <v>3374.464851</v>
      </c>
      <c r="N109" s="8">
        <v>3512.0273967000003</v>
      </c>
      <c r="O109" s="8">
        <v>3465.8304192</v>
      </c>
      <c r="P109" s="8">
        <v>3477.6729009</v>
      </c>
      <c r="Q109" s="8">
        <v>3569.8176918</v>
      </c>
      <c r="R109" s="8">
        <v>3571.3245087</v>
      </c>
      <c r="S109" s="8">
        <v>3470.6588472000003</v>
      </c>
      <c r="T109" s="8">
        <v>3238.9856442</v>
      </c>
      <c r="U109" s="8">
        <v>3068.3313414000004</v>
      </c>
      <c r="V109" s="8">
        <v>2874.4404975</v>
      </c>
      <c r="W109" s="8">
        <v>2618.1124551000003</v>
      </c>
      <c r="X109" s="8">
        <v>2326.7058389999997</v>
      </c>
      <c r="Y109" s="8">
        <v>2016.3849228000001</v>
      </c>
      <c r="Z109" s="8">
        <v>1804.5656676</v>
      </c>
      <c r="AA109" s="9">
        <f t="shared" si="1"/>
        <v>62084.78944</v>
      </c>
      <c r="AB109" s="9">
        <v>22.0</v>
      </c>
      <c r="AC109" s="9">
        <f t="shared" si="2"/>
        <v>1365865.368</v>
      </c>
      <c r="AD109" s="10">
        <f>SUM(AC109:AC111)</f>
        <v>1821632.481</v>
      </c>
    </row>
    <row r="110" ht="14.25" customHeight="1">
      <c r="A110" s="7">
        <v>47392.0</v>
      </c>
      <c r="B110" s="8" t="s">
        <v>35</v>
      </c>
      <c r="C110" s="8">
        <v>1749.979098</v>
      </c>
      <c r="D110" s="8">
        <v>1658.6216118</v>
      </c>
      <c r="E110" s="8">
        <v>1607.6813922000001</v>
      </c>
      <c r="F110" s="8">
        <v>1568.1921363000001</v>
      </c>
      <c r="G110" s="8">
        <v>1575.7586190000002</v>
      </c>
      <c r="H110" s="8">
        <v>1582.1876196</v>
      </c>
      <c r="I110" s="8">
        <v>1812.4855092</v>
      </c>
      <c r="J110" s="8">
        <v>2225.3728554</v>
      </c>
      <c r="K110" s="8">
        <v>2617.6044339</v>
      </c>
      <c r="L110" s="8">
        <v>2923.9371260999997</v>
      </c>
      <c r="M110" s="8">
        <v>3115.0967994000002</v>
      </c>
      <c r="N110" s="8">
        <v>3202.8237234</v>
      </c>
      <c r="O110" s="8">
        <v>3112.969986</v>
      </c>
      <c r="P110" s="8">
        <v>3014.3106333</v>
      </c>
      <c r="Q110" s="8">
        <v>2946.5921304</v>
      </c>
      <c r="R110" s="8">
        <v>2930.1702363</v>
      </c>
      <c r="S110" s="8">
        <v>2894.9745249</v>
      </c>
      <c r="T110" s="8">
        <v>2840.2712289</v>
      </c>
      <c r="U110" s="8">
        <v>2774.3869386</v>
      </c>
      <c r="V110" s="8">
        <v>2629.1409957</v>
      </c>
      <c r="W110" s="8">
        <v>2405.3437134</v>
      </c>
      <c r="X110" s="8">
        <v>2153.7040275000004</v>
      </c>
      <c r="Y110" s="8">
        <v>1884.8712312</v>
      </c>
      <c r="Z110" s="8">
        <v>1691.9003925000002</v>
      </c>
      <c r="AA110" s="9">
        <f t="shared" si="1"/>
        <v>56918.37696</v>
      </c>
      <c r="AB110" s="9">
        <v>4.0</v>
      </c>
      <c r="AC110" s="9">
        <f t="shared" si="2"/>
        <v>227673.5079</v>
      </c>
      <c r="AD110" s="11"/>
    </row>
    <row r="111" ht="14.25" customHeight="1">
      <c r="A111" s="7">
        <v>47392.0</v>
      </c>
      <c r="B111" s="8" t="s">
        <v>36</v>
      </c>
      <c r="C111" s="8">
        <v>1566.851355</v>
      </c>
      <c r="D111" s="8">
        <v>1489.0304898</v>
      </c>
      <c r="E111" s="8">
        <v>1417.1324373000002</v>
      </c>
      <c r="F111" s="8">
        <v>1380.6025299</v>
      </c>
      <c r="G111" s="8">
        <v>1349.8020126</v>
      </c>
      <c r="H111" s="8">
        <v>1323.3197331</v>
      </c>
      <c r="I111" s="8">
        <v>1366.0955082</v>
      </c>
      <c r="J111" s="8">
        <v>1527.0575625</v>
      </c>
      <c r="K111" s="8">
        <v>1738.7635338</v>
      </c>
      <c r="L111" s="8">
        <v>2033.1674721</v>
      </c>
      <c r="M111" s="8">
        <v>2270.9939832000005</v>
      </c>
      <c r="N111" s="8">
        <v>2405.6235567</v>
      </c>
      <c r="O111" s="8">
        <v>2451.9982059</v>
      </c>
      <c r="P111" s="8">
        <v>2463.1882551</v>
      </c>
      <c r="Q111" s="8">
        <v>2446.1737506000004</v>
      </c>
      <c r="R111" s="8">
        <v>2434.3281261</v>
      </c>
      <c r="S111" s="8">
        <v>2376.7370892</v>
      </c>
      <c r="T111" s="8">
        <v>2319.0699186</v>
      </c>
      <c r="U111" s="8">
        <v>2286.787464</v>
      </c>
      <c r="V111" s="8">
        <v>2172.8469915</v>
      </c>
      <c r="W111" s="8">
        <v>1988.4056283</v>
      </c>
      <c r="X111" s="8">
        <v>1776.5922465</v>
      </c>
      <c r="Y111" s="8">
        <v>1586.033415</v>
      </c>
      <c r="Z111" s="8">
        <v>1448.1197919</v>
      </c>
      <c r="AA111" s="9">
        <f t="shared" si="1"/>
        <v>45618.72106</v>
      </c>
      <c r="AB111" s="9">
        <v>5.0</v>
      </c>
      <c r="AC111" s="9">
        <f t="shared" si="2"/>
        <v>228093.6053</v>
      </c>
      <c r="AD111" s="12"/>
    </row>
    <row r="112" ht="14.25" customHeight="1">
      <c r="A112" s="7">
        <v>47423.0</v>
      </c>
      <c r="B112" s="8" t="s">
        <v>34</v>
      </c>
      <c r="C112" s="8">
        <v>1610.480205</v>
      </c>
      <c r="D112" s="8">
        <v>1544.5793034</v>
      </c>
      <c r="E112" s="8">
        <v>1507.7180349</v>
      </c>
      <c r="F112" s="8">
        <v>1492.6499406</v>
      </c>
      <c r="G112" s="8">
        <v>1515.6670959</v>
      </c>
      <c r="H112" s="8">
        <v>1612.9374435</v>
      </c>
      <c r="I112" s="8">
        <v>1951.6686435000001</v>
      </c>
      <c r="J112" s="8">
        <v>2448.9265833</v>
      </c>
      <c r="K112" s="8">
        <v>2864.9454858</v>
      </c>
      <c r="L112" s="8">
        <v>3145.8937248</v>
      </c>
      <c r="M112" s="8">
        <v>3374.464851</v>
      </c>
      <c r="N112" s="8">
        <v>3512.0273967000003</v>
      </c>
      <c r="O112" s="8">
        <v>3465.8304192</v>
      </c>
      <c r="P112" s="8">
        <v>3477.6729009</v>
      </c>
      <c r="Q112" s="8">
        <v>3569.8176918</v>
      </c>
      <c r="R112" s="8">
        <v>3571.3245087</v>
      </c>
      <c r="S112" s="8">
        <v>3470.6588472000003</v>
      </c>
      <c r="T112" s="8">
        <v>3238.9856442</v>
      </c>
      <c r="U112" s="8">
        <v>3068.3313414000004</v>
      </c>
      <c r="V112" s="8">
        <v>2874.4404975</v>
      </c>
      <c r="W112" s="8">
        <v>2618.1124551000003</v>
      </c>
      <c r="X112" s="8">
        <v>2326.7058389999997</v>
      </c>
      <c r="Y112" s="8">
        <v>2016.3849228000001</v>
      </c>
      <c r="Z112" s="8">
        <v>1804.5656676</v>
      </c>
      <c r="AA112" s="9">
        <f t="shared" si="1"/>
        <v>62084.78944</v>
      </c>
      <c r="AB112" s="9">
        <v>20.0</v>
      </c>
      <c r="AC112" s="9">
        <f t="shared" si="2"/>
        <v>1241695.789</v>
      </c>
      <c r="AD112" s="10">
        <f>SUM(AC112:AC114)</f>
        <v>1743081.623</v>
      </c>
    </row>
    <row r="113" ht="14.25" customHeight="1">
      <c r="A113" s="7">
        <v>47423.0</v>
      </c>
      <c r="B113" s="8" t="s">
        <v>35</v>
      </c>
      <c r="C113" s="8">
        <v>1749.979098</v>
      </c>
      <c r="D113" s="8">
        <v>1658.6216118</v>
      </c>
      <c r="E113" s="8">
        <v>1607.6813922000001</v>
      </c>
      <c r="F113" s="8">
        <v>1568.1921363000001</v>
      </c>
      <c r="G113" s="8">
        <v>1575.7586190000002</v>
      </c>
      <c r="H113" s="8">
        <v>1582.1876196</v>
      </c>
      <c r="I113" s="8">
        <v>1812.4855092</v>
      </c>
      <c r="J113" s="8">
        <v>2225.3728554</v>
      </c>
      <c r="K113" s="8">
        <v>2617.6044339</v>
      </c>
      <c r="L113" s="8">
        <v>2923.9371260999997</v>
      </c>
      <c r="M113" s="8">
        <v>3115.0967994000002</v>
      </c>
      <c r="N113" s="8">
        <v>3202.8237234</v>
      </c>
      <c r="O113" s="8">
        <v>3112.969986</v>
      </c>
      <c r="P113" s="8">
        <v>3014.3106333</v>
      </c>
      <c r="Q113" s="8">
        <v>2946.5921304</v>
      </c>
      <c r="R113" s="8">
        <v>2930.1702363</v>
      </c>
      <c r="S113" s="8">
        <v>2894.9745249</v>
      </c>
      <c r="T113" s="8">
        <v>2840.2712289</v>
      </c>
      <c r="U113" s="8">
        <v>2774.3869386</v>
      </c>
      <c r="V113" s="8">
        <v>2629.1409957</v>
      </c>
      <c r="W113" s="8">
        <v>2405.3437134</v>
      </c>
      <c r="X113" s="8">
        <v>2153.7040275000004</v>
      </c>
      <c r="Y113" s="8">
        <v>1884.8712312</v>
      </c>
      <c r="Z113" s="8">
        <v>1691.9003925000002</v>
      </c>
      <c r="AA113" s="9">
        <f t="shared" si="1"/>
        <v>56918.37696</v>
      </c>
      <c r="AB113" s="9">
        <v>4.0</v>
      </c>
      <c r="AC113" s="9">
        <f t="shared" si="2"/>
        <v>227673.5079</v>
      </c>
      <c r="AD113" s="11"/>
    </row>
    <row r="114" ht="14.25" customHeight="1">
      <c r="A114" s="7">
        <v>47423.0</v>
      </c>
      <c r="B114" s="8" t="s">
        <v>36</v>
      </c>
      <c r="C114" s="8">
        <v>1566.851355</v>
      </c>
      <c r="D114" s="8">
        <v>1489.0304898</v>
      </c>
      <c r="E114" s="8">
        <v>1417.1324373000002</v>
      </c>
      <c r="F114" s="8">
        <v>1380.6025299</v>
      </c>
      <c r="G114" s="8">
        <v>1349.8020126</v>
      </c>
      <c r="H114" s="8">
        <v>1323.3197331</v>
      </c>
      <c r="I114" s="8">
        <v>1366.0955082</v>
      </c>
      <c r="J114" s="8">
        <v>1527.0575625</v>
      </c>
      <c r="K114" s="8">
        <v>1738.7635338</v>
      </c>
      <c r="L114" s="8">
        <v>2033.1674721</v>
      </c>
      <c r="M114" s="8">
        <v>2270.9939832000005</v>
      </c>
      <c r="N114" s="8">
        <v>2405.6235567</v>
      </c>
      <c r="O114" s="8">
        <v>2451.9982059</v>
      </c>
      <c r="P114" s="8">
        <v>2463.1882551</v>
      </c>
      <c r="Q114" s="8">
        <v>2446.1737506000004</v>
      </c>
      <c r="R114" s="8">
        <v>2434.3281261</v>
      </c>
      <c r="S114" s="8">
        <v>2376.7370892</v>
      </c>
      <c r="T114" s="8">
        <v>2319.0699186</v>
      </c>
      <c r="U114" s="8">
        <v>2286.787464</v>
      </c>
      <c r="V114" s="8">
        <v>2172.8469915</v>
      </c>
      <c r="W114" s="8">
        <v>1988.4056283</v>
      </c>
      <c r="X114" s="8">
        <v>1776.5922465</v>
      </c>
      <c r="Y114" s="8">
        <v>1586.033415</v>
      </c>
      <c r="Z114" s="8">
        <v>1448.1197919</v>
      </c>
      <c r="AA114" s="9">
        <f t="shared" si="1"/>
        <v>45618.72106</v>
      </c>
      <c r="AB114" s="9">
        <v>6.0</v>
      </c>
      <c r="AC114" s="9">
        <f t="shared" si="2"/>
        <v>273712.3263</v>
      </c>
      <c r="AD114" s="12"/>
    </row>
    <row r="115" ht="14.25" customHeight="1">
      <c r="A115" s="7">
        <v>47453.0</v>
      </c>
      <c r="B115" s="8" t="s">
        <v>34</v>
      </c>
      <c r="C115" s="8">
        <v>1610.480205</v>
      </c>
      <c r="D115" s="8">
        <v>1544.5793034</v>
      </c>
      <c r="E115" s="8">
        <v>1507.7180349</v>
      </c>
      <c r="F115" s="8">
        <v>1492.6499406</v>
      </c>
      <c r="G115" s="8">
        <v>1515.6670959</v>
      </c>
      <c r="H115" s="8">
        <v>1612.9374435</v>
      </c>
      <c r="I115" s="8">
        <v>1951.6686435000001</v>
      </c>
      <c r="J115" s="8">
        <v>2448.9265833</v>
      </c>
      <c r="K115" s="8">
        <v>2864.9454858</v>
      </c>
      <c r="L115" s="8">
        <v>3145.8937248</v>
      </c>
      <c r="M115" s="8">
        <v>3374.464851</v>
      </c>
      <c r="N115" s="8">
        <v>3512.0273967000003</v>
      </c>
      <c r="O115" s="8">
        <v>3465.8304192</v>
      </c>
      <c r="P115" s="8">
        <v>3477.6729009</v>
      </c>
      <c r="Q115" s="8">
        <v>3569.8176918</v>
      </c>
      <c r="R115" s="8">
        <v>3571.3245087</v>
      </c>
      <c r="S115" s="8">
        <v>3470.6588472000003</v>
      </c>
      <c r="T115" s="8">
        <v>3238.9856442</v>
      </c>
      <c r="U115" s="8">
        <v>3068.3313414000004</v>
      </c>
      <c r="V115" s="8">
        <v>2874.4404975</v>
      </c>
      <c r="W115" s="8">
        <v>2618.1124551000003</v>
      </c>
      <c r="X115" s="8">
        <v>2326.7058389999997</v>
      </c>
      <c r="Y115" s="8">
        <v>2016.3849228000001</v>
      </c>
      <c r="Z115" s="8">
        <v>1804.5656676</v>
      </c>
      <c r="AA115" s="9">
        <f t="shared" si="1"/>
        <v>62084.78944</v>
      </c>
      <c r="AB115" s="9">
        <v>20.0</v>
      </c>
      <c r="AC115" s="9">
        <f t="shared" si="2"/>
        <v>1241695.789</v>
      </c>
      <c r="AD115" s="10">
        <f>SUM(AC115:AC117)</f>
        <v>1788700.344</v>
      </c>
    </row>
    <row r="116" ht="14.25" customHeight="1">
      <c r="A116" s="7">
        <v>47453.0</v>
      </c>
      <c r="B116" s="8" t="s">
        <v>35</v>
      </c>
      <c r="C116" s="8">
        <v>1749.979098</v>
      </c>
      <c r="D116" s="8">
        <v>1658.6216118</v>
      </c>
      <c r="E116" s="8">
        <v>1607.6813922000001</v>
      </c>
      <c r="F116" s="8">
        <v>1568.1921363000001</v>
      </c>
      <c r="G116" s="8">
        <v>1575.7586190000002</v>
      </c>
      <c r="H116" s="8">
        <v>1582.1876196</v>
      </c>
      <c r="I116" s="8">
        <v>1812.4855092</v>
      </c>
      <c r="J116" s="8">
        <v>2225.3728554</v>
      </c>
      <c r="K116" s="8">
        <v>2617.6044339</v>
      </c>
      <c r="L116" s="8">
        <v>2923.9371260999997</v>
      </c>
      <c r="M116" s="8">
        <v>3115.0967994000002</v>
      </c>
      <c r="N116" s="8">
        <v>3202.8237234</v>
      </c>
      <c r="O116" s="8">
        <v>3112.969986</v>
      </c>
      <c r="P116" s="8">
        <v>3014.3106333</v>
      </c>
      <c r="Q116" s="8">
        <v>2946.5921304</v>
      </c>
      <c r="R116" s="8">
        <v>2930.1702363</v>
      </c>
      <c r="S116" s="8">
        <v>2894.9745249</v>
      </c>
      <c r="T116" s="8">
        <v>2840.2712289</v>
      </c>
      <c r="U116" s="8">
        <v>2774.3869386</v>
      </c>
      <c r="V116" s="8">
        <v>2629.1409957</v>
      </c>
      <c r="W116" s="8">
        <v>2405.3437134</v>
      </c>
      <c r="X116" s="8">
        <v>2153.7040275000004</v>
      </c>
      <c r="Y116" s="8">
        <v>1884.8712312</v>
      </c>
      <c r="Z116" s="8">
        <v>1691.9003925000002</v>
      </c>
      <c r="AA116" s="9">
        <f t="shared" si="1"/>
        <v>56918.37696</v>
      </c>
      <c r="AB116" s="9">
        <v>4.0</v>
      </c>
      <c r="AC116" s="9">
        <f t="shared" si="2"/>
        <v>227673.5079</v>
      </c>
      <c r="AD116" s="11"/>
    </row>
    <row r="117" ht="14.25" customHeight="1">
      <c r="A117" s="7">
        <v>47453.0</v>
      </c>
      <c r="B117" s="8" t="s">
        <v>36</v>
      </c>
      <c r="C117" s="8">
        <v>1566.851355</v>
      </c>
      <c r="D117" s="8">
        <v>1489.0304898</v>
      </c>
      <c r="E117" s="8">
        <v>1417.1324373000002</v>
      </c>
      <c r="F117" s="8">
        <v>1380.6025299</v>
      </c>
      <c r="G117" s="8">
        <v>1349.8020126</v>
      </c>
      <c r="H117" s="8">
        <v>1323.3197331</v>
      </c>
      <c r="I117" s="8">
        <v>1366.0955082</v>
      </c>
      <c r="J117" s="8">
        <v>1527.0575625</v>
      </c>
      <c r="K117" s="8">
        <v>1738.7635338</v>
      </c>
      <c r="L117" s="8">
        <v>2033.1674721</v>
      </c>
      <c r="M117" s="8">
        <v>2270.9939832000005</v>
      </c>
      <c r="N117" s="8">
        <v>2405.6235567</v>
      </c>
      <c r="O117" s="8">
        <v>2451.9982059</v>
      </c>
      <c r="P117" s="8">
        <v>2463.1882551</v>
      </c>
      <c r="Q117" s="8">
        <v>2446.1737506000004</v>
      </c>
      <c r="R117" s="8">
        <v>2434.3281261</v>
      </c>
      <c r="S117" s="8">
        <v>2376.7370892</v>
      </c>
      <c r="T117" s="8">
        <v>2319.0699186</v>
      </c>
      <c r="U117" s="8">
        <v>2286.787464</v>
      </c>
      <c r="V117" s="8">
        <v>2172.8469915</v>
      </c>
      <c r="W117" s="8">
        <v>1988.4056283</v>
      </c>
      <c r="X117" s="8">
        <v>1776.5922465</v>
      </c>
      <c r="Y117" s="8">
        <v>1586.033415</v>
      </c>
      <c r="Z117" s="8">
        <v>1448.1197919</v>
      </c>
      <c r="AA117" s="9">
        <f t="shared" si="1"/>
        <v>45618.72106</v>
      </c>
      <c r="AB117" s="9">
        <v>7.0</v>
      </c>
      <c r="AC117" s="9">
        <f t="shared" si="2"/>
        <v>319331.0474</v>
      </c>
      <c r="AD117" s="12"/>
    </row>
    <row r="118" ht="14.25" customHeight="1">
      <c r="A118" s="7">
        <v>47484.0</v>
      </c>
      <c r="B118" s="8" t="s">
        <v>34</v>
      </c>
      <c r="C118" s="8">
        <v>1789.42245</v>
      </c>
      <c r="D118" s="8">
        <v>1716.199226</v>
      </c>
      <c r="E118" s="8">
        <v>1675.242261</v>
      </c>
      <c r="F118" s="8">
        <v>1658.499934</v>
      </c>
      <c r="G118" s="8">
        <v>1684.074551</v>
      </c>
      <c r="H118" s="8">
        <v>1792.152715</v>
      </c>
      <c r="I118" s="8">
        <v>2168.520715</v>
      </c>
      <c r="J118" s="8">
        <v>2721.029537</v>
      </c>
      <c r="K118" s="8">
        <v>3183.272762</v>
      </c>
      <c r="L118" s="8">
        <v>3495.437472</v>
      </c>
      <c r="M118" s="8">
        <v>3749.40539</v>
      </c>
      <c r="N118" s="8">
        <v>3902.252663</v>
      </c>
      <c r="O118" s="8">
        <v>3850.922688</v>
      </c>
      <c r="P118" s="8">
        <v>3864.081001</v>
      </c>
      <c r="Q118" s="8">
        <v>3966.464102</v>
      </c>
      <c r="R118" s="8">
        <v>3968.138343</v>
      </c>
      <c r="S118" s="8">
        <v>3856.287608</v>
      </c>
      <c r="T118" s="8">
        <v>3598.872938</v>
      </c>
      <c r="U118" s="8">
        <v>3409.257046</v>
      </c>
      <c r="V118" s="8">
        <v>3193.822775</v>
      </c>
      <c r="W118" s="8">
        <v>2909.013839</v>
      </c>
      <c r="X118" s="8">
        <v>2585.22871</v>
      </c>
      <c r="Y118" s="8">
        <v>2240.427692</v>
      </c>
      <c r="Z118" s="8">
        <v>2005.072964</v>
      </c>
      <c r="AA118" s="9">
        <f t="shared" si="1"/>
        <v>68983.09938</v>
      </c>
      <c r="AB118" s="9">
        <v>21.0</v>
      </c>
      <c r="AC118" s="9">
        <f t="shared" si="2"/>
        <v>1448645.087</v>
      </c>
      <c r="AD118" s="10">
        <f>SUM(AC118:AC120)</f>
        <v>2005740.458</v>
      </c>
    </row>
    <row r="119" ht="14.25" customHeight="1">
      <c r="A119" s="7">
        <v>47484.0</v>
      </c>
      <c r="B119" s="8" t="s">
        <v>35</v>
      </c>
      <c r="C119" s="8">
        <v>1944.42122</v>
      </c>
      <c r="D119" s="8">
        <v>1842.912902</v>
      </c>
      <c r="E119" s="8">
        <v>1786.312658</v>
      </c>
      <c r="F119" s="8">
        <v>1742.435707</v>
      </c>
      <c r="G119" s="8">
        <v>1750.84291</v>
      </c>
      <c r="H119" s="8">
        <v>1757.986244</v>
      </c>
      <c r="I119" s="8">
        <v>2013.872788</v>
      </c>
      <c r="J119" s="8">
        <v>2472.636506</v>
      </c>
      <c r="K119" s="8">
        <v>2908.449371</v>
      </c>
      <c r="L119" s="8">
        <v>3248.819029</v>
      </c>
      <c r="M119" s="8">
        <v>3461.218666</v>
      </c>
      <c r="N119" s="8">
        <v>3558.693026</v>
      </c>
      <c r="O119" s="8">
        <v>3458.85554</v>
      </c>
      <c r="P119" s="8">
        <v>3349.234037</v>
      </c>
      <c r="Q119" s="8">
        <v>3273.991256</v>
      </c>
      <c r="R119" s="8">
        <v>3255.744707</v>
      </c>
      <c r="S119" s="8">
        <v>3216.638361</v>
      </c>
      <c r="T119" s="8">
        <v>3155.856921</v>
      </c>
      <c r="U119" s="8">
        <v>3082.652154</v>
      </c>
      <c r="V119" s="8">
        <v>2921.267773</v>
      </c>
      <c r="W119" s="8">
        <v>2672.604126</v>
      </c>
      <c r="X119" s="8">
        <v>2393.004475</v>
      </c>
      <c r="Y119" s="8">
        <v>2094.301368</v>
      </c>
      <c r="Z119" s="8">
        <v>1879.889325</v>
      </c>
      <c r="AA119" s="9">
        <f t="shared" si="1"/>
        <v>63242.64107</v>
      </c>
      <c r="AB119" s="9">
        <v>4.0</v>
      </c>
      <c r="AC119" s="9">
        <f t="shared" si="2"/>
        <v>252970.5643</v>
      </c>
      <c r="AD119" s="11"/>
    </row>
    <row r="120" ht="14.25" customHeight="1">
      <c r="A120" s="7">
        <v>47484.0</v>
      </c>
      <c r="B120" s="8" t="s">
        <v>36</v>
      </c>
      <c r="C120" s="8">
        <v>1740.94595</v>
      </c>
      <c r="D120" s="8">
        <v>1654.478322</v>
      </c>
      <c r="E120" s="8">
        <v>1574.591597</v>
      </c>
      <c r="F120" s="8">
        <v>1534.002811</v>
      </c>
      <c r="G120" s="8">
        <v>1499.780014</v>
      </c>
      <c r="H120" s="8">
        <v>1470.355259</v>
      </c>
      <c r="I120" s="8">
        <v>1517.883898</v>
      </c>
      <c r="J120" s="8">
        <v>1696.730625</v>
      </c>
      <c r="K120" s="8">
        <v>1931.959482</v>
      </c>
      <c r="L120" s="8">
        <v>2259.074969</v>
      </c>
      <c r="M120" s="8">
        <v>2523.326648</v>
      </c>
      <c r="N120" s="8">
        <v>2672.915063</v>
      </c>
      <c r="O120" s="8">
        <v>2724.442451</v>
      </c>
      <c r="P120" s="8">
        <v>2736.875839</v>
      </c>
      <c r="Q120" s="8">
        <v>2717.970834</v>
      </c>
      <c r="R120" s="8">
        <v>2704.809029</v>
      </c>
      <c r="S120" s="8">
        <v>2640.818988</v>
      </c>
      <c r="T120" s="8">
        <v>2576.744354</v>
      </c>
      <c r="U120" s="8">
        <v>2540.87496</v>
      </c>
      <c r="V120" s="8">
        <v>2414.274435</v>
      </c>
      <c r="W120" s="8">
        <v>2209.339587</v>
      </c>
      <c r="X120" s="8">
        <v>1973.991385</v>
      </c>
      <c r="Y120" s="8">
        <v>1762.25935</v>
      </c>
      <c r="Z120" s="8">
        <v>1609.021991</v>
      </c>
      <c r="AA120" s="9">
        <f t="shared" si="1"/>
        <v>50687.46784</v>
      </c>
      <c r="AB120" s="9">
        <v>6.0</v>
      </c>
      <c r="AC120" s="9">
        <f t="shared" si="2"/>
        <v>304124.807</v>
      </c>
      <c r="AD120" s="12"/>
    </row>
    <row r="121" ht="14.25" customHeight="1">
      <c r="A121" s="7">
        <v>47515.0</v>
      </c>
      <c r="B121" s="8" t="s">
        <v>34</v>
      </c>
      <c r="C121" s="8">
        <v>1789.42245</v>
      </c>
      <c r="D121" s="8">
        <v>1716.199226</v>
      </c>
      <c r="E121" s="8">
        <v>1675.242261</v>
      </c>
      <c r="F121" s="8">
        <v>1658.499934</v>
      </c>
      <c r="G121" s="8">
        <v>1684.074551</v>
      </c>
      <c r="H121" s="8">
        <v>1792.152715</v>
      </c>
      <c r="I121" s="8">
        <v>2168.520715</v>
      </c>
      <c r="J121" s="8">
        <v>2721.029537</v>
      </c>
      <c r="K121" s="8">
        <v>3183.272762</v>
      </c>
      <c r="L121" s="8">
        <v>3495.437472</v>
      </c>
      <c r="M121" s="8">
        <v>3749.40539</v>
      </c>
      <c r="N121" s="8">
        <v>3902.252663</v>
      </c>
      <c r="O121" s="8">
        <v>3850.922688</v>
      </c>
      <c r="P121" s="8">
        <v>3864.081001</v>
      </c>
      <c r="Q121" s="8">
        <v>3966.464102</v>
      </c>
      <c r="R121" s="8">
        <v>3968.138343</v>
      </c>
      <c r="S121" s="8">
        <v>3856.287608</v>
      </c>
      <c r="T121" s="8">
        <v>3598.872938</v>
      </c>
      <c r="U121" s="8">
        <v>3409.257046</v>
      </c>
      <c r="V121" s="8">
        <v>3193.822775</v>
      </c>
      <c r="W121" s="8">
        <v>2909.013839</v>
      </c>
      <c r="X121" s="8">
        <v>2585.22871</v>
      </c>
      <c r="Y121" s="8">
        <v>2240.427692</v>
      </c>
      <c r="Z121" s="8">
        <v>2005.072964</v>
      </c>
      <c r="AA121" s="9">
        <f t="shared" si="1"/>
        <v>68983.09938</v>
      </c>
      <c r="AB121" s="9">
        <v>20.0</v>
      </c>
      <c r="AC121" s="9">
        <f t="shared" si="2"/>
        <v>1379661.988</v>
      </c>
      <c r="AD121" s="10">
        <f>SUM(AC121:AC123)</f>
        <v>1835382.423</v>
      </c>
    </row>
    <row r="122" ht="14.25" customHeight="1">
      <c r="A122" s="7">
        <v>47515.0</v>
      </c>
      <c r="B122" s="8" t="s">
        <v>35</v>
      </c>
      <c r="C122" s="8">
        <v>1944.42122</v>
      </c>
      <c r="D122" s="8">
        <v>1842.912902</v>
      </c>
      <c r="E122" s="8">
        <v>1786.312658</v>
      </c>
      <c r="F122" s="8">
        <v>1742.435707</v>
      </c>
      <c r="G122" s="8">
        <v>1750.84291</v>
      </c>
      <c r="H122" s="8">
        <v>1757.986244</v>
      </c>
      <c r="I122" s="8">
        <v>2013.872788</v>
      </c>
      <c r="J122" s="8">
        <v>2472.636506</v>
      </c>
      <c r="K122" s="8">
        <v>2908.449371</v>
      </c>
      <c r="L122" s="8">
        <v>3248.819029</v>
      </c>
      <c r="M122" s="8">
        <v>3461.218666</v>
      </c>
      <c r="N122" s="8">
        <v>3558.693026</v>
      </c>
      <c r="O122" s="8">
        <v>3458.85554</v>
      </c>
      <c r="P122" s="8">
        <v>3349.234037</v>
      </c>
      <c r="Q122" s="8">
        <v>3273.991256</v>
      </c>
      <c r="R122" s="8">
        <v>3255.744707</v>
      </c>
      <c r="S122" s="8">
        <v>3216.638361</v>
      </c>
      <c r="T122" s="8">
        <v>3155.856921</v>
      </c>
      <c r="U122" s="8">
        <v>3082.652154</v>
      </c>
      <c r="V122" s="8">
        <v>2921.267773</v>
      </c>
      <c r="W122" s="8">
        <v>2672.604126</v>
      </c>
      <c r="X122" s="8">
        <v>2393.004475</v>
      </c>
      <c r="Y122" s="8">
        <v>2094.301368</v>
      </c>
      <c r="Z122" s="8">
        <v>1879.889325</v>
      </c>
      <c r="AA122" s="9">
        <f t="shared" si="1"/>
        <v>63242.64107</v>
      </c>
      <c r="AB122" s="9">
        <v>4.0</v>
      </c>
      <c r="AC122" s="9">
        <f t="shared" si="2"/>
        <v>252970.5643</v>
      </c>
      <c r="AD122" s="11"/>
    </row>
    <row r="123" ht="14.25" customHeight="1">
      <c r="A123" s="7">
        <v>47515.0</v>
      </c>
      <c r="B123" s="8" t="s">
        <v>36</v>
      </c>
      <c r="C123" s="8">
        <v>1740.94595</v>
      </c>
      <c r="D123" s="8">
        <v>1654.478322</v>
      </c>
      <c r="E123" s="8">
        <v>1574.591597</v>
      </c>
      <c r="F123" s="8">
        <v>1534.002811</v>
      </c>
      <c r="G123" s="8">
        <v>1499.780014</v>
      </c>
      <c r="H123" s="8">
        <v>1470.355259</v>
      </c>
      <c r="I123" s="8">
        <v>1517.883898</v>
      </c>
      <c r="J123" s="8">
        <v>1696.730625</v>
      </c>
      <c r="K123" s="8">
        <v>1931.959482</v>
      </c>
      <c r="L123" s="8">
        <v>2259.074969</v>
      </c>
      <c r="M123" s="8">
        <v>2523.326648</v>
      </c>
      <c r="N123" s="8">
        <v>2672.915063</v>
      </c>
      <c r="O123" s="8">
        <v>2724.442451</v>
      </c>
      <c r="P123" s="8">
        <v>2736.875839</v>
      </c>
      <c r="Q123" s="8">
        <v>2717.970834</v>
      </c>
      <c r="R123" s="8">
        <v>2704.809029</v>
      </c>
      <c r="S123" s="8">
        <v>2640.818988</v>
      </c>
      <c r="T123" s="8">
        <v>2576.744354</v>
      </c>
      <c r="U123" s="8">
        <v>2540.87496</v>
      </c>
      <c r="V123" s="8">
        <v>2414.274435</v>
      </c>
      <c r="W123" s="8">
        <v>2209.339587</v>
      </c>
      <c r="X123" s="8">
        <v>1973.991385</v>
      </c>
      <c r="Y123" s="8">
        <v>1762.25935</v>
      </c>
      <c r="Z123" s="8">
        <v>1609.021991</v>
      </c>
      <c r="AA123" s="9">
        <f t="shared" si="1"/>
        <v>50687.46784</v>
      </c>
      <c r="AB123" s="9">
        <v>4.0</v>
      </c>
      <c r="AC123" s="9">
        <f t="shared" si="2"/>
        <v>202749.8714</v>
      </c>
      <c r="AD123" s="12"/>
    </row>
    <row r="124" ht="14.25" customHeight="1">
      <c r="A124" s="7">
        <v>47543.0</v>
      </c>
      <c r="B124" s="8" t="s">
        <v>34</v>
      </c>
      <c r="C124" s="8">
        <v>1789.42245</v>
      </c>
      <c r="D124" s="8">
        <v>1716.199226</v>
      </c>
      <c r="E124" s="8">
        <v>1675.242261</v>
      </c>
      <c r="F124" s="8">
        <v>1658.499934</v>
      </c>
      <c r="G124" s="8">
        <v>1684.074551</v>
      </c>
      <c r="H124" s="8">
        <v>1792.152715</v>
      </c>
      <c r="I124" s="8">
        <v>2168.520715</v>
      </c>
      <c r="J124" s="8">
        <v>2721.029537</v>
      </c>
      <c r="K124" s="8">
        <v>3183.272762</v>
      </c>
      <c r="L124" s="8">
        <v>3495.437472</v>
      </c>
      <c r="M124" s="8">
        <v>3749.40539</v>
      </c>
      <c r="N124" s="8">
        <v>3902.252663</v>
      </c>
      <c r="O124" s="8">
        <v>3850.922688</v>
      </c>
      <c r="P124" s="8">
        <v>3864.081001</v>
      </c>
      <c r="Q124" s="8">
        <v>3966.464102</v>
      </c>
      <c r="R124" s="8">
        <v>3968.138343</v>
      </c>
      <c r="S124" s="8">
        <v>3856.287608</v>
      </c>
      <c r="T124" s="8">
        <v>3598.872938</v>
      </c>
      <c r="U124" s="8">
        <v>3409.257046</v>
      </c>
      <c r="V124" s="8">
        <v>3193.822775</v>
      </c>
      <c r="W124" s="8">
        <v>2909.013839</v>
      </c>
      <c r="X124" s="8">
        <v>2585.22871</v>
      </c>
      <c r="Y124" s="8">
        <v>2240.427692</v>
      </c>
      <c r="Z124" s="8">
        <v>2005.072964</v>
      </c>
      <c r="AA124" s="9">
        <f t="shared" si="1"/>
        <v>68983.09938</v>
      </c>
      <c r="AB124" s="9">
        <v>20.0</v>
      </c>
      <c r="AC124" s="9">
        <f t="shared" si="2"/>
        <v>1379661.988</v>
      </c>
      <c r="AD124" s="10">
        <f>SUM(AC124:AC126)</f>
        <v>2000000</v>
      </c>
    </row>
    <row r="125" ht="14.25" customHeight="1">
      <c r="A125" s="7">
        <v>47543.0</v>
      </c>
      <c r="B125" s="8" t="s">
        <v>35</v>
      </c>
      <c r="C125" s="8">
        <v>1944.42122</v>
      </c>
      <c r="D125" s="8">
        <v>1842.912902</v>
      </c>
      <c r="E125" s="8">
        <v>1786.312658</v>
      </c>
      <c r="F125" s="8">
        <v>1742.435707</v>
      </c>
      <c r="G125" s="8">
        <v>1750.84291</v>
      </c>
      <c r="H125" s="8">
        <v>1757.986244</v>
      </c>
      <c r="I125" s="8">
        <v>2013.872788</v>
      </c>
      <c r="J125" s="8">
        <v>2472.636506</v>
      </c>
      <c r="K125" s="8">
        <v>2908.449371</v>
      </c>
      <c r="L125" s="8">
        <v>3248.819029</v>
      </c>
      <c r="M125" s="8">
        <v>3461.218666</v>
      </c>
      <c r="N125" s="8">
        <v>3558.693026</v>
      </c>
      <c r="O125" s="8">
        <v>3458.85554</v>
      </c>
      <c r="P125" s="8">
        <v>3349.234037</v>
      </c>
      <c r="Q125" s="8">
        <v>3273.991256</v>
      </c>
      <c r="R125" s="8">
        <v>3255.744707</v>
      </c>
      <c r="S125" s="8">
        <v>3216.638361</v>
      </c>
      <c r="T125" s="8">
        <v>3155.856921</v>
      </c>
      <c r="U125" s="8">
        <v>3082.652154</v>
      </c>
      <c r="V125" s="8">
        <v>2921.267773</v>
      </c>
      <c r="W125" s="8">
        <v>2672.604126</v>
      </c>
      <c r="X125" s="8">
        <v>2393.004475</v>
      </c>
      <c r="Y125" s="8">
        <v>2094.301368</v>
      </c>
      <c r="Z125" s="8">
        <v>1879.889325</v>
      </c>
      <c r="AA125" s="9">
        <f t="shared" si="1"/>
        <v>63242.64107</v>
      </c>
      <c r="AB125" s="9">
        <v>5.0</v>
      </c>
      <c r="AC125" s="9">
        <f t="shared" si="2"/>
        <v>316213.2054</v>
      </c>
      <c r="AD125" s="11"/>
    </row>
    <row r="126" ht="14.25" customHeight="1">
      <c r="A126" s="7">
        <v>47543.0</v>
      </c>
      <c r="B126" s="8" t="s">
        <v>36</v>
      </c>
      <c r="C126" s="8">
        <v>1740.94595</v>
      </c>
      <c r="D126" s="8">
        <v>1654.478322</v>
      </c>
      <c r="E126" s="8">
        <v>1574.591597</v>
      </c>
      <c r="F126" s="8">
        <v>1534.002811</v>
      </c>
      <c r="G126" s="8">
        <v>1499.780014</v>
      </c>
      <c r="H126" s="8">
        <v>1470.355259</v>
      </c>
      <c r="I126" s="8">
        <v>1517.883898</v>
      </c>
      <c r="J126" s="8">
        <v>1696.730625</v>
      </c>
      <c r="K126" s="8">
        <v>1931.959482</v>
      </c>
      <c r="L126" s="8">
        <v>2259.074969</v>
      </c>
      <c r="M126" s="8">
        <v>2523.326648</v>
      </c>
      <c r="N126" s="8">
        <v>2672.915063</v>
      </c>
      <c r="O126" s="8">
        <v>2724.442451</v>
      </c>
      <c r="P126" s="8">
        <v>2736.875839</v>
      </c>
      <c r="Q126" s="8">
        <v>2717.970834</v>
      </c>
      <c r="R126" s="8">
        <v>2704.809029</v>
      </c>
      <c r="S126" s="8">
        <v>2640.818988</v>
      </c>
      <c r="T126" s="8">
        <v>2576.744354</v>
      </c>
      <c r="U126" s="8">
        <v>2540.87496</v>
      </c>
      <c r="V126" s="8">
        <v>2414.274435</v>
      </c>
      <c r="W126" s="8">
        <v>2209.339587</v>
      </c>
      <c r="X126" s="8">
        <v>1973.991385</v>
      </c>
      <c r="Y126" s="8">
        <v>1762.25935</v>
      </c>
      <c r="Z126" s="8">
        <v>1609.021991</v>
      </c>
      <c r="AA126" s="9">
        <f t="shared" si="1"/>
        <v>50687.46784</v>
      </c>
      <c r="AB126" s="9">
        <v>6.0</v>
      </c>
      <c r="AC126" s="9">
        <f t="shared" si="2"/>
        <v>304124.807</v>
      </c>
      <c r="AD126" s="12"/>
    </row>
    <row r="127" ht="14.25" customHeight="1">
      <c r="A127" s="7">
        <v>47574.0</v>
      </c>
      <c r="B127" s="8" t="s">
        <v>34</v>
      </c>
      <c r="C127" s="8">
        <v>1789.42245</v>
      </c>
      <c r="D127" s="8">
        <v>1716.199226</v>
      </c>
      <c r="E127" s="8">
        <v>1675.242261</v>
      </c>
      <c r="F127" s="8">
        <v>1658.499934</v>
      </c>
      <c r="G127" s="8">
        <v>1684.074551</v>
      </c>
      <c r="H127" s="8">
        <v>1792.152715</v>
      </c>
      <c r="I127" s="8">
        <v>2168.520715</v>
      </c>
      <c r="J127" s="8">
        <v>2721.029537</v>
      </c>
      <c r="K127" s="8">
        <v>3183.272762</v>
      </c>
      <c r="L127" s="8">
        <v>3495.437472</v>
      </c>
      <c r="M127" s="8">
        <v>3749.40539</v>
      </c>
      <c r="N127" s="8">
        <v>3902.252663</v>
      </c>
      <c r="O127" s="8">
        <v>3850.922688</v>
      </c>
      <c r="P127" s="8">
        <v>3864.081001</v>
      </c>
      <c r="Q127" s="8">
        <v>3966.464102</v>
      </c>
      <c r="R127" s="8">
        <v>3968.138343</v>
      </c>
      <c r="S127" s="8">
        <v>3856.287608</v>
      </c>
      <c r="T127" s="8">
        <v>3598.872938</v>
      </c>
      <c r="U127" s="8">
        <v>3409.257046</v>
      </c>
      <c r="V127" s="8">
        <v>3193.822775</v>
      </c>
      <c r="W127" s="8">
        <v>2909.013839</v>
      </c>
      <c r="X127" s="8">
        <v>2585.22871</v>
      </c>
      <c r="Y127" s="8">
        <v>2240.427692</v>
      </c>
      <c r="Z127" s="8">
        <v>2005.072964</v>
      </c>
      <c r="AA127" s="9">
        <f t="shared" si="1"/>
        <v>68983.09938</v>
      </c>
      <c r="AB127" s="9">
        <v>20.0</v>
      </c>
      <c r="AC127" s="9">
        <f t="shared" si="2"/>
        <v>1379661.988</v>
      </c>
      <c r="AD127" s="10">
        <f>SUM(AC127:AC129)</f>
        <v>1936757.359</v>
      </c>
    </row>
    <row r="128" ht="14.25" customHeight="1">
      <c r="A128" s="7">
        <v>47574.0</v>
      </c>
      <c r="B128" s="8" t="s">
        <v>35</v>
      </c>
      <c r="C128" s="8">
        <v>1944.42122</v>
      </c>
      <c r="D128" s="8">
        <v>1842.912902</v>
      </c>
      <c r="E128" s="8">
        <v>1786.312658</v>
      </c>
      <c r="F128" s="8">
        <v>1742.435707</v>
      </c>
      <c r="G128" s="8">
        <v>1750.84291</v>
      </c>
      <c r="H128" s="8">
        <v>1757.986244</v>
      </c>
      <c r="I128" s="8">
        <v>2013.872788</v>
      </c>
      <c r="J128" s="8">
        <v>2472.636506</v>
      </c>
      <c r="K128" s="8">
        <v>2908.449371</v>
      </c>
      <c r="L128" s="8">
        <v>3248.819029</v>
      </c>
      <c r="M128" s="8">
        <v>3461.218666</v>
      </c>
      <c r="N128" s="8">
        <v>3558.693026</v>
      </c>
      <c r="O128" s="8">
        <v>3458.85554</v>
      </c>
      <c r="P128" s="8">
        <v>3349.234037</v>
      </c>
      <c r="Q128" s="8">
        <v>3273.991256</v>
      </c>
      <c r="R128" s="8">
        <v>3255.744707</v>
      </c>
      <c r="S128" s="8">
        <v>3216.638361</v>
      </c>
      <c r="T128" s="8">
        <v>3155.856921</v>
      </c>
      <c r="U128" s="8">
        <v>3082.652154</v>
      </c>
      <c r="V128" s="8">
        <v>2921.267773</v>
      </c>
      <c r="W128" s="8">
        <v>2672.604126</v>
      </c>
      <c r="X128" s="8">
        <v>2393.004475</v>
      </c>
      <c r="Y128" s="8">
        <v>2094.301368</v>
      </c>
      <c r="Z128" s="8">
        <v>1879.889325</v>
      </c>
      <c r="AA128" s="9">
        <f t="shared" si="1"/>
        <v>63242.64107</v>
      </c>
      <c r="AB128" s="9">
        <v>4.0</v>
      </c>
      <c r="AC128" s="9">
        <f t="shared" si="2"/>
        <v>252970.5643</v>
      </c>
      <c r="AD128" s="11"/>
    </row>
    <row r="129" ht="14.25" customHeight="1">
      <c r="A129" s="7">
        <v>47574.0</v>
      </c>
      <c r="B129" s="8" t="s">
        <v>36</v>
      </c>
      <c r="C129" s="8">
        <v>1740.94595</v>
      </c>
      <c r="D129" s="8">
        <v>1654.478322</v>
      </c>
      <c r="E129" s="8">
        <v>1574.591597</v>
      </c>
      <c r="F129" s="8">
        <v>1534.002811</v>
      </c>
      <c r="G129" s="8">
        <v>1499.780014</v>
      </c>
      <c r="H129" s="8">
        <v>1470.355259</v>
      </c>
      <c r="I129" s="8">
        <v>1517.883898</v>
      </c>
      <c r="J129" s="8">
        <v>1696.730625</v>
      </c>
      <c r="K129" s="8">
        <v>1931.959482</v>
      </c>
      <c r="L129" s="8">
        <v>2259.074969</v>
      </c>
      <c r="M129" s="8">
        <v>2523.326648</v>
      </c>
      <c r="N129" s="8">
        <v>2672.915063</v>
      </c>
      <c r="O129" s="8">
        <v>2724.442451</v>
      </c>
      <c r="P129" s="8">
        <v>2736.875839</v>
      </c>
      <c r="Q129" s="8">
        <v>2717.970834</v>
      </c>
      <c r="R129" s="8">
        <v>2704.809029</v>
      </c>
      <c r="S129" s="8">
        <v>2640.818988</v>
      </c>
      <c r="T129" s="8">
        <v>2576.744354</v>
      </c>
      <c r="U129" s="8">
        <v>2540.87496</v>
      </c>
      <c r="V129" s="8">
        <v>2414.274435</v>
      </c>
      <c r="W129" s="8">
        <v>2209.339587</v>
      </c>
      <c r="X129" s="8">
        <v>1973.991385</v>
      </c>
      <c r="Y129" s="8">
        <v>1762.25935</v>
      </c>
      <c r="Z129" s="8">
        <v>1609.021991</v>
      </c>
      <c r="AA129" s="9">
        <f t="shared" si="1"/>
        <v>50687.46784</v>
      </c>
      <c r="AB129" s="9">
        <v>6.0</v>
      </c>
      <c r="AC129" s="9">
        <f t="shared" si="2"/>
        <v>304124.807</v>
      </c>
      <c r="AD129" s="12"/>
    </row>
    <row r="130" ht="14.25" customHeight="1">
      <c r="A130" s="7">
        <v>47604.0</v>
      </c>
      <c r="B130" s="8" t="s">
        <v>34</v>
      </c>
      <c r="C130" s="8">
        <v>1789.42245</v>
      </c>
      <c r="D130" s="8">
        <v>1716.199226</v>
      </c>
      <c r="E130" s="8">
        <v>1675.242261</v>
      </c>
      <c r="F130" s="8">
        <v>1658.499934</v>
      </c>
      <c r="G130" s="8">
        <v>1684.074551</v>
      </c>
      <c r="H130" s="8">
        <v>1792.152715</v>
      </c>
      <c r="I130" s="8">
        <v>2168.520715</v>
      </c>
      <c r="J130" s="8">
        <v>2721.029537</v>
      </c>
      <c r="K130" s="8">
        <v>3183.272762</v>
      </c>
      <c r="L130" s="8">
        <v>3495.437472</v>
      </c>
      <c r="M130" s="8">
        <v>3749.40539</v>
      </c>
      <c r="N130" s="8">
        <v>3902.252663</v>
      </c>
      <c r="O130" s="8">
        <v>3850.922688</v>
      </c>
      <c r="P130" s="8">
        <v>3864.081001</v>
      </c>
      <c r="Q130" s="8">
        <v>3966.464102</v>
      </c>
      <c r="R130" s="8">
        <v>3968.138343</v>
      </c>
      <c r="S130" s="8">
        <v>3856.287608</v>
      </c>
      <c r="T130" s="8">
        <v>3598.872938</v>
      </c>
      <c r="U130" s="8">
        <v>3409.257046</v>
      </c>
      <c r="V130" s="8">
        <v>3193.822775</v>
      </c>
      <c r="W130" s="8">
        <v>2909.013839</v>
      </c>
      <c r="X130" s="8">
        <v>2585.22871</v>
      </c>
      <c r="Y130" s="8">
        <v>2240.427692</v>
      </c>
      <c r="Z130" s="8">
        <v>2005.072964</v>
      </c>
      <c r="AA130" s="9">
        <f t="shared" si="1"/>
        <v>68983.09938</v>
      </c>
      <c r="AB130" s="9">
        <v>22.0</v>
      </c>
      <c r="AC130" s="9">
        <f t="shared" si="2"/>
        <v>1517628.186</v>
      </c>
      <c r="AD130" s="10">
        <f>SUM(AC130:AC132)</f>
        <v>2024036.09</v>
      </c>
    </row>
    <row r="131" ht="14.25" customHeight="1">
      <c r="A131" s="7">
        <v>47604.0</v>
      </c>
      <c r="B131" s="8" t="s">
        <v>35</v>
      </c>
      <c r="C131" s="8">
        <v>1944.42122</v>
      </c>
      <c r="D131" s="8">
        <v>1842.912902</v>
      </c>
      <c r="E131" s="8">
        <v>1786.312658</v>
      </c>
      <c r="F131" s="8">
        <v>1742.435707</v>
      </c>
      <c r="G131" s="8">
        <v>1750.84291</v>
      </c>
      <c r="H131" s="8">
        <v>1757.986244</v>
      </c>
      <c r="I131" s="8">
        <v>2013.872788</v>
      </c>
      <c r="J131" s="8">
        <v>2472.636506</v>
      </c>
      <c r="K131" s="8">
        <v>2908.449371</v>
      </c>
      <c r="L131" s="8">
        <v>3248.819029</v>
      </c>
      <c r="M131" s="8">
        <v>3461.218666</v>
      </c>
      <c r="N131" s="8">
        <v>3558.693026</v>
      </c>
      <c r="O131" s="8">
        <v>3458.85554</v>
      </c>
      <c r="P131" s="8">
        <v>3349.234037</v>
      </c>
      <c r="Q131" s="8">
        <v>3273.991256</v>
      </c>
      <c r="R131" s="8">
        <v>3255.744707</v>
      </c>
      <c r="S131" s="8">
        <v>3216.638361</v>
      </c>
      <c r="T131" s="8">
        <v>3155.856921</v>
      </c>
      <c r="U131" s="8">
        <v>3082.652154</v>
      </c>
      <c r="V131" s="8">
        <v>2921.267773</v>
      </c>
      <c r="W131" s="8">
        <v>2672.604126</v>
      </c>
      <c r="X131" s="8">
        <v>2393.004475</v>
      </c>
      <c r="Y131" s="8">
        <v>2094.301368</v>
      </c>
      <c r="Z131" s="8">
        <v>1879.889325</v>
      </c>
      <c r="AA131" s="9">
        <f t="shared" si="1"/>
        <v>63242.64107</v>
      </c>
      <c r="AB131" s="9">
        <v>4.0</v>
      </c>
      <c r="AC131" s="9">
        <f t="shared" si="2"/>
        <v>252970.5643</v>
      </c>
      <c r="AD131" s="11"/>
    </row>
    <row r="132" ht="14.25" customHeight="1">
      <c r="A132" s="7">
        <v>47604.0</v>
      </c>
      <c r="B132" s="8" t="s">
        <v>36</v>
      </c>
      <c r="C132" s="8">
        <v>1740.94595</v>
      </c>
      <c r="D132" s="8">
        <v>1654.478322</v>
      </c>
      <c r="E132" s="8">
        <v>1574.591597</v>
      </c>
      <c r="F132" s="8">
        <v>1534.002811</v>
      </c>
      <c r="G132" s="8">
        <v>1499.780014</v>
      </c>
      <c r="H132" s="8">
        <v>1470.355259</v>
      </c>
      <c r="I132" s="8">
        <v>1517.883898</v>
      </c>
      <c r="J132" s="8">
        <v>1696.730625</v>
      </c>
      <c r="K132" s="8">
        <v>1931.959482</v>
      </c>
      <c r="L132" s="8">
        <v>2259.074969</v>
      </c>
      <c r="M132" s="8">
        <v>2523.326648</v>
      </c>
      <c r="N132" s="8">
        <v>2672.915063</v>
      </c>
      <c r="O132" s="8">
        <v>2724.442451</v>
      </c>
      <c r="P132" s="8">
        <v>2736.875839</v>
      </c>
      <c r="Q132" s="8">
        <v>2717.970834</v>
      </c>
      <c r="R132" s="8">
        <v>2704.809029</v>
      </c>
      <c r="S132" s="8">
        <v>2640.818988</v>
      </c>
      <c r="T132" s="8">
        <v>2576.744354</v>
      </c>
      <c r="U132" s="8">
        <v>2540.87496</v>
      </c>
      <c r="V132" s="8">
        <v>2414.274435</v>
      </c>
      <c r="W132" s="8">
        <v>2209.339587</v>
      </c>
      <c r="X132" s="8">
        <v>1973.991385</v>
      </c>
      <c r="Y132" s="8">
        <v>1762.25935</v>
      </c>
      <c r="Z132" s="8">
        <v>1609.021991</v>
      </c>
      <c r="AA132" s="9">
        <f t="shared" si="1"/>
        <v>50687.46784</v>
      </c>
      <c r="AB132" s="9">
        <v>5.0</v>
      </c>
      <c r="AC132" s="9">
        <f t="shared" si="2"/>
        <v>253437.3392</v>
      </c>
      <c r="AD132" s="12"/>
    </row>
    <row r="133" ht="14.25" customHeight="1">
      <c r="A133" s="7">
        <v>47635.0</v>
      </c>
      <c r="B133" s="8" t="s">
        <v>34</v>
      </c>
      <c r="C133" s="8">
        <v>1789.42245</v>
      </c>
      <c r="D133" s="8">
        <v>1716.199226</v>
      </c>
      <c r="E133" s="8">
        <v>1675.242261</v>
      </c>
      <c r="F133" s="8">
        <v>1658.499934</v>
      </c>
      <c r="G133" s="8">
        <v>1684.074551</v>
      </c>
      <c r="H133" s="8">
        <v>1792.152715</v>
      </c>
      <c r="I133" s="8">
        <v>2168.520715</v>
      </c>
      <c r="J133" s="8">
        <v>2721.029537</v>
      </c>
      <c r="K133" s="8">
        <v>3183.272762</v>
      </c>
      <c r="L133" s="8">
        <v>3495.437472</v>
      </c>
      <c r="M133" s="8">
        <v>3749.40539</v>
      </c>
      <c r="N133" s="8">
        <v>3902.252663</v>
      </c>
      <c r="O133" s="8">
        <v>3850.922688</v>
      </c>
      <c r="P133" s="8">
        <v>3864.081001</v>
      </c>
      <c r="Q133" s="8">
        <v>3966.464102</v>
      </c>
      <c r="R133" s="8">
        <v>3968.138343</v>
      </c>
      <c r="S133" s="8">
        <v>3856.287608</v>
      </c>
      <c r="T133" s="8">
        <v>3598.872938</v>
      </c>
      <c r="U133" s="8">
        <v>3409.257046</v>
      </c>
      <c r="V133" s="8">
        <v>3193.822775</v>
      </c>
      <c r="W133" s="8">
        <v>2909.013839</v>
      </c>
      <c r="X133" s="8">
        <v>2585.22871</v>
      </c>
      <c r="Y133" s="8">
        <v>2240.427692</v>
      </c>
      <c r="Z133" s="8">
        <v>2005.072964</v>
      </c>
      <c r="AA133" s="9">
        <f t="shared" si="1"/>
        <v>68983.09938</v>
      </c>
      <c r="AB133" s="9">
        <v>18.0</v>
      </c>
      <c r="AC133" s="9">
        <f t="shared" si="2"/>
        <v>1241695.789</v>
      </c>
      <c r="AD133" s="10">
        <f>SUM(AC133:AC135)</f>
        <v>1912721.269</v>
      </c>
    </row>
    <row r="134" ht="14.25" customHeight="1">
      <c r="A134" s="7">
        <v>47635.0</v>
      </c>
      <c r="B134" s="8" t="s">
        <v>35</v>
      </c>
      <c r="C134" s="8">
        <v>1944.42122</v>
      </c>
      <c r="D134" s="8">
        <v>1842.912902</v>
      </c>
      <c r="E134" s="8">
        <v>1786.312658</v>
      </c>
      <c r="F134" s="8">
        <v>1742.435707</v>
      </c>
      <c r="G134" s="8">
        <v>1750.84291</v>
      </c>
      <c r="H134" s="8">
        <v>1757.986244</v>
      </c>
      <c r="I134" s="8">
        <v>2013.872788</v>
      </c>
      <c r="J134" s="8">
        <v>2472.636506</v>
      </c>
      <c r="K134" s="8">
        <v>2908.449371</v>
      </c>
      <c r="L134" s="8">
        <v>3248.819029</v>
      </c>
      <c r="M134" s="8">
        <v>3461.218666</v>
      </c>
      <c r="N134" s="8">
        <v>3558.693026</v>
      </c>
      <c r="O134" s="8">
        <v>3458.85554</v>
      </c>
      <c r="P134" s="8">
        <v>3349.234037</v>
      </c>
      <c r="Q134" s="8">
        <v>3273.991256</v>
      </c>
      <c r="R134" s="8">
        <v>3255.744707</v>
      </c>
      <c r="S134" s="8">
        <v>3216.638361</v>
      </c>
      <c r="T134" s="8">
        <v>3155.856921</v>
      </c>
      <c r="U134" s="8">
        <v>3082.652154</v>
      </c>
      <c r="V134" s="8">
        <v>2921.267773</v>
      </c>
      <c r="W134" s="8">
        <v>2672.604126</v>
      </c>
      <c r="X134" s="8">
        <v>2393.004475</v>
      </c>
      <c r="Y134" s="8">
        <v>2094.301368</v>
      </c>
      <c r="Z134" s="8">
        <v>1879.889325</v>
      </c>
      <c r="AA134" s="9">
        <f t="shared" si="1"/>
        <v>63242.64107</v>
      </c>
      <c r="AB134" s="9">
        <v>5.0</v>
      </c>
      <c r="AC134" s="9">
        <f t="shared" si="2"/>
        <v>316213.2054</v>
      </c>
      <c r="AD134" s="11"/>
    </row>
    <row r="135" ht="14.25" customHeight="1">
      <c r="A135" s="7">
        <v>47635.0</v>
      </c>
      <c r="B135" s="8" t="s">
        <v>36</v>
      </c>
      <c r="C135" s="8">
        <v>1740.94595</v>
      </c>
      <c r="D135" s="8">
        <v>1654.478322</v>
      </c>
      <c r="E135" s="8">
        <v>1574.591597</v>
      </c>
      <c r="F135" s="8">
        <v>1534.002811</v>
      </c>
      <c r="G135" s="8">
        <v>1499.780014</v>
      </c>
      <c r="H135" s="8">
        <v>1470.355259</v>
      </c>
      <c r="I135" s="8">
        <v>1517.883898</v>
      </c>
      <c r="J135" s="8">
        <v>1696.730625</v>
      </c>
      <c r="K135" s="8">
        <v>1931.959482</v>
      </c>
      <c r="L135" s="8">
        <v>2259.074969</v>
      </c>
      <c r="M135" s="8">
        <v>2523.326648</v>
      </c>
      <c r="N135" s="8">
        <v>2672.915063</v>
      </c>
      <c r="O135" s="8">
        <v>2724.442451</v>
      </c>
      <c r="P135" s="8">
        <v>2736.875839</v>
      </c>
      <c r="Q135" s="8">
        <v>2717.970834</v>
      </c>
      <c r="R135" s="8">
        <v>2704.809029</v>
      </c>
      <c r="S135" s="8">
        <v>2640.818988</v>
      </c>
      <c r="T135" s="8">
        <v>2576.744354</v>
      </c>
      <c r="U135" s="8">
        <v>2540.87496</v>
      </c>
      <c r="V135" s="8">
        <v>2414.274435</v>
      </c>
      <c r="W135" s="8">
        <v>2209.339587</v>
      </c>
      <c r="X135" s="8">
        <v>1973.991385</v>
      </c>
      <c r="Y135" s="8">
        <v>1762.25935</v>
      </c>
      <c r="Z135" s="8">
        <v>1609.021991</v>
      </c>
      <c r="AA135" s="9">
        <f t="shared" si="1"/>
        <v>50687.46784</v>
      </c>
      <c r="AB135" s="9">
        <v>7.0</v>
      </c>
      <c r="AC135" s="9">
        <f t="shared" si="2"/>
        <v>354812.2749</v>
      </c>
      <c r="AD135" s="12"/>
    </row>
    <row r="136" ht="14.25" customHeight="1">
      <c r="A136" s="7">
        <v>47665.0</v>
      </c>
      <c r="B136" s="8" t="s">
        <v>34</v>
      </c>
      <c r="C136" s="8">
        <v>1789.42245</v>
      </c>
      <c r="D136" s="8">
        <v>1716.199226</v>
      </c>
      <c r="E136" s="8">
        <v>1675.242261</v>
      </c>
      <c r="F136" s="8">
        <v>1658.499934</v>
      </c>
      <c r="G136" s="8">
        <v>1684.074551</v>
      </c>
      <c r="H136" s="8">
        <v>1792.152715</v>
      </c>
      <c r="I136" s="8">
        <v>2168.520715</v>
      </c>
      <c r="J136" s="8">
        <v>2721.029537</v>
      </c>
      <c r="K136" s="8">
        <v>3183.272762</v>
      </c>
      <c r="L136" s="8">
        <v>3495.437472</v>
      </c>
      <c r="M136" s="8">
        <v>3749.40539</v>
      </c>
      <c r="N136" s="8">
        <v>3902.252663</v>
      </c>
      <c r="O136" s="8">
        <v>3850.922688</v>
      </c>
      <c r="P136" s="8">
        <v>3864.081001</v>
      </c>
      <c r="Q136" s="8">
        <v>3966.464102</v>
      </c>
      <c r="R136" s="8">
        <v>3968.138343</v>
      </c>
      <c r="S136" s="8">
        <v>3856.287608</v>
      </c>
      <c r="T136" s="8">
        <v>3598.872938</v>
      </c>
      <c r="U136" s="8">
        <v>3409.257046</v>
      </c>
      <c r="V136" s="8">
        <v>3193.822775</v>
      </c>
      <c r="W136" s="8">
        <v>2909.013839</v>
      </c>
      <c r="X136" s="8">
        <v>2585.22871</v>
      </c>
      <c r="Y136" s="8">
        <v>2240.427692</v>
      </c>
      <c r="Z136" s="8">
        <v>2005.072964</v>
      </c>
      <c r="AA136" s="9">
        <f t="shared" si="1"/>
        <v>68983.09938</v>
      </c>
      <c r="AB136" s="9">
        <v>22.0</v>
      </c>
      <c r="AC136" s="9">
        <f t="shared" si="2"/>
        <v>1517628.186</v>
      </c>
      <c r="AD136" s="10">
        <f>SUM(AC136:AC138)</f>
        <v>2011480.917</v>
      </c>
    </row>
    <row r="137" ht="14.25" customHeight="1">
      <c r="A137" s="7">
        <v>47665.0</v>
      </c>
      <c r="B137" s="8" t="s">
        <v>35</v>
      </c>
      <c r="C137" s="8">
        <v>1944.42122</v>
      </c>
      <c r="D137" s="8">
        <v>1842.912902</v>
      </c>
      <c r="E137" s="8">
        <v>1786.312658</v>
      </c>
      <c r="F137" s="8">
        <v>1742.435707</v>
      </c>
      <c r="G137" s="8">
        <v>1750.84291</v>
      </c>
      <c r="H137" s="8">
        <v>1757.986244</v>
      </c>
      <c r="I137" s="8">
        <v>2013.872788</v>
      </c>
      <c r="J137" s="8">
        <v>2472.636506</v>
      </c>
      <c r="K137" s="8">
        <v>2908.449371</v>
      </c>
      <c r="L137" s="8">
        <v>3248.819029</v>
      </c>
      <c r="M137" s="8">
        <v>3461.218666</v>
      </c>
      <c r="N137" s="8">
        <v>3558.693026</v>
      </c>
      <c r="O137" s="8">
        <v>3458.85554</v>
      </c>
      <c r="P137" s="8">
        <v>3349.234037</v>
      </c>
      <c r="Q137" s="8">
        <v>3273.991256</v>
      </c>
      <c r="R137" s="8">
        <v>3255.744707</v>
      </c>
      <c r="S137" s="8">
        <v>3216.638361</v>
      </c>
      <c r="T137" s="8">
        <v>3155.856921</v>
      </c>
      <c r="U137" s="8">
        <v>3082.652154</v>
      </c>
      <c r="V137" s="8">
        <v>2921.267773</v>
      </c>
      <c r="W137" s="8">
        <v>2672.604126</v>
      </c>
      <c r="X137" s="8">
        <v>2393.004475</v>
      </c>
      <c r="Y137" s="8">
        <v>2094.301368</v>
      </c>
      <c r="Z137" s="8">
        <v>1879.889325</v>
      </c>
      <c r="AA137" s="9">
        <f t="shared" si="1"/>
        <v>63242.64107</v>
      </c>
      <c r="AB137" s="9">
        <v>3.0</v>
      </c>
      <c r="AC137" s="9">
        <f t="shared" si="2"/>
        <v>189727.9232</v>
      </c>
      <c r="AD137" s="11"/>
    </row>
    <row r="138" ht="14.25" customHeight="1">
      <c r="A138" s="7">
        <v>47665.0</v>
      </c>
      <c r="B138" s="8" t="s">
        <v>36</v>
      </c>
      <c r="C138" s="8">
        <v>1740.94595</v>
      </c>
      <c r="D138" s="8">
        <v>1654.478322</v>
      </c>
      <c r="E138" s="8">
        <v>1574.591597</v>
      </c>
      <c r="F138" s="8">
        <v>1534.002811</v>
      </c>
      <c r="G138" s="8">
        <v>1499.780014</v>
      </c>
      <c r="H138" s="8">
        <v>1470.355259</v>
      </c>
      <c r="I138" s="8">
        <v>1517.883898</v>
      </c>
      <c r="J138" s="8">
        <v>1696.730625</v>
      </c>
      <c r="K138" s="8">
        <v>1931.959482</v>
      </c>
      <c r="L138" s="8">
        <v>2259.074969</v>
      </c>
      <c r="M138" s="8">
        <v>2523.326648</v>
      </c>
      <c r="N138" s="8">
        <v>2672.915063</v>
      </c>
      <c r="O138" s="8">
        <v>2724.442451</v>
      </c>
      <c r="P138" s="8">
        <v>2736.875839</v>
      </c>
      <c r="Q138" s="8">
        <v>2717.970834</v>
      </c>
      <c r="R138" s="8">
        <v>2704.809029</v>
      </c>
      <c r="S138" s="8">
        <v>2640.818988</v>
      </c>
      <c r="T138" s="8">
        <v>2576.744354</v>
      </c>
      <c r="U138" s="8">
        <v>2540.87496</v>
      </c>
      <c r="V138" s="8">
        <v>2414.274435</v>
      </c>
      <c r="W138" s="8">
        <v>2209.339587</v>
      </c>
      <c r="X138" s="8">
        <v>1973.991385</v>
      </c>
      <c r="Y138" s="8">
        <v>1762.25935</v>
      </c>
      <c r="Z138" s="8">
        <v>1609.021991</v>
      </c>
      <c r="AA138" s="9">
        <f t="shared" si="1"/>
        <v>50687.46784</v>
      </c>
      <c r="AB138" s="9">
        <v>6.0</v>
      </c>
      <c r="AC138" s="9">
        <f t="shared" si="2"/>
        <v>304124.807</v>
      </c>
      <c r="AD138" s="12"/>
    </row>
    <row r="139" ht="14.25" customHeight="1">
      <c r="A139" s="7">
        <v>47696.0</v>
      </c>
      <c r="B139" s="8" t="s">
        <v>34</v>
      </c>
      <c r="C139" s="8">
        <v>1789.42245</v>
      </c>
      <c r="D139" s="8">
        <v>1716.199226</v>
      </c>
      <c r="E139" s="8">
        <v>1675.242261</v>
      </c>
      <c r="F139" s="8">
        <v>1658.499934</v>
      </c>
      <c r="G139" s="8">
        <v>1684.074551</v>
      </c>
      <c r="H139" s="8">
        <v>1792.152715</v>
      </c>
      <c r="I139" s="8">
        <v>2168.520715</v>
      </c>
      <c r="J139" s="8">
        <v>2721.029537</v>
      </c>
      <c r="K139" s="8">
        <v>3183.272762</v>
      </c>
      <c r="L139" s="8">
        <v>3495.437472</v>
      </c>
      <c r="M139" s="8">
        <v>3749.40539</v>
      </c>
      <c r="N139" s="8">
        <v>3902.252663</v>
      </c>
      <c r="O139" s="8">
        <v>3850.922688</v>
      </c>
      <c r="P139" s="8">
        <v>3864.081001</v>
      </c>
      <c r="Q139" s="8">
        <v>3966.464102</v>
      </c>
      <c r="R139" s="8">
        <v>3968.138343</v>
      </c>
      <c r="S139" s="8">
        <v>3856.287608</v>
      </c>
      <c r="T139" s="8">
        <v>3598.872938</v>
      </c>
      <c r="U139" s="8">
        <v>3409.257046</v>
      </c>
      <c r="V139" s="8">
        <v>3193.822775</v>
      </c>
      <c r="W139" s="8">
        <v>2909.013839</v>
      </c>
      <c r="X139" s="8">
        <v>2585.22871</v>
      </c>
      <c r="Y139" s="8">
        <v>2240.427692</v>
      </c>
      <c r="Z139" s="8">
        <v>2005.072964</v>
      </c>
      <c r="AA139" s="9">
        <f t="shared" si="1"/>
        <v>68983.09938</v>
      </c>
      <c r="AB139" s="9">
        <v>20.0</v>
      </c>
      <c r="AC139" s="9">
        <f t="shared" si="2"/>
        <v>1379661.988</v>
      </c>
      <c r="AD139" s="10">
        <f>SUM(AC139:AC141)</f>
        <v>2000000</v>
      </c>
    </row>
    <row r="140" ht="14.25" customHeight="1">
      <c r="A140" s="7">
        <v>47696.0</v>
      </c>
      <c r="B140" s="8" t="s">
        <v>35</v>
      </c>
      <c r="C140" s="8">
        <v>1944.42122</v>
      </c>
      <c r="D140" s="8">
        <v>1842.912902</v>
      </c>
      <c r="E140" s="8">
        <v>1786.312658</v>
      </c>
      <c r="F140" s="8">
        <v>1742.435707</v>
      </c>
      <c r="G140" s="8">
        <v>1750.84291</v>
      </c>
      <c r="H140" s="8">
        <v>1757.986244</v>
      </c>
      <c r="I140" s="8">
        <v>2013.872788</v>
      </c>
      <c r="J140" s="8">
        <v>2472.636506</v>
      </c>
      <c r="K140" s="8">
        <v>2908.449371</v>
      </c>
      <c r="L140" s="8">
        <v>3248.819029</v>
      </c>
      <c r="M140" s="8">
        <v>3461.218666</v>
      </c>
      <c r="N140" s="8">
        <v>3558.693026</v>
      </c>
      <c r="O140" s="8">
        <v>3458.85554</v>
      </c>
      <c r="P140" s="8">
        <v>3349.234037</v>
      </c>
      <c r="Q140" s="8">
        <v>3273.991256</v>
      </c>
      <c r="R140" s="8">
        <v>3255.744707</v>
      </c>
      <c r="S140" s="8">
        <v>3216.638361</v>
      </c>
      <c r="T140" s="8">
        <v>3155.856921</v>
      </c>
      <c r="U140" s="8">
        <v>3082.652154</v>
      </c>
      <c r="V140" s="8">
        <v>2921.267773</v>
      </c>
      <c r="W140" s="8">
        <v>2672.604126</v>
      </c>
      <c r="X140" s="8">
        <v>2393.004475</v>
      </c>
      <c r="Y140" s="8">
        <v>2094.301368</v>
      </c>
      <c r="Z140" s="8">
        <v>1879.889325</v>
      </c>
      <c r="AA140" s="9">
        <f t="shared" si="1"/>
        <v>63242.64107</v>
      </c>
      <c r="AB140" s="9">
        <v>5.0</v>
      </c>
      <c r="AC140" s="9">
        <f t="shared" si="2"/>
        <v>316213.2054</v>
      </c>
      <c r="AD140" s="11"/>
    </row>
    <row r="141" ht="14.25" customHeight="1">
      <c r="A141" s="7">
        <v>47696.0</v>
      </c>
      <c r="B141" s="8" t="s">
        <v>36</v>
      </c>
      <c r="C141" s="8">
        <v>1740.94595</v>
      </c>
      <c r="D141" s="8">
        <v>1654.478322</v>
      </c>
      <c r="E141" s="8">
        <v>1574.591597</v>
      </c>
      <c r="F141" s="8">
        <v>1534.002811</v>
      </c>
      <c r="G141" s="8">
        <v>1499.780014</v>
      </c>
      <c r="H141" s="8">
        <v>1470.355259</v>
      </c>
      <c r="I141" s="8">
        <v>1517.883898</v>
      </c>
      <c r="J141" s="8">
        <v>1696.730625</v>
      </c>
      <c r="K141" s="8">
        <v>1931.959482</v>
      </c>
      <c r="L141" s="8">
        <v>2259.074969</v>
      </c>
      <c r="M141" s="8">
        <v>2523.326648</v>
      </c>
      <c r="N141" s="8">
        <v>2672.915063</v>
      </c>
      <c r="O141" s="8">
        <v>2724.442451</v>
      </c>
      <c r="P141" s="8">
        <v>2736.875839</v>
      </c>
      <c r="Q141" s="8">
        <v>2717.970834</v>
      </c>
      <c r="R141" s="8">
        <v>2704.809029</v>
      </c>
      <c r="S141" s="8">
        <v>2640.818988</v>
      </c>
      <c r="T141" s="8">
        <v>2576.744354</v>
      </c>
      <c r="U141" s="8">
        <v>2540.87496</v>
      </c>
      <c r="V141" s="8">
        <v>2414.274435</v>
      </c>
      <c r="W141" s="8">
        <v>2209.339587</v>
      </c>
      <c r="X141" s="8">
        <v>1973.991385</v>
      </c>
      <c r="Y141" s="8">
        <v>1762.25935</v>
      </c>
      <c r="Z141" s="8">
        <v>1609.021991</v>
      </c>
      <c r="AA141" s="9">
        <f t="shared" si="1"/>
        <v>50687.46784</v>
      </c>
      <c r="AB141" s="9">
        <v>6.0</v>
      </c>
      <c r="AC141" s="9">
        <f t="shared" si="2"/>
        <v>304124.807</v>
      </c>
      <c r="AD141" s="12"/>
    </row>
    <row r="142" ht="14.25" customHeight="1">
      <c r="A142" s="7">
        <v>47727.0</v>
      </c>
      <c r="B142" s="8" t="s">
        <v>34</v>
      </c>
      <c r="C142" s="8">
        <v>1789.42245</v>
      </c>
      <c r="D142" s="8">
        <v>1716.199226</v>
      </c>
      <c r="E142" s="8">
        <v>1675.242261</v>
      </c>
      <c r="F142" s="8">
        <v>1658.499934</v>
      </c>
      <c r="G142" s="8">
        <v>1684.074551</v>
      </c>
      <c r="H142" s="8">
        <v>1792.152715</v>
      </c>
      <c r="I142" s="8">
        <v>2168.520715</v>
      </c>
      <c r="J142" s="8">
        <v>2721.029537</v>
      </c>
      <c r="K142" s="8">
        <v>3183.272762</v>
      </c>
      <c r="L142" s="8">
        <v>3495.437472</v>
      </c>
      <c r="M142" s="8">
        <v>3749.40539</v>
      </c>
      <c r="N142" s="8">
        <v>3902.252663</v>
      </c>
      <c r="O142" s="8">
        <v>3850.922688</v>
      </c>
      <c r="P142" s="8">
        <v>3864.081001</v>
      </c>
      <c r="Q142" s="8">
        <v>3966.464102</v>
      </c>
      <c r="R142" s="8">
        <v>3968.138343</v>
      </c>
      <c r="S142" s="8">
        <v>3856.287608</v>
      </c>
      <c r="T142" s="8">
        <v>3598.872938</v>
      </c>
      <c r="U142" s="8">
        <v>3409.257046</v>
      </c>
      <c r="V142" s="8">
        <v>3193.822775</v>
      </c>
      <c r="W142" s="8">
        <v>2909.013839</v>
      </c>
      <c r="X142" s="8">
        <v>2585.22871</v>
      </c>
      <c r="Y142" s="8">
        <v>2240.427692</v>
      </c>
      <c r="Z142" s="8">
        <v>2005.072964</v>
      </c>
      <c r="AA142" s="9">
        <f t="shared" si="1"/>
        <v>68983.09938</v>
      </c>
      <c r="AB142" s="9">
        <v>21.0</v>
      </c>
      <c r="AC142" s="9">
        <f t="shared" si="2"/>
        <v>1448645.087</v>
      </c>
      <c r="AD142" s="10">
        <f>SUM(AC142:AC144)</f>
        <v>1955052.991</v>
      </c>
    </row>
    <row r="143" ht="14.25" customHeight="1">
      <c r="A143" s="7">
        <v>47727.0</v>
      </c>
      <c r="B143" s="8" t="s">
        <v>35</v>
      </c>
      <c r="C143" s="8">
        <v>1944.42122</v>
      </c>
      <c r="D143" s="8">
        <v>1842.912902</v>
      </c>
      <c r="E143" s="8">
        <v>1786.312658</v>
      </c>
      <c r="F143" s="8">
        <v>1742.435707</v>
      </c>
      <c r="G143" s="8">
        <v>1750.84291</v>
      </c>
      <c r="H143" s="8">
        <v>1757.986244</v>
      </c>
      <c r="I143" s="8">
        <v>2013.872788</v>
      </c>
      <c r="J143" s="8">
        <v>2472.636506</v>
      </c>
      <c r="K143" s="8">
        <v>2908.449371</v>
      </c>
      <c r="L143" s="8">
        <v>3248.819029</v>
      </c>
      <c r="M143" s="8">
        <v>3461.218666</v>
      </c>
      <c r="N143" s="8">
        <v>3558.693026</v>
      </c>
      <c r="O143" s="8">
        <v>3458.85554</v>
      </c>
      <c r="P143" s="8">
        <v>3349.234037</v>
      </c>
      <c r="Q143" s="8">
        <v>3273.991256</v>
      </c>
      <c r="R143" s="8">
        <v>3255.744707</v>
      </c>
      <c r="S143" s="8">
        <v>3216.638361</v>
      </c>
      <c r="T143" s="8">
        <v>3155.856921</v>
      </c>
      <c r="U143" s="8">
        <v>3082.652154</v>
      </c>
      <c r="V143" s="8">
        <v>2921.267773</v>
      </c>
      <c r="W143" s="8">
        <v>2672.604126</v>
      </c>
      <c r="X143" s="8">
        <v>2393.004475</v>
      </c>
      <c r="Y143" s="8">
        <v>2094.301368</v>
      </c>
      <c r="Z143" s="8">
        <v>1879.889325</v>
      </c>
      <c r="AA143" s="9">
        <f t="shared" si="1"/>
        <v>63242.64107</v>
      </c>
      <c r="AB143" s="9">
        <v>4.0</v>
      </c>
      <c r="AC143" s="9">
        <f t="shared" si="2"/>
        <v>252970.5643</v>
      </c>
      <c r="AD143" s="11"/>
    </row>
    <row r="144" ht="14.25" customHeight="1">
      <c r="A144" s="7">
        <v>47727.0</v>
      </c>
      <c r="B144" s="8" t="s">
        <v>36</v>
      </c>
      <c r="C144" s="8">
        <v>1740.94595</v>
      </c>
      <c r="D144" s="8">
        <v>1654.478322</v>
      </c>
      <c r="E144" s="8">
        <v>1574.591597</v>
      </c>
      <c r="F144" s="8">
        <v>1534.002811</v>
      </c>
      <c r="G144" s="8">
        <v>1499.780014</v>
      </c>
      <c r="H144" s="8">
        <v>1470.355259</v>
      </c>
      <c r="I144" s="8">
        <v>1517.883898</v>
      </c>
      <c r="J144" s="8">
        <v>1696.730625</v>
      </c>
      <c r="K144" s="8">
        <v>1931.959482</v>
      </c>
      <c r="L144" s="8">
        <v>2259.074969</v>
      </c>
      <c r="M144" s="8">
        <v>2523.326648</v>
      </c>
      <c r="N144" s="8">
        <v>2672.915063</v>
      </c>
      <c r="O144" s="8">
        <v>2724.442451</v>
      </c>
      <c r="P144" s="8">
        <v>2736.875839</v>
      </c>
      <c r="Q144" s="8">
        <v>2717.970834</v>
      </c>
      <c r="R144" s="8">
        <v>2704.809029</v>
      </c>
      <c r="S144" s="8">
        <v>2640.818988</v>
      </c>
      <c r="T144" s="8">
        <v>2576.744354</v>
      </c>
      <c r="U144" s="8">
        <v>2540.87496</v>
      </c>
      <c r="V144" s="8">
        <v>2414.274435</v>
      </c>
      <c r="W144" s="8">
        <v>2209.339587</v>
      </c>
      <c r="X144" s="8">
        <v>1973.991385</v>
      </c>
      <c r="Y144" s="8">
        <v>1762.25935</v>
      </c>
      <c r="Z144" s="8">
        <v>1609.021991</v>
      </c>
      <c r="AA144" s="9">
        <f t="shared" si="1"/>
        <v>50687.46784</v>
      </c>
      <c r="AB144" s="9">
        <v>5.0</v>
      </c>
      <c r="AC144" s="9">
        <f t="shared" si="2"/>
        <v>253437.3392</v>
      </c>
      <c r="AD144" s="12"/>
    </row>
    <row r="145" ht="14.25" customHeight="1">
      <c r="A145" s="7">
        <v>47757.0</v>
      </c>
      <c r="B145" s="8" t="s">
        <v>34</v>
      </c>
      <c r="C145" s="8">
        <v>1789.42245</v>
      </c>
      <c r="D145" s="8">
        <v>1716.199226</v>
      </c>
      <c r="E145" s="8">
        <v>1675.242261</v>
      </c>
      <c r="F145" s="8">
        <v>1658.499934</v>
      </c>
      <c r="G145" s="8">
        <v>1684.074551</v>
      </c>
      <c r="H145" s="8">
        <v>1792.152715</v>
      </c>
      <c r="I145" s="8">
        <v>2168.520715</v>
      </c>
      <c r="J145" s="8">
        <v>2721.029537</v>
      </c>
      <c r="K145" s="8">
        <v>3183.272762</v>
      </c>
      <c r="L145" s="8">
        <v>3495.437472</v>
      </c>
      <c r="M145" s="8">
        <v>3749.40539</v>
      </c>
      <c r="N145" s="8">
        <v>3902.252663</v>
      </c>
      <c r="O145" s="8">
        <v>3850.922688</v>
      </c>
      <c r="P145" s="8">
        <v>3864.081001</v>
      </c>
      <c r="Q145" s="8">
        <v>3966.464102</v>
      </c>
      <c r="R145" s="8">
        <v>3968.138343</v>
      </c>
      <c r="S145" s="8">
        <v>3856.287608</v>
      </c>
      <c r="T145" s="8">
        <v>3598.872938</v>
      </c>
      <c r="U145" s="8">
        <v>3409.257046</v>
      </c>
      <c r="V145" s="8">
        <v>3193.822775</v>
      </c>
      <c r="W145" s="8">
        <v>2909.013839</v>
      </c>
      <c r="X145" s="8">
        <v>2585.22871</v>
      </c>
      <c r="Y145" s="8">
        <v>2240.427692</v>
      </c>
      <c r="Z145" s="8">
        <v>2005.072964</v>
      </c>
      <c r="AA145" s="9">
        <f t="shared" si="1"/>
        <v>68983.09938</v>
      </c>
      <c r="AB145" s="9">
        <v>22.0</v>
      </c>
      <c r="AC145" s="9">
        <f t="shared" si="2"/>
        <v>1517628.186</v>
      </c>
      <c r="AD145" s="10">
        <f>SUM(AC145:AC147)</f>
        <v>2024036.09</v>
      </c>
    </row>
    <row r="146" ht="14.25" customHeight="1">
      <c r="A146" s="7">
        <v>47757.0</v>
      </c>
      <c r="B146" s="8" t="s">
        <v>35</v>
      </c>
      <c r="C146" s="8">
        <v>1944.42122</v>
      </c>
      <c r="D146" s="8">
        <v>1842.912902</v>
      </c>
      <c r="E146" s="8">
        <v>1786.312658</v>
      </c>
      <c r="F146" s="8">
        <v>1742.435707</v>
      </c>
      <c r="G146" s="8">
        <v>1750.84291</v>
      </c>
      <c r="H146" s="8">
        <v>1757.986244</v>
      </c>
      <c r="I146" s="8">
        <v>2013.872788</v>
      </c>
      <c r="J146" s="8">
        <v>2472.636506</v>
      </c>
      <c r="K146" s="8">
        <v>2908.449371</v>
      </c>
      <c r="L146" s="8">
        <v>3248.819029</v>
      </c>
      <c r="M146" s="8">
        <v>3461.218666</v>
      </c>
      <c r="N146" s="8">
        <v>3558.693026</v>
      </c>
      <c r="O146" s="8">
        <v>3458.85554</v>
      </c>
      <c r="P146" s="8">
        <v>3349.234037</v>
      </c>
      <c r="Q146" s="8">
        <v>3273.991256</v>
      </c>
      <c r="R146" s="8">
        <v>3255.744707</v>
      </c>
      <c r="S146" s="8">
        <v>3216.638361</v>
      </c>
      <c r="T146" s="8">
        <v>3155.856921</v>
      </c>
      <c r="U146" s="8">
        <v>3082.652154</v>
      </c>
      <c r="V146" s="8">
        <v>2921.267773</v>
      </c>
      <c r="W146" s="8">
        <v>2672.604126</v>
      </c>
      <c r="X146" s="8">
        <v>2393.004475</v>
      </c>
      <c r="Y146" s="8">
        <v>2094.301368</v>
      </c>
      <c r="Z146" s="8">
        <v>1879.889325</v>
      </c>
      <c r="AA146" s="9">
        <f t="shared" si="1"/>
        <v>63242.64107</v>
      </c>
      <c r="AB146" s="9">
        <v>4.0</v>
      </c>
      <c r="AC146" s="9">
        <f t="shared" si="2"/>
        <v>252970.5643</v>
      </c>
      <c r="AD146" s="11"/>
    </row>
    <row r="147" ht="14.25" customHeight="1">
      <c r="A147" s="7">
        <v>47757.0</v>
      </c>
      <c r="B147" s="8" t="s">
        <v>36</v>
      </c>
      <c r="C147" s="8">
        <v>1740.94595</v>
      </c>
      <c r="D147" s="8">
        <v>1654.478322</v>
      </c>
      <c r="E147" s="8">
        <v>1574.591597</v>
      </c>
      <c r="F147" s="8">
        <v>1534.002811</v>
      </c>
      <c r="G147" s="8">
        <v>1499.780014</v>
      </c>
      <c r="H147" s="8">
        <v>1470.355259</v>
      </c>
      <c r="I147" s="8">
        <v>1517.883898</v>
      </c>
      <c r="J147" s="8">
        <v>1696.730625</v>
      </c>
      <c r="K147" s="8">
        <v>1931.959482</v>
      </c>
      <c r="L147" s="8">
        <v>2259.074969</v>
      </c>
      <c r="M147" s="8">
        <v>2523.326648</v>
      </c>
      <c r="N147" s="8">
        <v>2672.915063</v>
      </c>
      <c r="O147" s="8">
        <v>2724.442451</v>
      </c>
      <c r="P147" s="8">
        <v>2736.875839</v>
      </c>
      <c r="Q147" s="8">
        <v>2717.970834</v>
      </c>
      <c r="R147" s="8">
        <v>2704.809029</v>
      </c>
      <c r="S147" s="8">
        <v>2640.818988</v>
      </c>
      <c r="T147" s="8">
        <v>2576.744354</v>
      </c>
      <c r="U147" s="8">
        <v>2540.87496</v>
      </c>
      <c r="V147" s="8">
        <v>2414.274435</v>
      </c>
      <c r="W147" s="8">
        <v>2209.339587</v>
      </c>
      <c r="X147" s="8">
        <v>1973.991385</v>
      </c>
      <c r="Y147" s="8">
        <v>1762.25935</v>
      </c>
      <c r="Z147" s="8">
        <v>1609.021991</v>
      </c>
      <c r="AA147" s="9">
        <f t="shared" si="1"/>
        <v>50687.46784</v>
      </c>
      <c r="AB147" s="9">
        <v>5.0</v>
      </c>
      <c r="AC147" s="9">
        <f t="shared" si="2"/>
        <v>253437.3392</v>
      </c>
      <c r="AD147" s="12"/>
    </row>
    <row r="148" ht="14.25" customHeight="1">
      <c r="A148" s="7">
        <v>47788.0</v>
      </c>
      <c r="B148" s="8" t="s">
        <v>34</v>
      </c>
      <c r="C148" s="8">
        <v>1789.42245</v>
      </c>
      <c r="D148" s="8">
        <v>1716.199226</v>
      </c>
      <c r="E148" s="8">
        <v>1675.242261</v>
      </c>
      <c r="F148" s="8">
        <v>1658.499934</v>
      </c>
      <c r="G148" s="8">
        <v>1684.074551</v>
      </c>
      <c r="H148" s="8">
        <v>1792.152715</v>
      </c>
      <c r="I148" s="8">
        <v>2168.520715</v>
      </c>
      <c r="J148" s="8">
        <v>2721.029537</v>
      </c>
      <c r="K148" s="8">
        <v>3183.272762</v>
      </c>
      <c r="L148" s="8">
        <v>3495.437472</v>
      </c>
      <c r="M148" s="8">
        <v>3749.40539</v>
      </c>
      <c r="N148" s="8">
        <v>3902.252663</v>
      </c>
      <c r="O148" s="8">
        <v>3850.922688</v>
      </c>
      <c r="P148" s="8">
        <v>3864.081001</v>
      </c>
      <c r="Q148" s="8">
        <v>3966.464102</v>
      </c>
      <c r="R148" s="8">
        <v>3968.138343</v>
      </c>
      <c r="S148" s="8">
        <v>3856.287608</v>
      </c>
      <c r="T148" s="8">
        <v>3598.872938</v>
      </c>
      <c r="U148" s="8">
        <v>3409.257046</v>
      </c>
      <c r="V148" s="8">
        <v>3193.822775</v>
      </c>
      <c r="W148" s="8">
        <v>2909.013839</v>
      </c>
      <c r="X148" s="8">
        <v>2585.22871</v>
      </c>
      <c r="Y148" s="8">
        <v>2240.427692</v>
      </c>
      <c r="Z148" s="8">
        <v>2005.072964</v>
      </c>
      <c r="AA148" s="9">
        <f t="shared" si="1"/>
        <v>68983.09938</v>
      </c>
      <c r="AB148" s="9">
        <v>19.0</v>
      </c>
      <c r="AC148" s="9">
        <f t="shared" si="2"/>
        <v>1310678.888</v>
      </c>
      <c r="AD148" s="10">
        <f>SUM(AC148:AC150)</f>
        <v>1931016.901</v>
      </c>
    </row>
    <row r="149" ht="14.25" customHeight="1">
      <c r="A149" s="7">
        <v>47788.0</v>
      </c>
      <c r="B149" s="8" t="s">
        <v>35</v>
      </c>
      <c r="C149" s="8">
        <v>1944.42122</v>
      </c>
      <c r="D149" s="8">
        <v>1842.912902</v>
      </c>
      <c r="E149" s="8">
        <v>1786.312658</v>
      </c>
      <c r="F149" s="8">
        <v>1742.435707</v>
      </c>
      <c r="G149" s="8">
        <v>1750.84291</v>
      </c>
      <c r="H149" s="8">
        <v>1757.986244</v>
      </c>
      <c r="I149" s="8">
        <v>2013.872788</v>
      </c>
      <c r="J149" s="8">
        <v>2472.636506</v>
      </c>
      <c r="K149" s="8">
        <v>2908.449371</v>
      </c>
      <c r="L149" s="8">
        <v>3248.819029</v>
      </c>
      <c r="M149" s="8">
        <v>3461.218666</v>
      </c>
      <c r="N149" s="8">
        <v>3558.693026</v>
      </c>
      <c r="O149" s="8">
        <v>3458.85554</v>
      </c>
      <c r="P149" s="8">
        <v>3349.234037</v>
      </c>
      <c r="Q149" s="8">
        <v>3273.991256</v>
      </c>
      <c r="R149" s="8">
        <v>3255.744707</v>
      </c>
      <c r="S149" s="8">
        <v>3216.638361</v>
      </c>
      <c r="T149" s="8">
        <v>3155.856921</v>
      </c>
      <c r="U149" s="8">
        <v>3082.652154</v>
      </c>
      <c r="V149" s="8">
        <v>2921.267773</v>
      </c>
      <c r="W149" s="8">
        <v>2672.604126</v>
      </c>
      <c r="X149" s="8">
        <v>2393.004475</v>
      </c>
      <c r="Y149" s="8">
        <v>2094.301368</v>
      </c>
      <c r="Z149" s="8">
        <v>1879.889325</v>
      </c>
      <c r="AA149" s="9">
        <f t="shared" si="1"/>
        <v>63242.64107</v>
      </c>
      <c r="AB149" s="9">
        <v>5.0</v>
      </c>
      <c r="AC149" s="9">
        <f t="shared" si="2"/>
        <v>316213.2054</v>
      </c>
      <c r="AD149" s="11"/>
    </row>
    <row r="150" ht="14.25" customHeight="1">
      <c r="A150" s="7">
        <v>47788.0</v>
      </c>
      <c r="B150" s="8" t="s">
        <v>36</v>
      </c>
      <c r="C150" s="8">
        <v>1740.94595</v>
      </c>
      <c r="D150" s="8">
        <v>1654.478322</v>
      </c>
      <c r="E150" s="8">
        <v>1574.591597</v>
      </c>
      <c r="F150" s="8">
        <v>1534.002811</v>
      </c>
      <c r="G150" s="8">
        <v>1499.780014</v>
      </c>
      <c r="H150" s="8">
        <v>1470.355259</v>
      </c>
      <c r="I150" s="8">
        <v>1517.883898</v>
      </c>
      <c r="J150" s="8">
        <v>1696.730625</v>
      </c>
      <c r="K150" s="8">
        <v>1931.959482</v>
      </c>
      <c r="L150" s="8">
        <v>2259.074969</v>
      </c>
      <c r="M150" s="8">
        <v>2523.326648</v>
      </c>
      <c r="N150" s="8">
        <v>2672.915063</v>
      </c>
      <c r="O150" s="8">
        <v>2724.442451</v>
      </c>
      <c r="P150" s="8">
        <v>2736.875839</v>
      </c>
      <c r="Q150" s="8">
        <v>2717.970834</v>
      </c>
      <c r="R150" s="8">
        <v>2704.809029</v>
      </c>
      <c r="S150" s="8">
        <v>2640.818988</v>
      </c>
      <c r="T150" s="8">
        <v>2576.744354</v>
      </c>
      <c r="U150" s="8">
        <v>2540.87496</v>
      </c>
      <c r="V150" s="8">
        <v>2414.274435</v>
      </c>
      <c r="W150" s="8">
        <v>2209.339587</v>
      </c>
      <c r="X150" s="8">
        <v>1973.991385</v>
      </c>
      <c r="Y150" s="8">
        <v>1762.25935</v>
      </c>
      <c r="Z150" s="8">
        <v>1609.021991</v>
      </c>
      <c r="AA150" s="9">
        <f t="shared" si="1"/>
        <v>50687.46784</v>
      </c>
      <c r="AB150" s="9">
        <v>6.0</v>
      </c>
      <c r="AC150" s="9">
        <f t="shared" si="2"/>
        <v>304124.807</v>
      </c>
      <c r="AD150" s="12"/>
    </row>
    <row r="151" ht="14.25" customHeight="1">
      <c r="A151" s="7">
        <v>47818.0</v>
      </c>
      <c r="B151" s="8" t="s">
        <v>34</v>
      </c>
      <c r="C151" s="8">
        <v>1789.42245</v>
      </c>
      <c r="D151" s="8">
        <v>1716.199226</v>
      </c>
      <c r="E151" s="8">
        <v>1675.242261</v>
      </c>
      <c r="F151" s="8">
        <v>1658.499934</v>
      </c>
      <c r="G151" s="8">
        <v>1684.074551</v>
      </c>
      <c r="H151" s="8">
        <v>1792.152715</v>
      </c>
      <c r="I151" s="8">
        <v>2168.520715</v>
      </c>
      <c r="J151" s="8">
        <v>2721.029537</v>
      </c>
      <c r="K151" s="8">
        <v>3183.272762</v>
      </c>
      <c r="L151" s="8">
        <v>3495.437472</v>
      </c>
      <c r="M151" s="8">
        <v>3749.40539</v>
      </c>
      <c r="N151" s="8">
        <v>3902.252663</v>
      </c>
      <c r="O151" s="8">
        <v>3850.922688</v>
      </c>
      <c r="P151" s="8">
        <v>3864.081001</v>
      </c>
      <c r="Q151" s="8">
        <v>3966.464102</v>
      </c>
      <c r="R151" s="8">
        <v>3968.138343</v>
      </c>
      <c r="S151" s="8">
        <v>3856.287608</v>
      </c>
      <c r="T151" s="8">
        <v>3598.872938</v>
      </c>
      <c r="U151" s="8">
        <v>3409.257046</v>
      </c>
      <c r="V151" s="8">
        <v>3193.822775</v>
      </c>
      <c r="W151" s="8">
        <v>2909.013839</v>
      </c>
      <c r="X151" s="8">
        <v>2585.22871</v>
      </c>
      <c r="Y151" s="8">
        <v>2240.427692</v>
      </c>
      <c r="Z151" s="8">
        <v>2005.072964</v>
      </c>
      <c r="AA151" s="9">
        <f t="shared" si="1"/>
        <v>68983.09938</v>
      </c>
      <c r="AB151" s="9">
        <v>21.0</v>
      </c>
      <c r="AC151" s="9">
        <f t="shared" si="2"/>
        <v>1448645.087</v>
      </c>
      <c r="AD151" s="10">
        <f>SUM(AC151:AC153)</f>
        <v>2005740.458</v>
      </c>
    </row>
    <row r="152" ht="14.25" customHeight="1">
      <c r="A152" s="7">
        <v>47818.0</v>
      </c>
      <c r="B152" s="8" t="s">
        <v>35</v>
      </c>
      <c r="C152" s="8">
        <v>1944.42122</v>
      </c>
      <c r="D152" s="8">
        <v>1842.912902</v>
      </c>
      <c r="E152" s="8">
        <v>1786.312658</v>
      </c>
      <c r="F152" s="8">
        <v>1742.435707</v>
      </c>
      <c r="G152" s="8">
        <v>1750.84291</v>
      </c>
      <c r="H152" s="8">
        <v>1757.986244</v>
      </c>
      <c r="I152" s="8">
        <v>2013.872788</v>
      </c>
      <c r="J152" s="8">
        <v>2472.636506</v>
      </c>
      <c r="K152" s="8">
        <v>2908.449371</v>
      </c>
      <c r="L152" s="8">
        <v>3248.819029</v>
      </c>
      <c r="M152" s="8">
        <v>3461.218666</v>
      </c>
      <c r="N152" s="8">
        <v>3558.693026</v>
      </c>
      <c r="O152" s="8">
        <v>3458.85554</v>
      </c>
      <c r="P152" s="8">
        <v>3349.234037</v>
      </c>
      <c r="Q152" s="8">
        <v>3273.991256</v>
      </c>
      <c r="R152" s="8">
        <v>3255.744707</v>
      </c>
      <c r="S152" s="8">
        <v>3216.638361</v>
      </c>
      <c r="T152" s="8">
        <v>3155.856921</v>
      </c>
      <c r="U152" s="8">
        <v>3082.652154</v>
      </c>
      <c r="V152" s="8">
        <v>2921.267773</v>
      </c>
      <c r="W152" s="8">
        <v>2672.604126</v>
      </c>
      <c r="X152" s="8">
        <v>2393.004475</v>
      </c>
      <c r="Y152" s="8">
        <v>2094.301368</v>
      </c>
      <c r="Z152" s="8">
        <v>1879.889325</v>
      </c>
      <c r="AA152" s="9">
        <f t="shared" si="1"/>
        <v>63242.64107</v>
      </c>
      <c r="AB152" s="9">
        <v>4.0</v>
      </c>
      <c r="AC152" s="9">
        <f t="shared" si="2"/>
        <v>252970.5643</v>
      </c>
      <c r="AD152" s="11"/>
    </row>
    <row r="153" ht="14.25" customHeight="1">
      <c r="A153" s="7">
        <v>47818.0</v>
      </c>
      <c r="B153" s="8" t="s">
        <v>36</v>
      </c>
      <c r="C153" s="8">
        <v>1740.94595</v>
      </c>
      <c r="D153" s="8">
        <v>1654.478322</v>
      </c>
      <c r="E153" s="8">
        <v>1574.591597</v>
      </c>
      <c r="F153" s="8">
        <v>1534.002811</v>
      </c>
      <c r="G153" s="8">
        <v>1499.780014</v>
      </c>
      <c r="H153" s="8">
        <v>1470.355259</v>
      </c>
      <c r="I153" s="8">
        <v>1517.883898</v>
      </c>
      <c r="J153" s="8">
        <v>1696.730625</v>
      </c>
      <c r="K153" s="8">
        <v>1931.959482</v>
      </c>
      <c r="L153" s="8">
        <v>2259.074969</v>
      </c>
      <c r="M153" s="8">
        <v>2523.326648</v>
      </c>
      <c r="N153" s="8">
        <v>2672.915063</v>
      </c>
      <c r="O153" s="8">
        <v>2724.442451</v>
      </c>
      <c r="P153" s="8">
        <v>2736.875839</v>
      </c>
      <c r="Q153" s="8">
        <v>2717.970834</v>
      </c>
      <c r="R153" s="8">
        <v>2704.809029</v>
      </c>
      <c r="S153" s="8">
        <v>2640.818988</v>
      </c>
      <c r="T153" s="8">
        <v>2576.744354</v>
      </c>
      <c r="U153" s="8">
        <v>2540.87496</v>
      </c>
      <c r="V153" s="8">
        <v>2414.274435</v>
      </c>
      <c r="W153" s="8">
        <v>2209.339587</v>
      </c>
      <c r="X153" s="8">
        <v>1973.991385</v>
      </c>
      <c r="Y153" s="8">
        <v>1762.25935</v>
      </c>
      <c r="Z153" s="8">
        <v>1609.021991</v>
      </c>
      <c r="AA153" s="9">
        <f t="shared" si="1"/>
        <v>50687.46784</v>
      </c>
      <c r="AB153" s="9">
        <v>6.0</v>
      </c>
      <c r="AC153" s="9">
        <f t="shared" si="2"/>
        <v>304124.807</v>
      </c>
      <c r="AD153" s="12"/>
    </row>
    <row r="154" ht="14.25" customHeight="1">
      <c r="A154" s="7">
        <v>47849.0</v>
      </c>
      <c r="B154" s="8" t="s">
        <v>34</v>
      </c>
      <c r="C154" s="8">
        <v>1789.42245</v>
      </c>
      <c r="D154" s="8">
        <v>1716.199226</v>
      </c>
      <c r="E154" s="8">
        <v>1675.242261</v>
      </c>
      <c r="F154" s="8">
        <v>1658.499934</v>
      </c>
      <c r="G154" s="8">
        <v>1684.074551</v>
      </c>
      <c r="H154" s="8">
        <v>1792.152715</v>
      </c>
      <c r="I154" s="8">
        <v>2168.520715</v>
      </c>
      <c r="J154" s="8">
        <v>2721.029537</v>
      </c>
      <c r="K154" s="8">
        <v>3183.272762</v>
      </c>
      <c r="L154" s="8">
        <v>3495.437472</v>
      </c>
      <c r="M154" s="8">
        <v>3749.40539</v>
      </c>
      <c r="N154" s="8">
        <v>3902.252663</v>
      </c>
      <c r="O154" s="8">
        <v>3850.922688</v>
      </c>
      <c r="P154" s="8">
        <v>3864.081001</v>
      </c>
      <c r="Q154" s="8">
        <v>3966.464102</v>
      </c>
      <c r="R154" s="8">
        <v>3968.138343</v>
      </c>
      <c r="S154" s="8">
        <v>3856.287608</v>
      </c>
      <c r="T154" s="8">
        <v>3598.872938</v>
      </c>
      <c r="U154" s="8">
        <v>3409.257046</v>
      </c>
      <c r="V154" s="8">
        <v>3193.822775</v>
      </c>
      <c r="W154" s="8">
        <v>2909.013839</v>
      </c>
      <c r="X154" s="8">
        <v>2585.22871</v>
      </c>
      <c r="Y154" s="8">
        <v>2240.427692</v>
      </c>
      <c r="Z154" s="8">
        <v>2005.072964</v>
      </c>
      <c r="AA154" s="9">
        <f t="shared" si="1"/>
        <v>68983.09938</v>
      </c>
      <c r="AB154" s="9">
        <v>21.0</v>
      </c>
      <c r="AC154" s="9">
        <f t="shared" si="2"/>
        <v>1448645.087</v>
      </c>
      <c r="AD154" s="10">
        <f>SUM(AC154:AC156)</f>
        <v>2005740.458</v>
      </c>
    </row>
    <row r="155" ht="14.25" customHeight="1">
      <c r="A155" s="7">
        <v>47849.0</v>
      </c>
      <c r="B155" s="8" t="s">
        <v>35</v>
      </c>
      <c r="C155" s="8">
        <v>1944.42122</v>
      </c>
      <c r="D155" s="8">
        <v>1842.912902</v>
      </c>
      <c r="E155" s="8">
        <v>1786.312658</v>
      </c>
      <c r="F155" s="8">
        <v>1742.435707</v>
      </c>
      <c r="G155" s="8">
        <v>1750.84291</v>
      </c>
      <c r="H155" s="8">
        <v>1757.986244</v>
      </c>
      <c r="I155" s="8">
        <v>2013.872788</v>
      </c>
      <c r="J155" s="8">
        <v>2472.636506</v>
      </c>
      <c r="K155" s="8">
        <v>2908.449371</v>
      </c>
      <c r="L155" s="8">
        <v>3248.819029</v>
      </c>
      <c r="M155" s="8">
        <v>3461.218666</v>
      </c>
      <c r="N155" s="8">
        <v>3558.693026</v>
      </c>
      <c r="O155" s="8">
        <v>3458.85554</v>
      </c>
      <c r="P155" s="8">
        <v>3349.234037</v>
      </c>
      <c r="Q155" s="8">
        <v>3273.991256</v>
      </c>
      <c r="R155" s="8">
        <v>3255.744707</v>
      </c>
      <c r="S155" s="8">
        <v>3216.638361</v>
      </c>
      <c r="T155" s="8">
        <v>3155.856921</v>
      </c>
      <c r="U155" s="8">
        <v>3082.652154</v>
      </c>
      <c r="V155" s="8">
        <v>2921.267773</v>
      </c>
      <c r="W155" s="8">
        <v>2672.604126</v>
      </c>
      <c r="X155" s="8">
        <v>2393.004475</v>
      </c>
      <c r="Y155" s="8">
        <v>2094.301368</v>
      </c>
      <c r="Z155" s="8">
        <v>1879.889325</v>
      </c>
      <c r="AA155" s="9">
        <f t="shared" si="1"/>
        <v>63242.64107</v>
      </c>
      <c r="AB155" s="9">
        <v>4.0</v>
      </c>
      <c r="AC155" s="9">
        <f t="shared" si="2"/>
        <v>252970.5643</v>
      </c>
      <c r="AD155" s="11"/>
    </row>
    <row r="156" ht="14.25" customHeight="1">
      <c r="A156" s="7">
        <v>47849.0</v>
      </c>
      <c r="B156" s="8" t="s">
        <v>36</v>
      </c>
      <c r="C156" s="8">
        <v>1740.94595</v>
      </c>
      <c r="D156" s="8">
        <v>1654.478322</v>
      </c>
      <c r="E156" s="8">
        <v>1574.591597</v>
      </c>
      <c r="F156" s="8">
        <v>1534.002811</v>
      </c>
      <c r="G156" s="8">
        <v>1499.780014</v>
      </c>
      <c r="H156" s="8">
        <v>1470.355259</v>
      </c>
      <c r="I156" s="8">
        <v>1517.883898</v>
      </c>
      <c r="J156" s="8">
        <v>1696.730625</v>
      </c>
      <c r="K156" s="8">
        <v>1931.959482</v>
      </c>
      <c r="L156" s="8">
        <v>2259.074969</v>
      </c>
      <c r="M156" s="8">
        <v>2523.326648</v>
      </c>
      <c r="N156" s="8">
        <v>2672.915063</v>
      </c>
      <c r="O156" s="8">
        <v>2724.442451</v>
      </c>
      <c r="P156" s="8">
        <v>2736.875839</v>
      </c>
      <c r="Q156" s="8">
        <v>2717.970834</v>
      </c>
      <c r="R156" s="8">
        <v>2704.809029</v>
      </c>
      <c r="S156" s="8">
        <v>2640.818988</v>
      </c>
      <c r="T156" s="8">
        <v>2576.744354</v>
      </c>
      <c r="U156" s="8">
        <v>2540.87496</v>
      </c>
      <c r="V156" s="8">
        <v>2414.274435</v>
      </c>
      <c r="W156" s="8">
        <v>2209.339587</v>
      </c>
      <c r="X156" s="8">
        <v>1973.991385</v>
      </c>
      <c r="Y156" s="8">
        <v>1762.25935</v>
      </c>
      <c r="Z156" s="8">
        <v>1609.021991</v>
      </c>
      <c r="AA156" s="9">
        <f t="shared" si="1"/>
        <v>50687.46784</v>
      </c>
      <c r="AB156" s="9">
        <v>6.0</v>
      </c>
      <c r="AC156" s="9">
        <f t="shared" si="2"/>
        <v>304124.807</v>
      </c>
      <c r="AD156" s="12"/>
    </row>
    <row r="157" ht="14.25" customHeight="1">
      <c r="A157" s="7">
        <v>47880.0</v>
      </c>
      <c r="B157" s="8" t="s">
        <v>34</v>
      </c>
      <c r="C157" s="8">
        <v>1789.42245</v>
      </c>
      <c r="D157" s="8">
        <v>1716.199226</v>
      </c>
      <c r="E157" s="8">
        <v>1675.242261</v>
      </c>
      <c r="F157" s="8">
        <v>1658.499934</v>
      </c>
      <c r="G157" s="8">
        <v>1684.074551</v>
      </c>
      <c r="H157" s="8">
        <v>1792.152715</v>
      </c>
      <c r="I157" s="8">
        <v>2168.520715</v>
      </c>
      <c r="J157" s="8">
        <v>2721.029537</v>
      </c>
      <c r="K157" s="8">
        <v>3183.272762</v>
      </c>
      <c r="L157" s="8">
        <v>3495.437472</v>
      </c>
      <c r="M157" s="8">
        <v>3749.40539</v>
      </c>
      <c r="N157" s="8">
        <v>3902.252663</v>
      </c>
      <c r="O157" s="8">
        <v>3850.922688</v>
      </c>
      <c r="P157" s="8">
        <v>3864.081001</v>
      </c>
      <c r="Q157" s="8">
        <v>3966.464102</v>
      </c>
      <c r="R157" s="8">
        <v>3968.138343</v>
      </c>
      <c r="S157" s="8">
        <v>3856.287608</v>
      </c>
      <c r="T157" s="8">
        <v>3598.872938</v>
      </c>
      <c r="U157" s="8">
        <v>3409.257046</v>
      </c>
      <c r="V157" s="8">
        <v>3193.822775</v>
      </c>
      <c r="W157" s="8">
        <v>2909.013839</v>
      </c>
      <c r="X157" s="8">
        <v>2585.22871</v>
      </c>
      <c r="Y157" s="8">
        <v>2240.427692</v>
      </c>
      <c r="Z157" s="8">
        <v>2005.072964</v>
      </c>
      <c r="AA157" s="9">
        <f t="shared" si="1"/>
        <v>68983.09938</v>
      </c>
      <c r="AB157" s="9">
        <v>20.0</v>
      </c>
      <c r="AC157" s="9">
        <f t="shared" si="2"/>
        <v>1379661.988</v>
      </c>
      <c r="AD157" s="10">
        <f>SUM(AC157:AC159)</f>
        <v>1835382.423</v>
      </c>
    </row>
    <row r="158" ht="14.25" customHeight="1">
      <c r="A158" s="7">
        <v>47880.0</v>
      </c>
      <c r="B158" s="8" t="s">
        <v>35</v>
      </c>
      <c r="C158" s="8">
        <v>1944.42122</v>
      </c>
      <c r="D158" s="8">
        <v>1842.912902</v>
      </c>
      <c r="E158" s="8">
        <v>1786.312658</v>
      </c>
      <c r="F158" s="8">
        <v>1742.435707</v>
      </c>
      <c r="G158" s="8">
        <v>1750.84291</v>
      </c>
      <c r="H158" s="8">
        <v>1757.986244</v>
      </c>
      <c r="I158" s="8">
        <v>2013.872788</v>
      </c>
      <c r="J158" s="8">
        <v>2472.636506</v>
      </c>
      <c r="K158" s="8">
        <v>2908.449371</v>
      </c>
      <c r="L158" s="8">
        <v>3248.819029</v>
      </c>
      <c r="M158" s="8">
        <v>3461.218666</v>
      </c>
      <c r="N158" s="8">
        <v>3558.693026</v>
      </c>
      <c r="O158" s="8">
        <v>3458.85554</v>
      </c>
      <c r="P158" s="8">
        <v>3349.234037</v>
      </c>
      <c r="Q158" s="8">
        <v>3273.991256</v>
      </c>
      <c r="R158" s="8">
        <v>3255.744707</v>
      </c>
      <c r="S158" s="8">
        <v>3216.638361</v>
      </c>
      <c r="T158" s="8">
        <v>3155.856921</v>
      </c>
      <c r="U158" s="8">
        <v>3082.652154</v>
      </c>
      <c r="V158" s="8">
        <v>2921.267773</v>
      </c>
      <c r="W158" s="8">
        <v>2672.604126</v>
      </c>
      <c r="X158" s="8">
        <v>2393.004475</v>
      </c>
      <c r="Y158" s="8">
        <v>2094.301368</v>
      </c>
      <c r="Z158" s="8">
        <v>1879.889325</v>
      </c>
      <c r="AA158" s="9">
        <f t="shared" si="1"/>
        <v>63242.64107</v>
      </c>
      <c r="AB158" s="9">
        <v>4.0</v>
      </c>
      <c r="AC158" s="9">
        <f t="shared" si="2"/>
        <v>252970.5643</v>
      </c>
      <c r="AD158" s="11"/>
    </row>
    <row r="159" ht="14.25" customHeight="1">
      <c r="A159" s="72">
        <v>47880.0</v>
      </c>
      <c r="B159" s="8" t="s">
        <v>36</v>
      </c>
      <c r="C159" s="8">
        <v>1740.94595</v>
      </c>
      <c r="D159" s="8">
        <v>1654.478322</v>
      </c>
      <c r="E159" s="8">
        <v>1574.591597</v>
      </c>
      <c r="F159" s="8">
        <v>1534.002811</v>
      </c>
      <c r="G159" s="8">
        <v>1499.780014</v>
      </c>
      <c r="H159" s="8">
        <v>1470.355259</v>
      </c>
      <c r="I159" s="8">
        <v>1517.883898</v>
      </c>
      <c r="J159" s="8">
        <v>1696.730625</v>
      </c>
      <c r="K159" s="8">
        <v>1931.959482</v>
      </c>
      <c r="L159" s="8">
        <v>2259.074969</v>
      </c>
      <c r="M159" s="8">
        <v>2523.326648</v>
      </c>
      <c r="N159" s="8">
        <v>2672.915063</v>
      </c>
      <c r="O159" s="8">
        <v>2724.442451</v>
      </c>
      <c r="P159" s="8">
        <v>2736.875839</v>
      </c>
      <c r="Q159" s="8">
        <v>2717.970834</v>
      </c>
      <c r="R159" s="8">
        <v>2704.809029</v>
      </c>
      <c r="S159" s="8">
        <v>2640.818988</v>
      </c>
      <c r="T159" s="8">
        <v>2576.744354</v>
      </c>
      <c r="U159" s="8">
        <v>2540.87496</v>
      </c>
      <c r="V159" s="8">
        <v>2414.274435</v>
      </c>
      <c r="W159" s="8">
        <v>2209.339587</v>
      </c>
      <c r="X159" s="8">
        <v>1973.991385</v>
      </c>
      <c r="Y159" s="8">
        <v>1762.25935</v>
      </c>
      <c r="Z159" s="8">
        <v>1609.021991</v>
      </c>
      <c r="AA159" s="9">
        <f t="shared" si="1"/>
        <v>50687.46784</v>
      </c>
      <c r="AB159" s="9">
        <v>4.0</v>
      </c>
      <c r="AC159" s="9">
        <f t="shared" si="2"/>
        <v>202749.8714</v>
      </c>
      <c r="AD159" s="12"/>
    </row>
    <row r="160" ht="14.25" customHeight="1">
      <c r="A160" s="72">
        <v>47908.0</v>
      </c>
      <c r="B160" s="8" t="s">
        <v>34</v>
      </c>
      <c r="C160" s="8">
        <v>1789.42245</v>
      </c>
      <c r="D160" s="8">
        <v>1716.199226</v>
      </c>
      <c r="E160" s="8">
        <v>1675.242261</v>
      </c>
      <c r="F160" s="8">
        <v>1658.499934</v>
      </c>
      <c r="G160" s="8">
        <v>1684.074551</v>
      </c>
      <c r="H160" s="8">
        <v>1792.152715</v>
      </c>
      <c r="I160" s="8">
        <v>2168.520715</v>
      </c>
      <c r="J160" s="8">
        <v>2721.029537</v>
      </c>
      <c r="K160" s="8">
        <v>3183.272762</v>
      </c>
      <c r="L160" s="8">
        <v>3495.437472</v>
      </c>
      <c r="M160" s="8">
        <v>3749.40539</v>
      </c>
      <c r="N160" s="8">
        <v>3902.252663</v>
      </c>
      <c r="O160" s="8">
        <v>3850.922688</v>
      </c>
      <c r="P160" s="8">
        <v>3864.081001</v>
      </c>
      <c r="Q160" s="8">
        <v>3966.464102</v>
      </c>
      <c r="R160" s="8">
        <v>3968.138343</v>
      </c>
      <c r="S160" s="8">
        <v>3856.287608</v>
      </c>
      <c r="T160" s="8">
        <v>3598.872938</v>
      </c>
      <c r="U160" s="8">
        <v>3409.257046</v>
      </c>
      <c r="V160" s="8">
        <v>3193.822775</v>
      </c>
      <c r="W160" s="8">
        <v>2909.013839</v>
      </c>
      <c r="X160" s="8">
        <v>2585.22871</v>
      </c>
      <c r="Y160" s="8">
        <v>2240.427692</v>
      </c>
      <c r="Z160" s="8">
        <v>2005.072964</v>
      </c>
      <c r="AA160" s="9">
        <f t="shared" si="1"/>
        <v>68983.09938</v>
      </c>
      <c r="AB160" s="9">
        <v>20.0</v>
      </c>
      <c r="AC160" s="9">
        <f t="shared" si="2"/>
        <v>1379661.988</v>
      </c>
      <c r="AD160" s="10">
        <f>SUM(AC160:AC162)</f>
        <v>2000000</v>
      </c>
    </row>
    <row r="161" ht="14.25" customHeight="1">
      <c r="A161" s="72">
        <v>47908.0</v>
      </c>
      <c r="B161" s="8" t="s">
        <v>35</v>
      </c>
      <c r="C161" s="8">
        <v>1944.42122</v>
      </c>
      <c r="D161" s="8">
        <v>1842.912902</v>
      </c>
      <c r="E161" s="8">
        <v>1786.312658</v>
      </c>
      <c r="F161" s="8">
        <v>1742.435707</v>
      </c>
      <c r="G161" s="8">
        <v>1750.84291</v>
      </c>
      <c r="H161" s="8">
        <v>1757.986244</v>
      </c>
      <c r="I161" s="8">
        <v>2013.872788</v>
      </c>
      <c r="J161" s="8">
        <v>2472.636506</v>
      </c>
      <c r="K161" s="8">
        <v>2908.449371</v>
      </c>
      <c r="L161" s="8">
        <v>3248.819029</v>
      </c>
      <c r="M161" s="8">
        <v>3461.218666</v>
      </c>
      <c r="N161" s="8">
        <v>3558.693026</v>
      </c>
      <c r="O161" s="8">
        <v>3458.85554</v>
      </c>
      <c r="P161" s="8">
        <v>3349.234037</v>
      </c>
      <c r="Q161" s="8">
        <v>3273.991256</v>
      </c>
      <c r="R161" s="8">
        <v>3255.744707</v>
      </c>
      <c r="S161" s="8">
        <v>3216.638361</v>
      </c>
      <c r="T161" s="8">
        <v>3155.856921</v>
      </c>
      <c r="U161" s="8">
        <v>3082.652154</v>
      </c>
      <c r="V161" s="8">
        <v>2921.267773</v>
      </c>
      <c r="W161" s="8">
        <v>2672.604126</v>
      </c>
      <c r="X161" s="8">
        <v>2393.004475</v>
      </c>
      <c r="Y161" s="8">
        <v>2094.301368</v>
      </c>
      <c r="Z161" s="8">
        <v>1879.889325</v>
      </c>
      <c r="AA161" s="9">
        <f t="shared" si="1"/>
        <v>63242.64107</v>
      </c>
      <c r="AB161" s="9">
        <v>5.0</v>
      </c>
      <c r="AC161" s="9">
        <f t="shared" si="2"/>
        <v>316213.2054</v>
      </c>
      <c r="AD161" s="11"/>
    </row>
    <row r="162" ht="14.25" customHeight="1">
      <c r="A162" s="72">
        <v>47908.0</v>
      </c>
      <c r="B162" s="8" t="s">
        <v>36</v>
      </c>
      <c r="C162" s="8">
        <v>1740.94595</v>
      </c>
      <c r="D162" s="8">
        <v>1654.478322</v>
      </c>
      <c r="E162" s="8">
        <v>1574.591597</v>
      </c>
      <c r="F162" s="8">
        <v>1534.002811</v>
      </c>
      <c r="G162" s="8">
        <v>1499.780014</v>
      </c>
      <c r="H162" s="8">
        <v>1470.355259</v>
      </c>
      <c r="I162" s="8">
        <v>1517.883898</v>
      </c>
      <c r="J162" s="8">
        <v>1696.730625</v>
      </c>
      <c r="K162" s="8">
        <v>1931.959482</v>
      </c>
      <c r="L162" s="8">
        <v>2259.074969</v>
      </c>
      <c r="M162" s="8">
        <v>2523.326648</v>
      </c>
      <c r="N162" s="8">
        <v>2672.915063</v>
      </c>
      <c r="O162" s="8">
        <v>2724.442451</v>
      </c>
      <c r="P162" s="8">
        <v>2736.875839</v>
      </c>
      <c r="Q162" s="8">
        <v>2717.970834</v>
      </c>
      <c r="R162" s="8">
        <v>2704.809029</v>
      </c>
      <c r="S162" s="8">
        <v>2640.818988</v>
      </c>
      <c r="T162" s="8">
        <v>2576.744354</v>
      </c>
      <c r="U162" s="8">
        <v>2540.87496</v>
      </c>
      <c r="V162" s="8">
        <v>2414.274435</v>
      </c>
      <c r="W162" s="8">
        <v>2209.339587</v>
      </c>
      <c r="X162" s="8">
        <v>1973.991385</v>
      </c>
      <c r="Y162" s="8">
        <v>1762.25935</v>
      </c>
      <c r="Z162" s="8">
        <v>1609.021991</v>
      </c>
      <c r="AA162" s="9">
        <f t="shared" si="1"/>
        <v>50687.46784</v>
      </c>
      <c r="AB162" s="9">
        <v>6.0</v>
      </c>
      <c r="AC162" s="9">
        <f t="shared" si="2"/>
        <v>304124.807</v>
      </c>
      <c r="AD162" s="12"/>
    </row>
    <row r="163" ht="14.25" customHeight="1">
      <c r="A163" s="72">
        <v>47939.0</v>
      </c>
      <c r="B163" s="8" t="s">
        <v>34</v>
      </c>
      <c r="C163" s="8">
        <v>1789.42245</v>
      </c>
      <c r="D163" s="8">
        <v>1716.199226</v>
      </c>
      <c r="E163" s="8">
        <v>1675.242261</v>
      </c>
      <c r="F163" s="8">
        <v>1658.499934</v>
      </c>
      <c r="G163" s="8">
        <v>1684.074551</v>
      </c>
      <c r="H163" s="8">
        <v>1792.152715</v>
      </c>
      <c r="I163" s="8">
        <v>2168.520715</v>
      </c>
      <c r="J163" s="8">
        <v>2721.029537</v>
      </c>
      <c r="K163" s="8">
        <v>3183.272762</v>
      </c>
      <c r="L163" s="8">
        <v>3495.437472</v>
      </c>
      <c r="M163" s="8">
        <v>3749.40539</v>
      </c>
      <c r="N163" s="8">
        <v>3902.252663</v>
      </c>
      <c r="O163" s="8">
        <v>3850.922688</v>
      </c>
      <c r="P163" s="8">
        <v>3864.081001</v>
      </c>
      <c r="Q163" s="8">
        <v>3966.464102</v>
      </c>
      <c r="R163" s="8">
        <v>3968.138343</v>
      </c>
      <c r="S163" s="8">
        <v>3856.287608</v>
      </c>
      <c r="T163" s="8">
        <v>3598.872938</v>
      </c>
      <c r="U163" s="8">
        <v>3409.257046</v>
      </c>
      <c r="V163" s="8">
        <v>3193.822775</v>
      </c>
      <c r="W163" s="8">
        <v>2909.013839</v>
      </c>
      <c r="X163" s="8">
        <v>2585.22871</v>
      </c>
      <c r="Y163" s="8">
        <v>2240.427692</v>
      </c>
      <c r="Z163" s="8">
        <v>2005.072964</v>
      </c>
      <c r="AA163" s="9">
        <f t="shared" si="1"/>
        <v>68983.09938</v>
      </c>
      <c r="AB163" s="9">
        <v>20.0</v>
      </c>
      <c r="AC163" s="9">
        <f t="shared" si="2"/>
        <v>1379661.988</v>
      </c>
      <c r="AD163" s="10">
        <f>SUM(AC163:AC165)</f>
        <v>1936757.359</v>
      </c>
    </row>
    <row r="164" ht="14.25" customHeight="1">
      <c r="A164" s="72">
        <v>47939.0</v>
      </c>
      <c r="B164" s="8" t="s">
        <v>35</v>
      </c>
      <c r="C164" s="8">
        <v>1944.42122</v>
      </c>
      <c r="D164" s="8">
        <v>1842.912902</v>
      </c>
      <c r="E164" s="8">
        <v>1786.312658</v>
      </c>
      <c r="F164" s="8">
        <v>1742.435707</v>
      </c>
      <c r="G164" s="8">
        <v>1750.84291</v>
      </c>
      <c r="H164" s="8">
        <v>1757.986244</v>
      </c>
      <c r="I164" s="8">
        <v>2013.872788</v>
      </c>
      <c r="J164" s="8">
        <v>2472.636506</v>
      </c>
      <c r="K164" s="8">
        <v>2908.449371</v>
      </c>
      <c r="L164" s="8">
        <v>3248.819029</v>
      </c>
      <c r="M164" s="8">
        <v>3461.218666</v>
      </c>
      <c r="N164" s="8">
        <v>3558.693026</v>
      </c>
      <c r="O164" s="8">
        <v>3458.85554</v>
      </c>
      <c r="P164" s="8">
        <v>3349.234037</v>
      </c>
      <c r="Q164" s="8">
        <v>3273.991256</v>
      </c>
      <c r="R164" s="8">
        <v>3255.744707</v>
      </c>
      <c r="S164" s="8">
        <v>3216.638361</v>
      </c>
      <c r="T164" s="8">
        <v>3155.856921</v>
      </c>
      <c r="U164" s="8">
        <v>3082.652154</v>
      </c>
      <c r="V164" s="8">
        <v>2921.267773</v>
      </c>
      <c r="W164" s="8">
        <v>2672.604126</v>
      </c>
      <c r="X164" s="8">
        <v>2393.004475</v>
      </c>
      <c r="Y164" s="8">
        <v>2094.301368</v>
      </c>
      <c r="Z164" s="8">
        <v>1879.889325</v>
      </c>
      <c r="AA164" s="9">
        <f t="shared" si="1"/>
        <v>63242.64107</v>
      </c>
      <c r="AB164" s="9">
        <v>4.0</v>
      </c>
      <c r="AC164" s="9">
        <f t="shared" si="2"/>
        <v>252970.5643</v>
      </c>
      <c r="AD164" s="11"/>
    </row>
    <row r="165" ht="14.25" customHeight="1">
      <c r="A165" s="72">
        <v>47939.0</v>
      </c>
      <c r="B165" s="8" t="s">
        <v>36</v>
      </c>
      <c r="C165" s="8">
        <v>1740.94595</v>
      </c>
      <c r="D165" s="8">
        <v>1654.478322</v>
      </c>
      <c r="E165" s="8">
        <v>1574.591597</v>
      </c>
      <c r="F165" s="8">
        <v>1534.002811</v>
      </c>
      <c r="G165" s="8">
        <v>1499.780014</v>
      </c>
      <c r="H165" s="8">
        <v>1470.355259</v>
      </c>
      <c r="I165" s="8">
        <v>1517.883898</v>
      </c>
      <c r="J165" s="8">
        <v>1696.730625</v>
      </c>
      <c r="K165" s="8">
        <v>1931.959482</v>
      </c>
      <c r="L165" s="8">
        <v>2259.074969</v>
      </c>
      <c r="M165" s="8">
        <v>2523.326648</v>
      </c>
      <c r="N165" s="8">
        <v>2672.915063</v>
      </c>
      <c r="O165" s="8">
        <v>2724.442451</v>
      </c>
      <c r="P165" s="8">
        <v>2736.875839</v>
      </c>
      <c r="Q165" s="8">
        <v>2717.970834</v>
      </c>
      <c r="R165" s="8">
        <v>2704.809029</v>
      </c>
      <c r="S165" s="8">
        <v>2640.818988</v>
      </c>
      <c r="T165" s="8">
        <v>2576.744354</v>
      </c>
      <c r="U165" s="8">
        <v>2540.87496</v>
      </c>
      <c r="V165" s="8">
        <v>2414.274435</v>
      </c>
      <c r="W165" s="8">
        <v>2209.339587</v>
      </c>
      <c r="X165" s="8">
        <v>1973.991385</v>
      </c>
      <c r="Y165" s="8">
        <v>1762.25935</v>
      </c>
      <c r="Z165" s="8">
        <v>1609.021991</v>
      </c>
      <c r="AA165" s="9">
        <f t="shared" si="1"/>
        <v>50687.46784</v>
      </c>
      <c r="AB165" s="9">
        <v>6.0</v>
      </c>
      <c r="AC165" s="9">
        <f t="shared" si="2"/>
        <v>304124.807</v>
      </c>
      <c r="AD165" s="12"/>
    </row>
    <row r="166" ht="14.25" customHeight="1">
      <c r="A166" s="72">
        <v>47969.0</v>
      </c>
      <c r="B166" s="8" t="s">
        <v>34</v>
      </c>
      <c r="C166" s="8">
        <v>1789.42245</v>
      </c>
      <c r="D166" s="8">
        <v>1716.199226</v>
      </c>
      <c r="E166" s="8">
        <v>1675.242261</v>
      </c>
      <c r="F166" s="8">
        <v>1658.499934</v>
      </c>
      <c r="G166" s="8">
        <v>1684.074551</v>
      </c>
      <c r="H166" s="8">
        <v>1792.152715</v>
      </c>
      <c r="I166" s="8">
        <v>2168.520715</v>
      </c>
      <c r="J166" s="8">
        <v>2721.029537</v>
      </c>
      <c r="K166" s="8">
        <v>3183.272762</v>
      </c>
      <c r="L166" s="8">
        <v>3495.437472</v>
      </c>
      <c r="M166" s="8">
        <v>3749.40539</v>
      </c>
      <c r="N166" s="8">
        <v>3902.252663</v>
      </c>
      <c r="O166" s="8">
        <v>3850.922688</v>
      </c>
      <c r="P166" s="8">
        <v>3864.081001</v>
      </c>
      <c r="Q166" s="8">
        <v>3966.464102</v>
      </c>
      <c r="R166" s="8">
        <v>3968.138343</v>
      </c>
      <c r="S166" s="8">
        <v>3856.287608</v>
      </c>
      <c r="T166" s="8">
        <v>3598.872938</v>
      </c>
      <c r="U166" s="8">
        <v>3409.257046</v>
      </c>
      <c r="V166" s="8">
        <v>3193.822775</v>
      </c>
      <c r="W166" s="8">
        <v>2909.013839</v>
      </c>
      <c r="X166" s="8">
        <v>2585.22871</v>
      </c>
      <c r="Y166" s="8">
        <v>2240.427692</v>
      </c>
      <c r="Z166" s="8">
        <v>2005.072964</v>
      </c>
      <c r="AA166" s="9">
        <f t="shared" si="1"/>
        <v>68983.09938</v>
      </c>
      <c r="AB166" s="9">
        <v>20.0</v>
      </c>
      <c r="AC166" s="9">
        <f t="shared" si="2"/>
        <v>1379661.988</v>
      </c>
      <c r="AD166" s="10">
        <f>SUM(AC166:AC168)</f>
        <v>2000000</v>
      </c>
    </row>
    <row r="167" ht="14.25" customHeight="1">
      <c r="A167" s="72">
        <v>47969.0</v>
      </c>
      <c r="B167" s="8" t="s">
        <v>35</v>
      </c>
      <c r="C167" s="8">
        <v>1944.42122</v>
      </c>
      <c r="D167" s="8">
        <v>1842.912902</v>
      </c>
      <c r="E167" s="8">
        <v>1786.312658</v>
      </c>
      <c r="F167" s="8">
        <v>1742.435707</v>
      </c>
      <c r="G167" s="8">
        <v>1750.84291</v>
      </c>
      <c r="H167" s="8">
        <v>1757.986244</v>
      </c>
      <c r="I167" s="8">
        <v>2013.872788</v>
      </c>
      <c r="J167" s="8">
        <v>2472.636506</v>
      </c>
      <c r="K167" s="8">
        <v>2908.449371</v>
      </c>
      <c r="L167" s="8">
        <v>3248.819029</v>
      </c>
      <c r="M167" s="8">
        <v>3461.218666</v>
      </c>
      <c r="N167" s="8">
        <v>3558.693026</v>
      </c>
      <c r="O167" s="8">
        <v>3458.85554</v>
      </c>
      <c r="P167" s="8">
        <v>3349.234037</v>
      </c>
      <c r="Q167" s="8">
        <v>3273.991256</v>
      </c>
      <c r="R167" s="8">
        <v>3255.744707</v>
      </c>
      <c r="S167" s="8">
        <v>3216.638361</v>
      </c>
      <c r="T167" s="8">
        <v>3155.856921</v>
      </c>
      <c r="U167" s="8">
        <v>3082.652154</v>
      </c>
      <c r="V167" s="8">
        <v>2921.267773</v>
      </c>
      <c r="W167" s="8">
        <v>2672.604126</v>
      </c>
      <c r="X167" s="8">
        <v>2393.004475</v>
      </c>
      <c r="Y167" s="8">
        <v>2094.301368</v>
      </c>
      <c r="Z167" s="8">
        <v>1879.889325</v>
      </c>
      <c r="AA167" s="9">
        <f t="shared" si="1"/>
        <v>63242.64107</v>
      </c>
      <c r="AB167" s="9">
        <v>5.0</v>
      </c>
      <c r="AC167" s="9">
        <f t="shared" si="2"/>
        <v>316213.2054</v>
      </c>
      <c r="AD167" s="11"/>
    </row>
    <row r="168" ht="14.25" customHeight="1">
      <c r="A168" s="72">
        <v>47969.0</v>
      </c>
      <c r="B168" s="8" t="s">
        <v>36</v>
      </c>
      <c r="C168" s="8">
        <v>1740.94595</v>
      </c>
      <c r="D168" s="8">
        <v>1654.478322</v>
      </c>
      <c r="E168" s="8">
        <v>1574.591597</v>
      </c>
      <c r="F168" s="8">
        <v>1534.002811</v>
      </c>
      <c r="G168" s="8">
        <v>1499.780014</v>
      </c>
      <c r="H168" s="8">
        <v>1470.355259</v>
      </c>
      <c r="I168" s="8">
        <v>1517.883898</v>
      </c>
      <c r="J168" s="8">
        <v>1696.730625</v>
      </c>
      <c r="K168" s="8">
        <v>1931.959482</v>
      </c>
      <c r="L168" s="8">
        <v>2259.074969</v>
      </c>
      <c r="M168" s="8">
        <v>2523.326648</v>
      </c>
      <c r="N168" s="8">
        <v>2672.915063</v>
      </c>
      <c r="O168" s="8">
        <v>2724.442451</v>
      </c>
      <c r="P168" s="8">
        <v>2736.875839</v>
      </c>
      <c r="Q168" s="8">
        <v>2717.970834</v>
      </c>
      <c r="R168" s="8">
        <v>2704.809029</v>
      </c>
      <c r="S168" s="8">
        <v>2640.818988</v>
      </c>
      <c r="T168" s="8">
        <v>2576.744354</v>
      </c>
      <c r="U168" s="8">
        <v>2540.87496</v>
      </c>
      <c r="V168" s="8">
        <v>2414.274435</v>
      </c>
      <c r="W168" s="8">
        <v>2209.339587</v>
      </c>
      <c r="X168" s="8">
        <v>1973.991385</v>
      </c>
      <c r="Y168" s="8">
        <v>1762.25935</v>
      </c>
      <c r="Z168" s="8">
        <v>1609.021991</v>
      </c>
      <c r="AA168" s="9">
        <f t="shared" si="1"/>
        <v>50687.46784</v>
      </c>
      <c r="AB168" s="9">
        <v>6.0</v>
      </c>
      <c r="AC168" s="9">
        <f t="shared" si="2"/>
        <v>304124.807</v>
      </c>
      <c r="AD168" s="12"/>
    </row>
    <row r="169" ht="14.25" customHeight="1">
      <c r="A169" s="72">
        <v>48000.0</v>
      </c>
      <c r="B169" s="8" t="s">
        <v>34</v>
      </c>
      <c r="C169" s="8">
        <v>1789.42245</v>
      </c>
      <c r="D169" s="8">
        <v>1716.199226</v>
      </c>
      <c r="E169" s="8">
        <v>1675.242261</v>
      </c>
      <c r="F169" s="8">
        <v>1658.499934</v>
      </c>
      <c r="G169" s="8">
        <v>1684.074551</v>
      </c>
      <c r="H169" s="8">
        <v>1792.152715</v>
      </c>
      <c r="I169" s="8">
        <v>2168.520715</v>
      </c>
      <c r="J169" s="8">
        <v>2721.029537</v>
      </c>
      <c r="K169" s="8">
        <v>3183.272762</v>
      </c>
      <c r="L169" s="8">
        <v>3495.437472</v>
      </c>
      <c r="M169" s="8">
        <v>3749.40539</v>
      </c>
      <c r="N169" s="8">
        <v>3902.252663</v>
      </c>
      <c r="O169" s="8">
        <v>3850.922688</v>
      </c>
      <c r="P169" s="8">
        <v>3864.081001</v>
      </c>
      <c r="Q169" s="8">
        <v>3966.464102</v>
      </c>
      <c r="R169" s="8">
        <v>3968.138343</v>
      </c>
      <c r="S169" s="8">
        <v>3856.287608</v>
      </c>
      <c r="T169" s="8">
        <v>3598.872938</v>
      </c>
      <c r="U169" s="8">
        <v>3409.257046</v>
      </c>
      <c r="V169" s="8">
        <v>3193.822775</v>
      </c>
      <c r="W169" s="8">
        <v>2909.013839</v>
      </c>
      <c r="X169" s="8">
        <v>2585.22871</v>
      </c>
      <c r="Y169" s="8">
        <v>2240.427692</v>
      </c>
      <c r="Z169" s="8">
        <v>2005.072964</v>
      </c>
      <c r="AA169" s="9">
        <f t="shared" si="1"/>
        <v>68983.09938</v>
      </c>
      <c r="AB169" s="9">
        <v>18.0</v>
      </c>
      <c r="AC169" s="9">
        <f t="shared" si="2"/>
        <v>1241695.789</v>
      </c>
      <c r="AD169" s="10">
        <f>SUM(AC169:AC171)</f>
        <v>1900166.096</v>
      </c>
    </row>
    <row r="170" ht="14.25" customHeight="1">
      <c r="A170" s="72">
        <v>48000.0</v>
      </c>
      <c r="B170" s="8" t="s">
        <v>35</v>
      </c>
      <c r="C170" s="8">
        <v>1944.42122</v>
      </c>
      <c r="D170" s="8">
        <v>1842.912902</v>
      </c>
      <c r="E170" s="8">
        <v>1786.312658</v>
      </c>
      <c r="F170" s="8">
        <v>1742.435707</v>
      </c>
      <c r="G170" s="8">
        <v>1750.84291</v>
      </c>
      <c r="H170" s="8">
        <v>1757.986244</v>
      </c>
      <c r="I170" s="8">
        <v>2013.872788</v>
      </c>
      <c r="J170" s="8">
        <v>2472.636506</v>
      </c>
      <c r="K170" s="8">
        <v>2908.449371</v>
      </c>
      <c r="L170" s="8">
        <v>3248.819029</v>
      </c>
      <c r="M170" s="8">
        <v>3461.218666</v>
      </c>
      <c r="N170" s="8">
        <v>3558.693026</v>
      </c>
      <c r="O170" s="8">
        <v>3458.85554</v>
      </c>
      <c r="P170" s="8">
        <v>3349.234037</v>
      </c>
      <c r="Q170" s="8">
        <v>3273.991256</v>
      </c>
      <c r="R170" s="8">
        <v>3255.744707</v>
      </c>
      <c r="S170" s="8">
        <v>3216.638361</v>
      </c>
      <c r="T170" s="8">
        <v>3155.856921</v>
      </c>
      <c r="U170" s="8">
        <v>3082.652154</v>
      </c>
      <c r="V170" s="8">
        <v>2921.267773</v>
      </c>
      <c r="W170" s="8">
        <v>2672.604126</v>
      </c>
      <c r="X170" s="8">
        <v>2393.004475</v>
      </c>
      <c r="Y170" s="8">
        <v>2094.301368</v>
      </c>
      <c r="Z170" s="8">
        <v>1879.889325</v>
      </c>
      <c r="AA170" s="9">
        <f t="shared" si="1"/>
        <v>63242.64107</v>
      </c>
      <c r="AB170" s="9">
        <v>4.0</v>
      </c>
      <c r="AC170" s="9">
        <f t="shared" si="2"/>
        <v>252970.5643</v>
      </c>
      <c r="AD170" s="11"/>
    </row>
    <row r="171" ht="14.25" customHeight="1">
      <c r="A171" s="72">
        <v>48000.0</v>
      </c>
      <c r="B171" s="8" t="s">
        <v>36</v>
      </c>
      <c r="C171" s="8">
        <v>1740.94595</v>
      </c>
      <c r="D171" s="8">
        <v>1654.478322</v>
      </c>
      <c r="E171" s="8">
        <v>1574.591597</v>
      </c>
      <c r="F171" s="8">
        <v>1534.002811</v>
      </c>
      <c r="G171" s="8">
        <v>1499.780014</v>
      </c>
      <c r="H171" s="8">
        <v>1470.355259</v>
      </c>
      <c r="I171" s="8">
        <v>1517.883898</v>
      </c>
      <c r="J171" s="8">
        <v>1696.730625</v>
      </c>
      <c r="K171" s="8">
        <v>1931.959482</v>
      </c>
      <c r="L171" s="8">
        <v>2259.074969</v>
      </c>
      <c r="M171" s="8">
        <v>2523.326648</v>
      </c>
      <c r="N171" s="8">
        <v>2672.915063</v>
      </c>
      <c r="O171" s="8">
        <v>2724.442451</v>
      </c>
      <c r="P171" s="8">
        <v>2736.875839</v>
      </c>
      <c r="Q171" s="8">
        <v>2717.970834</v>
      </c>
      <c r="R171" s="8">
        <v>2704.809029</v>
      </c>
      <c r="S171" s="8">
        <v>2640.818988</v>
      </c>
      <c r="T171" s="8">
        <v>2576.744354</v>
      </c>
      <c r="U171" s="8">
        <v>2540.87496</v>
      </c>
      <c r="V171" s="8">
        <v>2414.274435</v>
      </c>
      <c r="W171" s="8">
        <v>2209.339587</v>
      </c>
      <c r="X171" s="8">
        <v>1973.991385</v>
      </c>
      <c r="Y171" s="8">
        <v>1762.25935</v>
      </c>
      <c r="Z171" s="8">
        <v>1609.021991</v>
      </c>
      <c r="AA171" s="9">
        <f t="shared" si="1"/>
        <v>50687.46784</v>
      </c>
      <c r="AB171" s="9">
        <v>8.0</v>
      </c>
      <c r="AC171" s="9">
        <f t="shared" si="2"/>
        <v>405499.7427</v>
      </c>
      <c r="AD171" s="12"/>
    </row>
    <row r="172" ht="14.25" customHeight="1">
      <c r="A172" s="72">
        <v>48030.0</v>
      </c>
      <c r="B172" s="8" t="s">
        <v>34</v>
      </c>
      <c r="C172" s="8">
        <v>1789.42245</v>
      </c>
      <c r="D172" s="8">
        <v>1716.199226</v>
      </c>
      <c r="E172" s="8">
        <v>1675.242261</v>
      </c>
      <c r="F172" s="8">
        <v>1658.499934</v>
      </c>
      <c r="G172" s="8">
        <v>1684.074551</v>
      </c>
      <c r="H172" s="8">
        <v>1792.152715</v>
      </c>
      <c r="I172" s="8">
        <v>2168.520715</v>
      </c>
      <c r="J172" s="8">
        <v>2721.029537</v>
      </c>
      <c r="K172" s="8">
        <v>3183.272762</v>
      </c>
      <c r="L172" s="8">
        <v>3495.437472</v>
      </c>
      <c r="M172" s="8">
        <v>3749.40539</v>
      </c>
      <c r="N172" s="8">
        <v>3902.252663</v>
      </c>
      <c r="O172" s="8">
        <v>3850.922688</v>
      </c>
      <c r="P172" s="8">
        <v>3864.081001</v>
      </c>
      <c r="Q172" s="8">
        <v>3966.464102</v>
      </c>
      <c r="R172" s="8">
        <v>3968.138343</v>
      </c>
      <c r="S172" s="8">
        <v>3856.287608</v>
      </c>
      <c r="T172" s="8">
        <v>3598.872938</v>
      </c>
      <c r="U172" s="8">
        <v>3409.257046</v>
      </c>
      <c r="V172" s="8">
        <v>3193.822775</v>
      </c>
      <c r="W172" s="8">
        <v>2909.013839</v>
      </c>
      <c r="X172" s="8">
        <v>2585.22871</v>
      </c>
      <c r="Y172" s="8">
        <v>2240.427692</v>
      </c>
      <c r="Z172" s="8">
        <v>2005.072964</v>
      </c>
      <c r="AA172" s="9">
        <f t="shared" si="1"/>
        <v>68983.09938</v>
      </c>
      <c r="AB172" s="9">
        <v>23.0</v>
      </c>
      <c r="AC172" s="9">
        <f t="shared" si="2"/>
        <v>1586611.286</v>
      </c>
      <c r="AD172" s="10">
        <f>SUM(AC172:AC174)</f>
        <v>2042331.721</v>
      </c>
    </row>
    <row r="173" ht="14.25" customHeight="1">
      <c r="A173" s="72">
        <v>48030.0</v>
      </c>
      <c r="B173" s="8" t="s">
        <v>35</v>
      </c>
      <c r="C173" s="8">
        <v>1944.42122</v>
      </c>
      <c r="D173" s="8">
        <v>1842.912902</v>
      </c>
      <c r="E173" s="8">
        <v>1786.312658</v>
      </c>
      <c r="F173" s="8">
        <v>1742.435707</v>
      </c>
      <c r="G173" s="8">
        <v>1750.84291</v>
      </c>
      <c r="H173" s="8">
        <v>1757.986244</v>
      </c>
      <c r="I173" s="8">
        <v>2013.872788</v>
      </c>
      <c r="J173" s="8">
        <v>2472.636506</v>
      </c>
      <c r="K173" s="8">
        <v>2908.449371</v>
      </c>
      <c r="L173" s="8">
        <v>3248.819029</v>
      </c>
      <c r="M173" s="8">
        <v>3461.218666</v>
      </c>
      <c r="N173" s="8">
        <v>3558.693026</v>
      </c>
      <c r="O173" s="8">
        <v>3458.85554</v>
      </c>
      <c r="P173" s="8">
        <v>3349.234037</v>
      </c>
      <c r="Q173" s="8">
        <v>3273.991256</v>
      </c>
      <c r="R173" s="8">
        <v>3255.744707</v>
      </c>
      <c r="S173" s="8">
        <v>3216.638361</v>
      </c>
      <c r="T173" s="8">
        <v>3155.856921</v>
      </c>
      <c r="U173" s="8">
        <v>3082.652154</v>
      </c>
      <c r="V173" s="8">
        <v>2921.267773</v>
      </c>
      <c r="W173" s="8">
        <v>2672.604126</v>
      </c>
      <c r="X173" s="8">
        <v>2393.004475</v>
      </c>
      <c r="Y173" s="8">
        <v>2094.301368</v>
      </c>
      <c r="Z173" s="8">
        <v>1879.889325</v>
      </c>
      <c r="AA173" s="9">
        <f t="shared" si="1"/>
        <v>63242.64107</v>
      </c>
      <c r="AB173" s="9">
        <v>4.0</v>
      </c>
      <c r="AC173" s="9">
        <f t="shared" si="2"/>
        <v>252970.5643</v>
      </c>
      <c r="AD173" s="11"/>
    </row>
    <row r="174" ht="14.25" customHeight="1">
      <c r="A174" s="72">
        <v>48030.0</v>
      </c>
      <c r="B174" s="8" t="s">
        <v>36</v>
      </c>
      <c r="C174" s="8">
        <v>1740.94595</v>
      </c>
      <c r="D174" s="8">
        <v>1654.478322</v>
      </c>
      <c r="E174" s="8">
        <v>1574.591597</v>
      </c>
      <c r="F174" s="8">
        <v>1534.002811</v>
      </c>
      <c r="G174" s="8">
        <v>1499.780014</v>
      </c>
      <c r="H174" s="8">
        <v>1470.355259</v>
      </c>
      <c r="I174" s="8">
        <v>1517.883898</v>
      </c>
      <c r="J174" s="8">
        <v>1696.730625</v>
      </c>
      <c r="K174" s="8">
        <v>1931.959482</v>
      </c>
      <c r="L174" s="8">
        <v>2259.074969</v>
      </c>
      <c r="M174" s="8">
        <v>2523.326648</v>
      </c>
      <c r="N174" s="8">
        <v>2672.915063</v>
      </c>
      <c r="O174" s="8">
        <v>2724.442451</v>
      </c>
      <c r="P174" s="8">
        <v>2736.875839</v>
      </c>
      <c r="Q174" s="8">
        <v>2717.970834</v>
      </c>
      <c r="R174" s="8">
        <v>2704.809029</v>
      </c>
      <c r="S174" s="8">
        <v>2640.818988</v>
      </c>
      <c r="T174" s="8">
        <v>2576.744354</v>
      </c>
      <c r="U174" s="8">
        <v>2540.87496</v>
      </c>
      <c r="V174" s="8">
        <v>2414.274435</v>
      </c>
      <c r="W174" s="8">
        <v>2209.339587</v>
      </c>
      <c r="X174" s="8">
        <v>1973.991385</v>
      </c>
      <c r="Y174" s="8">
        <v>1762.25935</v>
      </c>
      <c r="Z174" s="8">
        <v>1609.021991</v>
      </c>
      <c r="AA174" s="9">
        <f t="shared" si="1"/>
        <v>50687.46784</v>
      </c>
      <c r="AB174" s="9">
        <v>4.0</v>
      </c>
      <c r="AC174" s="9">
        <f t="shared" si="2"/>
        <v>202749.8714</v>
      </c>
      <c r="AD174" s="12"/>
    </row>
    <row r="175" ht="14.25" customHeight="1">
      <c r="A175" s="72">
        <v>48061.0</v>
      </c>
      <c r="B175" s="8" t="s">
        <v>34</v>
      </c>
      <c r="C175" s="8">
        <v>1789.42245</v>
      </c>
      <c r="D175" s="8">
        <v>1716.199226</v>
      </c>
      <c r="E175" s="8">
        <v>1675.242261</v>
      </c>
      <c r="F175" s="8">
        <v>1658.499934</v>
      </c>
      <c r="G175" s="8">
        <v>1684.074551</v>
      </c>
      <c r="H175" s="8">
        <v>1792.152715</v>
      </c>
      <c r="I175" s="8">
        <v>2168.520715</v>
      </c>
      <c r="J175" s="8">
        <v>2721.029537</v>
      </c>
      <c r="K175" s="8">
        <v>3183.272762</v>
      </c>
      <c r="L175" s="8">
        <v>3495.437472</v>
      </c>
      <c r="M175" s="8">
        <v>3749.40539</v>
      </c>
      <c r="N175" s="8">
        <v>3902.252663</v>
      </c>
      <c r="O175" s="8">
        <v>3850.922688</v>
      </c>
      <c r="P175" s="8">
        <v>3864.081001</v>
      </c>
      <c r="Q175" s="8">
        <v>3966.464102</v>
      </c>
      <c r="R175" s="8">
        <v>3968.138343</v>
      </c>
      <c r="S175" s="8">
        <v>3856.287608</v>
      </c>
      <c r="T175" s="8">
        <v>3598.872938</v>
      </c>
      <c r="U175" s="8">
        <v>3409.257046</v>
      </c>
      <c r="V175" s="8">
        <v>3193.822775</v>
      </c>
      <c r="W175" s="8">
        <v>2909.013839</v>
      </c>
      <c r="X175" s="8">
        <v>2585.22871</v>
      </c>
      <c r="Y175" s="8">
        <v>2240.427692</v>
      </c>
      <c r="Z175" s="8">
        <v>2005.072964</v>
      </c>
      <c r="AA175" s="9">
        <f t="shared" si="1"/>
        <v>68983.09938</v>
      </c>
      <c r="AB175" s="9">
        <v>19.0</v>
      </c>
      <c r="AC175" s="9">
        <f t="shared" si="2"/>
        <v>1310678.888</v>
      </c>
      <c r="AD175" s="10">
        <f>SUM(AC175:AC177)</f>
        <v>1981704.368</v>
      </c>
    </row>
    <row r="176" ht="14.25" customHeight="1">
      <c r="A176" s="72">
        <v>48061.0</v>
      </c>
      <c r="B176" s="8" t="s">
        <v>35</v>
      </c>
      <c r="C176" s="8">
        <v>1944.42122</v>
      </c>
      <c r="D176" s="8">
        <v>1842.912902</v>
      </c>
      <c r="E176" s="8">
        <v>1786.312658</v>
      </c>
      <c r="F176" s="8">
        <v>1742.435707</v>
      </c>
      <c r="G176" s="8">
        <v>1750.84291</v>
      </c>
      <c r="H176" s="8">
        <v>1757.986244</v>
      </c>
      <c r="I176" s="8">
        <v>2013.872788</v>
      </c>
      <c r="J176" s="8">
        <v>2472.636506</v>
      </c>
      <c r="K176" s="8">
        <v>2908.449371</v>
      </c>
      <c r="L176" s="8">
        <v>3248.819029</v>
      </c>
      <c r="M176" s="8">
        <v>3461.218666</v>
      </c>
      <c r="N176" s="8">
        <v>3558.693026</v>
      </c>
      <c r="O176" s="8">
        <v>3458.85554</v>
      </c>
      <c r="P176" s="8">
        <v>3349.234037</v>
      </c>
      <c r="Q176" s="8">
        <v>3273.991256</v>
      </c>
      <c r="R176" s="8">
        <v>3255.744707</v>
      </c>
      <c r="S176" s="8">
        <v>3216.638361</v>
      </c>
      <c r="T176" s="8">
        <v>3155.856921</v>
      </c>
      <c r="U176" s="8">
        <v>3082.652154</v>
      </c>
      <c r="V176" s="8">
        <v>2921.267773</v>
      </c>
      <c r="W176" s="8">
        <v>2672.604126</v>
      </c>
      <c r="X176" s="8">
        <v>2393.004475</v>
      </c>
      <c r="Y176" s="8">
        <v>2094.301368</v>
      </c>
      <c r="Z176" s="8">
        <v>1879.889325</v>
      </c>
      <c r="AA176" s="9">
        <f t="shared" si="1"/>
        <v>63242.64107</v>
      </c>
      <c r="AB176" s="9">
        <v>5.0</v>
      </c>
      <c r="AC176" s="9">
        <f t="shared" si="2"/>
        <v>316213.2054</v>
      </c>
      <c r="AD176" s="11"/>
    </row>
    <row r="177" ht="14.25" customHeight="1">
      <c r="A177" s="72">
        <v>48061.0</v>
      </c>
      <c r="B177" s="8" t="s">
        <v>36</v>
      </c>
      <c r="C177" s="8">
        <v>1740.94595</v>
      </c>
      <c r="D177" s="8">
        <v>1654.478322</v>
      </c>
      <c r="E177" s="8">
        <v>1574.591597</v>
      </c>
      <c r="F177" s="8">
        <v>1534.002811</v>
      </c>
      <c r="G177" s="8">
        <v>1499.780014</v>
      </c>
      <c r="H177" s="8">
        <v>1470.355259</v>
      </c>
      <c r="I177" s="8">
        <v>1517.883898</v>
      </c>
      <c r="J177" s="8">
        <v>1696.730625</v>
      </c>
      <c r="K177" s="8">
        <v>1931.959482</v>
      </c>
      <c r="L177" s="8">
        <v>2259.074969</v>
      </c>
      <c r="M177" s="8">
        <v>2523.326648</v>
      </c>
      <c r="N177" s="8">
        <v>2672.915063</v>
      </c>
      <c r="O177" s="8">
        <v>2724.442451</v>
      </c>
      <c r="P177" s="8">
        <v>2736.875839</v>
      </c>
      <c r="Q177" s="8">
        <v>2717.970834</v>
      </c>
      <c r="R177" s="8">
        <v>2704.809029</v>
      </c>
      <c r="S177" s="8">
        <v>2640.818988</v>
      </c>
      <c r="T177" s="8">
        <v>2576.744354</v>
      </c>
      <c r="U177" s="8">
        <v>2540.87496</v>
      </c>
      <c r="V177" s="8">
        <v>2414.274435</v>
      </c>
      <c r="W177" s="8">
        <v>2209.339587</v>
      </c>
      <c r="X177" s="8">
        <v>1973.991385</v>
      </c>
      <c r="Y177" s="8">
        <v>1762.25935</v>
      </c>
      <c r="Z177" s="8">
        <v>1609.021991</v>
      </c>
      <c r="AA177" s="9">
        <f t="shared" si="1"/>
        <v>50687.46784</v>
      </c>
      <c r="AB177" s="9">
        <v>7.0</v>
      </c>
      <c r="AC177" s="9">
        <f t="shared" si="2"/>
        <v>354812.2749</v>
      </c>
      <c r="AD177" s="12"/>
    </row>
    <row r="178" ht="14.25" customHeight="1">
      <c r="A178" s="72">
        <v>48092.0</v>
      </c>
      <c r="B178" s="8" t="s">
        <v>34</v>
      </c>
      <c r="C178" s="8">
        <v>1789.42245</v>
      </c>
      <c r="D178" s="8">
        <v>1716.199226</v>
      </c>
      <c r="E178" s="8">
        <v>1675.242261</v>
      </c>
      <c r="F178" s="8">
        <v>1658.499934</v>
      </c>
      <c r="G178" s="8">
        <v>1684.074551</v>
      </c>
      <c r="H178" s="8">
        <v>1792.152715</v>
      </c>
      <c r="I178" s="8">
        <v>2168.520715</v>
      </c>
      <c r="J178" s="8">
        <v>2721.029537</v>
      </c>
      <c r="K178" s="8">
        <v>3183.272762</v>
      </c>
      <c r="L178" s="8">
        <v>3495.437472</v>
      </c>
      <c r="M178" s="8">
        <v>3749.40539</v>
      </c>
      <c r="N178" s="8">
        <v>3902.252663</v>
      </c>
      <c r="O178" s="8">
        <v>3850.922688</v>
      </c>
      <c r="P178" s="8">
        <v>3864.081001</v>
      </c>
      <c r="Q178" s="8">
        <v>3966.464102</v>
      </c>
      <c r="R178" s="8">
        <v>3968.138343</v>
      </c>
      <c r="S178" s="8">
        <v>3856.287608</v>
      </c>
      <c r="T178" s="8">
        <v>3598.872938</v>
      </c>
      <c r="U178" s="8">
        <v>3409.257046</v>
      </c>
      <c r="V178" s="8">
        <v>3193.822775</v>
      </c>
      <c r="W178" s="8">
        <v>2909.013839</v>
      </c>
      <c r="X178" s="8">
        <v>2585.22871</v>
      </c>
      <c r="Y178" s="8">
        <v>2240.427692</v>
      </c>
      <c r="Z178" s="8">
        <v>2005.072964</v>
      </c>
      <c r="AA178" s="9">
        <f t="shared" si="1"/>
        <v>68983.09938</v>
      </c>
      <c r="AB178" s="9">
        <v>22.0</v>
      </c>
      <c r="AC178" s="9">
        <f t="shared" si="2"/>
        <v>1517628.186</v>
      </c>
      <c r="AD178" s="10">
        <f>SUM(AC178:AC180)</f>
        <v>1973348.622</v>
      </c>
    </row>
    <row r="179" ht="14.25" customHeight="1">
      <c r="A179" s="72">
        <v>48092.0</v>
      </c>
      <c r="B179" s="8" t="s">
        <v>35</v>
      </c>
      <c r="C179" s="8">
        <v>1944.42122</v>
      </c>
      <c r="D179" s="8">
        <v>1842.912902</v>
      </c>
      <c r="E179" s="8">
        <v>1786.312658</v>
      </c>
      <c r="F179" s="8">
        <v>1742.435707</v>
      </c>
      <c r="G179" s="8">
        <v>1750.84291</v>
      </c>
      <c r="H179" s="8">
        <v>1757.986244</v>
      </c>
      <c r="I179" s="8">
        <v>2013.872788</v>
      </c>
      <c r="J179" s="8">
        <v>2472.636506</v>
      </c>
      <c r="K179" s="8">
        <v>2908.449371</v>
      </c>
      <c r="L179" s="8">
        <v>3248.819029</v>
      </c>
      <c r="M179" s="8">
        <v>3461.218666</v>
      </c>
      <c r="N179" s="8">
        <v>3558.693026</v>
      </c>
      <c r="O179" s="8">
        <v>3458.85554</v>
      </c>
      <c r="P179" s="8">
        <v>3349.234037</v>
      </c>
      <c r="Q179" s="8">
        <v>3273.991256</v>
      </c>
      <c r="R179" s="8">
        <v>3255.744707</v>
      </c>
      <c r="S179" s="8">
        <v>3216.638361</v>
      </c>
      <c r="T179" s="8">
        <v>3155.856921</v>
      </c>
      <c r="U179" s="8">
        <v>3082.652154</v>
      </c>
      <c r="V179" s="8">
        <v>2921.267773</v>
      </c>
      <c r="W179" s="8">
        <v>2672.604126</v>
      </c>
      <c r="X179" s="8">
        <v>2393.004475</v>
      </c>
      <c r="Y179" s="8">
        <v>2094.301368</v>
      </c>
      <c r="Z179" s="8">
        <v>1879.889325</v>
      </c>
      <c r="AA179" s="9">
        <f t="shared" si="1"/>
        <v>63242.64107</v>
      </c>
      <c r="AB179" s="9">
        <v>4.0</v>
      </c>
      <c r="AC179" s="9">
        <f t="shared" si="2"/>
        <v>252970.5643</v>
      </c>
      <c r="AD179" s="11"/>
    </row>
    <row r="180" ht="14.25" customHeight="1">
      <c r="A180" s="72">
        <v>48092.0</v>
      </c>
      <c r="B180" s="8" t="s">
        <v>36</v>
      </c>
      <c r="C180" s="8">
        <v>1740.94595</v>
      </c>
      <c r="D180" s="8">
        <v>1654.478322</v>
      </c>
      <c r="E180" s="8">
        <v>1574.591597</v>
      </c>
      <c r="F180" s="8">
        <v>1534.002811</v>
      </c>
      <c r="G180" s="8">
        <v>1499.780014</v>
      </c>
      <c r="H180" s="8">
        <v>1470.355259</v>
      </c>
      <c r="I180" s="8">
        <v>1517.883898</v>
      </c>
      <c r="J180" s="8">
        <v>1696.730625</v>
      </c>
      <c r="K180" s="8">
        <v>1931.959482</v>
      </c>
      <c r="L180" s="8">
        <v>2259.074969</v>
      </c>
      <c r="M180" s="8">
        <v>2523.326648</v>
      </c>
      <c r="N180" s="8">
        <v>2672.915063</v>
      </c>
      <c r="O180" s="8">
        <v>2724.442451</v>
      </c>
      <c r="P180" s="8">
        <v>2736.875839</v>
      </c>
      <c r="Q180" s="8">
        <v>2717.970834</v>
      </c>
      <c r="R180" s="8">
        <v>2704.809029</v>
      </c>
      <c r="S180" s="8">
        <v>2640.818988</v>
      </c>
      <c r="T180" s="8">
        <v>2576.744354</v>
      </c>
      <c r="U180" s="8">
        <v>2540.87496</v>
      </c>
      <c r="V180" s="8">
        <v>2414.274435</v>
      </c>
      <c r="W180" s="8">
        <v>2209.339587</v>
      </c>
      <c r="X180" s="8">
        <v>1973.991385</v>
      </c>
      <c r="Y180" s="8">
        <v>1762.25935</v>
      </c>
      <c r="Z180" s="8">
        <v>1609.021991</v>
      </c>
      <c r="AA180" s="9">
        <f t="shared" si="1"/>
        <v>50687.46784</v>
      </c>
      <c r="AB180" s="9">
        <v>4.0</v>
      </c>
      <c r="AC180" s="9">
        <f t="shared" si="2"/>
        <v>202749.8714</v>
      </c>
      <c r="AD180" s="12"/>
    </row>
    <row r="181" ht="14.25" customHeight="1">
      <c r="A181" s="72">
        <v>48122.0</v>
      </c>
      <c r="B181" s="8" t="s">
        <v>34</v>
      </c>
      <c r="C181" s="8">
        <v>1789.42245</v>
      </c>
      <c r="D181" s="8">
        <v>1716.199226</v>
      </c>
      <c r="E181" s="8">
        <v>1675.242261</v>
      </c>
      <c r="F181" s="8">
        <v>1658.499934</v>
      </c>
      <c r="G181" s="8">
        <v>1684.074551</v>
      </c>
      <c r="H181" s="8">
        <v>1792.152715</v>
      </c>
      <c r="I181" s="8">
        <v>2168.520715</v>
      </c>
      <c r="J181" s="8">
        <v>2721.029537</v>
      </c>
      <c r="K181" s="8">
        <v>3183.272762</v>
      </c>
      <c r="L181" s="8">
        <v>3495.437472</v>
      </c>
      <c r="M181" s="8">
        <v>3749.40539</v>
      </c>
      <c r="N181" s="8">
        <v>3902.252663</v>
      </c>
      <c r="O181" s="8">
        <v>3850.922688</v>
      </c>
      <c r="P181" s="8">
        <v>3864.081001</v>
      </c>
      <c r="Q181" s="8">
        <v>3966.464102</v>
      </c>
      <c r="R181" s="8">
        <v>3968.138343</v>
      </c>
      <c r="S181" s="8">
        <v>3856.287608</v>
      </c>
      <c r="T181" s="8">
        <v>3598.872938</v>
      </c>
      <c r="U181" s="8">
        <v>3409.257046</v>
      </c>
      <c r="V181" s="8">
        <v>3193.822775</v>
      </c>
      <c r="W181" s="8">
        <v>2909.013839</v>
      </c>
      <c r="X181" s="8">
        <v>2585.22871</v>
      </c>
      <c r="Y181" s="8">
        <v>2240.427692</v>
      </c>
      <c r="Z181" s="8">
        <v>2005.072964</v>
      </c>
      <c r="AA181" s="9">
        <f t="shared" si="1"/>
        <v>68983.09938</v>
      </c>
      <c r="AB181" s="9">
        <v>22.0</v>
      </c>
      <c r="AC181" s="9">
        <f t="shared" si="2"/>
        <v>1517628.186</v>
      </c>
      <c r="AD181" s="10">
        <f>SUM(AC181:AC183)</f>
        <v>2024036.09</v>
      </c>
    </row>
    <row r="182" ht="14.25" customHeight="1">
      <c r="A182" s="72">
        <v>48122.0</v>
      </c>
      <c r="B182" s="8" t="s">
        <v>35</v>
      </c>
      <c r="C182" s="8">
        <v>1944.42122</v>
      </c>
      <c r="D182" s="8">
        <v>1842.912902</v>
      </c>
      <c r="E182" s="8">
        <v>1786.312658</v>
      </c>
      <c r="F182" s="8">
        <v>1742.435707</v>
      </c>
      <c r="G182" s="8">
        <v>1750.84291</v>
      </c>
      <c r="H182" s="8">
        <v>1757.986244</v>
      </c>
      <c r="I182" s="8">
        <v>2013.872788</v>
      </c>
      <c r="J182" s="8">
        <v>2472.636506</v>
      </c>
      <c r="K182" s="8">
        <v>2908.449371</v>
      </c>
      <c r="L182" s="8">
        <v>3248.819029</v>
      </c>
      <c r="M182" s="8">
        <v>3461.218666</v>
      </c>
      <c r="N182" s="8">
        <v>3558.693026</v>
      </c>
      <c r="O182" s="8">
        <v>3458.85554</v>
      </c>
      <c r="P182" s="8">
        <v>3349.234037</v>
      </c>
      <c r="Q182" s="8">
        <v>3273.991256</v>
      </c>
      <c r="R182" s="8">
        <v>3255.744707</v>
      </c>
      <c r="S182" s="8">
        <v>3216.638361</v>
      </c>
      <c r="T182" s="8">
        <v>3155.856921</v>
      </c>
      <c r="U182" s="8">
        <v>3082.652154</v>
      </c>
      <c r="V182" s="8">
        <v>2921.267773</v>
      </c>
      <c r="W182" s="8">
        <v>2672.604126</v>
      </c>
      <c r="X182" s="8">
        <v>2393.004475</v>
      </c>
      <c r="Y182" s="8">
        <v>2094.301368</v>
      </c>
      <c r="Z182" s="8">
        <v>1879.889325</v>
      </c>
      <c r="AA182" s="9">
        <f t="shared" si="1"/>
        <v>63242.64107</v>
      </c>
      <c r="AB182" s="9">
        <v>4.0</v>
      </c>
      <c r="AC182" s="9">
        <f t="shared" si="2"/>
        <v>252970.5643</v>
      </c>
      <c r="AD182" s="11"/>
    </row>
    <row r="183" ht="14.25" customHeight="1">
      <c r="A183" s="72">
        <v>48122.0</v>
      </c>
      <c r="B183" s="8" t="s">
        <v>36</v>
      </c>
      <c r="C183" s="8">
        <v>1740.94595</v>
      </c>
      <c r="D183" s="8">
        <v>1654.478322</v>
      </c>
      <c r="E183" s="8">
        <v>1574.591597</v>
      </c>
      <c r="F183" s="8">
        <v>1534.002811</v>
      </c>
      <c r="G183" s="8">
        <v>1499.780014</v>
      </c>
      <c r="H183" s="8">
        <v>1470.355259</v>
      </c>
      <c r="I183" s="8">
        <v>1517.883898</v>
      </c>
      <c r="J183" s="8">
        <v>1696.730625</v>
      </c>
      <c r="K183" s="8">
        <v>1931.959482</v>
      </c>
      <c r="L183" s="8">
        <v>2259.074969</v>
      </c>
      <c r="M183" s="8">
        <v>2523.326648</v>
      </c>
      <c r="N183" s="8">
        <v>2672.915063</v>
      </c>
      <c r="O183" s="8">
        <v>2724.442451</v>
      </c>
      <c r="P183" s="8">
        <v>2736.875839</v>
      </c>
      <c r="Q183" s="8">
        <v>2717.970834</v>
      </c>
      <c r="R183" s="8">
        <v>2704.809029</v>
      </c>
      <c r="S183" s="8">
        <v>2640.818988</v>
      </c>
      <c r="T183" s="8">
        <v>2576.744354</v>
      </c>
      <c r="U183" s="8">
        <v>2540.87496</v>
      </c>
      <c r="V183" s="8">
        <v>2414.274435</v>
      </c>
      <c r="W183" s="8">
        <v>2209.339587</v>
      </c>
      <c r="X183" s="8">
        <v>1973.991385</v>
      </c>
      <c r="Y183" s="8">
        <v>1762.25935</v>
      </c>
      <c r="Z183" s="8">
        <v>1609.021991</v>
      </c>
      <c r="AA183" s="9">
        <f t="shared" si="1"/>
        <v>50687.46784</v>
      </c>
      <c r="AB183" s="9">
        <v>5.0</v>
      </c>
      <c r="AC183" s="9">
        <f t="shared" si="2"/>
        <v>253437.3392</v>
      </c>
      <c r="AD183" s="12"/>
    </row>
    <row r="184" ht="14.25" customHeight="1">
      <c r="A184" s="72">
        <v>48153.0</v>
      </c>
      <c r="B184" s="8" t="s">
        <v>34</v>
      </c>
      <c r="C184" s="8">
        <v>1789.42245</v>
      </c>
      <c r="D184" s="8">
        <v>1716.199226</v>
      </c>
      <c r="E184" s="8">
        <v>1675.242261</v>
      </c>
      <c r="F184" s="8">
        <v>1658.499934</v>
      </c>
      <c r="G184" s="8">
        <v>1684.074551</v>
      </c>
      <c r="H184" s="8">
        <v>1792.152715</v>
      </c>
      <c r="I184" s="8">
        <v>2168.520715</v>
      </c>
      <c r="J184" s="8">
        <v>2721.029537</v>
      </c>
      <c r="K184" s="8">
        <v>3183.272762</v>
      </c>
      <c r="L184" s="8">
        <v>3495.437472</v>
      </c>
      <c r="M184" s="8">
        <v>3749.40539</v>
      </c>
      <c r="N184" s="8">
        <v>3902.252663</v>
      </c>
      <c r="O184" s="8">
        <v>3850.922688</v>
      </c>
      <c r="P184" s="8">
        <v>3864.081001</v>
      </c>
      <c r="Q184" s="8">
        <v>3966.464102</v>
      </c>
      <c r="R184" s="8">
        <v>3968.138343</v>
      </c>
      <c r="S184" s="8">
        <v>3856.287608</v>
      </c>
      <c r="T184" s="8">
        <v>3598.872938</v>
      </c>
      <c r="U184" s="8">
        <v>3409.257046</v>
      </c>
      <c r="V184" s="8">
        <v>3193.822775</v>
      </c>
      <c r="W184" s="8">
        <v>2909.013839</v>
      </c>
      <c r="X184" s="8">
        <v>2585.22871</v>
      </c>
      <c r="Y184" s="8">
        <v>2240.427692</v>
      </c>
      <c r="Z184" s="8">
        <v>2005.072964</v>
      </c>
      <c r="AA184" s="9">
        <f t="shared" si="1"/>
        <v>68983.09938</v>
      </c>
      <c r="AB184" s="9">
        <v>18.0</v>
      </c>
      <c r="AC184" s="9">
        <f t="shared" si="2"/>
        <v>1241695.789</v>
      </c>
      <c r="AD184" s="10">
        <f>SUM(AC184:AC186)</f>
        <v>1912721.269</v>
      </c>
    </row>
    <row r="185" ht="14.25" customHeight="1">
      <c r="A185" s="72">
        <v>48153.0</v>
      </c>
      <c r="B185" s="8" t="s">
        <v>35</v>
      </c>
      <c r="C185" s="8">
        <v>1944.42122</v>
      </c>
      <c r="D185" s="8">
        <v>1842.912902</v>
      </c>
      <c r="E185" s="8">
        <v>1786.312658</v>
      </c>
      <c r="F185" s="8">
        <v>1742.435707</v>
      </c>
      <c r="G185" s="8">
        <v>1750.84291</v>
      </c>
      <c r="H185" s="8">
        <v>1757.986244</v>
      </c>
      <c r="I185" s="8">
        <v>2013.872788</v>
      </c>
      <c r="J185" s="8">
        <v>2472.636506</v>
      </c>
      <c r="K185" s="8">
        <v>2908.449371</v>
      </c>
      <c r="L185" s="8">
        <v>3248.819029</v>
      </c>
      <c r="M185" s="8">
        <v>3461.218666</v>
      </c>
      <c r="N185" s="8">
        <v>3558.693026</v>
      </c>
      <c r="O185" s="8">
        <v>3458.85554</v>
      </c>
      <c r="P185" s="8">
        <v>3349.234037</v>
      </c>
      <c r="Q185" s="8">
        <v>3273.991256</v>
      </c>
      <c r="R185" s="8">
        <v>3255.744707</v>
      </c>
      <c r="S185" s="8">
        <v>3216.638361</v>
      </c>
      <c r="T185" s="8">
        <v>3155.856921</v>
      </c>
      <c r="U185" s="8">
        <v>3082.652154</v>
      </c>
      <c r="V185" s="8">
        <v>2921.267773</v>
      </c>
      <c r="W185" s="8">
        <v>2672.604126</v>
      </c>
      <c r="X185" s="8">
        <v>2393.004475</v>
      </c>
      <c r="Y185" s="8">
        <v>2094.301368</v>
      </c>
      <c r="Z185" s="8">
        <v>1879.889325</v>
      </c>
      <c r="AA185" s="9">
        <f t="shared" si="1"/>
        <v>63242.64107</v>
      </c>
      <c r="AB185" s="9">
        <v>5.0</v>
      </c>
      <c r="AC185" s="9">
        <f t="shared" si="2"/>
        <v>316213.2054</v>
      </c>
      <c r="AD185" s="11"/>
    </row>
    <row r="186" ht="14.25" customHeight="1">
      <c r="A186" s="72">
        <v>48153.0</v>
      </c>
      <c r="B186" s="8" t="s">
        <v>36</v>
      </c>
      <c r="C186" s="8">
        <v>1740.94595</v>
      </c>
      <c r="D186" s="8">
        <v>1654.478322</v>
      </c>
      <c r="E186" s="8">
        <v>1574.591597</v>
      </c>
      <c r="F186" s="8">
        <v>1534.002811</v>
      </c>
      <c r="G186" s="8">
        <v>1499.780014</v>
      </c>
      <c r="H186" s="8">
        <v>1470.355259</v>
      </c>
      <c r="I186" s="8">
        <v>1517.883898</v>
      </c>
      <c r="J186" s="8">
        <v>1696.730625</v>
      </c>
      <c r="K186" s="8">
        <v>1931.959482</v>
      </c>
      <c r="L186" s="8">
        <v>2259.074969</v>
      </c>
      <c r="M186" s="8">
        <v>2523.326648</v>
      </c>
      <c r="N186" s="8">
        <v>2672.915063</v>
      </c>
      <c r="O186" s="8">
        <v>2724.442451</v>
      </c>
      <c r="P186" s="8">
        <v>2736.875839</v>
      </c>
      <c r="Q186" s="8">
        <v>2717.970834</v>
      </c>
      <c r="R186" s="8">
        <v>2704.809029</v>
      </c>
      <c r="S186" s="8">
        <v>2640.818988</v>
      </c>
      <c r="T186" s="8">
        <v>2576.744354</v>
      </c>
      <c r="U186" s="8">
        <v>2540.87496</v>
      </c>
      <c r="V186" s="8">
        <v>2414.274435</v>
      </c>
      <c r="W186" s="8">
        <v>2209.339587</v>
      </c>
      <c r="X186" s="8">
        <v>1973.991385</v>
      </c>
      <c r="Y186" s="8">
        <v>1762.25935</v>
      </c>
      <c r="Z186" s="8">
        <v>1609.021991</v>
      </c>
      <c r="AA186" s="9">
        <f t="shared" si="1"/>
        <v>50687.46784</v>
      </c>
      <c r="AB186" s="9">
        <v>7.0</v>
      </c>
      <c r="AC186" s="9">
        <f t="shared" si="2"/>
        <v>354812.2749</v>
      </c>
      <c r="AD186" s="12"/>
    </row>
    <row r="187" ht="14.25" customHeight="1">
      <c r="A187" s="72">
        <v>48183.0</v>
      </c>
      <c r="B187" s="8" t="s">
        <v>34</v>
      </c>
      <c r="C187" s="8">
        <v>1789.42245</v>
      </c>
      <c r="D187" s="8">
        <v>1716.199226</v>
      </c>
      <c r="E187" s="8">
        <v>1675.242261</v>
      </c>
      <c r="F187" s="8">
        <v>1658.499934</v>
      </c>
      <c r="G187" s="8">
        <v>1684.074551</v>
      </c>
      <c r="H187" s="8">
        <v>1792.152715</v>
      </c>
      <c r="I187" s="8">
        <v>2168.520715</v>
      </c>
      <c r="J187" s="8">
        <v>2721.029537</v>
      </c>
      <c r="K187" s="8">
        <v>3183.272762</v>
      </c>
      <c r="L187" s="8">
        <v>3495.437472</v>
      </c>
      <c r="M187" s="8">
        <v>3749.40539</v>
      </c>
      <c r="N187" s="8">
        <v>3902.252663</v>
      </c>
      <c r="O187" s="8">
        <v>3850.922688</v>
      </c>
      <c r="P187" s="8">
        <v>3864.081001</v>
      </c>
      <c r="Q187" s="8">
        <v>3966.464102</v>
      </c>
      <c r="R187" s="8">
        <v>3968.138343</v>
      </c>
      <c r="S187" s="8">
        <v>3856.287608</v>
      </c>
      <c r="T187" s="8">
        <v>3598.872938</v>
      </c>
      <c r="U187" s="8">
        <v>3409.257046</v>
      </c>
      <c r="V187" s="8">
        <v>3193.822775</v>
      </c>
      <c r="W187" s="8">
        <v>2909.013839</v>
      </c>
      <c r="X187" s="8">
        <v>2585.22871</v>
      </c>
      <c r="Y187" s="8">
        <v>2240.427692</v>
      </c>
      <c r="Z187" s="8">
        <v>2005.072964</v>
      </c>
      <c r="AA187" s="9">
        <f t="shared" si="1"/>
        <v>68983.09938</v>
      </c>
      <c r="AB187" s="9">
        <v>21.0</v>
      </c>
      <c r="AC187" s="9">
        <f t="shared" si="2"/>
        <v>1448645.087</v>
      </c>
      <c r="AD187" s="10">
        <f>SUM(AC187:AC189)</f>
        <v>2005740.458</v>
      </c>
    </row>
    <row r="188" ht="14.25" customHeight="1">
      <c r="A188" s="72">
        <v>48183.0</v>
      </c>
      <c r="B188" s="8" t="s">
        <v>35</v>
      </c>
      <c r="C188" s="8">
        <v>1944.42122</v>
      </c>
      <c r="D188" s="8">
        <v>1842.912902</v>
      </c>
      <c r="E188" s="8">
        <v>1786.312658</v>
      </c>
      <c r="F188" s="8">
        <v>1742.435707</v>
      </c>
      <c r="G188" s="8">
        <v>1750.84291</v>
      </c>
      <c r="H188" s="8">
        <v>1757.986244</v>
      </c>
      <c r="I188" s="8">
        <v>2013.872788</v>
      </c>
      <c r="J188" s="8">
        <v>2472.636506</v>
      </c>
      <c r="K188" s="8">
        <v>2908.449371</v>
      </c>
      <c r="L188" s="8">
        <v>3248.819029</v>
      </c>
      <c r="M188" s="8">
        <v>3461.218666</v>
      </c>
      <c r="N188" s="8">
        <v>3558.693026</v>
      </c>
      <c r="O188" s="8">
        <v>3458.85554</v>
      </c>
      <c r="P188" s="8">
        <v>3349.234037</v>
      </c>
      <c r="Q188" s="8">
        <v>3273.991256</v>
      </c>
      <c r="R188" s="8">
        <v>3255.744707</v>
      </c>
      <c r="S188" s="8">
        <v>3216.638361</v>
      </c>
      <c r="T188" s="8">
        <v>3155.856921</v>
      </c>
      <c r="U188" s="8">
        <v>3082.652154</v>
      </c>
      <c r="V188" s="8">
        <v>2921.267773</v>
      </c>
      <c r="W188" s="8">
        <v>2672.604126</v>
      </c>
      <c r="X188" s="8">
        <v>2393.004475</v>
      </c>
      <c r="Y188" s="8">
        <v>2094.301368</v>
      </c>
      <c r="Z188" s="8">
        <v>1879.889325</v>
      </c>
      <c r="AA188" s="9">
        <f t="shared" si="1"/>
        <v>63242.64107</v>
      </c>
      <c r="AB188" s="9">
        <v>4.0</v>
      </c>
      <c r="AC188" s="9">
        <f t="shared" si="2"/>
        <v>252970.5643</v>
      </c>
      <c r="AD188" s="11"/>
    </row>
    <row r="189" ht="14.25" customHeight="1">
      <c r="A189" s="72">
        <v>48183.0</v>
      </c>
      <c r="B189" s="8" t="s">
        <v>36</v>
      </c>
      <c r="C189" s="8">
        <v>1740.94595</v>
      </c>
      <c r="D189" s="8">
        <v>1654.478322</v>
      </c>
      <c r="E189" s="8">
        <v>1574.591597</v>
      </c>
      <c r="F189" s="8">
        <v>1534.002811</v>
      </c>
      <c r="G189" s="8">
        <v>1499.780014</v>
      </c>
      <c r="H189" s="8">
        <v>1470.355259</v>
      </c>
      <c r="I189" s="8">
        <v>1517.883898</v>
      </c>
      <c r="J189" s="8">
        <v>1696.730625</v>
      </c>
      <c r="K189" s="8">
        <v>1931.959482</v>
      </c>
      <c r="L189" s="8">
        <v>2259.074969</v>
      </c>
      <c r="M189" s="8">
        <v>2523.326648</v>
      </c>
      <c r="N189" s="8">
        <v>2672.915063</v>
      </c>
      <c r="O189" s="8">
        <v>2724.442451</v>
      </c>
      <c r="P189" s="8">
        <v>2736.875839</v>
      </c>
      <c r="Q189" s="8">
        <v>2717.970834</v>
      </c>
      <c r="R189" s="8">
        <v>2704.809029</v>
      </c>
      <c r="S189" s="8">
        <v>2640.818988</v>
      </c>
      <c r="T189" s="8">
        <v>2576.744354</v>
      </c>
      <c r="U189" s="8">
        <v>2540.87496</v>
      </c>
      <c r="V189" s="8">
        <v>2414.274435</v>
      </c>
      <c r="W189" s="8">
        <v>2209.339587</v>
      </c>
      <c r="X189" s="8">
        <v>1973.991385</v>
      </c>
      <c r="Y189" s="8">
        <v>1762.25935</v>
      </c>
      <c r="Z189" s="8">
        <v>1609.021991</v>
      </c>
      <c r="AA189" s="9">
        <f t="shared" si="1"/>
        <v>50687.46784</v>
      </c>
      <c r="AB189" s="9">
        <v>6.0</v>
      </c>
      <c r="AC189" s="9">
        <f t="shared" si="2"/>
        <v>304124.807</v>
      </c>
      <c r="AD189" s="12"/>
    </row>
    <row r="190" ht="14.25" customHeight="1">
      <c r="A190" s="7">
        <v>48214.0</v>
      </c>
      <c r="B190" s="8" t="s">
        <v>34</v>
      </c>
      <c r="C190" s="8">
        <v>1789.42245</v>
      </c>
      <c r="D190" s="8">
        <v>1716.199226</v>
      </c>
      <c r="E190" s="8">
        <v>1675.242261</v>
      </c>
      <c r="F190" s="8">
        <v>1658.499934</v>
      </c>
      <c r="G190" s="8">
        <v>1684.074551</v>
      </c>
      <c r="H190" s="8">
        <v>1792.152715</v>
      </c>
      <c r="I190" s="8">
        <v>2168.520715</v>
      </c>
      <c r="J190" s="8">
        <v>2721.029537</v>
      </c>
      <c r="K190" s="8">
        <v>3183.272762</v>
      </c>
      <c r="L190" s="8">
        <v>3495.437472</v>
      </c>
      <c r="M190" s="8">
        <v>3749.40539</v>
      </c>
      <c r="N190" s="8">
        <v>3902.252663</v>
      </c>
      <c r="O190" s="8">
        <v>3850.922688</v>
      </c>
      <c r="P190" s="8">
        <v>3864.081001</v>
      </c>
      <c r="Q190" s="8">
        <v>3966.464102</v>
      </c>
      <c r="R190" s="8">
        <v>3968.138343</v>
      </c>
      <c r="S190" s="8">
        <v>3856.287608</v>
      </c>
      <c r="T190" s="8">
        <v>3598.872938</v>
      </c>
      <c r="U190" s="8">
        <v>3409.257046</v>
      </c>
      <c r="V190" s="8">
        <v>3193.822775</v>
      </c>
      <c r="W190" s="8">
        <v>2909.013839</v>
      </c>
      <c r="X190" s="8">
        <v>2585.22871</v>
      </c>
      <c r="Y190" s="8">
        <v>2240.427692</v>
      </c>
      <c r="Z190" s="8">
        <v>2005.072964</v>
      </c>
      <c r="AA190" s="9">
        <f t="shared" si="1"/>
        <v>68983.09938</v>
      </c>
      <c r="AB190" s="9">
        <v>20.0</v>
      </c>
      <c r="AC190" s="9">
        <f t="shared" si="2"/>
        <v>1379661.988</v>
      </c>
      <c r="AD190" s="10">
        <f>SUM(AC190:AC192)</f>
        <v>2000000</v>
      </c>
    </row>
    <row r="191" ht="14.25" customHeight="1">
      <c r="A191" s="7">
        <v>48214.0</v>
      </c>
      <c r="B191" s="8" t="s">
        <v>35</v>
      </c>
      <c r="C191" s="8">
        <v>1944.42122</v>
      </c>
      <c r="D191" s="8">
        <v>1842.912902</v>
      </c>
      <c r="E191" s="8">
        <v>1786.312658</v>
      </c>
      <c r="F191" s="8">
        <v>1742.435707</v>
      </c>
      <c r="G191" s="8">
        <v>1750.84291</v>
      </c>
      <c r="H191" s="8">
        <v>1757.986244</v>
      </c>
      <c r="I191" s="8">
        <v>2013.872788</v>
      </c>
      <c r="J191" s="8">
        <v>2472.636506</v>
      </c>
      <c r="K191" s="8">
        <v>2908.449371</v>
      </c>
      <c r="L191" s="8">
        <v>3248.819029</v>
      </c>
      <c r="M191" s="8">
        <v>3461.218666</v>
      </c>
      <c r="N191" s="8">
        <v>3558.693026</v>
      </c>
      <c r="O191" s="8">
        <v>3458.85554</v>
      </c>
      <c r="P191" s="8">
        <v>3349.234037</v>
      </c>
      <c r="Q191" s="8">
        <v>3273.991256</v>
      </c>
      <c r="R191" s="8">
        <v>3255.744707</v>
      </c>
      <c r="S191" s="8">
        <v>3216.638361</v>
      </c>
      <c r="T191" s="8">
        <v>3155.856921</v>
      </c>
      <c r="U191" s="8">
        <v>3082.652154</v>
      </c>
      <c r="V191" s="8">
        <v>2921.267773</v>
      </c>
      <c r="W191" s="8">
        <v>2672.604126</v>
      </c>
      <c r="X191" s="8">
        <v>2393.004475</v>
      </c>
      <c r="Y191" s="8">
        <v>2094.301368</v>
      </c>
      <c r="Z191" s="8">
        <v>1879.889325</v>
      </c>
      <c r="AA191" s="9">
        <f t="shared" si="1"/>
        <v>63242.64107</v>
      </c>
      <c r="AB191" s="9">
        <v>5.0</v>
      </c>
      <c r="AC191" s="9">
        <f t="shared" si="2"/>
        <v>316213.2054</v>
      </c>
      <c r="AD191" s="11"/>
    </row>
    <row r="192" ht="14.25" customHeight="1">
      <c r="A192" s="7">
        <v>48214.0</v>
      </c>
      <c r="B192" s="8" t="s">
        <v>36</v>
      </c>
      <c r="C192" s="8">
        <v>1740.94595</v>
      </c>
      <c r="D192" s="8">
        <v>1654.478322</v>
      </c>
      <c r="E192" s="8">
        <v>1574.591597</v>
      </c>
      <c r="F192" s="8">
        <v>1534.002811</v>
      </c>
      <c r="G192" s="8">
        <v>1499.780014</v>
      </c>
      <c r="H192" s="8">
        <v>1470.355259</v>
      </c>
      <c r="I192" s="8">
        <v>1517.883898</v>
      </c>
      <c r="J192" s="8">
        <v>1696.730625</v>
      </c>
      <c r="K192" s="8">
        <v>1931.959482</v>
      </c>
      <c r="L192" s="8">
        <v>2259.074969</v>
      </c>
      <c r="M192" s="8">
        <v>2523.326648</v>
      </c>
      <c r="N192" s="8">
        <v>2672.915063</v>
      </c>
      <c r="O192" s="8">
        <v>2724.442451</v>
      </c>
      <c r="P192" s="8">
        <v>2736.875839</v>
      </c>
      <c r="Q192" s="8">
        <v>2717.970834</v>
      </c>
      <c r="R192" s="8">
        <v>2704.809029</v>
      </c>
      <c r="S192" s="8">
        <v>2640.818988</v>
      </c>
      <c r="T192" s="8">
        <v>2576.744354</v>
      </c>
      <c r="U192" s="8">
        <v>2540.87496</v>
      </c>
      <c r="V192" s="8">
        <v>2414.274435</v>
      </c>
      <c r="W192" s="8">
        <v>2209.339587</v>
      </c>
      <c r="X192" s="8">
        <v>1973.991385</v>
      </c>
      <c r="Y192" s="8">
        <v>1762.25935</v>
      </c>
      <c r="Z192" s="8">
        <v>1609.021991</v>
      </c>
      <c r="AA192" s="9">
        <f t="shared" si="1"/>
        <v>50687.46784</v>
      </c>
      <c r="AB192" s="9">
        <v>6.0</v>
      </c>
      <c r="AC192" s="9">
        <f t="shared" si="2"/>
        <v>304124.807</v>
      </c>
      <c r="AD192" s="12"/>
    </row>
    <row r="193" ht="14.25" customHeight="1">
      <c r="A193" s="7">
        <v>48245.0</v>
      </c>
      <c r="B193" s="8" t="s">
        <v>34</v>
      </c>
      <c r="C193" s="8">
        <v>1789.42245</v>
      </c>
      <c r="D193" s="8">
        <v>1716.199226</v>
      </c>
      <c r="E193" s="8">
        <v>1675.242261</v>
      </c>
      <c r="F193" s="8">
        <v>1658.499934</v>
      </c>
      <c r="G193" s="8">
        <v>1684.074551</v>
      </c>
      <c r="H193" s="8">
        <v>1792.152715</v>
      </c>
      <c r="I193" s="8">
        <v>2168.520715</v>
      </c>
      <c r="J193" s="8">
        <v>2721.029537</v>
      </c>
      <c r="K193" s="8">
        <v>3183.272762</v>
      </c>
      <c r="L193" s="8">
        <v>3495.437472</v>
      </c>
      <c r="M193" s="8">
        <v>3749.40539</v>
      </c>
      <c r="N193" s="8">
        <v>3902.252663</v>
      </c>
      <c r="O193" s="8">
        <v>3850.922688</v>
      </c>
      <c r="P193" s="8">
        <v>3864.081001</v>
      </c>
      <c r="Q193" s="8">
        <v>3966.464102</v>
      </c>
      <c r="R193" s="8">
        <v>3968.138343</v>
      </c>
      <c r="S193" s="8">
        <v>3856.287608</v>
      </c>
      <c r="T193" s="8">
        <v>3598.872938</v>
      </c>
      <c r="U193" s="8">
        <v>3409.257046</v>
      </c>
      <c r="V193" s="8">
        <v>3193.822775</v>
      </c>
      <c r="W193" s="8">
        <v>2909.013839</v>
      </c>
      <c r="X193" s="8">
        <v>2585.22871</v>
      </c>
      <c r="Y193" s="8">
        <v>2240.427692</v>
      </c>
      <c r="Z193" s="8">
        <v>2005.072964</v>
      </c>
      <c r="AA193" s="9">
        <f t="shared" si="1"/>
        <v>68983.09938</v>
      </c>
      <c r="AB193" s="9">
        <v>20.0</v>
      </c>
      <c r="AC193" s="9">
        <f t="shared" si="2"/>
        <v>1379661.988</v>
      </c>
      <c r="AD193" s="10">
        <f>SUM(AC193:AC195)</f>
        <v>1886069.891</v>
      </c>
    </row>
    <row r="194" ht="14.25" customHeight="1">
      <c r="A194" s="7">
        <v>48245.0</v>
      </c>
      <c r="B194" s="8" t="s">
        <v>35</v>
      </c>
      <c r="C194" s="8">
        <v>1944.42122</v>
      </c>
      <c r="D194" s="8">
        <v>1842.912902</v>
      </c>
      <c r="E194" s="8">
        <v>1786.312658</v>
      </c>
      <c r="F194" s="8">
        <v>1742.435707</v>
      </c>
      <c r="G194" s="8">
        <v>1750.84291</v>
      </c>
      <c r="H194" s="8">
        <v>1757.986244</v>
      </c>
      <c r="I194" s="8">
        <v>2013.872788</v>
      </c>
      <c r="J194" s="8">
        <v>2472.636506</v>
      </c>
      <c r="K194" s="8">
        <v>2908.449371</v>
      </c>
      <c r="L194" s="8">
        <v>3248.819029</v>
      </c>
      <c r="M194" s="8">
        <v>3461.218666</v>
      </c>
      <c r="N194" s="8">
        <v>3558.693026</v>
      </c>
      <c r="O194" s="8">
        <v>3458.85554</v>
      </c>
      <c r="P194" s="8">
        <v>3349.234037</v>
      </c>
      <c r="Q194" s="8">
        <v>3273.991256</v>
      </c>
      <c r="R194" s="8">
        <v>3255.744707</v>
      </c>
      <c r="S194" s="8">
        <v>3216.638361</v>
      </c>
      <c r="T194" s="8">
        <v>3155.856921</v>
      </c>
      <c r="U194" s="8">
        <v>3082.652154</v>
      </c>
      <c r="V194" s="8">
        <v>2921.267773</v>
      </c>
      <c r="W194" s="8">
        <v>2672.604126</v>
      </c>
      <c r="X194" s="8">
        <v>2393.004475</v>
      </c>
      <c r="Y194" s="8">
        <v>2094.301368</v>
      </c>
      <c r="Z194" s="8">
        <v>1879.889325</v>
      </c>
      <c r="AA194" s="9">
        <f t="shared" si="1"/>
        <v>63242.64107</v>
      </c>
      <c r="AB194" s="9">
        <v>4.0</v>
      </c>
      <c r="AC194" s="9">
        <f t="shared" si="2"/>
        <v>252970.5643</v>
      </c>
      <c r="AD194" s="11"/>
    </row>
    <row r="195" ht="14.25" customHeight="1">
      <c r="A195" s="72">
        <v>48245.0</v>
      </c>
      <c r="B195" s="8" t="s">
        <v>36</v>
      </c>
      <c r="C195" s="8">
        <v>1740.94595</v>
      </c>
      <c r="D195" s="8">
        <v>1654.478322</v>
      </c>
      <c r="E195" s="8">
        <v>1574.591597</v>
      </c>
      <c r="F195" s="8">
        <v>1534.002811</v>
      </c>
      <c r="G195" s="8">
        <v>1499.780014</v>
      </c>
      <c r="H195" s="8">
        <v>1470.355259</v>
      </c>
      <c r="I195" s="8">
        <v>1517.883898</v>
      </c>
      <c r="J195" s="8">
        <v>1696.730625</v>
      </c>
      <c r="K195" s="8">
        <v>1931.959482</v>
      </c>
      <c r="L195" s="8">
        <v>2259.074969</v>
      </c>
      <c r="M195" s="8">
        <v>2523.326648</v>
      </c>
      <c r="N195" s="8">
        <v>2672.915063</v>
      </c>
      <c r="O195" s="8">
        <v>2724.442451</v>
      </c>
      <c r="P195" s="8">
        <v>2736.875839</v>
      </c>
      <c r="Q195" s="8">
        <v>2717.970834</v>
      </c>
      <c r="R195" s="8">
        <v>2704.809029</v>
      </c>
      <c r="S195" s="8">
        <v>2640.818988</v>
      </c>
      <c r="T195" s="8">
        <v>2576.744354</v>
      </c>
      <c r="U195" s="8">
        <v>2540.87496</v>
      </c>
      <c r="V195" s="8">
        <v>2414.274435</v>
      </c>
      <c r="W195" s="8">
        <v>2209.339587</v>
      </c>
      <c r="X195" s="8">
        <v>1973.991385</v>
      </c>
      <c r="Y195" s="8">
        <v>1762.25935</v>
      </c>
      <c r="Z195" s="8">
        <v>1609.021991</v>
      </c>
      <c r="AA195" s="9">
        <f t="shared" si="1"/>
        <v>50687.46784</v>
      </c>
      <c r="AB195" s="9">
        <v>5.0</v>
      </c>
      <c r="AC195" s="9">
        <f t="shared" si="2"/>
        <v>253437.3392</v>
      </c>
      <c r="AD195" s="12"/>
    </row>
    <row r="196" ht="14.25" customHeight="1">
      <c r="A196" s="72">
        <v>48274.0</v>
      </c>
      <c r="B196" s="8" t="s">
        <v>34</v>
      </c>
      <c r="C196" s="8">
        <v>1789.42245</v>
      </c>
      <c r="D196" s="8">
        <v>1716.199226</v>
      </c>
      <c r="E196" s="8">
        <v>1675.242261</v>
      </c>
      <c r="F196" s="8">
        <v>1658.499934</v>
      </c>
      <c r="G196" s="8">
        <v>1684.074551</v>
      </c>
      <c r="H196" s="8">
        <v>1792.152715</v>
      </c>
      <c r="I196" s="8">
        <v>2168.520715</v>
      </c>
      <c r="J196" s="8">
        <v>2721.029537</v>
      </c>
      <c r="K196" s="8">
        <v>3183.272762</v>
      </c>
      <c r="L196" s="8">
        <v>3495.437472</v>
      </c>
      <c r="M196" s="8">
        <v>3749.40539</v>
      </c>
      <c r="N196" s="8">
        <v>3902.252663</v>
      </c>
      <c r="O196" s="8">
        <v>3850.922688</v>
      </c>
      <c r="P196" s="8">
        <v>3864.081001</v>
      </c>
      <c r="Q196" s="8">
        <v>3966.464102</v>
      </c>
      <c r="R196" s="8">
        <v>3968.138343</v>
      </c>
      <c r="S196" s="8">
        <v>3856.287608</v>
      </c>
      <c r="T196" s="8">
        <v>3598.872938</v>
      </c>
      <c r="U196" s="8">
        <v>3409.257046</v>
      </c>
      <c r="V196" s="8">
        <v>3193.822775</v>
      </c>
      <c r="W196" s="8">
        <v>2909.013839</v>
      </c>
      <c r="X196" s="8">
        <v>2585.22871</v>
      </c>
      <c r="Y196" s="8">
        <v>2240.427692</v>
      </c>
      <c r="Z196" s="8">
        <v>2005.072964</v>
      </c>
      <c r="AA196" s="9">
        <f t="shared" si="1"/>
        <v>68983.09938</v>
      </c>
      <c r="AB196" s="9">
        <v>20.0</v>
      </c>
      <c r="AC196" s="9">
        <f t="shared" si="2"/>
        <v>1379661.988</v>
      </c>
      <c r="AD196" s="10">
        <f>SUM(AC196:AC198)</f>
        <v>1987444.827</v>
      </c>
    </row>
    <row r="197" ht="14.25" customHeight="1">
      <c r="A197" s="72">
        <v>48274.0</v>
      </c>
      <c r="B197" s="8" t="s">
        <v>35</v>
      </c>
      <c r="C197" s="8">
        <v>1944.42122</v>
      </c>
      <c r="D197" s="8">
        <v>1842.912902</v>
      </c>
      <c r="E197" s="8">
        <v>1786.312658</v>
      </c>
      <c r="F197" s="8">
        <v>1742.435707</v>
      </c>
      <c r="G197" s="8">
        <v>1750.84291</v>
      </c>
      <c r="H197" s="8">
        <v>1757.986244</v>
      </c>
      <c r="I197" s="8">
        <v>2013.872788</v>
      </c>
      <c r="J197" s="8">
        <v>2472.636506</v>
      </c>
      <c r="K197" s="8">
        <v>2908.449371</v>
      </c>
      <c r="L197" s="8">
        <v>3248.819029</v>
      </c>
      <c r="M197" s="8">
        <v>3461.218666</v>
      </c>
      <c r="N197" s="8">
        <v>3558.693026</v>
      </c>
      <c r="O197" s="8">
        <v>3458.85554</v>
      </c>
      <c r="P197" s="8">
        <v>3349.234037</v>
      </c>
      <c r="Q197" s="8">
        <v>3273.991256</v>
      </c>
      <c r="R197" s="8">
        <v>3255.744707</v>
      </c>
      <c r="S197" s="8">
        <v>3216.638361</v>
      </c>
      <c r="T197" s="8">
        <v>3155.856921</v>
      </c>
      <c r="U197" s="8">
        <v>3082.652154</v>
      </c>
      <c r="V197" s="8">
        <v>2921.267773</v>
      </c>
      <c r="W197" s="8">
        <v>2672.604126</v>
      </c>
      <c r="X197" s="8">
        <v>2393.004475</v>
      </c>
      <c r="Y197" s="8">
        <v>2094.301368</v>
      </c>
      <c r="Z197" s="8">
        <v>1879.889325</v>
      </c>
      <c r="AA197" s="9">
        <f t="shared" si="1"/>
        <v>63242.64107</v>
      </c>
      <c r="AB197" s="9">
        <v>4.0</v>
      </c>
      <c r="AC197" s="9">
        <f t="shared" si="2"/>
        <v>252970.5643</v>
      </c>
      <c r="AD197" s="11"/>
    </row>
    <row r="198" ht="14.25" customHeight="1">
      <c r="A198" s="72">
        <v>48274.0</v>
      </c>
      <c r="B198" s="8" t="s">
        <v>36</v>
      </c>
      <c r="C198" s="8">
        <v>1740.94595</v>
      </c>
      <c r="D198" s="8">
        <v>1654.478322</v>
      </c>
      <c r="E198" s="8">
        <v>1574.591597</v>
      </c>
      <c r="F198" s="8">
        <v>1534.002811</v>
      </c>
      <c r="G198" s="8">
        <v>1499.780014</v>
      </c>
      <c r="H198" s="8">
        <v>1470.355259</v>
      </c>
      <c r="I198" s="8">
        <v>1517.883898</v>
      </c>
      <c r="J198" s="8">
        <v>1696.730625</v>
      </c>
      <c r="K198" s="8">
        <v>1931.959482</v>
      </c>
      <c r="L198" s="8">
        <v>2259.074969</v>
      </c>
      <c r="M198" s="8">
        <v>2523.326648</v>
      </c>
      <c r="N198" s="8">
        <v>2672.915063</v>
      </c>
      <c r="O198" s="8">
        <v>2724.442451</v>
      </c>
      <c r="P198" s="8">
        <v>2736.875839</v>
      </c>
      <c r="Q198" s="8">
        <v>2717.970834</v>
      </c>
      <c r="R198" s="8">
        <v>2704.809029</v>
      </c>
      <c r="S198" s="8">
        <v>2640.818988</v>
      </c>
      <c r="T198" s="8">
        <v>2576.744354</v>
      </c>
      <c r="U198" s="8">
        <v>2540.87496</v>
      </c>
      <c r="V198" s="8">
        <v>2414.274435</v>
      </c>
      <c r="W198" s="8">
        <v>2209.339587</v>
      </c>
      <c r="X198" s="8">
        <v>1973.991385</v>
      </c>
      <c r="Y198" s="8">
        <v>1762.25935</v>
      </c>
      <c r="Z198" s="8">
        <v>1609.021991</v>
      </c>
      <c r="AA198" s="9">
        <f t="shared" si="1"/>
        <v>50687.46784</v>
      </c>
      <c r="AB198" s="9">
        <v>7.0</v>
      </c>
      <c r="AC198" s="9">
        <f t="shared" si="2"/>
        <v>354812.2749</v>
      </c>
      <c r="AD198" s="12"/>
    </row>
    <row r="199" ht="14.25" customHeight="1">
      <c r="A199" s="72">
        <v>48305.0</v>
      </c>
      <c r="B199" s="8" t="s">
        <v>34</v>
      </c>
      <c r="C199" s="8">
        <v>1789.42245</v>
      </c>
      <c r="D199" s="8">
        <v>1716.199226</v>
      </c>
      <c r="E199" s="8">
        <v>1675.242261</v>
      </c>
      <c r="F199" s="8">
        <v>1658.499934</v>
      </c>
      <c r="G199" s="8">
        <v>1684.074551</v>
      </c>
      <c r="H199" s="8">
        <v>1792.152715</v>
      </c>
      <c r="I199" s="8">
        <v>2168.520715</v>
      </c>
      <c r="J199" s="8">
        <v>2721.029537</v>
      </c>
      <c r="K199" s="8">
        <v>3183.272762</v>
      </c>
      <c r="L199" s="8">
        <v>3495.437472</v>
      </c>
      <c r="M199" s="8">
        <v>3749.40539</v>
      </c>
      <c r="N199" s="8">
        <v>3902.252663</v>
      </c>
      <c r="O199" s="8">
        <v>3850.922688</v>
      </c>
      <c r="P199" s="8">
        <v>3864.081001</v>
      </c>
      <c r="Q199" s="8">
        <v>3966.464102</v>
      </c>
      <c r="R199" s="8">
        <v>3968.138343</v>
      </c>
      <c r="S199" s="8">
        <v>3856.287608</v>
      </c>
      <c r="T199" s="8">
        <v>3598.872938</v>
      </c>
      <c r="U199" s="8">
        <v>3409.257046</v>
      </c>
      <c r="V199" s="8">
        <v>3193.822775</v>
      </c>
      <c r="W199" s="8">
        <v>2909.013839</v>
      </c>
      <c r="X199" s="8">
        <v>2585.22871</v>
      </c>
      <c r="Y199" s="8">
        <v>2240.427692</v>
      </c>
      <c r="Z199" s="8">
        <v>2005.072964</v>
      </c>
      <c r="AA199" s="9">
        <f t="shared" si="1"/>
        <v>68983.09938</v>
      </c>
      <c r="AB199" s="9">
        <v>22.0</v>
      </c>
      <c r="AC199" s="9">
        <f t="shared" si="2"/>
        <v>1517628.186</v>
      </c>
      <c r="AD199" s="10">
        <f>SUM(AC199:AC201)</f>
        <v>1973348.622</v>
      </c>
    </row>
    <row r="200" ht="14.25" customHeight="1">
      <c r="A200" s="72">
        <v>48305.0</v>
      </c>
      <c r="B200" s="8" t="s">
        <v>35</v>
      </c>
      <c r="C200" s="8">
        <v>1944.42122</v>
      </c>
      <c r="D200" s="8">
        <v>1842.912902</v>
      </c>
      <c r="E200" s="8">
        <v>1786.312658</v>
      </c>
      <c r="F200" s="8">
        <v>1742.435707</v>
      </c>
      <c r="G200" s="8">
        <v>1750.84291</v>
      </c>
      <c r="H200" s="8">
        <v>1757.986244</v>
      </c>
      <c r="I200" s="8">
        <v>2013.872788</v>
      </c>
      <c r="J200" s="8">
        <v>2472.636506</v>
      </c>
      <c r="K200" s="8">
        <v>2908.449371</v>
      </c>
      <c r="L200" s="8">
        <v>3248.819029</v>
      </c>
      <c r="M200" s="8">
        <v>3461.218666</v>
      </c>
      <c r="N200" s="8">
        <v>3558.693026</v>
      </c>
      <c r="O200" s="8">
        <v>3458.85554</v>
      </c>
      <c r="P200" s="8">
        <v>3349.234037</v>
      </c>
      <c r="Q200" s="8">
        <v>3273.991256</v>
      </c>
      <c r="R200" s="8">
        <v>3255.744707</v>
      </c>
      <c r="S200" s="8">
        <v>3216.638361</v>
      </c>
      <c r="T200" s="8">
        <v>3155.856921</v>
      </c>
      <c r="U200" s="8">
        <v>3082.652154</v>
      </c>
      <c r="V200" s="8">
        <v>2921.267773</v>
      </c>
      <c r="W200" s="8">
        <v>2672.604126</v>
      </c>
      <c r="X200" s="8">
        <v>2393.004475</v>
      </c>
      <c r="Y200" s="8">
        <v>2094.301368</v>
      </c>
      <c r="Z200" s="8">
        <v>1879.889325</v>
      </c>
      <c r="AA200" s="9">
        <f t="shared" si="1"/>
        <v>63242.64107</v>
      </c>
      <c r="AB200" s="9">
        <v>4.0</v>
      </c>
      <c r="AC200" s="9">
        <f t="shared" si="2"/>
        <v>252970.5643</v>
      </c>
      <c r="AD200" s="11"/>
    </row>
    <row r="201" ht="14.25" customHeight="1">
      <c r="A201" s="72">
        <v>48305.0</v>
      </c>
      <c r="B201" s="8" t="s">
        <v>36</v>
      </c>
      <c r="C201" s="8">
        <v>1740.94595</v>
      </c>
      <c r="D201" s="8">
        <v>1654.478322</v>
      </c>
      <c r="E201" s="8">
        <v>1574.591597</v>
      </c>
      <c r="F201" s="8">
        <v>1534.002811</v>
      </c>
      <c r="G201" s="8">
        <v>1499.780014</v>
      </c>
      <c r="H201" s="8">
        <v>1470.355259</v>
      </c>
      <c r="I201" s="8">
        <v>1517.883898</v>
      </c>
      <c r="J201" s="8">
        <v>1696.730625</v>
      </c>
      <c r="K201" s="8">
        <v>1931.959482</v>
      </c>
      <c r="L201" s="8">
        <v>2259.074969</v>
      </c>
      <c r="M201" s="8">
        <v>2523.326648</v>
      </c>
      <c r="N201" s="8">
        <v>2672.915063</v>
      </c>
      <c r="O201" s="8">
        <v>2724.442451</v>
      </c>
      <c r="P201" s="8">
        <v>2736.875839</v>
      </c>
      <c r="Q201" s="8">
        <v>2717.970834</v>
      </c>
      <c r="R201" s="8">
        <v>2704.809029</v>
      </c>
      <c r="S201" s="8">
        <v>2640.818988</v>
      </c>
      <c r="T201" s="8">
        <v>2576.744354</v>
      </c>
      <c r="U201" s="8">
        <v>2540.87496</v>
      </c>
      <c r="V201" s="8">
        <v>2414.274435</v>
      </c>
      <c r="W201" s="8">
        <v>2209.339587</v>
      </c>
      <c r="X201" s="8">
        <v>1973.991385</v>
      </c>
      <c r="Y201" s="8">
        <v>1762.25935</v>
      </c>
      <c r="Z201" s="8">
        <v>1609.021991</v>
      </c>
      <c r="AA201" s="9">
        <f t="shared" si="1"/>
        <v>50687.46784</v>
      </c>
      <c r="AB201" s="9">
        <v>4.0</v>
      </c>
      <c r="AC201" s="9">
        <f t="shared" si="2"/>
        <v>202749.8714</v>
      </c>
      <c r="AD201" s="12"/>
    </row>
    <row r="202" ht="14.25" customHeight="1">
      <c r="A202" s="72">
        <v>48335.0</v>
      </c>
      <c r="B202" s="8" t="s">
        <v>34</v>
      </c>
      <c r="C202" s="8">
        <v>1789.42245</v>
      </c>
      <c r="D202" s="8">
        <v>1716.199226</v>
      </c>
      <c r="E202" s="8">
        <v>1675.242261</v>
      </c>
      <c r="F202" s="8">
        <v>1658.499934</v>
      </c>
      <c r="G202" s="8">
        <v>1684.074551</v>
      </c>
      <c r="H202" s="8">
        <v>1792.152715</v>
      </c>
      <c r="I202" s="8">
        <v>2168.520715</v>
      </c>
      <c r="J202" s="8">
        <v>2721.029537</v>
      </c>
      <c r="K202" s="8">
        <v>3183.272762</v>
      </c>
      <c r="L202" s="8">
        <v>3495.437472</v>
      </c>
      <c r="M202" s="8">
        <v>3749.40539</v>
      </c>
      <c r="N202" s="8">
        <v>3902.252663</v>
      </c>
      <c r="O202" s="8">
        <v>3850.922688</v>
      </c>
      <c r="P202" s="8">
        <v>3864.081001</v>
      </c>
      <c r="Q202" s="8">
        <v>3966.464102</v>
      </c>
      <c r="R202" s="8">
        <v>3968.138343</v>
      </c>
      <c r="S202" s="8">
        <v>3856.287608</v>
      </c>
      <c r="T202" s="8">
        <v>3598.872938</v>
      </c>
      <c r="U202" s="8">
        <v>3409.257046</v>
      </c>
      <c r="V202" s="8">
        <v>3193.822775</v>
      </c>
      <c r="W202" s="8">
        <v>2909.013839</v>
      </c>
      <c r="X202" s="8">
        <v>2585.22871</v>
      </c>
      <c r="Y202" s="8">
        <v>2240.427692</v>
      </c>
      <c r="Z202" s="8">
        <v>2005.072964</v>
      </c>
      <c r="AA202" s="9">
        <f t="shared" si="1"/>
        <v>68983.09938</v>
      </c>
      <c r="AB202" s="9">
        <v>19.0</v>
      </c>
      <c r="AC202" s="9">
        <f t="shared" si="2"/>
        <v>1310678.888</v>
      </c>
      <c r="AD202" s="10">
        <f>SUM(AC202:AC204)</f>
        <v>1969149.195</v>
      </c>
    </row>
    <row r="203" ht="14.25" customHeight="1">
      <c r="A203" s="72">
        <v>48335.0</v>
      </c>
      <c r="B203" s="8" t="s">
        <v>35</v>
      </c>
      <c r="C203" s="8">
        <v>1944.42122</v>
      </c>
      <c r="D203" s="8">
        <v>1842.912902</v>
      </c>
      <c r="E203" s="8">
        <v>1786.312658</v>
      </c>
      <c r="F203" s="8">
        <v>1742.435707</v>
      </c>
      <c r="G203" s="8">
        <v>1750.84291</v>
      </c>
      <c r="H203" s="8">
        <v>1757.986244</v>
      </c>
      <c r="I203" s="8">
        <v>2013.872788</v>
      </c>
      <c r="J203" s="8">
        <v>2472.636506</v>
      </c>
      <c r="K203" s="8">
        <v>2908.449371</v>
      </c>
      <c r="L203" s="8">
        <v>3248.819029</v>
      </c>
      <c r="M203" s="8">
        <v>3461.218666</v>
      </c>
      <c r="N203" s="8">
        <v>3558.693026</v>
      </c>
      <c r="O203" s="8">
        <v>3458.85554</v>
      </c>
      <c r="P203" s="8">
        <v>3349.234037</v>
      </c>
      <c r="Q203" s="8">
        <v>3273.991256</v>
      </c>
      <c r="R203" s="8">
        <v>3255.744707</v>
      </c>
      <c r="S203" s="8">
        <v>3216.638361</v>
      </c>
      <c r="T203" s="8">
        <v>3155.856921</v>
      </c>
      <c r="U203" s="8">
        <v>3082.652154</v>
      </c>
      <c r="V203" s="8">
        <v>2921.267773</v>
      </c>
      <c r="W203" s="8">
        <v>2672.604126</v>
      </c>
      <c r="X203" s="8">
        <v>2393.004475</v>
      </c>
      <c r="Y203" s="8">
        <v>2094.301368</v>
      </c>
      <c r="Z203" s="8">
        <v>1879.889325</v>
      </c>
      <c r="AA203" s="9">
        <f t="shared" si="1"/>
        <v>63242.64107</v>
      </c>
      <c r="AB203" s="9">
        <v>4.0</v>
      </c>
      <c r="AC203" s="9">
        <f t="shared" si="2"/>
        <v>252970.5643</v>
      </c>
      <c r="AD203" s="11"/>
    </row>
    <row r="204" ht="14.25" customHeight="1">
      <c r="A204" s="72">
        <v>48335.0</v>
      </c>
      <c r="B204" s="8" t="s">
        <v>36</v>
      </c>
      <c r="C204" s="8">
        <v>1740.94595</v>
      </c>
      <c r="D204" s="8">
        <v>1654.478322</v>
      </c>
      <c r="E204" s="8">
        <v>1574.591597</v>
      </c>
      <c r="F204" s="8">
        <v>1534.002811</v>
      </c>
      <c r="G204" s="8">
        <v>1499.780014</v>
      </c>
      <c r="H204" s="8">
        <v>1470.355259</v>
      </c>
      <c r="I204" s="8">
        <v>1517.883898</v>
      </c>
      <c r="J204" s="8">
        <v>1696.730625</v>
      </c>
      <c r="K204" s="8">
        <v>1931.959482</v>
      </c>
      <c r="L204" s="8">
        <v>2259.074969</v>
      </c>
      <c r="M204" s="8">
        <v>2523.326648</v>
      </c>
      <c r="N204" s="8">
        <v>2672.915063</v>
      </c>
      <c r="O204" s="8">
        <v>2724.442451</v>
      </c>
      <c r="P204" s="8">
        <v>2736.875839</v>
      </c>
      <c r="Q204" s="8">
        <v>2717.970834</v>
      </c>
      <c r="R204" s="8">
        <v>2704.809029</v>
      </c>
      <c r="S204" s="8">
        <v>2640.818988</v>
      </c>
      <c r="T204" s="8">
        <v>2576.744354</v>
      </c>
      <c r="U204" s="8">
        <v>2540.87496</v>
      </c>
      <c r="V204" s="8">
        <v>2414.274435</v>
      </c>
      <c r="W204" s="8">
        <v>2209.339587</v>
      </c>
      <c r="X204" s="8">
        <v>1973.991385</v>
      </c>
      <c r="Y204" s="8">
        <v>1762.25935</v>
      </c>
      <c r="Z204" s="8">
        <v>1609.021991</v>
      </c>
      <c r="AA204" s="9">
        <f t="shared" si="1"/>
        <v>50687.46784</v>
      </c>
      <c r="AB204" s="9">
        <v>8.0</v>
      </c>
      <c r="AC204" s="9">
        <f t="shared" si="2"/>
        <v>405499.7427</v>
      </c>
      <c r="AD204" s="12"/>
    </row>
    <row r="205" ht="14.25" customHeight="1">
      <c r="A205" s="72">
        <v>48366.0</v>
      </c>
      <c r="B205" s="8" t="s">
        <v>34</v>
      </c>
      <c r="C205" s="8">
        <v>1789.42245</v>
      </c>
      <c r="D205" s="8">
        <v>1716.199226</v>
      </c>
      <c r="E205" s="8">
        <v>1675.242261</v>
      </c>
      <c r="F205" s="8">
        <v>1658.499934</v>
      </c>
      <c r="G205" s="8">
        <v>1684.074551</v>
      </c>
      <c r="H205" s="8">
        <v>1792.152715</v>
      </c>
      <c r="I205" s="8">
        <v>2168.520715</v>
      </c>
      <c r="J205" s="8">
        <v>2721.029537</v>
      </c>
      <c r="K205" s="8">
        <v>3183.272762</v>
      </c>
      <c r="L205" s="8">
        <v>3495.437472</v>
      </c>
      <c r="M205" s="8">
        <v>3749.40539</v>
      </c>
      <c r="N205" s="8">
        <v>3902.252663</v>
      </c>
      <c r="O205" s="8">
        <v>3850.922688</v>
      </c>
      <c r="P205" s="8">
        <v>3864.081001</v>
      </c>
      <c r="Q205" s="8">
        <v>3966.464102</v>
      </c>
      <c r="R205" s="8">
        <v>3968.138343</v>
      </c>
      <c r="S205" s="8">
        <v>3856.287608</v>
      </c>
      <c r="T205" s="8">
        <v>3598.872938</v>
      </c>
      <c r="U205" s="8">
        <v>3409.257046</v>
      </c>
      <c r="V205" s="8">
        <v>3193.822775</v>
      </c>
      <c r="W205" s="8">
        <v>2909.013839</v>
      </c>
      <c r="X205" s="8">
        <v>2585.22871</v>
      </c>
      <c r="Y205" s="8">
        <v>2240.427692</v>
      </c>
      <c r="Z205" s="8">
        <v>2005.072964</v>
      </c>
      <c r="AA205" s="9">
        <f t="shared" si="1"/>
        <v>68983.09938</v>
      </c>
      <c r="AB205" s="9">
        <v>21.0</v>
      </c>
      <c r="AC205" s="9">
        <f t="shared" si="2"/>
        <v>1448645.087</v>
      </c>
      <c r="AD205" s="10">
        <f>SUM(AC205:AC207)</f>
        <v>1955052.991</v>
      </c>
    </row>
    <row r="206" ht="14.25" customHeight="1">
      <c r="A206" s="72">
        <v>48366.0</v>
      </c>
      <c r="B206" s="8" t="s">
        <v>35</v>
      </c>
      <c r="C206" s="8">
        <v>1944.42122</v>
      </c>
      <c r="D206" s="8">
        <v>1842.912902</v>
      </c>
      <c r="E206" s="8">
        <v>1786.312658</v>
      </c>
      <c r="F206" s="8">
        <v>1742.435707</v>
      </c>
      <c r="G206" s="8">
        <v>1750.84291</v>
      </c>
      <c r="H206" s="8">
        <v>1757.986244</v>
      </c>
      <c r="I206" s="8">
        <v>2013.872788</v>
      </c>
      <c r="J206" s="8">
        <v>2472.636506</v>
      </c>
      <c r="K206" s="8">
        <v>2908.449371</v>
      </c>
      <c r="L206" s="8">
        <v>3248.819029</v>
      </c>
      <c r="M206" s="8">
        <v>3461.218666</v>
      </c>
      <c r="N206" s="8">
        <v>3558.693026</v>
      </c>
      <c r="O206" s="8">
        <v>3458.85554</v>
      </c>
      <c r="P206" s="8">
        <v>3349.234037</v>
      </c>
      <c r="Q206" s="8">
        <v>3273.991256</v>
      </c>
      <c r="R206" s="8">
        <v>3255.744707</v>
      </c>
      <c r="S206" s="8">
        <v>3216.638361</v>
      </c>
      <c r="T206" s="8">
        <v>3155.856921</v>
      </c>
      <c r="U206" s="8">
        <v>3082.652154</v>
      </c>
      <c r="V206" s="8">
        <v>2921.267773</v>
      </c>
      <c r="W206" s="8">
        <v>2672.604126</v>
      </c>
      <c r="X206" s="8">
        <v>2393.004475</v>
      </c>
      <c r="Y206" s="8">
        <v>2094.301368</v>
      </c>
      <c r="Z206" s="8">
        <v>1879.889325</v>
      </c>
      <c r="AA206" s="9">
        <f t="shared" si="1"/>
        <v>63242.64107</v>
      </c>
      <c r="AB206" s="9">
        <v>4.0</v>
      </c>
      <c r="AC206" s="9">
        <f t="shared" si="2"/>
        <v>252970.5643</v>
      </c>
      <c r="AD206" s="11"/>
    </row>
    <row r="207" ht="14.25" customHeight="1">
      <c r="A207" s="72">
        <v>48366.0</v>
      </c>
      <c r="B207" s="8" t="s">
        <v>36</v>
      </c>
      <c r="C207" s="8">
        <v>1740.94595</v>
      </c>
      <c r="D207" s="8">
        <v>1654.478322</v>
      </c>
      <c r="E207" s="8">
        <v>1574.591597</v>
      </c>
      <c r="F207" s="8">
        <v>1534.002811</v>
      </c>
      <c r="G207" s="8">
        <v>1499.780014</v>
      </c>
      <c r="H207" s="8">
        <v>1470.355259</v>
      </c>
      <c r="I207" s="8">
        <v>1517.883898</v>
      </c>
      <c r="J207" s="8">
        <v>1696.730625</v>
      </c>
      <c r="K207" s="8">
        <v>1931.959482</v>
      </c>
      <c r="L207" s="8">
        <v>2259.074969</v>
      </c>
      <c r="M207" s="8">
        <v>2523.326648</v>
      </c>
      <c r="N207" s="8">
        <v>2672.915063</v>
      </c>
      <c r="O207" s="8">
        <v>2724.442451</v>
      </c>
      <c r="P207" s="8">
        <v>2736.875839</v>
      </c>
      <c r="Q207" s="8">
        <v>2717.970834</v>
      </c>
      <c r="R207" s="8">
        <v>2704.809029</v>
      </c>
      <c r="S207" s="8">
        <v>2640.818988</v>
      </c>
      <c r="T207" s="8">
        <v>2576.744354</v>
      </c>
      <c r="U207" s="8">
        <v>2540.87496</v>
      </c>
      <c r="V207" s="8">
        <v>2414.274435</v>
      </c>
      <c r="W207" s="8">
        <v>2209.339587</v>
      </c>
      <c r="X207" s="8">
        <v>1973.991385</v>
      </c>
      <c r="Y207" s="8">
        <v>1762.25935</v>
      </c>
      <c r="Z207" s="8">
        <v>1609.021991</v>
      </c>
      <c r="AA207" s="9">
        <f t="shared" si="1"/>
        <v>50687.46784</v>
      </c>
      <c r="AB207" s="9">
        <v>5.0</v>
      </c>
      <c r="AC207" s="9">
        <f t="shared" si="2"/>
        <v>253437.3392</v>
      </c>
      <c r="AD207" s="12"/>
    </row>
    <row r="208" ht="14.25" customHeight="1">
      <c r="A208" s="72">
        <v>48396.0</v>
      </c>
      <c r="B208" s="8" t="s">
        <v>34</v>
      </c>
      <c r="C208" s="8">
        <v>1789.42245</v>
      </c>
      <c r="D208" s="8">
        <v>1716.199226</v>
      </c>
      <c r="E208" s="8">
        <v>1675.242261</v>
      </c>
      <c r="F208" s="8">
        <v>1658.499934</v>
      </c>
      <c r="G208" s="8">
        <v>1684.074551</v>
      </c>
      <c r="H208" s="8">
        <v>1792.152715</v>
      </c>
      <c r="I208" s="8">
        <v>2168.520715</v>
      </c>
      <c r="J208" s="8">
        <v>2721.029537</v>
      </c>
      <c r="K208" s="8">
        <v>3183.272762</v>
      </c>
      <c r="L208" s="8">
        <v>3495.437472</v>
      </c>
      <c r="M208" s="8">
        <v>3749.40539</v>
      </c>
      <c r="N208" s="8">
        <v>3902.252663</v>
      </c>
      <c r="O208" s="8">
        <v>3850.922688</v>
      </c>
      <c r="P208" s="8">
        <v>3864.081001</v>
      </c>
      <c r="Q208" s="8">
        <v>3966.464102</v>
      </c>
      <c r="R208" s="8">
        <v>3968.138343</v>
      </c>
      <c r="S208" s="8">
        <v>3856.287608</v>
      </c>
      <c r="T208" s="8">
        <v>3598.872938</v>
      </c>
      <c r="U208" s="8">
        <v>3409.257046</v>
      </c>
      <c r="V208" s="8">
        <v>3193.822775</v>
      </c>
      <c r="W208" s="8">
        <v>2909.013839</v>
      </c>
      <c r="X208" s="8">
        <v>2585.22871</v>
      </c>
      <c r="Y208" s="8">
        <v>2240.427692</v>
      </c>
      <c r="Z208" s="8">
        <v>2005.072964</v>
      </c>
      <c r="AA208" s="9">
        <f t="shared" si="1"/>
        <v>68983.09938</v>
      </c>
      <c r="AB208" s="9">
        <v>20.0</v>
      </c>
      <c r="AC208" s="9">
        <f t="shared" si="2"/>
        <v>1379661.988</v>
      </c>
      <c r="AD208" s="10">
        <f>SUM(AC208:AC210)</f>
        <v>2000000</v>
      </c>
    </row>
    <row r="209" ht="14.25" customHeight="1">
      <c r="A209" s="72">
        <v>48396.0</v>
      </c>
      <c r="B209" s="8" t="s">
        <v>35</v>
      </c>
      <c r="C209" s="8">
        <v>1944.42122</v>
      </c>
      <c r="D209" s="8">
        <v>1842.912902</v>
      </c>
      <c r="E209" s="8">
        <v>1786.312658</v>
      </c>
      <c r="F209" s="8">
        <v>1742.435707</v>
      </c>
      <c r="G209" s="8">
        <v>1750.84291</v>
      </c>
      <c r="H209" s="8">
        <v>1757.986244</v>
      </c>
      <c r="I209" s="8">
        <v>2013.872788</v>
      </c>
      <c r="J209" s="8">
        <v>2472.636506</v>
      </c>
      <c r="K209" s="8">
        <v>2908.449371</v>
      </c>
      <c r="L209" s="8">
        <v>3248.819029</v>
      </c>
      <c r="M209" s="8">
        <v>3461.218666</v>
      </c>
      <c r="N209" s="8">
        <v>3558.693026</v>
      </c>
      <c r="O209" s="8">
        <v>3458.85554</v>
      </c>
      <c r="P209" s="8">
        <v>3349.234037</v>
      </c>
      <c r="Q209" s="8">
        <v>3273.991256</v>
      </c>
      <c r="R209" s="8">
        <v>3255.744707</v>
      </c>
      <c r="S209" s="8">
        <v>3216.638361</v>
      </c>
      <c r="T209" s="8">
        <v>3155.856921</v>
      </c>
      <c r="U209" s="8">
        <v>3082.652154</v>
      </c>
      <c r="V209" s="8">
        <v>2921.267773</v>
      </c>
      <c r="W209" s="8">
        <v>2672.604126</v>
      </c>
      <c r="X209" s="8">
        <v>2393.004475</v>
      </c>
      <c r="Y209" s="8">
        <v>2094.301368</v>
      </c>
      <c r="Z209" s="8">
        <v>1879.889325</v>
      </c>
      <c r="AA209" s="9">
        <f t="shared" si="1"/>
        <v>63242.64107</v>
      </c>
      <c r="AB209" s="9">
        <v>5.0</v>
      </c>
      <c r="AC209" s="9">
        <f t="shared" si="2"/>
        <v>316213.2054</v>
      </c>
      <c r="AD209" s="11"/>
    </row>
    <row r="210" ht="14.25" customHeight="1">
      <c r="A210" s="72">
        <v>48396.0</v>
      </c>
      <c r="B210" s="8" t="s">
        <v>36</v>
      </c>
      <c r="C210" s="8">
        <v>1740.94595</v>
      </c>
      <c r="D210" s="8">
        <v>1654.478322</v>
      </c>
      <c r="E210" s="8">
        <v>1574.591597</v>
      </c>
      <c r="F210" s="8">
        <v>1534.002811</v>
      </c>
      <c r="G210" s="8">
        <v>1499.780014</v>
      </c>
      <c r="H210" s="8">
        <v>1470.355259</v>
      </c>
      <c r="I210" s="8">
        <v>1517.883898</v>
      </c>
      <c r="J210" s="8">
        <v>1696.730625</v>
      </c>
      <c r="K210" s="8">
        <v>1931.959482</v>
      </c>
      <c r="L210" s="8">
        <v>2259.074969</v>
      </c>
      <c r="M210" s="8">
        <v>2523.326648</v>
      </c>
      <c r="N210" s="8">
        <v>2672.915063</v>
      </c>
      <c r="O210" s="8">
        <v>2724.442451</v>
      </c>
      <c r="P210" s="8">
        <v>2736.875839</v>
      </c>
      <c r="Q210" s="8">
        <v>2717.970834</v>
      </c>
      <c r="R210" s="8">
        <v>2704.809029</v>
      </c>
      <c r="S210" s="8">
        <v>2640.818988</v>
      </c>
      <c r="T210" s="8">
        <v>2576.744354</v>
      </c>
      <c r="U210" s="8">
        <v>2540.87496</v>
      </c>
      <c r="V210" s="8">
        <v>2414.274435</v>
      </c>
      <c r="W210" s="8">
        <v>2209.339587</v>
      </c>
      <c r="X210" s="8">
        <v>1973.991385</v>
      </c>
      <c r="Y210" s="8">
        <v>1762.25935</v>
      </c>
      <c r="Z210" s="8">
        <v>1609.021991</v>
      </c>
      <c r="AA210" s="9">
        <f t="shared" si="1"/>
        <v>50687.46784</v>
      </c>
      <c r="AB210" s="9">
        <v>6.0</v>
      </c>
      <c r="AC210" s="9">
        <f t="shared" si="2"/>
        <v>304124.807</v>
      </c>
      <c r="AD210" s="12"/>
    </row>
    <row r="211" ht="14.25" customHeight="1">
      <c r="A211" s="72">
        <v>48427.0</v>
      </c>
      <c r="B211" s="8" t="s">
        <v>34</v>
      </c>
      <c r="C211" s="8">
        <v>1789.42245</v>
      </c>
      <c r="D211" s="8">
        <v>1716.199226</v>
      </c>
      <c r="E211" s="8">
        <v>1675.242261</v>
      </c>
      <c r="F211" s="8">
        <v>1658.499934</v>
      </c>
      <c r="G211" s="8">
        <v>1684.074551</v>
      </c>
      <c r="H211" s="8">
        <v>1792.152715</v>
      </c>
      <c r="I211" s="8">
        <v>2168.520715</v>
      </c>
      <c r="J211" s="8">
        <v>2721.029537</v>
      </c>
      <c r="K211" s="8">
        <v>3183.272762</v>
      </c>
      <c r="L211" s="8">
        <v>3495.437472</v>
      </c>
      <c r="M211" s="8">
        <v>3749.40539</v>
      </c>
      <c r="N211" s="8">
        <v>3902.252663</v>
      </c>
      <c r="O211" s="8">
        <v>3850.922688</v>
      </c>
      <c r="P211" s="8">
        <v>3864.081001</v>
      </c>
      <c r="Q211" s="8">
        <v>3966.464102</v>
      </c>
      <c r="R211" s="8">
        <v>3968.138343</v>
      </c>
      <c r="S211" s="8">
        <v>3856.287608</v>
      </c>
      <c r="T211" s="8">
        <v>3598.872938</v>
      </c>
      <c r="U211" s="8">
        <v>3409.257046</v>
      </c>
      <c r="V211" s="8">
        <v>3193.822775</v>
      </c>
      <c r="W211" s="8">
        <v>2909.013839</v>
      </c>
      <c r="X211" s="8">
        <v>2585.22871</v>
      </c>
      <c r="Y211" s="8">
        <v>2240.427692</v>
      </c>
      <c r="Z211" s="8">
        <v>2005.072964</v>
      </c>
      <c r="AA211" s="9">
        <f t="shared" si="1"/>
        <v>68983.09938</v>
      </c>
      <c r="AB211" s="9">
        <v>21.0</v>
      </c>
      <c r="AC211" s="9">
        <f t="shared" si="2"/>
        <v>1448645.087</v>
      </c>
      <c r="AD211" s="10">
        <f>SUM(AC211:AC213)</f>
        <v>1993185.285</v>
      </c>
    </row>
    <row r="212" ht="14.25" customHeight="1">
      <c r="A212" s="72">
        <v>48427.0</v>
      </c>
      <c r="B212" s="8" t="s">
        <v>35</v>
      </c>
      <c r="C212" s="8">
        <v>1944.42122</v>
      </c>
      <c r="D212" s="8">
        <v>1842.912902</v>
      </c>
      <c r="E212" s="8">
        <v>1786.312658</v>
      </c>
      <c r="F212" s="8">
        <v>1742.435707</v>
      </c>
      <c r="G212" s="8">
        <v>1750.84291</v>
      </c>
      <c r="H212" s="8">
        <v>1757.986244</v>
      </c>
      <c r="I212" s="8">
        <v>2013.872788</v>
      </c>
      <c r="J212" s="8">
        <v>2472.636506</v>
      </c>
      <c r="K212" s="8">
        <v>2908.449371</v>
      </c>
      <c r="L212" s="8">
        <v>3248.819029</v>
      </c>
      <c r="M212" s="8">
        <v>3461.218666</v>
      </c>
      <c r="N212" s="8">
        <v>3558.693026</v>
      </c>
      <c r="O212" s="8">
        <v>3458.85554</v>
      </c>
      <c r="P212" s="8">
        <v>3349.234037</v>
      </c>
      <c r="Q212" s="8">
        <v>3273.991256</v>
      </c>
      <c r="R212" s="8">
        <v>3255.744707</v>
      </c>
      <c r="S212" s="8">
        <v>3216.638361</v>
      </c>
      <c r="T212" s="8">
        <v>3155.856921</v>
      </c>
      <c r="U212" s="8">
        <v>3082.652154</v>
      </c>
      <c r="V212" s="8">
        <v>2921.267773</v>
      </c>
      <c r="W212" s="8">
        <v>2672.604126</v>
      </c>
      <c r="X212" s="8">
        <v>2393.004475</v>
      </c>
      <c r="Y212" s="8">
        <v>2094.301368</v>
      </c>
      <c r="Z212" s="8">
        <v>1879.889325</v>
      </c>
      <c r="AA212" s="9">
        <f t="shared" si="1"/>
        <v>63242.64107</v>
      </c>
      <c r="AB212" s="9">
        <v>3.0</v>
      </c>
      <c r="AC212" s="9">
        <f t="shared" si="2"/>
        <v>189727.9232</v>
      </c>
      <c r="AD212" s="11"/>
    </row>
    <row r="213" ht="14.25" customHeight="1">
      <c r="A213" s="72">
        <v>48427.0</v>
      </c>
      <c r="B213" s="8" t="s">
        <v>36</v>
      </c>
      <c r="C213" s="8">
        <v>1740.94595</v>
      </c>
      <c r="D213" s="8">
        <v>1654.478322</v>
      </c>
      <c r="E213" s="8">
        <v>1574.591597</v>
      </c>
      <c r="F213" s="8">
        <v>1534.002811</v>
      </c>
      <c r="G213" s="8">
        <v>1499.780014</v>
      </c>
      <c r="H213" s="8">
        <v>1470.355259</v>
      </c>
      <c r="I213" s="8">
        <v>1517.883898</v>
      </c>
      <c r="J213" s="8">
        <v>1696.730625</v>
      </c>
      <c r="K213" s="8">
        <v>1931.959482</v>
      </c>
      <c r="L213" s="8">
        <v>2259.074969</v>
      </c>
      <c r="M213" s="8">
        <v>2523.326648</v>
      </c>
      <c r="N213" s="8">
        <v>2672.915063</v>
      </c>
      <c r="O213" s="8">
        <v>2724.442451</v>
      </c>
      <c r="P213" s="8">
        <v>2736.875839</v>
      </c>
      <c r="Q213" s="8">
        <v>2717.970834</v>
      </c>
      <c r="R213" s="8">
        <v>2704.809029</v>
      </c>
      <c r="S213" s="8">
        <v>2640.818988</v>
      </c>
      <c r="T213" s="8">
        <v>2576.744354</v>
      </c>
      <c r="U213" s="8">
        <v>2540.87496</v>
      </c>
      <c r="V213" s="8">
        <v>2414.274435</v>
      </c>
      <c r="W213" s="8">
        <v>2209.339587</v>
      </c>
      <c r="X213" s="8">
        <v>1973.991385</v>
      </c>
      <c r="Y213" s="8">
        <v>1762.25935</v>
      </c>
      <c r="Z213" s="8">
        <v>1609.021991</v>
      </c>
      <c r="AA213" s="9">
        <f t="shared" si="1"/>
        <v>50687.46784</v>
      </c>
      <c r="AB213" s="9">
        <v>7.0</v>
      </c>
      <c r="AC213" s="9">
        <f t="shared" si="2"/>
        <v>354812.2749</v>
      </c>
      <c r="AD213" s="12"/>
    </row>
    <row r="214" ht="14.25" customHeight="1">
      <c r="A214" s="72">
        <v>48458.0</v>
      </c>
      <c r="B214" s="8" t="s">
        <v>34</v>
      </c>
      <c r="C214" s="8">
        <v>1789.42245</v>
      </c>
      <c r="D214" s="8">
        <v>1716.199226</v>
      </c>
      <c r="E214" s="8">
        <v>1675.242261</v>
      </c>
      <c r="F214" s="8">
        <v>1658.499934</v>
      </c>
      <c r="G214" s="8">
        <v>1684.074551</v>
      </c>
      <c r="H214" s="8">
        <v>1792.152715</v>
      </c>
      <c r="I214" s="8">
        <v>2168.520715</v>
      </c>
      <c r="J214" s="8">
        <v>2721.029537</v>
      </c>
      <c r="K214" s="8">
        <v>3183.272762</v>
      </c>
      <c r="L214" s="8">
        <v>3495.437472</v>
      </c>
      <c r="M214" s="8">
        <v>3749.40539</v>
      </c>
      <c r="N214" s="8">
        <v>3902.252663</v>
      </c>
      <c r="O214" s="8">
        <v>3850.922688</v>
      </c>
      <c r="P214" s="8">
        <v>3864.081001</v>
      </c>
      <c r="Q214" s="8">
        <v>3966.464102</v>
      </c>
      <c r="R214" s="8">
        <v>3968.138343</v>
      </c>
      <c r="S214" s="8">
        <v>3856.287608</v>
      </c>
      <c r="T214" s="8">
        <v>3598.872938</v>
      </c>
      <c r="U214" s="8">
        <v>3409.257046</v>
      </c>
      <c r="V214" s="8">
        <v>3193.822775</v>
      </c>
      <c r="W214" s="8">
        <v>2909.013839</v>
      </c>
      <c r="X214" s="8">
        <v>2585.22871</v>
      </c>
      <c r="Y214" s="8">
        <v>2240.427692</v>
      </c>
      <c r="Z214" s="8">
        <v>2005.072964</v>
      </c>
      <c r="AA214" s="9">
        <f t="shared" si="1"/>
        <v>68983.09938</v>
      </c>
      <c r="AB214" s="9">
        <v>22.0</v>
      </c>
      <c r="AC214" s="9">
        <f t="shared" si="2"/>
        <v>1517628.186</v>
      </c>
      <c r="AD214" s="10">
        <f>SUM(AC214:AC216)</f>
        <v>1973348.622</v>
      </c>
    </row>
    <row r="215" ht="14.25" customHeight="1">
      <c r="A215" s="72">
        <v>48458.0</v>
      </c>
      <c r="B215" s="8" t="s">
        <v>35</v>
      </c>
      <c r="C215" s="8">
        <v>1944.42122</v>
      </c>
      <c r="D215" s="8">
        <v>1842.912902</v>
      </c>
      <c r="E215" s="8">
        <v>1786.312658</v>
      </c>
      <c r="F215" s="8">
        <v>1742.435707</v>
      </c>
      <c r="G215" s="8">
        <v>1750.84291</v>
      </c>
      <c r="H215" s="8">
        <v>1757.986244</v>
      </c>
      <c r="I215" s="8">
        <v>2013.872788</v>
      </c>
      <c r="J215" s="8">
        <v>2472.636506</v>
      </c>
      <c r="K215" s="8">
        <v>2908.449371</v>
      </c>
      <c r="L215" s="8">
        <v>3248.819029</v>
      </c>
      <c r="M215" s="8">
        <v>3461.218666</v>
      </c>
      <c r="N215" s="8">
        <v>3558.693026</v>
      </c>
      <c r="O215" s="8">
        <v>3458.85554</v>
      </c>
      <c r="P215" s="8">
        <v>3349.234037</v>
      </c>
      <c r="Q215" s="8">
        <v>3273.991256</v>
      </c>
      <c r="R215" s="8">
        <v>3255.744707</v>
      </c>
      <c r="S215" s="8">
        <v>3216.638361</v>
      </c>
      <c r="T215" s="8">
        <v>3155.856921</v>
      </c>
      <c r="U215" s="8">
        <v>3082.652154</v>
      </c>
      <c r="V215" s="8">
        <v>2921.267773</v>
      </c>
      <c r="W215" s="8">
        <v>2672.604126</v>
      </c>
      <c r="X215" s="8">
        <v>2393.004475</v>
      </c>
      <c r="Y215" s="8">
        <v>2094.301368</v>
      </c>
      <c r="Z215" s="8">
        <v>1879.889325</v>
      </c>
      <c r="AA215" s="9">
        <f t="shared" si="1"/>
        <v>63242.64107</v>
      </c>
      <c r="AB215" s="9">
        <v>4.0</v>
      </c>
      <c r="AC215" s="9">
        <f t="shared" si="2"/>
        <v>252970.5643</v>
      </c>
      <c r="AD215" s="11"/>
    </row>
    <row r="216" ht="14.25" customHeight="1">
      <c r="A216" s="72">
        <v>48458.0</v>
      </c>
      <c r="B216" s="8" t="s">
        <v>36</v>
      </c>
      <c r="C216" s="8">
        <v>1740.94595</v>
      </c>
      <c r="D216" s="8">
        <v>1654.478322</v>
      </c>
      <c r="E216" s="8">
        <v>1574.591597</v>
      </c>
      <c r="F216" s="8">
        <v>1534.002811</v>
      </c>
      <c r="G216" s="8">
        <v>1499.780014</v>
      </c>
      <c r="H216" s="8">
        <v>1470.355259</v>
      </c>
      <c r="I216" s="8">
        <v>1517.883898</v>
      </c>
      <c r="J216" s="8">
        <v>1696.730625</v>
      </c>
      <c r="K216" s="8">
        <v>1931.959482</v>
      </c>
      <c r="L216" s="8">
        <v>2259.074969</v>
      </c>
      <c r="M216" s="8">
        <v>2523.326648</v>
      </c>
      <c r="N216" s="8">
        <v>2672.915063</v>
      </c>
      <c r="O216" s="8">
        <v>2724.442451</v>
      </c>
      <c r="P216" s="8">
        <v>2736.875839</v>
      </c>
      <c r="Q216" s="8">
        <v>2717.970834</v>
      </c>
      <c r="R216" s="8">
        <v>2704.809029</v>
      </c>
      <c r="S216" s="8">
        <v>2640.818988</v>
      </c>
      <c r="T216" s="8">
        <v>2576.744354</v>
      </c>
      <c r="U216" s="8">
        <v>2540.87496</v>
      </c>
      <c r="V216" s="8">
        <v>2414.274435</v>
      </c>
      <c r="W216" s="8">
        <v>2209.339587</v>
      </c>
      <c r="X216" s="8">
        <v>1973.991385</v>
      </c>
      <c r="Y216" s="8">
        <v>1762.25935</v>
      </c>
      <c r="Z216" s="8">
        <v>1609.021991</v>
      </c>
      <c r="AA216" s="9">
        <f t="shared" si="1"/>
        <v>50687.46784</v>
      </c>
      <c r="AB216" s="9">
        <v>4.0</v>
      </c>
      <c r="AC216" s="9">
        <f t="shared" si="2"/>
        <v>202749.8714</v>
      </c>
      <c r="AD216" s="12"/>
    </row>
    <row r="217" ht="14.25" customHeight="1">
      <c r="A217" s="72">
        <v>48488.0</v>
      </c>
      <c r="B217" s="8" t="s">
        <v>34</v>
      </c>
      <c r="C217" s="8">
        <v>1789.42245</v>
      </c>
      <c r="D217" s="8">
        <v>1716.199226</v>
      </c>
      <c r="E217" s="8">
        <v>1675.242261</v>
      </c>
      <c r="F217" s="8">
        <v>1658.499934</v>
      </c>
      <c r="G217" s="8">
        <v>1684.074551</v>
      </c>
      <c r="H217" s="8">
        <v>1792.152715</v>
      </c>
      <c r="I217" s="8">
        <v>2168.520715</v>
      </c>
      <c r="J217" s="8">
        <v>2721.029537</v>
      </c>
      <c r="K217" s="8">
        <v>3183.272762</v>
      </c>
      <c r="L217" s="8">
        <v>3495.437472</v>
      </c>
      <c r="M217" s="8">
        <v>3749.40539</v>
      </c>
      <c r="N217" s="8">
        <v>3902.252663</v>
      </c>
      <c r="O217" s="8">
        <v>3850.922688</v>
      </c>
      <c r="P217" s="8">
        <v>3864.081001</v>
      </c>
      <c r="Q217" s="8">
        <v>3966.464102</v>
      </c>
      <c r="R217" s="8">
        <v>3968.138343</v>
      </c>
      <c r="S217" s="8">
        <v>3856.287608</v>
      </c>
      <c r="T217" s="8">
        <v>3598.872938</v>
      </c>
      <c r="U217" s="8">
        <v>3409.257046</v>
      </c>
      <c r="V217" s="8">
        <v>3193.822775</v>
      </c>
      <c r="W217" s="8">
        <v>2909.013839</v>
      </c>
      <c r="X217" s="8">
        <v>2585.22871</v>
      </c>
      <c r="Y217" s="8">
        <v>2240.427692</v>
      </c>
      <c r="Z217" s="8">
        <v>2005.072964</v>
      </c>
      <c r="AA217" s="9">
        <f t="shared" si="1"/>
        <v>68983.09938</v>
      </c>
      <c r="AB217" s="9">
        <v>20.0</v>
      </c>
      <c r="AC217" s="9">
        <f t="shared" si="2"/>
        <v>1379661.988</v>
      </c>
      <c r="AD217" s="10">
        <f>SUM(AC217:AC219)</f>
        <v>2000000</v>
      </c>
    </row>
    <row r="218" ht="14.25" customHeight="1">
      <c r="A218" s="72">
        <v>48488.0</v>
      </c>
      <c r="B218" s="8" t="s">
        <v>35</v>
      </c>
      <c r="C218" s="8">
        <v>1944.42122</v>
      </c>
      <c r="D218" s="8">
        <v>1842.912902</v>
      </c>
      <c r="E218" s="8">
        <v>1786.312658</v>
      </c>
      <c r="F218" s="8">
        <v>1742.435707</v>
      </c>
      <c r="G218" s="8">
        <v>1750.84291</v>
      </c>
      <c r="H218" s="8">
        <v>1757.986244</v>
      </c>
      <c r="I218" s="8">
        <v>2013.872788</v>
      </c>
      <c r="J218" s="8">
        <v>2472.636506</v>
      </c>
      <c r="K218" s="8">
        <v>2908.449371</v>
      </c>
      <c r="L218" s="8">
        <v>3248.819029</v>
      </c>
      <c r="M218" s="8">
        <v>3461.218666</v>
      </c>
      <c r="N218" s="8">
        <v>3558.693026</v>
      </c>
      <c r="O218" s="8">
        <v>3458.85554</v>
      </c>
      <c r="P218" s="8">
        <v>3349.234037</v>
      </c>
      <c r="Q218" s="8">
        <v>3273.991256</v>
      </c>
      <c r="R218" s="8">
        <v>3255.744707</v>
      </c>
      <c r="S218" s="8">
        <v>3216.638361</v>
      </c>
      <c r="T218" s="8">
        <v>3155.856921</v>
      </c>
      <c r="U218" s="8">
        <v>3082.652154</v>
      </c>
      <c r="V218" s="8">
        <v>2921.267773</v>
      </c>
      <c r="W218" s="8">
        <v>2672.604126</v>
      </c>
      <c r="X218" s="8">
        <v>2393.004475</v>
      </c>
      <c r="Y218" s="8">
        <v>2094.301368</v>
      </c>
      <c r="Z218" s="8">
        <v>1879.889325</v>
      </c>
      <c r="AA218" s="9">
        <f t="shared" si="1"/>
        <v>63242.64107</v>
      </c>
      <c r="AB218" s="9">
        <v>5.0</v>
      </c>
      <c r="AC218" s="9">
        <f t="shared" si="2"/>
        <v>316213.2054</v>
      </c>
      <c r="AD218" s="11"/>
    </row>
    <row r="219" ht="14.25" customHeight="1">
      <c r="A219" s="72">
        <v>48488.0</v>
      </c>
      <c r="B219" s="8" t="s">
        <v>36</v>
      </c>
      <c r="C219" s="8">
        <v>1740.94595</v>
      </c>
      <c r="D219" s="8">
        <v>1654.478322</v>
      </c>
      <c r="E219" s="8">
        <v>1574.591597</v>
      </c>
      <c r="F219" s="8">
        <v>1534.002811</v>
      </c>
      <c r="G219" s="8">
        <v>1499.780014</v>
      </c>
      <c r="H219" s="8">
        <v>1470.355259</v>
      </c>
      <c r="I219" s="8">
        <v>1517.883898</v>
      </c>
      <c r="J219" s="8">
        <v>1696.730625</v>
      </c>
      <c r="K219" s="8">
        <v>1931.959482</v>
      </c>
      <c r="L219" s="8">
        <v>2259.074969</v>
      </c>
      <c r="M219" s="8">
        <v>2523.326648</v>
      </c>
      <c r="N219" s="8">
        <v>2672.915063</v>
      </c>
      <c r="O219" s="8">
        <v>2724.442451</v>
      </c>
      <c r="P219" s="8">
        <v>2736.875839</v>
      </c>
      <c r="Q219" s="8">
        <v>2717.970834</v>
      </c>
      <c r="R219" s="8">
        <v>2704.809029</v>
      </c>
      <c r="S219" s="8">
        <v>2640.818988</v>
      </c>
      <c r="T219" s="8">
        <v>2576.744354</v>
      </c>
      <c r="U219" s="8">
        <v>2540.87496</v>
      </c>
      <c r="V219" s="8">
        <v>2414.274435</v>
      </c>
      <c r="W219" s="8">
        <v>2209.339587</v>
      </c>
      <c r="X219" s="8">
        <v>1973.991385</v>
      </c>
      <c r="Y219" s="8">
        <v>1762.25935</v>
      </c>
      <c r="Z219" s="8">
        <v>1609.021991</v>
      </c>
      <c r="AA219" s="9">
        <f t="shared" si="1"/>
        <v>50687.46784</v>
      </c>
      <c r="AB219" s="9">
        <v>6.0</v>
      </c>
      <c r="AC219" s="9">
        <f t="shared" si="2"/>
        <v>304124.807</v>
      </c>
      <c r="AD219" s="12"/>
    </row>
    <row r="220" ht="14.25" customHeight="1">
      <c r="A220" s="72">
        <v>48519.0</v>
      </c>
      <c r="B220" s="8" t="s">
        <v>34</v>
      </c>
      <c r="C220" s="8">
        <v>1789.42245</v>
      </c>
      <c r="D220" s="8">
        <v>1716.199226</v>
      </c>
      <c r="E220" s="8">
        <v>1675.242261</v>
      </c>
      <c r="F220" s="8">
        <v>1658.499934</v>
      </c>
      <c r="G220" s="8">
        <v>1684.074551</v>
      </c>
      <c r="H220" s="8">
        <v>1792.152715</v>
      </c>
      <c r="I220" s="8">
        <v>2168.520715</v>
      </c>
      <c r="J220" s="8">
        <v>2721.029537</v>
      </c>
      <c r="K220" s="8">
        <v>3183.272762</v>
      </c>
      <c r="L220" s="8">
        <v>3495.437472</v>
      </c>
      <c r="M220" s="8">
        <v>3749.40539</v>
      </c>
      <c r="N220" s="8">
        <v>3902.252663</v>
      </c>
      <c r="O220" s="8">
        <v>3850.922688</v>
      </c>
      <c r="P220" s="8">
        <v>3864.081001</v>
      </c>
      <c r="Q220" s="8">
        <v>3966.464102</v>
      </c>
      <c r="R220" s="8">
        <v>3968.138343</v>
      </c>
      <c r="S220" s="8">
        <v>3856.287608</v>
      </c>
      <c r="T220" s="8">
        <v>3598.872938</v>
      </c>
      <c r="U220" s="8">
        <v>3409.257046</v>
      </c>
      <c r="V220" s="8">
        <v>3193.822775</v>
      </c>
      <c r="W220" s="8">
        <v>2909.013839</v>
      </c>
      <c r="X220" s="8">
        <v>2585.22871</v>
      </c>
      <c r="Y220" s="8">
        <v>2240.427692</v>
      </c>
      <c r="Z220" s="8">
        <v>2005.072964</v>
      </c>
      <c r="AA220" s="9">
        <f t="shared" si="1"/>
        <v>68983.09938</v>
      </c>
      <c r="AB220" s="9">
        <v>20.0</v>
      </c>
      <c r="AC220" s="9">
        <f t="shared" si="2"/>
        <v>1379661.988</v>
      </c>
      <c r="AD220" s="10">
        <f>SUM(AC220:AC222)</f>
        <v>1936757.359</v>
      </c>
    </row>
    <row r="221" ht="14.25" customHeight="1">
      <c r="A221" s="72">
        <v>48519.0</v>
      </c>
      <c r="B221" s="8" t="s">
        <v>35</v>
      </c>
      <c r="C221" s="8">
        <v>1944.42122</v>
      </c>
      <c r="D221" s="8">
        <v>1842.912902</v>
      </c>
      <c r="E221" s="8">
        <v>1786.312658</v>
      </c>
      <c r="F221" s="8">
        <v>1742.435707</v>
      </c>
      <c r="G221" s="8">
        <v>1750.84291</v>
      </c>
      <c r="H221" s="8">
        <v>1757.986244</v>
      </c>
      <c r="I221" s="8">
        <v>2013.872788</v>
      </c>
      <c r="J221" s="8">
        <v>2472.636506</v>
      </c>
      <c r="K221" s="8">
        <v>2908.449371</v>
      </c>
      <c r="L221" s="8">
        <v>3248.819029</v>
      </c>
      <c r="M221" s="8">
        <v>3461.218666</v>
      </c>
      <c r="N221" s="8">
        <v>3558.693026</v>
      </c>
      <c r="O221" s="8">
        <v>3458.85554</v>
      </c>
      <c r="P221" s="8">
        <v>3349.234037</v>
      </c>
      <c r="Q221" s="8">
        <v>3273.991256</v>
      </c>
      <c r="R221" s="8">
        <v>3255.744707</v>
      </c>
      <c r="S221" s="8">
        <v>3216.638361</v>
      </c>
      <c r="T221" s="8">
        <v>3155.856921</v>
      </c>
      <c r="U221" s="8">
        <v>3082.652154</v>
      </c>
      <c r="V221" s="8">
        <v>2921.267773</v>
      </c>
      <c r="W221" s="8">
        <v>2672.604126</v>
      </c>
      <c r="X221" s="8">
        <v>2393.004475</v>
      </c>
      <c r="Y221" s="8">
        <v>2094.301368</v>
      </c>
      <c r="Z221" s="8">
        <v>1879.889325</v>
      </c>
      <c r="AA221" s="9">
        <f t="shared" si="1"/>
        <v>63242.64107</v>
      </c>
      <c r="AB221" s="9">
        <v>4.0</v>
      </c>
      <c r="AC221" s="9">
        <f t="shared" si="2"/>
        <v>252970.5643</v>
      </c>
      <c r="AD221" s="11"/>
    </row>
    <row r="222" ht="14.25" customHeight="1">
      <c r="A222" s="72">
        <v>48519.0</v>
      </c>
      <c r="B222" s="8" t="s">
        <v>36</v>
      </c>
      <c r="C222" s="8">
        <v>1740.94595</v>
      </c>
      <c r="D222" s="8">
        <v>1654.478322</v>
      </c>
      <c r="E222" s="8">
        <v>1574.591597</v>
      </c>
      <c r="F222" s="8">
        <v>1534.002811</v>
      </c>
      <c r="G222" s="8">
        <v>1499.780014</v>
      </c>
      <c r="H222" s="8">
        <v>1470.355259</v>
      </c>
      <c r="I222" s="8">
        <v>1517.883898</v>
      </c>
      <c r="J222" s="8">
        <v>1696.730625</v>
      </c>
      <c r="K222" s="8">
        <v>1931.959482</v>
      </c>
      <c r="L222" s="8">
        <v>2259.074969</v>
      </c>
      <c r="M222" s="8">
        <v>2523.326648</v>
      </c>
      <c r="N222" s="8">
        <v>2672.915063</v>
      </c>
      <c r="O222" s="8">
        <v>2724.442451</v>
      </c>
      <c r="P222" s="8">
        <v>2736.875839</v>
      </c>
      <c r="Q222" s="8">
        <v>2717.970834</v>
      </c>
      <c r="R222" s="8">
        <v>2704.809029</v>
      </c>
      <c r="S222" s="8">
        <v>2640.818988</v>
      </c>
      <c r="T222" s="8">
        <v>2576.744354</v>
      </c>
      <c r="U222" s="8">
        <v>2540.87496</v>
      </c>
      <c r="V222" s="8">
        <v>2414.274435</v>
      </c>
      <c r="W222" s="8">
        <v>2209.339587</v>
      </c>
      <c r="X222" s="8">
        <v>1973.991385</v>
      </c>
      <c r="Y222" s="8">
        <v>1762.25935</v>
      </c>
      <c r="Z222" s="8">
        <v>1609.021991</v>
      </c>
      <c r="AA222" s="9">
        <f t="shared" si="1"/>
        <v>50687.46784</v>
      </c>
      <c r="AB222" s="9">
        <v>6.0</v>
      </c>
      <c r="AC222" s="9">
        <f t="shared" si="2"/>
        <v>304124.807</v>
      </c>
      <c r="AD222" s="12"/>
    </row>
    <row r="223" ht="14.25" customHeight="1">
      <c r="A223" s="72">
        <v>48549.0</v>
      </c>
      <c r="B223" s="8" t="s">
        <v>34</v>
      </c>
      <c r="C223" s="8">
        <v>1789.42245</v>
      </c>
      <c r="D223" s="8">
        <v>1716.199226</v>
      </c>
      <c r="E223" s="8">
        <v>1675.242261</v>
      </c>
      <c r="F223" s="8">
        <v>1658.499934</v>
      </c>
      <c r="G223" s="8">
        <v>1684.074551</v>
      </c>
      <c r="H223" s="8">
        <v>1792.152715</v>
      </c>
      <c r="I223" s="8">
        <v>2168.520715</v>
      </c>
      <c r="J223" s="8">
        <v>2721.029537</v>
      </c>
      <c r="K223" s="8">
        <v>3183.272762</v>
      </c>
      <c r="L223" s="8">
        <v>3495.437472</v>
      </c>
      <c r="M223" s="8">
        <v>3749.40539</v>
      </c>
      <c r="N223" s="8">
        <v>3902.252663</v>
      </c>
      <c r="O223" s="8">
        <v>3850.922688</v>
      </c>
      <c r="P223" s="8">
        <v>3864.081001</v>
      </c>
      <c r="Q223" s="8">
        <v>3966.464102</v>
      </c>
      <c r="R223" s="8">
        <v>3968.138343</v>
      </c>
      <c r="S223" s="8">
        <v>3856.287608</v>
      </c>
      <c r="T223" s="8">
        <v>3598.872938</v>
      </c>
      <c r="U223" s="8">
        <v>3409.257046</v>
      </c>
      <c r="V223" s="8">
        <v>3193.822775</v>
      </c>
      <c r="W223" s="8">
        <v>2909.013839</v>
      </c>
      <c r="X223" s="8">
        <v>2585.22871</v>
      </c>
      <c r="Y223" s="8">
        <v>2240.427692</v>
      </c>
      <c r="Z223" s="8">
        <v>2005.072964</v>
      </c>
      <c r="AA223" s="9">
        <f t="shared" si="1"/>
        <v>68983.09938</v>
      </c>
      <c r="AB223" s="9">
        <v>22.0</v>
      </c>
      <c r="AC223" s="9">
        <f t="shared" si="2"/>
        <v>1517628.186</v>
      </c>
      <c r="AD223" s="10">
        <f>SUM(AC223:AC225)</f>
        <v>2011480.917</v>
      </c>
    </row>
    <row r="224" ht="14.25" customHeight="1">
      <c r="A224" s="72">
        <v>48549.0</v>
      </c>
      <c r="B224" s="8" t="s">
        <v>35</v>
      </c>
      <c r="C224" s="8">
        <v>1944.42122</v>
      </c>
      <c r="D224" s="8">
        <v>1842.912902</v>
      </c>
      <c r="E224" s="8">
        <v>1786.312658</v>
      </c>
      <c r="F224" s="8">
        <v>1742.435707</v>
      </c>
      <c r="G224" s="8">
        <v>1750.84291</v>
      </c>
      <c r="H224" s="8">
        <v>1757.986244</v>
      </c>
      <c r="I224" s="8">
        <v>2013.872788</v>
      </c>
      <c r="J224" s="8">
        <v>2472.636506</v>
      </c>
      <c r="K224" s="8">
        <v>2908.449371</v>
      </c>
      <c r="L224" s="8">
        <v>3248.819029</v>
      </c>
      <c r="M224" s="8">
        <v>3461.218666</v>
      </c>
      <c r="N224" s="8">
        <v>3558.693026</v>
      </c>
      <c r="O224" s="8">
        <v>3458.85554</v>
      </c>
      <c r="P224" s="8">
        <v>3349.234037</v>
      </c>
      <c r="Q224" s="8">
        <v>3273.991256</v>
      </c>
      <c r="R224" s="8">
        <v>3255.744707</v>
      </c>
      <c r="S224" s="8">
        <v>3216.638361</v>
      </c>
      <c r="T224" s="8">
        <v>3155.856921</v>
      </c>
      <c r="U224" s="8">
        <v>3082.652154</v>
      </c>
      <c r="V224" s="8">
        <v>2921.267773</v>
      </c>
      <c r="W224" s="8">
        <v>2672.604126</v>
      </c>
      <c r="X224" s="8">
        <v>2393.004475</v>
      </c>
      <c r="Y224" s="8">
        <v>2094.301368</v>
      </c>
      <c r="Z224" s="8">
        <v>1879.889325</v>
      </c>
      <c r="AA224" s="9">
        <f t="shared" si="1"/>
        <v>63242.64107</v>
      </c>
      <c r="AB224" s="9">
        <v>3.0</v>
      </c>
      <c r="AC224" s="9">
        <f t="shared" si="2"/>
        <v>189727.9232</v>
      </c>
      <c r="AD224" s="11"/>
    </row>
    <row r="225" ht="14.25" customHeight="1">
      <c r="A225" s="72">
        <v>48549.0</v>
      </c>
      <c r="B225" s="8" t="s">
        <v>36</v>
      </c>
      <c r="C225" s="8">
        <v>1740.94595</v>
      </c>
      <c r="D225" s="8">
        <v>1654.478322</v>
      </c>
      <c r="E225" s="8">
        <v>1574.591597</v>
      </c>
      <c r="F225" s="8">
        <v>1534.002811</v>
      </c>
      <c r="G225" s="8">
        <v>1499.780014</v>
      </c>
      <c r="H225" s="8">
        <v>1470.355259</v>
      </c>
      <c r="I225" s="8">
        <v>1517.883898</v>
      </c>
      <c r="J225" s="8">
        <v>1696.730625</v>
      </c>
      <c r="K225" s="8">
        <v>1931.959482</v>
      </c>
      <c r="L225" s="8">
        <v>2259.074969</v>
      </c>
      <c r="M225" s="8">
        <v>2523.326648</v>
      </c>
      <c r="N225" s="8">
        <v>2672.915063</v>
      </c>
      <c r="O225" s="8">
        <v>2724.442451</v>
      </c>
      <c r="P225" s="8">
        <v>2736.875839</v>
      </c>
      <c r="Q225" s="8">
        <v>2717.970834</v>
      </c>
      <c r="R225" s="8">
        <v>2704.809029</v>
      </c>
      <c r="S225" s="8">
        <v>2640.818988</v>
      </c>
      <c r="T225" s="8">
        <v>2576.744354</v>
      </c>
      <c r="U225" s="8">
        <v>2540.87496</v>
      </c>
      <c r="V225" s="8">
        <v>2414.274435</v>
      </c>
      <c r="W225" s="8">
        <v>2209.339587</v>
      </c>
      <c r="X225" s="8">
        <v>1973.991385</v>
      </c>
      <c r="Y225" s="8">
        <v>1762.25935</v>
      </c>
      <c r="Z225" s="8">
        <v>1609.021991</v>
      </c>
      <c r="AA225" s="9">
        <f t="shared" si="1"/>
        <v>50687.46784</v>
      </c>
      <c r="AB225" s="9">
        <v>6.0</v>
      </c>
      <c r="AC225" s="9">
        <f t="shared" si="2"/>
        <v>304124.807</v>
      </c>
      <c r="AD225" s="12"/>
    </row>
    <row r="226" ht="14.25" customHeight="1">
      <c r="AB226" s="13" t="s">
        <v>32</v>
      </c>
      <c r="AC226" s="9">
        <f t="shared" ref="AC226:AD226" si="3">SUM(AC10:AC225)</f>
        <v>148907831.6</v>
      </c>
      <c r="AD226" s="9">
        <f t="shared" si="3"/>
        <v>148907831.6</v>
      </c>
    </row>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sheetData>
  <mergeCells count="76">
    <mergeCell ref="AD145:AD147"/>
    <mergeCell ref="AD148:AD150"/>
    <mergeCell ref="AD151:AD153"/>
    <mergeCell ref="AD154:AD156"/>
    <mergeCell ref="AD157:AD159"/>
    <mergeCell ref="AD160:AD162"/>
    <mergeCell ref="AD163:AD165"/>
    <mergeCell ref="AD166:AD168"/>
    <mergeCell ref="AD169:AD171"/>
    <mergeCell ref="AD172:AD174"/>
    <mergeCell ref="AD175:AD177"/>
    <mergeCell ref="AD178:AD180"/>
    <mergeCell ref="AD181:AD183"/>
    <mergeCell ref="AD184:AD186"/>
    <mergeCell ref="AD208:AD210"/>
    <mergeCell ref="AD211:AD213"/>
    <mergeCell ref="AD214:AD216"/>
    <mergeCell ref="AD217:AD219"/>
    <mergeCell ref="AD220:AD222"/>
    <mergeCell ref="AD223:AD225"/>
    <mergeCell ref="AD187:AD189"/>
    <mergeCell ref="AD190:AD192"/>
    <mergeCell ref="AD193:AD195"/>
    <mergeCell ref="AD196:AD198"/>
    <mergeCell ref="AD199:AD201"/>
    <mergeCell ref="AD202:AD204"/>
    <mergeCell ref="AD205:AD207"/>
    <mergeCell ref="A1:AC1"/>
    <mergeCell ref="A2:AC2"/>
    <mergeCell ref="A3:AC3"/>
    <mergeCell ref="A4:AC4"/>
    <mergeCell ref="AD10:AD12"/>
    <mergeCell ref="AD13:AD15"/>
    <mergeCell ref="AD16:AD18"/>
    <mergeCell ref="AD19:AD21"/>
    <mergeCell ref="AD22:AD24"/>
    <mergeCell ref="AD25:AD27"/>
    <mergeCell ref="AD28:AD30"/>
    <mergeCell ref="AD31:AD33"/>
    <mergeCell ref="AD34:AD36"/>
    <mergeCell ref="AD37:AD39"/>
    <mergeCell ref="AD40:AD42"/>
    <mergeCell ref="AD43:AD45"/>
    <mergeCell ref="AD46:AD48"/>
    <mergeCell ref="AD49:AD51"/>
    <mergeCell ref="AD52:AD54"/>
    <mergeCell ref="AD55:AD57"/>
    <mergeCell ref="AD58:AD60"/>
    <mergeCell ref="AD61:AD63"/>
    <mergeCell ref="AD64:AD66"/>
    <mergeCell ref="AD67:AD69"/>
    <mergeCell ref="AD70:AD72"/>
    <mergeCell ref="AD73:AD75"/>
    <mergeCell ref="AD76:AD78"/>
    <mergeCell ref="AD79:AD81"/>
    <mergeCell ref="AD82:AD84"/>
    <mergeCell ref="AD85:AD87"/>
    <mergeCell ref="AD88:AD90"/>
    <mergeCell ref="AD91:AD93"/>
    <mergeCell ref="AD94:AD96"/>
    <mergeCell ref="AD97:AD99"/>
    <mergeCell ref="AD100:AD102"/>
    <mergeCell ref="AD103:AD105"/>
    <mergeCell ref="AD106:AD108"/>
    <mergeCell ref="AD109:AD111"/>
    <mergeCell ref="AD112:AD114"/>
    <mergeCell ref="AD115:AD117"/>
    <mergeCell ref="AD118:AD120"/>
    <mergeCell ref="AD121:AD123"/>
    <mergeCell ref="AD124:AD126"/>
    <mergeCell ref="AD127:AD129"/>
    <mergeCell ref="AD130:AD132"/>
    <mergeCell ref="AD133:AD135"/>
    <mergeCell ref="AD136:AD138"/>
    <mergeCell ref="AD139:AD141"/>
    <mergeCell ref="AD142:AD144"/>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0.71"/>
    <col customWidth="1" min="3" max="3" width="16.0"/>
    <col customWidth="1" min="4" max="4" width="13.0"/>
    <col customWidth="1" min="5" max="5" width="14.14"/>
    <col customWidth="1" min="6" max="6" width="10.71"/>
    <col customWidth="1" min="7" max="7" width="14.86"/>
    <col customWidth="1" min="8" max="19" width="10.71"/>
  </cols>
  <sheetData>
    <row r="1" ht="14.25" customHeight="1"/>
    <row r="2" ht="14.25" customHeight="1"/>
    <row r="3" ht="14.25" customHeight="1"/>
    <row r="4" ht="14.25" customHeight="1">
      <c r="A4" s="14" t="s">
        <v>3</v>
      </c>
    </row>
    <row r="5" ht="14.25" customHeight="1">
      <c r="A5" s="15"/>
      <c r="B5" s="14" t="s">
        <v>70</v>
      </c>
    </row>
    <row r="6" ht="14.25" customHeight="1">
      <c r="A6" s="15"/>
      <c r="B6" s="14" t="s">
        <v>38</v>
      </c>
    </row>
    <row r="7" ht="14.25" customHeight="1">
      <c r="A7" s="15"/>
      <c r="B7" s="16" t="s">
        <v>39</v>
      </c>
    </row>
    <row r="8" ht="14.25" customHeight="1">
      <c r="A8" s="15"/>
      <c r="B8" s="17" t="s">
        <v>40</v>
      </c>
    </row>
    <row r="9" ht="14.25" customHeight="1">
      <c r="A9" s="15"/>
      <c r="B9" s="16"/>
      <c r="C9" s="16"/>
      <c r="D9" s="16"/>
      <c r="E9" s="16"/>
    </row>
    <row r="10" ht="14.25" customHeight="1">
      <c r="A10" s="15"/>
      <c r="B10" s="44" t="s">
        <v>41</v>
      </c>
      <c r="C10" s="45"/>
      <c r="D10" s="45"/>
      <c r="E10" s="45"/>
      <c r="F10" s="46"/>
    </row>
    <row r="11">
      <c r="A11" s="15"/>
      <c r="B11" s="47" t="s">
        <v>4</v>
      </c>
      <c r="C11" s="48" t="s">
        <v>42</v>
      </c>
      <c r="D11" s="62" t="s">
        <v>43</v>
      </c>
      <c r="E11" s="23" t="s">
        <v>44</v>
      </c>
      <c r="F11" s="63" t="s">
        <v>45</v>
      </c>
    </row>
    <row r="12" ht="14.25" customHeight="1">
      <c r="A12" s="15"/>
      <c r="B12" s="73">
        <v>46418.0</v>
      </c>
      <c r="C12" s="74">
        <f>'Cant. Requeridas Producto 6'!AD10</f>
        <v>2576215.679</v>
      </c>
      <c r="D12" s="50"/>
      <c r="E12" s="51">
        <f t="shared" ref="E12:E35" si="1">C12*D12</f>
        <v>0</v>
      </c>
      <c r="F12" s="52"/>
    </row>
    <row r="13" ht="14.25" customHeight="1">
      <c r="A13" s="15"/>
      <c r="B13" s="49">
        <v>46419.0</v>
      </c>
      <c r="C13" s="26">
        <f>'Cant. Requeridas Producto 6'!AD13</f>
        <v>2385997.15</v>
      </c>
      <c r="D13" s="53"/>
      <c r="E13" s="54">
        <f t="shared" si="1"/>
        <v>0</v>
      </c>
      <c r="F13" s="55"/>
    </row>
    <row r="14" ht="14.25" customHeight="1">
      <c r="A14" s="15"/>
      <c r="B14" s="49">
        <v>46447.0</v>
      </c>
      <c r="C14" s="26">
        <f>'Cant. Requeridas Producto 6'!AD16</f>
        <v>2583678.275</v>
      </c>
      <c r="D14" s="53"/>
      <c r="E14" s="54">
        <f t="shared" si="1"/>
        <v>0</v>
      </c>
      <c r="F14" s="55"/>
    </row>
    <row r="15" ht="14.25" customHeight="1">
      <c r="A15" s="15"/>
      <c r="B15" s="49">
        <v>46478.0</v>
      </c>
      <c r="C15" s="26">
        <f>'Cant. Requeridas Producto 6'!AD19</f>
        <v>2565353.209</v>
      </c>
      <c r="D15" s="53"/>
      <c r="E15" s="54">
        <f t="shared" si="1"/>
        <v>0</v>
      </c>
      <c r="F15" s="55"/>
    </row>
    <row r="16" ht="14.25" customHeight="1">
      <c r="A16" s="15"/>
      <c r="B16" s="49">
        <v>46508.0</v>
      </c>
      <c r="C16" s="28">
        <f>'Cant. Requeridas Producto 6'!AD22</f>
        <v>2559893.954</v>
      </c>
      <c r="D16" s="53"/>
      <c r="E16" s="54">
        <f t="shared" si="1"/>
        <v>0</v>
      </c>
      <c r="F16" s="55"/>
    </row>
    <row r="17" ht="14.25" customHeight="1">
      <c r="A17" s="15"/>
      <c r="B17" s="49">
        <v>46539.0</v>
      </c>
      <c r="C17" s="28">
        <f>'Cant. Requeridas Producto 6'!AD25</f>
        <v>2541568.888</v>
      </c>
      <c r="D17" s="53"/>
      <c r="E17" s="54">
        <f t="shared" si="1"/>
        <v>0</v>
      </c>
      <c r="F17" s="55"/>
    </row>
    <row r="18" ht="14.25" customHeight="1">
      <c r="A18" s="15"/>
      <c r="B18" s="49">
        <v>46569.0</v>
      </c>
      <c r="C18" s="28">
        <f>'Cant. Requeridas Producto 6'!AD28</f>
        <v>2600000</v>
      </c>
      <c r="D18" s="53"/>
      <c r="E18" s="54">
        <f t="shared" si="1"/>
        <v>0</v>
      </c>
      <c r="F18" s="55"/>
    </row>
    <row r="19" ht="14.25" customHeight="1">
      <c r="A19" s="15"/>
      <c r="B19" s="49">
        <v>46600.0</v>
      </c>
      <c r="C19" s="28">
        <f>'Cant. Requeridas Producto 6'!AD31</f>
        <v>2591140.871</v>
      </c>
      <c r="D19" s="53"/>
      <c r="E19" s="54">
        <f t="shared" si="1"/>
        <v>0</v>
      </c>
      <c r="F19" s="55"/>
    </row>
    <row r="20" ht="14.25" customHeight="1">
      <c r="A20" s="15"/>
      <c r="B20" s="49">
        <v>46631.0</v>
      </c>
      <c r="C20" s="28">
        <f>'Cant. Requeridas Producto 6'!AD34</f>
        <v>2565353.209</v>
      </c>
      <c r="D20" s="53"/>
      <c r="E20" s="54">
        <f t="shared" si="1"/>
        <v>0</v>
      </c>
      <c r="F20" s="55"/>
    </row>
    <row r="21" ht="14.25" customHeight="1">
      <c r="A21" s="15"/>
      <c r="B21" s="49">
        <v>46661.0</v>
      </c>
      <c r="C21" s="28">
        <f>'Cant. Requeridas Producto 6'!AD37</f>
        <v>2600000</v>
      </c>
      <c r="D21" s="53"/>
      <c r="E21" s="54">
        <f t="shared" si="1"/>
        <v>0</v>
      </c>
      <c r="F21" s="55"/>
    </row>
    <row r="22" ht="14.25" customHeight="1">
      <c r="A22" s="15"/>
      <c r="B22" s="49">
        <v>46692.0</v>
      </c>
      <c r="C22" s="26">
        <f>'Cant. Requeridas Producto 6'!AD40</f>
        <v>2517784.567</v>
      </c>
      <c r="D22" s="53"/>
      <c r="E22" s="54">
        <f t="shared" si="1"/>
        <v>0</v>
      </c>
      <c r="F22" s="55"/>
    </row>
    <row r="23" ht="14.25" customHeight="1">
      <c r="A23" s="15"/>
      <c r="B23" s="75">
        <v>46722.0</v>
      </c>
      <c r="C23" s="31">
        <f>'Cant. Requeridas Producto 6'!AD43</f>
        <v>2614925.192</v>
      </c>
      <c r="D23" s="56"/>
      <c r="E23" s="57">
        <f t="shared" si="1"/>
        <v>0</v>
      </c>
      <c r="F23" s="58"/>
    </row>
    <row r="24" ht="14.25" customHeight="1">
      <c r="A24" s="15"/>
      <c r="B24" s="76">
        <v>46783.0</v>
      </c>
      <c r="C24" s="77">
        <f>'Cant. Requeridas Producto 6'!AD46</f>
        <v>2186189.309</v>
      </c>
      <c r="D24" s="50"/>
      <c r="E24" s="78">
        <f t="shared" si="1"/>
        <v>0</v>
      </c>
      <c r="F24" s="52"/>
    </row>
    <row r="25" ht="14.25" customHeight="1">
      <c r="A25" s="15"/>
      <c r="B25" s="49">
        <v>46784.0</v>
      </c>
      <c r="C25" s="26">
        <f>'Cant. Requeridas Producto 6'!AD49</f>
        <v>2094802.075</v>
      </c>
      <c r="D25" s="53"/>
      <c r="E25" s="54">
        <f t="shared" si="1"/>
        <v>0</v>
      </c>
      <c r="F25" s="55"/>
    </row>
    <row r="26" ht="14.25" customHeight="1">
      <c r="A26" s="15"/>
      <c r="B26" s="49">
        <v>46813.0</v>
      </c>
      <c r="C26" s="26">
        <f>'Cant. Requeridas Producto 6'!AD52</f>
        <v>2226439.699</v>
      </c>
      <c r="D26" s="53"/>
      <c r="E26" s="54">
        <f t="shared" si="1"/>
        <v>0</v>
      </c>
      <c r="F26" s="55"/>
    </row>
    <row r="27" ht="14.25" customHeight="1">
      <c r="A27" s="15"/>
      <c r="B27" s="49">
        <v>46844.0</v>
      </c>
      <c r="C27" s="26">
        <f>'Cant. Requeridas Producto 6'!AD55</f>
        <v>2103993.396</v>
      </c>
      <c r="D27" s="53"/>
      <c r="E27" s="54">
        <f t="shared" si="1"/>
        <v>0</v>
      </c>
      <c r="F27" s="55"/>
    </row>
    <row r="28" ht="14.25" customHeight="1">
      <c r="A28" s="15"/>
      <c r="B28" s="49">
        <v>46874.0</v>
      </c>
      <c r="C28" s="28">
        <f>'Cant. Requeridas Producto 6'!AD58</f>
        <v>2206314.504</v>
      </c>
      <c r="D28" s="53"/>
      <c r="E28" s="54">
        <f t="shared" si="1"/>
        <v>0</v>
      </c>
      <c r="F28" s="55"/>
    </row>
    <row r="29" ht="14.25" customHeight="1">
      <c r="A29" s="15"/>
      <c r="B29" s="49">
        <v>46905.0</v>
      </c>
      <c r="C29" s="28">
        <f>'Cant. Requeridas Producto 6'!AD61</f>
        <v>2130433.095</v>
      </c>
      <c r="D29" s="53"/>
      <c r="E29" s="54">
        <f t="shared" si="1"/>
        <v>0</v>
      </c>
      <c r="F29" s="55"/>
    </row>
    <row r="30" ht="14.25" customHeight="1">
      <c r="A30" s="15"/>
      <c r="B30" s="49">
        <v>46935.0</v>
      </c>
      <c r="C30" s="28">
        <f>'Cant. Requeridas Producto 6'!AD64</f>
        <v>2179874.805</v>
      </c>
      <c r="D30" s="53"/>
      <c r="E30" s="54">
        <f t="shared" si="1"/>
        <v>0</v>
      </c>
      <c r="F30" s="55"/>
    </row>
    <row r="31" ht="14.25" customHeight="1">
      <c r="A31" s="15"/>
      <c r="B31" s="49">
        <v>46966.0</v>
      </c>
      <c r="C31" s="28">
        <f>'Cant. Requeridas Producto 6'!AD67</f>
        <v>2206314.504</v>
      </c>
      <c r="D31" s="53"/>
      <c r="E31" s="54">
        <f t="shared" si="1"/>
        <v>0</v>
      </c>
      <c r="F31" s="55"/>
    </row>
    <row r="32" ht="14.25" customHeight="1">
      <c r="A32" s="15"/>
      <c r="B32" s="49">
        <v>46997.0</v>
      </c>
      <c r="C32" s="28">
        <f>'Cant. Requeridas Producto 6'!AD70</f>
        <v>2164368.98</v>
      </c>
      <c r="D32" s="53"/>
      <c r="E32" s="54">
        <f t="shared" si="1"/>
        <v>0</v>
      </c>
      <c r="F32" s="55"/>
    </row>
    <row r="33" ht="14.25" customHeight="1">
      <c r="A33" s="15"/>
      <c r="B33" s="49">
        <v>47027.0</v>
      </c>
      <c r="C33" s="28">
        <f>'Cant. Requeridas Producto 6'!AD73</f>
        <v>2206314.504</v>
      </c>
      <c r="D33" s="53"/>
      <c r="E33" s="54">
        <f t="shared" si="1"/>
        <v>0</v>
      </c>
      <c r="F33" s="55"/>
    </row>
    <row r="34" ht="14.25" customHeight="1">
      <c r="A34" s="15"/>
      <c r="B34" s="49">
        <v>47058.0</v>
      </c>
      <c r="C34" s="28">
        <f>'Cant. Requeridas Producto 6'!AD76</f>
        <v>2130433.095</v>
      </c>
      <c r="D34" s="53"/>
      <c r="E34" s="54">
        <f t="shared" si="1"/>
        <v>0</v>
      </c>
      <c r="F34" s="55"/>
    </row>
    <row r="35" ht="14.25" customHeight="1">
      <c r="A35" s="15"/>
      <c r="B35" s="79">
        <v>47088.0</v>
      </c>
      <c r="C35" s="80">
        <f>'Cant. Requeridas Producto 6'!AD79</f>
        <v>2179874.805</v>
      </c>
      <c r="D35" s="56"/>
      <c r="E35" s="81">
        <f t="shared" si="1"/>
        <v>0</v>
      </c>
      <c r="F35" s="58"/>
    </row>
    <row r="36" ht="14.25" customHeight="1">
      <c r="A36" s="15"/>
      <c r="B36" s="73">
        <v>47149.0</v>
      </c>
      <c r="C36" s="82">
        <f>'Cant. Requeridas Producto 6'!AD82</f>
        <v>1805166.413</v>
      </c>
      <c r="D36" s="83"/>
      <c r="E36" s="51">
        <f t="shared" ref="E36:E47" si="2">C36*$D$36</f>
        <v>0</v>
      </c>
      <c r="F36" s="84"/>
    </row>
    <row r="37" ht="14.25" customHeight="1">
      <c r="A37" s="15"/>
      <c r="B37" s="49">
        <v>47150.0</v>
      </c>
      <c r="C37" s="28">
        <f>'Cant. Requeridas Producto 6'!AD85</f>
        <v>1651844.181</v>
      </c>
      <c r="D37" s="85"/>
      <c r="E37" s="54">
        <f t="shared" si="2"/>
        <v>0</v>
      </c>
      <c r="F37" s="86"/>
    </row>
    <row r="38" ht="14.25" customHeight="1">
      <c r="A38" s="15"/>
      <c r="B38" s="49">
        <v>47178.0</v>
      </c>
      <c r="C38" s="28">
        <f>'Cant. Requeridas Producto 6'!AD88</f>
        <v>1783533.932</v>
      </c>
      <c r="D38" s="85"/>
      <c r="E38" s="54">
        <f t="shared" si="2"/>
        <v>0</v>
      </c>
      <c r="F38" s="86"/>
    </row>
    <row r="39" ht="14.25" customHeight="1">
      <c r="A39" s="15"/>
      <c r="B39" s="49">
        <v>47209.0</v>
      </c>
      <c r="C39" s="28">
        <f>'Cant. Requeridas Producto 6'!AD91</f>
        <v>1759547.691</v>
      </c>
      <c r="D39" s="85"/>
      <c r="E39" s="54">
        <f t="shared" si="2"/>
        <v>0</v>
      </c>
      <c r="F39" s="86"/>
    </row>
    <row r="40" ht="14.25" customHeight="1">
      <c r="A40" s="15"/>
      <c r="B40" s="49">
        <v>47239.0</v>
      </c>
      <c r="C40" s="28">
        <f>'Cant. Requeridas Producto 6'!AD94</f>
        <v>1805166.413</v>
      </c>
      <c r="D40" s="85"/>
      <c r="E40" s="54">
        <f t="shared" si="2"/>
        <v>0</v>
      </c>
      <c r="F40" s="86"/>
    </row>
    <row r="41" ht="14.25" customHeight="1">
      <c r="A41" s="15"/>
      <c r="B41" s="49">
        <v>47270.0</v>
      </c>
      <c r="C41" s="28">
        <f>'Cant. Requeridas Producto 6'!AD97</f>
        <v>1737915.211</v>
      </c>
      <c r="D41" s="85"/>
      <c r="E41" s="54">
        <f t="shared" si="2"/>
        <v>0</v>
      </c>
      <c r="F41" s="86"/>
    </row>
    <row r="42" ht="14.25" customHeight="1">
      <c r="A42" s="15"/>
      <c r="B42" s="49">
        <v>47300.0</v>
      </c>
      <c r="C42" s="28">
        <f>'Cant. Requeridas Producto 6'!AD100</f>
        <v>1788700.344</v>
      </c>
      <c r="D42" s="85"/>
      <c r="E42" s="54">
        <f t="shared" si="2"/>
        <v>0</v>
      </c>
      <c r="F42" s="86"/>
    </row>
    <row r="43" ht="14.25" customHeight="1">
      <c r="A43" s="15"/>
      <c r="B43" s="49">
        <v>47331.0</v>
      </c>
      <c r="C43" s="28">
        <f>'Cant. Requeridas Producto 6'!AD103</f>
        <v>1805166.413</v>
      </c>
      <c r="D43" s="85"/>
      <c r="E43" s="54">
        <f t="shared" si="2"/>
        <v>0</v>
      </c>
      <c r="F43" s="86"/>
    </row>
    <row r="44" ht="14.25" customHeight="1">
      <c r="A44" s="15"/>
      <c r="B44" s="49">
        <v>47362.0</v>
      </c>
      <c r="C44" s="28">
        <f>'Cant. Requeridas Producto 6'!AD106</f>
        <v>1754381.279</v>
      </c>
      <c r="D44" s="85"/>
      <c r="E44" s="54">
        <f t="shared" si="2"/>
        <v>0</v>
      </c>
      <c r="F44" s="86"/>
    </row>
    <row r="45" ht="14.25" customHeight="1">
      <c r="A45" s="15"/>
      <c r="B45" s="49">
        <v>47392.0</v>
      </c>
      <c r="C45" s="28">
        <f>'Cant. Requeridas Producto 6'!AD109</f>
        <v>1821632.481</v>
      </c>
      <c r="D45" s="85"/>
      <c r="E45" s="54">
        <f t="shared" si="2"/>
        <v>0</v>
      </c>
      <c r="F45" s="86"/>
    </row>
    <row r="46" ht="14.25" customHeight="1">
      <c r="A46" s="15"/>
      <c r="B46" s="49">
        <v>47423.0</v>
      </c>
      <c r="C46" s="28">
        <f>'Cant. Requeridas Producto 6'!AD112</f>
        <v>1743081.623</v>
      </c>
      <c r="D46" s="85"/>
      <c r="E46" s="54">
        <f t="shared" si="2"/>
        <v>0</v>
      </c>
      <c r="F46" s="86"/>
    </row>
    <row r="47" ht="14.25" customHeight="1">
      <c r="A47" s="15"/>
      <c r="B47" s="75">
        <v>47453.0</v>
      </c>
      <c r="C47" s="33">
        <f>'Cant. Requeridas Producto 6'!AD115</f>
        <v>1788700.344</v>
      </c>
      <c r="D47" s="87"/>
      <c r="E47" s="57">
        <f t="shared" si="2"/>
        <v>0</v>
      </c>
      <c r="F47" s="88"/>
    </row>
    <row r="48" ht="14.25" customHeight="1">
      <c r="A48" s="15"/>
      <c r="B48" s="76">
        <v>47514.0</v>
      </c>
      <c r="C48" s="89">
        <f>'Cant. Requeridas Producto 6'!AD118</f>
        <v>2005740.458</v>
      </c>
      <c r="D48" s="83"/>
      <c r="E48" s="78">
        <f t="shared" ref="E48:E59" si="3">C48*$D$48</f>
        <v>0</v>
      </c>
      <c r="F48" s="84"/>
    </row>
    <row r="49" ht="14.25" customHeight="1">
      <c r="A49" s="15"/>
      <c r="B49" s="49">
        <v>47515.0</v>
      </c>
      <c r="C49" s="28">
        <f>'Cant. Requeridas Producto 6'!AD121</f>
        <v>1835382.423</v>
      </c>
      <c r="D49" s="85"/>
      <c r="E49" s="54">
        <f t="shared" si="3"/>
        <v>0</v>
      </c>
      <c r="F49" s="86"/>
    </row>
    <row r="50" ht="14.25" customHeight="1">
      <c r="A50" s="15"/>
      <c r="B50" s="49">
        <v>47543.0</v>
      </c>
      <c r="C50" s="28">
        <f>'Cant. Requeridas Producto 6'!AD124</f>
        <v>2000000</v>
      </c>
      <c r="D50" s="85"/>
      <c r="E50" s="54">
        <f t="shared" si="3"/>
        <v>0</v>
      </c>
      <c r="F50" s="86"/>
    </row>
    <row r="51" ht="14.25" customHeight="1">
      <c r="A51" s="15"/>
      <c r="B51" s="49">
        <v>47574.0</v>
      </c>
      <c r="C51" s="28">
        <f>'Cant. Requeridas Producto 6'!AD127</f>
        <v>1936757.359</v>
      </c>
      <c r="D51" s="85"/>
      <c r="E51" s="54">
        <f t="shared" si="3"/>
        <v>0</v>
      </c>
      <c r="F51" s="86"/>
    </row>
    <row r="52" ht="14.25" customHeight="1">
      <c r="A52" s="15"/>
      <c r="B52" s="49">
        <v>47604.0</v>
      </c>
      <c r="C52" s="28">
        <f>'Cant. Requeridas Producto 6'!AD130</f>
        <v>2024036.09</v>
      </c>
      <c r="D52" s="85"/>
      <c r="E52" s="54">
        <f t="shared" si="3"/>
        <v>0</v>
      </c>
      <c r="F52" s="86"/>
    </row>
    <row r="53" ht="14.25" customHeight="1">
      <c r="A53" s="15"/>
      <c r="B53" s="49">
        <v>47635.0</v>
      </c>
      <c r="C53" s="28">
        <f>'Cant. Requeridas Producto 6'!AD133</f>
        <v>1912721.269</v>
      </c>
      <c r="D53" s="85"/>
      <c r="E53" s="54">
        <f t="shared" si="3"/>
        <v>0</v>
      </c>
      <c r="F53" s="86"/>
    </row>
    <row r="54" ht="14.25" customHeight="1">
      <c r="A54" s="15"/>
      <c r="B54" s="49">
        <v>47665.0</v>
      </c>
      <c r="C54" s="28">
        <f>'Cant. Requeridas Producto 6'!AD136</f>
        <v>2011480.917</v>
      </c>
      <c r="D54" s="85"/>
      <c r="E54" s="54">
        <f t="shared" si="3"/>
        <v>0</v>
      </c>
      <c r="F54" s="86"/>
    </row>
    <row r="55" ht="14.25" customHeight="1">
      <c r="A55" s="15"/>
      <c r="B55" s="49">
        <v>47696.0</v>
      </c>
      <c r="C55" s="28">
        <f>'Cant. Requeridas Producto 6'!AD139</f>
        <v>2000000</v>
      </c>
      <c r="D55" s="85"/>
      <c r="E55" s="54">
        <f t="shared" si="3"/>
        <v>0</v>
      </c>
      <c r="F55" s="86"/>
    </row>
    <row r="56" ht="14.25" customHeight="1">
      <c r="A56" s="15"/>
      <c r="B56" s="49">
        <v>47727.0</v>
      </c>
      <c r="C56" s="28">
        <f>'Cant. Requeridas Producto 6'!AD142</f>
        <v>1955052.991</v>
      </c>
      <c r="D56" s="85"/>
      <c r="E56" s="54">
        <f t="shared" si="3"/>
        <v>0</v>
      </c>
      <c r="F56" s="86"/>
    </row>
    <row r="57" ht="14.25" customHeight="1">
      <c r="A57" s="15"/>
      <c r="B57" s="49">
        <v>47757.0</v>
      </c>
      <c r="C57" s="28">
        <f>'Cant. Requeridas Producto 6'!AD145</f>
        <v>2024036.09</v>
      </c>
      <c r="D57" s="85"/>
      <c r="E57" s="54">
        <f t="shared" si="3"/>
        <v>0</v>
      </c>
      <c r="F57" s="86"/>
    </row>
    <row r="58" ht="14.25" customHeight="1">
      <c r="A58" s="15"/>
      <c r="B58" s="49">
        <v>47788.0</v>
      </c>
      <c r="C58" s="28">
        <f>'Cant. Requeridas Producto 6'!AD148</f>
        <v>1931016.901</v>
      </c>
      <c r="D58" s="85"/>
      <c r="E58" s="54">
        <f t="shared" si="3"/>
        <v>0</v>
      </c>
      <c r="F58" s="86"/>
    </row>
    <row r="59" ht="14.25" customHeight="1">
      <c r="A59" s="15"/>
      <c r="B59" s="79">
        <v>47818.0</v>
      </c>
      <c r="C59" s="80">
        <f>'Cant. Requeridas Producto 6'!AD151</f>
        <v>2005740.458</v>
      </c>
      <c r="D59" s="87"/>
      <c r="E59" s="81">
        <f t="shared" si="3"/>
        <v>0</v>
      </c>
      <c r="F59" s="88"/>
    </row>
    <row r="60" ht="14.25" customHeight="1">
      <c r="A60" s="15"/>
      <c r="B60" s="73">
        <v>47849.0</v>
      </c>
      <c r="C60" s="82">
        <f>'Cant. Requeridas Producto 6'!AD154</f>
        <v>2005740.458</v>
      </c>
      <c r="D60" s="83"/>
      <c r="E60" s="51">
        <f t="shared" ref="E60:E71" si="4">C60*$D$60</f>
        <v>0</v>
      </c>
      <c r="F60" s="84"/>
    </row>
    <row r="61" ht="14.25" customHeight="1">
      <c r="A61" s="15"/>
      <c r="B61" s="49">
        <v>47880.0</v>
      </c>
      <c r="C61" s="28">
        <f>'Cant. Requeridas Producto 6'!AD157</f>
        <v>1835382.423</v>
      </c>
      <c r="D61" s="85"/>
      <c r="E61" s="54">
        <f t="shared" si="4"/>
        <v>0</v>
      </c>
      <c r="F61" s="86"/>
    </row>
    <row r="62" ht="14.25" customHeight="1">
      <c r="A62" s="15"/>
      <c r="B62" s="49">
        <v>47908.0</v>
      </c>
      <c r="C62" s="28">
        <f>'Cant. Requeridas Producto 6'!AD160</f>
        <v>2000000</v>
      </c>
      <c r="D62" s="85"/>
      <c r="E62" s="54">
        <f t="shared" si="4"/>
        <v>0</v>
      </c>
      <c r="F62" s="86"/>
    </row>
    <row r="63" ht="14.25" customHeight="1">
      <c r="A63" s="15"/>
      <c r="B63" s="49">
        <v>47939.0</v>
      </c>
      <c r="C63" s="28">
        <f>'Cant. Requeridas Producto 6'!AD163</f>
        <v>1936757.359</v>
      </c>
      <c r="D63" s="85"/>
      <c r="E63" s="54">
        <f t="shared" si="4"/>
        <v>0</v>
      </c>
      <c r="F63" s="86"/>
    </row>
    <row r="64" ht="14.25" customHeight="1">
      <c r="A64" s="15"/>
      <c r="B64" s="49">
        <v>47969.0</v>
      </c>
      <c r="C64" s="28">
        <f>'Cant. Requeridas Producto 6'!AD166</f>
        <v>2000000</v>
      </c>
      <c r="D64" s="85"/>
      <c r="E64" s="54">
        <f t="shared" si="4"/>
        <v>0</v>
      </c>
      <c r="F64" s="86"/>
    </row>
    <row r="65" ht="14.25" customHeight="1">
      <c r="A65" s="15"/>
      <c r="B65" s="49">
        <v>48000.0</v>
      </c>
      <c r="C65" s="28">
        <f>'Cant. Requeridas Producto 6'!AD169</f>
        <v>1900166.096</v>
      </c>
      <c r="D65" s="85"/>
      <c r="E65" s="54">
        <f t="shared" si="4"/>
        <v>0</v>
      </c>
      <c r="F65" s="86"/>
    </row>
    <row r="66" ht="14.25" customHeight="1">
      <c r="A66" s="15"/>
      <c r="B66" s="49">
        <v>48030.0</v>
      </c>
      <c r="C66" s="28">
        <f>'Cant. Requeridas Producto 6'!AD172</f>
        <v>2042331.721</v>
      </c>
      <c r="D66" s="85"/>
      <c r="E66" s="54">
        <f t="shared" si="4"/>
        <v>0</v>
      </c>
      <c r="F66" s="86"/>
    </row>
    <row r="67" ht="14.25" customHeight="1">
      <c r="A67" s="15"/>
      <c r="B67" s="49">
        <v>48061.0</v>
      </c>
      <c r="C67" s="28">
        <f>'Cant. Requeridas Producto 6'!AD175</f>
        <v>1981704.368</v>
      </c>
      <c r="D67" s="85"/>
      <c r="E67" s="54">
        <f t="shared" si="4"/>
        <v>0</v>
      </c>
      <c r="F67" s="86"/>
    </row>
    <row r="68" ht="14.25" customHeight="1">
      <c r="A68" s="15"/>
      <c r="B68" s="49">
        <v>48092.0</v>
      </c>
      <c r="C68" s="28">
        <f>'Cant. Requeridas Producto 6'!AD178</f>
        <v>1973348.622</v>
      </c>
      <c r="D68" s="85"/>
      <c r="E68" s="54">
        <f t="shared" si="4"/>
        <v>0</v>
      </c>
      <c r="F68" s="86"/>
    </row>
    <row r="69" ht="14.25" customHeight="1">
      <c r="A69" s="15"/>
      <c r="B69" s="49">
        <v>48122.0</v>
      </c>
      <c r="C69" s="28">
        <f>'Cant. Requeridas Producto 6'!AD181</f>
        <v>2024036.09</v>
      </c>
      <c r="D69" s="85"/>
      <c r="E69" s="54">
        <f t="shared" si="4"/>
        <v>0</v>
      </c>
      <c r="F69" s="86"/>
    </row>
    <row r="70" ht="14.25" customHeight="1">
      <c r="A70" s="15"/>
      <c r="B70" s="49">
        <v>48153.0</v>
      </c>
      <c r="C70" s="28">
        <f>'Cant. Requeridas Producto 6'!AD184</f>
        <v>1912721.269</v>
      </c>
      <c r="D70" s="85"/>
      <c r="E70" s="54">
        <f t="shared" si="4"/>
        <v>0</v>
      </c>
      <c r="F70" s="86"/>
    </row>
    <row r="71" ht="14.25" customHeight="1">
      <c r="A71" s="15"/>
      <c r="B71" s="75">
        <v>48183.0</v>
      </c>
      <c r="C71" s="33">
        <f>'Cant. Requeridas Producto 6'!AD187</f>
        <v>2005740.458</v>
      </c>
      <c r="D71" s="87"/>
      <c r="E71" s="57">
        <f t="shared" si="4"/>
        <v>0</v>
      </c>
      <c r="F71" s="88"/>
    </row>
    <row r="72" ht="14.25" customHeight="1">
      <c r="A72" s="15"/>
      <c r="B72" s="76">
        <v>48214.0</v>
      </c>
      <c r="C72" s="89">
        <f>'Cant. Requeridas Producto 6'!AD190</f>
        <v>2000000</v>
      </c>
      <c r="D72" s="83"/>
      <c r="E72" s="78">
        <f t="shared" ref="E72:E83" si="5">C72*$D$72</f>
        <v>0</v>
      </c>
      <c r="F72" s="84"/>
    </row>
    <row r="73" ht="14.25" customHeight="1">
      <c r="A73" s="15"/>
      <c r="B73" s="49">
        <v>48245.0</v>
      </c>
      <c r="C73" s="28">
        <f>'Cant. Requeridas Producto 6'!AD193</f>
        <v>1886069.891</v>
      </c>
      <c r="D73" s="85"/>
      <c r="E73" s="54">
        <f t="shared" si="5"/>
        <v>0</v>
      </c>
      <c r="F73" s="86"/>
    </row>
    <row r="74" ht="14.25" customHeight="1">
      <c r="A74" s="15"/>
      <c r="B74" s="49">
        <v>48274.0</v>
      </c>
      <c r="C74" s="28">
        <f>'Cant. Requeridas Producto 6'!AD196</f>
        <v>1987444.827</v>
      </c>
      <c r="D74" s="85"/>
      <c r="E74" s="54">
        <f t="shared" si="5"/>
        <v>0</v>
      </c>
      <c r="F74" s="86"/>
    </row>
    <row r="75" ht="14.25" customHeight="1">
      <c r="A75" s="15"/>
      <c r="B75" s="49">
        <v>48305.0</v>
      </c>
      <c r="C75" s="28">
        <f>'Cant. Requeridas Producto 6'!AD199</f>
        <v>1973348.622</v>
      </c>
      <c r="D75" s="85"/>
      <c r="E75" s="54">
        <f t="shared" si="5"/>
        <v>0</v>
      </c>
      <c r="F75" s="86"/>
    </row>
    <row r="76" ht="14.25" customHeight="1">
      <c r="A76" s="15"/>
      <c r="B76" s="49">
        <v>48335.0</v>
      </c>
      <c r="C76" s="28">
        <f>'Cant. Requeridas Producto 6'!AD202</f>
        <v>1969149.195</v>
      </c>
      <c r="D76" s="85"/>
      <c r="E76" s="54">
        <f t="shared" si="5"/>
        <v>0</v>
      </c>
      <c r="F76" s="86"/>
    </row>
    <row r="77" ht="14.25" customHeight="1">
      <c r="A77" s="15"/>
      <c r="B77" s="49">
        <v>48366.0</v>
      </c>
      <c r="C77" s="28">
        <f>'Cant. Requeridas Producto 6'!AD205</f>
        <v>1955052.991</v>
      </c>
      <c r="D77" s="85"/>
      <c r="E77" s="54">
        <f t="shared" si="5"/>
        <v>0</v>
      </c>
      <c r="F77" s="86"/>
    </row>
    <row r="78" ht="14.25" customHeight="1">
      <c r="A78" s="15"/>
      <c r="B78" s="49">
        <v>48396.0</v>
      </c>
      <c r="C78" s="28">
        <f>'Cant. Requeridas Producto 6'!AD208</f>
        <v>2000000</v>
      </c>
      <c r="D78" s="85"/>
      <c r="E78" s="54">
        <f t="shared" si="5"/>
        <v>0</v>
      </c>
      <c r="F78" s="86"/>
    </row>
    <row r="79" ht="14.25" customHeight="1">
      <c r="A79" s="15"/>
      <c r="B79" s="49">
        <v>48427.0</v>
      </c>
      <c r="C79" s="28">
        <f>'Cant. Requeridas Producto 6'!AD211</f>
        <v>1993185.285</v>
      </c>
      <c r="D79" s="85"/>
      <c r="E79" s="54">
        <f t="shared" si="5"/>
        <v>0</v>
      </c>
      <c r="F79" s="86"/>
    </row>
    <row r="80" ht="14.25" customHeight="1">
      <c r="A80" s="15"/>
      <c r="B80" s="49">
        <v>48458.0</v>
      </c>
      <c r="C80" s="28">
        <f>'Cant. Requeridas Producto 6'!AD214</f>
        <v>1973348.622</v>
      </c>
      <c r="D80" s="85"/>
      <c r="E80" s="54">
        <f t="shared" si="5"/>
        <v>0</v>
      </c>
      <c r="F80" s="86"/>
    </row>
    <row r="81" ht="14.25" customHeight="1">
      <c r="A81" s="15"/>
      <c r="B81" s="49">
        <v>48488.0</v>
      </c>
      <c r="C81" s="28">
        <f>'Cant. Requeridas Producto 6'!AD217</f>
        <v>2000000</v>
      </c>
      <c r="D81" s="85"/>
      <c r="E81" s="54">
        <f t="shared" si="5"/>
        <v>0</v>
      </c>
      <c r="F81" s="86"/>
    </row>
    <row r="82" ht="14.25" customHeight="1">
      <c r="A82" s="15"/>
      <c r="B82" s="49">
        <v>48519.0</v>
      </c>
      <c r="C82" s="28">
        <f>'Cant. Requeridas Producto 6'!AD220</f>
        <v>1936757.359</v>
      </c>
      <c r="D82" s="85"/>
      <c r="E82" s="54">
        <f t="shared" si="5"/>
        <v>0</v>
      </c>
      <c r="F82" s="86"/>
    </row>
    <row r="83" ht="14.25" customHeight="1">
      <c r="A83" s="15"/>
      <c r="B83" s="49">
        <v>48549.0</v>
      </c>
      <c r="C83" s="28">
        <f>'Cant. Requeridas Producto 6'!AD223</f>
        <v>2011480.917</v>
      </c>
      <c r="D83" s="87"/>
      <c r="E83" s="57">
        <f t="shared" si="5"/>
        <v>0</v>
      </c>
      <c r="F83" s="88"/>
    </row>
    <row r="84" ht="14.25" customHeight="1">
      <c r="A84" s="15"/>
      <c r="B84" s="59" t="s">
        <v>32</v>
      </c>
      <c r="C84" s="60">
        <f>SUM(C12:C83)</f>
        <v>148907831.6</v>
      </c>
      <c r="D84" s="66"/>
      <c r="E84" s="60">
        <f>SUM(E12:E83)</f>
        <v>0</v>
      </c>
      <c r="F84" s="66"/>
    </row>
    <row r="85" ht="14.25" customHeight="1">
      <c r="A85" s="15"/>
      <c r="B85" s="16"/>
      <c r="C85" s="38"/>
      <c r="D85" s="16"/>
      <c r="E85" s="16"/>
    </row>
    <row r="86" ht="14.25" customHeight="1">
      <c r="C86" s="39"/>
    </row>
    <row r="87" ht="30.0" customHeight="1">
      <c r="B87" s="40" t="s">
        <v>46</v>
      </c>
      <c r="E87" s="41"/>
    </row>
    <row r="88" ht="99.0" customHeight="1">
      <c r="B88" s="40" t="s">
        <v>71</v>
      </c>
      <c r="I88" s="40"/>
    </row>
    <row r="89" ht="44.25" customHeight="1">
      <c r="B89" s="40" t="s">
        <v>72</v>
      </c>
      <c r="I89" s="40"/>
    </row>
    <row r="90" ht="33.75" customHeight="1">
      <c r="B90" s="42" t="s">
        <v>73</v>
      </c>
    </row>
    <row r="91" ht="30.75" customHeight="1">
      <c r="B91" s="90" t="s">
        <v>74</v>
      </c>
    </row>
    <row r="92" ht="14.25" customHeight="1"/>
    <row r="93" ht="14.25" customHeight="1"/>
    <row r="94" ht="14.25" customHeight="1"/>
    <row r="95" ht="14.25" customHeight="1">
      <c r="B95" s="43"/>
      <c r="C95" s="43"/>
    </row>
    <row r="96" ht="14.25" customHeight="1">
      <c r="B96" s="4" t="s">
        <v>49</v>
      </c>
    </row>
    <row r="97" ht="14.25" customHeight="1">
      <c r="B97" s="4" t="s">
        <v>50</v>
      </c>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sheetData>
  <mergeCells count="21">
    <mergeCell ref="A4:F4"/>
    <mergeCell ref="B5:E5"/>
    <mergeCell ref="B6:E6"/>
    <mergeCell ref="B7:E7"/>
    <mergeCell ref="B8:E8"/>
    <mergeCell ref="B10:F10"/>
    <mergeCell ref="F36:F47"/>
    <mergeCell ref="B87:D87"/>
    <mergeCell ref="B88:F88"/>
    <mergeCell ref="I88:N88"/>
    <mergeCell ref="B89:F89"/>
    <mergeCell ref="I89:N89"/>
    <mergeCell ref="B90:F90"/>
    <mergeCell ref="B91:F91"/>
    <mergeCell ref="D36:D47"/>
    <mergeCell ref="D48:D59"/>
    <mergeCell ref="F48:F59"/>
    <mergeCell ref="D60:D71"/>
    <mergeCell ref="F60:F71"/>
    <mergeCell ref="D72:D83"/>
    <mergeCell ref="F72:F8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2022-08-03T18:43:37Z</dcterms:created>
  <dc:creator>Head of trading BIA</dc:creator>
</cp:coreProperties>
</file>