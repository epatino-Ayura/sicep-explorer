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rcocol.sharepoint.com/sites/migracionneuaerco/Shared Documents/NeuEnergy/13. Energy/Contratos/Mercado Regulado/Convocatorias neu/2025/Convocatoria CP_NEUC2025-003/Pliegos definitivos/"/>
    </mc:Choice>
  </mc:AlternateContent>
  <xr:revisionPtr revIDLastSave="0" documentId="8_{22CE91AF-03F6-48D4-8D0A-836B015C4FF0}" xr6:coauthVersionLast="47" xr6:coauthVersionMax="47" xr10:uidLastSave="{00000000-0000-0000-0000-000000000000}"/>
  <bookViews>
    <workbookView xWindow="-110" yWindow="-110" windowWidth="19420" windowHeight="10300" tabRatio="743" xr2:uid="{49A9D400-13A0-4192-AD21-AB17CA2F2FC8}"/>
  </bookViews>
  <sheets>
    <sheet name="Cantidades producto 1" sheetId="25" r:id="rId1"/>
    <sheet name="Oferta producto 1" sheetId="24" r:id="rId2"/>
  </sheets>
  <definedNames>
    <definedName name="_xlnm._FilterDatabase" localSheetId="0" hidden="1">'Cantidades producto 1'!$A$5:$AB$5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25" l="1"/>
  <c r="AC9" i="25"/>
  <c r="AC10" i="25"/>
  <c r="AC11" i="25"/>
  <c r="AC13" i="25"/>
  <c r="AC14" i="25"/>
  <c r="AC15" i="25"/>
  <c r="AC16" i="25"/>
  <c r="AC17" i="25"/>
  <c r="AC18" i="25"/>
  <c r="AC19" i="25"/>
  <c r="AC21" i="25"/>
  <c r="AC22" i="25"/>
  <c r="AC23" i="25"/>
  <c r="AC24" i="25"/>
  <c r="AC25" i="25"/>
  <c r="AC26" i="25"/>
  <c r="AC27" i="25"/>
  <c r="AC20" i="25"/>
  <c r="AC12" i="25"/>
  <c r="AC28" i="25" l="1"/>
</calcChain>
</file>

<file path=xl/sharedStrings.xml><?xml version="1.0" encoding="utf-8"?>
<sst xmlns="http://schemas.openxmlformats.org/spreadsheetml/2006/main" count="104" uniqueCount="69">
  <si>
    <t>CANTIDADES PRODUCTO 1</t>
  </si>
  <si>
    <t>CURVA HORARIA TODOS LOS TIPOS DE DÍA</t>
  </si>
  <si>
    <t>CANTIDADES EXPRESADAS EN kWh</t>
  </si>
  <si>
    <t>AÑO</t>
  </si>
  <si>
    <t>MES</t>
  </si>
  <si>
    <t>OFERTA DE CANTIDADES Y PRECIOS PRODUCTO 1</t>
  </si>
  <si>
    <t>OFERTA COMO PORCENTAJE DE LA CURVA DE CARGA PRODUCTO 1</t>
  </si>
  <si>
    <t>Nota: 
El % ofrecido se distribuirá a prorrata de la curva de carga horaria, para todos los meses, según las cantidades indicadas en "Cantidades producto 1"</t>
  </si>
  <si>
    <t>OFERENTE:</t>
  </si>
  <si>
    <t>MODALIDAD:</t>
  </si>
  <si>
    <t>PAGUE  LO  CONTRATADO</t>
  </si>
  <si>
    <t>INDICAR SI PERMITIRÁ ADJUDICACIÓN PARCIAL: SI__  NO__</t>
  </si>
  <si>
    <t>CANTIDAD OFERTADA
% CURVA DE CARGA</t>
  </si>
  <si>
    <t>PRECIO OFERTADO ($/kWh)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</si>
  <si>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</si>
  <si>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</si>
  <si>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</si>
  <si>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</si>
  <si>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</si>
  <si>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</si>
  <si>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</si>
  <si>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</si>
  <si>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</si>
  <si>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</si>
  <si>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</si>
  <si>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</si>
  <si>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</si>
  <si>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TOTAL</t>
  </si>
  <si>
    <t>Cantidad 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</si>
  <si>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</si>
  <si>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</si>
  <si>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</si>
  <si>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</si>
  <si>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</si>
  <si>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</si>
  <si>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</si>
  <si>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</si>
  <si>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</si>
  <si>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</si>
  <si>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</si>
  <si>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</si>
  <si>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</si>
  <si>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</si>
  <si>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</si>
  <si>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</si>
  <si>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</si>
  <si>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</si>
  <si>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</si>
  <si>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</si>
  <si>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</si>
  <si>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</si>
  <si>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</si>
  <si>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</si>
  <si>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Año</t>
  </si>
  <si>
    <t>Tipo Día</t>
  </si>
  <si>
    <t>Total kWh-mes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</si>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</sst>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3" borderId="0" xfId="0" applyFill="1" applyAlignment="1">
      <alignment horizontal="left"/>
    </xf>
    <xf numFmtId="0" fontId="4" fillId="3" borderId="0" xfId="2" applyFont="1" applyFill="1" applyAlignment="1">
      <alignment vertical="center"/>
    </xf>
    <xf numFmtId="17" fontId="0" fillId="0" borderId="0" xfId="0" applyNumberFormat="1"/>
    <xf numFmtId="164" fontId="0" fillId="0" borderId="0" xfId="1" applyFont="1"/>
    <xf numFmtId="14" fontId="1" fillId="4" borderId="12" xfId="0" applyNumberFormat="1" applyFont="1" applyFill="1" applyBorder="1" applyAlignment="1">
      <alignment horizontal="center" vertical="center" wrapText="1"/>
    </xf>
    <xf numFmtId="14" fontId="1" fillId="4" borderId="13" xfId="0" applyNumberFormat="1" applyFont="1" applyFill="1" applyBorder="1" applyAlignment="1">
      <alignment horizontal="center" vertical="center" wrapText="1"/>
    </xf>
    <xf numFmtId="164" fontId="0" fillId="0" borderId="0" xfId="1" applyFont="1" applyBorder="1" applyAlignment="1">
      <alignment horizontal="center"/>
    </xf>
    <xf numFmtId="164" fontId="5" fillId="5" borderId="6" xfId="1" applyFont="1" applyFill="1" applyBorder="1" applyAlignment="1">
      <alignment horizontal="center" vertical="center"/>
    </xf>
    <xf numFmtId="164" fontId="5" fillId="5" borderId="2" xfId="1" applyFont="1" applyFill="1" applyBorder="1" applyAlignment="1">
      <alignment horizontal="center" vertical="center"/>
    </xf>
    <xf numFmtId="164" fontId="5" fillId="5" borderId="9" xfId="1" applyFont="1" applyFill="1" applyBorder="1" applyAlignment="1">
      <alignment horizontal="center" vertical="center"/>
    </xf>
    <xf numFmtId="164" fontId="1" fillId="5" borderId="10" xfId="1" applyFont="1" applyFill="1" applyBorder="1" applyAlignment="1">
      <alignment horizontal="center"/>
    </xf>
    <xf numFmtId="164" fontId="1" fillId="5" borderId="11" xfId="1" applyFont="1" applyFill="1" applyBorder="1" applyAlignment="1">
      <alignment horizontal="center"/>
    </xf>
    <xf numFmtId="1" fontId="0" fillId="0" borderId="0" xfId="0" applyNumberFormat="1"/>
    <xf numFmtId="1" fontId="5" fillId="5" borderId="9" xfId="1" applyNumberFormat="1" applyFont="1" applyFill="1" applyBorder="1" applyAlignment="1">
      <alignment horizontal="center" vertical="center"/>
    </xf>
    <xf numFmtId="1" fontId="0" fillId="0" borderId="10" xfId="1" applyNumberFormat="1" applyFont="1" applyBorder="1" applyAlignment="1">
      <alignment horizontal="center"/>
    </xf>
    <xf numFmtId="1" fontId="0" fillId="0" borderId="11" xfId="1" applyNumberFormat="1" applyFont="1" applyBorder="1" applyAlignment="1">
      <alignment horizontal="center"/>
    </xf>
    <xf numFmtId="14" fontId="1" fillId="2" borderId="14" xfId="0" applyNumberFormat="1" applyFont="1" applyFill="1" applyBorder="1" applyAlignment="1">
      <alignment vertical="center"/>
    </xf>
    <xf numFmtId="14" fontId="1" fillId="4" borderId="14" xfId="0" applyNumberFormat="1" applyFont="1" applyFill="1" applyBorder="1" applyAlignment="1">
      <alignment vertical="center"/>
    </xf>
    <xf numFmtId="14" fontId="1" fillId="4" borderId="15" xfId="0" applyNumberFormat="1" applyFont="1" applyFill="1" applyBorder="1" applyAlignment="1">
      <alignment vertical="center"/>
    </xf>
    <xf numFmtId="164" fontId="0" fillId="0" borderId="0" xfId="1" applyFont="1" applyAlignment="1">
      <alignment horizont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0" fillId="0" borderId="5" xfId="1" applyNumberFormat="1" applyFont="1" applyBorder="1" applyAlignment="1">
      <alignment vertical="center"/>
    </xf>
    <xf numFmtId="0" fontId="0" fillId="0" borderId="5" xfId="1" applyNumberFormat="1" applyFont="1" applyBorder="1" applyAlignment="1">
      <alignment horizontal="center" vertical="center"/>
    </xf>
    <xf numFmtId="14" fontId="1" fillId="2" borderId="16" xfId="0" applyNumberFormat="1" applyFont="1" applyFill="1" applyBorder="1" applyAlignment="1">
      <alignment vertical="center"/>
    </xf>
    <xf numFmtId="164" fontId="0" fillId="0" borderId="5" xfId="1" applyFont="1" applyBorder="1" applyAlignment="1">
      <alignment horizontal="center"/>
    </xf>
    <xf numFmtId="43" fontId="0" fillId="0" borderId="0" xfId="0" applyNumberFormat="1"/>
    <xf numFmtId="14" fontId="1" fillId="4" borderId="17" xfId="0" applyNumberFormat="1" applyFont="1" applyFill="1" applyBorder="1" applyAlignment="1">
      <alignment horizontal="center" vertical="center" wrapText="1"/>
    </xf>
    <xf numFmtId="164" fontId="1" fillId="4" borderId="18" xfId="1" applyFont="1" applyFill="1" applyBorder="1" applyAlignment="1">
      <alignment vertical="center"/>
    </xf>
    <xf numFmtId="164" fontId="1" fillId="4" borderId="19" xfId="1" applyFont="1" applyFill="1" applyBorder="1" applyAlignment="1">
      <alignment vertical="center"/>
    </xf>
    <xf numFmtId="9" fontId="0" fillId="0" borderId="0" xfId="3" applyFont="1"/>
    <xf numFmtId="0" fontId="0" fillId="0" borderId="2" xfId="1" applyNumberFormat="1" applyFont="1" applyBorder="1" applyAlignment="1">
      <alignment vertical="center"/>
    </xf>
    <xf numFmtId="0" fontId="0" fillId="0" borderId="2" xfId="1" applyNumberFormat="1" applyFont="1" applyBorder="1" applyAlignment="1">
      <alignment horizontal="center" vertical="center"/>
    </xf>
    <xf numFmtId="1" fontId="0" fillId="0" borderId="9" xfId="1" applyNumberFormat="1" applyFont="1" applyBorder="1" applyAlignment="1">
      <alignment horizontal="center"/>
    </xf>
    <xf numFmtId="164" fontId="0" fillId="0" borderId="2" xfId="1" applyFont="1" applyBorder="1" applyAlignment="1">
      <alignment horizontal="center"/>
    </xf>
    <xf numFmtId="164" fontId="1" fillId="5" borderId="9" xfId="1" applyFont="1" applyFill="1" applyBorder="1" applyAlignment="1">
      <alignment horizontal="center"/>
    </xf>
    <xf numFmtId="0" fontId="1" fillId="6" borderId="12" xfId="0" applyFont="1" applyFill="1" applyBorder="1"/>
    <xf numFmtId="164" fontId="1" fillId="6" borderId="20" xfId="0" applyNumberFormat="1" applyFont="1" applyFill="1" applyBorder="1"/>
    <xf numFmtId="165" fontId="0" fillId="0" borderId="0" xfId="0" applyNumberFormat="1"/>
    <xf numFmtId="43" fontId="0" fillId="0" borderId="0" xfId="4" applyFont="1"/>
    <xf numFmtId="2" fontId="0" fillId="0" borderId="0" xfId="0" applyNumberFormat="1"/>
    <xf numFmtId="166" fontId="0" fillId="0" borderId="0" xfId="4" applyNumberFormat="1" applyFont="1"/>
    <xf numFmtId="0" fontId="0" fillId="0" borderId="6" xfId="1" applyNumberFormat="1" applyFont="1" applyBorder="1" applyAlignment="1">
      <alignment horizontal="center" vertical="center"/>
    </xf>
    <xf numFmtId="0" fontId="0" fillId="0" borderId="7" xfId="1" applyNumberFormat="1" applyFont="1" applyBorder="1" applyAlignment="1">
      <alignment horizontal="center" vertical="center"/>
    </xf>
    <xf numFmtId="0" fontId="0" fillId="0" borderId="8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3" borderId="0" xfId="2" applyFont="1" applyFill="1" applyAlignment="1">
      <alignment horizontal="left" vertical="center"/>
    </xf>
    <xf numFmtId="0" fontId="4" fillId="3" borderId="0" xfId="2" applyFont="1" applyFill="1" applyAlignment="1">
      <alignment horizontal="left" vertical="center" wrapText="1"/>
    </xf>
    <xf numFmtId="0" fontId="1" fillId="2" borderId="7" xfId="3" applyNumberFormat="1" applyFont="1" applyFill="1" applyBorder="1" applyAlignment="1">
      <alignment horizontal="center" vertical="center"/>
    </xf>
    <xf numFmtId="0" fontId="1" fillId="2" borderId="8" xfId="3" applyNumberFormat="1" applyFont="1" applyFill="1" applyBorder="1" applyAlignment="1">
      <alignment horizontal="center" vertical="center"/>
    </xf>
  </cellXfs>
  <cellStyles count="6">
    <cellStyle name="Millares" xfId="1" builtinId="3"/>
    <cellStyle name="Millares 2" xfId="4" xr:uid="{6813DCC1-D8F2-41B0-BFCC-03B435647573}"/>
    <cellStyle name="Millares 3" xfId="5" xr:uid="{819F5A31-A9F9-4C79-B123-11DF30049A31}"/>
    <cellStyle name="Normal" xfId="0" builtinId="0"/>
    <cellStyle name="Normal_GC00-001" xfId="2" xr:uid="{1C80BBF4-9491-43BE-9F3C-2090359F4A87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Verde amarillo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12D-0AED-40D4-8E26-8B172E26C582}">
  <dimension ref="A1:AL58"/>
  <sheetViews>
    <sheetView tabSelected="1" zoomScale="70" zoomScaleNormal="70" workbookViewId="0">
      <selection activeCell="AD22" sqref="AD22"/>
    </sheetView>
  </sheetViews>
  <sheetFormatPr baseColWidth="10" defaultColWidth="9.1796875" defaultRowHeight="14.5" x14ac:dyDescent="0.35"/>
  <cols>
    <col min="1" max="1" width="13.81640625" customWidth="1"/>
    <col min="2" max="2" width="11.453125" bestFit="1" customWidth="1"/>
    <col min="3" max="3" width="18.81640625" bestFit="1" customWidth="1"/>
    <col min="4" max="4" width="15" bestFit="1" customWidth="1"/>
    <col min="5" max="14" width="13.453125" bestFit="1" customWidth="1"/>
    <col min="15" max="18" width="14.1796875" bestFit="1" customWidth="1"/>
    <col min="19" max="28" width="13.453125" bestFit="1" customWidth="1"/>
    <col min="29" max="29" width="27.1796875" bestFit="1" customWidth="1"/>
    <col min="31" max="31" width="13.81640625" bestFit="1" customWidth="1"/>
    <col min="32" max="32" width="12.1796875" bestFit="1" customWidth="1"/>
  </cols>
  <sheetData>
    <row r="1" spans="1:38" x14ac:dyDescent="0.35">
      <c r="A1" s="1" t="s">
        <v>0</v>
      </c>
      <c r="B1" s="4"/>
      <c r="D1" s="1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21"/>
    </row>
    <row r="2" spans="1:38" x14ac:dyDescent="0.35">
      <c r="A2" t="s">
        <v>1</v>
      </c>
      <c r="B2" s="4"/>
      <c r="D2" s="1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21"/>
    </row>
    <row r="3" spans="1:38" x14ac:dyDescent="0.35">
      <c r="A3" t="s">
        <v>2</v>
      </c>
      <c r="B3" s="4"/>
      <c r="D3" s="1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1"/>
    </row>
    <row r="4" spans="1:38" x14ac:dyDescent="0.35">
      <c r="D4" s="14"/>
      <c r="AC4" s="21"/>
    </row>
    <row r="5" spans="1:38" x14ac:dyDescent="0.35">
      <c r="D5" s="14"/>
      <c r="AC5" s="21"/>
    </row>
    <row r="6" spans="1:38" ht="15" thickBot="1" x14ac:dyDescent="0.4">
      <c r="D6" s="14"/>
      <c r="AC6" s="21"/>
    </row>
    <row r="7" spans="1:38" ht="29.5" customHeight="1" thickBot="1" x14ac:dyDescent="0.4">
      <c r="A7" s="9" t="s">
        <v>53</v>
      </c>
      <c r="B7" s="10" t="s">
        <v>26</v>
      </c>
      <c r="C7" s="10" t="s">
        <v>54</v>
      </c>
      <c r="D7" s="15" t="s">
        <v>28</v>
      </c>
      <c r="E7" s="10" t="s">
        <v>29</v>
      </c>
      <c r="F7" s="10" t="s">
        <v>30</v>
      </c>
      <c r="G7" s="10" t="s">
        <v>31</v>
      </c>
      <c r="H7" s="10" t="s">
        <v>32</v>
      </c>
      <c r="I7" s="10" t="s">
        <v>33</v>
      </c>
      <c r="J7" s="10" t="s">
        <v>34</v>
      </c>
      <c r="K7" s="10" t="s">
        <v>35</v>
      </c>
      <c r="L7" s="10" t="s">
        <v>36</v>
      </c>
      <c r="M7" s="10" t="s">
        <v>37</v>
      </c>
      <c r="N7" s="10" t="s">
        <v>38</v>
      </c>
      <c r="O7" s="10" t="s">
        <v>39</v>
      </c>
      <c r="P7" s="10" t="s">
        <v>40</v>
      </c>
      <c r="Q7" s="10" t="s">
        <v>41</v>
      </c>
      <c r="R7" s="10" t="s">
        <v>42</v>
      </c>
      <c r="S7" s="10" t="s">
        <v>43</v>
      </c>
      <c r="T7" s="10" t="s">
        <v>44</v>
      </c>
      <c r="U7" s="10" t="s">
        <v>45</v>
      </c>
      <c r="V7" s="10" t="s">
        <v>46</v>
      </c>
      <c r="W7" s="10" t="s">
        <v>47</v>
      </c>
      <c r="X7" s="10" t="s">
        <v>48</v>
      </c>
      <c r="Y7" s="10" t="s">
        <v>49</v>
      </c>
      <c r="Z7" s="10" t="s">
        <v>50</v>
      </c>
      <c r="AA7" s="10" t="s">
        <v>51</v>
      </c>
      <c r="AB7" s="10" t="s">
        <v>52</v>
      </c>
      <c r="AC7" s="11" t="s">
        <v>55</v>
      </c>
    </row>
    <row r="8" spans="1:38" x14ac:dyDescent="0.35">
      <c r="A8" s="44">
        <v>2025</v>
      </c>
      <c r="B8" s="33" t="s">
        <v>60</v>
      </c>
      <c r="C8" s="34" t="s">
        <v>68</v>
      </c>
      <c r="D8" s="35">
        <v>31</v>
      </c>
      <c r="E8" s="36">
        <v>2482.3991761556385</v>
      </c>
      <c r="F8" s="36">
        <v>2216.35456325614</v>
      </c>
      <c r="G8" s="36">
        <v>2013.3905706385606</v>
      </c>
      <c r="H8" s="36">
        <v>1837.4260666381433</v>
      </c>
      <c r="I8" s="36">
        <v>1771.439911682301</v>
      </c>
      <c r="J8" s="36">
        <v>1759.8326790939782</v>
      </c>
      <c r="K8" s="36">
        <v>1398.8590225578325</v>
      </c>
      <c r="L8" s="36">
        <v>521.96714178339312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723.8300405095938</v>
      </c>
      <c r="U8" s="36">
        <v>3573.6295508293015</v>
      </c>
      <c r="V8" s="36">
        <v>5744.3086382081719</v>
      </c>
      <c r="W8" s="36">
        <v>6153.1519760101128</v>
      </c>
      <c r="X8" s="36">
        <v>5859.3393477895579</v>
      </c>
      <c r="Y8" s="36">
        <v>5289.3077850844711</v>
      </c>
      <c r="Z8" s="36">
        <v>4371.5294509021578</v>
      </c>
      <c r="AA8" s="36">
        <v>3506.3117203031102</v>
      </c>
      <c r="AB8" s="36">
        <v>2855.3185779127612</v>
      </c>
      <c r="AC8" s="37">
        <f t="shared" ref="AC8:AC15" si="0">SUM(E8:AB8)*D8</f>
        <v>1614430.2828000118</v>
      </c>
      <c r="AE8" s="40"/>
      <c r="AF8" s="43"/>
      <c r="AG8" s="42"/>
      <c r="AL8" s="28"/>
    </row>
    <row r="9" spans="1:38" x14ac:dyDescent="0.35">
      <c r="A9" s="45"/>
      <c r="B9" s="23" t="s">
        <v>61</v>
      </c>
      <c r="C9" s="22" t="s">
        <v>68</v>
      </c>
      <c r="D9" s="16">
        <v>30</v>
      </c>
      <c r="E9" s="8">
        <v>2502.3728475574599</v>
      </c>
      <c r="F9" s="8">
        <v>2296.7530478588228</v>
      </c>
      <c r="G9" s="8">
        <v>2111.5910618798421</v>
      </c>
      <c r="H9" s="8">
        <v>1975.3616881613764</v>
      </c>
      <c r="I9" s="8">
        <v>1933.2354521206387</v>
      </c>
      <c r="J9" s="8">
        <v>1835.955587009561</v>
      </c>
      <c r="K9" s="8">
        <v>1337.9761184752754</v>
      </c>
      <c r="L9" s="8">
        <v>291.01660136122638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571.76439643802325</v>
      </c>
      <c r="U9" s="8">
        <v>3376.1647558726931</v>
      </c>
      <c r="V9" s="8">
        <v>5369.2018009495514</v>
      </c>
      <c r="W9" s="8">
        <v>5777.8418905471099</v>
      </c>
      <c r="X9" s="8">
        <v>5521.9789265252903</v>
      </c>
      <c r="Y9" s="8">
        <v>5049.537871270235</v>
      </c>
      <c r="Z9" s="8">
        <v>4199.434882567115</v>
      </c>
      <c r="AA9" s="8">
        <v>3406.3605263946461</v>
      </c>
      <c r="AB9" s="8">
        <v>2823.4223316779944</v>
      </c>
      <c r="AC9" s="12">
        <f t="shared" si="0"/>
        <v>1511399.0936000058</v>
      </c>
      <c r="AE9" s="40"/>
      <c r="AF9" s="43"/>
      <c r="AG9" s="42"/>
      <c r="AL9" s="28"/>
    </row>
    <row r="10" spans="1:38" x14ac:dyDescent="0.35">
      <c r="A10" s="45"/>
      <c r="B10" s="23" t="s">
        <v>62</v>
      </c>
      <c r="C10" s="22" t="s">
        <v>68</v>
      </c>
      <c r="D10" s="16">
        <v>31</v>
      </c>
      <c r="E10" s="8">
        <v>5298.6583199846145</v>
      </c>
      <c r="F10" s="8">
        <v>4869.7617838349097</v>
      </c>
      <c r="G10" s="8">
        <v>4477.6200773917644</v>
      </c>
      <c r="H10" s="8">
        <v>4188.6575473504663</v>
      </c>
      <c r="I10" s="8">
        <v>4104.7474812427845</v>
      </c>
      <c r="J10" s="8">
        <v>3898.6177994170289</v>
      </c>
      <c r="K10" s="8">
        <v>2919.6615079795333</v>
      </c>
      <c r="L10" s="8">
        <v>850.60434869286394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1524.3640943073071</v>
      </c>
      <c r="U10" s="8">
        <v>7359.037516538704</v>
      </c>
      <c r="V10" s="8">
        <v>11482.844373414511</v>
      </c>
      <c r="W10" s="8">
        <v>12316.261960917023</v>
      </c>
      <c r="X10" s="8">
        <v>11771.215521008284</v>
      </c>
      <c r="Y10" s="8">
        <v>10778.201809957511</v>
      </c>
      <c r="Z10" s="8">
        <v>8957.0550992815606</v>
      </c>
      <c r="AA10" s="8">
        <v>7250.6109089653773</v>
      </c>
      <c r="AB10" s="8">
        <v>5997.8837915010217</v>
      </c>
      <c r="AC10" s="12">
        <f t="shared" si="0"/>
        <v>3349419.9221953428</v>
      </c>
      <c r="AE10" s="40"/>
      <c r="AF10" s="43"/>
      <c r="AG10" s="42"/>
      <c r="AH10" s="28"/>
      <c r="AL10" s="28"/>
    </row>
    <row r="11" spans="1:38" x14ac:dyDescent="0.35">
      <c r="A11" s="45"/>
      <c r="B11" s="23" t="s">
        <v>63</v>
      </c>
      <c r="C11" s="22" t="s">
        <v>68</v>
      </c>
      <c r="D11" s="16">
        <v>31</v>
      </c>
      <c r="E11" s="8">
        <v>3042.2141222536484</v>
      </c>
      <c r="F11" s="8">
        <v>2755.8952228013704</v>
      </c>
      <c r="G11" s="8">
        <v>2496.6380517145058</v>
      </c>
      <c r="H11" s="8">
        <v>2305.1535028278313</v>
      </c>
      <c r="I11" s="8">
        <v>2245.6827870257575</v>
      </c>
      <c r="J11" s="8">
        <v>2123.7491732318772</v>
      </c>
      <c r="K11" s="8">
        <v>1518.8376007761069</v>
      </c>
      <c r="L11" s="8">
        <v>257.38354264018625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867.28093761253433</v>
      </c>
      <c r="U11" s="8">
        <v>4534.3807766934851</v>
      </c>
      <c r="V11" s="8">
        <v>7134.9700782498676</v>
      </c>
      <c r="W11" s="8">
        <v>7642.5483778751859</v>
      </c>
      <c r="X11" s="8">
        <v>7283.7619242014143</v>
      </c>
      <c r="Y11" s="8">
        <v>6623.4113102577285</v>
      </c>
      <c r="Z11" s="8">
        <v>5427.9629226595389</v>
      </c>
      <c r="AA11" s="8">
        <v>4312.0070839058571</v>
      </c>
      <c r="AB11" s="8">
        <v>3492.4824883493816</v>
      </c>
      <c r="AC11" s="12">
        <f t="shared" si="0"/>
        <v>1985995.1569953647</v>
      </c>
      <c r="AE11" s="40"/>
      <c r="AF11" s="43"/>
      <c r="AG11" s="42"/>
      <c r="AH11" s="28"/>
      <c r="AL11" s="28"/>
    </row>
    <row r="12" spans="1:38" x14ac:dyDescent="0.35">
      <c r="A12" s="45"/>
      <c r="B12" s="23" t="s">
        <v>64</v>
      </c>
      <c r="C12" s="22" t="s">
        <v>68</v>
      </c>
      <c r="D12" s="16">
        <v>30</v>
      </c>
      <c r="E12" s="8">
        <v>1636.2424883248043</v>
      </c>
      <c r="F12" s="8">
        <v>1451.4787807516948</v>
      </c>
      <c r="G12" s="8">
        <v>1282.9428306161049</v>
      </c>
      <c r="H12" s="8">
        <v>1158.4841742069007</v>
      </c>
      <c r="I12" s="8">
        <v>1122.0667619746382</v>
      </c>
      <c r="J12" s="8">
        <v>1052.1977683754574</v>
      </c>
      <c r="K12" s="8">
        <v>691.76775590939121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421.74565236595714</v>
      </c>
      <c r="U12" s="8">
        <v>2725.4310090074509</v>
      </c>
      <c r="V12" s="8">
        <v>4353.3017085286519</v>
      </c>
      <c r="W12" s="8">
        <v>4652.060097929816</v>
      </c>
      <c r="X12" s="8">
        <v>4417.3222404682192</v>
      </c>
      <c r="Y12" s="8">
        <v>3989.9532673576596</v>
      </c>
      <c r="Z12" s="8">
        <v>3207.6210872167389</v>
      </c>
      <c r="AA12" s="8">
        <v>2474.6482858283971</v>
      </c>
      <c r="AB12" s="8">
        <v>1936.4377978050791</v>
      </c>
      <c r="AC12" s="12">
        <f t="shared" si="0"/>
        <v>1097211.0512000087</v>
      </c>
      <c r="AE12" s="40"/>
      <c r="AF12" s="43"/>
      <c r="AG12" s="42"/>
      <c r="AH12" s="28"/>
      <c r="AL12" s="28"/>
    </row>
    <row r="13" spans="1:38" x14ac:dyDescent="0.35">
      <c r="A13" s="45"/>
      <c r="B13" s="23" t="s">
        <v>65</v>
      </c>
      <c r="C13" s="22" t="s">
        <v>68</v>
      </c>
      <c r="D13" s="16">
        <v>31</v>
      </c>
      <c r="E13" s="8">
        <v>1753.9431870123249</v>
      </c>
      <c r="F13" s="8">
        <v>1593.5191375370796</v>
      </c>
      <c r="G13" s="8">
        <v>1421.9349199468522</v>
      </c>
      <c r="H13" s="8">
        <v>1311.6880230549771</v>
      </c>
      <c r="I13" s="8">
        <v>1286.6553541069543</v>
      </c>
      <c r="J13" s="8">
        <v>1202.7973750004867</v>
      </c>
      <c r="K13" s="8">
        <v>802.96464755584771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373.71345320107241</v>
      </c>
      <c r="U13" s="8">
        <v>2765.6685829824833</v>
      </c>
      <c r="V13" s="8">
        <v>4445.0309701594033</v>
      </c>
      <c r="W13" s="8">
        <v>4782.8854449068931</v>
      </c>
      <c r="X13" s="8">
        <v>4552.8055588534262</v>
      </c>
      <c r="Y13" s="8">
        <v>4152.3208049069999</v>
      </c>
      <c r="Z13" s="8">
        <v>3342.2156446953418</v>
      </c>
      <c r="AA13" s="8">
        <v>2588.7121848839938</v>
      </c>
      <c r="AB13" s="8">
        <v>2045.8600079703695</v>
      </c>
      <c r="AC13" s="12">
        <f t="shared" si="0"/>
        <v>1191104.1742000098</v>
      </c>
      <c r="AE13" s="40"/>
      <c r="AF13" s="43"/>
      <c r="AG13" s="42"/>
      <c r="AH13" s="28"/>
      <c r="AL13" s="28"/>
    </row>
    <row r="14" spans="1:38" x14ac:dyDescent="0.35">
      <c r="A14" s="45"/>
      <c r="B14" s="23" t="s">
        <v>66</v>
      </c>
      <c r="C14" s="22" t="s">
        <v>68</v>
      </c>
      <c r="D14" s="16">
        <v>30</v>
      </c>
      <c r="E14" s="8">
        <v>3831.397692003683</v>
      </c>
      <c r="F14" s="8">
        <v>3517.5328567359343</v>
      </c>
      <c r="G14" s="8">
        <v>3181.8334876908289</v>
      </c>
      <c r="H14" s="8">
        <v>2966.1387446336935</v>
      </c>
      <c r="I14" s="8">
        <v>2917.1630795673577</v>
      </c>
      <c r="J14" s="8">
        <v>2775.5751325192409</v>
      </c>
      <c r="K14" s="8">
        <v>2099.3163499113598</v>
      </c>
      <c r="L14" s="8">
        <v>650.84429606900562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1586.6060148577972</v>
      </c>
      <c r="U14" s="8">
        <v>6038.4470386126404</v>
      </c>
      <c r="V14" s="8">
        <v>9141.9748280942986</v>
      </c>
      <c r="W14" s="8">
        <v>9757.9708023331532</v>
      </c>
      <c r="X14" s="8">
        <v>9307.2880557278822</v>
      </c>
      <c r="Y14" s="8">
        <v>8523.7514781890495</v>
      </c>
      <c r="Z14" s="8">
        <v>6938.8050596745416</v>
      </c>
      <c r="AA14" s="8">
        <v>5464.5981682454749</v>
      </c>
      <c r="AB14" s="8">
        <v>4402.524185952554</v>
      </c>
      <c r="AC14" s="12">
        <f t="shared" si="0"/>
        <v>2493053.0181245548</v>
      </c>
      <c r="AE14" s="40"/>
      <c r="AF14" s="43"/>
      <c r="AG14" s="42"/>
      <c r="AH14" s="28"/>
      <c r="AL14" s="28"/>
    </row>
    <row r="15" spans="1:38" ht="15" thickBot="1" x14ac:dyDescent="0.4">
      <c r="A15" s="46"/>
      <c r="B15" s="24" t="s">
        <v>67</v>
      </c>
      <c r="C15" s="25" t="s">
        <v>68</v>
      </c>
      <c r="D15" s="17">
        <v>31</v>
      </c>
      <c r="E15" s="27">
        <v>4163.0201796918136</v>
      </c>
      <c r="F15" s="27">
        <v>3908.346940821652</v>
      </c>
      <c r="G15" s="27">
        <v>3635.9569308721234</v>
      </c>
      <c r="H15" s="27">
        <v>3460.9399405974104</v>
      </c>
      <c r="I15" s="27">
        <v>3421.2005692287721</v>
      </c>
      <c r="J15" s="27">
        <v>3324.9547722260968</v>
      </c>
      <c r="K15" s="27">
        <v>3273.4668634247837</v>
      </c>
      <c r="L15" s="27">
        <v>3516.4855946920384</v>
      </c>
      <c r="M15" s="27">
        <v>3144.4762618177406</v>
      </c>
      <c r="N15" s="27">
        <v>2873.5457953389619</v>
      </c>
      <c r="O15" s="27">
        <v>2358.5442507580765</v>
      </c>
      <c r="P15" s="27">
        <v>2475.8463315006038</v>
      </c>
      <c r="Q15" s="27">
        <v>2788.075951545115</v>
      </c>
      <c r="R15" s="27">
        <v>3696.5649552730124</v>
      </c>
      <c r="S15" s="27">
        <v>4726.7084705755915</v>
      </c>
      <c r="T15" s="27">
        <v>6599.2327055701708</v>
      </c>
      <c r="U15" s="27">
        <v>8301.6089966164691</v>
      </c>
      <c r="V15" s="27">
        <v>9057.2395888214069</v>
      </c>
      <c r="W15" s="27">
        <v>8972.3487791497428</v>
      </c>
      <c r="X15" s="27">
        <v>8606.2135962749235</v>
      </c>
      <c r="Y15" s="27">
        <v>7970.4455500206486</v>
      </c>
      <c r="Z15" s="27">
        <v>6684.4033035408347</v>
      </c>
      <c r="AA15" s="27">
        <v>5488.2162777318454</v>
      </c>
      <c r="AB15" s="27">
        <v>4626.4382427393821</v>
      </c>
      <c r="AC15" s="13">
        <f t="shared" si="0"/>
        <v>3629302.7063137055</v>
      </c>
      <c r="AE15" s="40"/>
      <c r="AF15" s="43"/>
      <c r="AG15" s="42"/>
      <c r="AH15" s="28"/>
      <c r="AL15" s="28"/>
    </row>
    <row r="16" spans="1:38" x14ac:dyDescent="0.35">
      <c r="A16" s="44">
        <v>2026</v>
      </c>
      <c r="B16" s="33" t="s">
        <v>56</v>
      </c>
      <c r="C16" s="34" t="s">
        <v>68</v>
      </c>
      <c r="D16" s="35">
        <v>31</v>
      </c>
      <c r="E16" s="36">
        <v>664.28909212311282</v>
      </c>
      <c r="F16" s="36">
        <v>590.35232326227276</v>
      </c>
      <c r="G16" s="36">
        <v>529.38681595006392</v>
      </c>
      <c r="H16" s="36">
        <v>480.35045529190938</v>
      </c>
      <c r="I16" s="36">
        <v>463.24751499484375</v>
      </c>
      <c r="J16" s="36">
        <v>451.52726221797735</v>
      </c>
      <c r="K16" s="36">
        <v>327.63896101747696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894.82468867213856</v>
      </c>
      <c r="V16" s="36">
        <v>1610.2861961486701</v>
      </c>
      <c r="W16" s="36">
        <v>1756.4930155538852</v>
      </c>
      <c r="X16" s="36">
        <v>1668.6316361692463</v>
      </c>
      <c r="Y16" s="36">
        <v>1504.9943341619851</v>
      </c>
      <c r="Z16" s="36">
        <v>1227.1400997246649</v>
      </c>
      <c r="AA16" s="36">
        <v>966.62777017709504</v>
      </c>
      <c r="AB16" s="36">
        <v>772.87527971286283</v>
      </c>
      <c r="AC16" s="37">
        <f>SUM(E16:AB16)*D16</f>
        <v>431168.6288005244</v>
      </c>
      <c r="AE16" s="40"/>
      <c r="AF16" s="43"/>
      <c r="AG16" s="42"/>
      <c r="AH16" s="28"/>
      <c r="AL16" s="28"/>
    </row>
    <row r="17" spans="1:38" x14ac:dyDescent="0.35">
      <c r="A17" s="45"/>
      <c r="B17" s="23" t="s">
        <v>57</v>
      </c>
      <c r="C17" s="22" t="s">
        <v>68</v>
      </c>
      <c r="D17" s="16">
        <v>28</v>
      </c>
      <c r="E17" s="8">
        <v>505.93524859354147</v>
      </c>
      <c r="F17" s="8">
        <v>450.68676189613888</v>
      </c>
      <c r="G17" s="8">
        <v>400.79440849700524</v>
      </c>
      <c r="H17" s="8">
        <v>363.61496571690151</v>
      </c>
      <c r="I17" s="8">
        <v>352.4736014664544</v>
      </c>
      <c r="J17" s="8">
        <v>344.94725000964405</v>
      </c>
      <c r="K17" s="8">
        <v>251.341645845698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688.37631016352373</v>
      </c>
      <c r="V17" s="8">
        <v>1274.4547975420667</v>
      </c>
      <c r="W17" s="8">
        <v>1399.739040281378</v>
      </c>
      <c r="X17" s="8">
        <v>1328.9953191764373</v>
      </c>
      <c r="Y17" s="8">
        <v>1201.7546718323113</v>
      </c>
      <c r="Z17" s="8">
        <v>970.53965090404324</v>
      </c>
      <c r="AA17" s="8">
        <v>753.92799554023088</v>
      </c>
      <c r="AB17" s="8">
        <v>594.69290002739012</v>
      </c>
      <c r="AC17" s="12">
        <f t="shared" ref="AC17:AC27" si="1">SUM(E17:AB17)*D17</f>
        <v>304703.68788979738</v>
      </c>
      <c r="AE17" s="40"/>
      <c r="AF17" s="43"/>
      <c r="AG17" s="42"/>
      <c r="AH17" s="28"/>
      <c r="AL17" s="28"/>
    </row>
    <row r="18" spans="1:38" x14ac:dyDescent="0.35">
      <c r="A18" s="45"/>
      <c r="B18" s="23" t="s">
        <v>58</v>
      </c>
      <c r="C18" s="22" t="s">
        <v>68</v>
      </c>
      <c r="D18" s="16">
        <v>31</v>
      </c>
      <c r="E18" s="8">
        <v>641.88815172974228</v>
      </c>
      <c r="F18" s="8">
        <v>565.94949615673511</v>
      </c>
      <c r="G18" s="8">
        <v>496.92280243359119</v>
      </c>
      <c r="H18" s="8">
        <v>446.13040893658763</v>
      </c>
      <c r="I18" s="8">
        <v>431.01644897758456</v>
      </c>
      <c r="J18" s="8">
        <v>416.99562076724891</v>
      </c>
      <c r="K18" s="8">
        <v>278.17226572086912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904.75645202946782</v>
      </c>
      <c r="V18" s="8">
        <v>1703.6273012139361</v>
      </c>
      <c r="W18" s="8">
        <v>1872.9709204079945</v>
      </c>
      <c r="X18" s="8">
        <v>1775.4942159544105</v>
      </c>
      <c r="Y18" s="8">
        <v>1600.2083033403803</v>
      </c>
      <c r="Z18" s="8">
        <v>1281.1630230076505</v>
      </c>
      <c r="AA18" s="8">
        <v>982.75159059083387</v>
      </c>
      <c r="AB18" s="8">
        <v>763.57957937902461</v>
      </c>
      <c r="AC18" s="12">
        <f t="shared" si="1"/>
        <v>439010.42400002771</v>
      </c>
      <c r="AE18" s="40"/>
      <c r="AF18" s="43"/>
      <c r="AG18" s="42"/>
      <c r="AH18" s="28"/>
      <c r="AL18" s="28"/>
    </row>
    <row r="19" spans="1:38" x14ac:dyDescent="0.35">
      <c r="A19" s="45"/>
      <c r="B19" s="23" t="s">
        <v>59</v>
      </c>
      <c r="C19" s="22" t="s">
        <v>68</v>
      </c>
      <c r="D19" s="16">
        <v>30</v>
      </c>
      <c r="E19" s="8">
        <v>901.98981003920005</v>
      </c>
      <c r="F19" s="8">
        <v>806.35118950245862</v>
      </c>
      <c r="G19" s="8">
        <v>713.93706014900818</v>
      </c>
      <c r="H19" s="8">
        <v>649.34822336168634</v>
      </c>
      <c r="I19" s="8">
        <v>631.71541028595141</v>
      </c>
      <c r="J19" s="8">
        <v>613.93701385520694</v>
      </c>
      <c r="K19" s="8">
        <v>427.5784663819349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1257.9326019791808</v>
      </c>
      <c r="V19" s="8">
        <v>2314.2411524204031</v>
      </c>
      <c r="W19" s="8">
        <v>2543.7165484289058</v>
      </c>
      <c r="X19" s="8">
        <v>2414.9913108622927</v>
      </c>
      <c r="Y19" s="8">
        <v>2187.7962605859152</v>
      </c>
      <c r="Z19" s="8">
        <v>1757.1277744811728</v>
      </c>
      <c r="AA19" s="8">
        <v>1355.2896505411404</v>
      </c>
      <c r="AB19" s="8">
        <v>1062.4182871274688</v>
      </c>
      <c r="AC19" s="12">
        <f t="shared" si="1"/>
        <v>589151.12280005775</v>
      </c>
      <c r="AE19" s="40"/>
      <c r="AF19" s="43"/>
      <c r="AG19" s="42"/>
      <c r="AH19" s="28"/>
      <c r="AL19" s="28"/>
    </row>
    <row r="20" spans="1:38" x14ac:dyDescent="0.35">
      <c r="A20" s="45"/>
      <c r="B20" s="23" t="s">
        <v>60</v>
      </c>
      <c r="C20" s="22" t="s">
        <v>68</v>
      </c>
      <c r="D20" s="16">
        <v>31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12">
        <f t="shared" si="1"/>
        <v>0</v>
      </c>
      <c r="AE20" s="40"/>
      <c r="AF20" s="43"/>
      <c r="AG20" s="42"/>
      <c r="AH20" s="28"/>
      <c r="AL20" s="28"/>
    </row>
    <row r="21" spans="1:38" x14ac:dyDescent="0.35">
      <c r="A21" s="45"/>
      <c r="B21" s="23" t="s">
        <v>61</v>
      </c>
      <c r="C21" s="22" t="s">
        <v>68</v>
      </c>
      <c r="D21" s="16">
        <v>30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12">
        <f t="shared" si="1"/>
        <v>0</v>
      </c>
      <c r="AE21" s="40"/>
      <c r="AF21" s="43"/>
      <c r="AG21" s="42"/>
      <c r="AH21" s="28"/>
      <c r="AL21" s="28"/>
    </row>
    <row r="22" spans="1:38" x14ac:dyDescent="0.35">
      <c r="A22" s="45"/>
      <c r="B22" s="23" t="s">
        <v>62</v>
      </c>
      <c r="C22" s="22" t="s">
        <v>68</v>
      </c>
      <c r="D22" s="16">
        <v>31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12">
        <f t="shared" si="1"/>
        <v>0</v>
      </c>
      <c r="AE22" s="40"/>
      <c r="AF22" s="43"/>
      <c r="AG22" s="42"/>
      <c r="AH22" s="28"/>
      <c r="AL22" s="28"/>
    </row>
    <row r="23" spans="1:38" x14ac:dyDescent="0.35">
      <c r="A23" s="45"/>
      <c r="B23" s="23" t="s">
        <v>63</v>
      </c>
      <c r="C23" s="22" t="s">
        <v>68</v>
      </c>
      <c r="D23" s="16">
        <v>31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12">
        <f t="shared" si="1"/>
        <v>0</v>
      </c>
      <c r="AE23" s="40"/>
      <c r="AF23" s="43"/>
      <c r="AG23" s="42"/>
      <c r="AH23" s="28"/>
      <c r="AL23" s="28"/>
    </row>
    <row r="24" spans="1:38" x14ac:dyDescent="0.35">
      <c r="A24" s="45"/>
      <c r="B24" s="23" t="s">
        <v>64</v>
      </c>
      <c r="C24" s="22" t="s">
        <v>68</v>
      </c>
      <c r="D24" s="16">
        <v>30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12">
        <f t="shared" si="1"/>
        <v>0</v>
      </c>
      <c r="AE24" s="40"/>
      <c r="AF24" s="43"/>
      <c r="AG24" s="42"/>
      <c r="AH24" s="28"/>
      <c r="AL24" s="28"/>
    </row>
    <row r="25" spans="1:38" x14ac:dyDescent="0.35">
      <c r="A25" s="45"/>
      <c r="B25" s="23" t="s">
        <v>65</v>
      </c>
      <c r="C25" s="22" t="s">
        <v>68</v>
      </c>
      <c r="D25" s="16">
        <v>31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12">
        <f t="shared" si="1"/>
        <v>0</v>
      </c>
      <c r="AE25" s="40"/>
      <c r="AF25" s="43"/>
      <c r="AG25" s="42"/>
      <c r="AH25" s="28"/>
      <c r="AL25" s="28"/>
    </row>
    <row r="26" spans="1:38" x14ac:dyDescent="0.35">
      <c r="A26" s="45"/>
      <c r="B26" s="23" t="s">
        <v>66</v>
      </c>
      <c r="C26" s="22" t="s">
        <v>68</v>
      </c>
      <c r="D26" s="16">
        <v>30</v>
      </c>
      <c r="E26" s="8">
        <v>257.81357790449493</v>
      </c>
      <c r="F26" s="8">
        <v>216.89863990095716</v>
      </c>
      <c r="G26" s="8">
        <v>181.30902540931615</v>
      </c>
      <c r="H26" s="8">
        <v>154.25537834120672</v>
      </c>
      <c r="I26" s="8">
        <v>145.571366753419</v>
      </c>
      <c r="J26" s="8">
        <v>143.36451638769262</v>
      </c>
      <c r="K26" s="8">
        <v>92.843684286635352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10.88649595721575</v>
      </c>
      <c r="U26" s="8">
        <v>476.59117676756188</v>
      </c>
      <c r="V26" s="8">
        <v>824.53806320916249</v>
      </c>
      <c r="W26" s="8">
        <v>891.19862242710849</v>
      </c>
      <c r="X26" s="8">
        <v>840.6098213323819</v>
      </c>
      <c r="Y26" s="8">
        <v>748.05332646519332</v>
      </c>
      <c r="Z26" s="8">
        <v>585.18236450095037</v>
      </c>
      <c r="AA26" s="8">
        <v>432.88628084456627</v>
      </c>
      <c r="AB26" s="8">
        <v>320.41025700000074</v>
      </c>
      <c r="AC26" s="12">
        <f t="shared" si="1"/>
        <v>189672.37792463589</v>
      </c>
      <c r="AE26" s="40"/>
      <c r="AF26" s="43"/>
      <c r="AG26" s="42"/>
      <c r="AH26" s="28"/>
      <c r="AL26" s="28"/>
    </row>
    <row r="27" spans="1:38" ht="15" thickBot="1" x14ac:dyDescent="0.4">
      <c r="A27" s="46"/>
      <c r="B27" s="24" t="s">
        <v>67</v>
      </c>
      <c r="C27" s="25" t="s">
        <v>68</v>
      </c>
      <c r="D27" s="17">
        <v>31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13">
        <f t="shared" si="1"/>
        <v>0</v>
      </c>
      <c r="AE27" s="40"/>
      <c r="AF27" s="41"/>
      <c r="AG27" s="42"/>
      <c r="AH27" s="28"/>
      <c r="AL27" s="28"/>
    </row>
    <row r="28" spans="1:38" ht="15" thickBot="1" x14ac:dyDescent="0.4">
      <c r="AB28" s="38" t="s">
        <v>27</v>
      </c>
      <c r="AC28" s="39">
        <f>SUM(AC8:AC27)</f>
        <v>18825621.646844044</v>
      </c>
    </row>
    <row r="29" spans="1:38" x14ac:dyDescent="0.35">
      <c r="E29" s="32"/>
    </row>
    <row r="31" spans="1:38" x14ac:dyDescent="0.35"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38" x14ac:dyDescent="0.35">
      <c r="B32" s="4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2:28" x14ac:dyDescent="0.35">
      <c r="B33" s="4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2:28" x14ac:dyDescent="0.35">
      <c r="B34" s="4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2:28" x14ac:dyDescent="0.35">
      <c r="B35" s="4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2:28" x14ac:dyDescent="0.35">
      <c r="B36" s="4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2:28" x14ac:dyDescent="0.35">
      <c r="B37" s="4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2:28" x14ac:dyDescent="0.35">
      <c r="B38" s="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2:28" x14ac:dyDescent="0.35">
      <c r="B39" s="4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2:28" x14ac:dyDescent="0.35">
      <c r="B40" s="4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2:28" x14ac:dyDescent="0.35">
      <c r="B41" s="4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2:28" x14ac:dyDescent="0.35">
      <c r="B42" s="4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2:28" x14ac:dyDescent="0.35">
      <c r="B43" s="4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2:28" x14ac:dyDescent="0.35">
      <c r="B44" s="4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2:28" x14ac:dyDescent="0.35">
      <c r="B45" s="4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2:28" x14ac:dyDescent="0.35">
      <c r="B46" s="4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2:28" x14ac:dyDescent="0.35">
      <c r="B47" s="4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2:28" x14ac:dyDescent="0.35">
      <c r="B48" s="4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2:28" x14ac:dyDescent="0.35">
      <c r="B49" s="4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2:28" x14ac:dyDescent="0.35">
      <c r="B50" s="4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2:28" x14ac:dyDescent="0.35">
      <c r="B51" s="4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2:28" x14ac:dyDescent="0.35">
      <c r="B52" s="4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2:28" x14ac:dyDescent="0.35">
      <c r="B53" s="4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2:28" x14ac:dyDescent="0.35">
      <c r="B54" s="4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2:28" x14ac:dyDescent="0.35">
      <c r="B55" s="4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2:28" x14ac:dyDescent="0.35">
      <c r="B56" s="4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2:28" x14ac:dyDescent="0.35"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2:28" x14ac:dyDescent="0.35"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</sheetData>
  <mergeCells count="2">
    <mergeCell ref="A8:A15"/>
    <mergeCell ref="A16:A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CA7C-0303-43C4-9EA3-DDFD1DCD618D}">
  <dimension ref="A1:D30"/>
  <sheetViews>
    <sheetView topLeftCell="A4" zoomScale="85" zoomScaleNormal="85" workbookViewId="0">
      <selection activeCell="F7" sqref="F7"/>
    </sheetView>
  </sheetViews>
  <sheetFormatPr baseColWidth="10" defaultColWidth="11.453125" defaultRowHeight="14.5" x14ac:dyDescent="0.35"/>
  <cols>
    <col min="1" max="2" width="23.26953125" customWidth="1"/>
    <col min="3" max="3" width="31.453125" customWidth="1"/>
    <col min="4" max="4" width="18.26953125" customWidth="1"/>
  </cols>
  <sheetData>
    <row r="1" spans="1:4" x14ac:dyDescent="0.35">
      <c r="A1" s="50"/>
      <c r="B1" s="50"/>
      <c r="C1" s="50"/>
    </row>
    <row r="2" spans="1:4" x14ac:dyDescent="0.35">
      <c r="A2" s="50" t="s">
        <v>5</v>
      </c>
      <c r="B2" s="50"/>
      <c r="C2" s="50"/>
    </row>
    <row r="3" spans="1:4" ht="36.75" customHeight="1" x14ac:dyDescent="0.35">
      <c r="A3" s="51" t="s">
        <v>6</v>
      </c>
      <c r="B3" s="51"/>
      <c r="C3" s="51"/>
    </row>
    <row r="4" spans="1:4" ht="72.75" customHeight="1" x14ac:dyDescent="0.35">
      <c r="A4" s="51" t="s">
        <v>7</v>
      </c>
      <c r="B4" s="51"/>
      <c r="C4" s="51"/>
    </row>
    <row r="5" spans="1:4" x14ac:dyDescent="0.35">
      <c r="A5" s="2"/>
      <c r="B5" s="2"/>
      <c r="C5" s="2"/>
    </row>
    <row r="6" spans="1:4" x14ac:dyDescent="0.35">
      <c r="A6" s="3" t="s">
        <v>8</v>
      </c>
      <c r="B6" s="3"/>
      <c r="C6" s="3"/>
    </row>
    <row r="7" spans="1:4" x14ac:dyDescent="0.35">
      <c r="A7" s="3" t="s">
        <v>9</v>
      </c>
      <c r="B7" s="3" t="s">
        <v>10</v>
      </c>
    </row>
    <row r="8" spans="1:4" x14ac:dyDescent="0.35">
      <c r="A8" s="3" t="s">
        <v>11</v>
      </c>
      <c r="B8" s="3"/>
      <c r="C8" s="3"/>
    </row>
    <row r="9" spans="1:4" ht="15" thickBot="1" x14ac:dyDescent="0.4">
      <c r="A9" s="3"/>
      <c r="B9" s="3"/>
      <c r="C9" s="3"/>
    </row>
    <row r="10" spans="1:4" ht="29.5" thickBot="1" x14ac:dyDescent="0.4">
      <c r="A10" s="6" t="s">
        <v>3</v>
      </c>
      <c r="B10" s="7" t="s">
        <v>4</v>
      </c>
      <c r="C10" s="6" t="s">
        <v>12</v>
      </c>
      <c r="D10" s="29" t="s">
        <v>13</v>
      </c>
    </row>
    <row r="11" spans="1:4" x14ac:dyDescent="0.35">
      <c r="A11" s="48"/>
      <c r="B11" s="18" t="s">
        <v>18</v>
      </c>
      <c r="C11" s="52"/>
      <c r="D11" s="30"/>
    </row>
    <row r="12" spans="1:4" x14ac:dyDescent="0.35">
      <c r="A12" s="48"/>
      <c r="B12" s="19" t="s">
        <v>19</v>
      </c>
      <c r="C12" s="52"/>
      <c r="D12" s="30"/>
    </row>
    <row r="13" spans="1:4" x14ac:dyDescent="0.35">
      <c r="A13" s="48"/>
      <c r="B13" s="18" t="s">
        <v>20</v>
      </c>
      <c r="C13" s="52"/>
      <c r="D13" s="30"/>
    </row>
    <row r="14" spans="1:4" x14ac:dyDescent="0.35">
      <c r="A14" s="48"/>
      <c r="B14" s="19" t="s">
        <v>21</v>
      </c>
      <c r="C14" s="52"/>
      <c r="D14" s="30"/>
    </row>
    <row r="15" spans="1:4" x14ac:dyDescent="0.35">
      <c r="A15" s="48"/>
      <c r="B15" s="18" t="s">
        <v>22</v>
      </c>
      <c r="C15" s="52"/>
      <c r="D15" s="30"/>
    </row>
    <row r="16" spans="1:4" x14ac:dyDescent="0.35">
      <c r="A16" s="48"/>
      <c r="B16" s="19" t="s">
        <v>23</v>
      </c>
      <c r="C16" s="52"/>
      <c r="D16" s="30"/>
    </row>
    <row r="17" spans="1:4" x14ac:dyDescent="0.35">
      <c r="A17" s="48"/>
      <c r="B17" s="18" t="s">
        <v>24</v>
      </c>
      <c r="C17" s="52"/>
      <c r="D17" s="30"/>
    </row>
    <row r="18" spans="1:4" ht="15" thickBot="1" x14ac:dyDescent="0.4">
      <c r="A18" s="49"/>
      <c r="B18" s="20" t="s">
        <v>25</v>
      </c>
      <c r="C18" s="52"/>
      <c r="D18" s="30"/>
    </row>
    <row r="19" spans="1:4" x14ac:dyDescent="0.35">
      <c r="A19" s="47">
        <v>2026</v>
      </c>
      <c r="B19" s="26" t="s">
        <v>14</v>
      </c>
      <c r="C19" s="52"/>
      <c r="D19" s="30"/>
    </row>
    <row r="20" spans="1:4" x14ac:dyDescent="0.35">
      <c r="A20" s="48"/>
      <c r="B20" s="19" t="s">
        <v>15</v>
      </c>
      <c r="C20" s="52"/>
      <c r="D20" s="30"/>
    </row>
    <row r="21" spans="1:4" x14ac:dyDescent="0.35">
      <c r="A21" s="48"/>
      <c r="B21" s="18" t="s">
        <v>16</v>
      </c>
      <c r="C21" s="52"/>
      <c r="D21" s="30"/>
    </row>
    <row r="22" spans="1:4" x14ac:dyDescent="0.35">
      <c r="A22" s="48"/>
      <c r="B22" s="19" t="s">
        <v>17</v>
      </c>
      <c r="C22" s="52"/>
      <c r="D22" s="30"/>
    </row>
    <row r="23" spans="1:4" x14ac:dyDescent="0.35">
      <c r="A23" s="48"/>
      <c r="B23" s="18" t="s">
        <v>18</v>
      </c>
      <c r="C23" s="52"/>
      <c r="D23" s="30"/>
    </row>
    <row r="24" spans="1:4" x14ac:dyDescent="0.35">
      <c r="A24" s="48"/>
      <c r="B24" s="19" t="s">
        <v>19</v>
      </c>
      <c r="C24" s="52"/>
      <c r="D24" s="30"/>
    </row>
    <row r="25" spans="1:4" x14ac:dyDescent="0.35">
      <c r="A25" s="48"/>
      <c r="B25" s="18" t="s">
        <v>20</v>
      </c>
      <c r="C25" s="52"/>
      <c r="D25" s="30"/>
    </row>
    <row r="26" spans="1:4" x14ac:dyDescent="0.35">
      <c r="A26" s="48"/>
      <c r="B26" s="19" t="s">
        <v>21</v>
      </c>
      <c r="C26" s="52"/>
      <c r="D26" s="30"/>
    </row>
    <row r="27" spans="1:4" x14ac:dyDescent="0.35">
      <c r="A27" s="48"/>
      <c r="B27" s="18" t="s">
        <v>22</v>
      </c>
      <c r="C27" s="52"/>
      <c r="D27" s="30"/>
    </row>
    <row r="28" spans="1:4" x14ac:dyDescent="0.35">
      <c r="A28" s="48"/>
      <c r="B28" s="19" t="s">
        <v>23</v>
      </c>
      <c r="C28" s="52"/>
      <c r="D28" s="30"/>
    </row>
    <row r="29" spans="1:4" x14ac:dyDescent="0.35">
      <c r="A29" s="48"/>
      <c r="B29" s="18" t="s">
        <v>24</v>
      </c>
      <c r="C29" s="52"/>
      <c r="D29" s="30"/>
    </row>
    <row r="30" spans="1:4" ht="15" thickBot="1" x14ac:dyDescent="0.4">
      <c r="A30" s="49"/>
      <c r="B30" s="20" t="s">
        <v>25</v>
      </c>
      <c r="C30" s="53"/>
      <c r="D30" s="31"/>
    </row>
  </sheetData>
  <mergeCells count="7">
    <mergeCell ref="A19:A30"/>
    <mergeCell ref="A1:C1"/>
    <mergeCell ref="A2:C2"/>
    <mergeCell ref="A3:C3"/>
    <mergeCell ref="A4:C4"/>
    <mergeCell ref="A11:A18"/>
    <mergeCell ref="C11:C3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0669a7-a738-41a3-89e4-5344b7ca2991">
      <Terms xmlns="http://schemas.microsoft.com/office/infopath/2007/PartnerControls"/>
    </lcf76f155ced4ddcb4097134ff3c332f>
    <TaxCatchAll xmlns="20d27aaa-8247-4c27-8ec8-78a4e94342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04873852009D40B2C0F29E8DFF47C1" ma:contentTypeVersion="14" ma:contentTypeDescription="Create a new document." ma:contentTypeScope="" ma:versionID="d544c2620fd415e36b83d67afc4841ad">
  <xsd:schema xmlns:xsd="http://www.w3.org/2001/XMLSchema" xmlns:xs="http://www.w3.org/2001/XMLSchema" xmlns:p="http://schemas.microsoft.com/office/2006/metadata/properties" xmlns:ns2="5b0669a7-a738-41a3-89e4-5344b7ca2991" xmlns:ns3="20d27aaa-8247-4c27-8ec8-78a4e943420d" targetNamespace="http://schemas.microsoft.com/office/2006/metadata/properties" ma:root="true" ma:fieldsID="0d23e8cf782afe8bcaff71a63743def5" ns2:_="" ns3:_="">
    <xsd:import namespace="5b0669a7-a738-41a3-89e4-5344b7ca2991"/>
    <xsd:import namespace="20d27aaa-8247-4c27-8ec8-78a4e9434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669a7-a738-41a3-89e4-5344b7ca2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a719b3-8a48-41ed-8bc9-2b6449212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27aaa-8247-4c27-8ec8-78a4e943420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2fc6382-90a3-4136-b6ed-2e2766ddf430}" ma:internalName="TaxCatchAll" ma:showField="CatchAllData" ma:web="20d27aaa-8247-4c27-8ec8-78a4e94342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E54F5D-06CE-42D6-B5A1-B71630101069}">
  <ds:schemaRefs>
    <ds:schemaRef ds:uri="http://schemas.microsoft.com/office/2006/metadata/properties"/>
    <ds:schemaRef ds:uri="http://purl.org/dc/terms/"/>
    <ds:schemaRef ds:uri="5b0669a7-a738-41a3-89e4-5344b7ca2991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0d27aaa-8247-4c27-8ec8-78a4e943420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326B2E0-F1E7-4C57-A003-BCE447A1C02D}"/>
</file>

<file path=customXml/itemProps3.xml><?xml version="1.0" encoding="utf-8"?>
<ds:datastoreItem xmlns:ds="http://schemas.openxmlformats.org/officeDocument/2006/customXml" ds:itemID="{C73C04EF-1C4C-4D50-BB4C-5AF940E443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Cantidades producto 1</vt:lpstr>
      <vt:lpstr>Oferta producto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Obando</dc:creator>
  <cp:keywords/>
  <dc:description/>
  <cp:lastModifiedBy>Nicolás Poveda Granados</cp:lastModifiedBy>
  <cp:revision/>
  <dcterms:created xsi:type="dcterms:W3CDTF">2020-03-26T19:02:29Z</dcterms:created>
  <dcterms:modified xsi:type="dcterms:W3CDTF">2025-03-29T01:56:01Z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0x0101003B04873852009D40B2C0F29E8DFF47C1</vt:lpwstr>
  </property>
  <property fmtid="{D5CDD505-2E9C-101B-9397-08002B2CF9AE}" pid="3" name="MediaServiceImageTags">
    <vt:lpwstr/>
  </property>
</Properties>
</file>