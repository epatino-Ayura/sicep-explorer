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fabian_preciado_enel_com/Documents/BD-Energy Supply/1. Abastecimiento/2025/CP-EXEC2025-001/Definitivo/"/>
    </mc:Choice>
  </mc:AlternateContent>
  <xr:revisionPtr revIDLastSave="1001" documentId="13_ncr:1_{6BE29CF9-005E-4833-9133-48CE838DCC54}" xr6:coauthVersionLast="47" xr6:coauthVersionMax="47" xr10:uidLastSave="{40AC1D0D-181E-4A00-A225-63E6F034D00F}"/>
  <workbookProtection workbookAlgorithmName="SHA-512" workbookHashValue="pVY2u/Izdf6NvO1gcJtDvdlBuxwyObd3U1r+inaAvWnjjvx6AlRsW9FJKCiA4zYV/ftVnzEn2b37x9gYVTzGuA==" workbookSaltValue="jfKx3zxc/r5BLsFwcbS2XQ==" workbookSpinCount="100000" lockStructure="1"/>
  <bookViews>
    <workbookView xWindow="-110" yWindow="-110" windowWidth="19420" windowHeight="10300" tabRatio="936" firstSheet="5" activeTab="8" xr2:uid="{00000000-000D-0000-FFFF-FFFF00000000}"/>
  </bookViews>
  <sheets>
    <sheet name="Formato Resumen 23" sheetId="21" state="hidden" r:id="rId1"/>
    <sheet name="P1_AÑO 2024" sheetId="43" state="hidden" r:id="rId2"/>
    <sheet name="P1 DETALLE AÑO 2024" sheetId="17" state="hidden" r:id="rId3"/>
    <sheet name="P1_AÑO 2025" sheetId="46" state="hidden" r:id="rId4"/>
    <sheet name="P1 DETALLE AÑO 2025" sheetId="53" state="hidden" r:id="rId5"/>
    <sheet name="AÑO 2026" sheetId="47" r:id="rId6"/>
    <sheet name="DETALLE AÑO 2026" sheetId="54" r:id="rId7"/>
    <sheet name="AÑO 2027" sheetId="48" r:id="rId8"/>
    <sheet name="DETALLE AÑO 2027" sheetId="55" r:id="rId9"/>
    <sheet name="AÑO 2028" sheetId="44" r:id="rId10"/>
    <sheet name="DETALLE AÑO 2028" sheetId="56" r:id="rId11"/>
    <sheet name="AÑO 2029" sheetId="45" r:id="rId12"/>
    <sheet name="DETALLE AÑO 2029" sheetId="57" r:id="rId13"/>
    <sheet name="AÑO 2030" sheetId="49" r:id="rId14"/>
    <sheet name="DETALLE AÑO 2030" sheetId="92" r:id="rId15"/>
    <sheet name="AÑO 2031" sheetId="93" r:id="rId16"/>
    <sheet name="DETALLE AÑO 2031" sheetId="94" r:id="rId17"/>
    <sheet name="AÑO 2032" sheetId="95" r:id="rId18"/>
    <sheet name="DETALLE AÑO 2032" sheetId="100" r:id="rId19"/>
    <sheet name="AÑO 2033" sheetId="96" r:id="rId20"/>
    <sheet name="DETALLE AÑO 2033" sheetId="101" r:id="rId21"/>
    <sheet name="AÑO 2034" sheetId="97" r:id="rId22"/>
    <sheet name="DETALLE AÑO 2034" sheetId="102" r:id="rId23"/>
    <sheet name="AÑO 2035" sheetId="98" r:id="rId24"/>
    <sheet name="DETALLE AÑO 2035" sheetId="103" r:id="rId25"/>
    <sheet name="AÑO 2036" sheetId="104" r:id="rId26"/>
    <sheet name="DETALLE AÑO 2036" sheetId="105" r:id="rId27"/>
    <sheet name="Formato Propuesta año 2023" sheetId="16" state="hidden" r:id="rId28"/>
    <sheet name="calendario" sheetId="62" state="hidden" r:id="rId29"/>
    <sheet name="Hoja7" sheetId="69" state="hidden" r:id="rId30"/>
  </sheets>
  <definedNames>
    <definedName name="Z_5E23C26A_5DA4_4377_864E_D3BECE131DEC_.wvu.PrintArea" localSheetId="5" hidden="1">'AÑO 2026'!$B$13:$B$13</definedName>
    <definedName name="Z_5E23C26A_5DA4_4377_864E_D3BECE131DEC_.wvu.PrintArea" localSheetId="7" hidden="1">'AÑO 2027'!$B$13:$B$13</definedName>
    <definedName name="Z_5E23C26A_5DA4_4377_864E_D3BECE131DEC_.wvu.PrintArea" localSheetId="9" hidden="1">'AÑO 2028'!$B$13:$B$13</definedName>
    <definedName name="Z_5E23C26A_5DA4_4377_864E_D3BECE131DEC_.wvu.PrintArea" localSheetId="11" hidden="1">'AÑO 2029'!$B$13:$B$13</definedName>
    <definedName name="Z_5E23C26A_5DA4_4377_864E_D3BECE131DEC_.wvu.PrintArea" localSheetId="13" hidden="1">'AÑO 2030'!$B$13:$B$13</definedName>
    <definedName name="Z_5E23C26A_5DA4_4377_864E_D3BECE131DEC_.wvu.PrintArea" localSheetId="15" hidden="1">'AÑO 2031'!$B$13:$B$13</definedName>
    <definedName name="Z_5E23C26A_5DA4_4377_864E_D3BECE131DEC_.wvu.PrintArea" localSheetId="17" hidden="1">'AÑO 2032'!$B$13:$B$13</definedName>
    <definedName name="Z_5E23C26A_5DA4_4377_864E_D3BECE131DEC_.wvu.PrintArea" localSheetId="19" hidden="1">'AÑO 2033'!$B$13:$B$13</definedName>
    <definedName name="Z_5E23C26A_5DA4_4377_864E_D3BECE131DEC_.wvu.PrintArea" localSheetId="21" hidden="1">'AÑO 2034'!$B$13:$B$13</definedName>
    <definedName name="Z_5E23C26A_5DA4_4377_864E_D3BECE131DEC_.wvu.PrintArea" localSheetId="23" hidden="1">'AÑO 2035'!$B$13:$B$13</definedName>
    <definedName name="Z_5E23C26A_5DA4_4377_864E_D3BECE131DEC_.wvu.PrintArea" localSheetId="25" hidden="1">'AÑO 2036'!$B$13:$B$13</definedName>
    <definedName name="Z_5E23C26A_5DA4_4377_864E_D3BECE131DEC_.wvu.PrintArea" localSheetId="6" hidden="1">'DETALLE AÑO 2026'!$B$3:$J$25</definedName>
    <definedName name="Z_5E23C26A_5DA4_4377_864E_D3BECE131DEC_.wvu.PrintArea" localSheetId="8" hidden="1">'DETALLE AÑO 2027'!$B$3:$J$25</definedName>
    <definedName name="Z_5E23C26A_5DA4_4377_864E_D3BECE131DEC_.wvu.PrintArea" localSheetId="10" hidden="1">'DETALLE AÑO 2028'!$B$3:$J$25</definedName>
    <definedName name="Z_5E23C26A_5DA4_4377_864E_D3BECE131DEC_.wvu.PrintArea" localSheetId="12" hidden="1">'DETALLE AÑO 2029'!$B$3:$J$25</definedName>
    <definedName name="Z_5E23C26A_5DA4_4377_864E_D3BECE131DEC_.wvu.PrintArea" localSheetId="14" hidden="1">'DETALLE AÑO 2030'!$B$3:$J$25</definedName>
    <definedName name="Z_5E23C26A_5DA4_4377_864E_D3BECE131DEC_.wvu.PrintArea" localSheetId="16" hidden="1">'DETALLE AÑO 2031'!$B$3:$J$25</definedName>
    <definedName name="Z_5E23C26A_5DA4_4377_864E_D3BECE131DEC_.wvu.PrintArea" localSheetId="18" hidden="1">'DETALLE AÑO 2032'!$B$3:$J$25</definedName>
    <definedName name="Z_5E23C26A_5DA4_4377_864E_D3BECE131DEC_.wvu.PrintArea" localSheetId="20" hidden="1">'DETALLE AÑO 2033'!$B$3:$J$25</definedName>
    <definedName name="Z_5E23C26A_5DA4_4377_864E_D3BECE131DEC_.wvu.PrintArea" localSheetId="22" hidden="1">'DETALLE AÑO 2034'!$B$3:$J$25</definedName>
    <definedName name="Z_5E23C26A_5DA4_4377_864E_D3BECE131DEC_.wvu.PrintArea" localSheetId="24" hidden="1">'DETALLE AÑO 2035'!$B$3:$J$25</definedName>
    <definedName name="Z_5E23C26A_5DA4_4377_864E_D3BECE131DEC_.wvu.PrintArea" localSheetId="26" hidden="1">'DETALLE AÑO 2036'!$B$3:$J$25</definedName>
    <definedName name="Z_5E23C26A_5DA4_4377_864E_D3BECE131DEC_.wvu.PrintArea" localSheetId="27" hidden="1">'Formato Propuesta año 2023'!$B$3:$J$25</definedName>
    <definedName name="Z_5E23C26A_5DA4_4377_864E_D3BECE131DEC_.wvu.PrintArea" localSheetId="0" hidden="1">'Formato Resumen 23'!$B$13:$B$13</definedName>
    <definedName name="Z_5E23C26A_5DA4_4377_864E_D3BECE131DEC_.wvu.PrintArea" localSheetId="2" hidden="1">'P1 DETALLE AÑO 2024'!$B$3:$J$25</definedName>
    <definedName name="Z_5E23C26A_5DA4_4377_864E_D3BECE131DEC_.wvu.PrintArea" localSheetId="4" hidden="1">'P1 DETALLE AÑO 2025'!$B$3:$J$25</definedName>
    <definedName name="Z_5E23C26A_5DA4_4377_864E_D3BECE131DEC_.wvu.PrintArea" localSheetId="1" hidden="1">'P1_AÑO 2024'!$B$13:$B$13</definedName>
    <definedName name="Z_5E23C26A_5DA4_4377_864E_D3BECE131DEC_.wvu.PrintArea" localSheetId="3" hidden="1">'P1_AÑO 2025'!$B$13:$B$13</definedName>
    <definedName name="Z_66AA70F6_2777_42C7_BDA0_CD16FFB959D9_.wvu.PrintArea" localSheetId="5" hidden="1">'AÑO 2026'!$B$13:$B$13</definedName>
    <definedName name="Z_66AA70F6_2777_42C7_BDA0_CD16FFB959D9_.wvu.PrintArea" localSheetId="7" hidden="1">'AÑO 2027'!$B$13:$B$13</definedName>
    <definedName name="Z_66AA70F6_2777_42C7_BDA0_CD16FFB959D9_.wvu.PrintArea" localSheetId="9" hidden="1">'AÑO 2028'!$B$13:$B$13</definedName>
    <definedName name="Z_66AA70F6_2777_42C7_BDA0_CD16FFB959D9_.wvu.PrintArea" localSheetId="11" hidden="1">'AÑO 2029'!$B$13:$B$13</definedName>
    <definedName name="Z_66AA70F6_2777_42C7_BDA0_CD16FFB959D9_.wvu.PrintArea" localSheetId="13" hidden="1">'AÑO 2030'!$B$13:$B$13</definedName>
    <definedName name="Z_66AA70F6_2777_42C7_BDA0_CD16FFB959D9_.wvu.PrintArea" localSheetId="15" hidden="1">'AÑO 2031'!$B$13:$B$13</definedName>
    <definedName name="Z_66AA70F6_2777_42C7_BDA0_CD16FFB959D9_.wvu.PrintArea" localSheetId="17" hidden="1">'AÑO 2032'!$B$13:$B$13</definedName>
    <definedName name="Z_66AA70F6_2777_42C7_BDA0_CD16FFB959D9_.wvu.PrintArea" localSheetId="19" hidden="1">'AÑO 2033'!$B$13:$B$13</definedName>
    <definedName name="Z_66AA70F6_2777_42C7_BDA0_CD16FFB959D9_.wvu.PrintArea" localSheetId="21" hidden="1">'AÑO 2034'!$B$13:$B$13</definedName>
    <definedName name="Z_66AA70F6_2777_42C7_BDA0_CD16FFB959D9_.wvu.PrintArea" localSheetId="23" hidden="1">'AÑO 2035'!$B$13:$B$13</definedName>
    <definedName name="Z_66AA70F6_2777_42C7_BDA0_CD16FFB959D9_.wvu.PrintArea" localSheetId="25" hidden="1">'AÑO 2036'!$B$13:$B$13</definedName>
    <definedName name="Z_66AA70F6_2777_42C7_BDA0_CD16FFB959D9_.wvu.PrintArea" localSheetId="6" hidden="1">'DETALLE AÑO 2026'!$B$3:$J$25</definedName>
    <definedName name="Z_66AA70F6_2777_42C7_BDA0_CD16FFB959D9_.wvu.PrintArea" localSheetId="8" hidden="1">'DETALLE AÑO 2027'!$B$3:$J$25</definedName>
    <definedName name="Z_66AA70F6_2777_42C7_BDA0_CD16FFB959D9_.wvu.PrintArea" localSheetId="10" hidden="1">'DETALLE AÑO 2028'!$B$3:$J$25</definedName>
    <definedName name="Z_66AA70F6_2777_42C7_BDA0_CD16FFB959D9_.wvu.PrintArea" localSheetId="12" hidden="1">'DETALLE AÑO 2029'!$B$3:$J$25</definedName>
    <definedName name="Z_66AA70F6_2777_42C7_BDA0_CD16FFB959D9_.wvu.PrintArea" localSheetId="14" hidden="1">'DETALLE AÑO 2030'!$B$3:$J$25</definedName>
    <definedName name="Z_66AA70F6_2777_42C7_BDA0_CD16FFB959D9_.wvu.PrintArea" localSheetId="16" hidden="1">'DETALLE AÑO 2031'!$B$3:$J$25</definedName>
    <definedName name="Z_66AA70F6_2777_42C7_BDA0_CD16FFB959D9_.wvu.PrintArea" localSheetId="18" hidden="1">'DETALLE AÑO 2032'!$B$3:$J$25</definedName>
    <definedName name="Z_66AA70F6_2777_42C7_BDA0_CD16FFB959D9_.wvu.PrintArea" localSheetId="20" hidden="1">'DETALLE AÑO 2033'!$B$3:$J$25</definedName>
    <definedName name="Z_66AA70F6_2777_42C7_BDA0_CD16FFB959D9_.wvu.PrintArea" localSheetId="22" hidden="1">'DETALLE AÑO 2034'!$B$3:$J$25</definedName>
    <definedName name="Z_66AA70F6_2777_42C7_BDA0_CD16FFB959D9_.wvu.PrintArea" localSheetId="24" hidden="1">'DETALLE AÑO 2035'!$B$3:$J$25</definedName>
    <definedName name="Z_66AA70F6_2777_42C7_BDA0_CD16FFB959D9_.wvu.PrintArea" localSheetId="26" hidden="1">'DETALLE AÑO 2036'!$B$3:$J$25</definedName>
    <definedName name="Z_66AA70F6_2777_42C7_BDA0_CD16FFB959D9_.wvu.PrintArea" localSheetId="27" hidden="1">'Formato Propuesta año 2023'!$B$3:$J$25</definedName>
    <definedName name="Z_66AA70F6_2777_42C7_BDA0_CD16FFB959D9_.wvu.PrintArea" localSheetId="0" hidden="1">'Formato Resumen 23'!$B$13:$B$13</definedName>
    <definedName name="Z_66AA70F6_2777_42C7_BDA0_CD16FFB959D9_.wvu.PrintArea" localSheetId="2" hidden="1">'P1 DETALLE AÑO 2024'!$B$3:$J$25</definedName>
    <definedName name="Z_66AA70F6_2777_42C7_BDA0_CD16FFB959D9_.wvu.PrintArea" localSheetId="4" hidden="1">'P1 DETALLE AÑO 2025'!$B$3:$J$25</definedName>
    <definedName name="Z_66AA70F6_2777_42C7_BDA0_CD16FFB959D9_.wvu.PrintArea" localSheetId="1" hidden="1">'P1_AÑO 2024'!$B$13:$B$13</definedName>
    <definedName name="Z_66AA70F6_2777_42C7_BDA0_CD16FFB959D9_.wvu.PrintArea" localSheetId="3" hidden="1">'P1_AÑO 2025'!$B$13:$B$13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92" l="1"/>
  <c r="O27" i="105"/>
  <c r="O27" i="103"/>
  <c r="O27" i="102"/>
  <c r="O27" i="101"/>
  <c r="O27" i="100"/>
  <c r="O27" i="94"/>
  <c r="O27" i="57"/>
  <c r="O27" i="56"/>
  <c r="O27" i="55"/>
  <c r="O27" i="54"/>
  <c r="B2" i="47"/>
  <c r="B55" i="100"/>
  <c r="B51" i="100"/>
  <c r="B47" i="100"/>
  <c r="B43" i="100"/>
  <c r="B39" i="100"/>
  <c r="B35" i="100"/>
  <c r="B31" i="100"/>
  <c r="B27" i="100"/>
  <c r="B23" i="100"/>
  <c r="B19" i="100"/>
  <c r="B15" i="100"/>
  <c r="B11" i="100"/>
  <c r="B55" i="101"/>
  <c r="B51" i="101"/>
  <c r="B47" i="101"/>
  <c r="B43" i="101"/>
  <c r="B39" i="101"/>
  <c r="B35" i="101"/>
  <c r="B31" i="101"/>
  <c r="B27" i="101"/>
  <c r="B23" i="101"/>
  <c r="B19" i="101"/>
  <c r="B15" i="101"/>
  <c r="B11" i="101"/>
  <c r="B55" i="102"/>
  <c r="B51" i="102"/>
  <c r="B47" i="102"/>
  <c r="B43" i="102"/>
  <c r="B39" i="102"/>
  <c r="B35" i="102"/>
  <c r="B31" i="102"/>
  <c r="B27" i="102"/>
  <c r="B23" i="102"/>
  <c r="B19" i="102"/>
  <c r="B15" i="102"/>
  <c r="B11" i="102"/>
  <c r="B55" i="103"/>
  <c r="B51" i="103"/>
  <c r="B47" i="103"/>
  <c r="B43" i="103"/>
  <c r="B39" i="103"/>
  <c r="B35" i="103"/>
  <c r="B31" i="103"/>
  <c r="B27" i="103"/>
  <c r="B23" i="103"/>
  <c r="B19" i="103"/>
  <c r="B15" i="103"/>
  <c r="B11" i="103"/>
  <c r="B55" i="105"/>
  <c r="B51" i="105"/>
  <c r="B47" i="105"/>
  <c r="B43" i="105"/>
  <c r="B39" i="105"/>
  <c r="B35" i="105"/>
  <c r="B31" i="105"/>
  <c r="B27" i="105"/>
  <c r="B23" i="105"/>
  <c r="B19" i="105"/>
  <c r="B15" i="105"/>
  <c r="B11" i="105"/>
  <c r="A55" i="105"/>
  <c r="A51" i="105"/>
  <c r="A47" i="105"/>
  <c r="A43" i="105"/>
  <c r="A39" i="105"/>
  <c r="A35" i="105"/>
  <c r="AB7" i="105"/>
  <c r="AA7" i="105"/>
  <c r="Z7" i="105"/>
  <c r="Y7" i="105"/>
  <c r="X7" i="105"/>
  <c r="W7" i="105"/>
  <c r="V7" i="105"/>
  <c r="U7" i="105"/>
  <c r="T7" i="105"/>
  <c r="S7" i="105"/>
  <c r="R7" i="105"/>
  <c r="Q7" i="105"/>
  <c r="P7" i="105"/>
  <c r="O7" i="105"/>
  <c r="N7" i="105"/>
  <c r="M7" i="105"/>
  <c r="L7" i="105"/>
  <c r="K7" i="105"/>
  <c r="J7" i="105"/>
  <c r="I7" i="105"/>
  <c r="H7" i="105"/>
  <c r="G7" i="105"/>
  <c r="F7" i="105"/>
  <c r="E7" i="105"/>
  <c r="AB7" i="103"/>
  <c r="AA7" i="103"/>
  <c r="Z7" i="103"/>
  <c r="Y7" i="103"/>
  <c r="X7" i="103"/>
  <c r="W7" i="103"/>
  <c r="V7" i="103"/>
  <c r="U7" i="103"/>
  <c r="T7" i="103"/>
  <c r="S7" i="103"/>
  <c r="R7" i="103"/>
  <c r="Q7" i="103"/>
  <c r="P7" i="103"/>
  <c r="O7" i="103"/>
  <c r="N7" i="103"/>
  <c r="M7" i="103"/>
  <c r="L7" i="103"/>
  <c r="K7" i="103"/>
  <c r="J7" i="103"/>
  <c r="I7" i="103"/>
  <c r="H7" i="103"/>
  <c r="G7" i="103"/>
  <c r="F7" i="103"/>
  <c r="E7" i="103"/>
  <c r="AB7" i="102"/>
  <c r="AA7" i="102"/>
  <c r="Z7" i="102"/>
  <c r="Y7" i="102"/>
  <c r="X7" i="102"/>
  <c r="W7" i="102"/>
  <c r="V7" i="102"/>
  <c r="U7" i="102"/>
  <c r="T7" i="102"/>
  <c r="S7" i="102"/>
  <c r="R7" i="102"/>
  <c r="Q7" i="102"/>
  <c r="P7" i="102"/>
  <c r="O7" i="102"/>
  <c r="N7" i="102"/>
  <c r="M7" i="102"/>
  <c r="L7" i="102"/>
  <c r="K7" i="102"/>
  <c r="J7" i="102"/>
  <c r="I7" i="102"/>
  <c r="H7" i="102"/>
  <c r="G7" i="102"/>
  <c r="F7" i="102"/>
  <c r="E7" i="102"/>
  <c r="AB7" i="101"/>
  <c r="AA7" i="101"/>
  <c r="Z7" i="101"/>
  <c r="Y7" i="101"/>
  <c r="X7" i="101"/>
  <c r="W7" i="101"/>
  <c r="V7" i="101"/>
  <c r="U7" i="101"/>
  <c r="T7" i="101"/>
  <c r="S7" i="101"/>
  <c r="R7" i="101"/>
  <c r="Q7" i="101"/>
  <c r="P7" i="101"/>
  <c r="O7" i="101"/>
  <c r="N7" i="101"/>
  <c r="M7" i="101"/>
  <c r="L7" i="101"/>
  <c r="K7" i="101"/>
  <c r="J7" i="101"/>
  <c r="I7" i="101"/>
  <c r="H7" i="101"/>
  <c r="G7" i="101"/>
  <c r="F7" i="101"/>
  <c r="E7" i="101"/>
  <c r="AB7" i="100"/>
  <c r="AA7" i="100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G7" i="100"/>
  <c r="F7" i="100"/>
  <c r="E7" i="100"/>
  <c r="AB7" i="94"/>
  <c r="AA7" i="94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H7" i="94"/>
  <c r="G7" i="94"/>
  <c r="F7" i="94"/>
  <c r="E7" i="94"/>
  <c r="AB7" i="92"/>
  <c r="AA7" i="92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H7" i="92"/>
  <c r="G7" i="92"/>
  <c r="F7" i="92"/>
  <c r="E7" i="92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AB7" i="56"/>
  <c r="AA7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E7" i="55"/>
  <c r="A11" i="105" l="1"/>
  <c r="C28" i="104"/>
  <c r="D55" i="105"/>
  <c r="D57" i="105"/>
  <c r="D49" i="105"/>
  <c r="D45" i="105"/>
  <c r="D44" i="105"/>
  <c r="D41" i="105"/>
  <c r="D40" i="105"/>
  <c r="D39" i="105"/>
  <c r="D37" i="105"/>
  <c r="D36" i="105"/>
  <c r="D35" i="105"/>
  <c r="A31" i="105"/>
  <c r="A27" i="105"/>
  <c r="A23" i="105"/>
  <c r="D21" i="105"/>
  <c r="A19" i="105"/>
  <c r="D20" i="105" s="1"/>
  <c r="D17" i="105"/>
  <c r="D16" i="105"/>
  <c r="A15" i="105"/>
  <c r="D15" i="105" s="1"/>
  <c r="D18" i="105" s="1"/>
  <c r="D13" i="105"/>
  <c r="D12" i="105"/>
  <c r="D11" i="105"/>
  <c r="D14" i="105" s="1"/>
  <c r="P13" i="105" s="1"/>
  <c r="A10" i="105"/>
  <c r="D8" i="105"/>
  <c r="D3" i="105"/>
  <c r="B41" i="104"/>
  <c r="B40" i="104"/>
  <c r="B39" i="104"/>
  <c r="B38" i="104"/>
  <c r="B37" i="104"/>
  <c r="B35" i="104"/>
  <c r="B34" i="104"/>
  <c r="B33" i="104"/>
  <c r="B32" i="104"/>
  <c r="B31" i="104"/>
  <c r="C6" i="104"/>
  <c r="C8" i="104" s="1"/>
  <c r="A55" i="103"/>
  <c r="A51" i="103"/>
  <c r="D53" i="103" s="1"/>
  <c r="A47" i="103"/>
  <c r="D48" i="103" s="1"/>
  <c r="A43" i="103"/>
  <c r="D43" i="103" s="1"/>
  <c r="D41" i="103"/>
  <c r="A39" i="103"/>
  <c r="D40" i="103" s="1"/>
  <c r="A35" i="103"/>
  <c r="D37" i="103" s="1"/>
  <c r="A31" i="103"/>
  <c r="A27" i="103"/>
  <c r="D25" i="103"/>
  <c r="D23" i="103"/>
  <c r="A23" i="103"/>
  <c r="D24" i="103" s="1"/>
  <c r="D26" i="103" s="1"/>
  <c r="A19" i="103"/>
  <c r="D19" i="103" s="1"/>
  <c r="A15" i="103"/>
  <c r="D17" i="103" s="1"/>
  <c r="D11" i="103"/>
  <c r="A11" i="103"/>
  <c r="D13" i="103" s="1"/>
  <c r="A10" i="103"/>
  <c r="D8" i="103"/>
  <c r="D3" i="103"/>
  <c r="A55" i="102"/>
  <c r="D57" i="102" s="1"/>
  <c r="A51" i="102"/>
  <c r="D53" i="102" s="1"/>
  <c r="A47" i="102"/>
  <c r="D48" i="102" s="1"/>
  <c r="A43" i="102"/>
  <c r="D43" i="102" s="1"/>
  <c r="D41" i="102"/>
  <c r="D39" i="102"/>
  <c r="A39" i="102"/>
  <c r="D40" i="102" s="1"/>
  <c r="A35" i="102"/>
  <c r="A31" i="102"/>
  <c r="A27" i="102"/>
  <c r="D25" i="102"/>
  <c r="A23" i="102"/>
  <c r="D24" i="102" s="1"/>
  <c r="D21" i="102"/>
  <c r="A19" i="102"/>
  <c r="D19" i="102" s="1"/>
  <c r="A15" i="102"/>
  <c r="D17" i="102" s="1"/>
  <c r="A11" i="102"/>
  <c r="D13" i="102" s="1"/>
  <c r="A10" i="102"/>
  <c r="D8" i="102"/>
  <c r="D3" i="102"/>
  <c r="A55" i="101"/>
  <c r="D57" i="101" s="1"/>
  <c r="A51" i="101"/>
  <c r="D53" i="101" s="1"/>
  <c r="A47" i="101"/>
  <c r="D48" i="101" s="1"/>
  <c r="A43" i="101"/>
  <c r="D43" i="101" s="1"/>
  <c r="D41" i="101"/>
  <c r="D39" i="101"/>
  <c r="A39" i="101"/>
  <c r="D40" i="101" s="1"/>
  <c r="A35" i="101"/>
  <c r="D31" i="101"/>
  <c r="A31" i="101"/>
  <c r="A27" i="101"/>
  <c r="A23" i="101"/>
  <c r="D24" i="101" s="1"/>
  <c r="A19" i="101"/>
  <c r="D19" i="101" s="1"/>
  <c r="D17" i="101"/>
  <c r="A15" i="101"/>
  <c r="D16" i="101" s="1"/>
  <c r="A11" i="101"/>
  <c r="D13" i="101" s="1"/>
  <c r="A10" i="101"/>
  <c r="D8" i="101"/>
  <c r="D3" i="101"/>
  <c r="A55" i="100"/>
  <c r="A51" i="100"/>
  <c r="D53" i="100" s="1"/>
  <c r="A47" i="100"/>
  <c r="D48" i="100" s="1"/>
  <c r="A43" i="100"/>
  <c r="D43" i="100" s="1"/>
  <c r="A39" i="100"/>
  <c r="D40" i="100" s="1"/>
  <c r="A35" i="100"/>
  <c r="D37" i="100" s="1"/>
  <c r="A31" i="100"/>
  <c r="A27" i="100"/>
  <c r="D25" i="100"/>
  <c r="A23" i="100"/>
  <c r="D24" i="100" s="1"/>
  <c r="D20" i="100"/>
  <c r="A19" i="100"/>
  <c r="D21" i="100" s="1"/>
  <c r="A15" i="100"/>
  <c r="D16" i="100" s="1"/>
  <c r="D11" i="100"/>
  <c r="A11" i="100"/>
  <c r="D13" i="100" s="1"/>
  <c r="A10" i="100"/>
  <c r="D8" i="100"/>
  <c r="D3" i="100"/>
  <c r="B41" i="98"/>
  <c r="B40" i="98"/>
  <c r="B39" i="98"/>
  <c r="B38" i="98"/>
  <c r="B37" i="98"/>
  <c r="B36" i="98"/>
  <c r="B35" i="98"/>
  <c r="B34" i="98"/>
  <c r="B33" i="98"/>
  <c r="B32" i="98"/>
  <c r="B31" i="98"/>
  <c r="C28" i="98"/>
  <c r="C6" i="98"/>
  <c r="C8" i="98" s="1"/>
  <c r="B41" i="97"/>
  <c r="B40" i="97"/>
  <c r="B39" i="97"/>
  <c r="B38" i="97"/>
  <c r="B37" i="97"/>
  <c r="B36" i="97"/>
  <c r="B35" i="97"/>
  <c r="B34" i="97"/>
  <c r="B33" i="97"/>
  <c r="B32" i="97"/>
  <c r="B31" i="97"/>
  <c r="C28" i="97"/>
  <c r="C6" i="97"/>
  <c r="C8" i="97" s="1"/>
  <c r="B41" i="96"/>
  <c r="B40" i="96"/>
  <c r="B39" i="96"/>
  <c r="B38" i="96"/>
  <c r="B37" i="96"/>
  <c r="B36" i="96"/>
  <c r="B35" i="96"/>
  <c r="B34" i="96"/>
  <c r="B33" i="96"/>
  <c r="B32" i="96"/>
  <c r="B31" i="96"/>
  <c r="C28" i="96"/>
  <c r="C6" i="96"/>
  <c r="C8" i="96" s="1"/>
  <c r="B41" i="95"/>
  <c r="B40" i="95"/>
  <c r="B39" i="95"/>
  <c r="B38" i="95"/>
  <c r="B37" i="95"/>
  <c r="B36" i="95"/>
  <c r="B35" i="95"/>
  <c r="B34" i="95"/>
  <c r="B33" i="95"/>
  <c r="B32" i="95"/>
  <c r="B31" i="95"/>
  <c r="C28" i="95"/>
  <c r="C6" i="95"/>
  <c r="C8" i="95" s="1"/>
  <c r="B55" i="94"/>
  <c r="A55" i="94"/>
  <c r="D57" i="94" s="1"/>
  <c r="B51" i="94"/>
  <c r="A51" i="94"/>
  <c r="D53" i="94" s="1"/>
  <c r="B47" i="94"/>
  <c r="A47" i="94"/>
  <c r="D48" i="94" s="1"/>
  <c r="D44" i="94"/>
  <c r="B43" i="94"/>
  <c r="A43" i="94"/>
  <c r="D43" i="94" s="1"/>
  <c r="D41" i="94"/>
  <c r="D40" i="94"/>
  <c r="B39" i="94"/>
  <c r="A39" i="94"/>
  <c r="D39" i="94" s="1"/>
  <c r="B35" i="94"/>
  <c r="A35" i="94"/>
  <c r="D37" i="94" s="1"/>
  <c r="B31" i="94"/>
  <c r="A31" i="94"/>
  <c r="D33" i="94" s="1"/>
  <c r="B27" i="94"/>
  <c r="A27" i="94"/>
  <c r="D27" i="94" s="1"/>
  <c r="B23" i="94"/>
  <c r="A23" i="94"/>
  <c r="D25" i="94" s="1"/>
  <c r="B19" i="94"/>
  <c r="A19" i="94"/>
  <c r="D19" i="94" s="1"/>
  <c r="B15" i="94"/>
  <c r="A15" i="94"/>
  <c r="D17" i="94" s="1"/>
  <c r="B11" i="94"/>
  <c r="A11" i="94"/>
  <c r="D12" i="94" s="1"/>
  <c r="A10" i="94"/>
  <c r="D8" i="94"/>
  <c r="D3" i="94"/>
  <c r="B41" i="93"/>
  <c r="B40" i="93"/>
  <c r="B39" i="93"/>
  <c r="B38" i="93"/>
  <c r="B37" i="93"/>
  <c r="B36" i="93"/>
  <c r="B35" i="93"/>
  <c r="B34" i="93"/>
  <c r="B33" i="93"/>
  <c r="B32" i="93"/>
  <c r="B31" i="93"/>
  <c r="C28" i="93"/>
  <c r="C6" i="93"/>
  <c r="C8" i="93" l="1"/>
  <c r="U17" i="105"/>
  <c r="I17" i="105"/>
  <c r="W16" i="105"/>
  <c r="K16" i="105"/>
  <c r="Y15" i="105"/>
  <c r="M15" i="105"/>
  <c r="R17" i="105"/>
  <c r="H16" i="105"/>
  <c r="F16" i="105"/>
  <c r="O17" i="105"/>
  <c r="E16" i="105"/>
  <c r="N17" i="105"/>
  <c r="F17" i="105"/>
  <c r="V15" i="105"/>
  <c r="T15" i="105"/>
  <c r="S15" i="105"/>
  <c r="AB16" i="105"/>
  <c r="R15" i="105"/>
  <c r="T16" i="105"/>
  <c r="J15" i="105"/>
  <c r="AB17" i="105"/>
  <c r="R16" i="105"/>
  <c r="H15" i="105"/>
  <c r="AA17" i="105"/>
  <c r="Q16" i="105"/>
  <c r="G15" i="105"/>
  <c r="Z17" i="105"/>
  <c r="P16" i="105"/>
  <c r="F15" i="105"/>
  <c r="P17" i="105"/>
  <c r="P11" i="105"/>
  <c r="Z12" i="105"/>
  <c r="D32" i="105"/>
  <c r="D33" i="105"/>
  <c r="T11" i="105"/>
  <c r="R11" i="105"/>
  <c r="AB12" i="105"/>
  <c r="AB11" i="105"/>
  <c r="L13" i="105"/>
  <c r="D31" i="105"/>
  <c r="M13" i="105"/>
  <c r="N13" i="105"/>
  <c r="W13" i="105"/>
  <c r="F12" i="105"/>
  <c r="W37" i="105"/>
  <c r="S13" i="105"/>
  <c r="G13" i="105"/>
  <c r="U12" i="105"/>
  <c r="I12" i="105"/>
  <c r="W11" i="105"/>
  <c r="K11" i="105"/>
  <c r="N12" i="105"/>
  <c r="X13" i="105"/>
  <c r="D38" i="105"/>
  <c r="P37" i="105" s="1"/>
  <c r="E11" i="105"/>
  <c r="O12" i="105"/>
  <c r="Y13" i="105"/>
  <c r="F11" i="105"/>
  <c r="P12" i="105"/>
  <c r="Z13" i="105"/>
  <c r="H11" i="105"/>
  <c r="R12" i="105"/>
  <c r="AB13" i="105"/>
  <c r="D25" i="105"/>
  <c r="D24" i="105"/>
  <c r="D23" i="105"/>
  <c r="D29" i="105"/>
  <c r="D28" i="105"/>
  <c r="D42" i="105"/>
  <c r="H41" i="105" s="1"/>
  <c r="X41" i="105"/>
  <c r="Q11" i="105"/>
  <c r="AA12" i="105"/>
  <c r="Y17" i="105"/>
  <c r="D27" i="105"/>
  <c r="D53" i="105"/>
  <c r="D52" i="105"/>
  <c r="D51" i="105"/>
  <c r="G11" i="105"/>
  <c r="S11" i="105"/>
  <c r="E12" i="105"/>
  <c r="Q12" i="105"/>
  <c r="O13" i="105"/>
  <c r="AA13" i="105"/>
  <c r="I15" i="105"/>
  <c r="U15" i="105"/>
  <c r="G16" i="105"/>
  <c r="S16" i="105"/>
  <c r="E17" i="105"/>
  <c r="Q17" i="105"/>
  <c r="G35" i="105"/>
  <c r="S35" i="105"/>
  <c r="E36" i="105"/>
  <c r="Q36" i="105"/>
  <c r="O37" i="105"/>
  <c r="AA37" i="105"/>
  <c r="D56" i="105"/>
  <c r="I11" i="105"/>
  <c r="U11" i="105"/>
  <c r="G12" i="105"/>
  <c r="S12" i="105"/>
  <c r="E13" i="105"/>
  <c r="Q13" i="105"/>
  <c r="K15" i="105"/>
  <c r="W15" i="105"/>
  <c r="I16" i="105"/>
  <c r="U16" i="105"/>
  <c r="G17" i="105"/>
  <c r="S17" i="105"/>
  <c r="I35" i="105"/>
  <c r="U35" i="105"/>
  <c r="S36" i="105"/>
  <c r="E37" i="105"/>
  <c r="Q37" i="105"/>
  <c r="J11" i="105"/>
  <c r="V11" i="105"/>
  <c r="H12" i="105"/>
  <c r="T12" i="105"/>
  <c r="F13" i="105"/>
  <c r="R13" i="105"/>
  <c r="L15" i="105"/>
  <c r="X15" i="105"/>
  <c r="J16" i="105"/>
  <c r="V16" i="105"/>
  <c r="H17" i="105"/>
  <c r="T17" i="105"/>
  <c r="J35" i="105"/>
  <c r="V35" i="105"/>
  <c r="H36" i="105"/>
  <c r="T36" i="105"/>
  <c r="F37" i="105"/>
  <c r="R37" i="105"/>
  <c r="L39" i="105"/>
  <c r="X39" i="105"/>
  <c r="J40" i="105"/>
  <c r="V40" i="105"/>
  <c r="D47" i="105"/>
  <c r="L11" i="105"/>
  <c r="X11" i="105"/>
  <c r="J12" i="105"/>
  <c r="V12" i="105"/>
  <c r="H13" i="105"/>
  <c r="T13" i="105"/>
  <c r="N15" i="105"/>
  <c r="Z15" i="105"/>
  <c r="L16" i="105"/>
  <c r="X16" i="105"/>
  <c r="J17" i="105"/>
  <c r="V17" i="105"/>
  <c r="D19" i="105"/>
  <c r="L35" i="105"/>
  <c r="X35" i="105"/>
  <c r="J36" i="105"/>
  <c r="V36" i="105"/>
  <c r="H37" i="105"/>
  <c r="T37" i="105"/>
  <c r="N39" i="105"/>
  <c r="Z39" i="105"/>
  <c r="L40" i="105"/>
  <c r="X40" i="105"/>
  <c r="J41" i="105"/>
  <c r="V41" i="105"/>
  <c r="D43" i="105"/>
  <c r="D48" i="105"/>
  <c r="M11" i="105"/>
  <c r="Y11" i="105"/>
  <c r="K12" i="105"/>
  <c r="W12" i="105"/>
  <c r="I13" i="105"/>
  <c r="U13" i="105"/>
  <c r="O15" i="105"/>
  <c r="AA15" i="105"/>
  <c r="M16" i="105"/>
  <c r="Y16" i="105"/>
  <c r="K17" i="105"/>
  <c r="W17" i="105"/>
  <c r="M35" i="105"/>
  <c r="Y35" i="105"/>
  <c r="K36" i="105"/>
  <c r="W36" i="105"/>
  <c r="I37" i="105"/>
  <c r="U37" i="105"/>
  <c r="O39" i="105"/>
  <c r="AA39" i="105"/>
  <c r="M40" i="105"/>
  <c r="Y40" i="105"/>
  <c r="K41" i="105"/>
  <c r="W41" i="105"/>
  <c r="N11" i="105"/>
  <c r="Z11" i="105"/>
  <c r="L12" i="105"/>
  <c r="X12" i="105"/>
  <c r="J13" i="105"/>
  <c r="V13" i="105"/>
  <c r="P15" i="105"/>
  <c r="AB15" i="105"/>
  <c r="N16" i="105"/>
  <c r="Z16" i="105"/>
  <c r="L17" i="105"/>
  <c r="X17" i="105"/>
  <c r="N35" i="105"/>
  <c r="Z35" i="105"/>
  <c r="L36" i="105"/>
  <c r="X36" i="105"/>
  <c r="J37" i="105"/>
  <c r="V37" i="105"/>
  <c r="P39" i="105"/>
  <c r="AB39" i="105"/>
  <c r="N40" i="105"/>
  <c r="Z40" i="105"/>
  <c r="L41" i="105"/>
  <c r="O11" i="105"/>
  <c r="AA11" i="105"/>
  <c r="M12" i="105"/>
  <c r="Y12" i="105"/>
  <c r="K13" i="105"/>
  <c r="E15" i="105"/>
  <c r="Q15" i="105"/>
  <c r="O16" i="105"/>
  <c r="AA16" i="105"/>
  <c r="M17" i="105"/>
  <c r="O35" i="105"/>
  <c r="AA35" i="105"/>
  <c r="M36" i="105"/>
  <c r="Y36" i="105"/>
  <c r="K37" i="105"/>
  <c r="D15" i="103"/>
  <c r="D44" i="103"/>
  <c r="D49" i="103"/>
  <c r="D16" i="103"/>
  <c r="D45" i="103"/>
  <c r="D20" i="103"/>
  <c r="D21" i="103"/>
  <c r="D22" i="103" s="1"/>
  <c r="D39" i="103"/>
  <c r="D42" i="103" s="1"/>
  <c r="X25" i="103"/>
  <c r="L25" i="103"/>
  <c r="Z24" i="103"/>
  <c r="N24" i="103"/>
  <c r="AB23" i="103"/>
  <c r="P23" i="103"/>
  <c r="Q25" i="103"/>
  <c r="E25" i="103"/>
  <c r="S24" i="103"/>
  <c r="G24" i="103"/>
  <c r="U23" i="103"/>
  <c r="I23" i="103"/>
  <c r="V24" i="103"/>
  <c r="J24" i="103"/>
  <c r="T24" i="103"/>
  <c r="R24" i="103"/>
  <c r="H25" i="103"/>
  <c r="L23" i="103"/>
  <c r="H24" i="103"/>
  <c r="AB25" i="103"/>
  <c r="F24" i="103"/>
  <c r="R25" i="103"/>
  <c r="V23" i="103"/>
  <c r="T25" i="103"/>
  <c r="X23" i="103"/>
  <c r="P25" i="103"/>
  <c r="T23" i="103"/>
  <c r="F25" i="103"/>
  <c r="J23" i="103"/>
  <c r="H23" i="103"/>
  <c r="D57" i="103"/>
  <c r="D56" i="103"/>
  <c r="D55" i="103"/>
  <c r="D18" i="103"/>
  <c r="W17" i="103" s="1"/>
  <c r="D12" i="103"/>
  <c r="D33" i="103"/>
  <c r="D32" i="103"/>
  <c r="D46" i="103"/>
  <c r="Y44" i="103" s="1"/>
  <c r="D35" i="103"/>
  <c r="D31" i="103"/>
  <c r="AA25" i="103"/>
  <c r="D29" i="103"/>
  <c r="D28" i="103"/>
  <c r="D27" i="103"/>
  <c r="D36" i="103"/>
  <c r="G15" i="103"/>
  <c r="S15" i="103"/>
  <c r="E16" i="103"/>
  <c r="Q16" i="103"/>
  <c r="O17" i="103"/>
  <c r="K23" i="103"/>
  <c r="W23" i="103"/>
  <c r="I24" i="103"/>
  <c r="U24" i="103"/>
  <c r="G25" i="103"/>
  <c r="S25" i="103"/>
  <c r="I15" i="103"/>
  <c r="U15" i="103"/>
  <c r="G16" i="103"/>
  <c r="Q17" i="103"/>
  <c r="M23" i="103"/>
  <c r="Y23" i="103"/>
  <c r="K24" i="103"/>
  <c r="W24" i="103"/>
  <c r="I25" i="103"/>
  <c r="U25" i="103"/>
  <c r="J15" i="103"/>
  <c r="T16" i="103"/>
  <c r="F17" i="103"/>
  <c r="R17" i="103"/>
  <c r="N23" i="103"/>
  <c r="Z23" i="103"/>
  <c r="L24" i="103"/>
  <c r="X24" i="103"/>
  <c r="J25" i="103"/>
  <c r="V25" i="103"/>
  <c r="D51" i="103"/>
  <c r="I16" i="103"/>
  <c r="U16" i="103"/>
  <c r="G17" i="103"/>
  <c r="S17" i="103"/>
  <c r="O23" i="103"/>
  <c r="AA23" i="103"/>
  <c r="M24" i="103"/>
  <c r="Y24" i="103"/>
  <c r="K25" i="103"/>
  <c r="W25" i="103"/>
  <c r="D47" i="103"/>
  <c r="D52" i="103"/>
  <c r="M15" i="103"/>
  <c r="Y15" i="103"/>
  <c r="K16" i="103"/>
  <c r="I17" i="103"/>
  <c r="U17" i="103"/>
  <c r="E23" i="103"/>
  <c r="Q23" i="103"/>
  <c r="O24" i="103"/>
  <c r="AA24" i="103"/>
  <c r="M25" i="103"/>
  <c r="Y25" i="103"/>
  <c r="N15" i="103"/>
  <c r="Z15" i="103"/>
  <c r="L16" i="103"/>
  <c r="X16" i="103"/>
  <c r="J17" i="103"/>
  <c r="F23" i="103"/>
  <c r="R23" i="103"/>
  <c r="P24" i="103"/>
  <c r="AB24" i="103"/>
  <c r="N25" i="103"/>
  <c r="Z25" i="103"/>
  <c r="O15" i="103"/>
  <c r="M16" i="103"/>
  <c r="Y16" i="103"/>
  <c r="K17" i="103"/>
  <c r="G23" i="103"/>
  <c r="S23" i="103"/>
  <c r="E24" i="103"/>
  <c r="Q24" i="103"/>
  <c r="O25" i="103"/>
  <c r="D44" i="102"/>
  <c r="D46" i="102" s="1"/>
  <c r="D15" i="102"/>
  <c r="D18" i="102" s="1"/>
  <c r="D45" i="102"/>
  <c r="D16" i="102"/>
  <c r="D49" i="102"/>
  <c r="D20" i="102"/>
  <c r="D22" i="102" s="1"/>
  <c r="D42" i="102"/>
  <c r="D11" i="102"/>
  <c r="D33" i="102"/>
  <c r="D32" i="102"/>
  <c r="D31" i="102"/>
  <c r="D37" i="102"/>
  <c r="D36" i="102"/>
  <c r="D29" i="102"/>
  <c r="D28" i="102"/>
  <c r="D27" i="102"/>
  <c r="D12" i="102"/>
  <c r="D35" i="102"/>
  <c r="G39" i="102"/>
  <c r="S39" i="102"/>
  <c r="E40" i="102"/>
  <c r="Q40" i="102"/>
  <c r="O41" i="102"/>
  <c r="AA41" i="102"/>
  <c r="D55" i="102"/>
  <c r="I39" i="102"/>
  <c r="U39" i="102"/>
  <c r="G40" i="102"/>
  <c r="S40" i="102"/>
  <c r="E41" i="102"/>
  <c r="Q41" i="102"/>
  <c r="D51" i="102"/>
  <c r="D56" i="102"/>
  <c r="D23" i="102"/>
  <c r="D47" i="102"/>
  <c r="D52" i="102"/>
  <c r="M39" i="102"/>
  <c r="Y39" i="102"/>
  <c r="K40" i="102"/>
  <c r="W40" i="102"/>
  <c r="I41" i="102"/>
  <c r="U41" i="102"/>
  <c r="N39" i="102"/>
  <c r="Z39" i="102"/>
  <c r="L40" i="102"/>
  <c r="X40" i="102"/>
  <c r="J41" i="102"/>
  <c r="V41" i="102"/>
  <c r="O39" i="102"/>
  <c r="AA39" i="102"/>
  <c r="M40" i="102"/>
  <c r="Y40" i="102"/>
  <c r="K41" i="102"/>
  <c r="D25" i="101"/>
  <c r="D44" i="101"/>
  <c r="D15" i="101"/>
  <c r="D18" i="101" s="1"/>
  <c r="D45" i="101"/>
  <c r="D49" i="101"/>
  <c r="D20" i="101"/>
  <c r="D22" i="101" s="1"/>
  <c r="D21" i="101"/>
  <c r="D36" i="101"/>
  <c r="D37" i="101"/>
  <c r="D35" i="101"/>
  <c r="D29" i="101"/>
  <c r="D28" i="101"/>
  <c r="D27" i="101"/>
  <c r="D12" i="101"/>
  <c r="D42" i="101"/>
  <c r="G40" i="101" s="1"/>
  <c r="D11" i="101"/>
  <c r="D33" i="101"/>
  <c r="D32" i="101"/>
  <c r="D46" i="101"/>
  <c r="J45" i="101" s="1"/>
  <c r="D55" i="101"/>
  <c r="U39" i="101"/>
  <c r="D51" i="101"/>
  <c r="D56" i="101"/>
  <c r="K39" i="101"/>
  <c r="W39" i="101"/>
  <c r="D23" i="101"/>
  <c r="N43" i="101"/>
  <c r="L44" i="101"/>
  <c r="D47" i="101"/>
  <c r="D52" i="101"/>
  <c r="U41" i="101"/>
  <c r="X40" i="101"/>
  <c r="Y40" i="101"/>
  <c r="D12" i="100"/>
  <c r="D14" i="100" s="1"/>
  <c r="D44" i="100"/>
  <c r="D41" i="100"/>
  <c r="D45" i="100"/>
  <c r="D19" i="100"/>
  <c r="D22" i="100" s="1"/>
  <c r="D36" i="100"/>
  <c r="D49" i="100"/>
  <c r="D39" i="100"/>
  <c r="D42" i="100" s="1"/>
  <c r="D15" i="100"/>
  <c r="D17" i="100"/>
  <c r="D35" i="100"/>
  <c r="D33" i="100"/>
  <c r="D32" i="100"/>
  <c r="D31" i="100"/>
  <c r="D29" i="100"/>
  <c r="D28" i="100"/>
  <c r="D27" i="100"/>
  <c r="D57" i="100"/>
  <c r="D56" i="100"/>
  <c r="D55" i="100"/>
  <c r="D46" i="100"/>
  <c r="Z43" i="100" s="1"/>
  <c r="D51" i="100"/>
  <c r="D23" i="100"/>
  <c r="D47" i="100"/>
  <c r="D52" i="100"/>
  <c r="D15" i="94"/>
  <c r="D16" i="94"/>
  <c r="D45" i="94"/>
  <c r="D46" i="94" s="1"/>
  <c r="D20" i="94"/>
  <c r="D35" i="94"/>
  <c r="D21" i="94"/>
  <c r="D36" i="94"/>
  <c r="D49" i="94"/>
  <c r="D22" i="94"/>
  <c r="I19" i="94" s="1"/>
  <c r="D11" i="94"/>
  <c r="D14" i="94" s="1"/>
  <c r="D13" i="94"/>
  <c r="D51" i="94"/>
  <c r="S20" i="94"/>
  <c r="U19" i="94"/>
  <c r="F19" i="94"/>
  <c r="R21" i="94"/>
  <c r="P21" i="94"/>
  <c r="P20" i="94"/>
  <c r="H21" i="94"/>
  <c r="E20" i="94"/>
  <c r="G19" i="94"/>
  <c r="AB20" i="94"/>
  <c r="W36" i="94"/>
  <c r="V36" i="94"/>
  <c r="S37" i="94"/>
  <c r="G37" i="94"/>
  <c r="U36" i="94"/>
  <c r="F37" i="94"/>
  <c r="V35" i="94"/>
  <c r="Q37" i="94"/>
  <c r="Q36" i="94"/>
  <c r="E36" i="94"/>
  <c r="S35" i="94"/>
  <c r="G35" i="94"/>
  <c r="AA36" i="94"/>
  <c r="D38" i="94"/>
  <c r="K36" i="94" s="1"/>
  <c r="F36" i="94"/>
  <c r="D29" i="94"/>
  <c r="D28" i="94"/>
  <c r="D30" i="94" s="1"/>
  <c r="D32" i="94"/>
  <c r="F35" i="94"/>
  <c r="L36" i="94"/>
  <c r="L37" i="94"/>
  <c r="D24" i="94"/>
  <c r="D23" i="94"/>
  <c r="D31" i="94"/>
  <c r="H35" i="94"/>
  <c r="M36" i="94"/>
  <c r="N37" i="94"/>
  <c r="J37" i="94"/>
  <c r="N35" i="94"/>
  <c r="N36" i="94"/>
  <c r="P37" i="94"/>
  <c r="O35" i="94"/>
  <c r="P36" i="94"/>
  <c r="V37" i="94"/>
  <c r="P35" i="94"/>
  <c r="R36" i="94"/>
  <c r="W37" i="94"/>
  <c r="R35" i="94"/>
  <c r="X36" i="94"/>
  <c r="X37" i="94"/>
  <c r="T35" i="94"/>
  <c r="Y36" i="94"/>
  <c r="Z37" i="94"/>
  <c r="D42" i="94"/>
  <c r="O39" i="94" s="1"/>
  <c r="Z35" i="94"/>
  <c r="Z36" i="94"/>
  <c r="AB37" i="94"/>
  <c r="AA35" i="94"/>
  <c r="AB36" i="94"/>
  <c r="Y21" i="94"/>
  <c r="AB35" i="94"/>
  <c r="W41" i="94"/>
  <c r="D55" i="94"/>
  <c r="D56" i="94"/>
  <c r="Y19" i="94"/>
  <c r="K20" i="94"/>
  <c r="I21" i="94"/>
  <c r="Z19" i="94"/>
  <c r="L20" i="94"/>
  <c r="J21" i="94"/>
  <c r="D47" i="94"/>
  <c r="D52" i="94"/>
  <c r="AA19" i="94"/>
  <c r="L40" i="94"/>
  <c r="X40" i="94"/>
  <c r="J41" i="94"/>
  <c r="V41" i="94"/>
  <c r="Q19" i="94"/>
  <c r="O20" i="94"/>
  <c r="M21" i="94"/>
  <c r="AA39" i="94"/>
  <c r="M40" i="94"/>
  <c r="Y40" i="94"/>
  <c r="E24" i="46"/>
  <c r="G27" i="46"/>
  <c r="E17" i="46"/>
  <c r="E18" i="46"/>
  <c r="E19" i="46"/>
  <c r="E20" i="46"/>
  <c r="E21" i="46"/>
  <c r="E22" i="46"/>
  <c r="E23" i="46"/>
  <c r="E25" i="46"/>
  <c r="E26" i="46"/>
  <c r="E27" i="46"/>
  <c r="E16" i="46"/>
  <c r="B55" i="92"/>
  <c r="B51" i="92"/>
  <c r="B47" i="92"/>
  <c r="B43" i="92"/>
  <c r="B39" i="92"/>
  <c r="B35" i="92"/>
  <c r="B31" i="92"/>
  <c r="B27" i="92"/>
  <c r="B23" i="92"/>
  <c r="B19" i="92"/>
  <c r="B15" i="92"/>
  <c r="B11" i="92"/>
  <c r="A55" i="92"/>
  <c r="A51" i="92"/>
  <c r="D53" i="92" s="1"/>
  <c r="A47" i="92"/>
  <c r="D48" i="92" s="1"/>
  <c r="A43" i="92"/>
  <c r="D43" i="92" s="1"/>
  <c r="D41" i="92"/>
  <c r="D40" i="92"/>
  <c r="A39" i="92"/>
  <c r="D39" i="92" s="1"/>
  <c r="A35" i="92"/>
  <c r="D35" i="92" s="1"/>
  <c r="A31" i="92"/>
  <c r="D32" i="92" s="1"/>
  <c r="A27" i="92"/>
  <c r="D28" i="92" s="1"/>
  <c r="D23" i="92"/>
  <c r="A23" i="92"/>
  <c r="D24" i="92" s="1"/>
  <c r="A19" i="92"/>
  <c r="D19" i="92" s="1"/>
  <c r="A15" i="92"/>
  <c r="D17" i="92" s="1"/>
  <c r="A11" i="92"/>
  <c r="D13" i="92" s="1"/>
  <c r="A10" i="92"/>
  <c r="D8" i="92"/>
  <c r="D3" i="92"/>
  <c r="AB11" i="53"/>
  <c r="D5" i="17"/>
  <c r="H56" i="17"/>
  <c r="H57" i="17" s="1"/>
  <c r="F56" i="17"/>
  <c r="F57" i="17" s="1"/>
  <c r="E56" i="17"/>
  <c r="E57" i="17" s="1"/>
  <c r="AB55" i="17"/>
  <c r="AB56" i="17" s="1"/>
  <c r="AB57" i="17" s="1"/>
  <c r="AA55" i="17"/>
  <c r="AA56" i="17" s="1"/>
  <c r="AA57" i="17" s="1"/>
  <c r="Z55" i="17"/>
  <c r="Z56" i="17" s="1"/>
  <c r="Z57" i="17" s="1"/>
  <c r="Y55" i="17"/>
  <c r="Y56" i="17" s="1"/>
  <c r="Y57" i="17" s="1"/>
  <c r="X55" i="17"/>
  <c r="X56" i="17" s="1"/>
  <c r="X57" i="17" s="1"/>
  <c r="W55" i="17"/>
  <c r="W56" i="17" s="1"/>
  <c r="W57" i="17" s="1"/>
  <c r="V55" i="17"/>
  <c r="V56" i="17" s="1"/>
  <c r="V57" i="17" s="1"/>
  <c r="U55" i="17"/>
  <c r="U56" i="17" s="1"/>
  <c r="U57" i="17" s="1"/>
  <c r="T55" i="17"/>
  <c r="T56" i="17" s="1"/>
  <c r="T57" i="17" s="1"/>
  <c r="S55" i="17"/>
  <c r="S56" i="17" s="1"/>
  <c r="S57" i="17" s="1"/>
  <c r="R55" i="17"/>
  <c r="R56" i="17" s="1"/>
  <c r="R57" i="17" s="1"/>
  <c r="Q55" i="17"/>
  <c r="Q56" i="17" s="1"/>
  <c r="Q57" i="17" s="1"/>
  <c r="P55" i="17"/>
  <c r="P56" i="17" s="1"/>
  <c r="P57" i="17" s="1"/>
  <c r="O55" i="17"/>
  <c r="O56" i="17" s="1"/>
  <c r="O57" i="17" s="1"/>
  <c r="N55" i="17"/>
  <c r="N56" i="17" s="1"/>
  <c r="N57" i="17" s="1"/>
  <c r="M55" i="17"/>
  <c r="M56" i="17" s="1"/>
  <c r="M57" i="17" s="1"/>
  <c r="L55" i="17"/>
  <c r="L56" i="17" s="1"/>
  <c r="L57" i="17" s="1"/>
  <c r="K55" i="17"/>
  <c r="K56" i="17" s="1"/>
  <c r="K57" i="17" s="1"/>
  <c r="J55" i="17"/>
  <c r="J56" i="17" s="1"/>
  <c r="J57" i="17" s="1"/>
  <c r="I55" i="17"/>
  <c r="I56" i="17" s="1"/>
  <c r="I57" i="17" s="1"/>
  <c r="H55" i="17"/>
  <c r="G55" i="17"/>
  <c r="G56" i="17" s="1"/>
  <c r="G57" i="17" s="1"/>
  <c r="F55" i="17"/>
  <c r="E55" i="17"/>
  <c r="F51" i="17"/>
  <c r="G51" i="17"/>
  <c r="H51" i="17"/>
  <c r="H52" i="17" s="1"/>
  <c r="H53" i="17" s="1"/>
  <c r="I51" i="17"/>
  <c r="I52" i="17" s="1"/>
  <c r="I53" i="17" s="1"/>
  <c r="J51" i="17"/>
  <c r="K51" i="17"/>
  <c r="K52" i="17" s="1"/>
  <c r="K53" i="17" s="1"/>
  <c r="L51" i="17"/>
  <c r="L52" i="17" s="1"/>
  <c r="L53" i="17" s="1"/>
  <c r="M51" i="17"/>
  <c r="M52" i="17" s="1"/>
  <c r="M53" i="17" s="1"/>
  <c r="N51" i="17"/>
  <c r="N52" i="17" s="1"/>
  <c r="N53" i="17" s="1"/>
  <c r="O51" i="17"/>
  <c r="O52" i="17" s="1"/>
  <c r="O53" i="17" s="1"/>
  <c r="P51" i="17"/>
  <c r="P52" i="17" s="1"/>
  <c r="P53" i="17" s="1"/>
  <c r="Q51" i="17"/>
  <c r="Q52" i="17" s="1"/>
  <c r="Q53" i="17" s="1"/>
  <c r="R51" i="17"/>
  <c r="S51" i="17"/>
  <c r="T51" i="17"/>
  <c r="T52" i="17" s="1"/>
  <c r="T53" i="17" s="1"/>
  <c r="U51" i="17"/>
  <c r="U52" i="17" s="1"/>
  <c r="U53" i="17" s="1"/>
  <c r="V51" i="17"/>
  <c r="W51" i="17"/>
  <c r="W52" i="17" s="1"/>
  <c r="W53" i="17" s="1"/>
  <c r="X51" i="17"/>
  <c r="X52" i="17" s="1"/>
  <c r="X53" i="17" s="1"/>
  <c r="Y51" i="17"/>
  <c r="Y52" i="17" s="1"/>
  <c r="Y53" i="17" s="1"/>
  <c r="Z51" i="17"/>
  <c r="Z52" i="17" s="1"/>
  <c r="Z53" i="17" s="1"/>
  <c r="AA51" i="17"/>
  <c r="AA52" i="17" s="1"/>
  <c r="AA53" i="17" s="1"/>
  <c r="AB51" i="17"/>
  <c r="AB52" i="17" s="1"/>
  <c r="AB53" i="17" s="1"/>
  <c r="F52" i="17"/>
  <c r="F53" i="17" s="1"/>
  <c r="G52" i="17"/>
  <c r="J52" i="17"/>
  <c r="J53" i="17" s="1"/>
  <c r="R52" i="17"/>
  <c r="R53" i="17" s="1"/>
  <c r="S52" i="17"/>
  <c r="V52" i="17"/>
  <c r="V53" i="17" s="1"/>
  <c r="G53" i="17"/>
  <c r="S53" i="17"/>
  <c r="E53" i="17"/>
  <c r="E52" i="17"/>
  <c r="E51" i="17"/>
  <c r="L450" i="62"/>
  <c r="L451" i="62"/>
  <c r="L452" i="62"/>
  <c r="L453" i="62"/>
  <c r="L454" i="62"/>
  <c r="L455" i="62"/>
  <c r="L456" i="62"/>
  <c r="L457" i="62"/>
  <c r="L458" i="62"/>
  <c r="L459" i="62"/>
  <c r="L460" i="62"/>
  <c r="L461" i="62"/>
  <c r="L462" i="62"/>
  <c r="L463" i="62"/>
  <c r="L464" i="62"/>
  <c r="L465" i="62"/>
  <c r="L466" i="62"/>
  <c r="L467" i="62"/>
  <c r="L468" i="62"/>
  <c r="L469" i="62"/>
  <c r="L470" i="62"/>
  <c r="L471" i="62"/>
  <c r="L472" i="62"/>
  <c r="L473" i="62"/>
  <c r="L474" i="62"/>
  <c r="L475" i="62"/>
  <c r="L476" i="62"/>
  <c r="L477" i="62"/>
  <c r="L478" i="62"/>
  <c r="L479" i="62"/>
  <c r="L480" i="62"/>
  <c r="L481" i="62"/>
  <c r="L482" i="62"/>
  <c r="L483" i="62"/>
  <c r="L484" i="62"/>
  <c r="L485" i="62"/>
  <c r="L486" i="62"/>
  <c r="L487" i="62"/>
  <c r="L488" i="62"/>
  <c r="L489" i="62"/>
  <c r="L490" i="62"/>
  <c r="L491" i="62"/>
  <c r="L492" i="62"/>
  <c r="L493" i="62"/>
  <c r="L494" i="62"/>
  <c r="L495" i="62"/>
  <c r="L496" i="62"/>
  <c r="L497" i="62"/>
  <c r="L498" i="62"/>
  <c r="L499" i="62"/>
  <c r="L500" i="62"/>
  <c r="L501" i="62"/>
  <c r="L502" i="62"/>
  <c r="L503" i="62"/>
  <c r="L504" i="62"/>
  <c r="L505" i="62"/>
  <c r="L506" i="62"/>
  <c r="L507" i="62"/>
  <c r="L508" i="62"/>
  <c r="L509" i="62"/>
  <c r="L510" i="62"/>
  <c r="L511" i="62"/>
  <c r="L512" i="62"/>
  <c r="L513" i="62"/>
  <c r="L514" i="62"/>
  <c r="L515" i="62"/>
  <c r="L516" i="62"/>
  <c r="L517" i="62"/>
  <c r="L518" i="62"/>
  <c r="L519" i="62"/>
  <c r="L520" i="62"/>
  <c r="L521" i="62"/>
  <c r="L522" i="62"/>
  <c r="L523" i="62"/>
  <c r="L524" i="62"/>
  <c r="L525" i="62"/>
  <c r="L526" i="62"/>
  <c r="L527" i="62"/>
  <c r="L528" i="62"/>
  <c r="L529" i="62"/>
  <c r="L530" i="62"/>
  <c r="L531" i="62"/>
  <c r="L532" i="62"/>
  <c r="L533" i="62"/>
  <c r="L534" i="62"/>
  <c r="L535" i="62"/>
  <c r="L536" i="62"/>
  <c r="L537" i="62"/>
  <c r="L538" i="62"/>
  <c r="L539" i="62"/>
  <c r="L540" i="62"/>
  <c r="L541" i="62"/>
  <c r="L542" i="62"/>
  <c r="L543" i="62"/>
  <c r="L544" i="62"/>
  <c r="L545" i="62"/>
  <c r="L546" i="62"/>
  <c r="L547" i="62"/>
  <c r="L548" i="62"/>
  <c r="L549" i="62"/>
  <c r="L550" i="62"/>
  <c r="L551" i="62"/>
  <c r="L552" i="62"/>
  <c r="L553" i="62"/>
  <c r="L554" i="62"/>
  <c r="L555" i="62"/>
  <c r="L556" i="62"/>
  <c r="L557" i="62"/>
  <c r="L558" i="62"/>
  <c r="L559" i="62"/>
  <c r="L560" i="62"/>
  <c r="L561" i="62"/>
  <c r="L562" i="62"/>
  <c r="L563" i="62"/>
  <c r="L564" i="62"/>
  <c r="L565" i="62"/>
  <c r="L566" i="62"/>
  <c r="L567" i="62"/>
  <c r="L568" i="62"/>
  <c r="L569" i="62"/>
  <c r="L570" i="62"/>
  <c r="L571" i="62"/>
  <c r="L572" i="62"/>
  <c r="L573" i="62"/>
  <c r="L574" i="62"/>
  <c r="L575" i="62"/>
  <c r="L576" i="62"/>
  <c r="L577" i="62"/>
  <c r="L578" i="62"/>
  <c r="L579" i="62"/>
  <c r="L580" i="62"/>
  <c r="L581" i="62"/>
  <c r="L582" i="62"/>
  <c r="I450" i="62"/>
  <c r="I451" i="62"/>
  <c r="I452" i="62"/>
  <c r="I453" i="62"/>
  <c r="I454" i="62"/>
  <c r="I455" i="62"/>
  <c r="I456" i="62"/>
  <c r="I457" i="62"/>
  <c r="I458" i="62"/>
  <c r="I459" i="62"/>
  <c r="I460" i="62"/>
  <c r="I461" i="62"/>
  <c r="I462" i="62"/>
  <c r="I463" i="62"/>
  <c r="I464" i="62"/>
  <c r="I465" i="62"/>
  <c r="I466" i="62"/>
  <c r="I467" i="62"/>
  <c r="I468" i="62"/>
  <c r="I469" i="62"/>
  <c r="I470" i="62"/>
  <c r="I471" i="62"/>
  <c r="I472" i="62"/>
  <c r="I473" i="62"/>
  <c r="I474" i="62"/>
  <c r="I475" i="62"/>
  <c r="I476" i="62"/>
  <c r="I477" i="62"/>
  <c r="I478" i="62"/>
  <c r="I479" i="62"/>
  <c r="I480" i="62"/>
  <c r="I481" i="62"/>
  <c r="I482" i="62"/>
  <c r="I483" i="62"/>
  <c r="I484" i="62"/>
  <c r="I485" i="62"/>
  <c r="I486" i="62"/>
  <c r="I487" i="62"/>
  <c r="I488" i="62"/>
  <c r="I489" i="62"/>
  <c r="I490" i="62"/>
  <c r="I491" i="62"/>
  <c r="I492" i="62"/>
  <c r="I493" i="62"/>
  <c r="I494" i="62"/>
  <c r="I495" i="62"/>
  <c r="I496" i="62"/>
  <c r="I497" i="62"/>
  <c r="I498" i="62"/>
  <c r="I499" i="62"/>
  <c r="I500" i="62"/>
  <c r="I501" i="62"/>
  <c r="I502" i="62"/>
  <c r="I503" i="62"/>
  <c r="I504" i="62"/>
  <c r="I505" i="62"/>
  <c r="I506" i="62"/>
  <c r="I507" i="62"/>
  <c r="I508" i="62"/>
  <c r="I509" i="62"/>
  <c r="I510" i="62"/>
  <c r="I511" i="62"/>
  <c r="I512" i="62"/>
  <c r="I513" i="62"/>
  <c r="I514" i="62"/>
  <c r="I515" i="62"/>
  <c r="I516" i="62"/>
  <c r="I517" i="62"/>
  <c r="I518" i="62"/>
  <c r="I519" i="62"/>
  <c r="I520" i="62"/>
  <c r="I521" i="62"/>
  <c r="I522" i="62"/>
  <c r="I523" i="62"/>
  <c r="I524" i="62"/>
  <c r="I525" i="62"/>
  <c r="I526" i="62"/>
  <c r="I527" i="62"/>
  <c r="I528" i="62"/>
  <c r="I529" i="62"/>
  <c r="I530" i="62"/>
  <c r="I531" i="62"/>
  <c r="I532" i="62"/>
  <c r="I533" i="62"/>
  <c r="I534" i="62"/>
  <c r="I535" i="62"/>
  <c r="I536" i="62"/>
  <c r="I537" i="62"/>
  <c r="I538" i="62"/>
  <c r="I539" i="62"/>
  <c r="I540" i="62"/>
  <c r="I541" i="62"/>
  <c r="I542" i="62"/>
  <c r="I543" i="62"/>
  <c r="I544" i="62"/>
  <c r="I545" i="62"/>
  <c r="I546" i="62"/>
  <c r="I547" i="62"/>
  <c r="I548" i="62"/>
  <c r="I549" i="62"/>
  <c r="I550" i="62"/>
  <c r="I551" i="62"/>
  <c r="I552" i="62"/>
  <c r="I553" i="62"/>
  <c r="I554" i="62"/>
  <c r="I555" i="62"/>
  <c r="I556" i="62"/>
  <c r="I557" i="62"/>
  <c r="I558" i="62"/>
  <c r="I559" i="62"/>
  <c r="I560" i="62"/>
  <c r="I561" i="62"/>
  <c r="I562" i="62"/>
  <c r="I563" i="62"/>
  <c r="I564" i="62"/>
  <c r="I565" i="62"/>
  <c r="I566" i="62"/>
  <c r="I567" i="62"/>
  <c r="I568" i="62"/>
  <c r="I569" i="62"/>
  <c r="I570" i="62"/>
  <c r="I571" i="62"/>
  <c r="I572" i="62"/>
  <c r="I573" i="62"/>
  <c r="I574" i="62"/>
  <c r="I575" i="62"/>
  <c r="I576" i="62"/>
  <c r="I577" i="62"/>
  <c r="I578" i="62"/>
  <c r="I579" i="62"/>
  <c r="I580" i="62"/>
  <c r="I581" i="62"/>
  <c r="I582" i="62"/>
  <c r="I442" i="62"/>
  <c r="L442" i="62"/>
  <c r="I443" i="62"/>
  <c r="L443" i="62"/>
  <c r="I444" i="62"/>
  <c r="L444" i="62"/>
  <c r="I445" i="62"/>
  <c r="L445" i="62"/>
  <c r="I446" i="62"/>
  <c r="L446" i="62"/>
  <c r="I447" i="62"/>
  <c r="L447" i="62"/>
  <c r="I448" i="62"/>
  <c r="L448" i="62"/>
  <c r="I449" i="62"/>
  <c r="L449" i="62"/>
  <c r="A4573" i="62"/>
  <c r="C4573" i="62"/>
  <c r="D4573" i="62"/>
  <c r="A4574" i="62"/>
  <c r="C4574" i="62"/>
  <c r="D4574" i="62"/>
  <c r="A4575" i="62"/>
  <c r="C4575" i="62"/>
  <c r="D4575" i="62"/>
  <c r="A4576" i="62"/>
  <c r="C4576" i="62"/>
  <c r="D4576" i="62"/>
  <c r="A4577" i="62"/>
  <c r="C4577" i="62"/>
  <c r="D4577" i="62"/>
  <c r="A4578" i="62"/>
  <c r="C4578" i="62"/>
  <c r="D4578" i="62"/>
  <c r="A4579" i="62"/>
  <c r="C4579" i="62"/>
  <c r="D4579" i="62"/>
  <c r="A4580" i="62"/>
  <c r="C4580" i="62"/>
  <c r="D4580" i="62"/>
  <c r="A4581" i="62"/>
  <c r="C4581" i="62"/>
  <c r="D4581" i="62"/>
  <c r="A4582" i="62"/>
  <c r="C4582" i="62"/>
  <c r="D4582" i="62"/>
  <c r="A4583" i="62"/>
  <c r="C4583" i="62"/>
  <c r="D4583" i="62"/>
  <c r="A4584" i="62"/>
  <c r="C4584" i="62"/>
  <c r="D4584" i="62"/>
  <c r="A4585" i="62"/>
  <c r="C4585" i="62"/>
  <c r="D4585" i="62"/>
  <c r="A4586" i="62"/>
  <c r="C4586" i="62"/>
  <c r="D4586" i="62"/>
  <c r="A4587" i="62"/>
  <c r="C4587" i="62"/>
  <c r="D4587" i="62"/>
  <c r="A4588" i="62"/>
  <c r="C4588" i="62"/>
  <c r="D4588" i="62"/>
  <c r="A4589" i="62"/>
  <c r="C4589" i="62"/>
  <c r="D4589" i="62"/>
  <c r="A4590" i="62"/>
  <c r="C4590" i="62"/>
  <c r="D4590" i="62"/>
  <c r="A4591" i="62"/>
  <c r="C4591" i="62"/>
  <c r="D4591" i="62"/>
  <c r="A4592" i="62"/>
  <c r="C4592" i="62"/>
  <c r="D4592" i="62"/>
  <c r="A4593" i="62"/>
  <c r="C4593" i="62"/>
  <c r="D4593" i="62"/>
  <c r="A4594" i="62"/>
  <c r="C4594" i="62"/>
  <c r="D4594" i="62"/>
  <c r="A4595" i="62"/>
  <c r="C4595" i="62"/>
  <c r="D4595" i="62"/>
  <c r="A4596" i="62"/>
  <c r="C4596" i="62"/>
  <c r="D4596" i="62"/>
  <c r="A4597" i="62"/>
  <c r="C4597" i="62"/>
  <c r="D4597" i="62"/>
  <c r="A4598" i="62"/>
  <c r="C4598" i="62"/>
  <c r="D4598" i="62"/>
  <c r="A4599" i="62"/>
  <c r="C4599" i="62"/>
  <c r="D4599" i="62"/>
  <c r="A4600" i="62"/>
  <c r="C4600" i="62"/>
  <c r="D4600" i="62"/>
  <c r="A4601" i="62"/>
  <c r="C4601" i="62"/>
  <c r="D4601" i="62"/>
  <c r="A4602" i="62"/>
  <c r="C4602" i="62"/>
  <c r="D4602" i="62"/>
  <c r="A4603" i="62"/>
  <c r="C4603" i="62"/>
  <c r="D4603" i="62"/>
  <c r="A4604" i="62"/>
  <c r="C4604" i="62"/>
  <c r="D4604" i="62"/>
  <c r="A4605" i="62"/>
  <c r="C4605" i="62"/>
  <c r="D4605" i="62"/>
  <c r="A4606" i="62"/>
  <c r="C4606" i="62"/>
  <c r="D4606" i="62"/>
  <c r="A4607" i="62"/>
  <c r="C4607" i="62"/>
  <c r="D4607" i="62"/>
  <c r="A4608" i="62"/>
  <c r="C4608" i="62"/>
  <c r="D4608" i="62"/>
  <c r="A4609" i="62"/>
  <c r="C4609" i="62"/>
  <c r="D4609" i="62"/>
  <c r="A4610" i="62"/>
  <c r="C4610" i="62"/>
  <c r="D4610" i="62"/>
  <c r="A4611" i="62"/>
  <c r="C4611" i="62"/>
  <c r="D4611" i="62"/>
  <c r="A4612" i="62"/>
  <c r="C4612" i="62"/>
  <c r="D4612" i="62"/>
  <c r="A4613" i="62"/>
  <c r="C4613" i="62"/>
  <c r="D4613" i="62"/>
  <c r="A4614" i="62"/>
  <c r="C4614" i="62"/>
  <c r="D4614" i="62"/>
  <c r="A4615" i="62"/>
  <c r="C4615" i="62"/>
  <c r="D4615" i="62"/>
  <c r="A4616" i="62"/>
  <c r="C4616" i="62"/>
  <c r="D4616" i="62"/>
  <c r="A4617" i="62"/>
  <c r="C4617" i="62"/>
  <c r="D4617" i="62"/>
  <c r="A4618" i="62"/>
  <c r="C4618" i="62"/>
  <c r="D4618" i="62"/>
  <c r="A4619" i="62"/>
  <c r="C4619" i="62"/>
  <c r="D4619" i="62"/>
  <c r="A4620" i="62"/>
  <c r="C4620" i="62"/>
  <c r="D4620" i="62"/>
  <c r="A4621" i="62"/>
  <c r="C4621" i="62"/>
  <c r="D4621" i="62"/>
  <c r="A4622" i="62"/>
  <c r="C4622" i="62"/>
  <c r="D4622" i="62"/>
  <c r="A4623" i="62"/>
  <c r="C4623" i="62"/>
  <c r="D4623" i="62"/>
  <c r="A4624" i="62"/>
  <c r="C4624" i="62"/>
  <c r="D4624" i="62"/>
  <c r="A4625" i="62"/>
  <c r="C4625" i="62"/>
  <c r="D4625" i="62"/>
  <c r="A4626" i="62"/>
  <c r="C4626" i="62"/>
  <c r="D4626" i="62"/>
  <c r="A4627" i="62"/>
  <c r="C4627" i="62"/>
  <c r="D4627" i="62"/>
  <c r="A4628" i="62"/>
  <c r="C4628" i="62"/>
  <c r="D4628" i="62"/>
  <c r="A4629" i="62"/>
  <c r="C4629" i="62"/>
  <c r="D4629" i="62"/>
  <c r="A4630" i="62"/>
  <c r="C4630" i="62"/>
  <c r="D4630" i="62"/>
  <c r="A4631" i="62"/>
  <c r="C4631" i="62"/>
  <c r="D4631" i="62"/>
  <c r="A4632" i="62"/>
  <c r="C4632" i="62"/>
  <c r="D4632" i="62"/>
  <c r="A4633" i="62"/>
  <c r="C4633" i="62"/>
  <c r="D4633" i="62"/>
  <c r="A4634" i="62"/>
  <c r="C4634" i="62"/>
  <c r="D4634" i="62"/>
  <c r="A4635" i="62"/>
  <c r="C4635" i="62"/>
  <c r="D4635" i="62"/>
  <c r="A4636" i="62"/>
  <c r="C4636" i="62"/>
  <c r="D4636" i="62"/>
  <c r="A4637" i="62"/>
  <c r="C4637" i="62"/>
  <c r="D4637" i="62"/>
  <c r="A4638" i="62"/>
  <c r="C4638" i="62"/>
  <c r="D4638" i="62"/>
  <c r="A4639" i="62"/>
  <c r="C4639" i="62"/>
  <c r="D4639" i="62"/>
  <c r="A4640" i="62"/>
  <c r="C4640" i="62"/>
  <c r="D4640" i="62"/>
  <c r="A4641" i="62"/>
  <c r="C4641" i="62"/>
  <c r="D4641" i="62"/>
  <c r="A4642" i="62"/>
  <c r="C4642" i="62"/>
  <c r="D4642" i="62"/>
  <c r="A4643" i="62"/>
  <c r="C4643" i="62"/>
  <c r="D4643" i="62"/>
  <c r="A4644" i="62"/>
  <c r="C4644" i="62"/>
  <c r="D4644" i="62"/>
  <c r="A4645" i="62"/>
  <c r="C4645" i="62"/>
  <c r="D4645" i="62"/>
  <c r="A4646" i="62"/>
  <c r="C4646" i="62"/>
  <c r="D4646" i="62"/>
  <c r="A4647" i="62"/>
  <c r="C4647" i="62"/>
  <c r="D4647" i="62"/>
  <c r="A4648" i="62"/>
  <c r="C4648" i="62"/>
  <c r="D4648" i="62"/>
  <c r="A4649" i="62"/>
  <c r="C4649" i="62"/>
  <c r="D4649" i="62"/>
  <c r="A4650" i="62"/>
  <c r="C4650" i="62"/>
  <c r="D4650" i="62"/>
  <c r="A4651" i="62"/>
  <c r="C4651" i="62"/>
  <c r="D4651" i="62"/>
  <c r="A4652" i="62"/>
  <c r="C4652" i="62"/>
  <c r="D4652" i="62"/>
  <c r="A4653" i="62"/>
  <c r="C4653" i="62"/>
  <c r="D4653" i="62"/>
  <c r="A4654" i="62"/>
  <c r="C4654" i="62"/>
  <c r="D4654" i="62"/>
  <c r="A4655" i="62"/>
  <c r="C4655" i="62"/>
  <c r="D4655" i="62"/>
  <c r="A4656" i="62"/>
  <c r="C4656" i="62"/>
  <c r="D4656" i="62"/>
  <c r="A4657" i="62"/>
  <c r="C4657" i="62"/>
  <c r="D4657" i="62"/>
  <c r="A4658" i="62"/>
  <c r="C4658" i="62"/>
  <c r="D4658" i="62"/>
  <c r="A4659" i="62"/>
  <c r="C4659" i="62"/>
  <c r="D4659" i="62"/>
  <c r="A4660" i="62"/>
  <c r="C4660" i="62"/>
  <c r="D4660" i="62"/>
  <c r="A4661" i="62"/>
  <c r="C4661" i="62"/>
  <c r="D4661" i="62"/>
  <c r="A4662" i="62"/>
  <c r="C4662" i="62"/>
  <c r="D4662" i="62"/>
  <c r="A4663" i="62"/>
  <c r="C4663" i="62"/>
  <c r="D4663" i="62"/>
  <c r="A4664" i="62"/>
  <c r="C4664" i="62"/>
  <c r="D4664" i="62"/>
  <c r="A4665" i="62"/>
  <c r="C4665" i="62"/>
  <c r="D4665" i="62"/>
  <c r="A4666" i="62"/>
  <c r="C4666" i="62"/>
  <c r="D4666" i="62"/>
  <c r="A4667" i="62"/>
  <c r="C4667" i="62"/>
  <c r="D4667" i="62"/>
  <c r="A4668" i="62"/>
  <c r="C4668" i="62"/>
  <c r="D4668" i="62"/>
  <c r="A4669" i="62"/>
  <c r="C4669" i="62"/>
  <c r="D4669" i="62"/>
  <c r="A4670" i="62"/>
  <c r="C4670" i="62"/>
  <c r="D4670" i="62"/>
  <c r="A4671" i="62"/>
  <c r="C4671" i="62"/>
  <c r="D4671" i="62"/>
  <c r="A4672" i="62"/>
  <c r="C4672" i="62"/>
  <c r="D4672" i="62"/>
  <c r="A4673" i="62"/>
  <c r="C4673" i="62"/>
  <c r="D4673" i="62"/>
  <c r="A4674" i="62"/>
  <c r="C4674" i="62"/>
  <c r="D4674" i="62"/>
  <c r="A4675" i="62"/>
  <c r="C4675" i="62"/>
  <c r="D4675" i="62"/>
  <c r="A4676" i="62"/>
  <c r="C4676" i="62"/>
  <c r="D4676" i="62"/>
  <c r="A4677" i="62"/>
  <c r="C4677" i="62"/>
  <c r="D4677" i="62"/>
  <c r="A4678" i="62"/>
  <c r="C4678" i="62"/>
  <c r="D4678" i="62"/>
  <c r="A4679" i="62"/>
  <c r="C4679" i="62"/>
  <c r="D4679" i="62"/>
  <c r="A4680" i="62"/>
  <c r="C4680" i="62"/>
  <c r="D4680" i="62"/>
  <c r="A4681" i="62"/>
  <c r="C4681" i="62"/>
  <c r="D4681" i="62"/>
  <c r="A4682" i="62"/>
  <c r="C4682" i="62"/>
  <c r="D4682" i="62"/>
  <c r="A4683" i="62"/>
  <c r="C4683" i="62"/>
  <c r="D4683" i="62"/>
  <c r="A4684" i="62"/>
  <c r="C4684" i="62"/>
  <c r="D4684" i="62"/>
  <c r="A4685" i="62"/>
  <c r="C4685" i="62"/>
  <c r="D4685" i="62"/>
  <c r="A4686" i="62"/>
  <c r="C4686" i="62"/>
  <c r="D4686" i="62"/>
  <c r="A4687" i="62"/>
  <c r="C4687" i="62"/>
  <c r="D4687" i="62"/>
  <c r="A4688" i="62"/>
  <c r="C4688" i="62"/>
  <c r="D4688" i="62"/>
  <c r="A4689" i="62"/>
  <c r="C4689" i="62"/>
  <c r="D4689" i="62"/>
  <c r="A4690" i="62"/>
  <c r="C4690" i="62"/>
  <c r="D4690" i="62"/>
  <c r="A4691" i="62"/>
  <c r="C4691" i="62"/>
  <c r="D4691" i="62"/>
  <c r="A4692" i="62"/>
  <c r="C4692" i="62"/>
  <c r="D4692" i="62"/>
  <c r="A4693" i="62"/>
  <c r="C4693" i="62"/>
  <c r="D4693" i="62"/>
  <c r="A4694" i="62"/>
  <c r="C4694" i="62"/>
  <c r="D4694" i="62"/>
  <c r="A4695" i="62"/>
  <c r="C4695" i="62"/>
  <c r="D4695" i="62"/>
  <c r="A4696" i="62"/>
  <c r="C4696" i="62"/>
  <c r="D4696" i="62"/>
  <c r="A4697" i="62"/>
  <c r="C4697" i="62"/>
  <c r="D4697" i="62"/>
  <c r="A4698" i="62"/>
  <c r="C4698" i="62"/>
  <c r="D4698" i="62"/>
  <c r="A4699" i="62"/>
  <c r="C4699" i="62"/>
  <c r="D4699" i="62"/>
  <c r="A4700" i="62"/>
  <c r="C4700" i="62"/>
  <c r="D4700" i="62"/>
  <c r="A4701" i="62"/>
  <c r="C4701" i="62"/>
  <c r="D4701" i="62"/>
  <c r="A4702" i="62"/>
  <c r="C4702" i="62"/>
  <c r="D4702" i="62"/>
  <c r="A4703" i="62"/>
  <c r="C4703" i="62"/>
  <c r="D4703" i="62"/>
  <c r="A4704" i="62"/>
  <c r="C4704" i="62"/>
  <c r="D4704" i="62"/>
  <c r="A4705" i="62"/>
  <c r="C4705" i="62"/>
  <c r="D4705" i="62"/>
  <c r="A4706" i="62"/>
  <c r="C4706" i="62"/>
  <c r="D4706" i="62"/>
  <c r="A4707" i="62"/>
  <c r="C4707" i="62"/>
  <c r="D4707" i="62"/>
  <c r="A4708" i="62"/>
  <c r="C4708" i="62"/>
  <c r="D4708" i="62"/>
  <c r="A4709" i="62"/>
  <c r="C4709" i="62"/>
  <c r="D4709" i="62"/>
  <c r="A4710" i="62"/>
  <c r="C4710" i="62"/>
  <c r="D4710" i="62"/>
  <c r="A4711" i="62"/>
  <c r="C4711" i="62"/>
  <c r="D4711" i="62"/>
  <c r="A4712" i="62"/>
  <c r="C4712" i="62"/>
  <c r="D4712" i="62"/>
  <c r="A4713" i="62"/>
  <c r="C4713" i="62"/>
  <c r="D4713" i="62"/>
  <c r="A4714" i="62"/>
  <c r="C4714" i="62"/>
  <c r="D4714" i="62"/>
  <c r="A4715" i="62"/>
  <c r="C4715" i="62"/>
  <c r="D4715" i="62"/>
  <c r="A4716" i="62"/>
  <c r="C4716" i="62"/>
  <c r="D4716" i="62"/>
  <c r="A4717" i="62"/>
  <c r="C4717" i="62"/>
  <c r="D4717" i="62"/>
  <c r="A4718" i="62"/>
  <c r="C4718" i="62"/>
  <c r="D4718" i="62"/>
  <c r="A4719" i="62"/>
  <c r="C4719" i="62"/>
  <c r="D4719" i="62"/>
  <c r="A4720" i="62"/>
  <c r="C4720" i="62"/>
  <c r="D4720" i="62"/>
  <c r="A4721" i="62"/>
  <c r="C4721" i="62"/>
  <c r="D4721" i="62"/>
  <c r="A4722" i="62"/>
  <c r="C4722" i="62"/>
  <c r="D4722" i="62"/>
  <c r="A4723" i="62"/>
  <c r="C4723" i="62"/>
  <c r="D4723" i="62"/>
  <c r="A4724" i="62"/>
  <c r="C4724" i="62"/>
  <c r="D4724" i="62"/>
  <c r="A4725" i="62"/>
  <c r="C4725" i="62"/>
  <c r="D4725" i="62"/>
  <c r="A4726" i="62"/>
  <c r="C4726" i="62"/>
  <c r="D4726" i="62"/>
  <c r="A4727" i="62"/>
  <c r="C4727" i="62"/>
  <c r="D4727" i="62"/>
  <c r="A4728" i="62"/>
  <c r="C4728" i="62"/>
  <c r="D4728" i="62"/>
  <c r="A4729" i="62"/>
  <c r="C4729" i="62"/>
  <c r="D4729" i="62"/>
  <c r="A4730" i="62"/>
  <c r="C4730" i="62"/>
  <c r="D4730" i="62"/>
  <c r="A4731" i="62"/>
  <c r="C4731" i="62"/>
  <c r="D4731" i="62"/>
  <c r="A4732" i="62"/>
  <c r="C4732" i="62"/>
  <c r="D4732" i="62"/>
  <c r="A4733" i="62"/>
  <c r="C4733" i="62"/>
  <c r="D4733" i="62"/>
  <c r="A4734" i="62"/>
  <c r="C4734" i="62"/>
  <c r="D4734" i="62"/>
  <c r="A4735" i="62"/>
  <c r="C4735" i="62"/>
  <c r="D4735" i="62"/>
  <c r="A4736" i="62"/>
  <c r="C4736" i="62"/>
  <c r="D4736" i="62"/>
  <c r="A4737" i="62"/>
  <c r="C4737" i="62"/>
  <c r="D4737" i="62"/>
  <c r="A4738" i="62"/>
  <c r="C4738" i="62"/>
  <c r="D4738" i="62"/>
  <c r="A4739" i="62"/>
  <c r="C4739" i="62"/>
  <c r="D4739" i="62"/>
  <c r="A4740" i="62"/>
  <c r="C4740" i="62"/>
  <c r="D4740" i="62"/>
  <c r="A4741" i="62"/>
  <c r="C4741" i="62"/>
  <c r="D4741" i="62"/>
  <c r="A4742" i="62"/>
  <c r="C4742" i="62"/>
  <c r="D4742" i="62"/>
  <c r="A4743" i="62"/>
  <c r="C4743" i="62"/>
  <c r="D4743" i="62"/>
  <c r="A4744" i="62"/>
  <c r="C4744" i="62"/>
  <c r="D4744" i="62"/>
  <c r="A4745" i="62"/>
  <c r="C4745" i="62"/>
  <c r="D4745" i="62"/>
  <c r="A4746" i="62"/>
  <c r="C4746" i="62"/>
  <c r="D4746" i="62"/>
  <c r="A4747" i="62"/>
  <c r="C4747" i="62"/>
  <c r="D4747" i="62"/>
  <c r="A4748" i="62"/>
  <c r="C4748" i="62"/>
  <c r="D4748" i="62"/>
  <c r="A4749" i="62"/>
  <c r="C4749" i="62"/>
  <c r="D4749" i="62"/>
  <c r="A4750" i="62"/>
  <c r="C4750" i="62"/>
  <c r="D4750" i="62"/>
  <c r="A4751" i="62"/>
  <c r="C4751" i="62"/>
  <c r="D4751" i="62"/>
  <c r="A4752" i="62"/>
  <c r="C4752" i="62"/>
  <c r="D4752" i="62"/>
  <c r="A4753" i="62"/>
  <c r="C4753" i="62"/>
  <c r="D4753" i="62"/>
  <c r="A4754" i="62"/>
  <c r="C4754" i="62"/>
  <c r="D4754" i="62"/>
  <c r="A4755" i="62"/>
  <c r="C4755" i="62"/>
  <c r="D4755" i="62"/>
  <c r="A4756" i="62"/>
  <c r="C4756" i="62"/>
  <c r="D4756" i="62"/>
  <c r="A4757" i="62"/>
  <c r="C4757" i="62"/>
  <c r="D4757" i="62"/>
  <c r="A4758" i="62"/>
  <c r="C4758" i="62"/>
  <c r="D4758" i="62"/>
  <c r="A4759" i="62"/>
  <c r="C4759" i="62"/>
  <c r="D4759" i="62"/>
  <c r="A4760" i="62"/>
  <c r="C4760" i="62"/>
  <c r="D4760" i="62"/>
  <c r="A4761" i="62"/>
  <c r="C4761" i="62"/>
  <c r="D4761" i="62"/>
  <c r="A4762" i="62"/>
  <c r="C4762" i="62"/>
  <c r="D4762" i="62"/>
  <c r="A4763" i="62"/>
  <c r="C4763" i="62"/>
  <c r="D4763" i="62"/>
  <c r="A4764" i="62"/>
  <c r="C4764" i="62"/>
  <c r="D4764" i="62"/>
  <c r="A4765" i="62"/>
  <c r="C4765" i="62"/>
  <c r="D4765" i="62"/>
  <c r="A4766" i="62"/>
  <c r="C4766" i="62"/>
  <c r="D4766" i="62"/>
  <c r="A4767" i="62"/>
  <c r="C4767" i="62"/>
  <c r="D4767" i="62"/>
  <c r="A4768" i="62"/>
  <c r="C4768" i="62"/>
  <c r="D4768" i="62"/>
  <c r="A4769" i="62"/>
  <c r="C4769" i="62"/>
  <c r="D4769" i="62"/>
  <c r="A4770" i="62"/>
  <c r="C4770" i="62"/>
  <c r="D4770" i="62"/>
  <c r="A4771" i="62"/>
  <c r="C4771" i="62"/>
  <c r="D4771" i="62"/>
  <c r="A4772" i="62"/>
  <c r="C4772" i="62"/>
  <c r="D4772" i="62"/>
  <c r="A4773" i="62"/>
  <c r="C4773" i="62"/>
  <c r="D4773" i="62"/>
  <c r="A4774" i="62"/>
  <c r="C4774" i="62"/>
  <c r="D4774" i="62"/>
  <c r="A4775" i="62"/>
  <c r="C4775" i="62"/>
  <c r="D4775" i="62"/>
  <c r="A4776" i="62"/>
  <c r="C4776" i="62"/>
  <c r="D4776" i="62"/>
  <c r="A4777" i="62"/>
  <c r="C4777" i="62"/>
  <c r="D4777" i="62"/>
  <c r="A4778" i="62"/>
  <c r="C4778" i="62"/>
  <c r="D4778" i="62"/>
  <c r="A4779" i="62"/>
  <c r="C4779" i="62"/>
  <c r="D4779" i="62"/>
  <c r="A4780" i="62"/>
  <c r="C4780" i="62"/>
  <c r="D4780" i="62"/>
  <c r="A4781" i="62"/>
  <c r="C4781" i="62"/>
  <c r="D4781" i="62"/>
  <c r="A4782" i="62"/>
  <c r="C4782" i="62"/>
  <c r="D4782" i="62"/>
  <c r="A4783" i="62"/>
  <c r="C4783" i="62"/>
  <c r="D4783" i="62"/>
  <c r="A4784" i="62"/>
  <c r="C4784" i="62"/>
  <c r="D4784" i="62"/>
  <c r="A4785" i="62"/>
  <c r="C4785" i="62"/>
  <c r="D4785" i="62"/>
  <c r="A4786" i="62"/>
  <c r="C4786" i="62"/>
  <c r="D4786" i="62"/>
  <c r="A4787" i="62"/>
  <c r="C4787" i="62"/>
  <c r="D4787" i="62"/>
  <c r="A4788" i="62"/>
  <c r="C4788" i="62"/>
  <c r="D4788" i="62"/>
  <c r="A4789" i="62"/>
  <c r="C4789" i="62"/>
  <c r="D4789" i="62"/>
  <c r="A4790" i="62"/>
  <c r="C4790" i="62"/>
  <c r="D4790" i="62"/>
  <c r="A4791" i="62"/>
  <c r="C4791" i="62"/>
  <c r="D4791" i="62"/>
  <c r="A4792" i="62"/>
  <c r="C4792" i="62"/>
  <c r="D4792" i="62"/>
  <c r="A4793" i="62"/>
  <c r="C4793" i="62"/>
  <c r="D4793" i="62"/>
  <c r="A4794" i="62"/>
  <c r="C4794" i="62"/>
  <c r="D4794" i="62"/>
  <c r="A4795" i="62"/>
  <c r="C4795" i="62"/>
  <c r="D4795" i="62"/>
  <c r="A4796" i="62"/>
  <c r="C4796" i="62"/>
  <c r="D4796" i="62"/>
  <c r="A4797" i="62"/>
  <c r="C4797" i="62"/>
  <c r="D4797" i="62"/>
  <c r="A4798" i="62"/>
  <c r="C4798" i="62"/>
  <c r="D4798" i="62"/>
  <c r="A4799" i="62"/>
  <c r="C4799" i="62"/>
  <c r="D4799" i="62"/>
  <c r="A4800" i="62"/>
  <c r="C4800" i="62"/>
  <c r="D4800" i="62"/>
  <c r="A4801" i="62"/>
  <c r="C4801" i="62"/>
  <c r="D4801" i="62"/>
  <c r="A4802" i="62"/>
  <c r="C4802" i="62"/>
  <c r="D4802" i="62"/>
  <c r="A4803" i="62"/>
  <c r="C4803" i="62"/>
  <c r="D4803" i="62"/>
  <c r="A4804" i="62"/>
  <c r="C4804" i="62"/>
  <c r="D4804" i="62"/>
  <c r="A4805" i="62"/>
  <c r="C4805" i="62"/>
  <c r="D4805" i="62"/>
  <c r="A4806" i="62"/>
  <c r="C4806" i="62"/>
  <c r="D4806" i="62"/>
  <c r="A4807" i="62"/>
  <c r="C4807" i="62"/>
  <c r="D4807" i="62"/>
  <c r="A4808" i="62"/>
  <c r="C4808" i="62"/>
  <c r="D4808" i="62"/>
  <c r="A4809" i="62"/>
  <c r="C4809" i="62"/>
  <c r="D4809" i="62"/>
  <c r="A4810" i="62"/>
  <c r="C4810" i="62"/>
  <c r="D4810" i="62"/>
  <c r="A4811" i="62"/>
  <c r="C4811" i="62"/>
  <c r="D4811" i="62"/>
  <c r="A4812" i="62"/>
  <c r="C4812" i="62"/>
  <c r="D4812" i="62"/>
  <c r="A4813" i="62"/>
  <c r="C4813" i="62"/>
  <c r="D4813" i="62"/>
  <c r="A4814" i="62"/>
  <c r="C4814" i="62"/>
  <c r="D4814" i="62"/>
  <c r="A4815" i="62"/>
  <c r="C4815" i="62"/>
  <c r="D4815" i="62"/>
  <c r="A4816" i="62"/>
  <c r="C4816" i="62"/>
  <c r="D4816" i="62"/>
  <c r="A4817" i="62"/>
  <c r="C4817" i="62"/>
  <c r="D4817" i="62"/>
  <c r="A4818" i="62"/>
  <c r="C4818" i="62"/>
  <c r="D4818" i="62"/>
  <c r="A4819" i="62"/>
  <c r="C4819" i="62"/>
  <c r="D4819" i="62"/>
  <c r="A4820" i="62"/>
  <c r="C4820" i="62"/>
  <c r="D4820" i="62"/>
  <c r="A4821" i="62"/>
  <c r="C4821" i="62"/>
  <c r="D4821" i="62"/>
  <c r="A4822" i="62"/>
  <c r="C4822" i="62"/>
  <c r="D4822" i="62"/>
  <c r="A4823" i="62"/>
  <c r="C4823" i="62"/>
  <c r="D4823" i="62"/>
  <c r="A4824" i="62"/>
  <c r="C4824" i="62"/>
  <c r="D4824" i="62"/>
  <c r="A4825" i="62"/>
  <c r="C4825" i="62"/>
  <c r="D4825" i="62"/>
  <c r="A4826" i="62"/>
  <c r="C4826" i="62"/>
  <c r="D4826" i="62"/>
  <c r="A4827" i="62"/>
  <c r="C4827" i="62"/>
  <c r="D4827" i="62"/>
  <c r="A4828" i="62"/>
  <c r="C4828" i="62"/>
  <c r="D4828" i="62"/>
  <c r="A4829" i="62"/>
  <c r="C4829" i="62"/>
  <c r="D4829" i="62"/>
  <c r="A4830" i="62"/>
  <c r="C4830" i="62"/>
  <c r="D4830" i="62"/>
  <c r="A4831" i="62"/>
  <c r="C4831" i="62"/>
  <c r="D4831" i="62"/>
  <c r="A4832" i="62"/>
  <c r="C4832" i="62"/>
  <c r="D4832" i="62"/>
  <c r="A4833" i="62"/>
  <c r="C4833" i="62"/>
  <c r="D4833" i="62"/>
  <c r="A4834" i="62"/>
  <c r="C4834" i="62"/>
  <c r="D4834" i="62"/>
  <c r="A4835" i="62"/>
  <c r="C4835" i="62"/>
  <c r="D4835" i="62"/>
  <c r="A4836" i="62"/>
  <c r="C4836" i="62"/>
  <c r="D4836" i="62"/>
  <c r="A4837" i="62"/>
  <c r="C4837" i="62"/>
  <c r="D4837" i="62"/>
  <c r="A4838" i="62"/>
  <c r="C4838" i="62"/>
  <c r="D4838" i="62"/>
  <c r="A4839" i="62"/>
  <c r="C4839" i="62"/>
  <c r="D4839" i="62"/>
  <c r="A4840" i="62"/>
  <c r="C4840" i="62"/>
  <c r="D4840" i="62"/>
  <c r="A4841" i="62"/>
  <c r="C4841" i="62"/>
  <c r="D4841" i="62"/>
  <c r="A4842" i="62"/>
  <c r="C4842" i="62"/>
  <c r="D4842" i="62"/>
  <c r="A4843" i="62"/>
  <c r="C4843" i="62"/>
  <c r="D4843" i="62"/>
  <c r="A4844" i="62"/>
  <c r="C4844" i="62"/>
  <c r="D4844" i="62"/>
  <c r="A4845" i="62"/>
  <c r="C4845" i="62"/>
  <c r="D4845" i="62"/>
  <c r="A4846" i="62"/>
  <c r="C4846" i="62"/>
  <c r="D4846" i="62"/>
  <c r="A4847" i="62"/>
  <c r="C4847" i="62"/>
  <c r="D4847" i="62"/>
  <c r="A4848" i="62"/>
  <c r="C4848" i="62"/>
  <c r="D4848" i="62"/>
  <c r="A4849" i="62"/>
  <c r="C4849" i="62"/>
  <c r="D4849" i="62"/>
  <c r="A4850" i="62"/>
  <c r="C4850" i="62"/>
  <c r="D4850" i="62"/>
  <c r="A4851" i="62"/>
  <c r="C4851" i="62"/>
  <c r="D4851" i="62"/>
  <c r="A4852" i="62"/>
  <c r="C4852" i="62"/>
  <c r="D4852" i="62"/>
  <c r="A4853" i="62"/>
  <c r="C4853" i="62"/>
  <c r="D4853" i="62"/>
  <c r="A4854" i="62"/>
  <c r="C4854" i="62"/>
  <c r="D4854" i="62"/>
  <c r="A4855" i="62"/>
  <c r="C4855" i="62"/>
  <c r="D4855" i="62"/>
  <c r="A4856" i="62"/>
  <c r="C4856" i="62"/>
  <c r="D4856" i="62"/>
  <c r="A4857" i="62"/>
  <c r="C4857" i="62"/>
  <c r="D4857" i="62"/>
  <c r="A4858" i="62"/>
  <c r="C4858" i="62"/>
  <c r="D4858" i="62"/>
  <c r="A4859" i="62"/>
  <c r="C4859" i="62"/>
  <c r="D4859" i="62"/>
  <c r="A4860" i="62"/>
  <c r="C4860" i="62"/>
  <c r="D4860" i="62"/>
  <c r="A4861" i="62"/>
  <c r="C4861" i="62"/>
  <c r="D4861" i="62"/>
  <c r="A4862" i="62"/>
  <c r="C4862" i="62"/>
  <c r="D4862" i="62"/>
  <c r="A4863" i="62"/>
  <c r="C4863" i="62"/>
  <c r="D4863" i="62"/>
  <c r="A4864" i="62"/>
  <c r="C4864" i="62"/>
  <c r="D4864" i="62"/>
  <c r="A4865" i="62"/>
  <c r="C4865" i="62"/>
  <c r="D4865" i="62"/>
  <c r="A4866" i="62"/>
  <c r="C4866" i="62"/>
  <c r="D4866" i="62"/>
  <c r="A4867" i="62"/>
  <c r="C4867" i="62"/>
  <c r="D4867" i="62"/>
  <c r="A4868" i="62"/>
  <c r="C4868" i="62"/>
  <c r="D4868" i="62"/>
  <c r="A4869" i="62"/>
  <c r="C4869" i="62"/>
  <c r="D4869" i="62"/>
  <c r="A4870" i="62"/>
  <c r="C4870" i="62"/>
  <c r="D4870" i="62"/>
  <c r="A4871" i="62"/>
  <c r="C4871" i="62"/>
  <c r="D4871" i="62"/>
  <c r="A4872" i="62"/>
  <c r="C4872" i="62"/>
  <c r="D4872" i="62"/>
  <c r="A4873" i="62"/>
  <c r="C4873" i="62"/>
  <c r="D4873" i="62"/>
  <c r="A4874" i="62"/>
  <c r="C4874" i="62"/>
  <c r="D4874" i="62"/>
  <c r="A4875" i="62"/>
  <c r="C4875" i="62"/>
  <c r="D4875" i="62"/>
  <c r="A4876" i="62"/>
  <c r="C4876" i="62"/>
  <c r="D4876" i="62"/>
  <c r="A4877" i="62"/>
  <c r="C4877" i="62"/>
  <c r="D4877" i="62"/>
  <c r="A4878" i="62"/>
  <c r="C4878" i="62"/>
  <c r="D4878" i="62"/>
  <c r="A4879" i="62"/>
  <c r="C4879" i="62"/>
  <c r="D4879" i="62"/>
  <c r="A4880" i="62"/>
  <c r="C4880" i="62"/>
  <c r="D4880" i="62"/>
  <c r="A4881" i="62"/>
  <c r="C4881" i="62"/>
  <c r="D4881" i="62"/>
  <c r="A4882" i="62"/>
  <c r="C4882" i="62"/>
  <c r="D4882" i="62"/>
  <c r="A4883" i="62"/>
  <c r="C4883" i="62"/>
  <c r="D4883" i="62"/>
  <c r="A4884" i="62"/>
  <c r="C4884" i="62"/>
  <c r="D4884" i="62"/>
  <c r="A4885" i="62"/>
  <c r="C4885" i="62"/>
  <c r="D4885" i="62"/>
  <c r="A4886" i="62"/>
  <c r="C4886" i="62"/>
  <c r="D4886" i="62"/>
  <c r="A4887" i="62"/>
  <c r="C4887" i="62"/>
  <c r="D4887" i="62"/>
  <c r="A4888" i="62"/>
  <c r="C4888" i="62"/>
  <c r="D4888" i="62"/>
  <c r="A4889" i="62"/>
  <c r="C4889" i="62"/>
  <c r="D4889" i="62"/>
  <c r="A4890" i="62"/>
  <c r="C4890" i="62"/>
  <c r="D4890" i="62"/>
  <c r="A4891" i="62"/>
  <c r="C4891" i="62"/>
  <c r="D4891" i="62"/>
  <c r="A4892" i="62"/>
  <c r="C4892" i="62"/>
  <c r="D4892" i="62"/>
  <c r="A4893" i="62"/>
  <c r="C4893" i="62"/>
  <c r="D4893" i="62"/>
  <c r="A4894" i="62"/>
  <c r="C4894" i="62"/>
  <c r="D4894" i="62"/>
  <c r="A4895" i="62"/>
  <c r="C4895" i="62"/>
  <c r="D4895" i="62"/>
  <c r="A4896" i="62"/>
  <c r="C4896" i="62"/>
  <c r="D4896" i="62"/>
  <c r="A4897" i="62"/>
  <c r="C4897" i="62"/>
  <c r="D4897" i="62"/>
  <c r="A4898" i="62"/>
  <c r="C4898" i="62"/>
  <c r="D4898" i="62"/>
  <c r="A4899" i="62"/>
  <c r="C4899" i="62"/>
  <c r="D4899" i="62"/>
  <c r="A4900" i="62"/>
  <c r="C4900" i="62"/>
  <c r="D4900" i="62"/>
  <c r="A4901" i="62"/>
  <c r="C4901" i="62"/>
  <c r="D4901" i="62"/>
  <c r="A4902" i="62"/>
  <c r="C4902" i="62"/>
  <c r="D4902" i="62"/>
  <c r="A4903" i="62"/>
  <c r="C4903" i="62"/>
  <c r="D4903" i="62"/>
  <c r="A4904" i="62"/>
  <c r="C4904" i="62"/>
  <c r="D4904" i="62"/>
  <c r="A4905" i="62"/>
  <c r="C4905" i="62"/>
  <c r="D4905" i="62"/>
  <c r="A4906" i="62"/>
  <c r="C4906" i="62"/>
  <c r="D4906" i="62"/>
  <c r="A4907" i="62"/>
  <c r="C4907" i="62"/>
  <c r="D4907" i="62"/>
  <c r="A4908" i="62"/>
  <c r="C4908" i="62"/>
  <c r="D4908" i="62"/>
  <c r="A4909" i="62"/>
  <c r="C4909" i="62"/>
  <c r="D4909" i="62"/>
  <c r="A4910" i="62"/>
  <c r="C4910" i="62"/>
  <c r="D4910" i="62"/>
  <c r="A4911" i="62"/>
  <c r="C4911" i="62"/>
  <c r="D4911" i="62"/>
  <c r="A4912" i="62"/>
  <c r="C4912" i="62"/>
  <c r="D4912" i="62"/>
  <c r="A4913" i="62"/>
  <c r="C4913" i="62"/>
  <c r="D4913" i="62"/>
  <c r="A4914" i="62"/>
  <c r="C4914" i="62"/>
  <c r="D4914" i="62"/>
  <c r="A4915" i="62"/>
  <c r="C4915" i="62"/>
  <c r="D4915" i="62"/>
  <c r="A4916" i="62"/>
  <c r="C4916" i="62"/>
  <c r="D4916" i="62"/>
  <c r="A4917" i="62"/>
  <c r="C4917" i="62"/>
  <c r="D4917" i="62"/>
  <c r="A4918" i="62"/>
  <c r="C4918" i="62"/>
  <c r="D4918" i="62"/>
  <c r="A4919" i="62"/>
  <c r="C4919" i="62"/>
  <c r="D4919" i="62"/>
  <c r="A4920" i="62"/>
  <c r="C4920" i="62"/>
  <c r="D4920" i="62"/>
  <c r="A4921" i="62"/>
  <c r="C4921" i="62"/>
  <c r="D4921" i="62"/>
  <c r="A4922" i="62"/>
  <c r="C4922" i="62"/>
  <c r="D4922" i="62"/>
  <c r="A4923" i="62"/>
  <c r="C4923" i="62"/>
  <c r="D4923" i="62"/>
  <c r="A4924" i="62"/>
  <c r="C4924" i="62"/>
  <c r="D4924" i="62"/>
  <c r="A4925" i="62"/>
  <c r="C4925" i="62"/>
  <c r="D4925" i="62"/>
  <c r="A4926" i="62"/>
  <c r="C4926" i="62"/>
  <c r="D4926" i="62"/>
  <c r="A4927" i="62"/>
  <c r="C4927" i="62"/>
  <c r="D4927" i="62"/>
  <c r="A4928" i="62"/>
  <c r="C4928" i="62"/>
  <c r="D4928" i="62"/>
  <c r="A4929" i="62"/>
  <c r="C4929" i="62"/>
  <c r="D4929" i="62"/>
  <c r="A4930" i="62"/>
  <c r="C4930" i="62"/>
  <c r="D4930" i="62"/>
  <c r="A4931" i="62"/>
  <c r="C4931" i="62"/>
  <c r="D4931" i="62"/>
  <c r="A4932" i="62"/>
  <c r="C4932" i="62"/>
  <c r="D4932" i="62"/>
  <c r="A4933" i="62"/>
  <c r="C4933" i="62"/>
  <c r="D4933" i="62"/>
  <c r="A4934" i="62"/>
  <c r="C4934" i="62"/>
  <c r="D4934" i="62"/>
  <c r="A4935" i="62"/>
  <c r="C4935" i="62"/>
  <c r="D4935" i="62"/>
  <c r="A4936" i="62"/>
  <c r="C4936" i="62"/>
  <c r="D4936" i="62"/>
  <c r="A4937" i="62"/>
  <c r="C4937" i="62"/>
  <c r="D4937" i="62"/>
  <c r="A4938" i="62"/>
  <c r="C4938" i="62"/>
  <c r="D4938" i="62"/>
  <c r="A4939" i="62"/>
  <c r="C4939" i="62"/>
  <c r="D4939" i="62"/>
  <c r="A4940" i="62"/>
  <c r="C4940" i="62"/>
  <c r="D4940" i="62"/>
  <c r="A4941" i="62"/>
  <c r="C4941" i="62"/>
  <c r="D4941" i="62"/>
  <c r="A4942" i="62"/>
  <c r="C4942" i="62"/>
  <c r="D4942" i="62"/>
  <c r="A4943" i="62"/>
  <c r="C4943" i="62"/>
  <c r="D4943" i="62"/>
  <c r="A4944" i="62"/>
  <c r="C4944" i="62"/>
  <c r="D4944" i="62"/>
  <c r="A4945" i="62"/>
  <c r="C4945" i="62"/>
  <c r="D4945" i="62"/>
  <c r="A4946" i="62"/>
  <c r="C4946" i="62"/>
  <c r="D4946" i="62"/>
  <c r="A4947" i="62"/>
  <c r="C4947" i="62"/>
  <c r="D4947" i="62"/>
  <c r="A4948" i="62"/>
  <c r="C4948" i="62"/>
  <c r="D4948" i="62"/>
  <c r="A4949" i="62"/>
  <c r="C4949" i="62"/>
  <c r="D4949" i="62"/>
  <c r="A4950" i="62"/>
  <c r="C4950" i="62"/>
  <c r="D4950" i="62"/>
  <c r="A4951" i="62"/>
  <c r="C4951" i="62"/>
  <c r="D4951" i="62"/>
  <c r="A4952" i="62"/>
  <c r="C4952" i="62"/>
  <c r="D4952" i="62"/>
  <c r="A4953" i="62"/>
  <c r="C4953" i="62"/>
  <c r="D4953" i="62"/>
  <c r="A4954" i="62"/>
  <c r="C4954" i="62"/>
  <c r="D4954" i="62"/>
  <c r="A4955" i="62"/>
  <c r="C4955" i="62"/>
  <c r="D4955" i="62"/>
  <c r="A4956" i="62"/>
  <c r="C4956" i="62"/>
  <c r="D4956" i="62"/>
  <c r="A4957" i="62"/>
  <c r="C4957" i="62"/>
  <c r="D4957" i="62"/>
  <c r="A4958" i="62"/>
  <c r="C4958" i="62"/>
  <c r="D4958" i="62"/>
  <c r="A4959" i="62"/>
  <c r="C4959" i="62"/>
  <c r="D4959" i="62"/>
  <c r="A4960" i="62"/>
  <c r="C4960" i="62"/>
  <c r="D4960" i="62"/>
  <c r="A4961" i="62"/>
  <c r="C4961" i="62"/>
  <c r="D4961" i="62"/>
  <c r="A4962" i="62"/>
  <c r="C4962" i="62"/>
  <c r="D4962" i="62"/>
  <c r="A4963" i="62"/>
  <c r="C4963" i="62"/>
  <c r="D4963" i="62"/>
  <c r="A4964" i="62"/>
  <c r="C4964" i="62"/>
  <c r="D4964" i="62"/>
  <c r="A4965" i="62"/>
  <c r="C4965" i="62"/>
  <c r="D4965" i="62"/>
  <c r="A4966" i="62"/>
  <c r="C4966" i="62"/>
  <c r="D4966" i="62"/>
  <c r="A4967" i="62"/>
  <c r="C4967" i="62"/>
  <c r="D4967" i="62"/>
  <c r="A4968" i="62"/>
  <c r="C4968" i="62"/>
  <c r="D4968" i="62"/>
  <c r="A4969" i="62"/>
  <c r="C4969" i="62"/>
  <c r="D4969" i="62"/>
  <c r="A4970" i="62"/>
  <c r="C4970" i="62"/>
  <c r="D4970" i="62"/>
  <c r="A4971" i="62"/>
  <c r="C4971" i="62"/>
  <c r="D4971" i="62"/>
  <c r="A4972" i="62"/>
  <c r="C4972" i="62"/>
  <c r="D4972" i="62"/>
  <c r="A4973" i="62"/>
  <c r="C4973" i="62"/>
  <c r="D4973" i="62"/>
  <c r="A4974" i="62"/>
  <c r="C4974" i="62"/>
  <c r="D4974" i="62"/>
  <c r="A4975" i="62"/>
  <c r="C4975" i="62"/>
  <c r="D4975" i="62"/>
  <c r="A4976" i="62"/>
  <c r="C4976" i="62"/>
  <c r="D4976" i="62"/>
  <c r="A4977" i="62"/>
  <c r="C4977" i="62"/>
  <c r="D4977" i="62"/>
  <c r="A4978" i="62"/>
  <c r="C4978" i="62"/>
  <c r="D4978" i="62"/>
  <c r="A4979" i="62"/>
  <c r="C4979" i="62"/>
  <c r="D4979" i="62"/>
  <c r="A4980" i="62"/>
  <c r="C4980" i="62"/>
  <c r="D4980" i="62"/>
  <c r="A4981" i="62"/>
  <c r="C4981" i="62"/>
  <c r="D4981" i="62"/>
  <c r="A4982" i="62"/>
  <c r="C4982" i="62"/>
  <c r="D4982" i="62"/>
  <c r="A4983" i="62"/>
  <c r="C4983" i="62"/>
  <c r="D4983" i="62"/>
  <c r="A4984" i="62"/>
  <c r="C4984" i="62"/>
  <c r="D4984" i="62"/>
  <c r="A4985" i="62"/>
  <c r="C4985" i="62"/>
  <c r="D4985" i="62"/>
  <c r="A4986" i="62"/>
  <c r="C4986" i="62"/>
  <c r="D4986" i="62"/>
  <c r="A4987" i="62"/>
  <c r="C4987" i="62"/>
  <c r="D4987" i="62"/>
  <c r="A4988" i="62"/>
  <c r="C4988" i="62"/>
  <c r="D4988" i="62"/>
  <c r="A4989" i="62"/>
  <c r="C4989" i="62"/>
  <c r="D4989" i="62"/>
  <c r="A4990" i="62"/>
  <c r="C4990" i="62"/>
  <c r="D4990" i="62"/>
  <c r="A4991" i="62"/>
  <c r="C4991" i="62"/>
  <c r="D4991" i="62"/>
  <c r="A4992" i="62"/>
  <c r="C4992" i="62"/>
  <c r="D4992" i="62"/>
  <c r="A4993" i="62"/>
  <c r="C4993" i="62"/>
  <c r="D4993" i="62"/>
  <c r="A4994" i="62"/>
  <c r="C4994" i="62"/>
  <c r="D4994" i="62"/>
  <c r="A4995" i="62"/>
  <c r="C4995" i="62"/>
  <c r="D4995" i="62"/>
  <c r="A4996" i="62"/>
  <c r="C4996" i="62"/>
  <c r="D4996" i="62"/>
  <c r="A4997" i="62"/>
  <c r="C4997" i="62"/>
  <c r="D4997" i="62"/>
  <c r="A4998" i="62"/>
  <c r="C4998" i="62"/>
  <c r="D4998" i="62"/>
  <c r="A4999" i="62"/>
  <c r="C4999" i="62"/>
  <c r="D4999" i="62"/>
  <c r="A5000" i="62"/>
  <c r="C5000" i="62"/>
  <c r="D5000" i="62"/>
  <c r="A5001" i="62"/>
  <c r="C5001" i="62"/>
  <c r="D5001" i="62"/>
  <c r="A5002" i="62"/>
  <c r="C5002" i="62"/>
  <c r="D5002" i="62"/>
  <c r="A5003" i="62"/>
  <c r="C5003" i="62"/>
  <c r="D5003" i="62"/>
  <c r="A5004" i="62"/>
  <c r="C5004" i="62"/>
  <c r="D5004" i="62"/>
  <c r="A5005" i="62"/>
  <c r="C5005" i="62"/>
  <c r="D5005" i="62"/>
  <c r="A5006" i="62"/>
  <c r="C5006" i="62"/>
  <c r="D5006" i="62"/>
  <c r="A5007" i="62"/>
  <c r="C5007" i="62"/>
  <c r="D5007" i="62"/>
  <c r="A5008" i="62"/>
  <c r="C5008" i="62"/>
  <c r="D5008" i="62"/>
  <c r="A5009" i="62"/>
  <c r="C5009" i="62"/>
  <c r="D5009" i="62"/>
  <c r="A5010" i="62"/>
  <c r="C5010" i="62"/>
  <c r="D5010" i="62"/>
  <c r="A5011" i="62"/>
  <c r="C5011" i="62"/>
  <c r="D5011" i="62"/>
  <c r="A5012" i="62"/>
  <c r="C5012" i="62"/>
  <c r="D5012" i="62"/>
  <c r="A5013" i="62"/>
  <c r="C5013" i="62"/>
  <c r="D5013" i="62"/>
  <c r="A5014" i="62"/>
  <c r="C5014" i="62"/>
  <c r="D5014" i="62"/>
  <c r="A5015" i="62"/>
  <c r="C5015" i="62"/>
  <c r="D5015" i="62"/>
  <c r="A5016" i="62"/>
  <c r="C5016" i="62"/>
  <c r="D5016" i="62"/>
  <c r="A5017" i="62"/>
  <c r="C5017" i="62"/>
  <c r="D5017" i="62"/>
  <c r="A5018" i="62"/>
  <c r="C5018" i="62"/>
  <c r="D5018" i="62"/>
  <c r="A5019" i="62"/>
  <c r="C5019" i="62"/>
  <c r="D5019" i="62"/>
  <c r="A5020" i="62"/>
  <c r="C5020" i="62"/>
  <c r="D5020" i="62"/>
  <c r="A5021" i="62"/>
  <c r="C5021" i="62"/>
  <c r="D5021" i="62"/>
  <c r="A5022" i="62"/>
  <c r="C5022" i="62"/>
  <c r="D5022" i="62"/>
  <c r="A5023" i="62"/>
  <c r="C5023" i="62"/>
  <c r="D5023" i="62"/>
  <c r="A5024" i="62"/>
  <c r="C5024" i="62"/>
  <c r="D5024" i="62"/>
  <c r="A5025" i="62"/>
  <c r="C5025" i="62"/>
  <c r="D5025" i="62"/>
  <c r="A5026" i="62"/>
  <c r="C5026" i="62"/>
  <c r="D5026" i="62"/>
  <c r="A5027" i="62"/>
  <c r="C5027" i="62"/>
  <c r="D5027" i="62"/>
  <c r="A5028" i="62"/>
  <c r="C5028" i="62"/>
  <c r="D5028" i="62"/>
  <c r="A5029" i="62"/>
  <c r="C5029" i="62"/>
  <c r="D5029" i="62"/>
  <c r="A5030" i="62"/>
  <c r="C5030" i="62"/>
  <c r="D5030" i="62"/>
  <c r="A5031" i="62"/>
  <c r="C5031" i="62"/>
  <c r="D5031" i="62"/>
  <c r="A5032" i="62"/>
  <c r="C5032" i="62"/>
  <c r="D5032" i="62"/>
  <c r="A5033" i="62"/>
  <c r="C5033" i="62"/>
  <c r="D5033" i="62"/>
  <c r="A5034" i="62"/>
  <c r="C5034" i="62"/>
  <c r="D5034" i="62"/>
  <c r="A5035" i="62"/>
  <c r="C5035" i="62"/>
  <c r="D5035" i="62"/>
  <c r="A5036" i="62"/>
  <c r="C5036" i="62"/>
  <c r="D5036" i="62"/>
  <c r="A5037" i="62"/>
  <c r="C5037" i="62"/>
  <c r="D5037" i="62"/>
  <c r="A5038" i="62"/>
  <c r="C5038" i="62"/>
  <c r="D5038" i="62"/>
  <c r="A5039" i="62"/>
  <c r="C5039" i="62"/>
  <c r="D5039" i="62"/>
  <c r="A5040" i="62"/>
  <c r="C5040" i="62"/>
  <c r="D5040" i="62"/>
  <c r="A5041" i="62"/>
  <c r="C5041" i="62"/>
  <c r="D5041" i="62"/>
  <c r="A5042" i="62"/>
  <c r="C5042" i="62"/>
  <c r="D5042" i="62"/>
  <c r="A5043" i="62"/>
  <c r="C5043" i="62"/>
  <c r="D5043" i="62"/>
  <c r="A5044" i="62"/>
  <c r="C5044" i="62"/>
  <c r="D5044" i="62"/>
  <c r="A5045" i="62"/>
  <c r="C5045" i="62"/>
  <c r="D5045" i="62"/>
  <c r="A5046" i="62"/>
  <c r="C5046" i="62"/>
  <c r="D5046" i="62"/>
  <c r="A5047" i="62"/>
  <c r="C5047" i="62"/>
  <c r="D5047" i="62"/>
  <c r="A5048" i="62"/>
  <c r="C5048" i="62"/>
  <c r="D5048" i="62"/>
  <c r="A5049" i="62"/>
  <c r="C5049" i="62"/>
  <c r="D5049" i="62"/>
  <c r="A5050" i="62"/>
  <c r="C5050" i="62"/>
  <c r="D5050" i="62"/>
  <c r="A5051" i="62"/>
  <c r="C5051" i="62"/>
  <c r="D5051" i="62"/>
  <c r="A5052" i="62"/>
  <c r="C5052" i="62"/>
  <c r="D5052" i="62"/>
  <c r="A5053" i="62"/>
  <c r="C5053" i="62"/>
  <c r="D5053" i="62"/>
  <c r="A5054" i="62"/>
  <c r="C5054" i="62"/>
  <c r="D5054" i="62"/>
  <c r="A5055" i="62"/>
  <c r="C5055" i="62"/>
  <c r="D5055" i="62"/>
  <c r="A5056" i="62"/>
  <c r="C5056" i="62"/>
  <c r="D5056" i="62"/>
  <c r="A5057" i="62"/>
  <c r="C5057" i="62"/>
  <c r="D5057" i="62"/>
  <c r="A5058" i="62"/>
  <c r="C5058" i="62"/>
  <c r="D5058" i="62"/>
  <c r="A5059" i="62"/>
  <c r="C5059" i="62"/>
  <c r="D5059" i="62"/>
  <c r="A5060" i="62"/>
  <c r="C5060" i="62"/>
  <c r="D5060" i="62"/>
  <c r="A5061" i="62"/>
  <c r="C5061" i="62"/>
  <c r="D5061" i="62"/>
  <c r="A5062" i="62"/>
  <c r="C5062" i="62"/>
  <c r="D5062" i="62"/>
  <c r="A5063" i="62"/>
  <c r="C5063" i="62"/>
  <c r="D5063" i="62"/>
  <c r="A5064" i="62"/>
  <c r="C5064" i="62"/>
  <c r="D5064" i="62"/>
  <c r="A5065" i="62"/>
  <c r="C5065" i="62"/>
  <c r="D5065" i="62"/>
  <c r="A5066" i="62"/>
  <c r="C5066" i="62"/>
  <c r="D5066" i="62"/>
  <c r="A5067" i="62"/>
  <c r="C5067" i="62"/>
  <c r="D5067" i="62"/>
  <c r="A5068" i="62"/>
  <c r="C5068" i="62"/>
  <c r="D5068" i="62"/>
  <c r="A5069" i="62"/>
  <c r="C5069" i="62"/>
  <c r="D5069" i="62"/>
  <c r="A5070" i="62"/>
  <c r="C5070" i="62"/>
  <c r="D5070" i="62"/>
  <c r="A5071" i="62"/>
  <c r="C5071" i="62"/>
  <c r="D5071" i="62"/>
  <c r="A5072" i="62"/>
  <c r="C5072" i="62"/>
  <c r="D5072" i="62"/>
  <c r="A5073" i="62"/>
  <c r="C5073" i="62"/>
  <c r="D5073" i="62"/>
  <c r="A5074" i="62"/>
  <c r="C5074" i="62"/>
  <c r="D5074" i="62"/>
  <c r="A5075" i="62"/>
  <c r="C5075" i="62"/>
  <c r="D5075" i="62"/>
  <c r="A5076" i="62"/>
  <c r="C5076" i="62"/>
  <c r="D5076" i="62"/>
  <c r="A5077" i="62"/>
  <c r="C5077" i="62"/>
  <c r="D5077" i="62"/>
  <c r="A5078" i="62"/>
  <c r="C5078" i="62"/>
  <c r="D5078" i="62"/>
  <c r="A5079" i="62"/>
  <c r="C5079" i="62"/>
  <c r="D5079" i="62"/>
  <c r="A5080" i="62"/>
  <c r="C5080" i="62"/>
  <c r="D5080" i="62"/>
  <c r="A5081" i="62"/>
  <c r="C5081" i="62"/>
  <c r="D5081" i="62"/>
  <c r="A5082" i="62"/>
  <c r="C5082" i="62"/>
  <c r="D5082" i="62"/>
  <c r="A5083" i="62"/>
  <c r="C5083" i="62"/>
  <c r="D5083" i="62"/>
  <c r="A5084" i="62"/>
  <c r="C5084" i="62"/>
  <c r="D5084" i="62"/>
  <c r="A5085" i="62"/>
  <c r="C5085" i="62"/>
  <c r="D5085" i="62"/>
  <c r="A5086" i="62"/>
  <c r="C5086" i="62"/>
  <c r="D5086" i="62"/>
  <c r="A5087" i="62"/>
  <c r="C5087" i="62"/>
  <c r="D5087" i="62"/>
  <c r="A5088" i="62"/>
  <c r="C5088" i="62"/>
  <c r="D5088" i="62"/>
  <c r="A5089" i="62"/>
  <c r="C5089" i="62"/>
  <c r="D5089" i="62"/>
  <c r="A5090" i="62"/>
  <c r="C5090" i="62"/>
  <c r="D5090" i="62"/>
  <c r="A5091" i="62"/>
  <c r="C5091" i="62"/>
  <c r="D5091" i="62"/>
  <c r="A5092" i="62"/>
  <c r="C5092" i="62"/>
  <c r="D5092" i="62"/>
  <c r="A5093" i="62"/>
  <c r="C5093" i="62"/>
  <c r="D5093" i="62"/>
  <c r="A5094" i="62"/>
  <c r="C5094" i="62"/>
  <c r="D5094" i="62"/>
  <c r="A5095" i="62"/>
  <c r="C5095" i="62"/>
  <c r="D5095" i="62"/>
  <c r="A5096" i="62"/>
  <c r="C5096" i="62"/>
  <c r="D5096" i="62"/>
  <c r="A5097" i="62"/>
  <c r="C5097" i="62"/>
  <c r="D5097" i="62"/>
  <c r="A5098" i="62"/>
  <c r="C5098" i="62"/>
  <c r="D5098" i="62"/>
  <c r="A5099" i="62"/>
  <c r="C5099" i="62"/>
  <c r="D5099" i="62"/>
  <c r="A5100" i="62"/>
  <c r="C5100" i="62"/>
  <c r="D5100" i="62"/>
  <c r="A5101" i="62"/>
  <c r="C5101" i="62"/>
  <c r="D5101" i="62"/>
  <c r="A5102" i="62"/>
  <c r="C5102" i="62"/>
  <c r="D5102" i="62"/>
  <c r="A5103" i="62"/>
  <c r="C5103" i="62"/>
  <c r="D5103" i="62"/>
  <c r="A5104" i="62"/>
  <c r="C5104" i="62"/>
  <c r="D5104" i="62"/>
  <c r="A5105" i="62"/>
  <c r="C5105" i="62"/>
  <c r="D5105" i="62"/>
  <c r="A5106" i="62"/>
  <c r="C5106" i="62"/>
  <c r="D5106" i="62"/>
  <c r="A5107" i="62"/>
  <c r="C5107" i="62"/>
  <c r="D5107" i="62"/>
  <c r="A5108" i="62"/>
  <c r="C5108" i="62"/>
  <c r="D5108" i="62"/>
  <c r="A5109" i="62"/>
  <c r="C5109" i="62"/>
  <c r="D5109" i="62"/>
  <c r="A5110" i="62"/>
  <c r="C5110" i="62"/>
  <c r="D5110" i="62"/>
  <c r="A5111" i="62"/>
  <c r="C5111" i="62"/>
  <c r="D5111" i="62"/>
  <c r="A5112" i="62"/>
  <c r="C5112" i="62"/>
  <c r="D5112" i="62"/>
  <c r="A5113" i="62"/>
  <c r="C5113" i="62"/>
  <c r="D5113" i="62"/>
  <c r="A5114" i="62"/>
  <c r="C5114" i="62"/>
  <c r="D5114" i="62"/>
  <c r="A5115" i="62"/>
  <c r="C5115" i="62"/>
  <c r="D5115" i="62"/>
  <c r="A5116" i="62"/>
  <c r="C5116" i="62"/>
  <c r="D5116" i="62"/>
  <c r="A5117" i="62"/>
  <c r="C5117" i="62"/>
  <c r="D5117" i="62"/>
  <c r="A5118" i="62"/>
  <c r="C5118" i="62"/>
  <c r="D5118" i="62"/>
  <c r="A5119" i="62"/>
  <c r="C5119" i="62"/>
  <c r="D5119" i="62"/>
  <c r="A5120" i="62"/>
  <c r="C5120" i="62"/>
  <c r="D5120" i="62"/>
  <c r="A5121" i="62"/>
  <c r="C5121" i="62"/>
  <c r="D5121" i="62"/>
  <c r="A5122" i="62"/>
  <c r="C5122" i="62"/>
  <c r="D5122" i="62"/>
  <c r="A5123" i="62"/>
  <c r="C5123" i="62"/>
  <c r="D5123" i="62"/>
  <c r="A5124" i="62"/>
  <c r="C5124" i="62"/>
  <c r="D5124" i="62"/>
  <c r="A5125" i="62"/>
  <c r="C5125" i="62"/>
  <c r="D5125" i="62"/>
  <c r="A5126" i="62"/>
  <c r="C5126" i="62"/>
  <c r="D5126" i="62"/>
  <c r="A5127" i="62"/>
  <c r="C5127" i="62"/>
  <c r="D5127" i="62"/>
  <c r="A5128" i="62"/>
  <c r="C5128" i="62"/>
  <c r="D5128" i="62"/>
  <c r="A5129" i="62"/>
  <c r="C5129" i="62"/>
  <c r="D5129" i="62"/>
  <c r="A5130" i="62"/>
  <c r="C5130" i="62"/>
  <c r="D5130" i="62"/>
  <c r="A5131" i="62"/>
  <c r="C5131" i="62"/>
  <c r="D5131" i="62"/>
  <c r="A5132" i="62"/>
  <c r="C5132" i="62"/>
  <c r="D5132" i="62"/>
  <c r="A5133" i="62"/>
  <c r="C5133" i="62"/>
  <c r="D5133" i="62"/>
  <c r="A5134" i="62"/>
  <c r="C5134" i="62"/>
  <c r="D5134" i="62"/>
  <c r="A5135" i="62"/>
  <c r="C5135" i="62"/>
  <c r="D5135" i="62"/>
  <c r="A5136" i="62"/>
  <c r="C5136" i="62"/>
  <c r="D5136" i="62"/>
  <c r="A5137" i="62"/>
  <c r="C5137" i="62"/>
  <c r="D5137" i="62"/>
  <c r="A5138" i="62"/>
  <c r="C5138" i="62"/>
  <c r="D5138" i="62"/>
  <c r="A5139" i="62"/>
  <c r="C5139" i="62"/>
  <c r="D5139" i="62"/>
  <c r="A5140" i="62"/>
  <c r="C5140" i="62"/>
  <c r="D5140" i="62"/>
  <c r="A5141" i="62"/>
  <c r="C5141" i="62"/>
  <c r="D5141" i="62"/>
  <c r="A5142" i="62"/>
  <c r="C5142" i="62"/>
  <c r="D5142" i="62"/>
  <c r="A5143" i="62"/>
  <c r="C5143" i="62"/>
  <c r="D5143" i="62"/>
  <c r="A5144" i="62"/>
  <c r="C5144" i="62"/>
  <c r="D5144" i="62"/>
  <c r="A5145" i="62"/>
  <c r="C5145" i="62"/>
  <c r="D5145" i="62"/>
  <c r="A5146" i="62"/>
  <c r="C5146" i="62"/>
  <c r="D5146" i="62"/>
  <c r="A5147" i="62"/>
  <c r="C5147" i="62"/>
  <c r="D5147" i="62"/>
  <c r="A5148" i="62"/>
  <c r="C5148" i="62"/>
  <c r="D5148" i="62"/>
  <c r="A5149" i="62"/>
  <c r="C5149" i="62"/>
  <c r="D5149" i="62"/>
  <c r="A5150" i="62"/>
  <c r="C5150" i="62"/>
  <c r="D5150" i="62"/>
  <c r="A5151" i="62"/>
  <c r="C5151" i="62"/>
  <c r="D5151" i="62"/>
  <c r="A5152" i="62"/>
  <c r="C5152" i="62"/>
  <c r="D5152" i="62"/>
  <c r="A5153" i="62"/>
  <c r="C5153" i="62"/>
  <c r="D5153" i="62"/>
  <c r="A5154" i="62"/>
  <c r="C5154" i="62"/>
  <c r="D5154" i="62"/>
  <c r="A5155" i="62"/>
  <c r="C5155" i="62"/>
  <c r="D5155" i="62"/>
  <c r="A5156" i="62"/>
  <c r="C5156" i="62"/>
  <c r="D5156" i="62"/>
  <c r="A5157" i="62"/>
  <c r="C5157" i="62"/>
  <c r="D5157" i="62"/>
  <c r="A5158" i="62"/>
  <c r="C5158" i="62"/>
  <c r="D5158" i="62"/>
  <c r="A5159" i="62"/>
  <c r="C5159" i="62"/>
  <c r="D5159" i="62"/>
  <c r="A5160" i="62"/>
  <c r="C5160" i="62"/>
  <c r="D5160" i="62"/>
  <c r="A5161" i="62"/>
  <c r="C5161" i="62"/>
  <c r="D5161" i="62"/>
  <c r="A5162" i="62"/>
  <c r="C5162" i="62"/>
  <c r="D5162" i="62"/>
  <c r="A5163" i="62"/>
  <c r="C5163" i="62"/>
  <c r="D5163" i="62"/>
  <c r="A5164" i="62"/>
  <c r="C5164" i="62"/>
  <c r="D5164" i="62"/>
  <c r="A5165" i="62"/>
  <c r="C5165" i="62"/>
  <c r="D5165" i="62"/>
  <c r="A5166" i="62"/>
  <c r="C5166" i="62"/>
  <c r="D5166" i="62"/>
  <c r="A5167" i="62"/>
  <c r="C5167" i="62"/>
  <c r="D5167" i="62"/>
  <c r="A5168" i="62"/>
  <c r="C5168" i="62"/>
  <c r="D5168" i="62"/>
  <c r="A5169" i="62"/>
  <c r="C5169" i="62"/>
  <c r="D5169" i="62"/>
  <c r="A5170" i="62"/>
  <c r="C5170" i="62"/>
  <c r="D5170" i="62"/>
  <c r="A5171" i="62"/>
  <c r="C5171" i="62"/>
  <c r="D5171" i="62"/>
  <c r="A5172" i="62"/>
  <c r="C5172" i="62"/>
  <c r="D5172" i="62"/>
  <c r="A5173" i="62"/>
  <c r="C5173" i="62"/>
  <c r="D5173" i="62"/>
  <c r="A5174" i="62"/>
  <c r="C5174" i="62"/>
  <c r="D5174" i="62"/>
  <c r="A5175" i="62"/>
  <c r="C5175" i="62"/>
  <c r="D5175" i="62"/>
  <c r="A5176" i="62"/>
  <c r="C5176" i="62"/>
  <c r="D5176" i="62"/>
  <c r="A5177" i="62"/>
  <c r="C5177" i="62"/>
  <c r="D5177" i="62"/>
  <c r="A5178" i="62"/>
  <c r="C5178" i="62"/>
  <c r="D5178" i="62"/>
  <c r="A5179" i="62"/>
  <c r="C5179" i="62"/>
  <c r="D5179" i="62"/>
  <c r="A5180" i="62"/>
  <c r="C5180" i="62"/>
  <c r="D5180" i="62"/>
  <c r="A5181" i="62"/>
  <c r="C5181" i="62"/>
  <c r="D5181" i="62"/>
  <c r="A5182" i="62"/>
  <c r="C5182" i="62"/>
  <c r="D5182" i="62"/>
  <c r="A5183" i="62"/>
  <c r="C5183" i="62"/>
  <c r="D5183" i="62"/>
  <c r="A5184" i="62"/>
  <c r="C5184" i="62"/>
  <c r="D5184" i="62"/>
  <c r="A5185" i="62"/>
  <c r="C5185" i="62"/>
  <c r="D5185" i="62"/>
  <c r="A5186" i="62"/>
  <c r="C5186" i="62"/>
  <c r="D5186" i="62"/>
  <c r="A5187" i="62"/>
  <c r="C5187" i="62"/>
  <c r="D5187" i="62"/>
  <c r="A5188" i="62"/>
  <c r="C5188" i="62"/>
  <c r="D5188" i="62"/>
  <c r="A5189" i="62"/>
  <c r="C5189" i="62"/>
  <c r="D5189" i="62"/>
  <c r="A5190" i="62"/>
  <c r="C5190" i="62"/>
  <c r="D5190" i="62"/>
  <c r="A5191" i="62"/>
  <c r="C5191" i="62"/>
  <c r="D5191" i="62"/>
  <c r="A5192" i="62"/>
  <c r="C5192" i="62"/>
  <c r="D5192" i="62"/>
  <c r="A5193" i="62"/>
  <c r="C5193" i="62"/>
  <c r="D5193" i="62"/>
  <c r="A5194" i="62"/>
  <c r="C5194" i="62"/>
  <c r="D5194" i="62"/>
  <c r="A5195" i="62"/>
  <c r="C5195" i="62"/>
  <c r="D5195" i="62"/>
  <c r="A5196" i="62"/>
  <c r="C5196" i="62"/>
  <c r="D5196" i="62"/>
  <c r="A5197" i="62"/>
  <c r="C5197" i="62"/>
  <c r="D5197" i="62"/>
  <c r="A5198" i="62"/>
  <c r="C5198" i="62"/>
  <c r="D5198" i="62"/>
  <c r="A5199" i="62"/>
  <c r="C5199" i="62"/>
  <c r="D5199" i="62"/>
  <c r="A5200" i="62"/>
  <c r="C5200" i="62"/>
  <c r="D5200" i="62"/>
  <c r="A5201" i="62"/>
  <c r="C5201" i="62"/>
  <c r="D5201" i="62"/>
  <c r="A5202" i="62"/>
  <c r="C5202" i="62"/>
  <c r="D5202" i="62"/>
  <c r="A5203" i="62"/>
  <c r="C5203" i="62"/>
  <c r="D5203" i="62"/>
  <c r="A5204" i="62"/>
  <c r="C5204" i="62"/>
  <c r="D5204" i="62"/>
  <c r="A5205" i="62"/>
  <c r="C5205" i="62"/>
  <c r="D5205" i="62"/>
  <c r="A5206" i="62"/>
  <c r="C5206" i="62"/>
  <c r="D5206" i="62"/>
  <c r="A5207" i="62"/>
  <c r="C5207" i="62"/>
  <c r="D5207" i="62"/>
  <c r="A5208" i="62"/>
  <c r="C5208" i="62"/>
  <c r="D5208" i="62"/>
  <c r="A5209" i="62"/>
  <c r="C5209" i="62"/>
  <c r="D5209" i="62"/>
  <c r="A5210" i="62"/>
  <c r="C5210" i="62"/>
  <c r="D5210" i="62"/>
  <c r="A5211" i="62"/>
  <c r="C5211" i="62"/>
  <c r="D5211" i="62"/>
  <c r="A5212" i="62"/>
  <c r="C5212" i="62"/>
  <c r="D5212" i="62"/>
  <c r="A5213" i="62"/>
  <c r="C5213" i="62"/>
  <c r="D5213" i="62"/>
  <c r="A5214" i="62"/>
  <c r="C5214" i="62"/>
  <c r="D5214" i="62"/>
  <c r="A5215" i="62"/>
  <c r="C5215" i="62"/>
  <c r="D5215" i="62"/>
  <c r="A5216" i="62"/>
  <c r="C5216" i="62"/>
  <c r="D5216" i="62"/>
  <c r="A5217" i="62"/>
  <c r="C5217" i="62"/>
  <c r="D5217" i="62"/>
  <c r="A5218" i="62"/>
  <c r="C5218" i="62"/>
  <c r="D5218" i="62"/>
  <c r="A5219" i="62"/>
  <c r="C5219" i="62"/>
  <c r="D5219" i="62"/>
  <c r="A5220" i="62"/>
  <c r="C5220" i="62"/>
  <c r="D5220" i="62"/>
  <c r="A5221" i="62"/>
  <c r="C5221" i="62"/>
  <c r="D5221" i="62"/>
  <c r="A5222" i="62"/>
  <c r="C5222" i="62"/>
  <c r="D5222" i="62"/>
  <c r="A5223" i="62"/>
  <c r="C5223" i="62"/>
  <c r="D5223" i="62"/>
  <c r="A5224" i="62"/>
  <c r="C5224" i="62"/>
  <c r="D5224" i="62"/>
  <c r="A5225" i="62"/>
  <c r="C5225" i="62"/>
  <c r="D5225" i="62"/>
  <c r="A5226" i="62"/>
  <c r="C5226" i="62"/>
  <c r="D5226" i="62"/>
  <c r="A5227" i="62"/>
  <c r="C5227" i="62"/>
  <c r="D5227" i="62"/>
  <c r="A5228" i="62"/>
  <c r="C5228" i="62"/>
  <c r="D5228" i="62"/>
  <c r="A5229" i="62"/>
  <c r="C5229" i="62"/>
  <c r="D5229" i="62"/>
  <c r="A5230" i="62"/>
  <c r="C5230" i="62"/>
  <c r="D5230" i="62"/>
  <c r="A5231" i="62"/>
  <c r="C5231" i="62"/>
  <c r="D5231" i="62"/>
  <c r="A5232" i="62"/>
  <c r="C5232" i="62"/>
  <c r="D5232" i="62"/>
  <c r="A5233" i="62"/>
  <c r="C5233" i="62"/>
  <c r="D5233" i="62"/>
  <c r="A5234" i="62"/>
  <c r="C5234" i="62"/>
  <c r="D5234" i="62"/>
  <c r="A5235" i="62"/>
  <c r="C5235" i="62"/>
  <c r="D5235" i="62"/>
  <c r="A5236" i="62"/>
  <c r="C5236" i="62"/>
  <c r="D5236" i="62"/>
  <c r="A5237" i="62"/>
  <c r="C5237" i="62"/>
  <c r="D5237" i="62"/>
  <c r="A5238" i="62"/>
  <c r="C5238" i="62"/>
  <c r="D5238" i="62"/>
  <c r="A5239" i="62"/>
  <c r="C5239" i="62"/>
  <c r="D5239" i="62"/>
  <c r="A5240" i="62"/>
  <c r="C5240" i="62"/>
  <c r="D5240" i="62"/>
  <c r="A5241" i="62"/>
  <c r="C5241" i="62"/>
  <c r="D5241" i="62"/>
  <c r="A5242" i="62"/>
  <c r="C5242" i="62"/>
  <c r="D5242" i="62"/>
  <c r="A5243" i="62"/>
  <c r="C5243" i="62"/>
  <c r="D5243" i="62"/>
  <c r="A5244" i="62"/>
  <c r="C5244" i="62"/>
  <c r="D5244" i="62"/>
  <c r="A5245" i="62"/>
  <c r="C5245" i="62"/>
  <c r="D5245" i="62"/>
  <c r="A5246" i="62"/>
  <c r="C5246" i="62"/>
  <c r="D5246" i="62"/>
  <c r="A5247" i="62"/>
  <c r="C5247" i="62"/>
  <c r="D5247" i="62"/>
  <c r="A5248" i="62"/>
  <c r="C5248" i="62"/>
  <c r="D5248" i="62"/>
  <c r="A5249" i="62"/>
  <c r="C5249" i="62"/>
  <c r="D5249" i="62"/>
  <c r="A5250" i="62"/>
  <c r="C5250" i="62"/>
  <c r="D5250" i="62"/>
  <c r="A5251" i="62"/>
  <c r="C5251" i="62"/>
  <c r="D5251" i="62"/>
  <c r="A5252" i="62"/>
  <c r="C5252" i="62"/>
  <c r="D5252" i="62"/>
  <c r="A5253" i="62"/>
  <c r="C5253" i="62"/>
  <c r="D5253" i="62"/>
  <c r="A5254" i="62"/>
  <c r="C5254" i="62"/>
  <c r="D5254" i="62"/>
  <c r="A5255" i="62"/>
  <c r="C5255" i="62"/>
  <c r="D5255" i="62"/>
  <c r="A5256" i="62"/>
  <c r="C5256" i="62"/>
  <c r="D5256" i="62"/>
  <c r="A5257" i="62"/>
  <c r="C5257" i="62"/>
  <c r="D5257" i="62"/>
  <c r="A5258" i="62"/>
  <c r="C5258" i="62"/>
  <c r="D5258" i="62"/>
  <c r="A5259" i="62"/>
  <c r="C5259" i="62"/>
  <c r="D5259" i="62"/>
  <c r="A5260" i="62"/>
  <c r="C5260" i="62"/>
  <c r="D5260" i="62"/>
  <c r="A5261" i="62"/>
  <c r="C5261" i="62"/>
  <c r="D5261" i="62"/>
  <c r="A5262" i="62"/>
  <c r="C5262" i="62"/>
  <c r="D5262" i="62"/>
  <c r="A5263" i="62"/>
  <c r="C5263" i="62"/>
  <c r="D5263" i="62"/>
  <c r="A5264" i="62"/>
  <c r="C5264" i="62"/>
  <c r="D5264" i="62"/>
  <c r="A5265" i="62"/>
  <c r="C5265" i="62"/>
  <c r="D5265" i="62"/>
  <c r="A5266" i="62"/>
  <c r="C5266" i="62"/>
  <c r="D5266" i="62"/>
  <c r="A5267" i="62"/>
  <c r="C5267" i="62"/>
  <c r="D5267" i="62"/>
  <c r="A5268" i="62"/>
  <c r="C5268" i="62"/>
  <c r="D5268" i="62"/>
  <c r="A5269" i="62"/>
  <c r="C5269" i="62"/>
  <c r="D5269" i="62"/>
  <c r="A5270" i="62"/>
  <c r="C5270" i="62"/>
  <c r="D5270" i="62"/>
  <c r="A5271" i="62"/>
  <c r="C5271" i="62"/>
  <c r="D5271" i="62"/>
  <c r="A5272" i="62"/>
  <c r="C5272" i="62"/>
  <c r="D5272" i="62"/>
  <c r="A5273" i="62"/>
  <c r="C5273" i="62"/>
  <c r="D5273" i="62"/>
  <c r="A5274" i="62"/>
  <c r="C5274" i="62"/>
  <c r="D5274" i="62"/>
  <c r="A5275" i="62"/>
  <c r="C5275" i="62"/>
  <c r="D5275" i="62"/>
  <c r="A5276" i="62"/>
  <c r="C5276" i="62"/>
  <c r="D5276" i="62"/>
  <c r="A5277" i="62"/>
  <c r="C5277" i="62"/>
  <c r="D5277" i="62"/>
  <c r="A5278" i="62"/>
  <c r="C5278" i="62"/>
  <c r="D5278" i="62"/>
  <c r="A5279" i="62"/>
  <c r="C5279" i="62"/>
  <c r="D5279" i="62"/>
  <c r="A5280" i="62"/>
  <c r="C5280" i="62"/>
  <c r="D5280" i="62"/>
  <c r="A5281" i="62"/>
  <c r="C5281" i="62"/>
  <c r="D5281" i="62"/>
  <c r="A5282" i="62"/>
  <c r="C5282" i="62"/>
  <c r="D5282" i="62"/>
  <c r="A5283" i="62"/>
  <c r="C5283" i="62"/>
  <c r="D5283" i="62"/>
  <c r="A5284" i="62"/>
  <c r="C5284" i="62"/>
  <c r="D5284" i="62"/>
  <c r="A5285" i="62"/>
  <c r="C5285" i="62"/>
  <c r="D5285" i="62"/>
  <c r="A5286" i="62"/>
  <c r="C5286" i="62"/>
  <c r="D5286" i="62"/>
  <c r="A5287" i="62"/>
  <c r="C5287" i="62"/>
  <c r="D5287" i="62"/>
  <c r="A5288" i="62"/>
  <c r="C5288" i="62"/>
  <c r="D5288" i="62"/>
  <c r="A5289" i="62"/>
  <c r="C5289" i="62"/>
  <c r="D5289" i="62"/>
  <c r="A5290" i="62"/>
  <c r="C5290" i="62"/>
  <c r="D5290" i="62"/>
  <c r="A5291" i="62"/>
  <c r="C5291" i="62"/>
  <c r="D5291" i="62"/>
  <c r="A5292" i="62"/>
  <c r="C5292" i="62"/>
  <c r="D5292" i="62"/>
  <c r="A5293" i="62"/>
  <c r="C5293" i="62"/>
  <c r="D5293" i="62"/>
  <c r="A5294" i="62"/>
  <c r="C5294" i="62"/>
  <c r="D5294" i="62"/>
  <c r="A5295" i="62"/>
  <c r="C5295" i="62"/>
  <c r="D5295" i="62"/>
  <c r="A5296" i="62"/>
  <c r="C5296" i="62"/>
  <c r="D5296" i="62"/>
  <c r="A5297" i="62"/>
  <c r="C5297" i="62"/>
  <c r="D5297" i="62"/>
  <c r="A5298" i="62"/>
  <c r="C5298" i="62"/>
  <c r="D5298" i="62"/>
  <c r="A5299" i="62"/>
  <c r="C5299" i="62"/>
  <c r="D5299" i="62"/>
  <c r="A5300" i="62"/>
  <c r="C5300" i="62"/>
  <c r="D5300" i="62"/>
  <c r="A5301" i="62"/>
  <c r="C5301" i="62"/>
  <c r="D5301" i="62"/>
  <c r="A5302" i="62"/>
  <c r="C5302" i="62"/>
  <c r="D5302" i="62"/>
  <c r="A5303" i="62"/>
  <c r="C5303" i="62"/>
  <c r="D5303" i="62"/>
  <c r="A5304" i="62"/>
  <c r="C5304" i="62"/>
  <c r="D5304" i="62"/>
  <c r="A5305" i="62"/>
  <c r="C5305" i="62"/>
  <c r="D5305" i="62"/>
  <c r="A5306" i="62"/>
  <c r="C5306" i="62"/>
  <c r="D5306" i="62"/>
  <c r="A5307" i="62"/>
  <c r="C5307" i="62"/>
  <c r="D5307" i="62"/>
  <c r="A5308" i="62"/>
  <c r="C5308" i="62"/>
  <c r="D5308" i="62"/>
  <c r="A5309" i="62"/>
  <c r="C5309" i="62"/>
  <c r="D5309" i="62"/>
  <c r="A5310" i="62"/>
  <c r="C5310" i="62"/>
  <c r="D5310" i="62"/>
  <c r="A5311" i="62"/>
  <c r="C5311" i="62"/>
  <c r="D5311" i="62"/>
  <c r="A5312" i="62"/>
  <c r="C5312" i="62"/>
  <c r="D5312" i="62"/>
  <c r="A5313" i="62"/>
  <c r="C5313" i="62"/>
  <c r="D5313" i="62"/>
  <c r="A5314" i="62"/>
  <c r="C5314" i="62"/>
  <c r="D5314" i="62"/>
  <c r="A5315" i="62"/>
  <c r="C5315" i="62"/>
  <c r="D5315" i="62"/>
  <c r="A5316" i="62"/>
  <c r="C5316" i="62"/>
  <c r="D5316" i="62"/>
  <c r="A5317" i="62"/>
  <c r="C5317" i="62"/>
  <c r="D5317" i="62"/>
  <c r="A5318" i="62"/>
  <c r="C5318" i="62"/>
  <c r="D5318" i="62"/>
  <c r="A5319" i="62"/>
  <c r="C5319" i="62"/>
  <c r="D5319" i="62"/>
  <c r="A5320" i="62"/>
  <c r="C5320" i="62"/>
  <c r="D5320" i="62"/>
  <c r="A5321" i="62"/>
  <c r="C5321" i="62"/>
  <c r="D5321" i="62"/>
  <c r="A5322" i="62"/>
  <c r="C5322" i="62"/>
  <c r="D5322" i="62"/>
  <c r="A5323" i="62"/>
  <c r="C5323" i="62"/>
  <c r="D5323" i="62"/>
  <c r="A5324" i="62"/>
  <c r="C5324" i="62"/>
  <c r="D5324" i="62"/>
  <c r="A5325" i="62"/>
  <c r="C5325" i="62"/>
  <c r="D5325" i="62"/>
  <c r="A5326" i="62"/>
  <c r="C5326" i="62"/>
  <c r="D5326" i="62"/>
  <c r="A5327" i="62"/>
  <c r="C5327" i="62"/>
  <c r="D5327" i="62"/>
  <c r="A5328" i="62"/>
  <c r="C5328" i="62"/>
  <c r="D5328" i="62"/>
  <c r="A5329" i="62"/>
  <c r="C5329" i="62"/>
  <c r="D5329" i="62"/>
  <c r="A5330" i="62"/>
  <c r="C5330" i="62"/>
  <c r="D5330" i="62"/>
  <c r="A5331" i="62"/>
  <c r="C5331" i="62"/>
  <c r="D5331" i="62"/>
  <c r="A5332" i="62"/>
  <c r="C5332" i="62"/>
  <c r="D5332" i="62"/>
  <c r="A5333" i="62"/>
  <c r="C5333" i="62"/>
  <c r="D5333" i="62"/>
  <c r="A5334" i="62"/>
  <c r="C5334" i="62"/>
  <c r="D5334" i="62"/>
  <c r="A5335" i="62"/>
  <c r="C5335" i="62"/>
  <c r="D5335" i="62"/>
  <c r="A5336" i="62"/>
  <c r="C5336" i="62"/>
  <c r="D5336" i="62"/>
  <c r="A5337" i="62"/>
  <c r="C5337" i="62"/>
  <c r="D5337" i="62"/>
  <c r="A5338" i="62"/>
  <c r="C5338" i="62"/>
  <c r="D5338" i="62"/>
  <c r="A5339" i="62"/>
  <c r="C5339" i="62"/>
  <c r="D5339" i="62"/>
  <c r="A5340" i="62"/>
  <c r="C5340" i="62"/>
  <c r="D5340" i="62"/>
  <c r="A5341" i="62"/>
  <c r="C5341" i="62"/>
  <c r="D5341" i="62"/>
  <c r="A5342" i="62"/>
  <c r="C5342" i="62"/>
  <c r="D5342" i="62"/>
  <c r="A5343" i="62"/>
  <c r="C5343" i="62"/>
  <c r="D5343" i="62"/>
  <c r="A5344" i="62"/>
  <c r="C5344" i="62"/>
  <c r="D5344" i="62"/>
  <c r="A5345" i="62"/>
  <c r="C5345" i="62"/>
  <c r="D5345" i="62"/>
  <c r="A5346" i="62"/>
  <c r="C5346" i="62"/>
  <c r="D5346" i="62"/>
  <c r="A5347" i="62"/>
  <c r="C5347" i="62"/>
  <c r="D5347" i="62"/>
  <c r="A5348" i="62"/>
  <c r="C5348" i="62"/>
  <c r="D5348" i="62"/>
  <c r="A5349" i="62"/>
  <c r="C5349" i="62"/>
  <c r="D5349" i="62"/>
  <c r="A5350" i="62"/>
  <c r="C5350" i="62"/>
  <c r="D5350" i="62"/>
  <c r="A5351" i="62"/>
  <c r="C5351" i="62"/>
  <c r="D5351" i="62"/>
  <c r="A5352" i="62"/>
  <c r="C5352" i="62"/>
  <c r="D5352" i="62"/>
  <c r="A5353" i="62"/>
  <c r="C5353" i="62"/>
  <c r="D5353" i="62"/>
  <c r="A5354" i="62"/>
  <c r="C5354" i="62"/>
  <c r="D5354" i="62"/>
  <c r="A5355" i="62"/>
  <c r="C5355" i="62"/>
  <c r="D5355" i="62"/>
  <c r="A5356" i="62"/>
  <c r="C5356" i="62"/>
  <c r="D5356" i="62"/>
  <c r="A5357" i="62"/>
  <c r="C5357" i="62"/>
  <c r="D5357" i="62"/>
  <c r="A5358" i="62"/>
  <c r="C5358" i="62"/>
  <c r="D5358" i="62"/>
  <c r="A5359" i="62"/>
  <c r="C5359" i="62"/>
  <c r="D5359" i="62"/>
  <c r="A5360" i="62"/>
  <c r="C5360" i="62"/>
  <c r="D5360" i="62"/>
  <c r="A5361" i="62"/>
  <c r="C5361" i="62"/>
  <c r="D5361" i="62"/>
  <c r="A5362" i="62"/>
  <c r="C5362" i="62"/>
  <c r="D5362" i="62"/>
  <c r="A5363" i="62"/>
  <c r="C5363" i="62"/>
  <c r="D5363" i="62"/>
  <c r="A5364" i="62"/>
  <c r="C5364" i="62"/>
  <c r="D5364" i="62"/>
  <c r="A5365" i="62"/>
  <c r="C5365" i="62"/>
  <c r="D5365" i="62"/>
  <c r="A5366" i="62"/>
  <c r="C5366" i="62"/>
  <c r="D5366" i="62"/>
  <c r="A5367" i="62"/>
  <c r="C5367" i="62"/>
  <c r="D5367" i="62"/>
  <c r="A5368" i="62"/>
  <c r="C5368" i="62"/>
  <c r="D5368" i="62"/>
  <c r="A5369" i="62"/>
  <c r="C5369" i="62"/>
  <c r="D5369" i="62"/>
  <c r="A5370" i="62"/>
  <c r="C5370" i="62"/>
  <c r="D5370" i="62"/>
  <c r="A5371" i="62"/>
  <c r="C5371" i="62"/>
  <c r="D5371" i="62"/>
  <c r="A5372" i="62"/>
  <c r="C5372" i="62"/>
  <c r="D5372" i="62"/>
  <c r="A5373" i="62"/>
  <c r="C5373" i="62"/>
  <c r="D5373" i="62"/>
  <c r="A5374" i="62"/>
  <c r="C5374" i="62"/>
  <c r="D5374" i="62"/>
  <c r="A5375" i="62"/>
  <c r="C5375" i="62"/>
  <c r="D5375" i="62"/>
  <c r="A5376" i="62"/>
  <c r="C5376" i="62"/>
  <c r="D5376" i="62"/>
  <c r="A5377" i="62"/>
  <c r="C5377" i="62"/>
  <c r="D5377" i="62"/>
  <c r="A5378" i="62"/>
  <c r="C5378" i="62"/>
  <c r="D5378" i="62"/>
  <c r="A5379" i="62"/>
  <c r="C5379" i="62"/>
  <c r="D5379" i="62"/>
  <c r="A5380" i="62"/>
  <c r="C5380" i="62"/>
  <c r="D5380" i="62"/>
  <c r="A5381" i="62"/>
  <c r="C5381" i="62"/>
  <c r="D5381" i="62"/>
  <c r="A5382" i="62"/>
  <c r="C5382" i="62"/>
  <c r="D5382" i="62"/>
  <c r="A5383" i="62"/>
  <c r="C5383" i="62"/>
  <c r="D5383" i="62"/>
  <c r="A5384" i="62"/>
  <c r="C5384" i="62"/>
  <c r="D5384" i="62"/>
  <c r="A5385" i="62"/>
  <c r="C5385" i="62"/>
  <c r="D5385" i="62"/>
  <c r="A5386" i="62"/>
  <c r="C5386" i="62"/>
  <c r="D5386" i="62"/>
  <c r="A5387" i="62"/>
  <c r="C5387" i="62"/>
  <c r="D5387" i="62"/>
  <c r="A5388" i="62"/>
  <c r="C5388" i="62"/>
  <c r="D5388" i="62"/>
  <c r="A5389" i="62"/>
  <c r="C5389" i="62"/>
  <c r="D5389" i="62"/>
  <c r="A5390" i="62"/>
  <c r="C5390" i="62"/>
  <c r="D5390" i="62"/>
  <c r="A5391" i="62"/>
  <c r="C5391" i="62"/>
  <c r="D5391" i="62"/>
  <c r="A5392" i="62"/>
  <c r="C5392" i="62"/>
  <c r="D5392" i="62"/>
  <c r="A5393" i="62"/>
  <c r="C5393" i="62"/>
  <c r="D5393" i="62"/>
  <c r="A5394" i="62"/>
  <c r="C5394" i="62"/>
  <c r="D5394" i="62"/>
  <c r="A5395" i="62"/>
  <c r="C5395" i="62"/>
  <c r="D5395" i="62"/>
  <c r="A5396" i="62"/>
  <c r="C5396" i="62"/>
  <c r="D5396" i="62"/>
  <c r="A5397" i="62"/>
  <c r="C5397" i="62"/>
  <c r="D5397" i="62"/>
  <c r="A5398" i="62"/>
  <c r="C5398" i="62"/>
  <c r="D5398" i="62"/>
  <c r="A5399" i="62"/>
  <c r="C5399" i="62"/>
  <c r="D5399" i="62"/>
  <c r="A5400" i="62"/>
  <c r="C5400" i="62"/>
  <c r="D5400" i="62"/>
  <c r="A5401" i="62"/>
  <c r="C5401" i="62"/>
  <c r="D5401" i="62"/>
  <c r="A5402" i="62"/>
  <c r="C5402" i="62"/>
  <c r="D5402" i="62"/>
  <c r="A5403" i="62"/>
  <c r="C5403" i="62"/>
  <c r="D5403" i="62"/>
  <c r="A5404" i="62"/>
  <c r="C5404" i="62"/>
  <c r="D5404" i="62"/>
  <c r="A5405" i="62"/>
  <c r="C5405" i="62"/>
  <c r="D5405" i="62"/>
  <c r="A5406" i="62"/>
  <c r="C5406" i="62"/>
  <c r="D5406" i="62"/>
  <c r="A5407" i="62"/>
  <c r="C5407" i="62"/>
  <c r="D5407" i="62"/>
  <c r="A5408" i="62"/>
  <c r="C5408" i="62"/>
  <c r="D5408" i="62"/>
  <c r="A5409" i="62"/>
  <c r="C5409" i="62"/>
  <c r="D5409" i="62"/>
  <c r="A5410" i="62"/>
  <c r="C5410" i="62"/>
  <c r="D5410" i="62"/>
  <c r="A5411" i="62"/>
  <c r="C5411" i="62"/>
  <c r="D5411" i="62"/>
  <c r="A5412" i="62"/>
  <c r="C5412" i="62"/>
  <c r="D5412" i="62"/>
  <c r="A5413" i="62"/>
  <c r="C5413" i="62"/>
  <c r="D5413" i="62"/>
  <c r="A5414" i="62"/>
  <c r="C5414" i="62"/>
  <c r="D5414" i="62"/>
  <c r="A5415" i="62"/>
  <c r="C5415" i="62"/>
  <c r="D5415" i="62"/>
  <c r="A5416" i="62"/>
  <c r="C5416" i="62"/>
  <c r="D5416" i="62"/>
  <c r="A5417" i="62"/>
  <c r="C5417" i="62"/>
  <c r="D5417" i="62"/>
  <c r="A5418" i="62"/>
  <c r="C5418" i="62"/>
  <c r="D5418" i="62"/>
  <c r="A5419" i="62"/>
  <c r="C5419" i="62"/>
  <c r="D5419" i="62"/>
  <c r="A5420" i="62"/>
  <c r="C5420" i="62"/>
  <c r="D5420" i="62"/>
  <c r="A5421" i="62"/>
  <c r="C5421" i="62"/>
  <c r="D5421" i="62"/>
  <c r="A5422" i="62"/>
  <c r="C5422" i="62"/>
  <c r="D5422" i="62"/>
  <c r="A5423" i="62"/>
  <c r="C5423" i="62"/>
  <c r="D5423" i="62"/>
  <c r="A5424" i="62"/>
  <c r="C5424" i="62"/>
  <c r="D5424" i="62"/>
  <c r="A5425" i="62"/>
  <c r="C5425" i="62"/>
  <c r="D5425" i="62"/>
  <c r="A5426" i="62"/>
  <c r="C5426" i="62"/>
  <c r="D5426" i="62"/>
  <c r="A5427" i="62"/>
  <c r="C5427" i="62"/>
  <c r="D5427" i="62"/>
  <c r="A5428" i="62"/>
  <c r="C5428" i="62"/>
  <c r="D5428" i="62"/>
  <c r="A5429" i="62"/>
  <c r="C5429" i="62"/>
  <c r="D5429" i="62"/>
  <c r="A5430" i="62"/>
  <c r="C5430" i="62"/>
  <c r="D5430" i="62"/>
  <c r="A5431" i="62"/>
  <c r="C5431" i="62"/>
  <c r="D5431" i="62"/>
  <c r="A5432" i="62"/>
  <c r="C5432" i="62"/>
  <c r="D5432" i="62"/>
  <c r="A5433" i="62"/>
  <c r="C5433" i="62"/>
  <c r="D5433" i="62"/>
  <c r="A5434" i="62"/>
  <c r="C5434" i="62"/>
  <c r="D5434" i="62"/>
  <c r="A5435" i="62"/>
  <c r="C5435" i="62"/>
  <c r="D5435" i="62"/>
  <c r="A5436" i="62"/>
  <c r="C5436" i="62"/>
  <c r="D5436" i="62"/>
  <c r="A5437" i="62"/>
  <c r="C5437" i="62"/>
  <c r="D5437" i="62"/>
  <c r="A5438" i="62"/>
  <c r="C5438" i="62"/>
  <c r="D5438" i="62"/>
  <c r="A5439" i="62"/>
  <c r="C5439" i="62"/>
  <c r="D5439" i="62"/>
  <c r="A5440" i="62"/>
  <c r="C5440" i="62"/>
  <c r="D5440" i="62"/>
  <c r="A5441" i="62"/>
  <c r="C5441" i="62"/>
  <c r="D5441" i="62"/>
  <c r="A5442" i="62"/>
  <c r="C5442" i="62"/>
  <c r="D5442" i="62"/>
  <c r="A5443" i="62"/>
  <c r="C5443" i="62"/>
  <c r="D5443" i="62"/>
  <c r="A5444" i="62"/>
  <c r="C5444" i="62"/>
  <c r="D5444" i="62"/>
  <c r="A5445" i="62"/>
  <c r="C5445" i="62"/>
  <c r="D5445" i="62"/>
  <c r="A5446" i="62"/>
  <c r="C5446" i="62"/>
  <c r="D5446" i="62"/>
  <c r="A5447" i="62"/>
  <c r="C5447" i="62"/>
  <c r="D5447" i="62"/>
  <c r="A5448" i="62"/>
  <c r="C5448" i="62"/>
  <c r="D5448" i="62"/>
  <c r="A5449" i="62"/>
  <c r="C5449" i="62"/>
  <c r="D5449" i="62"/>
  <c r="A5450" i="62"/>
  <c r="C5450" i="62"/>
  <c r="D5450" i="62"/>
  <c r="A5451" i="62"/>
  <c r="C5451" i="62"/>
  <c r="D5451" i="62"/>
  <c r="A5452" i="62"/>
  <c r="C5452" i="62"/>
  <c r="D5452" i="62"/>
  <c r="A5453" i="62"/>
  <c r="C5453" i="62"/>
  <c r="D5453" i="62"/>
  <c r="A5454" i="62"/>
  <c r="C5454" i="62"/>
  <c r="D5454" i="62"/>
  <c r="A5455" i="62"/>
  <c r="C5455" i="62"/>
  <c r="D5455" i="62"/>
  <c r="A5456" i="62"/>
  <c r="C5456" i="62"/>
  <c r="D5456" i="62"/>
  <c r="A5457" i="62"/>
  <c r="C5457" i="62"/>
  <c r="D5457" i="62"/>
  <c r="A5458" i="62"/>
  <c r="C5458" i="62"/>
  <c r="D5458" i="62"/>
  <c r="A5459" i="62"/>
  <c r="C5459" i="62"/>
  <c r="D5459" i="62"/>
  <c r="A5460" i="62"/>
  <c r="C5460" i="62"/>
  <c r="D5460" i="62"/>
  <c r="A5461" i="62"/>
  <c r="C5461" i="62"/>
  <c r="D5461" i="62"/>
  <c r="A5462" i="62"/>
  <c r="C5462" i="62"/>
  <c r="D5462" i="62"/>
  <c r="A5463" i="62"/>
  <c r="C5463" i="62"/>
  <c r="D5463" i="62"/>
  <c r="A5464" i="62"/>
  <c r="C5464" i="62"/>
  <c r="D5464" i="62"/>
  <c r="A5465" i="62"/>
  <c r="C5465" i="62"/>
  <c r="D5465" i="62"/>
  <c r="A5466" i="62"/>
  <c r="C5466" i="62"/>
  <c r="D5466" i="62"/>
  <c r="A5467" i="62"/>
  <c r="C5467" i="62"/>
  <c r="D5467" i="62"/>
  <c r="A5468" i="62"/>
  <c r="C5468" i="62"/>
  <c r="D5468" i="62"/>
  <c r="A5469" i="62"/>
  <c r="C5469" i="62"/>
  <c r="D5469" i="62"/>
  <c r="A5470" i="62"/>
  <c r="C5470" i="62"/>
  <c r="D5470" i="62"/>
  <c r="A5471" i="62"/>
  <c r="C5471" i="62"/>
  <c r="D5471" i="62"/>
  <c r="A5472" i="62"/>
  <c r="C5472" i="62"/>
  <c r="D5472" i="62"/>
  <c r="A5473" i="62"/>
  <c r="C5473" i="62"/>
  <c r="D5473" i="62"/>
  <c r="A5474" i="62"/>
  <c r="C5474" i="62"/>
  <c r="D5474" i="62"/>
  <c r="A5475" i="62"/>
  <c r="C5475" i="62"/>
  <c r="D5475" i="62"/>
  <c r="A5476" i="62"/>
  <c r="C5476" i="62"/>
  <c r="D5476" i="62"/>
  <c r="A5477" i="62"/>
  <c r="C5477" i="62"/>
  <c r="D5477" i="62"/>
  <c r="A5478" i="62"/>
  <c r="C5478" i="62"/>
  <c r="D5478" i="62"/>
  <c r="A5479" i="62"/>
  <c r="C5479" i="62"/>
  <c r="D5479" i="62"/>
  <c r="A5480" i="62"/>
  <c r="C5480" i="62"/>
  <c r="D5480" i="62"/>
  <c r="A5481" i="62"/>
  <c r="C5481" i="62"/>
  <c r="D5481" i="62"/>
  <c r="A5482" i="62"/>
  <c r="C5482" i="62"/>
  <c r="D5482" i="62"/>
  <c r="A5483" i="62"/>
  <c r="C5483" i="62"/>
  <c r="D5483" i="62"/>
  <c r="A5484" i="62"/>
  <c r="C5484" i="62"/>
  <c r="D5484" i="62"/>
  <c r="A5485" i="62"/>
  <c r="C5485" i="62"/>
  <c r="D5485" i="62"/>
  <c r="A5486" i="62"/>
  <c r="C5486" i="62"/>
  <c r="D5486" i="62"/>
  <c r="A5487" i="62"/>
  <c r="C5487" i="62"/>
  <c r="D5487" i="62"/>
  <c r="A5488" i="62"/>
  <c r="C5488" i="62"/>
  <c r="D5488" i="62"/>
  <c r="A5489" i="62"/>
  <c r="C5489" i="62"/>
  <c r="D5489" i="62"/>
  <c r="A5490" i="62"/>
  <c r="C5490" i="62"/>
  <c r="D5490" i="62"/>
  <c r="A5491" i="62"/>
  <c r="C5491" i="62"/>
  <c r="D5491" i="62"/>
  <c r="A5492" i="62"/>
  <c r="C5492" i="62"/>
  <c r="D5492" i="62"/>
  <c r="A5493" i="62"/>
  <c r="C5493" i="62"/>
  <c r="D5493" i="62"/>
  <c r="A5494" i="62"/>
  <c r="C5494" i="62"/>
  <c r="D5494" i="62"/>
  <c r="A5495" i="62"/>
  <c r="C5495" i="62"/>
  <c r="D5495" i="62"/>
  <c r="A5496" i="62"/>
  <c r="C5496" i="62"/>
  <c r="D5496" i="62"/>
  <c r="A5497" i="62"/>
  <c r="C5497" i="62"/>
  <c r="D5497" i="62"/>
  <c r="A5498" i="62"/>
  <c r="C5498" i="62"/>
  <c r="D5498" i="62"/>
  <c r="A5499" i="62"/>
  <c r="C5499" i="62"/>
  <c r="D5499" i="62"/>
  <c r="A5500" i="62"/>
  <c r="C5500" i="62"/>
  <c r="D5500" i="62"/>
  <c r="A5501" i="62"/>
  <c r="C5501" i="62"/>
  <c r="D5501" i="62"/>
  <c r="A5502" i="62"/>
  <c r="C5502" i="62"/>
  <c r="D5502" i="62"/>
  <c r="A5503" i="62"/>
  <c r="C5503" i="62"/>
  <c r="D5503" i="62"/>
  <c r="A5504" i="62"/>
  <c r="C5504" i="62"/>
  <c r="D5504" i="62"/>
  <c r="A5505" i="62"/>
  <c r="C5505" i="62"/>
  <c r="D5505" i="62"/>
  <c r="A5506" i="62"/>
  <c r="C5506" i="62"/>
  <c r="D5506" i="62"/>
  <c r="A5507" i="62"/>
  <c r="C5507" i="62"/>
  <c r="D5507" i="62"/>
  <c r="A5508" i="62"/>
  <c r="C5508" i="62"/>
  <c r="D5508" i="62"/>
  <c r="A5509" i="62"/>
  <c r="C5509" i="62"/>
  <c r="D5509" i="62"/>
  <c r="A5510" i="62"/>
  <c r="C5510" i="62"/>
  <c r="D5510" i="62"/>
  <c r="A5511" i="62"/>
  <c r="C5511" i="62"/>
  <c r="D5511" i="62"/>
  <c r="A5512" i="62"/>
  <c r="C5512" i="62"/>
  <c r="D5512" i="62"/>
  <c r="A5513" i="62"/>
  <c r="C5513" i="62"/>
  <c r="D5513" i="62"/>
  <c r="A5514" i="62"/>
  <c r="C5514" i="62"/>
  <c r="D5514" i="62"/>
  <c r="A5515" i="62"/>
  <c r="C5515" i="62"/>
  <c r="D5515" i="62"/>
  <c r="A5516" i="62"/>
  <c r="C5516" i="62"/>
  <c r="D5516" i="62"/>
  <c r="A5517" i="62"/>
  <c r="C5517" i="62"/>
  <c r="D5517" i="62"/>
  <c r="A5518" i="62"/>
  <c r="C5518" i="62"/>
  <c r="D5518" i="62"/>
  <c r="A5519" i="62"/>
  <c r="C5519" i="62"/>
  <c r="D5519" i="62"/>
  <c r="A5520" i="62"/>
  <c r="C5520" i="62"/>
  <c r="D5520" i="62"/>
  <c r="A5521" i="62"/>
  <c r="C5521" i="62"/>
  <c r="D5521" i="62"/>
  <c r="A5522" i="62"/>
  <c r="C5522" i="62"/>
  <c r="D5522" i="62"/>
  <c r="A5523" i="62"/>
  <c r="C5523" i="62"/>
  <c r="D5523" i="62"/>
  <c r="A5524" i="62"/>
  <c r="C5524" i="62"/>
  <c r="D5524" i="62"/>
  <c r="A5525" i="62"/>
  <c r="C5525" i="62"/>
  <c r="D5525" i="62"/>
  <c r="A5526" i="62"/>
  <c r="C5526" i="62"/>
  <c r="D5526" i="62"/>
  <c r="A5527" i="62"/>
  <c r="C5527" i="62"/>
  <c r="D5527" i="62"/>
  <c r="A5528" i="62"/>
  <c r="C5528" i="62"/>
  <c r="D5528" i="62"/>
  <c r="A5529" i="62"/>
  <c r="C5529" i="62"/>
  <c r="D5529" i="62"/>
  <c r="A5530" i="62"/>
  <c r="C5530" i="62"/>
  <c r="D5530" i="62"/>
  <c r="A5531" i="62"/>
  <c r="C5531" i="62"/>
  <c r="D5531" i="62"/>
  <c r="A5532" i="62"/>
  <c r="C5532" i="62"/>
  <c r="D5532" i="62"/>
  <c r="A5533" i="62"/>
  <c r="C5533" i="62"/>
  <c r="D5533" i="62"/>
  <c r="A5534" i="62"/>
  <c r="C5534" i="62"/>
  <c r="D5534" i="62"/>
  <c r="A5535" i="62"/>
  <c r="C5535" i="62"/>
  <c r="D5535" i="62"/>
  <c r="A5536" i="62"/>
  <c r="C5536" i="62"/>
  <c r="D5536" i="62"/>
  <c r="A5537" i="62"/>
  <c r="C5537" i="62"/>
  <c r="D5537" i="62"/>
  <c r="A5538" i="62"/>
  <c r="C5538" i="62"/>
  <c r="D5538" i="62"/>
  <c r="A5539" i="62"/>
  <c r="C5539" i="62"/>
  <c r="D5539" i="62"/>
  <c r="A5540" i="62"/>
  <c r="C5540" i="62"/>
  <c r="D5540" i="62"/>
  <c r="A5541" i="62"/>
  <c r="C5541" i="62"/>
  <c r="D5541" i="62"/>
  <c r="A5542" i="62"/>
  <c r="C5542" i="62"/>
  <c r="D5542" i="62"/>
  <c r="A5543" i="62"/>
  <c r="C5543" i="62"/>
  <c r="D5543" i="62"/>
  <c r="A5544" i="62"/>
  <c r="C5544" i="62"/>
  <c r="D5544" i="62"/>
  <c r="A5545" i="62"/>
  <c r="C5545" i="62"/>
  <c r="D5545" i="62"/>
  <c r="A5546" i="62"/>
  <c r="C5546" i="62"/>
  <c r="D5546" i="62"/>
  <c r="A5547" i="62"/>
  <c r="C5547" i="62"/>
  <c r="D5547" i="62"/>
  <c r="A5548" i="62"/>
  <c r="C5548" i="62"/>
  <c r="D5548" i="62"/>
  <c r="A5549" i="62"/>
  <c r="C5549" i="62"/>
  <c r="D5549" i="62"/>
  <c r="A5550" i="62"/>
  <c r="C5550" i="62"/>
  <c r="D5550" i="62"/>
  <c r="A5551" i="62"/>
  <c r="C5551" i="62"/>
  <c r="D5551" i="62"/>
  <c r="A5552" i="62"/>
  <c r="C5552" i="62"/>
  <c r="D5552" i="62"/>
  <c r="A5553" i="62"/>
  <c r="C5553" i="62"/>
  <c r="D5553" i="62"/>
  <c r="A5554" i="62"/>
  <c r="C5554" i="62"/>
  <c r="D5554" i="62"/>
  <c r="A5555" i="62"/>
  <c r="C5555" i="62"/>
  <c r="D5555" i="62"/>
  <c r="A5556" i="62"/>
  <c r="C5556" i="62"/>
  <c r="D5556" i="62"/>
  <c r="A5557" i="62"/>
  <c r="C5557" i="62"/>
  <c r="D5557" i="62"/>
  <c r="A5558" i="62"/>
  <c r="C5558" i="62"/>
  <c r="D5558" i="62"/>
  <c r="A5559" i="62"/>
  <c r="C5559" i="62"/>
  <c r="D5559" i="62"/>
  <c r="A5560" i="62"/>
  <c r="C5560" i="62"/>
  <c r="D5560" i="62"/>
  <c r="A5561" i="62"/>
  <c r="C5561" i="62"/>
  <c r="D5561" i="62"/>
  <c r="A5562" i="62"/>
  <c r="C5562" i="62"/>
  <c r="D5562" i="62"/>
  <c r="A5563" i="62"/>
  <c r="C5563" i="62"/>
  <c r="D5563" i="62"/>
  <c r="A5564" i="62"/>
  <c r="C5564" i="62"/>
  <c r="D5564" i="62"/>
  <c r="A5565" i="62"/>
  <c r="C5565" i="62"/>
  <c r="D5565" i="62"/>
  <c r="A5566" i="62"/>
  <c r="C5566" i="62"/>
  <c r="D5566" i="62"/>
  <c r="A5567" i="62"/>
  <c r="C5567" i="62"/>
  <c r="D5567" i="62"/>
  <c r="A5568" i="62"/>
  <c r="C5568" i="62"/>
  <c r="D5568" i="62"/>
  <c r="A5569" i="62"/>
  <c r="C5569" i="62"/>
  <c r="D5569" i="62"/>
  <c r="A5570" i="62"/>
  <c r="C5570" i="62"/>
  <c r="D5570" i="62"/>
  <c r="A5571" i="62"/>
  <c r="C5571" i="62"/>
  <c r="D5571" i="62"/>
  <c r="A5572" i="62"/>
  <c r="C5572" i="62"/>
  <c r="D5572" i="62"/>
  <c r="A5573" i="62"/>
  <c r="C5573" i="62"/>
  <c r="D5573" i="62"/>
  <c r="A5574" i="62"/>
  <c r="C5574" i="62"/>
  <c r="D5574" i="62"/>
  <c r="A5575" i="62"/>
  <c r="C5575" i="62"/>
  <c r="D5575" i="62"/>
  <c r="A5576" i="62"/>
  <c r="C5576" i="62"/>
  <c r="D5576" i="62"/>
  <c r="A5577" i="62"/>
  <c r="C5577" i="62"/>
  <c r="D5577" i="62"/>
  <c r="A5578" i="62"/>
  <c r="C5578" i="62"/>
  <c r="D5578" i="62"/>
  <c r="A5579" i="62"/>
  <c r="C5579" i="62"/>
  <c r="D5579" i="62"/>
  <c r="A5580" i="62"/>
  <c r="C5580" i="62"/>
  <c r="D5580" i="62"/>
  <c r="A5581" i="62"/>
  <c r="C5581" i="62"/>
  <c r="D5581" i="62"/>
  <c r="A5582" i="62"/>
  <c r="C5582" i="62"/>
  <c r="D5582" i="62"/>
  <c r="A5583" i="62"/>
  <c r="C5583" i="62"/>
  <c r="D5583" i="62"/>
  <c r="A5584" i="62"/>
  <c r="C5584" i="62"/>
  <c r="D5584" i="62"/>
  <c r="A5585" i="62"/>
  <c r="C5585" i="62"/>
  <c r="D5585" i="62"/>
  <c r="A5586" i="62"/>
  <c r="C5586" i="62"/>
  <c r="D5586" i="62"/>
  <c r="A5587" i="62"/>
  <c r="C5587" i="62"/>
  <c r="D5587" i="62"/>
  <c r="A5588" i="62"/>
  <c r="C5588" i="62"/>
  <c r="D5588" i="62"/>
  <c r="A5589" i="62"/>
  <c r="C5589" i="62"/>
  <c r="D5589" i="62"/>
  <c r="A5590" i="62"/>
  <c r="C5590" i="62"/>
  <c r="D5590" i="62"/>
  <c r="A5591" i="62"/>
  <c r="C5591" i="62"/>
  <c r="D5591" i="62"/>
  <c r="A5592" i="62"/>
  <c r="C5592" i="62"/>
  <c r="D5592" i="62"/>
  <c r="A5593" i="62"/>
  <c r="C5593" i="62"/>
  <c r="D5593" i="62"/>
  <c r="A5594" i="62"/>
  <c r="C5594" i="62"/>
  <c r="D5594" i="62"/>
  <c r="A5595" i="62"/>
  <c r="C5595" i="62"/>
  <c r="D5595" i="62"/>
  <c r="A5596" i="62"/>
  <c r="C5596" i="62"/>
  <c r="D5596" i="62"/>
  <c r="A5597" i="62"/>
  <c r="C5597" i="62"/>
  <c r="D5597" i="62"/>
  <c r="A5598" i="62"/>
  <c r="C5598" i="62"/>
  <c r="D5598" i="62"/>
  <c r="A5599" i="62"/>
  <c r="C5599" i="62"/>
  <c r="D5599" i="62"/>
  <c r="A5600" i="62"/>
  <c r="C5600" i="62"/>
  <c r="D5600" i="62"/>
  <c r="A5601" i="62"/>
  <c r="C5601" i="62"/>
  <c r="D5601" i="62"/>
  <c r="A5602" i="62"/>
  <c r="C5602" i="62"/>
  <c r="D5602" i="62"/>
  <c r="A5603" i="62"/>
  <c r="C5603" i="62"/>
  <c r="D5603" i="62"/>
  <c r="A5604" i="62"/>
  <c r="C5604" i="62"/>
  <c r="D5604" i="62"/>
  <c r="A5605" i="62"/>
  <c r="C5605" i="62"/>
  <c r="D5605" i="62"/>
  <c r="A5606" i="62"/>
  <c r="C5606" i="62"/>
  <c r="D5606" i="62"/>
  <c r="A5607" i="62"/>
  <c r="C5607" i="62"/>
  <c r="D5607" i="62"/>
  <c r="A5608" i="62"/>
  <c r="C5608" i="62"/>
  <c r="D5608" i="62"/>
  <c r="A5609" i="62"/>
  <c r="C5609" i="62"/>
  <c r="D5609" i="62"/>
  <c r="A5610" i="62"/>
  <c r="C5610" i="62"/>
  <c r="D5610" i="62"/>
  <c r="A5611" i="62"/>
  <c r="C5611" i="62"/>
  <c r="D5611" i="62"/>
  <c r="A5612" i="62"/>
  <c r="C5612" i="62"/>
  <c r="D5612" i="62"/>
  <c r="A5613" i="62"/>
  <c r="C5613" i="62"/>
  <c r="D5613" i="62"/>
  <c r="A5614" i="62"/>
  <c r="C5614" i="62"/>
  <c r="D5614" i="62"/>
  <c r="A5615" i="62"/>
  <c r="C5615" i="62"/>
  <c r="D5615" i="62"/>
  <c r="A5616" i="62"/>
  <c r="C5616" i="62"/>
  <c r="D5616" i="62"/>
  <c r="A5617" i="62"/>
  <c r="C5617" i="62"/>
  <c r="D5617" i="62"/>
  <c r="A5618" i="62"/>
  <c r="C5618" i="62"/>
  <c r="D5618" i="62"/>
  <c r="A5619" i="62"/>
  <c r="C5619" i="62"/>
  <c r="D5619" i="62"/>
  <c r="A5620" i="62"/>
  <c r="C5620" i="62"/>
  <c r="D5620" i="62"/>
  <c r="A5621" i="62"/>
  <c r="C5621" i="62"/>
  <c r="D5621" i="62"/>
  <c r="A5622" i="62"/>
  <c r="C5622" i="62"/>
  <c r="D5622" i="62"/>
  <c r="A5623" i="62"/>
  <c r="C5623" i="62"/>
  <c r="D5623" i="62"/>
  <c r="A5624" i="62"/>
  <c r="C5624" i="62"/>
  <c r="D5624" i="62"/>
  <c r="A5625" i="62"/>
  <c r="C5625" i="62"/>
  <c r="D5625" i="62"/>
  <c r="A5626" i="62"/>
  <c r="C5626" i="62"/>
  <c r="D5626" i="62"/>
  <c r="A5627" i="62"/>
  <c r="C5627" i="62"/>
  <c r="D5627" i="62"/>
  <c r="A5628" i="62"/>
  <c r="C5628" i="62"/>
  <c r="D5628" i="62"/>
  <c r="A5629" i="62"/>
  <c r="C5629" i="62"/>
  <c r="D5629" i="62"/>
  <c r="A5630" i="62"/>
  <c r="C5630" i="62"/>
  <c r="D5630" i="62"/>
  <c r="A5631" i="62"/>
  <c r="C5631" i="62"/>
  <c r="D5631" i="62"/>
  <c r="A5632" i="62"/>
  <c r="C5632" i="62"/>
  <c r="D5632" i="62"/>
  <c r="A5633" i="62"/>
  <c r="C5633" i="62"/>
  <c r="D5633" i="62"/>
  <c r="A5634" i="62"/>
  <c r="C5634" i="62"/>
  <c r="D5634" i="62"/>
  <c r="A5635" i="62"/>
  <c r="C5635" i="62"/>
  <c r="D5635" i="62"/>
  <c r="A5636" i="62"/>
  <c r="C5636" i="62"/>
  <c r="D5636" i="62"/>
  <c r="A5637" i="62"/>
  <c r="C5637" i="62"/>
  <c r="D5637" i="62"/>
  <c r="A5638" i="62"/>
  <c r="C5638" i="62"/>
  <c r="D5638" i="62"/>
  <c r="A5639" i="62"/>
  <c r="C5639" i="62"/>
  <c r="D5639" i="62"/>
  <c r="A5640" i="62"/>
  <c r="C5640" i="62"/>
  <c r="D5640" i="62"/>
  <c r="A5641" i="62"/>
  <c r="C5641" i="62"/>
  <c r="D5641" i="62"/>
  <c r="A5642" i="62"/>
  <c r="C5642" i="62"/>
  <c r="D5642" i="62"/>
  <c r="A5643" i="62"/>
  <c r="C5643" i="62"/>
  <c r="D5643" i="62"/>
  <c r="A5644" i="62"/>
  <c r="C5644" i="62"/>
  <c r="D5644" i="62"/>
  <c r="A5645" i="62"/>
  <c r="C5645" i="62"/>
  <c r="D5645" i="62"/>
  <c r="A5646" i="62"/>
  <c r="C5646" i="62"/>
  <c r="D5646" i="62"/>
  <c r="A5647" i="62"/>
  <c r="C5647" i="62"/>
  <c r="D5647" i="62"/>
  <c r="A5648" i="62"/>
  <c r="C5648" i="62"/>
  <c r="D5648" i="62"/>
  <c r="A5649" i="62"/>
  <c r="C5649" i="62"/>
  <c r="D5649" i="62"/>
  <c r="A5650" i="62"/>
  <c r="C5650" i="62"/>
  <c r="D5650" i="62"/>
  <c r="A5651" i="62"/>
  <c r="C5651" i="62"/>
  <c r="D5651" i="62"/>
  <c r="A5652" i="62"/>
  <c r="C5652" i="62"/>
  <c r="D5652" i="62"/>
  <c r="A5653" i="62"/>
  <c r="C5653" i="62"/>
  <c r="D5653" i="62"/>
  <c r="A5654" i="62"/>
  <c r="C5654" i="62"/>
  <c r="D5654" i="62"/>
  <c r="A5655" i="62"/>
  <c r="C5655" i="62"/>
  <c r="D5655" i="62"/>
  <c r="A5656" i="62"/>
  <c r="C5656" i="62"/>
  <c r="D5656" i="62"/>
  <c r="A5657" i="62"/>
  <c r="C5657" i="62"/>
  <c r="D5657" i="62"/>
  <c r="A5658" i="62"/>
  <c r="C5658" i="62"/>
  <c r="D5658" i="62"/>
  <c r="A5659" i="62"/>
  <c r="C5659" i="62"/>
  <c r="D5659" i="62"/>
  <c r="A5660" i="62"/>
  <c r="C5660" i="62"/>
  <c r="D5660" i="62"/>
  <c r="A5661" i="62"/>
  <c r="C5661" i="62"/>
  <c r="D5661" i="62"/>
  <c r="A5662" i="62"/>
  <c r="C5662" i="62"/>
  <c r="D5662" i="62"/>
  <c r="A5663" i="62"/>
  <c r="C5663" i="62"/>
  <c r="D5663" i="62"/>
  <c r="A5664" i="62"/>
  <c r="C5664" i="62"/>
  <c r="D5664" i="62"/>
  <c r="A5665" i="62"/>
  <c r="C5665" i="62"/>
  <c r="D5665" i="62"/>
  <c r="A5666" i="62"/>
  <c r="C5666" i="62"/>
  <c r="D5666" i="62"/>
  <c r="A5667" i="62"/>
  <c r="C5667" i="62"/>
  <c r="D5667" i="62"/>
  <c r="A5668" i="62"/>
  <c r="C5668" i="62"/>
  <c r="D5668" i="62"/>
  <c r="A5669" i="62"/>
  <c r="C5669" i="62"/>
  <c r="D5669" i="62"/>
  <c r="A5670" i="62"/>
  <c r="C5670" i="62"/>
  <c r="D5670" i="62"/>
  <c r="A5671" i="62"/>
  <c r="C5671" i="62"/>
  <c r="D5671" i="62"/>
  <c r="A5672" i="62"/>
  <c r="C5672" i="62"/>
  <c r="D5672" i="62"/>
  <c r="A5673" i="62"/>
  <c r="C5673" i="62"/>
  <c r="D5673" i="62"/>
  <c r="A5674" i="62"/>
  <c r="C5674" i="62"/>
  <c r="D5674" i="62"/>
  <c r="A5675" i="62"/>
  <c r="C5675" i="62"/>
  <c r="D5675" i="62"/>
  <c r="A5676" i="62"/>
  <c r="C5676" i="62"/>
  <c r="D5676" i="62"/>
  <c r="A5677" i="62"/>
  <c r="C5677" i="62"/>
  <c r="D5677" i="62"/>
  <c r="A5678" i="62"/>
  <c r="C5678" i="62"/>
  <c r="D5678" i="62"/>
  <c r="A5679" i="62"/>
  <c r="C5679" i="62"/>
  <c r="D5679" i="62"/>
  <c r="A5680" i="62"/>
  <c r="C5680" i="62"/>
  <c r="D5680" i="62"/>
  <c r="A5681" i="62"/>
  <c r="C5681" i="62"/>
  <c r="D5681" i="62"/>
  <c r="A5682" i="62"/>
  <c r="C5682" i="62"/>
  <c r="D5682" i="62"/>
  <c r="A5683" i="62"/>
  <c r="C5683" i="62"/>
  <c r="D5683" i="62"/>
  <c r="A5684" i="62"/>
  <c r="C5684" i="62"/>
  <c r="D5684" i="62"/>
  <c r="A5685" i="62"/>
  <c r="C5685" i="62"/>
  <c r="D5685" i="62"/>
  <c r="A5686" i="62"/>
  <c r="C5686" i="62"/>
  <c r="D5686" i="62"/>
  <c r="A5687" i="62"/>
  <c r="C5687" i="62"/>
  <c r="D5687" i="62"/>
  <c r="A5688" i="62"/>
  <c r="C5688" i="62"/>
  <c r="D5688" i="62"/>
  <c r="A5689" i="62"/>
  <c r="C5689" i="62"/>
  <c r="D5689" i="62"/>
  <c r="A5690" i="62"/>
  <c r="C5690" i="62"/>
  <c r="D5690" i="62"/>
  <c r="A5691" i="62"/>
  <c r="C5691" i="62"/>
  <c r="D5691" i="62"/>
  <c r="A5692" i="62"/>
  <c r="C5692" i="62"/>
  <c r="D5692" i="62"/>
  <c r="A5693" i="62"/>
  <c r="C5693" i="62"/>
  <c r="D5693" i="62"/>
  <c r="A5694" i="62"/>
  <c r="C5694" i="62"/>
  <c r="D5694" i="62"/>
  <c r="A5695" i="62"/>
  <c r="C5695" i="62"/>
  <c r="D5695" i="62"/>
  <c r="A5696" i="62"/>
  <c r="C5696" i="62"/>
  <c r="D5696" i="62"/>
  <c r="A5697" i="62"/>
  <c r="C5697" i="62"/>
  <c r="D5697" i="62"/>
  <c r="A5698" i="62"/>
  <c r="C5698" i="62"/>
  <c r="D5698" i="62"/>
  <c r="A5699" i="62"/>
  <c r="C5699" i="62"/>
  <c r="D5699" i="62"/>
  <c r="A5700" i="62"/>
  <c r="C5700" i="62"/>
  <c r="D5700" i="62"/>
  <c r="A5701" i="62"/>
  <c r="C5701" i="62"/>
  <c r="D5701" i="62"/>
  <c r="A5702" i="62"/>
  <c r="C5702" i="62"/>
  <c r="D5702" i="62"/>
  <c r="A5703" i="62"/>
  <c r="C5703" i="62"/>
  <c r="D5703" i="62"/>
  <c r="A5704" i="62"/>
  <c r="C5704" i="62"/>
  <c r="D5704" i="62"/>
  <c r="A5705" i="62"/>
  <c r="C5705" i="62"/>
  <c r="D5705" i="62"/>
  <c r="A5706" i="62"/>
  <c r="C5706" i="62"/>
  <c r="D5706" i="62"/>
  <c r="A5707" i="62"/>
  <c r="C5707" i="62"/>
  <c r="D5707" i="62"/>
  <c r="A5708" i="62"/>
  <c r="C5708" i="62"/>
  <c r="D5708" i="62"/>
  <c r="A5709" i="62"/>
  <c r="C5709" i="62"/>
  <c r="D5709" i="62"/>
  <c r="A5710" i="62"/>
  <c r="C5710" i="62"/>
  <c r="D5710" i="62"/>
  <c r="A5711" i="62"/>
  <c r="C5711" i="62"/>
  <c r="D5711" i="62"/>
  <c r="A5712" i="62"/>
  <c r="C5712" i="62"/>
  <c r="D5712" i="62"/>
  <c r="A5713" i="62"/>
  <c r="C5713" i="62"/>
  <c r="D5713" i="62"/>
  <c r="A5714" i="62"/>
  <c r="C5714" i="62"/>
  <c r="D5714" i="62"/>
  <c r="A5715" i="62"/>
  <c r="C5715" i="62"/>
  <c r="D5715" i="62"/>
  <c r="A5716" i="62"/>
  <c r="C5716" i="62"/>
  <c r="D5716" i="62"/>
  <c r="A5717" i="62"/>
  <c r="C5717" i="62"/>
  <c r="D5717" i="62"/>
  <c r="A5718" i="62"/>
  <c r="C5718" i="62"/>
  <c r="D5718" i="62"/>
  <c r="A5719" i="62"/>
  <c r="C5719" i="62"/>
  <c r="D5719" i="62"/>
  <c r="A5720" i="62"/>
  <c r="C5720" i="62"/>
  <c r="D5720" i="62"/>
  <c r="A5721" i="62"/>
  <c r="C5721" i="62"/>
  <c r="D5721" i="62"/>
  <c r="A5722" i="62"/>
  <c r="C5722" i="62"/>
  <c r="D5722" i="62"/>
  <c r="A5723" i="62"/>
  <c r="C5723" i="62"/>
  <c r="D5723" i="62"/>
  <c r="A5724" i="62"/>
  <c r="C5724" i="62"/>
  <c r="D5724" i="62"/>
  <c r="A5725" i="62"/>
  <c r="C5725" i="62"/>
  <c r="D5725" i="62"/>
  <c r="A5726" i="62"/>
  <c r="C5726" i="62"/>
  <c r="D5726" i="62"/>
  <c r="A5727" i="62"/>
  <c r="C5727" i="62"/>
  <c r="D5727" i="62"/>
  <c r="A5728" i="62"/>
  <c r="C5728" i="62"/>
  <c r="D5728" i="62"/>
  <c r="A5729" i="62"/>
  <c r="C5729" i="62"/>
  <c r="D5729" i="62"/>
  <c r="A5730" i="62"/>
  <c r="C5730" i="62"/>
  <c r="D5730" i="62"/>
  <c r="A5731" i="62"/>
  <c r="C5731" i="62"/>
  <c r="D5731" i="62"/>
  <c r="A5732" i="62"/>
  <c r="C5732" i="62"/>
  <c r="D5732" i="62"/>
  <c r="A5733" i="62"/>
  <c r="C5733" i="62"/>
  <c r="D5733" i="62"/>
  <c r="A5734" i="62"/>
  <c r="C5734" i="62"/>
  <c r="D5734" i="62"/>
  <c r="A5735" i="62"/>
  <c r="C5735" i="62"/>
  <c r="D5735" i="62"/>
  <c r="A5736" i="62"/>
  <c r="C5736" i="62"/>
  <c r="D5736" i="62"/>
  <c r="A5737" i="62"/>
  <c r="C5737" i="62"/>
  <c r="D5737" i="62"/>
  <c r="A5738" i="62"/>
  <c r="C5738" i="62"/>
  <c r="D5738" i="62"/>
  <c r="A5739" i="62"/>
  <c r="C5739" i="62"/>
  <c r="D5739" i="62"/>
  <c r="A5740" i="62"/>
  <c r="C5740" i="62"/>
  <c r="D5740" i="62"/>
  <c r="A5741" i="62"/>
  <c r="C5741" i="62"/>
  <c r="D5741" i="62"/>
  <c r="A5742" i="62"/>
  <c r="C5742" i="62"/>
  <c r="D5742" i="62"/>
  <c r="A5743" i="62"/>
  <c r="C5743" i="62"/>
  <c r="D5743" i="62"/>
  <c r="A5744" i="62"/>
  <c r="C5744" i="62"/>
  <c r="D5744" i="62"/>
  <c r="A5745" i="62"/>
  <c r="C5745" i="62"/>
  <c r="D5745" i="62"/>
  <c r="A5746" i="62"/>
  <c r="C5746" i="62"/>
  <c r="D5746" i="62"/>
  <c r="A5747" i="62"/>
  <c r="C5747" i="62"/>
  <c r="D5747" i="62"/>
  <c r="A5748" i="62"/>
  <c r="C5748" i="62"/>
  <c r="D5748" i="62"/>
  <c r="A5749" i="62"/>
  <c r="C5749" i="62"/>
  <c r="D5749" i="62"/>
  <c r="A5750" i="62"/>
  <c r="C5750" i="62"/>
  <c r="D5750" i="62"/>
  <c r="A5751" i="62"/>
  <c r="C5751" i="62"/>
  <c r="D5751" i="62"/>
  <c r="A5752" i="62"/>
  <c r="C5752" i="62"/>
  <c r="D5752" i="62"/>
  <c r="A5753" i="62"/>
  <c r="C5753" i="62"/>
  <c r="D5753" i="62"/>
  <c r="A5754" i="62"/>
  <c r="C5754" i="62"/>
  <c r="D5754" i="62"/>
  <c r="A5755" i="62"/>
  <c r="C5755" i="62"/>
  <c r="D5755" i="62"/>
  <c r="A5756" i="62"/>
  <c r="C5756" i="62"/>
  <c r="D5756" i="62"/>
  <c r="A5757" i="62"/>
  <c r="C5757" i="62"/>
  <c r="D5757" i="62"/>
  <c r="A5758" i="62"/>
  <c r="C5758" i="62"/>
  <c r="D5758" i="62"/>
  <c r="A5759" i="62"/>
  <c r="C5759" i="62"/>
  <c r="D5759" i="62"/>
  <c r="A5760" i="62"/>
  <c r="C5760" i="62"/>
  <c r="D5760" i="62"/>
  <c r="A5761" i="62"/>
  <c r="C5761" i="62"/>
  <c r="D5761" i="62"/>
  <c r="A5762" i="62"/>
  <c r="C5762" i="62"/>
  <c r="D5762" i="62"/>
  <c r="A5763" i="62"/>
  <c r="C5763" i="62"/>
  <c r="D5763" i="62"/>
  <c r="A5764" i="62"/>
  <c r="C5764" i="62"/>
  <c r="D5764" i="62"/>
  <c r="A5765" i="62"/>
  <c r="C5765" i="62"/>
  <c r="D5765" i="62"/>
  <c r="A5766" i="62"/>
  <c r="C5766" i="62"/>
  <c r="D5766" i="62"/>
  <c r="A5767" i="62"/>
  <c r="C5767" i="62"/>
  <c r="D5767" i="62"/>
  <c r="A5768" i="62"/>
  <c r="C5768" i="62"/>
  <c r="D5768" i="62"/>
  <c r="A5769" i="62"/>
  <c r="C5769" i="62"/>
  <c r="D5769" i="62"/>
  <c r="A5770" i="62"/>
  <c r="C5770" i="62"/>
  <c r="D5770" i="62"/>
  <c r="A5771" i="62"/>
  <c r="C5771" i="62"/>
  <c r="D5771" i="62"/>
  <c r="A5772" i="62"/>
  <c r="C5772" i="62"/>
  <c r="D5772" i="62"/>
  <c r="A5773" i="62"/>
  <c r="C5773" i="62"/>
  <c r="D5773" i="62"/>
  <c r="A5774" i="62"/>
  <c r="C5774" i="62"/>
  <c r="D5774" i="62"/>
  <c r="A5775" i="62"/>
  <c r="C5775" i="62"/>
  <c r="D5775" i="62"/>
  <c r="A5776" i="62"/>
  <c r="C5776" i="62"/>
  <c r="D5776" i="62"/>
  <c r="A5777" i="62"/>
  <c r="C5777" i="62"/>
  <c r="D5777" i="62"/>
  <c r="A5778" i="62"/>
  <c r="C5778" i="62"/>
  <c r="D5778" i="62"/>
  <c r="A5779" i="62"/>
  <c r="C5779" i="62"/>
  <c r="D5779" i="62"/>
  <c r="A5780" i="62"/>
  <c r="C5780" i="62"/>
  <c r="D5780" i="62"/>
  <c r="A5781" i="62"/>
  <c r="C5781" i="62"/>
  <c r="D5781" i="62"/>
  <c r="A5782" i="62"/>
  <c r="C5782" i="62"/>
  <c r="D5782" i="62"/>
  <c r="A5783" i="62"/>
  <c r="C5783" i="62"/>
  <c r="D5783" i="62"/>
  <c r="A5784" i="62"/>
  <c r="C5784" i="62"/>
  <c r="D5784" i="62"/>
  <c r="A5785" i="62"/>
  <c r="C5785" i="62"/>
  <c r="D5785" i="62"/>
  <c r="A5786" i="62"/>
  <c r="C5786" i="62"/>
  <c r="D5786" i="62"/>
  <c r="A5787" i="62"/>
  <c r="C5787" i="62"/>
  <c r="D5787" i="62"/>
  <c r="A5788" i="62"/>
  <c r="C5788" i="62"/>
  <c r="D5788" i="62"/>
  <c r="A5789" i="62"/>
  <c r="C5789" i="62"/>
  <c r="D5789" i="62"/>
  <c r="A5790" i="62"/>
  <c r="C5790" i="62"/>
  <c r="D5790" i="62"/>
  <c r="A5791" i="62"/>
  <c r="C5791" i="62"/>
  <c r="D5791" i="62"/>
  <c r="A5792" i="62"/>
  <c r="C5792" i="62"/>
  <c r="D5792" i="62"/>
  <c r="A5793" i="62"/>
  <c r="C5793" i="62"/>
  <c r="D5793" i="62"/>
  <c r="A5794" i="62"/>
  <c r="C5794" i="62"/>
  <c r="D5794" i="62"/>
  <c r="A5795" i="62"/>
  <c r="C5795" i="62"/>
  <c r="D5795" i="62"/>
  <c r="A5796" i="62"/>
  <c r="C5796" i="62"/>
  <c r="D5796" i="62"/>
  <c r="A5797" i="62"/>
  <c r="C5797" i="62"/>
  <c r="D5797" i="62"/>
  <c r="A5798" i="62"/>
  <c r="C5798" i="62"/>
  <c r="D5798" i="62"/>
  <c r="A5799" i="62"/>
  <c r="C5799" i="62"/>
  <c r="D5799" i="62"/>
  <c r="A5800" i="62"/>
  <c r="C5800" i="62"/>
  <c r="D5800" i="62"/>
  <c r="A5801" i="62"/>
  <c r="C5801" i="62"/>
  <c r="D5801" i="62"/>
  <c r="A5802" i="62"/>
  <c r="C5802" i="62"/>
  <c r="D5802" i="62"/>
  <c r="A5803" i="62"/>
  <c r="C5803" i="62"/>
  <c r="D5803" i="62"/>
  <c r="A5804" i="62"/>
  <c r="C5804" i="62"/>
  <c r="D5804" i="62"/>
  <c r="A5805" i="62"/>
  <c r="C5805" i="62"/>
  <c r="D5805" i="62"/>
  <c r="A5806" i="62"/>
  <c r="C5806" i="62"/>
  <c r="D5806" i="62"/>
  <c r="A5807" i="62"/>
  <c r="C5807" i="62"/>
  <c r="D5807" i="62"/>
  <c r="A5808" i="62"/>
  <c r="C5808" i="62"/>
  <c r="D5808" i="62"/>
  <c r="A5809" i="62"/>
  <c r="C5809" i="62"/>
  <c r="D5809" i="62"/>
  <c r="A5810" i="62"/>
  <c r="C5810" i="62"/>
  <c r="D5810" i="62"/>
  <c r="A5811" i="62"/>
  <c r="C5811" i="62"/>
  <c r="D5811" i="62"/>
  <c r="A5812" i="62"/>
  <c r="C5812" i="62"/>
  <c r="D5812" i="62"/>
  <c r="A5813" i="62"/>
  <c r="C5813" i="62"/>
  <c r="D5813" i="62"/>
  <c r="A5814" i="62"/>
  <c r="C5814" i="62"/>
  <c r="D5814" i="62"/>
  <c r="A5815" i="62"/>
  <c r="C5815" i="62"/>
  <c r="D5815" i="62"/>
  <c r="A5816" i="62"/>
  <c r="C5816" i="62"/>
  <c r="D5816" i="62"/>
  <c r="A5817" i="62"/>
  <c r="C5817" i="62"/>
  <c r="D5817" i="62"/>
  <c r="A5818" i="62"/>
  <c r="C5818" i="62"/>
  <c r="D5818" i="62"/>
  <c r="A5819" i="62"/>
  <c r="C5819" i="62"/>
  <c r="D5819" i="62"/>
  <c r="A5820" i="62"/>
  <c r="C5820" i="62"/>
  <c r="D5820" i="62"/>
  <c r="A5821" i="62"/>
  <c r="C5821" i="62"/>
  <c r="D5821" i="62"/>
  <c r="A5822" i="62"/>
  <c r="C5822" i="62"/>
  <c r="D5822" i="62"/>
  <c r="A5823" i="62"/>
  <c r="C5823" i="62"/>
  <c r="D5823" i="62"/>
  <c r="A5824" i="62"/>
  <c r="C5824" i="62"/>
  <c r="D5824" i="62"/>
  <c r="A5825" i="62"/>
  <c r="C5825" i="62"/>
  <c r="D5825" i="62"/>
  <c r="A5826" i="62"/>
  <c r="C5826" i="62"/>
  <c r="D5826" i="62"/>
  <c r="A5827" i="62"/>
  <c r="C5827" i="62"/>
  <c r="D5827" i="62"/>
  <c r="A5828" i="62"/>
  <c r="C5828" i="62"/>
  <c r="D5828" i="62"/>
  <c r="A5829" i="62"/>
  <c r="C5829" i="62"/>
  <c r="D5829" i="62"/>
  <c r="A5830" i="62"/>
  <c r="C5830" i="62"/>
  <c r="D5830" i="62"/>
  <c r="A5831" i="62"/>
  <c r="C5831" i="62"/>
  <c r="D5831" i="62"/>
  <c r="A5832" i="62"/>
  <c r="C5832" i="62"/>
  <c r="D5832" i="62"/>
  <c r="A5833" i="62"/>
  <c r="C5833" i="62"/>
  <c r="D5833" i="62"/>
  <c r="A5834" i="62"/>
  <c r="C5834" i="62"/>
  <c r="D5834" i="62"/>
  <c r="A5835" i="62"/>
  <c r="C5835" i="62"/>
  <c r="D5835" i="62"/>
  <c r="A5836" i="62"/>
  <c r="C5836" i="62"/>
  <c r="D5836" i="62"/>
  <c r="A5837" i="62"/>
  <c r="C5837" i="62"/>
  <c r="D5837" i="62"/>
  <c r="A5838" i="62"/>
  <c r="C5838" i="62"/>
  <c r="D5838" i="62"/>
  <c r="A5839" i="62"/>
  <c r="C5839" i="62"/>
  <c r="D5839" i="62"/>
  <c r="A5840" i="62"/>
  <c r="C5840" i="62"/>
  <c r="D5840" i="62"/>
  <c r="A5841" i="62"/>
  <c r="C5841" i="62"/>
  <c r="D5841" i="62"/>
  <c r="A5842" i="62"/>
  <c r="C5842" i="62"/>
  <c r="D5842" i="62"/>
  <c r="A5843" i="62"/>
  <c r="C5843" i="62"/>
  <c r="D5843" i="62"/>
  <c r="A5844" i="62"/>
  <c r="C5844" i="62"/>
  <c r="D5844" i="62"/>
  <c r="A5845" i="62"/>
  <c r="C5845" i="62"/>
  <c r="D5845" i="62"/>
  <c r="A5846" i="62"/>
  <c r="C5846" i="62"/>
  <c r="D5846" i="62"/>
  <c r="A5847" i="62"/>
  <c r="C5847" i="62"/>
  <c r="D5847" i="62"/>
  <c r="A5848" i="62"/>
  <c r="C5848" i="62"/>
  <c r="D5848" i="62"/>
  <c r="A5849" i="62"/>
  <c r="C5849" i="62"/>
  <c r="D5849" i="62"/>
  <c r="A5850" i="62"/>
  <c r="C5850" i="62"/>
  <c r="D5850" i="62"/>
  <c r="A5851" i="62"/>
  <c r="C5851" i="62"/>
  <c r="D5851" i="62"/>
  <c r="A5852" i="62"/>
  <c r="C5852" i="62"/>
  <c r="D5852" i="62"/>
  <c r="A5853" i="62"/>
  <c r="C5853" i="62"/>
  <c r="D5853" i="62"/>
  <c r="A5854" i="62"/>
  <c r="C5854" i="62"/>
  <c r="D5854" i="62"/>
  <c r="A5855" i="62"/>
  <c r="C5855" i="62"/>
  <c r="D5855" i="62"/>
  <c r="A5856" i="62"/>
  <c r="C5856" i="62"/>
  <c r="D5856" i="62"/>
  <c r="A5857" i="62"/>
  <c r="C5857" i="62"/>
  <c r="D5857" i="62"/>
  <c r="A5858" i="62"/>
  <c r="C5858" i="62"/>
  <c r="D5858" i="62"/>
  <c r="A5859" i="62"/>
  <c r="C5859" i="62"/>
  <c r="D5859" i="62"/>
  <c r="A5860" i="62"/>
  <c r="C5860" i="62"/>
  <c r="D5860" i="62"/>
  <c r="A5861" i="62"/>
  <c r="C5861" i="62"/>
  <c r="D5861" i="62"/>
  <c r="A5862" i="62"/>
  <c r="C5862" i="62"/>
  <c r="D5862" i="62"/>
  <c r="A5863" i="62"/>
  <c r="C5863" i="62"/>
  <c r="D5863" i="62"/>
  <c r="A5864" i="62"/>
  <c r="C5864" i="62"/>
  <c r="D5864" i="62"/>
  <c r="A5865" i="62"/>
  <c r="C5865" i="62"/>
  <c r="D5865" i="62"/>
  <c r="A5866" i="62"/>
  <c r="C5866" i="62"/>
  <c r="D5866" i="62"/>
  <c r="A5867" i="62"/>
  <c r="C5867" i="62"/>
  <c r="D5867" i="62"/>
  <c r="A5868" i="62"/>
  <c r="C5868" i="62"/>
  <c r="D5868" i="62"/>
  <c r="A5869" i="62"/>
  <c r="C5869" i="62"/>
  <c r="D5869" i="62"/>
  <c r="A5870" i="62"/>
  <c r="C5870" i="62"/>
  <c r="D5870" i="62"/>
  <c r="A5871" i="62"/>
  <c r="C5871" i="62"/>
  <c r="D5871" i="62"/>
  <c r="A5872" i="62"/>
  <c r="C5872" i="62"/>
  <c r="D5872" i="62"/>
  <c r="A5873" i="62"/>
  <c r="C5873" i="62"/>
  <c r="D5873" i="62"/>
  <c r="A5874" i="62"/>
  <c r="C5874" i="62"/>
  <c r="D5874" i="62"/>
  <c r="A5875" i="62"/>
  <c r="C5875" i="62"/>
  <c r="D5875" i="62"/>
  <c r="A5876" i="62"/>
  <c r="C5876" i="62"/>
  <c r="D5876" i="62"/>
  <c r="A5877" i="62"/>
  <c r="C5877" i="62"/>
  <c r="D5877" i="62"/>
  <c r="A5878" i="62"/>
  <c r="C5878" i="62"/>
  <c r="D5878" i="62"/>
  <c r="A5879" i="62"/>
  <c r="C5879" i="62"/>
  <c r="D5879" i="62"/>
  <c r="A5880" i="62"/>
  <c r="C5880" i="62"/>
  <c r="D5880" i="62"/>
  <c r="A5881" i="62"/>
  <c r="C5881" i="62"/>
  <c r="D5881" i="62"/>
  <c r="A5882" i="62"/>
  <c r="C5882" i="62"/>
  <c r="D5882" i="62"/>
  <c r="A5883" i="62"/>
  <c r="C5883" i="62"/>
  <c r="D5883" i="62"/>
  <c r="A5884" i="62"/>
  <c r="C5884" i="62"/>
  <c r="D5884" i="62"/>
  <c r="A5885" i="62"/>
  <c r="C5885" i="62"/>
  <c r="D5885" i="62"/>
  <c r="A5886" i="62"/>
  <c r="C5886" i="62"/>
  <c r="D5886" i="62"/>
  <c r="A5887" i="62"/>
  <c r="C5887" i="62"/>
  <c r="D5887" i="62"/>
  <c r="A5888" i="62"/>
  <c r="C5888" i="62"/>
  <c r="D5888" i="62"/>
  <c r="A5889" i="62"/>
  <c r="C5889" i="62"/>
  <c r="D5889" i="62"/>
  <c r="A5890" i="62"/>
  <c r="C5890" i="62"/>
  <c r="D5890" i="62"/>
  <c r="A5891" i="62"/>
  <c r="C5891" i="62"/>
  <c r="D5891" i="62"/>
  <c r="A5892" i="62"/>
  <c r="C5892" i="62"/>
  <c r="D5892" i="62"/>
  <c r="A5893" i="62"/>
  <c r="C5893" i="62"/>
  <c r="D5893" i="62"/>
  <c r="A5894" i="62"/>
  <c r="C5894" i="62"/>
  <c r="D5894" i="62"/>
  <c r="A5895" i="62"/>
  <c r="C5895" i="62"/>
  <c r="D5895" i="62"/>
  <c r="A5896" i="62"/>
  <c r="C5896" i="62"/>
  <c r="D5896" i="62"/>
  <c r="A5897" i="62"/>
  <c r="C5897" i="62"/>
  <c r="D5897" i="62"/>
  <c r="A5898" i="62"/>
  <c r="C5898" i="62"/>
  <c r="D5898" i="62"/>
  <c r="A5899" i="62"/>
  <c r="C5899" i="62"/>
  <c r="D5899" i="62"/>
  <c r="A5900" i="62"/>
  <c r="C5900" i="62"/>
  <c r="D5900" i="62"/>
  <c r="A5901" i="62"/>
  <c r="C5901" i="62"/>
  <c r="D5901" i="62"/>
  <c r="A5902" i="62"/>
  <c r="C5902" i="62"/>
  <c r="D5902" i="62"/>
  <c r="A4465" i="62"/>
  <c r="C4465" i="62"/>
  <c r="D4465" i="62"/>
  <c r="A4466" i="62"/>
  <c r="C4466" i="62"/>
  <c r="D4466" i="62"/>
  <c r="A4467" i="62"/>
  <c r="C4467" i="62"/>
  <c r="D4467" i="62"/>
  <c r="A4468" i="62"/>
  <c r="C4468" i="62"/>
  <c r="D4468" i="62"/>
  <c r="A4469" i="62"/>
  <c r="C4469" i="62"/>
  <c r="D4469" i="62"/>
  <c r="A4470" i="62"/>
  <c r="C4470" i="62"/>
  <c r="D4470" i="62"/>
  <c r="A4471" i="62"/>
  <c r="C4471" i="62"/>
  <c r="D4471" i="62"/>
  <c r="A4472" i="62"/>
  <c r="C4472" i="62"/>
  <c r="D4472" i="62"/>
  <c r="A4473" i="62"/>
  <c r="C4473" i="62"/>
  <c r="D4473" i="62"/>
  <c r="A4474" i="62"/>
  <c r="C4474" i="62"/>
  <c r="D4474" i="62"/>
  <c r="A4475" i="62"/>
  <c r="C4475" i="62"/>
  <c r="D4475" i="62"/>
  <c r="A4476" i="62"/>
  <c r="C4476" i="62"/>
  <c r="D4476" i="62"/>
  <c r="A4477" i="62"/>
  <c r="C4477" i="62"/>
  <c r="D4477" i="62"/>
  <c r="A4478" i="62"/>
  <c r="C4478" i="62"/>
  <c r="D4478" i="62"/>
  <c r="A4479" i="62"/>
  <c r="C4479" i="62"/>
  <c r="D4479" i="62"/>
  <c r="A4480" i="62"/>
  <c r="C4480" i="62"/>
  <c r="D4480" i="62"/>
  <c r="A4481" i="62"/>
  <c r="C4481" i="62"/>
  <c r="D4481" i="62"/>
  <c r="A4482" i="62"/>
  <c r="C4482" i="62"/>
  <c r="D4482" i="62"/>
  <c r="A4483" i="62"/>
  <c r="C4483" i="62"/>
  <c r="D4483" i="62"/>
  <c r="A4484" i="62"/>
  <c r="C4484" i="62"/>
  <c r="D4484" i="62"/>
  <c r="A4485" i="62"/>
  <c r="C4485" i="62"/>
  <c r="D4485" i="62"/>
  <c r="A4486" i="62"/>
  <c r="C4486" i="62"/>
  <c r="D4486" i="62"/>
  <c r="A4487" i="62"/>
  <c r="C4487" i="62"/>
  <c r="D4487" i="62"/>
  <c r="A4488" i="62"/>
  <c r="C4488" i="62"/>
  <c r="D4488" i="62"/>
  <c r="A4489" i="62"/>
  <c r="C4489" i="62"/>
  <c r="D4489" i="62"/>
  <c r="A4490" i="62"/>
  <c r="C4490" i="62"/>
  <c r="D4490" i="62"/>
  <c r="A4491" i="62"/>
  <c r="C4491" i="62"/>
  <c r="D4491" i="62"/>
  <c r="A4492" i="62"/>
  <c r="C4492" i="62"/>
  <c r="D4492" i="62"/>
  <c r="A4493" i="62"/>
  <c r="C4493" i="62"/>
  <c r="D4493" i="62"/>
  <c r="A4494" i="62"/>
  <c r="C4494" i="62"/>
  <c r="D4494" i="62"/>
  <c r="A4495" i="62"/>
  <c r="C4495" i="62"/>
  <c r="D4495" i="62"/>
  <c r="A4496" i="62"/>
  <c r="C4496" i="62"/>
  <c r="D4496" i="62"/>
  <c r="A4497" i="62"/>
  <c r="C4497" i="62"/>
  <c r="D4497" i="62"/>
  <c r="A4498" i="62"/>
  <c r="C4498" i="62"/>
  <c r="D4498" i="62"/>
  <c r="A4499" i="62"/>
  <c r="C4499" i="62"/>
  <c r="D4499" i="62"/>
  <c r="A4500" i="62"/>
  <c r="C4500" i="62"/>
  <c r="D4500" i="62"/>
  <c r="A4501" i="62"/>
  <c r="C4501" i="62"/>
  <c r="D4501" i="62"/>
  <c r="A4502" i="62"/>
  <c r="C4502" i="62"/>
  <c r="D4502" i="62"/>
  <c r="A4503" i="62"/>
  <c r="C4503" i="62"/>
  <c r="D4503" i="62"/>
  <c r="A4504" i="62"/>
  <c r="C4504" i="62"/>
  <c r="D4504" i="62"/>
  <c r="A4505" i="62"/>
  <c r="C4505" i="62"/>
  <c r="D4505" i="62"/>
  <c r="A4506" i="62"/>
  <c r="C4506" i="62"/>
  <c r="D4506" i="62"/>
  <c r="A4507" i="62"/>
  <c r="C4507" i="62"/>
  <c r="D4507" i="62"/>
  <c r="A4508" i="62"/>
  <c r="C4508" i="62"/>
  <c r="D4508" i="62"/>
  <c r="A4509" i="62"/>
  <c r="C4509" i="62"/>
  <c r="D4509" i="62"/>
  <c r="A4510" i="62"/>
  <c r="C4510" i="62"/>
  <c r="D4510" i="62"/>
  <c r="A4511" i="62"/>
  <c r="C4511" i="62"/>
  <c r="D4511" i="62"/>
  <c r="A4512" i="62"/>
  <c r="C4512" i="62"/>
  <c r="D4512" i="62"/>
  <c r="A4513" i="62"/>
  <c r="C4513" i="62"/>
  <c r="D4513" i="62"/>
  <c r="A4514" i="62"/>
  <c r="C4514" i="62"/>
  <c r="D4514" i="62"/>
  <c r="A4515" i="62"/>
  <c r="C4515" i="62"/>
  <c r="D4515" i="62"/>
  <c r="A4516" i="62"/>
  <c r="C4516" i="62"/>
  <c r="D4516" i="62"/>
  <c r="A4517" i="62"/>
  <c r="C4517" i="62"/>
  <c r="D4517" i="62"/>
  <c r="A4518" i="62"/>
  <c r="C4518" i="62"/>
  <c r="D4518" i="62"/>
  <c r="A4519" i="62"/>
  <c r="C4519" i="62"/>
  <c r="D4519" i="62"/>
  <c r="A4520" i="62"/>
  <c r="C4520" i="62"/>
  <c r="D4520" i="62"/>
  <c r="A4521" i="62"/>
  <c r="C4521" i="62"/>
  <c r="D4521" i="62"/>
  <c r="A4522" i="62"/>
  <c r="C4522" i="62"/>
  <c r="D4522" i="62"/>
  <c r="A4523" i="62"/>
  <c r="C4523" i="62"/>
  <c r="D4523" i="62"/>
  <c r="A4524" i="62"/>
  <c r="C4524" i="62"/>
  <c r="D4524" i="62"/>
  <c r="A4525" i="62"/>
  <c r="C4525" i="62"/>
  <c r="D4525" i="62"/>
  <c r="A4526" i="62"/>
  <c r="C4526" i="62"/>
  <c r="D4526" i="62"/>
  <c r="A4527" i="62"/>
  <c r="C4527" i="62"/>
  <c r="D4527" i="62"/>
  <c r="A4528" i="62"/>
  <c r="C4528" i="62"/>
  <c r="D4528" i="62"/>
  <c r="A4529" i="62"/>
  <c r="C4529" i="62"/>
  <c r="D4529" i="62"/>
  <c r="A4530" i="62"/>
  <c r="C4530" i="62"/>
  <c r="D4530" i="62"/>
  <c r="A4531" i="62"/>
  <c r="C4531" i="62"/>
  <c r="D4531" i="62"/>
  <c r="A4532" i="62"/>
  <c r="C4532" i="62"/>
  <c r="D4532" i="62"/>
  <c r="A4533" i="62"/>
  <c r="C4533" i="62"/>
  <c r="D4533" i="62"/>
  <c r="A4534" i="62"/>
  <c r="C4534" i="62"/>
  <c r="D4534" i="62"/>
  <c r="A4535" i="62"/>
  <c r="C4535" i="62"/>
  <c r="D4535" i="62"/>
  <c r="A4536" i="62"/>
  <c r="C4536" i="62"/>
  <c r="D4536" i="62"/>
  <c r="A4537" i="62"/>
  <c r="C4537" i="62"/>
  <c r="D4537" i="62"/>
  <c r="A4538" i="62"/>
  <c r="C4538" i="62"/>
  <c r="D4538" i="62"/>
  <c r="A4539" i="62"/>
  <c r="C4539" i="62"/>
  <c r="D4539" i="62"/>
  <c r="A4540" i="62"/>
  <c r="C4540" i="62"/>
  <c r="D4540" i="62"/>
  <c r="A4541" i="62"/>
  <c r="C4541" i="62"/>
  <c r="D4541" i="62"/>
  <c r="A4542" i="62"/>
  <c r="C4542" i="62"/>
  <c r="D4542" i="62"/>
  <c r="A4543" i="62"/>
  <c r="C4543" i="62"/>
  <c r="D4543" i="62"/>
  <c r="A4544" i="62"/>
  <c r="C4544" i="62"/>
  <c r="D4544" i="62"/>
  <c r="A4545" i="62"/>
  <c r="C4545" i="62"/>
  <c r="D4545" i="62"/>
  <c r="A4546" i="62"/>
  <c r="C4546" i="62"/>
  <c r="D4546" i="62"/>
  <c r="A4547" i="62"/>
  <c r="C4547" i="62"/>
  <c r="D4547" i="62"/>
  <c r="A4548" i="62"/>
  <c r="C4548" i="62"/>
  <c r="D4548" i="62"/>
  <c r="A4549" i="62"/>
  <c r="C4549" i="62"/>
  <c r="D4549" i="62"/>
  <c r="A4550" i="62"/>
  <c r="C4550" i="62"/>
  <c r="D4550" i="62"/>
  <c r="A4551" i="62"/>
  <c r="C4551" i="62"/>
  <c r="D4551" i="62"/>
  <c r="A4552" i="62"/>
  <c r="C4552" i="62"/>
  <c r="D4552" i="62"/>
  <c r="A4553" i="62"/>
  <c r="C4553" i="62"/>
  <c r="D4553" i="62"/>
  <c r="A4554" i="62"/>
  <c r="C4554" i="62"/>
  <c r="D4554" i="62"/>
  <c r="A4555" i="62"/>
  <c r="C4555" i="62"/>
  <c r="D4555" i="62"/>
  <c r="A4556" i="62"/>
  <c r="C4556" i="62"/>
  <c r="D4556" i="62"/>
  <c r="A4557" i="62"/>
  <c r="C4557" i="62"/>
  <c r="D4557" i="62"/>
  <c r="A4558" i="62"/>
  <c r="C4558" i="62"/>
  <c r="D4558" i="62"/>
  <c r="A4559" i="62"/>
  <c r="C4559" i="62"/>
  <c r="D4559" i="62"/>
  <c r="A4560" i="62"/>
  <c r="C4560" i="62"/>
  <c r="D4560" i="62"/>
  <c r="A4561" i="62"/>
  <c r="C4561" i="62"/>
  <c r="D4561" i="62"/>
  <c r="A4562" i="62"/>
  <c r="C4562" i="62"/>
  <c r="D4562" i="62"/>
  <c r="A4563" i="62"/>
  <c r="C4563" i="62"/>
  <c r="D4563" i="62"/>
  <c r="A4564" i="62"/>
  <c r="C4564" i="62"/>
  <c r="D4564" i="62"/>
  <c r="A4565" i="62"/>
  <c r="C4565" i="62"/>
  <c r="D4565" i="62"/>
  <c r="A4566" i="62"/>
  <c r="C4566" i="62"/>
  <c r="D4566" i="62"/>
  <c r="A4567" i="62"/>
  <c r="C4567" i="62"/>
  <c r="D4567" i="62"/>
  <c r="A4568" i="62"/>
  <c r="C4568" i="62"/>
  <c r="D4568" i="62"/>
  <c r="A4569" i="62"/>
  <c r="C4569" i="62"/>
  <c r="D4569" i="62"/>
  <c r="A4570" i="62"/>
  <c r="C4570" i="62"/>
  <c r="D4570" i="62"/>
  <c r="A4571" i="62"/>
  <c r="C4571" i="62"/>
  <c r="D4571" i="62"/>
  <c r="A4572" i="62"/>
  <c r="C4572" i="62"/>
  <c r="D4572" i="62"/>
  <c r="B41" i="49"/>
  <c r="B40" i="49"/>
  <c r="B39" i="49"/>
  <c r="B38" i="49"/>
  <c r="B37" i="49"/>
  <c r="B36" i="49"/>
  <c r="B35" i="49"/>
  <c r="B34" i="49"/>
  <c r="B33" i="49"/>
  <c r="B32" i="49"/>
  <c r="B31" i="49"/>
  <c r="B41" i="45"/>
  <c r="B40" i="45"/>
  <c r="B39" i="45"/>
  <c r="B38" i="45"/>
  <c r="B37" i="45"/>
  <c r="B36" i="45"/>
  <c r="B35" i="45"/>
  <c r="B34" i="45"/>
  <c r="B33" i="45"/>
  <c r="B32" i="45"/>
  <c r="B31" i="45"/>
  <c r="B41" i="44"/>
  <c r="B40" i="44"/>
  <c r="B39" i="44"/>
  <c r="B38" i="44"/>
  <c r="B37" i="44"/>
  <c r="B36" i="44"/>
  <c r="B35" i="44"/>
  <c r="B34" i="44"/>
  <c r="B33" i="44"/>
  <c r="B32" i="44"/>
  <c r="B31" i="44"/>
  <c r="B41" i="48"/>
  <c r="B40" i="48"/>
  <c r="B39" i="48"/>
  <c r="B38" i="48"/>
  <c r="B37" i="48"/>
  <c r="B36" i="48"/>
  <c r="B35" i="48"/>
  <c r="B34" i="48"/>
  <c r="B33" i="48"/>
  <c r="B32" i="48"/>
  <c r="B31" i="48"/>
  <c r="B41" i="47"/>
  <c r="B40" i="47"/>
  <c r="B39" i="47"/>
  <c r="B38" i="47"/>
  <c r="B37" i="47"/>
  <c r="B36" i="47"/>
  <c r="B35" i="47"/>
  <c r="B34" i="47"/>
  <c r="B33" i="47"/>
  <c r="B32" i="47"/>
  <c r="B31" i="47"/>
  <c r="B41" i="46"/>
  <c r="B40" i="46"/>
  <c r="B39" i="46"/>
  <c r="B38" i="46"/>
  <c r="B37" i="46"/>
  <c r="B36" i="46"/>
  <c r="B35" i="46"/>
  <c r="B34" i="46"/>
  <c r="B33" i="46"/>
  <c r="B32" i="46"/>
  <c r="B31" i="46"/>
  <c r="B32" i="43"/>
  <c r="B33" i="43"/>
  <c r="B34" i="43"/>
  <c r="B35" i="43"/>
  <c r="B36" i="43"/>
  <c r="B38" i="43"/>
  <c r="B39" i="43"/>
  <c r="B40" i="43"/>
  <c r="B41" i="43"/>
  <c r="B31" i="43"/>
  <c r="C11" i="43"/>
  <c r="B2" i="21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F6" i="16"/>
  <c r="E6" i="16"/>
  <c r="T41" i="105" l="1"/>
  <c r="AB37" i="105"/>
  <c r="AC16" i="105"/>
  <c r="AC17" i="105"/>
  <c r="AC12" i="105"/>
  <c r="AC13" i="105"/>
  <c r="AC11" i="105"/>
  <c r="AC15" i="105"/>
  <c r="C11" i="93"/>
  <c r="B2" i="93" s="1"/>
  <c r="C11" i="98"/>
  <c r="B2" i="98" s="1"/>
  <c r="C11" i="96"/>
  <c r="B2" i="96" s="1"/>
  <c r="C11" i="104"/>
  <c r="B2" i="104" s="1"/>
  <c r="C11" i="97"/>
  <c r="B2" i="97" s="1"/>
  <c r="C11" i="95"/>
  <c r="B2" i="95" s="1"/>
  <c r="D5" i="102"/>
  <c r="D5" i="100"/>
  <c r="D5" i="103"/>
  <c r="D5" i="105"/>
  <c r="D5" i="101"/>
  <c r="D5" i="94"/>
  <c r="AC14" i="105"/>
  <c r="AC18" i="105"/>
  <c r="D46" i="105"/>
  <c r="D34" i="105"/>
  <c r="R36" i="105"/>
  <c r="S37" i="105"/>
  <c r="G37" i="105"/>
  <c r="U36" i="105"/>
  <c r="I36" i="105"/>
  <c r="W35" i="105"/>
  <c r="K35" i="105"/>
  <c r="H35" i="105"/>
  <c r="T35" i="105"/>
  <c r="F36" i="105"/>
  <c r="Y37" i="105"/>
  <c r="M37" i="105"/>
  <c r="AA36" i="105"/>
  <c r="O36" i="105"/>
  <c r="Q35" i="105"/>
  <c r="E35" i="105"/>
  <c r="AB35" i="105"/>
  <c r="R35" i="105"/>
  <c r="Z37" i="105"/>
  <c r="P35" i="105"/>
  <c r="X37" i="105"/>
  <c r="F35" i="105"/>
  <c r="N37" i="105"/>
  <c r="L37" i="105"/>
  <c r="AB36" i="105"/>
  <c r="Z36" i="105"/>
  <c r="P36" i="105"/>
  <c r="N36" i="105"/>
  <c r="D22" i="105"/>
  <c r="D54" i="105"/>
  <c r="D58" i="105"/>
  <c r="Y41" i="105"/>
  <c r="M41" i="105"/>
  <c r="AA40" i="105"/>
  <c r="O40" i="105"/>
  <c r="Q39" i="105"/>
  <c r="E39" i="105"/>
  <c r="U41" i="105"/>
  <c r="I41" i="105"/>
  <c r="W40" i="105"/>
  <c r="K40" i="105"/>
  <c r="Y39" i="105"/>
  <c r="M39" i="105"/>
  <c r="S41" i="105"/>
  <c r="G41" i="105"/>
  <c r="U40" i="105"/>
  <c r="I40" i="105"/>
  <c r="W39" i="105"/>
  <c r="K39" i="105"/>
  <c r="R41" i="105"/>
  <c r="F41" i="105"/>
  <c r="T40" i="105"/>
  <c r="H40" i="105"/>
  <c r="V39" i="105"/>
  <c r="J39" i="105"/>
  <c r="Q41" i="105"/>
  <c r="E41" i="105"/>
  <c r="S40" i="105"/>
  <c r="G40" i="105"/>
  <c r="U39" i="105"/>
  <c r="I39" i="105"/>
  <c r="AA41" i="105"/>
  <c r="O41" i="105"/>
  <c r="Q40" i="105"/>
  <c r="E40" i="105"/>
  <c r="S39" i="105"/>
  <c r="G39" i="105"/>
  <c r="Z41" i="105"/>
  <c r="F39" i="105"/>
  <c r="P41" i="105"/>
  <c r="N41" i="105"/>
  <c r="AB40" i="105"/>
  <c r="R40" i="105"/>
  <c r="P40" i="105"/>
  <c r="F40" i="105"/>
  <c r="T39" i="105"/>
  <c r="R39" i="105"/>
  <c r="H39" i="105"/>
  <c r="AB41" i="105"/>
  <c r="G36" i="105"/>
  <c r="D30" i="105"/>
  <c r="D50" i="105"/>
  <c r="D26" i="105"/>
  <c r="W41" i="103"/>
  <c r="O39" i="103"/>
  <c r="AA39" i="103"/>
  <c r="M40" i="103"/>
  <c r="K40" i="103"/>
  <c r="Y40" i="103"/>
  <c r="L40" i="103"/>
  <c r="K41" i="103"/>
  <c r="V41" i="103"/>
  <c r="U41" i="103"/>
  <c r="Y21" i="103"/>
  <c r="M20" i="103"/>
  <c r="G20" i="103"/>
  <c r="AA19" i="103"/>
  <c r="S20" i="103"/>
  <c r="I20" i="103"/>
  <c r="U20" i="103"/>
  <c r="AA20" i="103"/>
  <c r="M21" i="103"/>
  <c r="M19" i="103"/>
  <c r="AB19" i="103"/>
  <c r="N20" i="103"/>
  <c r="L45" i="103"/>
  <c r="M44" i="103"/>
  <c r="M45" i="103"/>
  <c r="Z44" i="103"/>
  <c r="AA43" i="103"/>
  <c r="AA44" i="103"/>
  <c r="N44" i="103"/>
  <c r="O43" i="103"/>
  <c r="O44" i="103"/>
  <c r="AB43" i="103"/>
  <c r="V17" i="103"/>
  <c r="W16" i="103"/>
  <c r="E43" i="103"/>
  <c r="Q43" i="103"/>
  <c r="Y45" i="103"/>
  <c r="W15" i="103"/>
  <c r="H16" i="103"/>
  <c r="E17" i="103"/>
  <c r="P43" i="103"/>
  <c r="AA15" i="103"/>
  <c r="W45" i="103"/>
  <c r="K15" i="103"/>
  <c r="V15" i="103"/>
  <c r="S16" i="103"/>
  <c r="AA17" i="103"/>
  <c r="K45" i="103"/>
  <c r="AC23" i="103"/>
  <c r="X45" i="103"/>
  <c r="AC25" i="103"/>
  <c r="AC24" i="103"/>
  <c r="D54" i="103"/>
  <c r="P19" i="103"/>
  <c r="O19" i="103"/>
  <c r="W19" i="103"/>
  <c r="U19" i="103"/>
  <c r="K19" i="103"/>
  <c r="I19" i="103"/>
  <c r="E19" i="103"/>
  <c r="J41" i="103"/>
  <c r="I41" i="103"/>
  <c r="T21" i="103"/>
  <c r="O20" i="103"/>
  <c r="Q19" i="103"/>
  <c r="X40" i="103"/>
  <c r="W40" i="103"/>
  <c r="H21" i="103"/>
  <c r="D50" i="103"/>
  <c r="V20" i="103"/>
  <c r="T41" i="103"/>
  <c r="H41" i="103"/>
  <c r="V40" i="103"/>
  <c r="J40" i="103"/>
  <c r="X39" i="103"/>
  <c r="L39" i="103"/>
  <c r="S41" i="103"/>
  <c r="G41" i="103"/>
  <c r="U40" i="103"/>
  <c r="I40" i="103"/>
  <c r="W39" i="103"/>
  <c r="K39" i="103"/>
  <c r="F40" i="103"/>
  <c r="H39" i="103"/>
  <c r="R41" i="103"/>
  <c r="F41" i="103"/>
  <c r="T40" i="103"/>
  <c r="H40" i="103"/>
  <c r="V39" i="103"/>
  <c r="J39" i="103"/>
  <c r="T39" i="103"/>
  <c r="Q41" i="103"/>
  <c r="E41" i="103"/>
  <c r="S40" i="103"/>
  <c r="G40" i="103"/>
  <c r="U39" i="103"/>
  <c r="I39" i="103"/>
  <c r="R40" i="103"/>
  <c r="AB41" i="103"/>
  <c r="P41" i="103"/>
  <c r="AA41" i="103"/>
  <c r="O41" i="103"/>
  <c r="Q40" i="103"/>
  <c r="E40" i="103"/>
  <c r="S39" i="103"/>
  <c r="G39" i="103"/>
  <c r="Y41" i="103"/>
  <c r="M41" i="103"/>
  <c r="AA40" i="103"/>
  <c r="O40" i="103"/>
  <c r="Q39" i="103"/>
  <c r="E39" i="103"/>
  <c r="N41" i="103"/>
  <c r="AB40" i="103"/>
  <c r="L41" i="103"/>
  <c r="Z40" i="103"/>
  <c r="P40" i="103"/>
  <c r="N40" i="103"/>
  <c r="AB39" i="103"/>
  <c r="Z41" i="103"/>
  <c r="P39" i="103"/>
  <c r="X41" i="103"/>
  <c r="F39" i="103"/>
  <c r="R39" i="103"/>
  <c r="D38" i="103"/>
  <c r="Z39" i="103"/>
  <c r="Y39" i="103"/>
  <c r="U21" i="103"/>
  <c r="J20" i="103"/>
  <c r="D34" i="103"/>
  <c r="N39" i="103"/>
  <c r="M39" i="103"/>
  <c r="I21" i="103"/>
  <c r="X19" i="103"/>
  <c r="V45" i="103"/>
  <c r="J45" i="103"/>
  <c r="X44" i="103"/>
  <c r="L44" i="103"/>
  <c r="Z43" i="103"/>
  <c r="N43" i="103"/>
  <c r="U45" i="103"/>
  <c r="I45" i="103"/>
  <c r="W44" i="103"/>
  <c r="K44" i="103"/>
  <c r="Y43" i="103"/>
  <c r="M43" i="103"/>
  <c r="T45" i="103"/>
  <c r="H45" i="103"/>
  <c r="V44" i="103"/>
  <c r="J44" i="103"/>
  <c r="X43" i="103"/>
  <c r="L43" i="103"/>
  <c r="S45" i="103"/>
  <c r="G45" i="103"/>
  <c r="U44" i="103"/>
  <c r="I44" i="103"/>
  <c r="W43" i="103"/>
  <c r="K43" i="103"/>
  <c r="R45" i="103"/>
  <c r="F45" i="103"/>
  <c r="T44" i="103"/>
  <c r="H44" i="103"/>
  <c r="V43" i="103"/>
  <c r="J43" i="103"/>
  <c r="Q45" i="103"/>
  <c r="E45" i="103"/>
  <c r="S44" i="103"/>
  <c r="G44" i="103"/>
  <c r="U43" i="103"/>
  <c r="I43" i="103"/>
  <c r="AA45" i="103"/>
  <c r="O45" i="103"/>
  <c r="Q44" i="103"/>
  <c r="E44" i="103"/>
  <c r="S43" i="103"/>
  <c r="G43" i="103"/>
  <c r="R44" i="103"/>
  <c r="P44" i="103"/>
  <c r="F44" i="103"/>
  <c r="T43" i="103"/>
  <c r="R43" i="103"/>
  <c r="N45" i="103"/>
  <c r="AB45" i="103"/>
  <c r="H43" i="103"/>
  <c r="Z45" i="103"/>
  <c r="F43" i="103"/>
  <c r="P45" i="103"/>
  <c r="AB44" i="103"/>
  <c r="X21" i="103"/>
  <c r="W21" i="103"/>
  <c r="W20" i="103"/>
  <c r="L19" i="103"/>
  <c r="H17" i="103"/>
  <c r="J16" i="103"/>
  <c r="L15" i="103"/>
  <c r="T17" i="103"/>
  <c r="V16" i="103"/>
  <c r="X15" i="103"/>
  <c r="Y17" i="103"/>
  <c r="M17" i="103"/>
  <c r="AA16" i="103"/>
  <c r="O16" i="103"/>
  <c r="Q15" i="103"/>
  <c r="E15" i="103"/>
  <c r="P16" i="103"/>
  <c r="N16" i="103"/>
  <c r="AB17" i="103"/>
  <c r="F16" i="103"/>
  <c r="Z17" i="103"/>
  <c r="AB16" i="103"/>
  <c r="F15" i="103"/>
  <c r="Z16" i="103"/>
  <c r="X17" i="103"/>
  <c r="AB15" i="103"/>
  <c r="L17" i="103"/>
  <c r="P15" i="103"/>
  <c r="H15" i="103"/>
  <c r="P17" i="103"/>
  <c r="T15" i="103"/>
  <c r="N17" i="103"/>
  <c r="R15" i="103"/>
  <c r="R16" i="103"/>
  <c r="X20" i="103"/>
  <c r="L20" i="103"/>
  <c r="J21" i="103"/>
  <c r="N19" i="103"/>
  <c r="V21" i="103"/>
  <c r="Z19" i="103"/>
  <c r="AA21" i="103"/>
  <c r="O21" i="103"/>
  <c r="Q20" i="103"/>
  <c r="E20" i="103"/>
  <c r="S19" i="103"/>
  <c r="G19" i="103"/>
  <c r="T20" i="103"/>
  <c r="P20" i="103"/>
  <c r="H20" i="103"/>
  <c r="R20" i="103"/>
  <c r="F21" i="103"/>
  <c r="J19" i="103"/>
  <c r="AB21" i="103"/>
  <c r="F20" i="103"/>
  <c r="Z21" i="103"/>
  <c r="P21" i="103"/>
  <c r="T19" i="103"/>
  <c r="R21" i="103"/>
  <c r="V19" i="103"/>
  <c r="N21" i="103"/>
  <c r="R19" i="103"/>
  <c r="H19" i="103"/>
  <c r="AB20" i="103"/>
  <c r="F19" i="103"/>
  <c r="L21" i="103"/>
  <c r="K21" i="103"/>
  <c r="K20" i="103"/>
  <c r="S21" i="103"/>
  <c r="Q21" i="103"/>
  <c r="D14" i="103"/>
  <c r="D58" i="103"/>
  <c r="Z20" i="103"/>
  <c r="Y20" i="103"/>
  <c r="Y19" i="103"/>
  <c r="G21" i="103"/>
  <c r="E21" i="103"/>
  <c r="D30" i="103"/>
  <c r="Z19" i="102"/>
  <c r="S19" i="102"/>
  <c r="P21" i="102"/>
  <c r="W19" i="102"/>
  <c r="I21" i="102"/>
  <c r="N19" i="102"/>
  <c r="G19" i="102"/>
  <c r="T19" i="102"/>
  <c r="I20" i="102"/>
  <c r="U21" i="102"/>
  <c r="T21" i="102"/>
  <c r="R20" i="102"/>
  <c r="F21" i="102"/>
  <c r="U20" i="102"/>
  <c r="H21" i="102"/>
  <c r="P20" i="102"/>
  <c r="H19" i="102"/>
  <c r="Y21" i="102"/>
  <c r="G21" i="102"/>
  <c r="W20" i="102"/>
  <c r="V20" i="102"/>
  <c r="AB21" i="102"/>
  <c r="AB20" i="102"/>
  <c r="I19" i="102"/>
  <c r="S21" i="102"/>
  <c r="Q19" i="102"/>
  <c r="J20" i="102"/>
  <c r="F20" i="102"/>
  <c r="J19" i="102"/>
  <c r="U19" i="102"/>
  <c r="O19" i="102"/>
  <c r="P19" i="102"/>
  <c r="O20" i="102"/>
  <c r="X19" i="102"/>
  <c r="F19" i="102"/>
  <c r="N21" i="102"/>
  <c r="G20" i="102"/>
  <c r="AA19" i="102"/>
  <c r="AB19" i="102"/>
  <c r="AA20" i="102"/>
  <c r="K19" i="102"/>
  <c r="E19" i="102"/>
  <c r="L19" i="102"/>
  <c r="T20" i="102"/>
  <c r="R19" i="102"/>
  <c r="S20" i="102"/>
  <c r="M20" i="102"/>
  <c r="N20" i="102"/>
  <c r="M21" i="102"/>
  <c r="V21" i="102"/>
  <c r="AA21" i="102"/>
  <c r="H20" i="102"/>
  <c r="E21" i="102"/>
  <c r="M19" i="102"/>
  <c r="Y20" i="102"/>
  <c r="Z20" i="102"/>
  <c r="V19" i="102"/>
  <c r="J21" i="102"/>
  <c r="O21" i="102"/>
  <c r="Z21" i="102"/>
  <c r="Q21" i="102"/>
  <c r="Y19" i="102"/>
  <c r="K21" i="102"/>
  <c r="L21" i="102"/>
  <c r="E20" i="102"/>
  <c r="X20" i="102"/>
  <c r="Q20" i="102"/>
  <c r="R21" i="102"/>
  <c r="K20" i="102"/>
  <c r="W21" i="102"/>
  <c r="X21" i="102"/>
  <c r="L20" i="102"/>
  <c r="E16" i="102"/>
  <c r="Y15" i="102"/>
  <c r="Z15" i="102"/>
  <c r="AA15" i="102"/>
  <c r="Q16" i="102"/>
  <c r="K16" i="102"/>
  <c r="L16" i="102"/>
  <c r="M16" i="102"/>
  <c r="O17" i="102"/>
  <c r="K15" i="102"/>
  <c r="W16" i="102"/>
  <c r="X16" i="102"/>
  <c r="Y16" i="102"/>
  <c r="AA17" i="102"/>
  <c r="W15" i="102"/>
  <c r="I17" i="102"/>
  <c r="J17" i="102"/>
  <c r="K17" i="102"/>
  <c r="N15" i="102"/>
  <c r="I16" i="102"/>
  <c r="U17" i="102"/>
  <c r="V17" i="102"/>
  <c r="I15" i="102"/>
  <c r="U16" i="102"/>
  <c r="S15" i="102"/>
  <c r="U15" i="102"/>
  <c r="G17" i="102"/>
  <c r="O15" i="102"/>
  <c r="G16" i="102"/>
  <c r="S17" i="102"/>
  <c r="S16" i="102"/>
  <c r="E17" i="102"/>
  <c r="M15" i="102"/>
  <c r="Q17" i="102"/>
  <c r="E43" i="102"/>
  <c r="Q43" i="102"/>
  <c r="N43" i="102"/>
  <c r="O44" i="102"/>
  <c r="Z43" i="102"/>
  <c r="AA44" i="102"/>
  <c r="L44" i="102"/>
  <c r="O43" i="102"/>
  <c r="P43" i="102"/>
  <c r="M45" i="102"/>
  <c r="X44" i="102"/>
  <c r="AA43" i="102"/>
  <c r="AB43" i="102"/>
  <c r="J45" i="102"/>
  <c r="M44" i="102"/>
  <c r="N44" i="102"/>
  <c r="S45" i="102"/>
  <c r="V45" i="102"/>
  <c r="Y44" i="102"/>
  <c r="Z44" i="102"/>
  <c r="K45" i="102"/>
  <c r="L45" i="102"/>
  <c r="W45" i="102"/>
  <c r="X45" i="102"/>
  <c r="D50" i="102"/>
  <c r="D58" i="102"/>
  <c r="D34" i="102"/>
  <c r="D26" i="102"/>
  <c r="T17" i="102"/>
  <c r="H17" i="102"/>
  <c r="V16" i="102"/>
  <c r="J16" i="102"/>
  <c r="X15" i="102"/>
  <c r="L15" i="102"/>
  <c r="R17" i="102"/>
  <c r="F17" i="102"/>
  <c r="T16" i="102"/>
  <c r="H16" i="102"/>
  <c r="V15" i="102"/>
  <c r="J15" i="102"/>
  <c r="Y17" i="102"/>
  <c r="M17" i="102"/>
  <c r="AA16" i="102"/>
  <c r="O16" i="102"/>
  <c r="Q15" i="102"/>
  <c r="E15" i="102"/>
  <c r="N16" i="102"/>
  <c r="AB17" i="102"/>
  <c r="F16" i="102"/>
  <c r="X17" i="102"/>
  <c r="AB15" i="102"/>
  <c r="Z17" i="102"/>
  <c r="P17" i="102"/>
  <c r="T15" i="102"/>
  <c r="N17" i="102"/>
  <c r="R15" i="102"/>
  <c r="L17" i="102"/>
  <c r="P15" i="102"/>
  <c r="H15" i="102"/>
  <c r="AB16" i="102"/>
  <c r="R16" i="102"/>
  <c r="P16" i="102"/>
  <c r="F15" i="102"/>
  <c r="Z16" i="102"/>
  <c r="D38" i="102"/>
  <c r="D14" i="102"/>
  <c r="G15" i="102"/>
  <c r="W17" i="102"/>
  <c r="T41" i="102"/>
  <c r="H41" i="102"/>
  <c r="V40" i="102"/>
  <c r="J40" i="102"/>
  <c r="X39" i="102"/>
  <c r="L39" i="102"/>
  <c r="T39" i="102"/>
  <c r="S41" i="102"/>
  <c r="G41" i="102"/>
  <c r="U40" i="102"/>
  <c r="I40" i="102"/>
  <c r="W39" i="102"/>
  <c r="K39" i="102"/>
  <c r="H39" i="102"/>
  <c r="R41" i="102"/>
  <c r="F41" i="102"/>
  <c r="T40" i="102"/>
  <c r="H40" i="102"/>
  <c r="V39" i="102"/>
  <c r="J39" i="102"/>
  <c r="F40" i="102"/>
  <c r="R40" i="102"/>
  <c r="AB41" i="102"/>
  <c r="P41" i="102"/>
  <c r="Y41" i="102"/>
  <c r="M41" i="102"/>
  <c r="AA40" i="102"/>
  <c r="O40" i="102"/>
  <c r="Q39" i="102"/>
  <c r="E39" i="102"/>
  <c r="AB40" i="102"/>
  <c r="Z40" i="102"/>
  <c r="P40" i="102"/>
  <c r="N40" i="102"/>
  <c r="AB39" i="102"/>
  <c r="R39" i="102"/>
  <c r="Z41" i="102"/>
  <c r="P39" i="102"/>
  <c r="X41" i="102"/>
  <c r="F39" i="102"/>
  <c r="N41" i="102"/>
  <c r="L41" i="102"/>
  <c r="U45" i="102"/>
  <c r="I45" i="102"/>
  <c r="W44" i="102"/>
  <c r="K44" i="102"/>
  <c r="Y43" i="102"/>
  <c r="M43" i="102"/>
  <c r="T45" i="102"/>
  <c r="H45" i="102"/>
  <c r="V44" i="102"/>
  <c r="J44" i="102"/>
  <c r="X43" i="102"/>
  <c r="L43" i="102"/>
  <c r="G45" i="102"/>
  <c r="U44" i="102"/>
  <c r="I44" i="102"/>
  <c r="W43" i="102"/>
  <c r="K43" i="102"/>
  <c r="R45" i="102"/>
  <c r="F45" i="102"/>
  <c r="T44" i="102"/>
  <c r="H44" i="102"/>
  <c r="V43" i="102"/>
  <c r="J43" i="102"/>
  <c r="Q45" i="102"/>
  <c r="E45" i="102"/>
  <c r="S44" i="102"/>
  <c r="G44" i="102"/>
  <c r="U43" i="102"/>
  <c r="I43" i="102"/>
  <c r="AA45" i="102"/>
  <c r="O45" i="102"/>
  <c r="Q44" i="102"/>
  <c r="E44" i="102"/>
  <c r="S43" i="102"/>
  <c r="G43" i="102"/>
  <c r="T43" i="102"/>
  <c r="R43" i="102"/>
  <c r="AB45" i="102"/>
  <c r="H43" i="102"/>
  <c r="Z45" i="102"/>
  <c r="F43" i="102"/>
  <c r="P45" i="102"/>
  <c r="F44" i="102"/>
  <c r="N45" i="102"/>
  <c r="AB44" i="102"/>
  <c r="R44" i="102"/>
  <c r="P44" i="102"/>
  <c r="D30" i="102"/>
  <c r="W41" i="102"/>
  <c r="D54" i="102"/>
  <c r="Y45" i="102"/>
  <c r="AB19" i="101"/>
  <c r="X19" i="101"/>
  <c r="S19" i="101"/>
  <c r="F19" i="101"/>
  <c r="W20" i="101"/>
  <c r="Y20" i="101"/>
  <c r="Q19" i="101"/>
  <c r="M20" i="101"/>
  <c r="P19" i="101"/>
  <c r="L19" i="101"/>
  <c r="G19" i="101"/>
  <c r="T20" i="101"/>
  <c r="I21" i="101"/>
  <c r="K21" i="101"/>
  <c r="O20" i="101"/>
  <c r="K20" i="101"/>
  <c r="V21" i="101"/>
  <c r="Q21" i="101"/>
  <c r="P21" i="101"/>
  <c r="P20" i="101"/>
  <c r="U21" i="101"/>
  <c r="W21" i="101"/>
  <c r="AA20" i="101"/>
  <c r="E19" i="101"/>
  <c r="J21" i="101"/>
  <c r="E21" i="101"/>
  <c r="T19" i="101"/>
  <c r="R20" i="101"/>
  <c r="Y21" i="101"/>
  <c r="M21" i="101"/>
  <c r="X20" i="101"/>
  <c r="S20" i="101"/>
  <c r="H19" i="101"/>
  <c r="H20" i="101"/>
  <c r="U20" i="101"/>
  <c r="S21" i="101"/>
  <c r="L20" i="101"/>
  <c r="G20" i="101"/>
  <c r="N21" i="101"/>
  <c r="V19" i="101"/>
  <c r="O19" i="101"/>
  <c r="Z19" i="101"/>
  <c r="U19" i="101"/>
  <c r="R19" i="101"/>
  <c r="Z21" i="101"/>
  <c r="K19" i="101"/>
  <c r="W19" i="101"/>
  <c r="M19" i="101"/>
  <c r="N19" i="101"/>
  <c r="I19" i="101"/>
  <c r="F21" i="101"/>
  <c r="R21" i="101"/>
  <c r="X21" i="101"/>
  <c r="T21" i="101"/>
  <c r="AA21" i="101"/>
  <c r="J19" i="101"/>
  <c r="I20" i="101"/>
  <c r="L21" i="101"/>
  <c r="H21" i="101"/>
  <c r="O21" i="101"/>
  <c r="AB21" i="101"/>
  <c r="Z20" i="101"/>
  <c r="V20" i="101"/>
  <c r="Q20" i="101"/>
  <c r="F20" i="101"/>
  <c r="G21" i="101"/>
  <c r="Y19" i="101"/>
  <c r="AA19" i="101"/>
  <c r="N20" i="101"/>
  <c r="J20" i="101"/>
  <c r="E20" i="101"/>
  <c r="AB20" i="101"/>
  <c r="I15" i="101"/>
  <c r="U15" i="101"/>
  <c r="G16" i="101"/>
  <c r="AA15" i="101"/>
  <c r="Y16" i="101"/>
  <c r="S16" i="101"/>
  <c r="K15" i="101"/>
  <c r="I17" i="101"/>
  <c r="E17" i="101"/>
  <c r="W15" i="101"/>
  <c r="Y15" i="101"/>
  <c r="Q17" i="101"/>
  <c r="I16" i="101"/>
  <c r="K16" i="101"/>
  <c r="G17" i="101"/>
  <c r="V17" i="101"/>
  <c r="U16" i="101"/>
  <c r="W16" i="101"/>
  <c r="O15" i="101"/>
  <c r="S17" i="101"/>
  <c r="U17" i="101"/>
  <c r="M16" i="101"/>
  <c r="Y17" i="101"/>
  <c r="J17" i="101"/>
  <c r="K17" i="101"/>
  <c r="M45" i="101"/>
  <c r="Z43" i="101"/>
  <c r="O44" i="101"/>
  <c r="K45" i="101"/>
  <c r="AA44" i="101"/>
  <c r="E43" i="101"/>
  <c r="M44" i="101"/>
  <c r="K44" i="101"/>
  <c r="K41" i="101"/>
  <c r="X45" i="101"/>
  <c r="AA43" i="101"/>
  <c r="M43" i="101"/>
  <c r="U45" i="101"/>
  <c r="L45" i="101"/>
  <c r="O43" i="101"/>
  <c r="Z44" i="101"/>
  <c r="N44" i="101"/>
  <c r="Y44" i="101"/>
  <c r="AB43" i="101"/>
  <c r="V45" i="101"/>
  <c r="W45" i="101"/>
  <c r="Q43" i="101"/>
  <c r="L40" i="101"/>
  <c r="D50" i="101"/>
  <c r="S41" i="101"/>
  <c r="Q41" i="101"/>
  <c r="Z39" i="101"/>
  <c r="G41" i="101"/>
  <c r="D54" i="101"/>
  <c r="E41" i="101"/>
  <c r="N39" i="101"/>
  <c r="U40" i="101"/>
  <c r="S40" i="101"/>
  <c r="T45" i="101"/>
  <c r="H45" i="101"/>
  <c r="V44" i="101"/>
  <c r="J44" i="101"/>
  <c r="X43" i="101"/>
  <c r="L43" i="101"/>
  <c r="S45" i="101"/>
  <c r="G45" i="101"/>
  <c r="U44" i="101"/>
  <c r="I44" i="101"/>
  <c r="W43" i="101"/>
  <c r="K43" i="101"/>
  <c r="R45" i="101"/>
  <c r="F45" i="101"/>
  <c r="T44" i="101"/>
  <c r="H44" i="101"/>
  <c r="V43" i="101"/>
  <c r="J43" i="101"/>
  <c r="Q45" i="101"/>
  <c r="E45" i="101"/>
  <c r="S44" i="101"/>
  <c r="G44" i="101"/>
  <c r="U43" i="101"/>
  <c r="I43" i="101"/>
  <c r="R44" i="101"/>
  <c r="F44" i="101"/>
  <c r="T43" i="101"/>
  <c r="AB45" i="101"/>
  <c r="P45" i="101"/>
  <c r="AA45" i="101"/>
  <c r="O45" i="101"/>
  <c r="Q44" i="101"/>
  <c r="E44" i="101"/>
  <c r="S43" i="101"/>
  <c r="G43" i="101"/>
  <c r="Z45" i="101"/>
  <c r="N45" i="101"/>
  <c r="AB44" i="101"/>
  <c r="H43" i="101"/>
  <c r="P44" i="101"/>
  <c r="R43" i="101"/>
  <c r="F43" i="101"/>
  <c r="X44" i="101"/>
  <c r="I40" i="101"/>
  <c r="H39" i="101"/>
  <c r="F40" i="101"/>
  <c r="T39" i="101"/>
  <c r="T41" i="101"/>
  <c r="H41" i="101"/>
  <c r="V40" i="101"/>
  <c r="J40" i="101"/>
  <c r="X39" i="101"/>
  <c r="L39" i="101"/>
  <c r="R41" i="101"/>
  <c r="F41" i="101"/>
  <c r="T40" i="101"/>
  <c r="H40" i="101"/>
  <c r="V39" i="101"/>
  <c r="J39" i="101"/>
  <c r="I39" i="101"/>
  <c r="R40" i="101"/>
  <c r="AB41" i="101"/>
  <c r="P41" i="101"/>
  <c r="AA41" i="101"/>
  <c r="O41" i="101"/>
  <c r="Q40" i="101"/>
  <c r="E40" i="101"/>
  <c r="S39" i="101"/>
  <c r="G39" i="101"/>
  <c r="Y41" i="101"/>
  <c r="M41" i="101"/>
  <c r="AA40" i="101"/>
  <c r="O40" i="101"/>
  <c r="Q39" i="101"/>
  <c r="E39" i="101"/>
  <c r="R39" i="101"/>
  <c r="Z41" i="101"/>
  <c r="P39" i="101"/>
  <c r="X41" i="101"/>
  <c r="F39" i="101"/>
  <c r="N41" i="101"/>
  <c r="L41" i="101"/>
  <c r="N40" i="101"/>
  <c r="AB40" i="101"/>
  <c r="Z40" i="101"/>
  <c r="P40" i="101"/>
  <c r="AB39" i="101"/>
  <c r="D30" i="101"/>
  <c r="I41" i="101"/>
  <c r="D14" i="101"/>
  <c r="D34" i="101"/>
  <c r="M40" i="101"/>
  <c r="W40" i="101"/>
  <c r="D26" i="101"/>
  <c r="I45" i="101"/>
  <c r="AA39" i="101"/>
  <c r="P43" i="101"/>
  <c r="K40" i="101"/>
  <c r="W44" i="101"/>
  <c r="X16" i="101"/>
  <c r="L16" i="101"/>
  <c r="Z15" i="101"/>
  <c r="N15" i="101"/>
  <c r="T17" i="101"/>
  <c r="H17" i="101"/>
  <c r="V16" i="101"/>
  <c r="J16" i="101"/>
  <c r="X15" i="101"/>
  <c r="L15" i="101"/>
  <c r="R17" i="101"/>
  <c r="F17" i="101"/>
  <c r="T16" i="101"/>
  <c r="H16" i="101"/>
  <c r="V15" i="101"/>
  <c r="J15" i="101"/>
  <c r="AA17" i="101"/>
  <c r="O17" i="101"/>
  <c r="Q16" i="101"/>
  <c r="E16" i="101"/>
  <c r="S15" i="101"/>
  <c r="G15" i="101"/>
  <c r="M17" i="101"/>
  <c r="AA16" i="101"/>
  <c r="O16" i="101"/>
  <c r="Q15" i="101"/>
  <c r="E15" i="101"/>
  <c r="L17" i="101"/>
  <c r="P15" i="101"/>
  <c r="H15" i="101"/>
  <c r="Z16" i="101"/>
  <c r="AB16" i="101"/>
  <c r="F15" i="101"/>
  <c r="X17" i="101"/>
  <c r="AB15" i="101"/>
  <c r="R16" i="101"/>
  <c r="P16" i="101"/>
  <c r="N16" i="101"/>
  <c r="AB17" i="101"/>
  <c r="F16" i="101"/>
  <c r="N17" i="101"/>
  <c r="Z17" i="101"/>
  <c r="P17" i="101"/>
  <c r="T15" i="101"/>
  <c r="R15" i="101"/>
  <c r="D58" i="101"/>
  <c r="O39" i="101"/>
  <c r="V41" i="101"/>
  <c r="Y39" i="101"/>
  <c r="W41" i="101"/>
  <c r="D38" i="101"/>
  <c r="Y45" i="101"/>
  <c r="J41" i="101"/>
  <c r="M39" i="101"/>
  <c r="M15" i="101"/>
  <c r="Y43" i="101"/>
  <c r="W17" i="101"/>
  <c r="N39" i="100"/>
  <c r="Z39" i="100"/>
  <c r="L40" i="100"/>
  <c r="Y40" i="100"/>
  <c r="X40" i="100"/>
  <c r="O39" i="100"/>
  <c r="J41" i="100"/>
  <c r="AA39" i="100"/>
  <c r="V41" i="100"/>
  <c r="M40" i="100"/>
  <c r="K41" i="100"/>
  <c r="N20" i="100"/>
  <c r="I20" i="100"/>
  <c r="E20" i="100"/>
  <c r="F21" i="100"/>
  <c r="X19" i="100"/>
  <c r="E19" i="100"/>
  <c r="AB19" i="100"/>
  <c r="W19" i="100"/>
  <c r="S19" i="100"/>
  <c r="J19" i="100"/>
  <c r="J20" i="100"/>
  <c r="Q19" i="100"/>
  <c r="P19" i="100"/>
  <c r="K19" i="100"/>
  <c r="G19" i="100"/>
  <c r="T20" i="100"/>
  <c r="V20" i="100"/>
  <c r="N19" i="100"/>
  <c r="O20" i="100"/>
  <c r="U21" i="100"/>
  <c r="Q21" i="100"/>
  <c r="AB21" i="100"/>
  <c r="P20" i="100"/>
  <c r="H21" i="100"/>
  <c r="Z19" i="100"/>
  <c r="AA20" i="100"/>
  <c r="I21" i="100"/>
  <c r="E21" i="100"/>
  <c r="F20" i="100"/>
  <c r="H20" i="100"/>
  <c r="T21" i="100"/>
  <c r="L20" i="100"/>
  <c r="M21" i="100"/>
  <c r="W20" i="100"/>
  <c r="S20" i="100"/>
  <c r="Z21" i="100"/>
  <c r="H19" i="100"/>
  <c r="X20" i="100"/>
  <c r="M20" i="100"/>
  <c r="K20" i="100"/>
  <c r="G20" i="100"/>
  <c r="R21" i="100"/>
  <c r="R20" i="100"/>
  <c r="J21" i="100"/>
  <c r="O19" i="100"/>
  <c r="Y19" i="100"/>
  <c r="U19" i="100"/>
  <c r="V19" i="100"/>
  <c r="AB20" i="100"/>
  <c r="V21" i="100"/>
  <c r="AA19" i="100"/>
  <c r="M19" i="100"/>
  <c r="I19" i="100"/>
  <c r="P21" i="100"/>
  <c r="F19" i="100"/>
  <c r="X21" i="100"/>
  <c r="G21" i="100"/>
  <c r="AA21" i="100"/>
  <c r="T19" i="100"/>
  <c r="Y20" i="100"/>
  <c r="L21" i="100"/>
  <c r="U20" i="100"/>
  <c r="O21" i="100"/>
  <c r="N21" i="100"/>
  <c r="K21" i="100"/>
  <c r="L19" i="100"/>
  <c r="W21" i="100"/>
  <c r="Z20" i="100"/>
  <c r="S21" i="100"/>
  <c r="Q20" i="100"/>
  <c r="R19" i="100"/>
  <c r="Y21" i="100"/>
  <c r="H12" i="100"/>
  <c r="K11" i="100"/>
  <c r="W11" i="100"/>
  <c r="O11" i="100"/>
  <c r="I12" i="100"/>
  <c r="Y12" i="100"/>
  <c r="G13" i="100"/>
  <c r="U13" i="100"/>
  <c r="E11" i="100"/>
  <c r="S13" i="100"/>
  <c r="AA12" i="100"/>
  <c r="H11" i="100"/>
  <c r="F12" i="100"/>
  <c r="U11" i="100"/>
  <c r="P13" i="100"/>
  <c r="G12" i="100"/>
  <c r="Y11" i="100"/>
  <c r="V11" i="100"/>
  <c r="AB13" i="100"/>
  <c r="Q13" i="100"/>
  <c r="K12" i="100"/>
  <c r="W12" i="100"/>
  <c r="R13" i="100"/>
  <c r="AA44" i="100"/>
  <c r="Q43" i="100"/>
  <c r="J45" i="100"/>
  <c r="Y45" i="100"/>
  <c r="L44" i="100"/>
  <c r="X45" i="100"/>
  <c r="V44" i="100"/>
  <c r="L43" i="100"/>
  <c r="K45" i="100"/>
  <c r="AA43" i="100"/>
  <c r="O44" i="100"/>
  <c r="O43" i="100"/>
  <c r="X44" i="100"/>
  <c r="Q12" i="100"/>
  <c r="O13" i="100"/>
  <c r="E12" i="100"/>
  <c r="G11" i="100"/>
  <c r="S11" i="100"/>
  <c r="AA13" i="100"/>
  <c r="X13" i="100"/>
  <c r="N12" i="100"/>
  <c r="V13" i="100"/>
  <c r="L12" i="100"/>
  <c r="X11" i="100"/>
  <c r="Z12" i="100"/>
  <c r="T13" i="100"/>
  <c r="J12" i="100"/>
  <c r="N13" i="100"/>
  <c r="L13" i="100"/>
  <c r="AB11" i="100"/>
  <c r="J13" i="100"/>
  <c r="Z11" i="100"/>
  <c r="P12" i="100"/>
  <c r="P11" i="100"/>
  <c r="N11" i="100"/>
  <c r="V12" i="100"/>
  <c r="Z13" i="100"/>
  <c r="F11" i="100"/>
  <c r="H13" i="100"/>
  <c r="X12" i="100"/>
  <c r="L11" i="100"/>
  <c r="AB12" i="100"/>
  <c r="R11" i="100"/>
  <c r="D34" i="100"/>
  <c r="E43" i="100"/>
  <c r="I13" i="100"/>
  <c r="L45" i="100"/>
  <c r="R12" i="100"/>
  <c r="U45" i="100"/>
  <c r="I45" i="100"/>
  <c r="W44" i="100"/>
  <c r="K44" i="100"/>
  <c r="Y43" i="100"/>
  <c r="M43" i="100"/>
  <c r="S45" i="100"/>
  <c r="G45" i="100"/>
  <c r="U44" i="100"/>
  <c r="I44" i="100"/>
  <c r="W43" i="100"/>
  <c r="K43" i="100"/>
  <c r="R45" i="100"/>
  <c r="F45" i="100"/>
  <c r="T44" i="100"/>
  <c r="H44" i="100"/>
  <c r="V43" i="100"/>
  <c r="J43" i="100"/>
  <c r="Q45" i="100"/>
  <c r="E45" i="100"/>
  <c r="S44" i="100"/>
  <c r="G44" i="100"/>
  <c r="U43" i="100"/>
  <c r="I43" i="100"/>
  <c r="AA45" i="100"/>
  <c r="O45" i="100"/>
  <c r="Q44" i="100"/>
  <c r="E44" i="100"/>
  <c r="S43" i="100"/>
  <c r="G43" i="100"/>
  <c r="N45" i="100"/>
  <c r="AB44" i="100"/>
  <c r="R44" i="100"/>
  <c r="P44" i="100"/>
  <c r="F44" i="100"/>
  <c r="T43" i="100"/>
  <c r="P45" i="100"/>
  <c r="R43" i="100"/>
  <c r="AB45" i="100"/>
  <c r="H43" i="100"/>
  <c r="Z45" i="100"/>
  <c r="F43" i="100"/>
  <c r="Z44" i="100"/>
  <c r="N43" i="100"/>
  <c r="D38" i="100"/>
  <c r="U41" i="100"/>
  <c r="I41" i="100"/>
  <c r="W40" i="100"/>
  <c r="K40" i="100"/>
  <c r="Y39" i="100"/>
  <c r="M39" i="100"/>
  <c r="T41" i="100"/>
  <c r="H41" i="100"/>
  <c r="V40" i="100"/>
  <c r="J40" i="100"/>
  <c r="X39" i="100"/>
  <c r="L39" i="100"/>
  <c r="S41" i="100"/>
  <c r="G41" i="100"/>
  <c r="U40" i="100"/>
  <c r="I40" i="100"/>
  <c r="W39" i="100"/>
  <c r="K39" i="100"/>
  <c r="R41" i="100"/>
  <c r="F41" i="100"/>
  <c r="T40" i="100"/>
  <c r="H40" i="100"/>
  <c r="V39" i="100"/>
  <c r="J39" i="100"/>
  <c r="Q41" i="100"/>
  <c r="E41" i="100"/>
  <c r="S40" i="100"/>
  <c r="G40" i="100"/>
  <c r="U39" i="100"/>
  <c r="I39" i="100"/>
  <c r="AB41" i="100"/>
  <c r="P41" i="100"/>
  <c r="AA41" i="100"/>
  <c r="O41" i="100"/>
  <c r="Q40" i="100"/>
  <c r="E40" i="100"/>
  <c r="S39" i="100"/>
  <c r="G39" i="100"/>
  <c r="Y41" i="100"/>
  <c r="M41" i="100"/>
  <c r="AA40" i="100"/>
  <c r="O40" i="100"/>
  <c r="Q39" i="100"/>
  <c r="E39" i="100"/>
  <c r="Z41" i="100"/>
  <c r="AB39" i="100"/>
  <c r="X41" i="100"/>
  <c r="T39" i="100"/>
  <c r="F40" i="100"/>
  <c r="N41" i="100"/>
  <c r="R39" i="100"/>
  <c r="L41" i="100"/>
  <c r="P39" i="100"/>
  <c r="H39" i="100"/>
  <c r="AB40" i="100"/>
  <c r="F39" i="100"/>
  <c r="Z40" i="100"/>
  <c r="R40" i="100"/>
  <c r="P40" i="100"/>
  <c r="N40" i="100"/>
  <c r="D54" i="100"/>
  <c r="N44" i="100"/>
  <c r="D26" i="100"/>
  <c r="T11" i="100"/>
  <c r="D58" i="100"/>
  <c r="AB43" i="100"/>
  <c r="M11" i="100"/>
  <c r="P43" i="100"/>
  <c r="F13" i="100"/>
  <c r="E13" i="100"/>
  <c r="T45" i="100"/>
  <c r="Y13" i="100"/>
  <c r="W13" i="100"/>
  <c r="W41" i="100"/>
  <c r="W45" i="100"/>
  <c r="T12" i="100"/>
  <c r="S12" i="100"/>
  <c r="H45" i="100"/>
  <c r="M13" i="100"/>
  <c r="K13" i="100"/>
  <c r="D30" i="100"/>
  <c r="D18" i="100"/>
  <c r="D50" i="100"/>
  <c r="J44" i="100"/>
  <c r="O12" i="100"/>
  <c r="M12" i="100"/>
  <c r="Y44" i="100"/>
  <c r="M45" i="100"/>
  <c r="M44" i="100"/>
  <c r="U12" i="100"/>
  <c r="V45" i="100"/>
  <c r="J11" i="100"/>
  <c r="I11" i="100"/>
  <c r="X43" i="100"/>
  <c r="Q11" i="100"/>
  <c r="AA11" i="100"/>
  <c r="N13" i="94"/>
  <c r="F13" i="94"/>
  <c r="H13" i="94"/>
  <c r="W11" i="94"/>
  <c r="G12" i="94"/>
  <c r="O13" i="94"/>
  <c r="U11" i="94"/>
  <c r="M13" i="94"/>
  <c r="Z11" i="94"/>
  <c r="Y11" i="94"/>
  <c r="K12" i="94"/>
  <c r="AB12" i="94"/>
  <c r="I12" i="94"/>
  <c r="M44" i="94"/>
  <c r="P43" i="94"/>
  <c r="V45" i="94"/>
  <c r="AB43" i="94"/>
  <c r="O43" i="94"/>
  <c r="AA43" i="94"/>
  <c r="Q43" i="94"/>
  <c r="Y45" i="94"/>
  <c r="AA44" i="94"/>
  <c r="M45" i="94"/>
  <c r="AA20" i="94"/>
  <c r="O19" i="94"/>
  <c r="X20" i="94"/>
  <c r="W20" i="94"/>
  <c r="AA21" i="94"/>
  <c r="R19" i="94"/>
  <c r="V19" i="94"/>
  <c r="G20" i="94"/>
  <c r="E19" i="94"/>
  <c r="Z39" i="94"/>
  <c r="N19" i="94"/>
  <c r="M19" i="94"/>
  <c r="O37" i="94"/>
  <c r="L35" i="94"/>
  <c r="AB21" i="94"/>
  <c r="K19" i="94"/>
  <c r="T20" i="94"/>
  <c r="Q21" i="94"/>
  <c r="N39" i="94"/>
  <c r="S36" i="94"/>
  <c r="X35" i="94"/>
  <c r="H19" i="94"/>
  <c r="I20" i="94"/>
  <c r="W19" i="94"/>
  <c r="S21" i="94"/>
  <c r="E21" i="94"/>
  <c r="X21" i="94"/>
  <c r="K37" i="94"/>
  <c r="E37" i="94"/>
  <c r="J36" i="94"/>
  <c r="F20" i="94"/>
  <c r="G21" i="94"/>
  <c r="U20" i="94"/>
  <c r="K41" i="94"/>
  <c r="L21" i="94"/>
  <c r="J19" i="94"/>
  <c r="S19" i="94"/>
  <c r="T21" i="94"/>
  <c r="Z20" i="94"/>
  <c r="W21" i="94"/>
  <c r="J35" i="94"/>
  <c r="H37" i="94"/>
  <c r="H20" i="94"/>
  <c r="Q20" i="94"/>
  <c r="X19" i="94"/>
  <c r="N20" i="94"/>
  <c r="K21" i="94"/>
  <c r="F21" i="94"/>
  <c r="O21" i="94"/>
  <c r="V20" i="94"/>
  <c r="AB19" i="94"/>
  <c r="Y20" i="94"/>
  <c r="M37" i="94"/>
  <c r="H36" i="94"/>
  <c r="I37" i="94"/>
  <c r="L19" i="94"/>
  <c r="T19" i="94"/>
  <c r="Z21" i="94"/>
  <c r="N21" i="94"/>
  <c r="P19" i="94"/>
  <c r="M20" i="94"/>
  <c r="V21" i="94"/>
  <c r="U21" i="94"/>
  <c r="Y37" i="94"/>
  <c r="T36" i="94"/>
  <c r="U37" i="94"/>
  <c r="J20" i="94"/>
  <c r="R20" i="94"/>
  <c r="D18" i="94"/>
  <c r="X28" i="94"/>
  <c r="W27" i="94"/>
  <c r="X29" i="94"/>
  <c r="V28" i="94"/>
  <c r="V27" i="94"/>
  <c r="F29" i="94"/>
  <c r="Z27" i="94"/>
  <c r="V29" i="94"/>
  <c r="U28" i="94"/>
  <c r="P27" i="94"/>
  <c r="T29" i="94"/>
  <c r="T28" i="94"/>
  <c r="N27" i="94"/>
  <c r="S29" i="94"/>
  <c r="N28" i="94"/>
  <c r="L27" i="94"/>
  <c r="R29" i="94"/>
  <c r="L28" i="94"/>
  <c r="K27" i="94"/>
  <c r="L29" i="94"/>
  <c r="J28" i="94"/>
  <c r="J27" i="94"/>
  <c r="J29" i="94"/>
  <c r="I28" i="94"/>
  <c r="H29" i="94"/>
  <c r="H28" i="94"/>
  <c r="G29" i="94"/>
  <c r="AB27" i="94"/>
  <c r="Z28" i="94"/>
  <c r="X27" i="94"/>
  <c r="M27" i="94"/>
  <c r="W29" i="94"/>
  <c r="P29" i="94"/>
  <c r="Y27" i="94"/>
  <c r="AB29" i="94"/>
  <c r="Q29" i="94"/>
  <c r="K28" i="94"/>
  <c r="G27" i="94"/>
  <c r="W28" i="94"/>
  <c r="S27" i="94"/>
  <c r="I29" i="94"/>
  <c r="E28" i="94"/>
  <c r="U29" i="94"/>
  <c r="Q28" i="94"/>
  <c r="I27" i="94"/>
  <c r="E27" i="94"/>
  <c r="F27" i="94"/>
  <c r="O29" i="94"/>
  <c r="U27" i="94"/>
  <c r="Q27" i="94"/>
  <c r="R27" i="94"/>
  <c r="AA29" i="94"/>
  <c r="G28" i="94"/>
  <c r="Y29" i="94"/>
  <c r="AA27" i="94"/>
  <c r="O28" i="94"/>
  <c r="P28" i="94"/>
  <c r="H27" i="94"/>
  <c r="S28" i="94"/>
  <c r="R28" i="94"/>
  <c r="M28" i="94"/>
  <c r="AA28" i="94"/>
  <c r="AB28" i="94"/>
  <c r="T27" i="94"/>
  <c r="E29" i="94"/>
  <c r="Z29" i="94"/>
  <c r="Y28" i="94"/>
  <c r="M29" i="94"/>
  <c r="N29" i="94"/>
  <c r="F28" i="94"/>
  <c r="K29" i="94"/>
  <c r="O44" i="94"/>
  <c r="J45" i="94"/>
  <c r="S12" i="94"/>
  <c r="U12" i="94"/>
  <c r="W12" i="94"/>
  <c r="Q12" i="94"/>
  <c r="K13" i="94"/>
  <c r="D54" i="94"/>
  <c r="X44" i="94"/>
  <c r="W13" i="94"/>
  <c r="E13" i="94"/>
  <c r="G13" i="94"/>
  <c r="I13" i="94"/>
  <c r="S11" i="94"/>
  <c r="M12" i="94"/>
  <c r="E43" i="94"/>
  <c r="L44" i="94"/>
  <c r="Y12" i="94"/>
  <c r="Q13" i="94"/>
  <c r="S13" i="94"/>
  <c r="U13" i="94"/>
  <c r="AA11" i="94"/>
  <c r="O11" i="94"/>
  <c r="X45" i="94"/>
  <c r="W45" i="94"/>
  <c r="Z43" i="94"/>
  <c r="E11" i="94"/>
  <c r="J11" i="94"/>
  <c r="L11" i="94"/>
  <c r="P13" i="94"/>
  <c r="X13" i="94"/>
  <c r="L45" i="94"/>
  <c r="K45" i="94"/>
  <c r="N43" i="94"/>
  <c r="D58" i="94"/>
  <c r="Q11" i="94"/>
  <c r="V11" i="94"/>
  <c r="X11" i="94"/>
  <c r="Z12" i="94"/>
  <c r="U41" i="94"/>
  <c r="I41" i="94"/>
  <c r="W40" i="94"/>
  <c r="K40" i="94"/>
  <c r="Y39" i="94"/>
  <c r="M39" i="94"/>
  <c r="T41" i="94"/>
  <c r="H41" i="94"/>
  <c r="V40" i="94"/>
  <c r="J40" i="94"/>
  <c r="X39" i="94"/>
  <c r="L39" i="94"/>
  <c r="S41" i="94"/>
  <c r="G41" i="94"/>
  <c r="U40" i="94"/>
  <c r="I40" i="94"/>
  <c r="W39" i="94"/>
  <c r="K39" i="94"/>
  <c r="Q41" i="94"/>
  <c r="E41" i="94"/>
  <c r="S40" i="94"/>
  <c r="G40" i="94"/>
  <c r="U39" i="94"/>
  <c r="I39" i="94"/>
  <c r="AB41" i="94"/>
  <c r="P41" i="94"/>
  <c r="AA41" i="94"/>
  <c r="O41" i="94"/>
  <c r="Q40" i="94"/>
  <c r="E40" i="94"/>
  <c r="S39" i="94"/>
  <c r="G39" i="94"/>
  <c r="AB40" i="94"/>
  <c r="AB39" i="94"/>
  <c r="AA40" i="94"/>
  <c r="V39" i="94"/>
  <c r="F41" i="94"/>
  <c r="Z40" i="94"/>
  <c r="T39" i="94"/>
  <c r="Z41" i="94"/>
  <c r="T40" i="94"/>
  <c r="R39" i="94"/>
  <c r="Y41" i="94"/>
  <c r="R40" i="94"/>
  <c r="Q39" i="94"/>
  <c r="X41" i="94"/>
  <c r="P40" i="94"/>
  <c r="P39" i="94"/>
  <c r="R41" i="94"/>
  <c r="O40" i="94"/>
  <c r="J39" i="94"/>
  <c r="N41" i="94"/>
  <c r="N40" i="94"/>
  <c r="H39" i="94"/>
  <c r="M41" i="94"/>
  <c r="H40" i="94"/>
  <c r="F39" i="94"/>
  <c r="L41" i="94"/>
  <c r="F40" i="94"/>
  <c r="E39" i="94"/>
  <c r="R12" i="94"/>
  <c r="Z44" i="94"/>
  <c r="Y44" i="94"/>
  <c r="O12" i="94"/>
  <c r="H12" i="94"/>
  <c r="J12" i="94"/>
  <c r="AB11" i="94"/>
  <c r="T11" i="94"/>
  <c r="N44" i="94"/>
  <c r="Z13" i="94"/>
  <c r="AA12" i="94"/>
  <c r="T12" i="94"/>
  <c r="V12" i="94"/>
  <c r="L13" i="94"/>
  <c r="N12" i="94"/>
  <c r="P11" i="94"/>
  <c r="AA13" i="94"/>
  <c r="E12" i="94"/>
  <c r="G11" i="94"/>
  <c r="F12" i="94"/>
  <c r="J13" i="94"/>
  <c r="L12" i="94"/>
  <c r="N11" i="94"/>
  <c r="AB13" i="94"/>
  <c r="H11" i="94"/>
  <c r="P12" i="94"/>
  <c r="D34" i="94"/>
  <c r="AA37" i="94"/>
  <c r="R37" i="94"/>
  <c r="T37" i="94"/>
  <c r="F11" i="94"/>
  <c r="Y13" i="94"/>
  <c r="R13" i="94"/>
  <c r="T13" i="94"/>
  <c r="V13" i="94"/>
  <c r="R11" i="94"/>
  <c r="E35" i="94"/>
  <c r="I35" i="94"/>
  <c r="K35" i="94"/>
  <c r="M35" i="94"/>
  <c r="I11" i="94"/>
  <c r="K11" i="94"/>
  <c r="M11" i="94"/>
  <c r="T45" i="94"/>
  <c r="H45" i="94"/>
  <c r="U45" i="94"/>
  <c r="I45" i="94"/>
  <c r="W44" i="94"/>
  <c r="K44" i="94"/>
  <c r="Y43" i="94"/>
  <c r="M43" i="94"/>
  <c r="S45" i="94"/>
  <c r="G45" i="94"/>
  <c r="U44" i="94"/>
  <c r="I44" i="94"/>
  <c r="W43" i="94"/>
  <c r="K43" i="94"/>
  <c r="R45" i="94"/>
  <c r="F45" i="94"/>
  <c r="T44" i="94"/>
  <c r="H44" i="94"/>
  <c r="V43" i="94"/>
  <c r="J43" i="94"/>
  <c r="Q45" i="94"/>
  <c r="E45" i="94"/>
  <c r="S44" i="94"/>
  <c r="G44" i="94"/>
  <c r="U43" i="94"/>
  <c r="I43" i="94"/>
  <c r="AB45" i="94"/>
  <c r="P44" i="94"/>
  <c r="F43" i="94"/>
  <c r="AA45" i="94"/>
  <c r="J44" i="94"/>
  <c r="Z45" i="94"/>
  <c r="F44" i="94"/>
  <c r="G43" i="94"/>
  <c r="P45" i="94"/>
  <c r="E44" i="94"/>
  <c r="O45" i="94"/>
  <c r="N45" i="94"/>
  <c r="X43" i="94"/>
  <c r="T43" i="94"/>
  <c r="S43" i="94"/>
  <c r="Q44" i="94"/>
  <c r="AB44" i="94"/>
  <c r="R43" i="94"/>
  <c r="V44" i="94"/>
  <c r="L43" i="94"/>
  <c r="R44" i="94"/>
  <c r="H43" i="94"/>
  <c r="X12" i="94"/>
  <c r="D26" i="94"/>
  <c r="Q35" i="94"/>
  <c r="U35" i="94"/>
  <c r="W35" i="94"/>
  <c r="Y35" i="94"/>
  <c r="D50" i="94"/>
  <c r="O36" i="94"/>
  <c r="G36" i="94"/>
  <c r="I36" i="94"/>
  <c r="D25" i="92"/>
  <c r="D44" i="92"/>
  <c r="D45" i="92"/>
  <c r="D11" i="92"/>
  <c r="D14" i="92" s="1"/>
  <c r="D31" i="92"/>
  <c r="D34" i="92" s="1"/>
  <c r="D47" i="92"/>
  <c r="D12" i="92"/>
  <c r="D33" i="92"/>
  <c r="D49" i="92"/>
  <c r="D15" i="92"/>
  <c r="D18" i="92" s="1"/>
  <c r="T16" i="92" s="1"/>
  <c r="D16" i="92"/>
  <c r="D50" i="92"/>
  <c r="AA48" i="92" s="1"/>
  <c r="D42" i="92"/>
  <c r="W40" i="92" s="1"/>
  <c r="D37" i="92"/>
  <c r="D36" i="92"/>
  <c r="D38" i="92" s="1"/>
  <c r="D21" i="92"/>
  <c r="D46" i="92"/>
  <c r="O43" i="92" s="1"/>
  <c r="D57" i="92"/>
  <c r="D56" i="92"/>
  <c r="D55" i="92"/>
  <c r="D26" i="92"/>
  <c r="I24" i="92" s="1"/>
  <c r="D20" i="92"/>
  <c r="D29" i="92"/>
  <c r="D27" i="92"/>
  <c r="W23" i="92"/>
  <c r="V49" i="92"/>
  <c r="D51" i="92"/>
  <c r="G41" i="92"/>
  <c r="S41" i="92"/>
  <c r="D52" i="92"/>
  <c r="M39" i="92"/>
  <c r="Y39" i="92"/>
  <c r="K40" i="92"/>
  <c r="I41" i="92"/>
  <c r="U41" i="92"/>
  <c r="Y44" i="92"/>
  <c r="W45" i="92"/>
  <c r="O48" i="92"/>
  <c r="AB24" i="92"/>
  <c r="N39" i="92"/>
  <c r="Z39" i="92"/>
  <c r="L40" i="92"/>
  <c r="X40" i="92"/>
  <c r="J41" i="92"/>
  <c r="V41" i="92"/>
  <c r="Z44" i="92"/>
  <c r="X45" i="92"/>
  <c r="O39" i="92"/>
  <c r="AA39" i="92"/>
  <c r="M40" i="92"/>
  <c r="Y40" i="92"/>
  <c r="K41" i="92"/>
  <c r="Q43" i="92"/>
  <c r="O44" i="92"/>
  <c r="M45" i="92"/>
  <c r="Q48" i="92"/>
  <c r="C11" i="48"/>
  <c r="B2" i="48" s="1"/>
  <c r="C11" i="49"/>
  <c r="B2" i="49" s="1"/>
  <c r="C11" i="47"/>
  <c r="B2" i="43"/>
  <c r="C11" i="44"/>
  <c r="B2" i="44" s="1"/>
  <c r="C11" i="46"/>
  <c r="B2" i="46" s="1"/>
  <c r="C11" i="45"/>
  <c r="B2" i="45" s="1"/>
  <c r="A55" i="57"/>
  <c r="A51" i="57"/>
  <c r="A47" i="57"/>
  <c r="A43" i="57"/>
  <c r="A39" i="57"/>
  <c r="A35" i="57"/>
  <c r="A31" i="57"/>
  <c r="A27" i="57"/>
  <c r="A23" i="57"/>
  <c r="A19" i="57"/>
  <c r="A15" i="57"/>
  <c r="A11" i="57"/>
  <c r="A10" i="57"/>
  <c r="A55" i="56"/>
  <c r="A51" i="56"/>
  <c r="A47" i="56"/>
  <c r="A43" i="56"/>
  <c r="A39" i="56"/>
  <c r="A35" i="56"/>
  <c r="A31" i="56"/>
  <c r="A27" i="56"/>
  <c r="A23" i="56"/>
  <c r="A19" i="56"/>
  <c r="A15" i="56"/>
  <c r="A11" i="56"/>
  <c r="A10" i="56"/>
  <c r="A55" i="55"/>
  <c r="A51" i="55"/>
  <c r="A47" i="55"/>
  <c r="A43" i="55"/>
  <c r="A39" i="55"/>
  <c r="A35" i="55"/>
  <c r="A31" i="55"/>
  <c r="A27" i="55"/>
  <c r="A23" i="55"/>
  <c r="A19" i="55"/>
  <c r="A15" i="55"/>
  <c r="A11" i="55"/>
  <c r="A10" i="55"/>
  <c r="A55" i="54"/>
  <c r="A51" i="54"/>
  <c r="A47" i="54"/>
  <c r="A43" i="54"/>
  <c r="A39" i="54"/>
  <c r="A35" i="54"/>
  <c r="A31" i="54"/>
  <c r="A27" i="54"/>
  <c r="A23" i="54"/>
  <c r="A19" i="54"/>
  <c r="A15" i="54"/>
  <c r="A11" i="54"/>
  <c r="A10" i="54"/>
  <c r="A55" i="53"/>
  <c r="A51" i="53"/>
  <c r="A47" i="53"/>
  <c r="A43" i="53"/>
  <c r="A39" i="53"/>
  <c r="A35" i="53"/>
  <c r="A31" i="53"/>
  <c r="A27" i="53"/>
  <c r="A23" i="53"/>
  <c r="A19" i="53"/>
  <c r="A15" i="53"/>
  <c r="A11" i="53"/>
  <c r="A10" i="53"/>
  <c r="A55" i="17"/>
  <c r="A51" i="17"/>
  <c r="A47" i="17"/>
  <c r="A43" i="17"/>
  <c r="A39" i="17"/>
  <c r="A35" i="17"/>
  <c r="A31" i="17"/>
  <c r="A27" i="17"/>
  <c r="A23" i="17"/>
  <c r="A19" i="17"/>
  <c r="A15" i="17"/>
  <c r="A11" i="17"/>
  <c r="A10" i="17"/>
  <c r="A10" i="16"/>
  <c r="A55" i="16"/>
  <c r="A51" i="16"/>
  <c r="A47" i="16"/>
  <c r="A43" i="16"/>
  <c r="A39" i="16"/>
  <c r="A35" i="16"/>
  <c r="A31" i="16"/>
  <c r="A27" i="16"/>
  <c r="A23" i="16"/>
  <c r="A19" i="16"/>
  <c r="A15" i="16"/>
  <c r="I2" i="62"/>
  <c r="I3" i="62"/>
  <c r="I4" i="62"/>
  <c r="I5" i="62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74" i="62"/>
  <c r="I75" i="62"/>
  <c r="I76" i="62"/>
  <c r="I77" i="62"/>
  <c r="I78" i="62"/>
  <c r="I79" i="62"/>
  <c r="I80" i="62"/>
  <c r="I81" i="62"/>
  <c r="I82" i="62"/>
  <c r="I83" i="62"/>
  <c r="I84" i="62"/>
  <c r="I85" i="62"/>
  <c r="I86" i="62"/>
  <c r="I87" i="62"/>
  <c r="I88" i="62"/>
  <c r="I89" i="62"/>
  <c r="I90" i="62"/>
  <c r="I91" i="62"/>
  <c r="I92" i="62"/>
  <c r="I93" i="62"/>
  <c r="I94" i="62"/>
  <c r="I95" i="62"/>
  <c r="I96" i="62"/>
  <c r="I97" i="62"/>
  <c r="I98" i="62"/>
  <c r="I99" i="62"/>
  <c r="I100" i="62"/>
  <c r="I101" i="62"/>
  <c r="I102" i="62"/>
  <c r="I103" i="62"/>
  <c r="I104" i="62"/>
  <c r="I105" i="62"/>
  <c r="I106" i="62"/>
  <c r="I107" i="62"/>
  <c r="I108" i="62"/>
  <c r="I109" i="62"/>
  <c r="I110" i="62"/>
  <c r="I111" i="62"/>
  <c r="I112" i="62"/>
  <c r="I113" i="62"/>
  <c r="I114" i="62"/>
  <c r="I115" i="62"/>
  <c r="I116" i="62"/>
  <c r="I117" i="62"/>
  <c r="I118" i="62"/>
  <c r="I119" i="62"/>
  <c r="I120" i="62"/>
  <c r="I121" i="62"/>
  <c r="I122" i="62"/>
  <c r="I123" i="62"/>
  <c r="I124" i="62"/>
  <c r="I125" i="62"/>
  <c r="I126" i="62"/>
  <c r="I127" i="62"/>
  <c r="I128" i="62"/>
  <c r="I129" i="62"/>
  <c r="I130" i="62"/>
  <c r="I131" i="62"/>
  <c r="I132" i="62"/>
  <c r="I133" i="62"/>
  <c r="I134" i="62"/>
  <c r="I135" i="62"/>
  <c r="I136" i="62"/>
  <c r="I137" i="62"/>
  <c r="I138" i="62"/>
  <c r="I139" i="62"/>
  <c r="I140" i="62"/>
  <c r="I141" i="62"/>
  <c r="I142" i="62"/>
  <c r="I143" i="62"/>
  <c r="I144" i="62"/>
  <c r="I145" i="62"/>
  <c r="I146" i="62"/>
  <c r="I147" i="62"/>
  <c r="I148" i="62"/>
  <c r="I149" i="62"/>
  <c r="I150" i="62"/>
  <c r="I151" i="62"/>
  <c r="I152" i="62"/>
  <c r="I153" i="62"/>
  <c r="I154" i="62"/>
  <c r="I155" i="62"/>
  <c r="I156" i="62"/>
  <c r="I157" i="62"/>
  <c r="I158" i="62"/>
  <c r="I159" i="62"/>
  <c r="I160" i="62"/>
  <c r="I161" i="62"/>
  <c r="I162" i="62"/>
  <c r="I163" i="62"/>
  <c r="I164" i="62"/>
  <c r="I165" i="62"/>
  <c r="I166" i="62"/>
  <c r="I167" i="62"/>
  <c r="I168" i="62"/>
  <c r="I169" i="62"/>
  <c r="I170" i="62"/>
  <c r="I171" i="62"/>
  <c r="I172" i="62"/>
  <c r="I173" i="62"/>
  <c r="I174" i="62"/>
  <c r="I175" i="62"/>
  <c r="I176" i="62"/>
  <c r="I177" i="62"/>
  <c r="I178" i="62"/>
  <c r="I179" i="62"/>
  <c r="I180" i="62"/>
  <c r="I181" i="62"/>
  <c r="I182" i="62"/>
  <c r="I183" i="62"/>
  <c r="I184" i="62"/>
  <c r="I185" i="62"/>
  <c r="I186" i="62"/>
  <c r="I187" i="62"/>
  <c r="I188" i="62"/>
  <c r="I189" i="62"/>
  <c r="I190" i="62"/>
  <c r="I191" i="62"/>
  <c r="I192" i="62"/>
  <c r="I193" i="62"/>
  <c r="I194" i="62"/>
  <c r="I195" i="62"/>
  <c r="I196" i="62"/>
  <c r="I197" i="62"/>
  <c r="I198" i="62"/>
  <c r="I199" i="62"/>
  <c r="I200" i="62"/>
  <c r="I201" i="62"/>
  <c r="I202" i="62"/>
  <c r="I203" i="62"/>
  <c r="I204" i="62"/>
  <c r="I205" i="62"/>
  <c r="I206" i="62"/>
  <c r="I207" i="62"/>
  <c r="I208" i="62"/>
  <c r="I209" i="62"/>
  <c r="I210" i="62"/>
  <c r="I211" i="62"/>
  <c r="I212" i="62"/>
  <c r="I213" i="62"/>
  <c r="I214" i="62"/>
  <c r="I215" i="62"/>
  <c r="I216" i="62"/>
  <c r="I217" i="62"/>
  <c r="I218" i="62"/>
  <c r="I219" i="62"/>
  <c r="I220" i="62"/>
  <c r="I221" i="62"/>
  <c r="I222" i="62"/>
  <c r="I223" i="62"/>
  <c r="I224" i="62"/>
  <c r="I225" i="62"/>
  <c r="I226" i="62"/>
  <c r="I227" i="62"/>
  <c r="I228" i="62"/>
  <c r="I229" i="62"/>
  <c r="I230" i="62"/>
  <c r="I231" i="62"/>
  <c r="I232" i="62"/>
  <c r="I233" i="62"/>
  <c r="I234" i="62"/>
  <c r="I235" i="62"/>
  <c r="I236" i="62"/>
  <c r="I237" i="62"/>
  <c r="I238" i="62"/>
  <c r="I239" i="62"/>
  <c r="I240" i="62"/>
  <c r="I241" i="62"/>
  <c r="I242" i="62"/>
  <c r="I243" i="62"/>
  <c r="I244" i="62"/>
  <c r="I245" i="62"/>
  <c r="I246" i="62"/>
  <c r="I247" i="62"/>
  <c r="I248" i="62"/>
  <c r="I249" i="62"/>
  <c r="I250" i="62"/>
  <c r="I251" i="62"/>
  <c r="I252" i="62"/>
  <c r="I253" i="62"/>
  <c r="I254" i="62"/>
  <c r="I255" i="62"/>
  <c r="I256" i="62"/>
  <c r="I257" i="62"/>
  <c r="I258" i="62"/>
  <c r="I259" i="62"/>
  <c r="I260" i="62"/>
  <c r="I261" i="62"/>
  <c r="I262" i="62"/>
  <c r="I263" i="62"/>
  <c r="I264" i="62"/>
  <c r="I265" i="62"/>
  <c r="I266" i="62"/>
  <c r="I267" i="62"/>
  <c r="I268" i="62"/>
  <c r="I269" i="62"/>
  <c r="I270" i="62"/>
  <c r="I271" i="62"/>
  <c r="I272" i="62"/>
  <c r="I273" i="62"/>
  <c r="I274" i="62"/>
  <c r="I275" i="62"/>
  <c r="I276" i="62"/>
  <c r="I277" i="62"/>
  <c r="I278" i="62"/>
  <c r="I279" i="62"/>
  <c r="I280" i="62"/>
  <c r="I281" i="62"/>
  <c r="I282" i="62"/>
  <c r="I283" i="62"/>
  <c r="I284" i="62"/>
  <c r="I285" i="62"/>
  <c r="I286" i="62"/>
  <c r="I287" i="62"/>
  <c r="I288" i="62"/>
  <c r="I289" i="62"/>
  <c r="I290" i="62"/>
  <c r="I291" i="62"/>
  <c r="I292" i="62"/>
  <c r="I293" i="62"/>
  <c r="I294" i="62"/>
  <c r="I295" i="62"/>
  <c r="I296" i="62"/>
  <c r="I297" i="62"/>
  <c r="I298" i="62"/>
  <c r="I299" i="62"/>
  <c r="I300" i="62"/>
  <c r="I301" i="62"/>
  <c r="I302" i="62"/>
  <c r="I303" i="62"/>
  <c r="I304" i="62"/>
  <c r="I305" i="62"/>
  <c r="I306" i="62"/>
  <c r="I307" i="62"/>
  <c r="I308" i="62"/>
  <c r="I309" i="62"/>
  <c r="I310" i="62"/>
  <c r="I311" i="62"/>
  <c r="I312" i="62"/>
  <c r="I313" i="62"/>
  <c r="I314" i="62"/>
  <c r="I315" i="62"/>
  <c r="I316" i="62"/>
  <c r="I317" i="62"/>
  <c r="I318" i="62"/>
  <c r="I319" i="62"/>
  <c r="I320" i="62"/>
  <c r="I321" i="62"/>
  <c r="I322" i="62"/>
  <c r="I323" i="62"/>
  <c r="I324" i="62"/>
  <c r="I325" i="62"/>
  <c r="I326" i="62"/>
  <c r="I327" i="62"/>
  <c r="I328" i="62"/>
  <c r="I329" i="62"/>
  <c r="I330" i="62"/>
  <c r="I331" i="62"/>
  <c r="I332" i="62"/>
  <c r="I333" i="62"/>
  <c r="I334" i="62"/>
  <c r="I335" i="62"/>
  <c r="I336" i="62"/>
  <c r="I337" i="62"/>
  <c r="I338" i="62"/>
  <c r="I339" i="62"/>
  <c r="I340" i="62"/>
  <c r="I341" i="62"/>
  <c r="I342" i="62"/>
  <c r="I343" i="62"/>
  <c r="I344" i="62"/>
  <c r="I345" i="62"/>
  <c r="I346" i="62"/>
  <c r="I347" i="62"/>
  <c r="I348" i="62"/>
  <c r="I349" i="62"/>
  <c r="I350" i="62"/>
  <c r="I351" i="62"/>
  <c r="I352" i="62"/>
  <c r="I353" i="62"/>
  <c r="I354" i="62"/>
  <c r="I355" i="62"/>
  <c r="I356" i="62"/>
  <c r="I357" i="62"/>
  <c r="I358" i="62"/>
  <c r="I359" i="62"/>
  <c r="I360" i="62"/>
  <c r="I361" i="62"/>
  <c r="I362" i="62"/>
  <c r="I363" i="62"/>
  <c r="I364" i="62"/>
  <c r="I365" i="62"/>
  <c r="I366" i="62"/>
  <c r="I367" i="62"/>
  <c r="I368" i="62"/>
  <c r="I369" i="62"/>
  <c r="I370" i="62"/>
  <c r="I371" i="62"/>
  <c r="I372" i="62"/>
  <c r="I373" i="62"/>
  <c r="I374" i="62"/>
  <c r="I375" i="62"/>
  <c r="I376" i="62"/>
  <c r="I377" i="62"/>
  <c r="I378" i="62"/>
  <c r="I379" i="62"/>
  <c r="I380" i="62"/>
  <c r="I381" i="62"/>
  <c r="I382" i="62"/>
  <c r="I383" i="62"/>
  <c r="I384" i="62"/>
  <c r="I385" i="62"/>
  <c r="I386" i="62"/>
  <c r="I387" i="62"/>
  <c r="I388" i="62"/>
  <c r="I389" i="62"/>
  <c r="I390" i="62"/>
  <c r="I391" i="62"/>
  <c r="I392" i="62"/>
  <c r="I393" i="62"/>
  <c r="I394" i="62"/>
  <c r="I395" i="62"/>
  <c r="I396" i="62"/>
  <c r="I397" i="62"/>
  <c r="I398" i="62"/>
  <c r="I399" i="62"/>
  <c r="I400" i="62"/>
  <c r="I401" i="62"/>
  <c r="I402" i="62"/>
  <c r="I403" i="62"/>
  <c r="I404" i="62"/>
  <c r="I405" i="62"/>
  <c r="I406" i="62"/>
  <c r="I407" i="62"/>
  <c r="I408" i="62"/>
  <c r="I409" i="62"/>
  <c r="I410" i="62"/>
  <c r="I411" i="62"/>
  <c r="I412" i="62"/>
  <c r="I413" i="62"/>
  <c r="I414" i="62"/>
  <c r="I415" i="62"/>
  <c r="I416" i="62"/>
  <c r="I417" i="62"/>
  <c r="I418" i="62"/>
  <c r="I419" i="62"/>
  <c r="I420" i="62"/>
  <c r="I421" i="62"/>
  <c r="I422" i="62"/>
  <c r="I423" i="62"/>
  <c r="I424" i="62"/>
  <c r="I425" i="62"/>
  <c r="I426" i="62"/>
  <c r="I427" i="62"/>
  <c r="I428" i="62"/>
  <c r="I429" i="62"/>
  <c r="I430" i="62"/>
  <c r="I431" i="62"/>
  <c r="I432" i="62"/>
  <c r="I433" i="62"/>
  <c r="I434" i="62"/>
  <c r="I435" i="62"/>
  <c r="I436" i="62"/>
  <c r="I437" i="62"/>
  <c r="I438" i="62"/>
  <c r="I439" i="62"/>
  <c r="I440" i="62"/>
  <c r="I441" i="62"/>
  <c r="I1" i="62"/>
  <c r="A11" i="16"/>
  <c r="L2" i="62"/>
  <c r="L3" i="62"/>
  <c r="L4" i="62"/>
  <c r="D15" i="16" s="1"/>
  <c r="L5" i="62"/>
  <c r="L6" i="62"/>
  <c r="D17" i="16" s="1"/>
  <c r="L7" i="62"/>
  <c r="L8" i="62"/>
  <c r="D20" i="16" s="1"/>
  <c r="L9" i="62"/>
  <c r="L10" i="62"/>
  <c r="D24" i="16" s="1"/>
  <c r="L11" i="62"/>
  <c r="L12" i="62"/>
  <c r="D23" i="16" s="1"/>
  <c r="L13" i="62"/>
  <c r="D27" i="16" s="1"/>
  <c r="L14" i="62"/>
  <c r="D28" i="16" s="1"/>
  <c r="L15" i="62"/>
  <c r="L16" i="62"/>
  <c r="D31" i="16" s="1"/>
  <c r="L17" i="62"/>
  <c r="D32" i="16" s="1"/>
  <c r="L18" i="62"/>
  <c r="D33" i="16" s="1"/>
  <c r="L19" i="62"/>
  <c r="D36" i="16" s="1"/>
  <c r="L20" i="62"/>
  <c r="D37" i="16" s="1"/>
  <c r="L21" i="62"/>
  <c r="D35" i="16" s="1"/>
  <c r="L22" i="62"/>
  <c r="D39" i="16" s="1"/>
  <c r="L23" i="62"/>
  <c r="D40" i="16" s="1"/>
  <c r="L24" i="62"/>
  <c r="D41" i="16" s="1"/>
  <c r="L25" i="62"/>
  <c r="D43" i="16" s="1"/>
  <c r="L26" i="62"/>
  <c r="D44" i="16" s="1"/>
  <c r="L27" i="62"/>
  <c r="D45" i="16" s="1"/>
  <c r="L28" i="62"/>
  <c r="D49" i="16" s="1"/>
  <c r="L29" i="62"/>
  <c r="D47" i="16" s="1"/>
  <c r="L30" i="62"/>
  <c r="D48" i="16" s="1"/>
  <c r="L31" i="62"/>
  <c r="D51" i="16" s="1"/>
  <c r="L32" i="62"/>
  <c r="D52" i="16" s="1"/>
  <c r="L33" i="62"/>
  <c r="D53" i="16" s="1"/>
  <c r="L34" i="62"/>
  <c r="D55" i="16" s="1"/>
  <c r="L35" i="62"/>
  <c r="D56" i="16" s="1"/>
  <c r="L36" i="62"/>
  <c r="D57" i="16" s="1"/>
  <c r="L37" i="62"/>
  <c r="D11" i="17" s="1"/>
  <c r="L38" i="62"/>
  <c r="D12" i="17" s="1"/>
  <c r="L39" i="62"/>
  <c r="D13" i="17" s="1"/>
  <c r="L40" i="62"/>
  <c r="D15" i="17" s="1"/>
  <c r="L41" i="62"/>
  <c r="D16" i="17" s="1"/>
  <c r="L42" i="62"/>
  <c r="D17" i="17" s="1"/>
  <c r="L43" i="62"/>
  <c r="D19" i="17" s="1"/>
  <c r="L44" i="62"/>
  <c r="D20" i="17" s="1"/>
  <c r="L45" i="62"/>
  <c r="D21" i="17" s="1"/>
  <c r="L46" i="62"/>
  <c r="D23" i="17" s="1"/>
  <c r="L47" i="62"/>
  <c r="D24" i="17" s="1"/>
  <c r="L48" i="62"/>
  <c r="D25" i="17" s="1"/>
  <c r="L49" i="62"/>
  <c r="D27" i="17" s="1"/>
  <c r="L50" i="62"/>
  <c r="D28" i="17" s="1"/>
  <c r="L51" i="62"/>
  <c r="D29" i="17" s="1"/>
  <c r="L52" i="62"/>
  <c r="D32" i="17" s="1"/>
  <c r="L53" i="62"/>
  <c r="D33" i="17" s="1"/>
  <c r="L54" i="62"/>
  <c r="D31" i="17" s="1"/>
  <c r="L55" i="62"/>
  <c r="D35" i="17" s="1"/>
  <c r="L56" i="62"/>
  <c r="D36" i="17" s="1"/>
  <c r="L57" i="62"/>
  <c r="D37" i="17" s="1"/>
  <c r="L58" i="62"/>
  <c r="D39" i="17" s="1"/>
  <c r="L59" i="62"/>
  <c r="D40" i="17" s="1"/>
  <c r="L60" i="62"/>
  <c r="D41" i="17" s="1"/>
  <c r="L61" i="62"/>
  <c r="D45" i="17" s="1"/>
  <c r="L62" i="62"/>
  <c r="D43" i="17" s="1"/>
  <c r="L63" i="62"/>
  <c r="D44" i="17" s="1"/>
  <c r="L64" i="62"/>
  <c r="D47" i="17" s="1"/>
  <c r="L65" i="62"/>
  <c r="D48" i="17" s="1"/>
  <c r="L66" i="62"/>
  <c r="D49" i="17" s="1"/>
  <c r="L67" i="62"/>
  <c r="D51" i="17" s="1"/>
  <c r="L68" i="62"/>
  <c r="D52" i="17" s="1"/>
  <c r="L69" i="62"/>
  <c r="D53" i="17" s="1"/>
  <c r="L70" i="62"/>
  <c r="D57" i="17" s="1"/>
  <c r="L71" i="62"/>
  <c r="D55" i="17" s="1"/>
  <c r="L72" i="62"/>
  <c r="D56" i="17" s="1"/>
  <c r="L73" i="62"/>
  <c r="D11" i="53" s="1"/>
  <c r="L74" i="62"/>
  <c r="D12" i="53" s="1"/>
  <c r="L75" i="62"/>
  <c r="D13" i="53" s="1"/>
  <c r="L76" i="62"/>
  <c r="D16" i="53" s="1"/>
  <c r="L77" i="62"/>
  <c r="D17" i="53" s="1"/>
  <c r="L78" i="62"/>
  <c r="D15" i="53" s="1"/>
  <c r="L79" i="62"/>
  <c r="D20" i="53" s="1"/>
  <c r="L80" i="62"/>
  <c r="D21" i="53" s="1"/>
  <c r="L81" i="62"/>
  <c r="D19" i="53" s="1"/>
  <c r="L82" i="62"/>
  <c r="D23" i="53" s="1"/>
  <c r="L83" i="62"/>
  <c r="D24" i="53" s="1"/>
  <c r="L84" i="62"/>
  <c r="D25" i="53" s="1"/>
  <c r="L85" i="62"/>
  <c r="D27" i="53" s="1"/>
  <c r="L86" i="62"/>
  <c r="D28" i="53" s="1"/>
  <c r="L87" i="62"/>
  <c r="D29" i="53" s="1"/>
  <c r="L88" i="62"/>
  <c r="D33" i="53" s="1"/>
  <c r="L89" i="62"/>
  <c r="D31" i="53" s="1"/>
  <c r="L90" i="62"/>
  <c r="D32" i="53" s="1"/>
  <c r="L91" i="62"/>
  <c r="D35" i="53" s="1"/>
  <c r="L92" i="62"/>
  <c r="D36" i="53" s="1"/>
  <c r="L93" i="62"/>
  <c r="D37" i="53" s="1"/>
  <c r="L94" i="62"/>
  <c r="D39" i="53" s="1"/>
  <c r="L95" i="62"/>
  <c r="D40" i="53" s="1"/>
  <c r="L96" i="62"/>
  <c r="D41" i="53" s="1"/>
  <c r="L97" i="62"/>
  <c r="D43" i="53" s="1"/>
  <c r="L98" i="62"/>
  <c r="D44" i="53" s="1"/>
  <c r="L99" i="62"/>
  <c r="D45" i="53" s="1"/>
  <c r="L100" i="62"/>
  <c r="D47" i="53" s="1"/>
  <c r="L101" i="62"/>
  <c r="D48" i="53" s="1"/>
  <c r="L102" i="62"/>
  <c r="D49" i="53" s="1"/>
  <c r="L103" i="62"/>
  <c r="D52" i="53" s="1"/>
  <c r="L104" i="62"/>
  <c r="D53" i="53" s="1"/>
  <c r="L105" i="62"/>
  <c r="D51" i="53" s="1"/>
  <c r="L106" i="62"/>
  <c r="D55" i="53" s="1"/>
  <c r="L107" i="62"/>
  <c r="D56" i="53" s="1"/>
  <c r="L108" i="62"/>
  <c r="D57" i="53" s="1"/>
  <c r="L109" i="62"/>
  <c r="D11" i="54" s="1"/>
  <c r="L110" i="62"/>
  <c r="D12" i="54" s="1"/>
  <c r="L111" i="62"/>
  <c r="D13" i="54" s="1"/>
  <c r="L112" i="62"/>
  <c r="D17" i="54" s="1"/>
  <c r="L113" i="62"/>
  <c r="D15" i="54" s="1"/>
  <c r="L114" i="62"/>
  <c r="D16" i="54" s="1"/>
  <c r="L115" i="62"/>
  <c r="D21" i="54" s="1"/>
  <c r="L116" i="62"/>
  <c r="D19" i="54" s="1"/>
  <c r="L117" i="62"/>
  <c r="D20" i="54" s="1"/>
  <c r="L118" i="62"/>
  <c r="D23" i="54" s="1"/>
  <c r="L119" i="62"/>
  <c r="D24" i="54" s="1"/>
  <c r="L120" i="62"/>
  <c r="D25" i="54" s="1"/>
  <c r="L121" i="62"/>
  <c r="D27" i="54" s="1"/>
  <c r="L122" i="62"/>
  <c r="D28" i="54" s="1"/>
  <c r="L123" i="62"/>
  <c r="D29" i="54" s="1"/>
  <c r="L124" i="62"/>
  <c r="D31" i="54" s="1"/>
  <c r="L125" i="62"/>
  <c r="D32" i="54" s="1"/>
  <c r="L126" i="62"/>
  <c r="D33" i="54" s="1"/>
  <c r="L127" i="62"/>
  <c r="D35" i="54" s="1"/>
  <c r="L128" i="62"/>
  <c r="D36" i="54" s="1"/>
  <c r="L129" i="62"/>
  <c r="D37" i="54" s="1"/>
  <c r="L130" i="62"/>
  <c r="D40" i="54" s="1"/>
  <c r="L131" i="62"/>
  <c r="D41" i="54" s="1"/>
  <c r="L132" i="62"/>
  <c r="D39" i="54" s="1"/>
  <c r="L133" i="62"/>
  <c r="D43" i="54" s="1"/>
  <c r="L134" i="62"/>
  <c r="D44" i="54" s="1"/>
  <c r="L135" i="62"/>
  <c r="D45" i="54" s="1"/>
  <c r="L136" i="62"/>
  <c r="D47" i="54" s="1"/>
  <c r="L137" i="62"/>
  <c r="D48" i="54" s="1"/>
  <c r="L138" i="62"/>
  <c r="D49" i="54" s="1"/>
  <c r="L139" i="62"/>
  <c r="D53" i="54" s="1"/>
  <c r="L140" i="62"/>
  <c r="D51" i="54" s="1"/>
  <c r="L141" i="62"/>
  <c r="D52" i="54" s="1"/>
  <c r="L142" i="62"/>
  <c r="D55" i="54" s="1"/>
  <c r="L143" i="62"/>
  <c r="D56" i="54" s="1"/>
  <c r="L144" i="62"/>
  <c r="D57" i="54" s="1"/>
  <c r="L145" i="62"/>
  <c r="D11" i="55" s="1"/>
  <c r="L146" i="62"/>
  <c r="D12" i="55" s="1"/>
  <c r="L147" i="62"/>
  <c r="D13" i="55" s="1"/>
  <c r="L148" i="62"/>
  <c r="D15" i="55" s="1"/>
  <c r="L149" i="62"/>
  <c r="D16" i="55" s="1"/>
  <c r="L150" i="62"/>
  <c r="D17" i="55" s="1"/>
  <c r="L151" i="62"/>
  <c r="D19" i="55" s="1"/>
  <c r="L152" i="62"/>
  <c r="D20" i="55" s="1"/>
  <c r="L153" i="62"/>
  <c r="D21" i="55" s="1"/>
  <c r="L154" i="62"/>
  <c r="D23" i="55" s="1"/>
  <c r="L155" i="62"/>
  <c r="D24" i="55" s="1"/>
  <c r="L156" i="62"/>
  <c r="D25" i="55" s="1"/>
  <c r="L157" i="62"/>
  <c r="D28" i="55" s="1"/>
  <c r="L158" i="62"/>
  <c r="D29" i="55" s="1"/>
  <c r="L159" i="62"/>
  <c r="D27" i="55" s="1"/>
  <c r="L160" i="62"/>
  <c r="D31" i="55" s="1"/>
  <c r="L161" i="62"/>
  <c r="D32" i="55" s="1"/>
  <c r="L162" i="62"/>
  <c r="D33" i="55" s="1"/>
  <c r="L163" i="62"/>
  <c r="D35" i="55" s="1"/>
  <c r="L164" i="62"/>
  <c r="D36" i="55" s="1"/>
  <c r="L165" i="62"/>
  <c r="D37" i="55" s="1"/>
  <c r="L166" i="62"/>
  <c r="D41" i="55" s="1"/>
  <c r="L167" i="62"/>
  <c r="D39" i="55" s="1"/>
  <c r="L168" i="62"/>
  <c r="D40" i="55" s="1"/>
  <c r="L169" i="62"/>
  <c r="D43" i="55" s="1"/>
  <c r="L170" i="62"/>
  <c r="D44" i="55" s="1"/>
  <c r="L171" i="62"/>
  <c r="D45" i="55" s="1"/>
  <c r="L172" i="62"/>
  <c r="D47" i="55" s="1"/>
  <c r="L173" i="62"/>
  <c r="D48" i="55" s="1"/>
  <c r="L174" i="62"/>
  <c r="D49" i="55" s="1"/>
  <c r="L175" i="62"/>
  <c r="D51" i="55" s="1"/>
  <c r="L176" i="62"/>
  <c r="D52" i="55" s="1"/>
  <c r="L177" i="62"/>
  <c r="D53" i="55" s="1"/>
  <c r="L178" i="62"/>
  <c r="D55" i="55" s="1"/>
  <c r="L179" i="62"/>
  <c r="D56" i="55" s="1"/>
  <c r="L180" i="62"/>
  <c r="D57" i="55" s="1"/>
  <c r="L181" i="62"/>
  <c r="D12" i="56" s="1"/>
  <c r="L182" i="62"/>
  <c r="D13" i="56" s="1"/>
  <c r="L183" i="62"/>
  <c r="D11" i="56" s="1"/>
  <c r="L184" i="62"/>
  <c r="D15" i="56" s="1"/>
  <c r="L185" i="62"/>
  <c r="D16" i="56" s="1"/>
  <c r="L186" i="62"/>
  <c r="D17" i="56" s="1"/>
  <c r="L187" i="62"/>
  <c r="D19" i="56" s="1"/>
  <c r="L188" i="62"/>
  <c r="D20" i="56" s="1"/>
  <c r="L189" i="62"/>
  <c r="D21" i="56" s="1"/>
  <c r="L190" i="62"/>
  <c r="D24" i="56" s="1"/>
  <c r="L191" i="62"/>
  <c r="D25" i="56" s="1"/>
  <c r="L192" i="62"/>
  <c r="D23" i="56" s="1"/>
  <c r="L193" i="62"/>
  <c r="D27" i="56" s="1"/>
  <c r="L194" i="62"/>
  <c r="D28" i="56" s="1"/>
  <c r="L195" i="62"/>
  <c r="D29" i="56" s="1"/>
  <c r="L196" i="62"/>
  <c r="D31" i="56" s="1"/>
  <c r="L197" i="62"/>
  <c r="D32" i="56" s="1"/>
  <c r="L198" i="62"/>
  <c r="D33" i="56" s="1"/>
  <c r="L199" i="62"/>
  <c r="D36" i="56" s="1"/>
  <c r="L200" i="62"/>
  <c r="D37" i="56" s="1"/>
  <c r="L201" i="62"/>
  <c r="D35" i="56" s="1"/>
  <c r="L202" i="62"/>
  <c r="D39" i="56" s="1"/>
  <c r="L203" i="62"/>
  <c r="D40" i="56" s="1"/>
  <c r="L204" i="62"/>
  <c r="D41" i="56" s="1"/>
  <c r="L205" i="62"/>
  <c r="D43" i="56" s="1"/>
  <c r="L206" i="62"/>
  <c r="D44" i="56" s="1"/>
  <c r="L207" i="62"/>
  <c r="D45" i="56" s="1"/>
  <c r="L208" i="62"/>
  <c r="D49" i="56" s="1"/>
  <c r="L209" i="62"/>
  <c r="D47" i="56" s="1"/>
  <c r="L210" i="62"/>
  <c r="D48" i="56" s="1"/>
  <c r="L211" i="62"/>
  <c r="D51" i="56" s="1"/>
  <c r="L212" i="62"/>
  <c r="D52" i="56" s="1"/>
  <c r="L213" i="62"/>
  <c r="D53" i="56" s="1"/>
  <c r="L214" i="62"/>
  <c r="D55" i="56" s="1"/>
  <c r="L215" i="62"/>
  <c r="D56" i="56" s="1"/>
  <c r="L216" i="62"/>
  <c r="D57" i="56" s="1"/>
  <c r="L217" i="62"/>
  <c r="D11" i="57" s="1"/>
  <c r="L218" i="62"/>
  <c r="D12" i="57" s="1"/>
  <c r="L219" i="62"/>
  <c r="D13" i="57" s="1"/>
  <c r="L220" i="62"/>
  <c r="D15" i="57" s="1"/>
  <c r="L221" i="62"/>
  <c r="D16" i="57" s="1"/>
  <c r="L222" i="62"/>
  <c r="D17" i="57" s="1"/>
  <c r="L223" i="62"/>
  <c r="D19" i="57" s="1"/>
  <c r="L224" i="62"/>
  <c r="D20" i="57" s="1"/>
  <c r="L225" i="62"/>
  <c r="D21" i="57" s="1"/>
  <c r="L226" i="62"/>
  <c r="D25" i="57" s="1"/>
  <c r="L227" i="62"/>
  <c r="D23" i="57" s="1"/>
  <c r="L228" i="62"/>
  <c r="D24" i="57" s="1"/>
  <c r="L229" i="62"/>
  <c r="D27" i="57" s="1"/>
  <c r="L230" i="62"/>
  <c r="D28" i="57" s="1"/>
  <c r="L231" i="62"/>
  <c r="D29" i="57" s="1"/>
  <c r="L232" i="62"/>
  <c r="D31" i="57" s="1"/>
  <c r="L233" i="62"/>
  <c r="D32" i="57" s="1"/>
  <c r="L234" i="62"/>
  <c r="D33" i="57" s="1"/>
  <c r="L235" i="62"/>
  <c r="D37" i="57" s="1"/>
  <c r="L236" i="62"/>
  <c r="D35" i="57" s="1"/>
  <c r="L237" i="62"/>
  <c r="D36" i="57" s="1"/>
  <c r="L238" i="62"/>
  <c r="D39" i="57" s="1"/>
  <c r="L239" i="62"/>
  <c r="D40" i="57" s="1"/>
  <c r="L240" i="62"/>
  <c r="D41" i="57" s="1"/>
  <c r="L241" i="62"/>
  <c r="D44" i="57" s="1"/>
  <c r="L242" i="62"/>
  <c r="D45" i="57" s="1"/>
  <c r="L243" i="62"/>
  <c r="D43" i="57" s="1"/>
  <c r="L244" i="62"/>
  <c r="D47" i="57" s="1"/>
  <c r="L245" i="62"/>
  <c r="D48" i="57" s="1"/>
  <c r="L246" i="62"/>
  <c r="D49" i="57" s="1"/>
  <c r="L247" i="62"/>
  <c r="D51" i="57" s="1"/>
  <c r="L248" i="62"/>
  <c r="D52" i="57" s="1"/>
  <c r="L249" i="62"/>
  <c r="D53" i="57" s="1"/>
  <c r="L250" i="62"/>
  <c r="D56" i="57" s="1"/>
  <c r="L251" i="62"/>
  <c r="D57" i="57" s="1"/>
  <c r="L252" i="62"/>
  <c r="D55" i="57" s="1"/>
  <c r="L253" i="62"/>
  <c r="L254" i="62"/>
  <c r="L255" i="62"/>
  <c r="L256" i="62"/>
  <c r="L257" i="62"/>
  <c r="L258" i="62"/>
  <c r="L259" i="62"/>
  <c r="L260" i="62"/>
  <c r="L261" i="62"/>
  <c r="L262" i="62"/>
  <c r="L263" i="62"/>
  <c r="L264" i="62"/>
  <c r="L265" i="62"/>
  <c r="L266" i="62"/>
  <c r="L267" i="62"/>
  <c r="L268" i="62"/>
  <c r="L269" i="62"/>
  <c r="L270" i="62"/>
  <c r="L271" i="62"/>
  <c r="L272" i="62"/>
  <c r="L273" i="62"/>
  <c r="L274" i="62"/>
  <c r="L275" i="62"/>
  <c r="L276" i="62"/>
  <c r="L277" i="62"/>
  <c r="L278" i="62"/>
  <c r="L279" i="62"/>
  <c r="L280" i="62"/>
  <c r="L281" i="62"/>
  <c r="L282" i="62"/>
  <c r="L283" i="62"/>
  <c r="L284" i="62"/>
  <c r="L285" i="62"/>
  <c r="L286" i="62"/>
  <c r="L287" i="62"/>
  <c r="L288" i="62"/>
  <c r="L289" i="62"/>
  <c r="L290" i="62"/>
  <c r="L291" i="62"/>
  <c r="L292" i="62"/>
  <c r="L293" i="62"/>
  <c r="L294" i="62"/>
  <c r="L295" i="62"/>
  <c r="L296" i="62"/>
  <c r="L297" i="62"/>
  <c r="L298" i="62"/>
  <c r="L299" i="62"/>
  <c r="L300" i="62"/>
  <c r="L301" i="62"/>
  <c r="L302" i="62"/>
  <c r="L303" i="62"/>
  <c r="L304" i="62"/>
  <c r="L305" i="62"/>
  <c r="L306" i="62"/>
  <c r="L307" i="62"/>
  <c r="L308" i="62"/>
  <c r="L309" i="62"/>
  <c r="L310" i="62"/>
  <c r="L311" i="62"/>
  <c r="L312" i="62"/>
  <c r="L313" i="62"/>
  <c r="L314" i="62"/>
  <c r="L315" i="62"/>
  <c r="L316" i="62"/>
  <c r="L317" i="62"/>
  <c r="L318" i="62"/>
  <c r="L319" i="62"/>
  <c r="L320" i="62"/>
  <c r="L321" i="62"/>
  <c r="L322" i="62"/>
  <c r="L323" i="62"/>
  <c r="L324" i="62"/>
  <c r="L325" i="62"/>
  <c r="L326" i="62"/>
  <c r="L327" i="62"/>
  <c r="L328" i="62"/>
  <c r="L329" i="62"/>
  <c r="L330" i="62"/>
  <c r="L331" i="62"/>
  <c r="L332" i="62"/>
  <c r="L333" i="62"/>
  <c r="L334" i="62"/>
  <c r="L335" i="62"/>
  <c r="L336" i="62"/>
  <c r="L337" i="62"/>
  <c r="L338" i="62"/>
  <c r="L339" i="62"/>
  <c r="L340" i="62"/>
  <c r="L341" i="62"/>
  <c r="L342" i="62"/>
  <c r="L343" i="62"/>
  <c r="L344" i="62"/>
  <c r="L345" i="62"/>
  <c r="L346" i="62"/>
  <c r="L347" i="62"/>
  <c r="L348" i="62"/>
  <c r="L349" i="62"/>
  <c r="L350" i="62"/>
  <c r="L351" i="62"/>
  <c r="L352" i="62"/>
  <c r="L353" i="62"/>
  <c r="L354" i="62"/>
  <c r="L355" i="62"/>
  <c r="L356" i="62"/>
  <c r="L357" i="62"/>
  <c r="L358" i="62"/>
  <c r="L359" i="62"/>
  <c r="L360" i="62"/>
  <c r="L361" i="62"/>
  <c r="L362" i="62"/>
  <c r="L363" i="62"/>
  <c r="L364" i="62"/>
  <c r="L365" i="62"/>
  <c r="L366" i="62"/>
  <c r="L367" i="62"/>
  <c r="L368" i="62"/>
  <c r="L369" i="62"/>
  <c r="L370" i="62"/>
  <c r="L371" i="62"/>
  <c r="L372" i="62"/>
  <c r="L373" i="62"/>
  <c r="L374" i="62"/>
  <c r="L375" i="62"/>
  <c r="L376" i="62"/>
  <c r="L377" i="62"/>
  <c r="L378" i="62"/>
  <c r="L379" i="62"/>
  <c r="L380" i="62"/>
  <c r="L381" i="62"/>
  <c r="L382" i="62"/>
  <c r="L383" i="62"/>
  <c r="L384" i="62"/>
  <c r="L385" i="62"/>
  <c r="L386" i="62"/>
  <c r="L387" i="62"/>
  <c r="L388" i="62"/>
  <c r="L389" i="62"/>
  <c r="L390" i="62"/>
  <c r="L391" i="62"/>
  <c r="L392" i="62"/>
  <c r="L393" i="62"/>
  <c r="L394" i="62"/>
  <c r="L395" i="62"/>
  <c r="L396" i="62"/>
  <c r="L397" i="62"/>
  <c r="L398" i="62"/>
  <c r="L399" i="62"/>
  <c r="L400" i="62"/>
  <c r="L401" i="62"/>
  <c r="L402" i="62"/>
  <c r="L403" i="62"/>
  <c r="L404" i="62"/>
  <c r="L405" i="62"/>
  <c r="L406" i="62"/>
  <c r="L407" i="62"/>
  <c r="L408" i="62"/>
  <c r="L409" i="62"/>
  <c r="L410" i="62"/>
  <c r="L411" i="62"/>
  <c r="L412" i="62"/>
  <c r="L413" i="62"/>
  <c r="L414" i="62"/>
  <c r="L415" i="62"/>
  <c r="L416" i="62"/>
  <c r="L417" i="62"/>
  <c r="L418" i="62"/>
  <c r="L419" i="62"/>
  <c r="L420" i="62"/>
  <c r="L421" i="62"/>
  <c r="L422" i="62"/>
  <c r="L423" i="62"/>
  <c r="L424" i="62"/>
  <c r="L425" i="62"/>
  <c r="L426" i="62"/>
  <c r="L427" i="62"/>
  <c r="L428" i="62"/>
  <c r="L429" i="62"/>
  <c r="L430" i="62"/>
  <c r="L431" i="62"/>
  <c r="L432" i="62"/>
  <c r="L433" i="62"/>
  <c r="L434" i="62"/>
  <c r="L435" i="62"/>
  <c r="L436" i="62"/>
  <c r="L437" i="62"/>
  <c r="L438" i="62"/>
  <c r="L439" i="62"/>
  <c r="L440" i="62"/>
  <c r="L441" i="62"/>
  <c r="L1" i="62"/>
  <c r="D13" i="16" s="1"/>
  <c r="C104" i="62"/>
  <c r="D104" i="62"/>
  <c r="C105" i="62"/>
  <c r="D105" i="62"/>
  <c r="C106" i="62"/>
  <c r="D106" i="62"/>
  <c r="C107" i="62"/>
  <c r="D107" i="62"/>
  <c r="C108" i="62"/>
  <c r="D108" i="62"/>
  <c r="C109" i="62"/>
  <c r="D109" i="62"/>
  <c r="C110" i="62"/>
  <c r="D110" i="62"/>
  <c r="C111" i="62"/>
  <c r="D111" i="62"/>
  <c r="C112" i="62"/>
  <c r="D112" i="62"/>
  <c r="C113" i="62"/>
  <c r="D113" i="62"/>
  <c r="C114" i="62"/>
  <c r="D114" i="62"/>
  <c r="C115" i="62"/>
  <c r="D115" i="62"/>
  <c r="C116" i="62"/>
  <c r="D116" i="62"/>
  <c r="C117" i="62"/>
  <c r="D117" i="62"/>
  <c r="C118" i="62"/>
  <c r="D118" i="62"/>
  <c r="C119" i="62"/>
  <c r="D119" i="62"/>
  <c r="C120" i="62"/>
  <c r="D120" i="62"/>
  <c r="C121" i="62"/>
  <c r="D121" i="62"/>
  <c r="C122" i="62"/>
  <c r="D122" i="62"/>
  <c r="C123" i="62"/>
  <c r="D123" i="62"/>
  <c r="C124" i="62"/>
  <c r="D124" i="62"/>
  <c r="C125" i="62"/>
  <c r="D125" i="62"/>
  <c r="C126" i="62"/>
  <c r="D126" i="62"/>
  <c r="C127" i="62"/>
  <c r="D127" i="62"/>
  <c r="C128" i="62"/>
  <c r="D128" i="62"/>
  <c r="C129" i="62"/>
  <c r="D129" i="62"/>
  <c r="C130" i="62"/>
  <c r="D130" i="62"/>
  <c r="C131" i="62"/>
  <c r="D131" i="62"/>
  <c r="C132" i="62"/>
  <c r="D132" i="62"/>
  <c r="C133" i="62"/>
  <c r="D133" i="62"/>
  <c r="C134" i="62"/>
  <c r="D134" i="62"/>
  <c r="C135" i="62"/>
  <c r="D135" i="62"/>
  <c r="C136" i="62"/>
  <c r="D136" i="62"/>
  <c r="C137" i="62"/>
  <c r="D137" i="62"/>
  <c r="C138" i="62"/>
  <c r="D138" i="62"/>
  <c r="C139" i="62"/>
  <c r="D139" i="62"/>
  <c r="C140" i="62"/>
  <c r="D140" i="62"/>
  <c r="C141" i="62"/>
  <c r="D141" i="62"/>
  <c r="C142" i="62"/>
  <c r="D142" i="62"/>
  <c r="C143" i="62"/>
  <c r="D143" i="62"/>
  <c r="C144" i="62"/>
  <c r="D144" i="62"/>
  <c r="C145" i="62"/>
  <c r="D145" i="62"/>
  <c r="C146" i="62"/>
  <c r="D146" i="62"/>
  <c r="C147" i="62"/>
  <c r="D147" i="62"/>
  <c r="C148" i="62"/>
  <c r="D148" i="62"/>
  <c r="C149" i="62"/>
  <c r="D149" i="62"/>
  <c r="C150" i="62"/>
  <c r="D150" i="62"/>
  <c r="C151" i="62"/>
  <c r="D151" i="62"/>
  <c r="C152" i="62"/>
  <c r="D152" i="62"/>
  <c r="C153" i="62"/>
  <c r="D153" i="62"/>
  <c r="C154" i="62"/>
  <c r="D154" i="62"/>
  <c r="C155" i="62"/>
  <c r="D155" i="62"/>
  <c r="C156" i="62"/>
  <c r="D156" i="62"/>
  <c r="C157" i="62"/>
  <c r="D157" i="62"/>
  <c r="C158" i="62"/>
  <c r="D158" i="62"/>
  <c r="C159" i="62"/>
  <c r="D159" i="62"/>
  <c r="C160" i="62"/>
  <c r="D160" i="62"/>
  <c r="C161" i="62"/>
  <c r="D161" i="62"/>
  <c r="C162" i="62"/>
  <c r="D162" i="62"/>
  <c r="C163" i="62"/>
  <c r="D163" i="62"/>
  <c r="C164" i="62"/>
  <c r="D164" i="62"/>
  <c r="C165" i="62"/>
  <c r="D165" i="62"/>
  <c r="C166" i="62"/>
  <c r="D166" i="62"/>
  <c r="C167" i="62"/>
  <c r="D167" i="62"/>
  <c r="C168" i="62"/>
  <c r="D168" i="62"/>
  <c r="C169" i="62"/>
  <c r="D169" i="62"/>
  <c r="C170" i="62"/>
  <c r="D170" i="62"/>
  <c r="C171" i="62"/>
  <c r="D171" i="62"/>
  <c r="C172" i="62"/>
  <c r="D172" i="62"/>
  <c r="C173" i="62"/>
  <c r="D173" i="62"/>
  <c r="C174" i="62"/>
  <c r="D174" i="62"/>
  <c r="C175" i="62"/>
  <c r="D175" i="62"/>
  <c r="C176" i="62"/>
  <c r="D176" i="62"/>
  <c r="C177" i="62"/>
  <c r="D177" i="62"/>
  <c r="C178" i="62"/>
  <c r="D178" i="62"/>
  <c r="C179" i="62"/>
  <c r="D179" i="62"/>
  <c r="C180" i="62"/>
  <c r="D180" i="62"/>
  <c r="C181" i="62"/>
  <c r="D181" i="62"/>
  <c r="C182" i="62"/>
  <c r="D182" i="62"/>
  <c r="C183" i="62"/>
  <c r="D183" i="62"/>
  <c r="C184" i="62"/>
  <c r="D184" i="62"/>
  <c r="C185" i="62"/>
  <c r="D185" i="62"/>
  <c r="C186" i="62"/>
  <c r="D186" i="62"/>
  <c r="C187" i="62"/>
  <c r="D187" i="62"/>
  <c r="C188" i="62"/>
  <c r="D188" i="62"/>
  <c r="C189" i="62"/>
  <c r="D189" i="62"/>
  <c r="C190" i="62"/>
  <c r="D190" i="62"/>
  <c r="C191" i="62"/>
  <c r="D191" i="62"/>
  <c r="C192" i="62"/>
  <c r="D192" i="62"/>
  <c r="C193" i="62"/>
  <c r="D193" i="62"/>
  <c r="C194" i="62"/>
  <c r="D194" i="62"/>
  <c r="C195" i="62"/>
  <c r="D195" i="62"/>
  <c r="C196" i="62"/>
  <c r="D196" i="62"/>
  <c r="C197" i="62"/>
  <c r="D197" i="62"/>
  <c r="C198" i="62"/>
  <c r="D198" i="62"/>
  <c r="C199" i="62"/>
  <c r="D199" i="62"/>
  <c r="C200" i="62"/>
  <c r="D200" i="62"/>
  <c r="C201" i="62"/>
  <c r="D201" i="62"/>
  <c r="C202" i="62"/>
  <c r="D202" i="62"/>
  <c r="C203" i="62"/>
  <c r="D203" i="62"/>
  <c r="C204" i="62"/>
  <c r="D204" i="62"/>
  <c r="C205" i="62"/>
  <c r="D205" i="62"/>
  <c r="C206" i="62"/>
  <c r="D206" i="62"/>
  <c r="C207" i="62"/>
  <c r="D207" i="62"/>
  <c r="C208" i="62"/>
  <c r="D208" i="62"/>
  <c r="C209" i="62"/>
  <c r="D209" i="62"/>
  <c r="C210" i="62"/>
  <c r="D210" i="62"/>
  <c r="C211" i="62"/>
  <c r="D211" i="62"/>
  <c r="C212" i="62"/>
  <c r="D212" i="62"/>
  <c r="C213" i="62"/>
  <c r="D213" i="62"/>
  <c r="C214" i="62"/>
  <c r="D214" i="62"/>
  <c r="C215" i="62"/>
  <c r="D215" i="62"/>
  <c r="C216" i="62"/>
  <c r="D216" i="62"/>
  <c r="C217" i="62"/>
  <c r="D217" i="62"/>
  <c r="C218" i="62"/>
  <c r="D218" i="62"/>
  <c r="C219" i="62"/>
  <c r="D219" i="62"/>
  <c r="C220" i="62"/>
  <c r="D220" i="62"/>
  <c r="C221" i="62"/>
  <c r="D221" i="62"/>
  <c r="C222" i="62"/>
  <c r="D222" i="62"/>
  <c r="C223" i="62"/>
  <c r="D223" i="62"/>
  <c r="C224" i="62"/>
  <c r="D224" i="62"/>
  <c r="C225" i="62"/>
  <c r="D225" i="62"/>
  <c r="C226" i="62"/>
  <c r="D226" i="62"/>
  <c r="C227" i="62"/>
  <c r="D227" i="62"/>
  <c r="C228" i="62"/>
  <c r="D228" i="62"/>
  <c r="C229" i="62"/>
  <c r="D229" i="62"/>
  <c r="C230" i="62"/>
  <c r="D230" i="62"/>
  <c r="C231" i="62"/>
  <c r="D231" i="62"/>
  <c r="C232" i="62"/>
  <c r="D232" i="62"/>
  <c r="C233" i="62"/>
  <c r="D233" i="62"/>
  <c r="C234" i="62"/>
  <c r="D234" i="62"/>
  <c r="C235" i="62"/>
  <c r="D235" i="62"/>
  <c r="C236" i="62"/>
  <c r="D236" i="62"/>
  <c r="C237" i="62"/>
  <c r="D237" i="62"/>
  <c r="C238" i="62"/>
  <c r="D238" i="62"/>
  <c r="C239" i="62"/>
  <c r="D239" i="62"/>
  <c r="C240" i="62"/>
  <c r="D240" i="62"/>
  <c r="C241" i="62"/>
  <c r="D241" i="62"/>
  <c r="C242" i="62"/>
  <c r="D242" i="62"/>
  <c r="C243" i="62"/>
  <c r="D243" i="62"/>
  <c r="C244" i="62"/>
  <c r="D244" i="62"/>
  <c r="C245" i="62"/>
  <c r="D245" i="62"/>
  <c r="C246" i="62"/>
  <c r="D246" i="62"/>
  <c r="C247" i="62"/>
  <c r="D247" i="62"/>
  <c r="C248" i="62"/>
  <c r="D248" i="62"/>
  <c r="C249" i="62"/>
  <c r="D249" i="62"/>
  <c r="C250" i="62"/>
  <c r="D250" i="62"/>
  <c r="C251" i="62"/>
  <c r="D251" i="62"/>
  <c r="C252" i="62"/>
  <c r="D252" i="62"/>
  <c r="C253" i="62"/>
  <c r="D253" i="62"/>
  <c r="C254" i="62"/>
  <c r="D254" i="62"/>
  <c r="C255" i="62"/>
  <c r="D255" i="62"/>
  <c r="C256" i="62"/>
  <c r="D256" i="62"/>
  <c r="C257" i="62"/>
  <c r="D257" i="62"/>
  <c r="C258" i="62"/>
  <c r="D258" i="62"/>
  <c r="C259" i="62"/>
  <c r="D259" i="62"/>
  <c r="C260" i="62"/>
  <c r="D260" i="62"/>
  <c r="C261" i="62"/>
  <c r="D261" i="62"/>
  <c r="C262" i="62"/>
  <c r="D262" i="62"/>
  <c r="C263" i="62"/>
  <c r="D263" i="62"/>
  <c r="C264" i="62"/>
  <c r="D264" i="62"/>
  <c r="C265" i="62"/>
  <c r="D265" i="62"/>
  <c r="C266" i="62"/>
  <c r="D266" i="62"/>
  <c r="C267" i="62"/>
  <c r="D267" i="62"/>
  <c r="C268" i="62"/>
  <c r="D268" i="62"/>
  <c r="C269" i="62"/>
  <c r="D269" i="62"/>
  <c r="C270" i="62"/>
  <c r="D270" i="62"/>
  <c r="C271" i="62"/>
  <c r="D271" i="62"/>
  <c r="C272" i="62"/>
  <c r="D272" i="62"/>
  <c r="C273" i="62"/>
  <c r="D273" i="62"/>
  <c r="C274" i="62"/>
  <c r="D274" i="62"/>
  <c r="C275" i="62"/>
  <c r="D275" i="62"/>
  <c r="C276" i="62"/>
  <c r="D276" i="62"/>
  <c r="C277" i="62"/>
  <c r="D277" i="62"/>
  <c r="C278" i="62"/>
  <c r="D278" i="62"/>
  <c r="C279" i="62"/>
  <c r="D279" i="62"/>
  <c r="C280" i="62"/>
  <c r="D280" i="62"/>
  <c r="C281" i="62"/>
  <c r="D281" i="62"/>
  <c r="C282" i="62"/>
  <c r="D282" i="62"/>
  <c r="C283" i="62"/>
  <c r="D283" i="62"/>
  <c r="C284" i="62"/>
  <c r="D284" i="62"/>
  <c r="C285" i="62"/>
  <c r="D285" i="62"/>
  <c r="C286" i="62"/>
  <c r="D286" i="62"/>
  <c r="C287" i="62"/>
  <c r="D287" i="62"/>
  <c r="C288" i="62"/>
  <c r="D288" i="62"/>
  <c r="C289" i="62"/>
  <c r="D289" i="62"/>
  <c r="C290" i="62"/>
  <c r="D290" i="62"/>
  <c r="C291" i="62"/>
  <c r="D291" i="62"/>
  <c r="C292" i="62"/>
  <c r="D292" i="62"/>
  <c r="C293" i="62"/>
  <c r="D293" i="62"/>
  <c r="C294" i="62"/>
  <c r="D294" i="62"/>
  <c r="C295" i="62"/>
  <c r="D295" i="62"/>
  <c r="C296" i="62"/>
  <c r="D296" i="62"/>
  <c r="C297" i="62"/>
  <c r="D297" i="62"/>
  <c r="C298" i="62"/>
  <c r="D298" i="62"/>
  <c r="C299" i="62"/>
  <c r="D299" i="62"/>
  <c r="C300" i="62"/>
  <c r="D300" i="62"/>
  <c r="C301" i="62"/>
  <c r="D301" i="62"/>
  <c r="C302" i="62"/>
  <c r="D302" i="62"/>
  <c r="C303" i="62"/>
  <c r="D303" i="62"/>
  <c r="C304" i="62"/>
  <c r="D304" i="62"/>
  <c r="C305" i="62"/>
  <c r="D305" i="62"/>
  <c r="C306" i="62"/>
  <c r="D306" i="62"/>
  <c r="C307" i="62"/>
  <c r="D307" i="62"/>
  <c r="C308" i="62"/>
  <c r="D308" i="62"/>
  <c r="C309" i="62"/>
  <c r="D309" i="62"/>
  <c r="C310" i="62"/>
  <c r="D310" i="62"/>
  <c r="C311" i="62"/>
  <c r="D311" i="62"/>
  <c r="C312" i="62"/>
  <c r="D312" i="62"/>
  <c r="C313" i="62"/>
  <c r="D313" i="62"/>
  <c r="C314" i="62"/>
  <c r="D314" i="62"/>
  <c r="C315" i="62"/>
  <c r="D315" i="62"/>
  <c r="C316" i="62"/>
  <c r="D316" i="62"/>
  <c r="C317" i="62"/>
  <c r="D317" i="62"/>
  <c r="C318" i="62"/>
  <c r="D318" i="62"/>
  <c r="C319" i="62"/>
  <c r="D319" i="62"/>
  <c r="C320" i="62"/>
  <c r="D320" i="62"/>
  <c r="C321" i="62"/>
  <c r="D321" i="62"/>
  <c r="C322" i="62"/>
  <c r="D322" i="62"/>
  <c r="C323" i="62"/>
  <c r="D323" i="62"/>
  <c r="C324" i="62"/>
  <c r="D324" i="62"/>
  <c r="C325" i="62"/>
  <c r="D325" i="62"/>
  <c r="C326" i="62"/>
  <c r="D326" i="62"/>
  <c r="C327" i="62"/>
  <c r="D327" i="62"/>
  <c r="C328" i="62"/>
  <c r="D328" i="62"/>
  <c r="C329" i="62"/>
  <c r="D329" i="62"/>
  <c r="C330" i="62"/>
  <c r="D330" i="62"/>
  <c r="C331" i="62"/>
  <c r="D331" i="62"/>
  <c r="C332" i="62"/>
  <c r="D332" i="62"/>
  <c r="C333" i="62"/>
  <c r="D333" i="62"/>
  <c r="C334" i="62"/>
  <c r="D334" i="62"/>
  <c r="C335" i="62"/>
  <c r="D335" i="62"/>
  <c r="C336" i="62"/>
  <c r="D336" i="62"/>
  <c r="C337" i="62"/>
  <c r="D337" i="62"/>
  <c r="C338" i="62"/>
  <c r="D338" i="62"/>
  <c r="C339" i="62"/>
  <c r="D339" i="62"/>
  <c r="C340" i="62"/>
  <c r="D340" i="62"/>
  <c r="C341" i="62"/>
  <c r="D341" i="62"/>
  <c r="C342" i="62"/>
  <c r="D342" i="62"/>
  <c r="C343" i="62"/>
  <c r="D343" i="62"/>
  <c r="C344" i="62"/>
  <c r="D344" i="62"/>
  <c r="C345" i="62"/>
  <c r="D345" i="62"/>
  <c r="C346" i="62"/>
  <c r="D346" i="62"/>
  <c r="C347" i="62"/>
  <c r="D347" i="62"/>
  <c r="C348" i="62"/>
  <c r="D348" i="62"/>
  <c r="C349" i="62"/>
  <c r="D349" i="62"/>
  <c r="C350" i="62"/>
  <c r="D350" i="62"/>
  <c r="C351" i="62"/>
  <c r="D351" i="62"/>
  <c r="C352" i="62"/>
  <c r="D352" i="62"/>
  <c r="C353" i="62"/>
  <c r="D353" i="62"/>
  <c r="C354" i="62"/>
  <c r="D354" i="62"/>
  <c r="C355" i="62"/>
  <c r="D355" i="62"/>
  <c r="C356" i="62"/>
  <c r="D356" i="62"/>
  <c r="C357" i="62"/>
  <c r="D357" i="62"/>
  <c r="C358" i="62"/>
  <c r="D358" i="62"/>
  <c r="C359" i="62"/>
  <c r="D359" i="62"/>
  <c r="C360" i="62"/>
  <c r="D360" i="62"/>
  <c r="C361" i="62"/>
  <c r="D361" i="62"/>
  <c r="C362" i="62"/>
  <c r="D362" i="62"/>
  <c r="C363" i="62"/>
  <c r="D363" i="62"/>
  <c r="C364" i="62"/>
  <c r="D364" i="62"/>
  <c r="C365" i="62"/>
  <c r="D365" i="62"/>
  <c r="C366" i="62"/>
  <c r="D366" i="62"/>
  <c r="C367" i="62"/>
  <c r="D367" i="62"/>
  <c r="C368" i="62"/>
  <c r="D368" i="62"/>
  <c r="C369" i="62"/>
  <c r="D369" i="62"/>
  <c r="C370" i="62"/>
  <c r="D370" i="62"/>
  <c r="C371" i="62"/>
  <c r="D371" i="62"/>
  <c r="C372" i="62"/>
  <c r="D372" i="62"/>
  <c r="C373" i="62"/>
  <c r="D373" i="62"/>
  <c r="C374" i="62"/>
  <c r="D374" i="62"/>
  <c r="C375" i="62"/>
  <c r="D375" i="62"/>
  <c r="C376" i="62"/>
  <c r="D376" i="62"/>
  <c r="C377" i="62"/>
  <c r="D377" i="62"/>
  <c r="C378" i="62"/>
  <c r="D378" i="62"/>
  <c r="C379" i="62"/>
  <c r="D379" i="62"/>
  <c r="C380" i="62"/>
  <c r="D380" i="62"/>
  <c r="C381" i="62"/>
  <c r="D381" i="62"/>
  <c r="C382" i="62"/>
  <c r="D382" i="62"/>
  <c r="C383" i="62"/>
  <c r="D383" i="62"/>
  <c r="C384" i="62"/>
  <c r="D384" i="62"/>
  <c r="C385" i="62"/>
  <c r="D385" i="62"/>
  <c r="C386" i="62"/>
  <c r="D386" i="62"/>
  <c r="C387" i="62"/>
  <c r="D387" i="62"/>
  <c r="C388" i="62"/>
  <c r="D388" i="62"/>
  <c r="C389" i="62"/>
  <c r="D389" i="62"/>
  <c r="C390" i="62"/>
  <c r="D390" i="62"/>
  <c r="C391" i="62"/>
  <c r="D391" i="62"/>
  <c r="C392" i="62"/>
  <c r="D392" i="62"/>
  <c r="C393" i="62"/>
  <c r="D393" i="62"/>
  <c r="C394" i="62"/>
  <c r="D394" i="62"/>
  <c r="C395" i="62"/>
  <c r="D395" i="62"/>
  <c r="C396" i="62"/>
  <c r="D396" i="62"/>
  <c r="C397" i="62"/>
  <c r="D397" i="62"/>
  <c r="C398" i="62"/>
  <c r="D398" i="62"/>
  <c r="C399" i="62"/>
  <c r="D399" i="62"/>
  <c r="C400" i="62"/>
  <c r="D400" i="62"/>
  <c r="C401" i="62"/>
  <c r="D401" i="62"/>
  <c r="C402" i="62"/>
  <c r="D402" i="62"/>
  <c r="C403" i="62"/>
  <c r="D403" i="62"/>
  <c r="C404" i="62"/>
  <c r="D404" i="62"/>
  <c r="C405" i="62"/>
  <c r="D405" i="62"/>
  <c r="C406" i="62"/>
  <c r="D406" i="62"/>
  <c r="C407" i="62"/>
  <c r="D407" i="62"/>
  <c r="C408" i="62"/>
  <c r="D408" i="62"/>
  <c r="C409" i="62"/>
  <c r="D409" i="62"/>
  <c r="C410" i="62"/>
  <c r="D410" i="62"/>
  <c r="C411" i="62"/>
  <c r="D411" i="62"/>
  <c r="C412" i="62"/>
  <c r="D412" i="62"/>
  <c r="C413" i="62"/>
  <c r="D413" i="62"/>
  <c r="C414" i="62"/>
  <c r="D414" i="62"/>
  <c r="C415" i="62"/>
  <c r="D415" i="62"/>
  <c r="C416" i="62"/>
  <c r="D416" i="62"/>
  <c r="C417" i="62"/>
  <c r="D417" i="62"/>
  <c r="C418" i="62"/>
  <c r="D418" i="62"/>
  <c r="C419" i="62"/>
  <c r="D419" i="62"/>
  <c r="C420" i="62"/>
  <c r="D420" i="62"/>
  <c r="C421" i="62"/>
  <c r="D421" i="62"/>
  <c r="C422" i="62"/>
  <c r="D422" i="62"/>
  <c r="C423" i="62"/>
  <c r="D423" i="62"/>
  <c r="C424" i="62"/>
  <c r="D424" i="62"/>
  <c r="C425" i="62"/>
  <c r="D425" i="62"/>
  <c r="C426" i="62"/>
  <c r="D426" i="62"/>
  <c r="C427" i="62"/>
  <c r="D427" i="62"/>
  <c r="C428" i="62"/>
  <c r="D428" i="62"/>
  <c r="C429" i="62"/>
  <c r="D429" i="62"/>
  <c r="C430" i="62"/>
  <c r="D430" i="62"/>
  <c r="C431" i="62"/>
  <c r="D431" i="62"/>
  <c r="C432" i="62"/>
  <c r="D432" i="62"/>
  <c r="C433" i="62"/>
  <c r="D433" i="62"/>
  <c r="C434" i="62"/>
  <c r="D434" i="62"/>
  <c r="C435" i="62"/>
  <c r="D435" i="62"/>
  <c r="C436" i="62"/>
  <c r="D436" i="62"/>
  <c r="C437" i="62"/>
  <c r="D437" i="62"/>
  <c r="C438" i="62"/>
  <c r="D438" i="62"/>
  <c r="C439" i="62"/>
  <c r="D439" i="62"/>
  <c r="C440" i="62"/>
  <c r="D440" i="62"/>
  <c r="C441" i="62"/>
  <c r="D441" i="62"/>
  <c r="C442" i="62"/>
  <c r="D442" i="62"/>
  <c r="C443" i="62"/>
  <c r="D443" i="62"/>
  <c r="C444" i="62"/>
  <c r="D444" i="62"/>
  <c r="C445" i="62"/>
  <c r="D445" i="62"/>
  <c r="C446" i="62"/>
  <c r="D446" i="62"/>
  <c r="C447" i="62"/>
  <c r="D447" i="62"/>
  <c r="C448" i="62"/>
  <c r="D448" i="62"/>
  <c r="C449" i="62"/>
  <c r="D449" i="62"/>
  <c r="C450" i="62"/>
  <c r="D450" i="62"/>
  <c r="C451" i="62"/>
  <c r="D451" i="62"/>
  <c r="C452" i="62"/>
  <c r="D452" i="62"/>
  <c r="C453" i="62"/>
  <c r="D453" i="62"/>
  <c r="C454" i="62"/>
  <c r="D454" i="62"/>
  <c r="C455" i="62"/>
  <c r="D455" i="62"/>
  <c r="C456" i="62"/>
  <c r="D456" i="62"/>
  <c r="C457" i="62"/>
  <c r="D457" i="62"/>
  <c r="C458" i="62"/>
  <c r="D458" i="62"/>
  <c r="C459" i="62"/>
  <c r="D459" i="62"/>
  <c r="C460" i="62"/>
  <c r="D460" i="62"/>
  <c r="C461" i="62"/>
  <c r="D461" i="62"/>
  <c r="C462" i="62"/>
  <c r="D462" i="62"/>
  <c r="C463" i="62"/>
  <c r="D463" i="62"/>
  <c r="C464" i="62"/>
  <c r="D464" i="62"/>
  <c r="C465" i="62"/>
  <c r="D465" i="62"/>
  <c r="C466" i="62"/>
  <c r="D466" i="62"/>
  <c r="C467" i="62"/>
  <c r="D467" i="62"/>
  <c r="C468" i="62"/>
  <c r="D468" i="62"/>
  <c r="C469" i="62"/>
  <c r="D469" i="62"/>
  <c r="C470" i="62"/>
  <c r="D470" i="62"/>
  <c r="C471" i="62"/>
  <c r="D471" i="62"/>
  <c r="C472" i="62"/>
  <c r="D472" i="62"/>
  <c r="C473" i="62"/>
  <c r="D473" i="62"/>
  <c r="C474" i="62"/>
  <c r="D474" i="62"/>
  <c r="C475" i="62"/>
  <c r="D475" i="62"/>
  <c r="C476" i="62"/>
  <c r="D476" i="62"/>
  <c r="C477" i="62"/>
  <c r="D477" i="62"/>
  <c r="C478" i="62"/>
  <c r="D478" i="62"/>
  <c r="C479" i="62"/>
  <c r="D479" i="62"/>
  <c r="C480" i="62"/>
  <c r="D480" i="62"/>
  <c r="C481" i="62"/>
  <c r="D481" i="62"/>
  <c r="C482" i="62"/>
  <c r="D482" i="62"/>
  <c r="C483" i="62"/>
  <c r="D483" i="62"/>
  <c r="C484" i="62"/>
  <c r="D484" i="62"/>
  <c r="C485" i="62"/>
  <c r="D485" i="62"/>
  <c r="C486" i="62"/>
  <c r="D486" i="62"/>
  <c r="C487" i="62"/>
  <c r="D487" i="62"/>
  <c r="C488" i="62"/>
  <c r="D488" i="62"/>
  <c r="C489" i="62"/>
  <c r="D489" i="62"/>
  <c r="C490" i="62"/>
  <c r="D490" i="62"/>
  <c r="C491" i="62"/>
  <c r="D491" i="62"/>
  <c r="C492" i="62"/>
  <c r="D492" i="62"/>
  <c r="C493" i="62"/>
  <c r="D493" i="62"/>
  <c r="C494" i="62"/>
  <c r="D494" i="62"/>
  <c r="C495" i="62"/>
  <c r="D495" i="62"/>
  <c r="C496" i="62"/>
  <c r="D496" i="62"/>
  <c r="C497" i="62"/>
  <c r="D497" i="62"/>
  <c r="C498" i="62"/>
  <c r="D498" i="62"/>
  <c r="C499" i="62"/>
  <c r="D499" i="62"/>
  <c r="C500" i="62"/>
  <c r="D500" i="62"/>
  <c r="C501" i="62"/>
  <c r="D501" i="62"/>
  <c r="C502" i="62"/>
  <c r="D502" i="62"/>
  <c r="C503" i="62"/>
  <c r="D503" i="62"/>
  <c r="C504" i="62"/>
  <c r="D504" i="62"/>
  <c r="C505" i="62"/>
  <c r="D505" i="62"/>
  <c r="C506" i="62"/>
  <c r="D506" i="62"/>
  <c r="C507" i="62"/>
  <c r="D507" i="62"/>
  <c r="C508" i="62"/>
  <c r="D508" i="62"/>
  <c r="C509" i="62"/>
  <c r="D509" i="62"/>
  <c r="C510" i="62"/>
  <c r="D510" i="62"/>
  <c r="C511" i="62"/>
  <c r="D511" i="62"/>
  <c r="C512" i="62"/>
  <c r="D512" i="62"/>
  <c r="C513" i="62"/>
  <c r="D513" i="62"/>
  <c r="C514" i="62"/>
  <c r="D514" i="62"/>
  <c r="C515" i="62"/>
  <c r="D515" i="62"/>
  <c r="C516" i="62"/>
  <c r="D516" i="62"/>
  <c r="C517" i="62"/>
  <c r="D517" i="62"/>
  <c r="C518" i="62"/>
  <c r="D518" i="62"/>
  <c r="C519" i="62"/>
  <c r="D519" i="62"/>
  <c r="C520" i="62"/>
  <c r="D520" i="62"/>
  <c r="C521" i="62"/>
  <c r="D521" i="62"/>
  <c r="C522" i="62"/>
  <c r="D522" i="62"/>
  <c r="C523" i="62"/>
  <c r="D523" i="62"/>
  <c r="C524" i="62"/>
  <c r="D524" i="62"/>
  <c r="C525" i="62"/>
  <c r="D525" i="62"/>
  <c r="C526" i="62"/>
  <c r="D526" i="62"/>
  <c r="C527" i="62"/>
  <c r="D527" i="62"/>
  <c r="C528" i="62"/>
  <c r="D528" i="62"/>
  <c r="C529" i="62"/>
  <c r="D529" i="62"/>
  <c r="C530" i="62"/>
  <c r="D530" i="62"/>
  <c r="C531" i="62"/>
  <c r="D531" i="62"/>
  <c r="C532" i="62"/>
  <c r="D532" i="62"/>
  <c r="C533" i="62"/>
  <c r="D533" i="62"/>
  <c r="C534" i="62"/>
  <c r="D534" i="62"/>
  <c r="C535" i="62"/>
  <c r="D535" i="62"/>
  <c r="C536" i="62"/>
  <c r="D536" i="62"/>
  <c r="C537" i="62"/>
  <c r="D537" i="62"/>
  <c r="C538" i="62"/>
  <c r="D538" i="62"/>
  <c r="C539" i="62"/>
  <c r="D539" i="62"/>
  <c r="C540" i="62"/>
  <c r="D540" i="62"/>
  <c r="C541" i="62"/>
  <c r="D541" i="62"/>
  <c r="C542" i="62"/>
  <c r="D542" i="62"/>
  <c r="C543" i="62"/>
  <c r="D543" i="62"/>
  <c r="C544" i="62"/>
  <c r="D544" i="62"/>
  <c r="C545" i="62"/>
  <c r="D545" i="62"/>
  <c r="C546" i="62"/>
  <c r="D546" i="62"/>
  <c r="C547" i="62"/>
  <c r="D547" i="62"/>
  <c r="C548" i="62"/>
  <c r="D548" i="62"/>
  <c r="C549" i="62"/>
  <c r="D549" i="62"/>
  <c r="C550" i="62"/>
  <c r="D550" i="62"/>
  <c r="C551" i="62"/>
  <c r="D551" i="62"/>
  <c r="C552" i="62"/>
  <c r="D552" i="62"/>
  <c r="C553" i="62"/>
  <c r="D553" i="62"/>
  <c r="C554" i="62"/>
  <c r="D554" i="62"/>
  <c r="C555" i="62"/>
  <c r="D555" i="62"/>
  <c r="C556" i="62"/>
  <c r="D556" i="62"/>
  <c r="C557" i="62"/>
  <c r="D557" i="62"/>
  <c r="C558" i="62"/>
  <c r="D558" i="62"/>
  <c r="C559" i="62"/>
  <c r="D559" i="62"/>
  <c r="C560" i="62"/>
  <c r="D560" i="62"/>
  <c r="C561" i="62"/>
  <c r="D561" i="62"/>
  <c r="C562" i="62"/>
  <c r="D562" i="62"/>
  <c r="C563" i="62"/>
  <c r="D563" i="62"/>
  <c r="C564" i="62"/>
  <c r="D564" i="62"/>
  <c r="C565" i="62"/>
  <c r="D565" i="62"/>
  <c r="C566" i="62"/>
  <c r="D566" i="62"/>
  <c r="C567" i="62"/>
  <c r="D567" i="62"/>
  <c r="C568" i="62"/>
  <c r="D568" i="62"/>
  <c r="C569" i="62"/>
  <c r="D569" i="62"/>
  <c r="C570" i="62"/>
  <c r="D570" i="62"/>
  <c r="C571" i="62"/>
  <c r="D571" i="62"/>
  <c r="C572" i="62"/>
  <c r="D572" i="62"/>
  <c r="C573" i="62"/>
  <c r="D573" i="62"/>
  <c r="C574" i="62"/>
  <c r="D574" i="62"/>
  <c r="C575" i="62"/>
  <c r="D575" i="62"/>
  <c r="C576" i="62"/>
  <c r="D576" i="62"/>
  <c r="C577" i="62"/>
  <c r="D577" i="62"/>
  <c r="C578" i="62"/>
  <c r="D578" i="62"/>
  <c r="C579" i="62"/>
  <c r="D579" i="62"/>
  <c r="C580" i="62"/>
  <c r="D580" i="62"/>
  <c r="C581" i="62"/>
  <c r="D581" i="62"/>
  <c r="C582" i="62"/>
  <c r="D582" i="62"/>
  <c r="C583" i="62"/>
  <c r="D583" i="62"/>
  <c r="C584" i="62"/>
  <c r="D584" i="62"/>
  <c r="C585" i="62"/>
  <c r="D585" i="62"/>
  <c r="C586" i="62"/>
  <c r="D586" i="62"/>
  <c r="C587" i="62"/>
  <c r="D587" i="62"/>
  <c r="C588" i="62"/>
  <c r="D588" i="62"/>
  <c r="C589" i="62"/>
  <c r="D589" i="62"/>
  <c r="C590" i="62"/>
  <c r="D590" i="62"/>
  <c r="C591" i="62"/>
  <c r="D591" i="62"/>
  <c r="C592" i="62"/>
  <c r="D592" i="62"/>
  <c r="C593" i="62"/>
  <c r="D593" i="62"/>
  <c r="C594" i="62"/>
  <c r="D594" i="62"/>
  <c r="C595" i="62"/>
  <c r="D595" i="62"/>
  <c r="C596" i="62"/>
  <c r="D596" i="62"/>
  <c r="C597" i="62"/>
  <c r="D597" i="62"/>
  <c r="C598" i="62"/>
  <c r="D598" i="62"/>
  <c r="C599" i="62"/>
  <c r="D599" i="62"/>
  <c r="C600" i="62"/>
  <c r="D600" i="62"/>
  <c r="C601" i="62"/>
  <c r="D601" i="62"/>
  <c r="C602" i="62"/>
  <c r="D602" i="62"/>
  <c r="C603" i="62"/>
  <c r="D603" i="62"/>
  <c r="C604" i="62"/>
  <c r="D604" i="62"/>
  <c r="C605" i="62"/>
  <c r="D605" i="62"/>
  <c r="C606" i="62"/>
  <c r="D606" i="62"/>
  <c r="C607" i="62"/>
  <c r="D607" i="62"/>
  <c r="C608" i="62"/>
  <c r="D608" i="62"/>
  <c r="C609" i="62"/>
  <c r="D609" i="62"/>
  <c r="C610" i="62"/>
  <c r="D610" i="62"/>
  <c r="C611" i="62"/>
  <c r="D611" i="62"/>
  <c r="C612" i="62"/>
  <c r="D612" i="62"/>
  <c r="C613" i="62"/>
  <c r="D613" i="62"/>
  <c r="C614" i="62"/>
  <c r="D614" i="62"/>
  <c r="C615" i="62"/>
  <c r="D615" i="62"/>
  <c r="C616" i="62"/>
  <c r="D616" i="62"/>
  <c r="C617" i="62"/>
  <c r="D617" i="62"/>
  <c r="C618" i="62"/>
  <c r="D618" i="62"/>
  <c r="C619" i="62"/>
  <c r="D619" i="62"/>
  <c r="C620" i="62"/>
  <c r="D620" i="62"/>
  <c r="C621" i="62"/>
  <c r="D621" i="62"/>
  <c r="C622" i="62"/>
  <c r="D622" i="62"/>
  <c r="C623" i="62"/>
  <c r="D623" i="62"/>
  <c r="C624" i="62"/>
  <c r="D624" i="62"/>
  <c r="C625" i="62"/>
  <c r="D625" i="62"/>
  <c r="C626" i="62"/>
  <c r="D626" i="62"/>
  <c r="C627" i="62"/>
  <c r="D627" i="62"/>
  <c r="C628" i="62"/>
  <c r="D628" i="62"/>
  <c r="C629" i="62"/>
  <c r="D629" i="62"/>
  <c r="C630" i="62"/>
  <c r="D630" i="62"/>
  <c r="C631" i="62"/>
  <c r="D631" i="62"/>
  <c r="C632" i="62"/>
  <c r="D632" i="62"/>
  <c r="C633" i="62"/>
  <c r="D633" i="62"/>
  <c r="C634" i="62"/>
  <c r="D634" i="62"/>
  <c r="C635" i="62"/>
  <c r="D635" i="62"/>
  <c r="C636" i="62"/>
  <c r="D636" i="62"/>
  <c r="C637" i="62"/>
  <c r="D637" i="62"/>
  <c r="C638" i="62"/>
  <c r="D638" i="62"/>
  <c r="C639" i="62"/>
  <c r="D639" i="62"/>
  <c r="C640" i="62"/>
  <c r="D640" i="62"/>
  <c r="C641" i="62"/>
  <c r="D641" i="62"/>
  <c r="C642" i="62"/>
  <c r="D642" i="62"/>
  <c r="C643" i="62"/>
  <c r="D643" i="62"/>
  <c r="C644" i="62"/>
  <c r="D644" i="62"/>
  <c r="C645" i="62"/>
  <c r="D645" i="62"/>
  <c r="C646" i="62"/>
  <c r="D646" i="62"/>
  <c r="C647" i="62"/>
  <c r="D647" i="62"/>
  <c r="C648" i="62"/>
  <c r="D648" i="62"/>
  <c r="C649" i="62"/>
  <c r="D649" i="62"/>
  <c r="C650" i="62"/>
  <c r="D650" i="62"/>
  <c r="C651" i="62"/>
  <c r="D651" i="62"/>
  <c r="C652" i="62"/>
  <c r="D652" i="62"/>
  <c r="C653" i="62"/>
  <c r="D653" i="62"/>
  <c r="C654" i="62"/>
  <c r="D654" i="62"/>
  <c r="C655" i="62"/>
  <c r="D655" i="62"/>
  <c r="C656" i="62"/>
  <c r="D656" i="62"/>
  <c r="C657" i="62"/>
  <c r="D657" i="62"/>
  <c r="C658" i="62"/>
  <c r="D658" i="62"/>
  <c r="C659" i="62"/>
  <c r="D659" i="62"/>
  <c r="C660" i="62"/>
  <c r="D660" i="62"/>
  <c r="C661" i="62"/>
  <c r="D661" i="62"/>
  <c r="C662" i="62"/>
  <c r="D662" i="62"/>
  <c r="C663" i="62"/>
  <c r="D663" i="62"/>
  <c r="C664" i="62"/>
  <c r="D664" i="62"/>
  <c r="C665" i="62"/>
  <c r="D665" i="62"/>
  <c r="C666" i="62"/>
  <c r="D666" i="62"/>
  <c r="C667" i="62"/>
  <c r="D667" i="62"/>
  <c r="C668" i="62"/>
  <c r="D668" i="62"/>
  <c r="C669" i="62"/>
  <c r="D669" i="62"/>
  <c r="C670" i="62"/>
  <c r="D670" i="62"/>
  <c r="C671" i="62"/>
  <c r="D671" i="62"/>
  <c r="C672" i="62"/>
  <c r="D672" i="62"/>
  <c r="C673" i="62"/>
  <c r="D673" i="62"/>
  <c r="C674" i="62"/>
  <c r="D674" i="62"/>
  <c r="C675" i="62"/>
  <c r="D675" i="62"/>
  <c r="C676" i="62"/>
  <c r="D676" i="62"/>
  <c r="C677" i="62"/>
  <c r="D677" i="62"/>
  <c r="C678" i="62"/>
  <c r="D678" i="62"/>
  <c r="C679" i="62"/>
  <c r="D679" i="62"/>
  <c r="C680" i="62"/>
  <c r="D680" i="62"/>
  <c r="C681" i="62"/>
  <c r="D681" i="62"/>
  <c r="C682" i="62"/>
  <c r="D682" i="62"/>
  <c r="C683" i="62"/>
  <c r="D683" i="62"/>
  <c r="C684" i="62"/>
  <c r="D684" i="62"/>
  <c r="C685" i="62"/>
  <c r="D685" i="62"/>
  <c r="C686" i="62"/>
  <c r="D686" i="62"/>
  <c r="C687" i="62"/>
  <c r="D687" i="62"/>
  <c r="C688" i="62"/>
  <c r="D688" i="62"/>
  <c r="C689" i="62"/>
  <c r="D689" i="62"/>
  <c r="C690" i="62"/>
  <c r="D690" i="62"/>
  <c r="C691" i="62"/>
  <c r="D691" i="62"/>
  <c r="C692" i="62"/>
  <c r="D692" i="62"/>
  <c r="C693" i="62"/>
  <c r="D693" i="62"/>
  <c r="C694" i="62"/>
  <c r="D694" i="62"/>
  <c r="C695" i="62"/>
  <c r="D695" i="62"/>
  <c r="C696" i="62"/>
  <c r="D696" i="62"/>
  <c r="C697" i="62"/>
  <c r="D697" i="62"/>
  <c r="C698" i="62"/>
  <c r="D698" i="62"/>
  <c r="C699" i="62"/>
  <c r="D699" i="62"/>
  <c r="C700" i="62"/>
  <c r="D700" i="62"/>
  <c r="C701" i="62"/>
  <c r="D701" i="62"/>
  <c r="C702" i="62"/>
  <c r="D702" i="62"/>
  <c r="C703" i="62"/>
  <c r="D703" i="62"/>
  <c r="C704" i="62"/>
  <c r="D704" i="62"/>
  <c r="C705" i="62"/>
  <c r="D705" i="62"/>
  <c r="C706" i="62"/>
  <c r="D706" i="62"/>
  <c r="C707" i="62"/>
  <c r="D707" i="62"/>
  <c r="C708" i="62"/>
  <c r="D708" i="62"/>
  <c r="C709" i="62"/>
  <c r="D709" i="62"/>
  <c r="C710" i="62"/>
  <c r="D710" i="62"/>
  <c r="C711" i="62"/>
  <c r="D711" i="62"/>
  <c r="C712" i="62"/>
  <c r="D712" i="62"/>
  <c r="C713" i="62"/>
  <c r="D713" i="62"/>
  <c r="C714" i="62"/>
  <c r="D714" i="62"/>
  <c r="C715" i="62"/>
  <c r="D715" i="62"/>
  <c r="C716" i="62"/>
  <c r="D716" i="62"/>
  <c r="C717" i="62"/>
  <c r="D717" i="62"/>
  <c r="C718" i="62"/>
  <c r="D718" i="62"/>
  <c r="C719" i="62"/>
  <c r="D719" i="62"/>
  <c r="C720" i="62"/>
  <c r="D720" i="62"/>
  <c r="C721" i="62"/>
  <c r="D721" i="62"/>
  <c r="C722" i="62"/>
  <c r="D722" i="62"/>
  <c r="C723" i="62"/>
  <c r="D723" i="62"/>
  <c r="C724" i="62"/>
  <c r="D724" i="62"/>
  <c r="C725" i="62"/>
  <c r="D725" i="62"/>
  <c r="C726" i="62"/>
  <c r="D726" i="62"/>
  <c r="C727" i="62"/>
  <c r="D727" i="62"/>
  <c r="C728" i="62"/>
  <c r="D728" i="62"/>
  <c r="C729" i="62"/>
  <c r="D729" i="62"/>
  <c r="C730" i="62"/>
  <c r="D730" i="62"/>
  <c r="C731" i="62"/>
  <c r="D731" i="62"/>
  <c r="C732" i="62"/>
  <c r="D732" i="62"/>
  <c r="C733" i="62"/>
  <c r="D733" i="62"/>
  <c r="C734" i="62"/>
  <c r="D734" i="62"/>
  <c r="C735" i="62"/>
  <c r="D735" i="62"/>
  <c r="C736" i="62"/>
  <c r="D736" i="62"/>
  <c r="C737" i="62"/>
  <c r="D737" i="62"/>
  <c r="C738" i="62"/>
  <c r="D738" i="62"/>
  <c r="C739" i="62"/>
  <c r="D739" i="62"/>
  <c r="C740" i="62"/>
  <c r="D740" i="62"/>
  <c r="C741" i="62"/>
  <c r="D741" i="62"/>
  <c r="C742" i="62"/>
  <c r="D742" i="62"/>
  <c r="C743" i="62"/>
  <c r="D743" i="62"/>
  <c r="C744" i="62"/>
  <c r="D744" i="62"/>
  <c r="C745" i="62"/>
  <c r="D745" i="62"/>
  <c r="C746" i="62"/>
  <c r="D746" i="62"/>
  <c r="C747" i="62"/>
  <c r="D747" i="62"/>
  <c r="C748" i="62"/>
  <c r="D748" i="62"/>
  <c r="C749" i="62"/>
  <c r="D749" i="62"/>
  <c r="C750" i="62"/>
  <c r="D750" i="62"/>
  <c r="C751" i="62"/>
  <c r="D751" i="62"/>
  <c r="C752" i="62"/>
  <c r="D752" i="62"/>
  <c r="C753" i="62"/>
  <c r="D753" i="62"/>
  <c r="C754" i="62"/>
  <c r="D754" i="62"/>
  <c r="C755" i="62"/>
  <c r="D755" i="62"/>
  <c r="C756" i="62"/>
  <c r="D756" i="62"/>
  <c r="C757" i="62"/>
  <c r="D757" i="62"/>
  <c r="C758" i="62"/>
  <c r="D758" i="62"/>
  <c r="C759" i="62"/>
  <c r="D759" i="62"/>
  <c r="C760" i="62"/>
  <c r="D760" i="62"/>
  <c r="C761" i="62"/>
  <c r="D761" i="62"/>
  <c r="C762" i="62"/>
  <c r="D762" i="62"/>
  <c r="C763" i="62"/>
  <c r="D763" i="62"/>
  <c r="C764" i="62"/>
  <c r="D764" i="62"/>
  <c r="C765" i="62"/>
  <c r="D765" i="62"/>
  <c r="C766" i="62"/>
  <c r="D766" i="62"/>
  <c r="C767" i="62"/>
  <c r="D767" i="62"/>
  <c r="C768" i="62"/>
  <c r="D768" i="62"/>
  <c r="C769" i="62"/>
  <c r="D769" i="62"/>
  <c r="C770" i="62"/>
  <c r="D770" i="62"/>
  <c r="C771" i="62"/>
  <c r="D771" i="62"/>
  <c r="C772" i="62"/>
  <c r="D772" i="62"/>
  <c r="C773" i="62"/>
  <c r="D773" i="62"/>
  <c r="C774" i="62"/>
  <c r="D774" i="62"/>
  <c r="C775" i="62"/>
  <c r="D775" i="62"/>
  <c r="C776" i="62"/>
  <c r="D776" i="62"/>
  <c r="C777" i="62"/>
  <c r="D777" i="62"/>
  <c r="C778" i="62"/>
  <c r="D778" i="62"/>
  <c r="C779" i="62"/>
  <c r="D779" i="62"/>
  <c r="C780" i="62"/>
  <c r="D780" i="62"/>
  <c r="C781" i="62"/>
  <c r="D781" i="62"/>
  <c r="C782" i="62"/>
  <c r="D782" i="62"/>
  <c r="C783" i="62"/>
  <c r="D783" i="62"/>
  <c r="C784" i="62"/>
  <c r="D784" i="62"/>
  <c r="C785" i="62"/>
  <c r="D785" i="62"/>
  <c r="C786" i="62"/>
  <c r="D786" i="62"/>
  <c r="C787" i="62"/>
  <c r="D787" i="62"/>
  <c r="C788" i="62"/>
  <c r="D788" i="62"/>
  <c r="C789" i="62"/>
  <c r="D789" i="62"/>
  <c r="C790" i="62"/>
  <c r="D790" i="62"/>
  <c r="C791" i="62"/>
  <c r="D791" i="62"/>
  <c r="C792" i="62"/>
  <c r="D792" i="62"/>
  <c r="C793" i="62"/>
  <c r="D793" i="62"/>
  <c r="C794" i="62"/>
  <c r="D794" i="62"/>
  <c r="C795" i="62"/>
  <c r="D795" i="62"/>
  <c r="C796" i="62"/>
  <c r="D796" i="62"/>
  <c r="C797" i="62"/>
  <c r="D797" i="62"/>
  <c r="C798" i="62"/>
  <c r="D798" i="62"/>
  <c r="C799" i="62"/>
  <c r="D799" i="62"/>
  <c r="C800" i="62"/>
  <c r="D800" i="62"/>
  <c r="C801" i="62"/>
  <c r="D801" i="62"/>
  <c r="C802" i="62"/>
  <c r="D802" i="62"/>
  <c r="C803" i="62"/>
  <c r="D803" i="62"/>
  <c r="C804" i="62"/>
  <c r="D804" i="62"/>
  <c r="C805" i="62"/>
  <c r="D805" i="62"/>
  <c r="C806" i="62"/>
  <c r="D806" i="62"/>
  <c r="C807" i="62"/>
  <c r="D807" i="62"/>
  <c r="C808" i="62"/>
  <c r="D808" i="62"/>
  <c r="C809" i="62"/>
  <c r="D809" i="62"/>
  <c r="C810" i="62"/>
  <c r="D810" i="62"/>
  <c r="C811" i="62"/>
  <c r="D811" i="62"/>
  <c r="C812" i="62"/>
  <c r="D812" i="62"/>
  <c r="C813" i="62"/>
  <c r="D813" i="62"/>
  <c r="C814" i="62"/>
  <c r="D814" i="62"/>
  <c r="C815" i="62"/>
  <c r="D815" i="62"/>
  <c r="C816" i="62"/>
  <c r="D816" i="62"/>
  <c r="C817" i="62"/>
  <c r="D817" i="62"/>
  <c r="C818" i="62"/>
  <c r="D818" i="62"/>
  <c r="C819" i="62"/>
  <c r="D819" i="62"/>
  <c r="C820" i="62"/>
  <c r="D820" i="62"/>
  <c r="C821" i="62"/>
  <c r="D821" i="62"/>
  <c r="C822" i="62"/>
  <c r="D822" i="62"/>
  <c r="C823" i="62"/>
  <c r="D823" i="62"/>
  <c r="C824" i="62"/>
  <c r="D824" i="62"/>
  <c r="C825" i="62"/>
  <c r="D825" i="62"/>
  <c r="C826" i="62"/>
  <c r="D826" i="62"/>
  <c r="C827" i="62"/>
  <c r="D827" i="62"/>
  <c r="C828" i="62"/>
  <c r="D828" i="62"/>
  <c r="C829" i="62"/>
  <c r="D829" i="62"/>
  <c r="C830" i="62"/>
  <c r="D830" i="62"/>
  <c r="C831" i="62"/>
  <c r="D831" i="62"/>
  <c r="C832" i="62"/>
  <c r="D832" i="62"/>
  <c r="C833" i="62"/>
  <c r="D833" i="62"/>
  <c r="C834" i="62"/>
  <c r="D834" i="62"/>
  <c r="C835" i="62"/>
  <c r="D835" i="62"/>
  <c r="C836" i="62"/>
  <c r="D836" i="62"/>
  <c r="C837" i="62"/>
  <c r="D837" i="62"/>
  <c r="C838" i="62"/>
  <c r="D838" i="62"/>
  <c r="C839" i="62"/>
  <c r="D839" i="62"/>
  <c r="C840" i="62"/>
  <c r="D840" i="62"/>
  <c r="C841" i="62"/>
  <c r="D841" i="62"/>
  <c r="C842" i="62"/>
  <c r="D842" i="62"/>
  <c r="C843" i="62"/>
  <c r="D843" i="62"/>
  <c r="C844" i="62"/>
  <c r="D844" i="62"/>
  <c r="C845" i="62"/>
  <c r="D845" i="62"/>
  <c r="C846" i="62"/>
  <c r="D846" i="62"/>
  <c r="C847" i="62"/>
  <c r="D847" i="62"/>
  <c r="C848" i="62"/>
  <c r="D848" i="62"/>
  <c r="C849" i="62"/>
  <c r="D849" i="62"/>
  <c r="C850" i="62"/>
  <c r="D850" i="62"/>
  <c r="C851" i="62"/>
  <c r="D851" i="62"/>
  <c r="C852" i="62"/>
  <c r="D852" i="62"/>
  <c r="C853" i="62"/>
  <c r="D853" i="62"/>
  <c r="C854" i="62"/>
  <c r="D854" i="62"/>
  <c r="C855" i="62"/>
  <c r="D855" i="62"/>
  <c r="C856" i="62"/>
  <c r="D856" i="62"/>
  <c r="C857" i="62"/>
  <c r="D857" i="62"/>
  <c r="C858" i="62"/>
  <c r="D858" i="62"/>
  <c r="C859" i="62"/>
  <c r="D859" i="62"/>
  <c r="C860" i="62"/>
  <c r="D860" i="62"/>
  <c r="C861" i="62"/>
  <c r="D861" i="62"/>
  <c r="C862" i="62"/>
  <c r="D862" i="62"/>
  <c r="C863" i="62"/>
  <c r="D863" i="62"/>
  <c r="C864" i="62"/>
  <c r="D864" i="62"/>
  <c r="C865" i="62"/>
  <c r="D865" i="62"/>
  <c r="C866" i="62"/>
  <c r="D866" i="62"/>
  <c r="C867" i="62"/>
  <c r="D867" i="62"/>
  <c r="C868" i="62"/>
  <c r="D868" i="62"/>
  <c r="C869" i="62"/>
  <c r="D869" i="62"/>
  <c r="C870" i="62"/>
  <c r="D870" i="62"/>
  <c r="C871" i="62"/>
  <c r="D871" i="62"/>
  <c r="C872" i="62"/>
  <c r="D872" i="62"/>
  <c r="C873" i="62"/>
  <c r="D873" i="62"/>
  <c r="C874" i="62"/>
  <c r="D874" i="62"/>
  <c r="C875" i="62"/>
  <c r="D875" i="62"/>
  <c r="C876" i="62"/>
  <c r="D876" i="62"/>
  <c r="C877" i="62"/>
  <c r="D877" i="62"/>
  <c r="C878" i="62"/>
  <c r="D878" i="62"/>
  <c r="C879" i="62"/>
  <c r="D879" i="62"/>
  <c r="C880" i="62"/>
  <c r="D880" i="62"/>
  <c r="C881" i="62"/>
  <c r="D881" i="62"/>
  <c r="C882" i="62"/>
  <c r="D882" i="62"/>
  <c r="C883" i="62"/>
  <c r="D883" i="62"/>
  <c r="C884" i="62"/>
  <c r="D884" i="62"/>
  <c r="C885" i="62"/>
  <c r="D885" i="62"/>
  <c r="C886" i="62"/>
  <c r="D886" i="62"/>
  <c r="C887" i="62"/>
  <c r="D887" i="62"/>
  <c r="C888" i="62"/>
  <c r="D888" i="62"/>
  <c r="C889" i="62"/>
  <c r="D889" i="62"/>
  <c r="C890" i="62"/>
  <c r="D890" i="62"/>
  <c r="C891" i="62"/>
  <c r="D891" i="62"/>
  <c r="C892" i="62"/>
  <c r="D892" i="62"/>
  <c r="C893" i="62"/>
  <c r="D893" i="62"/>
  <c r="C894" i="62"/>
  <c r="D894" i="62"/>
  <c r="C895" i="62"/>
  <c r="D895" i="62"/>
  <c r="C896" i="62"/>
  <c r="D896" i="62"/>
  <c r="C897" i="62"/>
  <c r="D897" i="62"/>
  <c r="C898" i="62"/>
  <c r="D898" i="62"/>
  <c r="C899" i="62"/>
  <c r="D899" i="62"/>
  <c r="C900" i="62"/>
  <c r="D900" i="62"/>
  <c r="C901" i="62"/>
  <c r="D901" i="62"/>
  <c r="C902" i="62"/>
  <c r="D902" i="62"/>
  <c r="C903" i="62"/>
  <c r="D903" i="62"/>
  <c r="C904" i="62"/>
  <c r="D904" i="62"/>
  <c r="C905" i="62"/>
  <c r="D905" i="62"/>
  <c r="C906" i="62"/>
  <c r="D906" i="62"/>
  <c r="C907" i="62"/>
  <c r="D907" i="62"/>
  <c r="C908" i="62"/>
  <c r="D908" i="62"/>
  <c r="C909" i="62"/>
  <c r="D909" i="62"/>
  <c r="C910" i="62"/>
  <c r="D910" i="62"/>
  <c r="C911" i="62"/>
  <c r="D911" i="62"/>
  <c r="C912" i="62"/>
  <c r="D912" i="62"/>
  <c r="C913" i="62"/>
  <c r="D913" i="62"/>
  <c r="C914" i="62"/>
  <c r="D914" i="62"/>
  <c r="C915" i="62"/>
  <c r="D915" i="62"/>
  <c r="C916" i="62"/>
  <c r="D916" i="62"/>
  <c r="C917" i="62"/>
  <c r="D917" i="62"/>
  <c r="C918" i="62"/>
  <c r="D918" i="62"/>
  <c r="C919" i="62"/>
  <c r="D919" i="62"/>
  <c r="C920" i="62"/>
  <c r="D920" i="62"/>
  <c r="C921" i="62"/>
  <c r="D921" i="62"/>
  <c r="C922" i="62"/>
  <c r="D922" i="62"/>
  <c r="C923" i="62"/>
  <c r="D923" i="62"/>
  <c r="C924" i="62"/>
  <c r="D924" i="62"/>
  <c r="C925" i="62"/>
  <c r="D925" i="62"/>
  <c r="C926" i="62"/>
  <c r="D926" i="62"/>
  <c r="C927" i="62"/>
  <c r="D927" i="62"/>
  <c r="C928" i="62"/>
  <c r="D928" i="62"/>
  <c r="C929" i="62"/>
  <c r="D929" i="62"/>
  <c r="C930" i="62"/>
  <c r="D930" i="62"/>
  <c r="C931" i="62"/>
  <c r="D931" i="62"/>
  <c r="C932" i="62"/>
  <c r="D932" i="62"/>
  <c r="C933" i="62"/>
  <c r="D933" i="62"/>
  <c r="C934" i="62"/>
  <c r="D934" i="62"/>
  <c r="C935" i="62"/>
  <c r="D935" i="62"/>
  <c r="C936" i="62"/>
  <c r="D936" i="62"/>
  <c r="C937" i="62"/>
  <c r="D937" i="62"/>
  <c r="C938" i="62"/>
  <c r="D938" i="62"/>
  <c r="C939" i="62"/>
  <c r="D939" i="62"/>
  <c r="C940" i="62"/>
  <c r="D940" i="62"/>
  <c r="C941" i="62"/>
  <c r="D941" i="62"/>
  <c r="C942" i="62"/>
  <c r="D942" i="62"/>
  <c r="C943" i="62"/>
  <c r="D943" i="62"/>
  <c r="C944" i="62"/>
  <c r="D944" i="62"/>
  <c r="C945" i="62"/>
  <c r="D945" i="62"/>
  <c r="C946" i="62"/>
  <c r="D946" i="62"/>
  <c r="C947" i="62"/>
  <c r="D947" i="62"/>
  <c r="C948" i="62"/>
  <c r="D948" i="62"/>
  <c r="C949" i="62"/>
  <c r="D949" i="62"/>
  <c r="C950" i="62"/>
  <c r="D950" i="62"/>
  <c r="C951" i="62"/>
  <c r="D951" i="62"/>
  <c r="C952" i="62"/>
  <c r="D952" i="62"/>
  <c r="C953" i="62"/>
  <c r="D953" i="62"/>
  <c r="C954" i="62"/>
  <c r="D954" i="62"/>
  <c r="C955" i="62"/>
  <c r="D955" i="62"/>
  <c r="C956" i="62"/>
  <c r="D956" i="62"/>
  <c r="C957" i="62"/>
  <c r="D957" i="62"/>
  <c r="C958" i="62"/>
  <c r="D958" i="62"/>
  <c r="C959" i="62"/>
  <c r="D959" i="62"/>
  <c r="C960" i="62"/>
  <c r="D960" i="62"/>
  <c r="C961" i="62"/>
  <c r="D961" i="62"/>
  <c r="C962" i="62"/>
  <c r="D962" i="62"/>
  <c r="C963" i="62"/>
  <c r="D963" i="62"/>
  <c r="C964" i="62"/>
  <c r="D964" i="62"/>
  <c r="C965" i="62"/>
  <c r="D965" i="62"/>
  <c r="C966" i="62"/>
  <c r="D966" i="62"/>
  <c r="C967" i="62"/>
  <c r="D967" i="62"/>
  <c r="C968" i="62"/>
  <c r="D968" i="62"/>
  <c r="C969" i="62"/>
  <c r="D969" i="62"/>
  <c r="C970" i="62"/>
  <c r="D970" i="62"/>
  <c r="C971" i="62"/>
  <c r="D971" i="62"/>
  <c r="C972" i="62"/>
  <c r="D972" i="62"/>
  <c r="C973" i="62"/>
  <c r="D973" i="62"/>
  <c r="C974" i="62"/>
  <c r="D974" i="62"/>
  <c r="C975" i="62"/>
  <c r="D975" i="62"/>
  <c r="C976" i="62"/>
  <c r="D976" i="62"/>
  <c r="C977" i="62"/>
  <c r="D977" i="62"/>
  <c r="C978" i="62"/>
  <c r="D978" i="62"/>
  <c r="C979" i="62"/>
  <c r="D979" i="62"/>
  <c r="C980" i="62"/>
  <c r="D980" i="62"/>
  <c r="C981" i="62"/>
  <c r="D981" i="62"/>
  <c r="C982" i="62"/>
  <c r="D982" i="62"/>
  <c r="C983" i="62"/>
  <c r="D983" i="62"/>
  <c r="C984" i="62"/>
  <c r="D984" i="62"/>
  <c r="C985" i="62"/>
  <c r="D985" i="62"/>
  <c r="C986" i="62"/>
  <c r="D986" i="62"/>
  <c r="C987" i="62"/>
  <c r="D987" i="62"/>
  <c r="C988" i="62"/>
  <c r="D988" i="62"/>
  <c r="C989" i="62"/>
  <c r="D989" i="62"/>
  <c r="C990" i="62"/>
  <c r="D990" i="62"/>
  <c r="C991" i="62"/>
  <c r="D991" i="62"/>
  <c r="C992" i="62"/>
  <c r="D992" i="62"/>
  <c r="C993" i="62"/>
  <c r="D993" i="62"/>
  <c r="C994" i="62"/>
  <c r="D994" i="62"/>
  <c r="C995" i="62"/>
  <c r="D995" i="62"/>
  <c r="C996" i="62"/>
  <c r="D996" i="62"/>
  <c r="C997" i="62"/>
  <c r="D997" i="62"/>
  <c r="C998" i="62"/>
  <c r="D998" i="62"/>
  <c r="C999" i="62"/>
  <c r="D999" i="62"/>
  <c r="C1000" i="62"/>
  <c r="D1000" i="62"/>
  <c r="C1001" i="62"/>
  <c r="D1001" i="62"/>
  <c r="C1002" i="62"/>
  <c r="D1002" i="62"/>
  <c r="C1003" i="62"/>
  <c r="D1003" i="62"/>
  <c r="C1004" i="62"/>
  <c r="D1004" i="62"/>
  <c r="C1005" i="62"/>
  <c r="D1005" i="62"/>
  <c r="C1006" i="62"/>
  <c r="D1006" i="62"/>
  <c r="C1007" i="62"/>
  <c r="D1007" i="62"/>
  <c r="C1008" i="62"/>
  <c r="D1008" i="62"/>
  <c r="C1009" i="62"/>
  <c r="D1009" i="62"/>
  <c r="C1010" i="62"/>
  <c r="D1010" i="62"/>
  <c r="C1011" i="62"/>
  <c r="D1011" i="62"/>
  <c r="C1012" i="62"/>
  <c r="D1012" i="62"/>
  <c r="C1013" i="62"/>
  <c r="D1013" i="62"/>
  <c r="C1014" i="62"/>
  <c r="D1014" i="62"/>
  <c r="C1015" i="62"/>
  <c r="D1015" i="62"/>
  <c r="C1016" i="62"/>
  <c r="D1016" i="62"/>
  <c r="C1017" i="62"/>
  <c r="D1017" i="62"/>
  <c r="C1018" i="62"/>
  <c r="D1018" i="62"/>
  <c r="C1019" i="62"/>
  <c r="D1019" i="62"/>
  <c r="C1020" i="62"/>
  <c r="D1020" i="62"/>
  <c r="C1021" i="62"/>
  <c r="D1021" i="62"/>
  <c r="C1022" i="62"/>
  <c r="D1022" i="62"/>
  <c r="C1023" i="62"/>
  <c r="D1023" i="62"/>
  <c r="C1024" i="62"/>
  <c r="D1024" i="62"/>
  <c r="C1025" i="62"/>
  <c r="D1025" i="62"/>
  <c r="C1026" i="62"/>
  <c r="D1026" i="62"/>
  <c r="C1027" i="62"/>
  <c r="D1027" i="62"/>
  <c r="C1028" i="62"/>
  <c r="D1028" i="62"/>
  <c r="C1029" i="62"/>
  <c r="D1029" i="62"/>
  <c r="C1030" i="62"/>
  <c r="D1030" i="62"/>
  <c r="C1031" i="62"/>
  <c r="D1031" i="62"/>
  <c r="C1032" i="62"/>
  <c r="D1032" i="62"/>
  <c r="C1033" i="62"/>
  <c r="D1033" i="62"/>
  <c r="C1034" i="62"/>
  <c r="D1034" i="62"/>
  <c r="C1035" i="62"/>
  <c r="D1035" i="62"/>
  <c r="C1036" i="62"/>
  <c r="D1036" i="62"/>
  <c r="C1037" i="62"/>
  <c r="D1037" i="62"/>
  <c r="C1038" i="62"/>
  <c r="D1038" i="62"/>
  <c r="C1039" i="62"/>
  <c r="D1039" i="62"/>
  <c r="C1040" i="62"/>
  <c r="D1040" i="62"/>
  <c r="C1041" i="62"/>
  <c r="D1041" i="62"/>
  <c r="C1042" i="62"/>
  <c r="D1042" i="62"/>
  <c r="C1043" i="62"/>
  <c r="D1043" i="62"/>
  <c r="C1044" i="62"/>
  <c r="D1044" i="62"/>
  <c r="C1045" i="62"/>
  <c r="D1045" i="62"/>
  <c r="C1046" i="62"/>
  <c r="D1046" i="62"/>
  <c r="C1047" i="62"/>
  <c r="D1047" i="62"/>
  <c r="C1048" i="62"/>
  <c r="D1048" i="62"/>
  <c r="C1049" i="62"/>
  <c r="D1049" i="62"/>
  <c r="C1050" i="62"/>
  <c r="D1050" i="62"/>
  <c r="C1051" i="62"/>
  <c r="D1051" i="62"/>
  <c r="C1052" i="62"/>
  <c r="D1052" i="62"/>
  <c r="C1053" i="62"/>
  <c r="D1053" i="62"/>
  <c r="C1054" i="62"/>
  <c r="D1054" i="62"/>
  <c r="C1055" i="62"/>
  <c r="D1055" i="62"/>
  <c r="C1056" i="62"/>
  <c r="D1056" i="62"/>
  <c r="C1057" i="62"/>
  <c r="D1057" i="62"/>
  <c r="C1058" i="62"/>
  <c r="D1058" i="62"/>
  <c r="C1059" i="62"/>
  <c r="D1059" i="62"/>
  <c r="C1060" i="62"/>
  <c r="D1060" i="62"/>
  <c r="C1061" i="62"/>
  <c r="D1061" i="62"/>
  <c r="C1062" i="62"/>
  <c r="D1062" i="62"/>
  <c r="C1063" i="62"/>
  <c r="D1063" i="62"/>
  <c r="C1064" i="62"/>
  <c r="D1064" i="62"/>
  <c r="C1065" i="62"/>
  <c r="D1065" i="62"/>
  <c r="C1066" i="62"/>
  <c r="D1066" i="62"/>
  <c r="C1067" i="62"/>
  <c r="D1067" i="62"/>
  <c r="C1068" i="62"/>
  <c r="D1068" i="62"/>
  <c r="C1069" i="62"/>
  <c r="D1069" i="62"/>
  <c r="C1070" i="62"/>
  <c r="D1070" i="62"/>
  <c r="C1071" i="62"/>
  <c r="D1071" i="62"/>
  <c r="C1072" i="62"/>
  <c r="D1072" i="62"/>
  <c r="C1073" i="62"/>
  <c r="D1073" i="62"/>
  <c r="C1074" i="62"/>
  <c r="D1074" i="62"/>
  <c r="C1075" i="62"/>
  <c r="D1075" i="62"/>
  <c r="C1076" i="62"/>
  <c r="D1076" i="62"/>
  <c r="C1077" i="62"/>
  <c r="D1077" i="62"/>
  <c r="C1078" i="62"/>
  <c r="D1078" i="62"/>
  <c r="C1079" i="62"/>
  <c r="D1079" i="62"/>
  <c r="C1080" i="62"/>
  <c r="D1080" i="62"/>
  <c r="C1081" i="62"/>
  <c r="D1081" i="62"/>
  <c r="C1082" i="62"/>
  <c r="D1082" i="62"/>
  <c r="C1083" i="62"/>
  <c r="D1083" i="62"/>
  <c r="C1084" i="62"/>
  <c r="D1084" i="62"/>
  <c r="C1085" i="62"/>
  <c r="D1085" i="62"/>
  <c r="C1086" i="62"/>
  <c r="D1086" i="62"/>
  <c r="C1087" i="62"/>
  <c r="D1087" i="62"/>
  <c r="C1088" i="62"/>
  <c r="D1088" i="62"/>
  <c r="C1089" i="62"/>
  <c r="D1089" i="62"/>
  <c r="C1090" i="62"/>
  <c r="D1090" i="62"/>
  <c r="C1091" i="62"/>
  <c r="D1091" i="62"/>
  <c r="C1092" i="62"/>
  <c r="D1092" i="62"/>
  <c r="C1093" i="62"/>
  <c r="D1093" i="62"/>
  <c r="C1094" i="62"/>
  <c r="D1094" i="62"/>
  <c r="C1095" i="62"/>
  <c r="D1095" i="62"/>
  <c r="C1096" i="62"/>
  <c r="D1096" i="62"/>
  <c r="C1097" i="62"/>
  <c r="D1097" i="62"/>
  <c r="C1098" i="62"/>
  <c r="D1098" i="62"/>
  <c r="C1099" i="62"/>
  <c r="D1099" i="62"/>
  <c r="C1100" i="62"/>
  <c r="D1100" i="62"/>
  <c r="C1101" i="62"/>
  <c r="D1101" i="62"/>
  <c r="C1102" i="62"/>
  <c r="D1102" i="62"/>
  <c r="C1103" i="62"/>
  <c r="D1103" i="62"/>
  <c r="C1104" i="62"/>
  <c r="D1104" i="62"/>
  <c r="C1105" i="62"/>
  <c r="D1105" i="62"/>
  <c r="C1106" i="62"/>
  <c r="D1106" i="62"/>
  <c r="C1107" i="62"/>
  <c r="D1107" i="62"/>
  <c r="C1108" i="62"/>
  <c r="D1108" i="62"/>
  <c r="C1109" i="62"/>
  <c r="D1109" i="62"/>
  <c r="C1110" i="62"/>
  <c r="D1110" i="62"/>
  <c r="C1111" i="62"/>
  <c r="D1111" i="62"/>
  <c r="C1112" i="62"/>
  <c r="D1112" i="62"/>
  <c r="C1113" i="62"/>
  <c r="D1113" i="62"/>
  <c r="C1114" i="62"/>
  <c r="D1114" i="62"/>
  <c r="C1115" i="62"/>
  <c r="D1115" i="62"/>
  <c r="C1116" i="62"/>
  <c r="D1116" i="62"/>
  <c r="C1117" i="62"/>
  <c r="D1117" i="62"/>
  <c r="C1118" i="62"/>
  <c r="D1118" i="62"/>
  <c r="C1119" i="62"/>
  <c r="D1119" i="62"/>
  <c r="C1120" i="62"/>
  <c r="D1120" i="62"/>
  <c r="C1121" i="62"/>
  <c r="D1121" i="62"/>
  <c r="C1122" i="62"/>
  <c r="D1122" i="62"/>
  <c r="C1123" i="62"/>
  <c r="D1123" i="62"/>
  <c r="C1124" i="62"/>
  <c r="D1124" i="62"/>
  <c r="C1125" i="62"/>
  <c r="D1125" i="62"/>
  <c r="C1126" i="62"/>
  <c r="D1126" i="62"/>
  <c r="C1127" i="62"/>
  <c r="D1127" i="62"/>
  <c r="C1128" i="62"/>
  <c r="D1128" i="62"/>
  <c r="C1129" i="62"/>
  <c r="D1129" i="62"/>
  <c r="C1130" i="62"/>
  <c r="D1130" i="62"/>
  <c r="C1131" i="62"/>
  <c r="D1131" i="62"/>
  <c r="C1132" i="62"/>
  <c r="D1132" i="62"/>
  <c r="C1133" i="62"/>
  <c r="D1133" i="62"/>
  <c r="C1134" i="62"/>
  <c r="D1134" i="62"/>
  <c r="C1135" i="62"/>
  <c r="D1135" i="62"/>
  <c r="C1136" i="62"/>
  <c r="D1136" i="62"/>
  <c r="C1137" i="62"/>
  <c r="D1137" i="62"/>
  <c r="C1138" i="62"/>
  <c r="D1138" i="62"/>
  <c r="C1139" i="62"/>
  <c r="D1139" i="62"/>
  <c r="C1140" i="62"/>
  <c r="D1140" i="62"/>
  <c r="C1141" i="62"/>
  <c r="D1141" i="62"/>
  <c r="C1142" i="62"/>
  <c r="D1142" i="62"/>
  <c r="C1143" i="62"/>
  <c r="D1143" i="62"/>
  <c r="C1144" i="62"/>
  <c r="D1144" i="62"/>
  <c r="C1145" i="62"/>
  <c r="D1145" i="62"/>
  <c r="C1146" i="62"/>
  <c r="D1146" i="62"/>
  <c r="C1147" i="62"/>
  <c r="D1147" i="62"/>
  <c r="C1148" i="62"/>
  <c r="D1148" i="62"/>
  <c r="C1149" i="62"/>
  <c r="D1149" i="62"/>
  <c r="C1150" i="62"/>
  <c r="D1150" i="62"/>
  <c r="C1151" i="62"/>
  <c r="D1151" i="62"/>
  <c r="C1152" i="62"/>
  <c r="D1152" i="62"/>
  <c r="C1153" i="62"/>
  <c r="D1153" i="62"/>
  <c r="C1154" i="62"/>
  <c r="D1154" i="62"/>
  <c r="C1155" i="62"/>
  <c r="D1155" i="62"/>
  <c r="C1156" i="62"/>
  <c r="D1156" i="62"/>
  <c r="C1157" i="62"/>
  <c r="D1157" i="62"/>
  <c r="C1158" i="62"/>
  <c r="D1158" i="62"/>
  <c r="C1159" i="62"/>
  <c r="D1159" i="62"/>
  <c r="C1160" i="62"/>
  <c r="D1160" i="62"/>
  <c r="C1161" i="62"/>
  <c r="D1161" i="62"/>
  <c r="C1162" i="62"/>
  <c r="D1162" i="62"/>
  <c r="C1163" i="62"/>
  <c r="D1163" i="62"/>
  <c r="C1164" i="62"/>
  <c r="D1164" i="62"/>
  <c r="C1165" i="62"/>
  <c r="D1165" i="62"/>
  <c r="C1166" i="62"/>
  <c r="D1166" i="62"/>
  <c r="C1167" i="62"/>
  <c r="D1167" i="62"/>
  <c r="C1168" i="62"/>
  <c r="D1168" i="62"/>
  <c r="C1169" i="62"/>
  <c r="D1169" i="62"/>
  <c r="C1170" i="62"/>
  <c r="D1170" i="62"/>
  <c r="C1171" i="62"/>
  <c r="D1171" i="62"/>
  <c r="C1172" i="62"/>
  <c r="D1172" i="62"/>
  <c r="C1173" i="62"/>
  <c r="D1173" i="62"/>
  <c r="C1174" i="62"/>
  <c r="D1174" i="62"/>
  <c r="C1175" i="62"/>
  <c r="D1175" i="62"/>
  <c r="C1176" i="62"/>
  <c r="D1176" i="62"/>
  <c r="C1177" i="62"/>
  <c r="D1177" i="62"/>
  <c r="C1178" i="62"/>
  <c r="D1178" i="62"/>
  <c r="C1179" i="62"/>
  <c r="D1179" i="62"/>
  <c r="C1180" i="62"/>
  <c r="D1180" i="62"/>
  <c r="C1181" i="62"/>
  <c r="D1181" i="62"/>
  <c r="C1182" i="62"/>
  <c r="D1182" i="62"/>
  <c r="C1183" i="62"/>
  <c r="D1183" i="62"/>
  <c r="C1184" i="62"/>
  <c r="D1184" i="62"/>
  <c r="C1185" i="62"/>
  <c r="D1185" i="62"/>
  <c r="C1186" i="62"/>
  <c r="D1186" i="62"/>
  <c r="C1187" i="62"/>
  <c r="D1187" i="62"/>
  <c r="C1188" i="62"/>
  <c r="D1188" i="62"/>
  <c r="C1189" i="62"/>
  <c r="D1189" i="62"/>
  <c r="C1190" i="62"/>
  <c r="D1190" i="62"/>
  <c r="C1191" i="62"/>
  <c r="D1191" i="62"/>
  <c r="C1192" i="62"/>
  <c r="D1192" i="62"/>
  <c r="C1193" i="62"/>
  <c r="D1193" i="62"/>
  <c r="C1194" i="62"/>
  <c r="D1194" i="62"/>
  <c r="C1195" i="62"/>
  <c r="D1195" i="62"/>
  <c r="C1196" i="62"/>
  <c r="D1196" i="62"/>
  <c r="C1197" i="62"/>
  <c r="D1197" i="62"/>
  <c r="C1198" i="62"/>
  <c r="D1198" i="62"/>
  <c r="C1199" i="62"/>
  <c r="D1199" i="62"/>
  <c r="C1200" i="62"/>
  <c r="D1200" i="62"/>
  <c r="C1201" i="62"/>
  <c r="D1201" i="62"/>
  <c r="C1202" i="62"/>
  <c r="D1202" i="62"/>
  <c r="C1203" i="62"/>
  <c r="D1203" i="62"/>
  <c r="C1204" i="62"/>
  <c r="D1204" i="62"/>
  <c r="C1205" i="62"/>
  <c r="D1205" i="62"/>
  <c r="C1206" i="62"/>
  <c r="D1206" i="62"/>
  <c r="C1207" i="62"/>
  <c r="D1207" i="62"/>
  <c r="C1208" i="62"/>
  <c r="D1208" i="62"/>
  <c r="C1209" i="62"/>
  <c r="D1209" i="62"/>
  <c r="C1210" i="62"/>
  <c r="D1210" i="62"/>
  <c r="C1211" i="62"/>
  <c r="D1211" i="62"/>
  <c r="C1212" i="62"/>
  <c r="D1212" i="62"/>
  <c r="C1213" i="62"/>
  <c r="D1213" i="62"/>
  <c r="C1214" i="62"/>
  <c r="D1214" i="62"/>
  <c r="C1215" i="62"/>
  <c r="D1215" i="62"/>
  <c r="C1216" i="62"/>
  <c r="D1216" i="62"/>
  <c r="C1217" i="62"/>
  <c r="D1217" i="62"/>
  <c r="C1218" i="62"/>
  <c r="D1218" i="62"/>
  <c r="C1219" i="62"/>
  <c r="D1219" i="62"/>
  <c r="C1220" i="62"/>
  <c r="D1220" i="62"/>
  <c r="C1221" i="62"/>
  <c r="D1221" i="62"/>
  <c r="C1222" i="62"/>
  <c r="D1222" i="62"/>
  <c r="C1223" i="62"/>
  <c r="D1223" i="62"/>
  <c r="C1224" i="62"/>
  <c r="D1224" i="62"/>
  <c r="C1225" i="62"/>
  <c r="D1225" i="62"/>
  <c r="C1226" i="62"/>
  <c r="D1226" i="62"/>
  <c r="C1227" i="62"/>
  <c r="D1227" i="62"/>
  <c r="C1228" i="62"/>
  <c r="D1228" i="62"/>
  <c r="C1229" i="62"/>
  <c r="D1229" i="62"/>
  <c r="C1230" i="62"/>
  <c r="D1230" i="62"/>
  <c r="C1231" i="62"/>
  <c r="D1231" i="62"/>
  <c r="C1232" i="62"/>
  <c r="D1232" i="62"/>
  <c r="C1233" i="62"/>
  <c r="D1233" i="62"/>
  <c r="C1234" i="62"/>
  <c r="D1234" i="62"/>
  <c r="C1235" i="62"/>
  <c r="D1235" i="62"/>
  <c r="C1236" i="62"/>
  <c r="D1236" i="62"/>
  <c r="C1237" i="62"/>
  <c r="D1237" i="62"/>
  <c r="C1238" i="62"/>
  <c r="D1238" i="62"/>
  <c r="C1239" i="62"/>
  <c r="D1239" i="62"/>
  <c r="C1240" i="62"/>
  <c r="D1240" i="62"/>
  <c r="C1241" i="62"/>
  <c r="D1241" i="62"/>
  <c r="C1242" i="62"/>
  <c r="D1242" i="62"/>
  <c r="C1243" i="62"/>
  <c r="D1243" i="62"/>
  <c r="C1244" i="62"/>
  <c r="D1244" i="62"/>
  <c r="C1245" i="62"/>
  <c r="D1245" i="62"/>
  <c r="C1246" i="62"/>
  <c r="D1246" i="62"/>
  <c r="C1247" i="62"/>
  <c r="D1247" i="62"/>
  <c r="C1248" i="62"/>
  <c r="D1248" i="62"/>
  <c r="C1249" i="62"/>
  <c r="D1249" i="62"/>
  <c r="C1250" i="62"/>
  <c r="D1250" i="62"/>
  <c r="C1251" i="62"/>
  <c r="D1251" i="62"/>
  <c r="C1252" i="62"/>
  <c r="D1252" i="62"/>
  <c r="C1253" i="62"/>
  <c r="D1253" i="62"/>
  <c r="C1254" i="62"/>
  <c r="D1254" i="62"/>
  <c r="C1255" i="62"/>
  <c r="D1255" i="62"/>
  <c r="C1256" i="62"/>
  <c r="D1256" i="62"/>
  <c r="C1257" i="62"/>
  <c r="D1257" i="62"/>
  <c r="C1258" i="62"/>
  <c r="D1258" i="62"/>
  <c r="C1259" i="62"/>
  <c r="D1259" i="62"/>
  <c r="C1260" i="62"/>
  <c r="D1260" i="62"/>
  <c r="C1261" i="62"/>
  <c r="D1261" i="62"/>
  <c r="C1262" i="62"/>
  <c r="D1262" i="62"/>
  <c r="C1263" i="62"/>
  <c r="D1263" i="62"/>
  <c r="C1264" i="62"/>
  <c r="D1264" i="62"/>
  <c r="C1265" i="62"/>
  <c r="D1265" i="62"/>
  <c r="C1266" i="62"/>
  <c r="D1266" i="62"/>
  <c r="C1267" i="62"/>
  <c r="D1267" i="62"/>
  <c r="C1268" i="62"/>
  <c r="D1268" i="62"/>
  <c r="C1269" i="62"/>
  <c r="D1269" i="62"/>
  <c r="C1270" i="62"/>
  <c r="D1270" i="62"/>
  <c r="C1271" i="62"/>
  <c r="D1271" i="62"/>
  <c r="C1272" i="62"/>
  <c r="D1272" i="62"/>
  <c r="C1273" i="62"/>
  <c r="D1273" i="62"/>
  <c r="C1274" i="62"/>
  <c r="D1274" i="62"/>
  <c r="C1275" i="62"/>
  <c r="D1275" i="62"/>
  <c r="C1276" i="62"/>
  <c r="D1276" i="62"/>
  <c r="C1277" i="62"/>
  <c r="D1277" i="62"/>
  <c r="C1278" i="62"/>
  <c r="D1278" i="62"/>
  <c r="C1279" i="62"/>
  <c r="D1279" i="62"/>
  <c r="C1280" i="62"/>
  <c r="D1280" i="62"/>
  <c r="C1281" i="62"/>
  <c r="D1281" i="62"/>
  <c r="C1282" i="62"/>
  <c r="D1282" i="62"/>
  <c r="C1283" i="62"/>
  <c r="D1283" i="62"/>
  <c r="C1284" i="62"/>
  <c r="D1284" i="62"/>
  <c r="C1285" i="62"/>
  <c r="D1285" i="62"/>
  <c r="C1286" i="62"/>
  <c r="D1286" i="62"/>
  <c r="C1287" i="62"/>
  <c r="D1287" i="62"/>
  <c r="C1288" i="62"/>
  <c r="D1288" i="62"/>
  <c r="C1289" i="62"/>
  <c r="D1289" i="62"/>
  <c r="C1290" i="62"/>
  <c r="D1290" i="62"/>
  <c r="C1291" i="62"/>
  <c r="D1291" i="62"/>
  <c r="C1292" i="62"/>
  <c r="D1292" i="62"/>
  <c r="C1293" i="62"/>
  <c r="D1293" i="62"/>
  <c r="C1294" i="62"/>
  <c r="D1294" i="62"/>
  <c r="C1295" i="62"/>
  <c r="D1295" i="62"/>
  <c r="C1296" i="62"/>
  <c r="D1296" i="62"/>
  <c r="C1297" i="62"/>
  <c r="D1297" i="62"/>
  <c r="C1298" i="62"/>
  <c r="D1298" i="62"/>
  <c r="C1299" i="62"/>
  <c r="D1299" i="62"/>
  <c r="C1300" i="62"/>
  <c r="D1300" i="62"/>
  <c r="C1301" i="62"/>
  <c r="D1301" i="62"/>
  <c r="C1302" i="62"/>
  <c r="D1302" i="62"/>
  <c r="C1303" i="62"/>
  <c r="D1303" i="62"/>
  <c r="C1304" i="62"/>
  <c r="D1304" i="62"/>
  <c r="C1305" i="62"/>
  <c r="D1305" i="62"/>
  <c r="C1306" i="62"/>
  <c r="D1306" i="62"/>
  <c r="C1307" i="62"/>
  <c r="D1307" i="62"/>
  <c r="C1308" i="62"/>
  <c r="D1308" i="62"/>
  <c r="C1309" i="62"/>
  <c r="D1309" i="62"/>
  <c r="C1310" i="62"/>
  <c r="D1310" i="62"/>
  <c r="C1311" i="62"/>
  <c r="D1311" i="62"/>
  <c r="C1312" i="62"/>
  <c r="D1312" i="62"/>
  <c r="C1313" i="62"/>
  <c r="D1313" i="62"/>
  <c r="C1314" i="62"/>
  <c r="D1314" i="62"/>
  <c r="C1315" i="62"/>
  <c r="D1315" i="62"/>
  <c r="C1316" i="62"/>
  <c r="D1316" i="62"/>
  <c r="C1317" i="62"/>
  <c r="D1317" i="62"/>
  <c r="C1318" i="62"/>
  <c r="D1318" i="62"/>
  <c r="C1319" i="62"/>
  <c r="D1319" i="62"/>
  <c r="C1320" i="62"/>
  <c r="D1320" i="62"/>
  <c r="C1321" i="62"/>
  <c r="D1321" i="62"/>
  <c r="C1322" i="62"/>
  <c r="D1322" i="62"/>
  <c r="C1323" i="62"/>
  <c r="D1323" i="62"/>
  <c r="C1324" i="62"/>
  <c r="D1324" i="62"/>
  <c r="C1325" i="62"/>
  <c r="D1325" i="62"/>
  <c r="C1326" i="62"/>
  <c r="D1326" i="62"/>
  <c r="C1327" i="62"/>
  <c r="D1327" i="62"/>
  <c r="C1328" i="62"/>
  <c r="D1328" i="62"/>
  <c r="C1329" i="62"/>
  <c r="D1329" i="62"/>
  <c r="C1330" i="62"/>
  <c r="D1330" i="62"/>
  <c r="C1331" i="62"/>
  <c r="D1331" i="62"/>
  <c r="C1332" i="62"/>
  <c r="D1332" i="62"/>
  <c r="C1333" i="62"/>
  <c r="D1333" i="62"/>
  <c r="C1334" i="62"/>
  <c r="D1334" i="62"/>
  <c r="C1335" i="62"/>
  <c r="D1335" i="62"/>
  <c r="C1336" i="62"/>
  <c r="D1336" i="62"/>
  <c r="C1337" i="62"/>
  <c r="D1337" i="62"/>
  <c r="C1338" i="62"/>
  <c r="D1338" i="62"/>
  <c r="C1339" i="62"/>
  <c r="D1339" i="62"/>
  <c r="C1340" i="62"/>
  <c r="D1340" i="62"/>
  <c r="C1341" i="62"/>
  <c r="D1341" i="62"/>
  <c r="C1342" i="62"/>
  <c r="D1342" i="62"/>
  <c r="C1343" i="62"/>
  <c r="D1343" i="62"/>
  <c r="C1344" i="62"/>
  <c r="D1344" i="62"/>
  <c r="C1345" i="62"/>
  <c r="D1345" i="62"/>
  <c r="C1346" i="62"/>
  <c r="D1346" i="62"/>
  <c r="C1347" i="62"/>
  <c r="D1347" i="62"/>
  <c r="C1348" i="62"/>
  <c r="D1348" i="62"/>
  <c r="C1349" i="62"/>
  <c r="D1349" i="62"/>
  <c r="C1350" i="62"/>
  <c r="D1350" i="62"/>
  <c r="C1351" i="62"/>
  <c r="D1351" i="62"/>
  <c r="C1352" i="62"/>
  <c r="D1352" i="62"/>
  <c r="C1353" i="62"/>
  <c r="D1353" i="62"/>
  <c r="C1354" i="62"/>
  <c r="D1354" i="62"/>
  <c r="C1355" i="62"/>
  <c r="D1355" i="62"/>
  <c r="C1356" i="62"/>
  <c r="D1356" i="62"/>
  <c r="C1357" i="62"/>
  <c r="D1357" i="62"/>
  <c r="C1358" i="62"/>
  <c r="D1358" i="62"/>
  <c r="C1359" i="62"/>
  <c r="D1359" i="62"/>
  <c r="C1360" i="62"/>
  <c r="D1360" i="62"/>
  <c r="C1361" i="62"/>
  <c r="D1361" i="62"/>
  <c r="C1362" i="62"/>
  <c r="D1362" i="62"/>
  <c r="C1363" i="62"/>
  <c r="D1363" i="62"/>
  <c r="C1364" i="62"/>
  <c r="D1364" i="62"/>
  <c r="C1365" i="62"/>
  <c r="D1365" i="62"/>
  <c r="C1366" i="62"/>
  <c r="D1366" i="62"/>
  <c r="C1367" i="62"/>
  <c r="D1367" i="62"/>
  <c r="C1368" i="62"/>
  <c r="D1368" i="62"/>
  <c r="C1369" i="62"/>
  <c r="D1369" i="62"/>
  <c r="C1370" i="62"/>
  <c r="D1370" i="62"/>
  <c r="C1371" i="62"/>
  <c r="D1371" i="62"/>
  <c r="C1372" i="62"/>
  <c r="D1372" i="62"/>
  <c r="C1373" i="62"/>
  <c r="D1373" i="62"/>
  <c r="C1374" i="62"/>
  <c r="D1374" i="62"/>
  <c r="C1375" i="62"/>
  <c r="D1375" i="62"/>
  <c r="C1376" i="62"/>
  <c r="D1376" i="62"/>
  <c r="C1377" i="62"/>
  <c r="D1377" i="62"/>
  <c r="C1378" i="62"/>
  <c r="D1378" i="62"/>
  <c r="C1379" i="62"/>
  <c r="D1379" i="62"/>
  <c r="C1380" i="62"/>
  <c r="D1380" i="62"/>
  <c r="C1381" i="62"/>
  <c r="D1381" i="62"/>
  <c r="C1382" i="62"/>
  <c r="D1382" i="62"/>
  <c r="C1383" i="62"/>
  <c r="D1383" i="62"/>
  <c r="C1384" i="62"/>
  <c r="D1384" i="62"/>
  <c r="C1385" i="62"/>
  <c r="D1385" i="62"/>
  <c r="C1386" i="62"/>
  <c r="D1386" i="62"/>
  <c r="C1387" i="62"/>
  <c r="D1387" i="62"/>
  <c r="C1388" i="62"/>
  <c r="D1388" i="62"/>
  <c r="C1389" i="62"/>
  <c r="D1389" i="62"/>
  <c r="C1390" i="62"/>
  <c r="D1390" i="62"/>
  <c r="C1391" i="62"/>
  <c r="D1391" i="62"/>
  <c r="C1392" i="62"/>
  <c r="D1392" i="62"/>
  <c r="C1393" i="62"/>
  <c r="D1393" i="62"/>
  <c r="C1394" i="62"/>
  <c r="D1394" i="62"/>
  <c r="C1395" i="62"/>
  <c r="D1395" i="62"/>
  <c r="C1396" i="62"/>
  <c r="D1396" i="62"/>
  <c r="C1397" i="62"/>
  <c r="D1397" i="62"/>
  <c r="C1398" i="62"/>
  <c r="D1398" i="62"/>
  <c r="C1399" i="62"/>
  <c r="D1399" i="62"/>
  <c r="C1400" i="62"/>
  <c r="D1400" i="62"/>
  <c r="C1401" i="62"/>
  <c r="D1401" i="62"/>
  <c r="C1402" i="62"/>
  <c r="D1402" i="62"/>
  <c r="C1403" i="62"/>
  <c r="D1403" i="62"/>
  <c r="C1404" i="62"/>
  <c r="D1404" i="62"/>
  <c r="C1405" i="62"/>
  <c r="D1405" i="62"/>
  <c r="C1406" i="62"/>
  <c r="D1406" i="62"/>
  <c r="C1407" i="62"/>
  <c r="D1407" i="62"/>
  <c r="C1408" i="62"/>
  <c r="D1408" i="62"/>
  <c r="C1409" i="62"/>
  <c r="D1409" i="62"/>
  <c r="C1410" i="62"/>
  <c r="D1410" i="62"/>
  <c r="C1411" i="62"/>
  <c r="D1411" i="62"/>
  <c r="C1412" i="62"/>
  <c r="D1412" i="62"/>
  <c r="C1413" i="62"/>
  <c r="D1413" i="62"/>
  <c r="C1414" i="62"/>
  <c r="D1414" i="62"/>
  <c r="C1415" i="62"/>
  <c r="D1415" i="62"/>
  <c r="C1416" i="62"/>
  <c r="D1416" i="62"/>
  <c r="C1417" i="62"/>
  <c r="D1417" i="62"/>
  <c r="C1418" i="62"/>
  <c r="D1418" i="62"/>
  <c r="C1419" i="62"/>
  <c r="D1419" i="62"/>
  <c r="C1420" i="62"/>
  <c r="D1420" i="62"/>
  <c r="C1421" i="62"/>
  <c r="D1421" i="62"/>
  <c r="C1422" i="62"/>
  <c r="D1422" i="62"/>
  <c r="C1423" i="62"/>
  <c r="D1423" i="62"/>
  <c r="C1424" i="62"/>
  <c r="D1424" i="62"/>
  <c r="C1425" i="62"/>
  <c r="D1425" i="62"/>
  <c r="C1426" i="62"/>
  <c r="D1426" i="62"/>
  <c r="C1427" i="62"/>
  <c r="D1427" i="62"/>
  <c r="C1428" i="62"/>
  <c r="D1428" i="62"/>
  <c r="C1429" i="62"/>
  <c r="D1429" i="62"/>
  <c r="C1430" i="62"/>
  <c r="D1430" i="62"/>
  <c r="C1431" i="62"/>
  <c r="D1431" i="62"/>
  <c r="C1432" i="62"/>
  <c r="D1432" i="62"/>
  <c r="C1433" i="62"/>
  <c r="D1433" i="62"/>
  <c r="C1434" i="62"/>
  <c r="D1434" i="62"/>
  <c r="C1435" i="62"/>
  <c r="D1435" i="62"/>
  <c r="C1436" i="62"/>
  <c r="D1436" i="62"/>
  <c r="C1437" i="62"/>
  <c r="D1437" i="62"/>
  <c r="C1438" i="62"/>
  <c r="D1438" i="62"/>
  <c r="C1439" i="62"/>
  <c r="D1439" i="62"/>
  <c r="C1440" i="62"/>
  <c r="D1440" i="62"/>
  <c r="C1441" i="62"/>
  <c r="D1441" i="62"/>
  <c r="C1442" i="62"/>
  <c r="D1442" i="62"/>
  <c r="C1443" i="62"/>
  <c r="D1443" i="62"/>
  <c r="C1444" i="62"/>
  <c r="D1444" i="62"/>
  <c r="C1445" i="62"/>
  <c r="D1445" i="62"/>
  <c r="C1446" i="62"/>
  <c r="D1446" i="62"/>
  <c r="C1447" i="62"/>
  <c r="D1447" i="62"/>
  <c r="C1448" i="62"/>
  <c r="D1448" i="62"/>
  <c r="C1449" i="62"/>
  <c r="D1449" i="62"/>
  <c r="C1450" i="62"/>
  <c r="D1450" i="62"/>
  <c r="C1451" i="62"/>
  <c r="D1451" i="62"/>
  <c r="C1452" i="62"/>
  <c r="D1452" i="62"/>
  <c r="C1453" i="62"/>
  <c r="D1453" i="62"/>
  <c r="C1454" i="62"/>
  <c r="D1454" i="62"/>
  <c r="C1455" i="62"/>
  <c r="D1455" i="62"/>
  <c r="C1456" i="62"/>
  <c r="D1456" i="62"/>
  <c r="C1457" i="62"/>
  <c r="D1457" i="62"/>
  <c r="C1458" i="62"/>
  <c r="D1458" i="62"/>
  <c r="C1459" i="62"/>
  <c r="D1459" i="62"/>
  <c r="C1460" i="62"/>
  <c r="D1460" i="62"/>
  <c r="C1461" i="62"/>
  <c r="D1461" i="62"/>
  <c r="C1462" i="62"/>
  <c r="D1462" i="62"/>
  <c r="C1463" i="62"/>
  <c r="D1463" i="62"/>
  <c r="C1464" i="62"/>
  <c r="D1464" i="62"/>
  <c r="C1465" i="62"/>
  <c r="D1465" i="62"/>
  <c r="C1466" i="62"/>
  <c r="D1466" i="62"/>
  <c r="C1467" i="62"/>
  <c r="D1467" i="62"/>
  <c r="C1468" i="62"/>
  <c r="D1468" i="62"/>
  <c r="C1469" i="62"/>
  <c r="D1469" i="62"/>
  <c r="C1470" i="62"/>
  <c r="D1470" i="62"/>
  <c r="C1471" i="62"/>
  <c r="D1471" i="62"/>
  <c r="C1472" i="62"/>
  <c r="D1472" i="62"/>
  <c r="C1473" i="62"/>
  <c r="D1473" i="62"/>
  <c r="C1474" i="62"/>
  <c r="D1474" i="62"/>
  <c r="C1475" i="62"/>
  <c r="D1475" i="62"/>
  <c r="C1476" i="62"/>
  <c r="D1476" i="62"/>
  <c r="C1477" i="62"/>
  <c r="D1477" i="62"/>
  <c r="C1478" i="62"/>
  <c r="D1478" i="62"/>
  <c r="C1479" i="62"/>
  <c r="D1479" i="62"/>
  <c r="C1480" i="62"/>
  <c r="D1480" i="62"/>
  <c r="C1481" i="62"/>
  <c r="D1481" i="62"/>
  <c r="C1482" i="62"/>
  <c r="D1482" i="62"/>
  <c r="C1483" i="62"/>
  <c r="D1483" i="62"/>
  <c r="C1484" i="62"/>
  <c r="D1484" i="62"/>
  <c r="C1485" i="62"/>
  <c r="D1485" i="62"/>
  <c r="C1486" i="62"/>
  <c r="D1486" i="62"/>
  <c r="C1487" i="62"/>
  <c r="D1487" i="62"/>
  <c r="C1488" i="62"/>
  <c r="D1488" i="62"/>
  <c r="C1489" i="62"/>
  <c r="D1489" i="62"/>
  <c r="C1490" i="62"/>
  <c r="D1490" i="62"/>
  <c r="C1491" i="62"/>
  <c r="D1491" i="62"/>
  <c r="C1492" i="62"/>
  <c r="D1492" i="62"/>
  <c r="C1493" i="62"/>
  <c r="D1493" i="62"/>
  <c r="C1494" i="62"/>
  <c r="D1494" i="62"/>
  <c r="C1495" i="62"/>
  <c r="D1495" i="62"/>
  <c r="C1496" i="62"/>
  <c r="D1496" i="62"/>
  <c r="C1497" i="62"/>
  <c r="D1497" i="62"/>
  <c r="C1498" i="62"/>
  <c r="D1498" i="62"/>
  <c r="C1499" i="62"/>
  <c r="D1499" i="62"/>
  <c r="C1500" i="62"/>
  <c r="D1500" i="62"/>
  <c r="C1501" i="62"/>
  <c r="D1501" i="62"/>
  <c r="C1502" i="62"/>
  <c r="D1502" i="62"/>
  <c r="C1503" i="62"/>
  <c r="D1503" i="62"/>
  <c r="C1504" i="62"/>
  <c r="D1504" i="62"/>
  <c r="C1505" i="62"/>
  <c r="D1505" i="62"/>
  <c r="C1506" i="62"/>
  <c r="D1506" i="62"/>
  <c r="C1507" i="62"/>
  <c r="D1507" i="62"/>
  <c r="C1508" i="62"/>
  <c r="D1508" i="62"/>
  <c r="C1509" i="62"/>
  <c r="D1509" i="62"/>
  <c r="C1510" i="62"/>
  <c r="D1510" i="62"/>
  <c r="C1511" i="62"/>
  <c r="D1511" i="62"/>
  <c r="C1512" i="62"/>
  <c r="D1512" i="62"/>
  <c r="C1513" i="62"/>
  <c r="D1513" i="62"/>
  <c r="C1514" i="62"/>
  <c r="D1514" i="62"/>
  <c r="C1515" i="62"/>
  <c r="D1515" i="62"/>
  <c r="C1516" i="62"/>
  <c r="D1516" i="62"/>
  <c r="C1517" i="62"/>
  <c r="D1517" i="62"/>
  <c r="C1518" i="62"/>
  <c r="D1518" i="62"/>
  <c r="C1519" i="62"/>
  <c r="D1519" i="62"/>
  <c r="C1520" i="62"/>
  <c r="D1520" i="62"/>
  <c r="C1521" i="62"/>
  <c r="D1521" i="62"/>
  <c r="C1522" i="62"/>
  <c r="D1522" i="62"/>
  <c r="C1523" i="62"/>
  <c r="D1523" i="62"/>
  <c r="C1524" i="62"/>
  <c r="D1524" i="62"/>
  <c r="C1525" i="62"/>
  <c r="D1525" i="62"/>
  <c r="C1526" i="62"/>
  <c r="D1526" i="62"/>
  <c r="C1527" i="62"/>
  <c r="D1527" i="62"/>
  <c r="C1528" i="62"/>
  <c r="D1528" i="62"/>
  <c r="C1529" i="62"/>
  <c r="D1529" i="62"/>
  <c r="C1530" i="62"/>
  <c r="D1530" i="62"/>
  <c r="C1531" i="62"/>
  <c r="D1531" i="62"/>
  <c r="C1532" i="62"/>
  <c r="D1532" i="62"/>
  <c r="C1533" i="62"/>
  <c r="D1533" i="62"/>
  <c r="C1534" i="62"/>
  <c r="D1534" i="62"/>
  <c r="C1535" i="62"/>
  <c r="D1535" i="62"/>
  <c r="C1536" i="62"/>
  <c r="D1536" i="62"/>
  <c r="C1537" i="62"/>
  <c r="D1537" i="62"/>
  <c r="C1538" i="62"/>
  <c r="D1538" i="62"/>
  <c r="C1539" i="62"/>
  <c r="D1539" i="62"/>
  <c r="C1540" i="62"/>
  <c r="D1540" i="62"/>
  <c r="C1541" i="62"/>
  <c r="D1541" i="62"/>
  <c r="C1542" i="62"/>
  <c r="D1542" i="62"/>
  <c r="C1543" i="62"/>
  <c r="D1543" i="62"/>
  <c r="C1544" i="62"/>
  <c r="D1544" i="62"/>
  <c r="C1545" i="62"/>
  <c r="D1545" i="62"/>
  <c r="C1546" i="62"/>
  <c r="D1546" i="62"/>
  <c r="C1547" i="62"/>
  <c r="D1547" i="62"/>
  <c r="C1548" i="62"/>
  <c r="D1548" i="62"/>
  <c r="C1549" i="62"/>
  <c r="D1549" i="62"/>
  <c r="C1550" i="62"/>
  <c r="D1550" i="62"/>
  <c r="C1551" i="62"/>
  <c r="D1551" i="62"/>
  <c r="C1552" i="62"/>
  <c r="D1552" i="62"/>
  <c r="C1553" i="62"/>
  <c r="D1553" i="62"/>
  <c r="C1554" i="62"/>
  <c r="D1554" i="62"/>
  <c r="C1555" i="62"/>
  <c r="D1555" i="62"/>
  <c r="C1556" i="62"/>
  <c r="D1556" i="62"/>
  <c r="C1557" i="62"/>
  <c r="D1557" i="62"/>
  <c r="C1558" i="62"/>
  <c r="D1558" i="62"/>
  <c r="C1559" i="62"/>
  <c r="D1559" i="62"/>
  <c r="C1560" i="62"/>
  <c r="D1560" i="62"/>
  <c r="C1561" i="62"/>
  <c r="D1561" i="62"/>
  <c r="C1562" i="62"/>
  <c r="D1562" i="62"/>
  <c r="C1563" i="62"/>
  <c r="D1563" i="62"/>
  <c r="C1564" i="62"/>
  <c r="D1564" i="62"/>
  <c r="C1565" i="62"/>
  <c r="D1565" i="62"/>
  <c r="C1566" i="62"/>
  <c r="D1566" i="62"/>
  <c r="C1567" i="62"/>
  <c r="D1567" i="62"/>
  <c r="C1568" i="62"/>
  <c r="D1568" i="62"/>
  <c r="C1569" i="62"/>
  <c r="D1569" i="62"/>
  <c r="C1570" i="62"/>
  <c r="D1570" i="62"/>
  <c r="C1571" i="62"/>
  <c r="D1571" i="62"/>
  <c r="C1572" i="62"/>
  <c r="D1572" i="62"/>
  <c r="C1573" i="62"/>
  <c r="D1573" i="62"/>
  <c r="C1574" i="62"/>
  <c r="D1574" i="62"/>
  <c r="C1575" i="62"/>
  <c r="D1575" i="62"/>
  <c r="C1576" i="62"/>
  <c r="D1576" i="62"/>
  <c r="C1577" i="62"/>
  <c r="D1577" i="62"/>
  <c r="C1578" i="62"/>
  <c r="D1578" i="62"/>
  <c r="C1579" i="62"/>
  <c r="D1579" i="62"/>
  <c r="C1580" i="62"/>
  <c r="D1580" i="62"/>
  <c r="C1581" i="62"/>
  <c r="D1581" i="62"/>
  <c r="C1582" i="62"/>
  <c r="D1582" i="62"/>
  <c r="C1583" i="62"/>
  <c r="D1583" i="62"/>
  <c r="C1584" i="62"/>
  <c r="D1584" i="62"/>
  <c r="C1585" i="62"/>
  <c r="D1585" i="62"/>
  <c r="C1586" i="62"/>
  <c r="D1586" i="62"/>
  <c r="C1587" i="62"/>
  <c r="D1587" i="62"/>
  <c r="C1588" i="62"/>
  <c r="D1588" i="62"/>
  <c r="C1589" i="62"/>
  <c r="D1589" i="62"/>
  <c r="C1590" i="62"/>
  <c r="D1590" i="62"/>
  <c r="C1591" i="62"/>
  <c r="D1591" i="62"/>
  <c r="C1592" i="62"/>
  <c r="D1592" i="62"/>
  <c r="C1593" i="62"/>
  <c r="D1593" i="62"/>
  <c r="C1594" i="62"/>
  <c r="D1594" i="62"/>
  <c r="C1595" i="62"/>
  <c r="D1595" i="62"/>
  <c r="C1596" i="62"/>
  <c r="D1596" i="62"/>
  <c r="C1597" i="62"/>
  <c r="D1597" i="62"/>
  <c r="C1598" i="62"/>
  <c r="D1598" i="62"/>
  <c r="C1599" i="62"/>
  <c r="D1599" i="62"/>
  <c r="C1600" i="62"/>
  <c r="D1600" i="62"/>
  <c r="C1601" i="62"/>
  <c r="D1601" i="62"/>
  <c r="C1602" i="62"/>
  <c r="D1602" i="62"/>
  <c r="C1603" i="62"/>
  <c r="D1603" i="62"/>
  <c r="C1604" i="62"/>
  <c r="D1604" i="62"/>
  <c r="C1605" i="62"/>
  <c r="D1605" i="62"/>
  <c r="C1606" i="62"/>
  <c r="D1606" i="62"/>
  <c r="C1607" i="62"/>
  <c r="D1607" i="62"/>
  <c r="C1608" i="62"/>
  <c r="D1608" i="62"/>
  <c r="C1609" i="62"/>
  <c r="D1609" i="62"/>
  <c r="C1610" i="62"/>
  <c r="D1610" i="62"/>
  <c r="C1611" i="62"/>
  <c r="D1611" i="62"/>
  <c r="C1612" i="62"/>
  <c r="D1612" i="62"/>
  <c r="C1613" i="62"/>
  <c r="D1613" i="62"/>
  <c r="C1614" i="62"/>
  <c r="D1614" i="62"/>
  <c r="C1615" i="62"/>
  <c r="D1615" i="62"/>
  <c r="C1616" i="62"/>
  <c r="D1616" i="62"/>
  <c r="C1617" i="62"/>
  <c r="D1617" i="62"/>
  <c r="C1618" i="62"/>
  <c r="D1618" i="62"/>
  <c r="C1619" i="62"/>
  <c r="D1619" i="62"/>
  <c r="C1620" i="62"/>
  <c r="D1620" i="62"/>
  <c r="C1621" i="62"/>
  <c r="D1621" i="62"/>
  <c r="C1622" i="62"/>
  <c r="D1622" i="62"/>
  <c r="C1623" i="62"/>
  <c r="D1623" i="62"/>
  <c r="C1624" i="62"/>
  <c r="D1624" i="62"/>
  <c r="C1625" i="62"/>
  <c r="D1625" i="62"/>
  <c r="C1626" i="62"/>
  <c r="D1626" i="62"/>
  <c r="C1627" i="62"/>
  <c r="D1627" i="62"/>
  <c r="C1628" i="62"/>
  <c r="D1628" i="62"/>
  <c r="C1629" i="62"/>
  <c r="D1629" i="62"/>
  <c r="C1630" i="62"/>
  <c r="D1630" i="62"/>
  <c r="C1631" i="62"/>
  <c r="D1631" i="62"/>
  <c r="C1632" i="62"/>
  <c r="D1632" i="62"/>
  <c r="C1633" i="62"/>
  <c r="D1633" i="62"/>
  <c r="C1634" i="62"/>
  <c r="D1634" i="62"/>
  <c r="C1635" i="62"/>
  <c r="D1635" i="62"/>
  <c r="C1636" i="62"/>
  <c r="D1636" i="62"/>
  <c r="C1637" i="62"/>
  <c r="D1637" i="62"/>
  <c r="C1638" i="62"/>
  <c r="D1638" i="62"/>
  <c r="C1639" i="62"/>
  <c r="D1639" i="62"/>
  <c r="C1640" i="62"/>
  <c r="D1640" i="62"/>
  <c r="C1641" i="62"/>
  <c r="D1641" i="62"/>
  <c r="C1642" i="62"/>
  <c r="D1642" i="62"/>
  <c r="C1643" i="62"/>
  <c r="D1643" i="62"/>
  <c r="C1644" i="62"/>
  <c r="D1644" i="62"/>
  <c r="C1645" i="62"/>
  <c r="D1645" i="62"/>
  <c r="C1646" i="62"/>
  <c r="D1646" i="62"/>
  <c r="C1647" i="62"/>
  <c r="D1647" i="62"/>
  <c r="C1648" i="62"/>
  <c r="D1648" i="62"/>
  <c r="C1649" i="62"/>
  <c r="D1649" i="62"/>
  <c r="C1650" i="62"/>
  <c r="D1650" i="62"/>
  <c r="C1651" i="62"/>
  <c r="D1651" i="62"/>
  <c r="C1652" i="62"/>
  <c r="D1652" i="62"/>
  <c r="C1653" i="62"/>
  <c r="D1653" i="62"/>
  <c r="C1654" i="62"/>
  <c r="D1654" i="62"/>
  <c r="C1655" i="62"/>
  <c r="D1655" i="62"/>
  <c r="C1656" i="62"/>
  <c r="D1656" i="62"/>
  <c r="C1657" i="62"/>
  <c r="D1657" i="62"/>
  <c r="C1658" i="62"/>
  <c r="D1658" i="62"/>
  <c r="C1659" i="62"/>
  <c r="D1659" i="62"/>
  <c r="C1660" i="62"/>
  <c r="D1660" i="62"/>
  <c r="C1661" i="62"/>
  <c r="D1661" i="62"/>
  <c r="C1662" i="62"/>
  <c r="D1662" i="62"/>
  <c r="C1663" i="62"/>
  <c r="D1663" i="62"/>
  <c r="C1664" i="62"/>
  <c r="D1664" i="62"/>
  <c r="C1665" i="62"/>
  <c r="D1665" i="62"/>
  <c r="C1666" i="62"/>
  <c r="D1666" i="62"/>
  <c r="C1667" i="62"/>
  <c r="D1667" i="62"/>
  <c r="C1668" i="62"/>
  <c r="D1668" i="62"/>
  <c r="C1669" i="62"/>
  <c r="D1669" i="62"/>
  <c r="C1670" i="62"/>
  <c r="D1670" i="62"/>
  <c r="C1671" i="62"/>
  <c r="D1671" i="62"/>
  <c r="C1672" i="62"/>
  <c r="D1672" i="62"/>
  <c r="C1673" i="62"/>
  <c r="D1673" i="62"/>
  <c r="C1674" i="62"/>
  <c r="D1674" i="62"/>
  <c r="C1675" i="62"/>
  <c r="D1675" i="62"/>
  <c r="C1676" i="62"/>
  <c r="D1676" i="62"/>
  <c r="C1677" i="62"/>
  <c r="D1677" i="62"/>
  <c r="C1678" i="62"/>
  <c r="D1678" i="62"/>
  <c r="C1679" i="62"/>
  <c r="D1679" i="62"/>
  <c r="C1680" i="62"/>
  <c r="D1680" i="62"/>
  <c r="C1681" i="62"/>
  <c r="D1681" i="62"/>
  <c r="C1682" i="62"/>
  <c r="D1682" i="62"/>
  <c r="C1683" i="62"/>
  <c r="D1683" i="62"/>
  <c r="C1684" i="62"/>
  <c r="D1684" i="62"/>
  <c r="C1685" i="62"/>
  <c r="D1685" i="62"/>
  <c r="C1686" i="62"/>
  <c r="D1686" i="62"/>
  <c r="C1687" i="62"/>
  <c r="D1687" i="62"/>
  <c r="C1688" i="62"/>
  <c r="D1688" i="62"/>
  <c r="C1689" i="62"/>
  <c r="D1689" i="62"/>
  <c r="C1690" i="62"/>
  <c r="D1690" i="62"/>
  <c r="C1691" i="62"/>
  <c r="D1691" i="62"/>
  <c r="C1692" i="62"/>
  <c r="D1692" i="62"/>
  <c r="C1693" i="62"/>
  <c r="D1693" i="62"/>
  <c r="C1694" i="62"/>
  <c r="D1694" i="62"/>
  <c r="C1695" i="62"/>
  <c r="D1695" i="62"/>
  <c r="C1696" i="62"/>
  <c r="D1696" i="62"/>
  <c r="C1697" i="62"/>
  <c r="D1697" i="62"/>
  <c r="C1698" i="62"/>
  <c r="D1698" i="62"/>
  <c r="C1699" i="62"/>
  <c r="D1699" i="62"/>
  <c r="C1700" i="62"/>
  <c r="D1700" i="62"/>
  <c r="C1701" i="62"/>
  <c r="D1701" i="62"/>
  <c r="C1702" i="62"/>
  <c r="D1702" i="62"/>
  <c r="C1703" i="62"/>
  <c r="D1703" i="62"/>
  <c r="C1704" i="62"/>
  <c r="D1704" i="62"/>
  <c r="C1705" i="62"/>
  <c r="D1705" i="62"/>
  <c r="C1706" i="62"/>
  <c r="D1706" i="62"/>
  <c r="C1707" i="62"/>
  <c r="D1707" i="62"/>
  <c r="C1708" i="62"/>
  <c r="D1708" i="62"/>
  <c r="C1709" i="62"/>
  <c r="D1709" i="62"/>
  <c r="C1710" i="62"/>
  <c r="D1710" i="62"/>
  <c r="C1711" i="62"/>
  <c r="D1711" i="62"/>
  <c r="C1712" i="62"/>
  <c r="D1712" i="62"/>
  <c r="C1713" i="62"/>
  <c r="D1713" i="62"/>
  <c r="C1714" i="62"/>
  <c r="D1714" i="62"/>
  <c r="C1715" i="62"/>
  <c r="D1715" i="62"/>
  <c r="C1716" i="62"/>
  <c r="D1716" i="62"/>
  <c r="C1717" i="62"/>
  <c r="D1717" i="62"/>
  <c r="C1718" i="62"/>
  <c r="D1718" i="62"/>
  <c r="C1719" i="62"/>
  <c r="D1719" i="62"/>
  <c r="C1720" i="62"/>
  <c r="D1720" i="62"/>
  <c r="C1721" i="62"/>
  <c r="D1721" i="62"/>
  <c r="C1722" i="62"/>
  <c r="D1722" i="62"/>
  <c r="C1723" i="62"/>
  <c r="D1723" i="62"/>
  <c r="C1724" i="62"/>
  <c r="D1724" i="62"/>
  <c r="C1725" i="62"/>
  <c r="D1725" i="62"/>
  <c r="C1726" i="62"/>
  <c r="D1726" i="62"/>
  <c r="C1727" i="62"/>
  <c r="D1727" i="62"/>
  <c r="C1728" i="62"/>
  <c r="D1728" i="62"/>
  <c r="C1729" i="62"/>
  <c r="D1729" i="62"/>
  <c r="C1730" i="62"/>
  <c r="D1730" i="62"/>
  <c r="C1731" i="62"/>
  <c r="D1731" i="62"/>
  <c r="C1732" i="62"/>
  <c r="D1732" i="62"/>
  <c r="C1733" i="62"/>
  <c r="D1733" i="62"/>
  <c r="C1734" i="62"/>
  <c r="D1734" i="62"/>
  <c r="C1735" i="62"/>
  <c r="D1735" i="62"/>
  <c r="C1736" i="62"/>
  <c r="D1736" i="62"/>
  <c r="C1737" i="62"/>
  <c r="D1737" i="62"/>
  <c r="C1738" i="62"/>
  <c r="D1738" i="62"/>
  <c r="C1739" i="62"/>
  <c r="D1739" i="62"/>
  <c r="C1740" i="62"/>
  <c r="D1740" i="62"/>
  <c r="C1741" i="62"/>
  <c r="D1741" i="62"/>
  <c r="C1742" i="62"/>
  <c r="D1742" i="62"/>
  <c r="C1743" i="62"/>
  <c r="D1743" i="62"/>
  <c r="C1744" i="62"/>
  <c r="D1744" i="62"/>
  <c r="C1745" i="62"/>
  <c r="D1745" i="62"/>
  <c r="C1746" i="62"/>
  <c r="D1746" i="62"/>
  <c r="C1747" i="62"/>
  <c r="D1747" i="62"/>
  <c r="C1748" i="62"/>
  <c r="D1748" i="62"/>
  <c r="C1749" i="62"/>
  <c r="D1749" i="62"/>
  <c r="C1750" i="62"/>
  <c r="D1750" i="62"/>
  <c r="C1751" i="62"/>
  <c r="D1751" i="62"/>
  <c r="C1752" i="62"/>
  <c r="D1752" i="62"/>
  <c r="C1753" i="62"/>
  <c r="D1753" i="62"/>
  <c r="C1754" i="62"/>
  <c r="D1754" i="62"/>
  <c r="C1755" i="62"/>
  <c r="D1755" i="62"/>
  <c r="C1756" i="62"/>
  <c r="D1756" i="62"/>
  <c r="C1757" i="62"/>
  <c r="D1757" i="62"/>
  <c r="C1758" i="62"/>
  <c r="D1758" i="62"/>
  <c r="C1759" i="62"/>
  <c r="D1759" i="62"/>
  <c r="C1760" i="62"/>
  <c r="D1760" i="62"/>
  <c r="C1761" i="62"/>
  <c r="D1761" i="62"/>
  <c r="C1762" i="62"/>
  <c r="D1762" i="62"/>
  <c r="C1763" i="62"/>
  <c r="D1763" i="62"/>
  <c r="C1764" i="62"/>
  <c r="D1764" i="62"/>
  <c r="C1765" i="62"/>
  <c r="D1765" i="62"/>
  <c r="C1766" i="62"/>
  <c r="D1766" i="62"/>
  <c r="C1767" i="62"/>
  <c r="D1767" i="62"/>
  <c r="C1768" i="62"/>
  <c r="D1768" i="62"/>
  <c r="C1769" i="62"/>
  <c r="D1769" i="62"/>
  <c r="C1770" i="62"/>
  <c r="D1770" i="62"/>
  <c r="C1771" i="62"/>
  <c r="D1771" i="62"/>
  <c r="C1772" i="62"/>
  <c r="D1772" i="62"/>
  <c r="C1773" i="62"/>
  <c r="D1773" i="62"/>
  <c r="C1774" i="62"/>
  <c r="D1774" i="62"/>
  <c r="C1775" i="62"/>
  <c r="D1775" i="62"/>
  <c r="C1776" i="62"/>
  <c r="D1776" i="62"/>
  <c r="C1777" i="62"/>
  <c r="D1777" i="62"/>
  <c r="C1778" i="62"/>
  <c r="D1778" i="62"/>
  <c r="C1779" i="62"/>
  <c r="D1779" i="62"/>
  <c r="C1780" i="62"/>
  <c r="D1780" i="62"/>
  <c r="C1781" i="62"/>
  <c r="D1781" i="62"/>
  <c r="C1782" i="62"/>
  <c r="D1782" i="62"/>
  <c r="C1783" i="62"/>
  <c r="D1783" i="62"/>
  <c r="C1784" i="62"/>
  <c r="D1784" i="62"/>
  <c r="C1785" i="62"/>
  <c r="D1785" i="62"/>
  <c r="C1786" i="62"/>
  <c r="D1786" i="62"/>
  <c r="C1787" i="62"/>
  <c r="D1787" i="62"/>
  <c r="C1788" i="62"/>
  <c r="D1788" i="62"/>
  <c r="C1789" i="62"/>
  <c r="D1789" i="62"/>
  <c r="C1790" i="62"/>
  <c r="D1790" i="62"/>
  <c r="C1791" i="62"/>
  <c r="D1791" i="62"/>
  <c r="C1792" i="62"/>
  <c r="D1792" i="62"/>
  <c r="C1793" i="62"/>
  <c r="D1793" i="62"/>
  <c r="C1794" i="62"/>
  <c r="D1794" i="62"/>
  <c r="C1795" i="62"/>
  <c r="D1795" i="62"/>
  <c r="C1796" i="62"/>
  <c r="D1796" i="62"/>
  <c r="C1797" i="62"/>
  <c r="D1797" i="62"/>
  <c r="C1798" i="62"/>
  <c r="D1798" i="62"/>
  <c r="C1799" i="62"/>
  <c r="D1799" i="62"/>
  <c r="C1800" i="62"/>
  <c r="D1800" i="62"/>
  <c r="C1801" i="62"/>
  <c r="D1801" i="62"/>
  <c r="C1802" i="62"/>
  <c r="D1802" i="62"/>
  <c r="C1803" i="62"/>
  <c r="D1803" i="62"/>
  <c r="C1804" i="62"/>
  <c r="D1804" i="62"/>
  <c r="C1805" i="62"/>
  <c r="D1805" i="62"/>
  <c r="C1806" i="62"/>
  <c r="D1806" i="62"/>
  <c r="C1807" i="62"/>
  <c r="D1807" i="62"/>
  <c r="C1808" i="62"/>
  <c r="D1808" i="62"/>
  <c r="C1809" i="62"/>
  <c r="D1809" i="62"/>
  <c r="C1810" i="62"/>
  <c r="D1810" i="62"/>
  <c r="C1811" i="62"/>
  <c r="D1811" i="62"/>
  <c r="C1812" i="62"/>
  <c r="D1812" i="62"/>
  <c r="C1813" i="62"/>
  <c r="D1813" i="62"/>
  <c r="C1814" i="62"/>
  <c r="D1814" i="62"/>
  <c r="C1815" i="62"/>
  <c r="D1815" i="62"/>
  <c r="C1816" i="62"/>
  <c r="D1816" i="62"/>
  <c r="C1817" i="62"/>
  <c r="D1817" i="62"/>
  <c r="C1818" i="62"/>
  <c r="D1818" i="62"/>
  <c r="C1819" i="62"/>
  <c r="D1819" i="62"/>
  <c r="C1820" i="62"/>
  <c r="D1820" i="62"/>
  <c r="C1821" i="62"/>
  <c r="D1821" i="62"/>
  <c r="C1822" i="62"/>
  <c r="D1822" i="62"/>
  <c r="C1823" i="62"/>
  <c r="D1823" i="62"/>
  <c r="C1824" i="62"/>
  <c r="D1824" i="62"/>
  <c r="C1825" i="62"/>
  <c r="D1825" i="62"/>
  <c r="C1826" i="62"/>
  <c r="D1826" i="62"/>
  <c r="C1827" i="62"/>
  <c r="D1827" i="62"/>
  <c r="C1828" i="62"/>
  <c r="D1828" i="62"/>
  <c r="C1829" i="62"/>
  <c r="D1829" i="62"/>
  <c r="C1830" i="62"/>
  <c r="D1830" i="62"/>
  <c r="C1831" i="62"/>
  <c r="D1831" i="62"/>
  <c r="C1832" i="62"/>
  <c r="D1832" i="62"/>
  <c r="C1833" i="62"/>
  <c r="D1833" i="62"/>
  <c r="C1834" i="62"/>
  <c r="D1834" i="62"/>
  <c r="C1835" i="62"/>
  <c r="D1835" i="62"/>
  <c r="C1836" i="62"/>
  <c r="D1836" i="62"/>
  <c r="C1837" i="62"/>
  <c r="D1837" i="62"/>
  <c r="C1838" i="62"/>
  <c r="D1838" i="62"/>
  <c r="C1839" i="62"/>
  <c r="D1839" i="62"/>
  <c r="C1840" i="62"/>
  <c r="D1840" i="62"/>
  <c r="C1841" i="62"/>
  <c r="D1841" i="62"/>
  <c r="C1842" i="62"/>
  <c r="D1842" i="62"/>
  <c r="C1843" i="62"/>
  <c r="D1843" i="62"/>
  <c r="C1844" i="62"/>
  <c r="D1844" i="62"/>
  <c r="C1845" i="62"/>
  <c r="D1845" i="62"/>
  <c r="C1846" i="62"/>
  <c r="D1846" i="62"/>
  <c r="C1847" i="62"/>
  <c r="D1847" i="62"/>
  <c r="C1848" i="62"/>
  <c r="D1848" i="62"/>
  <c r="C1849" i="62"/>
  <c r="D1849" i="62"/>
  <c r="C1850" i="62"/>
  <c r="D1850" i="62"/>
  <c r="C1851" i="62"/>
  <c r="D1851" i="62"/>
  <c r="C1852" i="62"/>
  <c r="D1852" i="62"/>
  <c r="C1853" i="62"/>
  <c r="D1853" i="62"/>
  <c r="C1854" i="62"/>
  <c r="D1854" i="62"/>
  <c r="C1855" i="62"/>
  <c r="D1855" i="62"/>
  <c r="C1856" i="62"/>
  <c r="D1856" i="62"/>
  <c r="C1857" i="62"/>
  <c r="D1857" i="62"/>
  <c r="C1858" i="62"/>
  <c r="D1858" i="62"/>
  <c r="C1859" i="62"/>
  <c r="D1859" i="62"/>
  <c r="C1860" i="62"/>
  <c r="D1860" i="62"/>
  <c r="C1861" i="62"/>
  <c r="D1861" i="62"/>
  <c r="C1862" i="62"/>
  <c r="D1862" i="62"/>
  <c r="C1863" i="62"/>
  <c r="D1863" i="62"/>
  <c r="C1864" i="62"/>
  <c r="D1864" i="62"/>
  <c r="C1865" i="62"/>
  <c r="D1865" i="62"/>
  <c r="C1866" i="62"/>
  <c r="D1866" i="62"/>
  <c r="C1867" i="62"/>
  <c r="D1867" i="62"/>
  <c r="C1868" i="62"/>
  <c r="D1868" i="62"/>
  <c r="C1869" i="62"/>
  <c r="D1869" i="62"/>
  <c r="C1870" i="62"/>
  <c r="D1870" i="62"/>
  <c r="C1871" i="62"/>
  <c r="D1871" i="62"/>
  <c r="C1872" i="62"/>
  <c r="D1872" i="62"/>
  <c r="C1873" i="62"/>
  <c r="D1873" i="62"/>
  <c r="C1874" i="62"/>
  <c r="D1874" i="62"/>
  <c r="C1875" i="62"/>
  <c r="D1875" i="62"/>
  <c r="C1876" i="62"/>
  <c r="D1876" i="62"/>
  <c r="C1877" i="62"/>
  <c r="D1877" i="62"/>
  <c r="C1878" i="62"/>
  <c r="D1878" i="62"/>
  <c r="C1879" i="62"/>
  <c r="D1879" i="62"/>
  <c r="C1880" i="62"/>
  <c r="D1880" i="62"/>
  <c r="C1881" i="62"/>
  <c r="D1881" i="62"/>
  <c r="C1882" i="62"/>
  <c r="D1882" i="62"/>
  <c r="C1883" i="62"/>
  <c r="D1883" i="62"/>
  <c r="C1884" i="62"/>
  <c r="D1884" i="62"/>
  <c r="C1885" i="62"/>
  <c r="D1885" i="62"/>
  <c r="C1886" i="62"/>
  <c r="D1886" i="62"/>
  <c r="C1887" i="62"/>
  <c r="D1887" i="62"/>
  <c r="C1888" i="62"/>
  <c r="D1888" i="62"/>
  <c r="C1889" i="62"/>
  <c r="D1889" i="62"/>
  <c r="C1890" i="62"/>
  <c r="D1890" i="62"/>
  <c r="C1891" i="62"/>
  <c r="D1891" i="62"/>
  <c r="C1892" i="62"/>
  <c r="D1892" i="62"/>
  <c r="C1893" i="62"/>
  <c r="D1893" i="62"/>
  <c r="C1894" i="62"/>
  <c r="D1894" i="62"/>
  <c r="C1895" i="62"/>
  <c r="D1895" i="62"/>
  <c r="C1896" i="62"/>
  <c r="D1896" i="62"/>
  <c r="C1897" i="62"/>
  <c r="D1897" i="62"/>
  <c r="C1898" i="62"/>
  <c r="D1898" i="62"/>
  <c r="C1899" i="62"/>
  <c r="D1899" i="62"/>
  <c r="C1900" i="62"/>
  <c r="D1900" i="62"/>
  <c r="C1901" i="62"/>
  <c r="D1901" i="62"/>
  <c r="C1902" i="62"/>
  <c r="D1902" i="62"/>
  <c r="C1903" i="62"/>
  <c r="D1903" i="62"/>
  <c r="C1904" i="62"/>
  <c r="D1904" i="62"/>
  <c r="C1905" i="62"/>
  <c r="D1905" i="62"/>
  <c r="C1906" i="62"/>
  <c r="D1906" i="62"/>
  <c r="C1907" i="62"/>
  <c r="D1907" i="62"/>
  <c r="C1908" i="62"/>
  <c r="D1908" i="62"/>
  <c r="C1909" i="62"/>
  <c r="D1909" i="62"/>
  <c r="C1910" i="62"/>
  <c r="D1910" i="62"/>
  <c r="C1911" i="62"/>
  <c r="D1911" i="62"/>
  <c r="C1912" i="62"/>
  <c r="D1912" i="62"/>
  <c r="C1913" i="62"/>
  <c r="D1913" i="62"/>
  <c r="C1914" i="62"/>
  <c r="D1914" i="62"/>
  <c r="C1915" i="62"/>
  <c r="D1915" i="62"/>
  <c r="C1916" i="62"/>
  <c r="D1916" i="62"/>
  <c r="C1917" i="62"/>
  <c r="D1917" i="62"/>
  <c r="C1918" i="62"/>
  <c r="D1918" i="62"/>
  <c r="C1919" i="62"/>
  <c r="D1919" i="62"/>
  <c r="C1920" i="62"/>
  <c r="D1920" i="62"/>
  <c r="C1921" i="62"/>
  <c r="D1921" i="62"/>
  <c r="C1922" i="62"/>
  <c r="D1922" i="62"/>
  <c r="C1923" i="62"/>
  <c r="D1923" i="62"/>
  <c r="C1924" i="62"/>
  <c r="D1924" i="62"/>
  <c r="C1925" i="62"/>
  <c r="D1925" i="62"/>
  <c r="C1926" i="62"/>
  <c r="D1926" i="62"/>
  <c r="C1927" i="62"/>
  <c r="D1927" i="62"/>
  <c r="C1928" i="62"/>
  <c r="D1928" i="62"/>
  <c r="C1929" i="62"/>
  <c r="D1929" i="62"/>
  <c r="C1930" i="62"/>
  <c r="D1930" i="62"/>
  <c r="C1931" i="62"/>
  <c r="D1931" i="62"/>
  <c r="C1932" i="62"/>
  <c r="D1932" i="62"/>
  <c r="C1933" i="62"/>
  <c r="D1933" i="62"/>
  <c r="C1934" i="62"/>
  <c r="D1934" i="62"/>
  <c r="C1935" i="62"/>
  <c r="D1935" i="62"/>
  <c r="C1936" i="62"/>
  <c r="D1936" i="62"/>
  <c r="C1937" i="62"/>
  <c r="D1937" i="62"/>
  <c r="C1938" i="62"/>
  <c r="D1938" i="62"/>
  <c r="C1939" i="62"/>
  <c r="D1939" i="62"/>
  <c r="C1940" i="62"/>
  <c r="D1940" i="62"/>
  <c r="C1941" i="62"/>
  <c r="D1941" i="62"/>
  <c r="C1942" i="62"/>
  <c r="D1942" i="62"/>
  <c r="C1943" i="62"/>
  <c r="D1943" i="62"/>
  <c r="C1944" i="62"/>
  <c r="D1944" i="62"/>
  <c r="C1945" i="62"/>
  <c r="D1945" i="62"/>
  <c r="C1946" i="62"/>
  <c r="D1946" i="62"/>
  <c r="C1947" i="62"/>
  <c r="D1947" i="62"/>
  <c r="C1948" i="62"/>
  <c r="D1948" i="62"/>
  <c r="C1949" i="62"/>
  <c r="D1949" i="62"/>
  <c r="C1950" i="62"/>
  <c r="D1950" i="62"/>
  <c r="C1951" i="62"/>
  <c r="D1951" i="62"/>
  <c r="C1952" i="62"/>
  <c r="D1952" i="62"/>
  <c r="C1953" i="62"/>
  <c r="D1953" i="62"/>
  <c r="C1954" i="62"/>
  <c r="D1954" i="62"/>
  <c r="C1955" i="62"/>
  <c r="D1955" i="62"/>
  <c r="C1956" i="62"/>
  <c r="D1956" i="62"/>
  <c r="C1957" i="62"/>
  <c r="D1957" i="62"/>
  <c r="C1958" i="62"/>
  <c r="D1958" i="62"/>
  <c r="C1959" i="62"/>
  <c r="D1959" i="62"/>
  <c r="C1960" i="62"/>
  <c r="D1960" i="62"/>
  <c r="C1961" i="62"/>
  <c r="D1961" i="62"/>
  <c r="C1962" i="62"/>
  <c r="D1962" i="62"/>
  <c r="C1963" i="62"/>
  <c r="D1963" i="62"/>
  <c r="C1964" i="62"/>
  <c r="D1964" i="62"/>
  <c r="C1965" i="62"/>
  <c r="D1965" i="62"/>
  <c r="C1966" i="62"/>
  <c r="D1966" i="62"/>
  <c r="C1967" i="62"/>
  <c r="D1967" i="62"/>
  <c r="C1968" i="62"/>
  <c r="D1968" i="62"/>
  <c r="C1969" i="62"/>
  <c r="D1969" i="62"/>
  <c r="C1970" i="62"/>
  <c r="D1970" i="62"/>
  <c r="C1971" i="62"/>
  <c r="D1971" i="62"/>
  <c r="C1972" i="62"/>
  <c r="D1972" i="62"/>
  <c r="C1973" i="62"/>
  <c r="D1973" i="62"/>
  <c r="C1974" i="62"/>
  <c r="D1974" i="62"/>
  <c r="C1975" i="62"/>
  <c r="D1975" i="62"/>
  <c r="C1976" i="62"/>
  <c r="D1976" i="62"/>
  <c r="C1977" i="62"/>
  <c r="D1977" i="62"/>
  <c r="C1978" i="62"/>
  <c r="D1978" i="62"/>
  <c r="C1979" i="62"/>
  <c r="D1979" i="62"/>
  <c r="C1980" i="62"/>
  <c r="D1980" i="62"/>
  <c r="C1981" i="62"/>
  <c r="D1981" i="62"/>
  <c r="C1982" i="62"/>
  <c r="D1982" i="62"/>
  <c r="C1983" i="62"/>
  <c r="D1983" i="62"/>
  <c r="C1984" i="62"/>
  <c r="D1984" i="62"/>
  <c r="C1985" i="62"/>
  <c r="D1985" i="62"/>
  <c r="C1986" i="62"/>
  <c r="D1986" i="62"/>
  <c r="C1987" i="62"/>
  <c r="D1987" i="62"/>
  <c r="C1988" i="62"/>
  <c r="D1988" i="62"/>
  <c r="C1989" i="62"/>
  <c r="D1989" i="62"/>
  <c r="C1990" i="62"/>
  <c r="D1990" i="62"/>
  <c r="C1991" i="62"/>
  <c r="D1991" i="62"/>
  <c r="C1992" i="62"/>
  <c r="D1992" i="62"/>
  <c r="C1993" i="62"/>
  <c r="D1993" i="62"/>
  <c r="C1994" i="62"/>
  <c r="D1994" i="62"/>
  <c r="C1995" i="62"/>
  <c r="D1995" i="62"/>
  <c r="C1996" i="62"/>
  <c r="D1996" i="62"/>
  <c r="C1997" i="62"/>
  <c r="D1997" i="62"/>
  <c r="C1998" i="62"/>
  <c r="D1998" i="62"/>
  <c r="C1999" i="62"/>
  <c r="D1999" i="62"/>
  <c r="C2000" i="62"/>
  <c r="D2000" i="62"/>
  <c r="C2001" i="62"/>
  <c r="D2001" i="62"/>
  <c r="C2002" i="62"/>
  <c r="D2002" i="62"/>
  <c r="C2003" i="62"/>
  <c r="D2003" i="62"/>
  <c r="C2004" i="62"/>
  <c r="D2004" i="62"/>
  <c r="C2005" i="62"/>
  <c r="D2005" i="62"/>
  <c r="C2006" i="62"/>
  <c r="D2006" i="62"/>
  <c r="C2007" i="62"/>
  <c r="D2007" i="62"/>
  <c r="C2008" i="62"/>
  <c r="D2008" i="62"/>
  <c r="C2009" i="62"/>
  <c r="D2009" i="62"/>
  <c r="C2010" i="62"/>
  <c r="D2010" i="62"/>
  <c r="C2011" i="62"/>
  <c r="D2011" i="62"/>
  <c r="C2012" i="62"/>
  <c r="D2012" i="62"/>
  <c r="C2013" i="62"/>
  <c r="D2013" i="62"/>
  <c r="C2014" i="62"/>
  <c r="D2014" i="62"/>
  <c r="C2015" i="62"/>
  <c r="D2015" i="62"/>
  <c r="C2016" i="62"/>
  <c r="D2016" i="62"/>
  <c r="C2017" i="62"/>
  <c r="D2017" i="62"/>
  <c r="C2018" i="62"/>
  <c r="D2018" i="62"/>
  <c r="C2019" i="62"/>
  <c r="D2019" i="62"/>
  <c r="C2020" i="62"/>
  <c r="D2020" i="62"/>
  <c r="C2021" i="62"/>
  <c r="D2021" i="62"/>
  <c r="C2022" i="62"/>
  <c r="D2022" i="62"/>
  <c r="C2023" i="62"/>
  <c r="D2023" i="62"/>
  <c r="C2024" i="62"/>
  <c r="D2024" i="62"/>
  <c r="C2025" i="62"/>
  <c r="D2025" i="62"/>
  <c r="C2026" i="62"/>
  <c r="D2026" i="62"/>
  <c r="C2027" i="62"/>
  <c r="D2027" i="62"/>
  <c r="C2028" i="62"/>
  <c r="D2028" i="62"/>
  <c r="C2029" i="62"/>
  <c r="D2029" i="62"/>
  <c r="C2030" i="62"/>
  <c r="D2030" i="62"/>
  <c r="C2031" i="62"/>
  <c r="D2031" i="62"/>
  <c r="C2032" i="62"/>
  <c r="D2032" i="62"/>
  <c r="C2033" i="62"/>
  <c r="D2033" i="62"/>
  <c r="C2034" i="62"/>
  <c r="D2034" i="62"/>
  <c r="C2035" i="62"/>
  <c r="D2035" i="62"/>
  <c r="C2036" i="62"/>
  <c r="D2036" i="62"/>
  <c r="C2037" i="62"/>
  <c r="D2037" i="62"/>
  <c r="C2038" i="62"/>
  <c r="D2038" i="62"/>
  <c r="C2039" i="62"/>
  <c r="D2039" i="62"/>
  <c r="C2040" i="62"/>
  <c r="D2040" i="62"/>
  <c r="C2041" i="62"/>
  <c r="D2041" i="62"/>
  <c r="C2042" i="62"/>
  <c r="D2042" i="62"/>
  <c r="C2043" i="62"/>
  <c r="D2043" i="62"/>
  <c r="C2044" i="62"/>
  <c r="D2044" i="62"/>
  <c r="C2045" i="62"/>
  <c r="D2045" i="62"/>
  <c r="C2046" i="62"/>
  <c r="D2046" i="62"/>
  <c r="C2047" i="62"/>
  <c r="D2047" i="62"/>
  <c r="C2048" i="62"/>
  <c r="D2048" i="62"/>
  <c r="C2049" i="62"/>
  <c r="D2049" i="62"/>
  <c r="C2050" i="62"/>
  <c r="D2050" i="62"/>
  <c r="C2051" i="62"/>
  <c r="D2051" i="62"/>
  <c r="C2052" i="62"/>
  <c r="D2052" i="62"/>
  <c r="C2053" i="62"/>
  <c r="D2053" i="62"/>
  <c r="C2054" i="62"/>
  <c r="D2054" i="62"/>
  <c r="C2055" i="62"/>
  <c r="D2055" i="62"/>
  <c r="C2056" i="62"/>
  <c r="D2056" i="62"/>
  <c r="C2057" i="62"/>
  <c r="D2057" i="62"/>
  <c r="C2058" i="62"/>
  <c r="D2058" i="62"/>
  <c r="C2059" i="62"/>
  <c r="D2059" i="62"/>
  <c r="C2060" i="62"/>
  <c r="D2060" i="62"/>
  <c r="C2061" i="62"/>
  <c r="D2061" i="62"/>
  <c r="C2062" i="62"/>
  <c r="D2062" i="62"/>
  <c r="C2063" i="62"/>
  <c r="D2063" i="62"/>
  <c r="C2064" i="62"/>
  <c r="D2064" i="62"/>
  <c r="C2065" i="62"/>
  <c r="D2065" i="62"/>
  <c r="C2066" i="62"/>
  <c r="D2066" i="62"/>
  <c r="C2067" i="62"/>
  <c r="D2067" i="62"/>
  <c r="C2068" i="62"/>
  <c r="D2068" i="62"/>
  <c r="C2069" i="62"/>
  <c r="D2069" i="62"/>
  <c r="C2070" i="62"/>
  <c r="D2070" i="62"/>
  <c r="C2071" i="62"/>
  <c r="D2071" i="62"/>
  <c r="C2072" i="62"/>
  <c r="D2072" i="62"/>
  <c r="C2073" i="62"/>
  <c r="D2073" i="62"/>
  <c r="C2074" i="62"/>
  <c r="D2074" i="62"/>
  <c r="C2075" i="62"/>
  <c r="D2075" i="62"/>
  <c r="C2076" i="62"/>
  <c r="D2076" i="62"/>
  <c r="C2077" i="62"/>
  <c r="D2077" i="62"/>
  <c r="C2078" i="62"/>
  <c r="D2078" i="62"/>
  <c r="C2079" i="62"/>
  <c r="D2079" i="62"/>
  <c r="C2080" i="62"/>
  <c r="D2080" i="62"/>
  <c r="C2081" i="62"/>
  <c r="D2081" i="62"/>
  <c r="C2082" i="62"/>
  <c r="D2082" i="62"/>
  <c r="C2083" i="62"/>
  <c r="D2083" i="62"/>
  <c r="C2084" i="62"/>
  <c r="D2084" i="62"/>
  <c r="C2085" i="62"/>
  <c r="D2085" i="62"/>
  <c r="C2086" i="62"/>
  <c r="D2086" i="62"/>
  <c r="C2087" i="62"/>
  <c r="D2087" i="62"/>
  <c r="C2088" i="62"/>
  <c r="D2088" i="62"/>
  <c r="C2089" i="62"/>
  <c r="D2089" i="62"/>
  <c r="C2090" i="62"/>
  <c r="D2090" i="62"/>
  <c r="C2091" i="62"/>
  <c r="D2091" i="62"/>
  <c r="C2092" i="62"/>
  <c r="D2092" i="62"/>
  <c r="C2093" i="62"/>
  <c r="D2093" i="62"/>
  <c r="C2094" i="62"/>
  <c r="D2094" i="62"/>
  <c r="C2095" i="62"/>
  <c r="D2095" i="62"/>
  <c r="C2096" i="62"/>
  <c r="D2096" i="62"/>
  <c r="C2097" i="62"/>
  <c r="D2097" i="62"/>
  <c r="C2098" i="62"/>
  <c r="D2098" i="62"/>
  <c r="C2099" i="62"/>
  <c r="D2099" i="62"/>
  <c r="C2100" i="62"/>
  <c r="D2100" i="62"/>
  <c r="C2101" i="62"/>
  <c r="D2101" i="62"/>
  <c r="C2102" i="62"/>
  <c r="D2102" i="62"/>
  <c r="C2103" i="62"/>
  <c r="D2103" i="62"/>
  <c r="C2104" i="62"/>
  <c r="D2104" i="62"/>
  <c r="C2105" i="62"/>
  <c r="D2105" i="62"/>
  <c r="C2106" i="62"/>
  <c r="D2106" i="62"/>
  <c r="C2107" i="62"/>
  <c r="D2107" i="62"/>
  <c r="C2108" i="62"/>
  <c r="D2108" i="62"/>
  <c r="C2109" i="62"/>
  <c r="D2109" i="62"/>
  <c r="C2110" i="62"/>
  <c r="D2110" i="62"/>
  <c r="C2111" i="62"/>
  <c r="D2111" i="62"/>
  <c r="C2112" i="62"/>
  <c r="D2112" i="62"/>
  <c r="C2113" i="62"/>
  <c r="D2113" i="62"/>
  <c r="C2114" i="62"/>
  <c r="D2114" i="62"/>
  <c r="C2115" i="62"/>
  <c r="D2115" i="62"/>
  <c r="C2116" i="62"/>
  <c r="D2116" i="62"/>
  <c r="C2117" i="62"/>
  <c r="D2117" i="62"/>
  <c r="C2118" i="62"/>
  <c r="D2118" i="62"/>
  <c r="C2119" i="62"/>
  <c r="D2119" i="62"/>
  <c r="C2120" i="62"/>
  <c r="D2120" i="62"/>
  <c r="C2121" i="62"/>
  <c r="D2121" i="62"/>
  <c r="C2122" i="62"/>
  <c r="D2122" i="62"/>
  <c r="C2123" i="62"/>
  <c r="D2123" i="62"/>
  <c r="C2124" i="62"/>
  <c r="D2124" i="62"/>
  <c r="C2125" i="62"/>
  <c r="D2125" i="62"/>
  <c r="C2126" i="62"/>
  <c r="D2126" i="62"/>
  <c r="C2127" i="62"/>
  <c r="D2127" i="62"/>
  <c r="C2128" i="62"/>
  <c r="D2128" i="62"/>
  <c r="C2129" i="62"/>
  <c r="D2129" i="62"/>
  <c r="C2130" i="62"/>
  <c r="D2130" i="62"/>
  <c r="C2131" i="62"/>
  <c r="D2131" i="62"/>
  <c r="C2132" i="62"/>
  <c r="D2132" i="62"/>
  <c r="C2133" i="62"/>
  <c r="D2133" i="62"/>
  <c r="C2134" i="62"/>
  <c r="D2134" i="62"/>
  <c r="C2135" i="62"/>
  <c r="D2135" i="62"/>
  <c r="C2136" i="62"/>
  <c r="D2136" i="62"/>
  <c r="C2137" i="62"/>
  <c r="D2137" i="62"/>
  <c r="C2138" i="62"/>
  <c r="D2138" i="62"/>
  <c r="C2139" i="62"/>
  <c r="D2139" i="62"/>
  <c r="C2140" i="62"/>
  <c r="D2140" i="62"/>
  <c r="C2141" i="62"/>
  <c r="D2141" i="62"/>
  <c r="C2142" i="62"/>
  <c r="D2142" i="62"/>
  <c r="C2143" i="62"/>
  <c r="D2143" i="62"/>
  <c r="C2144" i="62"/>
  <c r="D2144" i="62"/>
  <c r="C2145" i="62"/>
  <c r="D2145" i="62"/>
  <c r="C2146" i="62"/>
  <c r="D2146" i="62"/>
  <c r="C2147" i="62"/>
  <c r="D2147" i="62"/>
  <c r="C2148" i="62"/>
  <c r="D2148" i="62"/>
  <c r="C2149" i="62"/>
  <c r="D2149" i="62"/>
  <c r="C2150" i="62"/>
  <c r="D2150" i="62"/>
  <c r="C2151" i="62"/>
  <c r="D2151" i="62"/>
  <c r="C2152" i="62"/>
  <c r="D2152" i="62"/>
  <c r="C2153" i="62"/>
  <c r="D2153" i="62"/>
  <c r="C2154" i="62"/>
  <c r="D2154" i="62"/>
  <c r="C2155" i="62"/>
  <c r="D2155" i="62"/>
  <c r="C2156" i="62"/>
  <c r="D2156" i="62"/>
  <c r="C2157" i="62"/>
  <c r="D2157" i="62"/>
  <c r="C2158" i="62"/>
  <c r="D2158" i="62"/>
  <c r="C2159" i="62"/>
  <c r="D2159" i="62"/>
  <c r="C2160" i="62"/>
  <c r="D2160" i="62"/>
  <c r="C2161" i="62"/>
  <c r="D2161" i="62"/>
  <c r="C2162" i="62"/>
  <c r="D2162" i="62"/>
  <c r="C2163" i="62"/>
  <c r="D2163" i="62"/>
  <c r="C2164" i="62"/>
  <c r="D2164" i="62"/>
  <c r="C2165" i="62"/>
  <c r="D2165" i="62"/>
  <c r="C2166" i="62"/>
  <c r="D2166" i="62"/>
  <c r="C2167" i="62"/>
  <c r="D2167" i="62"/>
  <c r="C2168" i="62"/>
  <c r="D2168" i="62"/>
  <c r="C2169" i="62"/>
  <c r="D2169" i="62"/>
  <c r="C2170" i="62"/>
  <c r="D2170" i="62"/>
  <c r="C2171" i="62"/>
  <c r="D2171" i="62"/>
  <c r="C2172" i="62"/>
  <c r="D2172" i="62"/>
  <c r="C2173" i="62"/>
  <c r="D2173" i="62"/>
  <c r="C2174" i="62"/>
  <c r="D2174" i="62"/>
  <c r="C2175" i="62"/>
  <c r="D2175" i="62"/>
  <c r="C2176" i="62"/>
  <c r="D2176" i="62"/>
  <c r="C2177" i="62"/>
  <c r="D2177" i="62"/>
  <c r="C2178" i="62"/>
  <c r="D2178" i="62"/>
  <c r="C2179" i="62"/>
  <c r="D2179" i="62"/>
  <c r="C2180" i="62"/>
  <c r="D2180" i="62"/>
  <c r="C2181" i="62"/>
  <c r="D2181" i="62"/>
  <c r="C2182" i="62"/>
  <c r="D2182" i="62"/>
  <c r="C2183" i="62"/>
  <c r="D2183" i="62"/>
  <c r="C2184" i="62"/>
  <c r="D2184" i="62"/>
  <c r="C2185" i="62"/>
  <c r="D2185" i="62"/>
  <c r="C2186" i="62"/>
  <c r="D2186" i="62"/>
  <c r="C2187" i="62"/>
  <c r="D2187" i="62"/>
  <c r="C2188" i="62"/>
  <c r="D2188" i="62"/>
  <c r="C2189" i="62"/>
  <c r="D2189" i="62"/>
  <c r="C2190" i="62"/>
  <c r="D2190" i="62"/>
  <c r="C2191" i="62"/>
  <c r="D2191" i="62"/>
  <c r="C2192" i="62"/>
  <c r="D2192" i="62"/>
  <c r="C2193" i="62"/>
  <c r="D2193" i="62"/>
  <c r="C2194" i="62"/>
  <c r="D2194" i="62"/>
  <c r="C2195" i="62"/>
  <c r="D2195" i="62"/>
  <c r="C2196" i="62"/>
  <c r="D2196" i="62"/>
  <c r="C2197" i="62"/>
  <c r="D2197" i="62"/>
  <c r="C2198" i="62"/>
  <c r="D2198" i="62"/>
  <c r="C2199" i="62"/>
  <c r="D2199" i="62"/>
  <c r="C2200" i="62"/>
  <c r="D2200" i="62"/>
  <c r="C2201" i="62"/>
  <c r="D2201" i="62"/>
  <c r="C2202" i="62"/>
  <c r="D2202" i="62"/>
  <c r="C2203" i="62"/>
  <c r="D2203" i="62"/>
  <c r="C2204" i="62"/>
  <c r="D2204" i="62"/>
  <c r="C2205" i="62"/>
  <c r="D2205" i="62"/>
  <c r="C2206" i="62"/>
  <c r="D2206" i="62"/>
  <c r="C2207" i="62"/>
  <c r="D2207" i="62"/>
  <c r="C2208" i="62"/>
  <c r="D2208" i="62"/>
  <c r="C2209" i="62"/>
  <c r="D2209" i="62"/>
  <c r="C2210" i="62"/>
  <c r="D2210" i="62"/>
  <c r="C2211" i="62"/>
  <c r="D2211" i="62"/>
  <c r="C2212" i="62"/>
  <c r="D2212" i="62"/>
  <c r="C2213" i="62"/>
  <c r="D2213" i="62"/>
  <c r="C2214" i="62"/>
  <c r="D2214" i="62"/>
  <c r="C2215" i="62"/>
  <c r="D2215" i="62"/>
  <c r="C2216" i="62"/>
  <c r="D2216" i="62"/>
  <c r="C2217" i="62"/>
  <c r="D2217" i="62"/>
  <c r="C2218" i="62"/>
  <c r="D2218" i="62"/>
  <c r="C2219" i="62"/>
  <c r="D2219" i="62"/>
  <c r="C2220" i="62"/>
  <c r="D2220" i="62"/>
  <c r="C2221" i="62"/>
  <c r="D2221" i="62"/>
  <c r="C2222" i="62"/>
  <c r="D2222" i="62"/>
  <c r="C2223" i="62"/>
  <c r="D2223" i="62"/>
  <c r="C2224" i="62"/>
  <c r="D2224" i="62"/>
  <c r="C2225" i="62"/>
  <c r="D2225" i="62"/>
  <c r="C2226" i="62"/>
  <c r="D2226" i="62"/>
  <c r="C2227" i="62"/>
  <c r="D2227" i="62"/>
  <c r="C2228" i="62"/>
  <c r="D2228" i="62"/>
  <c r="C2229" i="62"/>
  <c r="D2229" i="62"/>
  <c r="C2230" i="62"/>
  <c r="D2230" i="62"/>
  <c r="C2231" i="62"/>
  <c r="D2231" i="62"/>
  <c r="C2232" i="62"/>
  <c r="D2232" i="62"/>
  <c r="C2233" i="62"/>
  <c r="D2233" i="62"/>
  <c r="C2234" i="62"/>
  <c r="D2234" i="62"/>
  <c r="C2235" i="62"/>
  <c r="D2235" i="62"/>
  <c r="C2236" i="62"/>
  <c r="D2236" i="62"/>
  <c r="C2237" i="62"/>
  <c r="D2237" i="62"/>
  <c r="C2238" i="62"/>
  <c r="D2238" i="62"/>
  <c r="C2239" i="62"/>
  <c r="D2239" i="62"/>
  <c r="C2240" i="62"/>
  <c r="D2240" i="62"/>
  <c r="C2241" i="62"/>
  <c r="D2241" i="62"/>
  <c r="C2242" i="62"/>
  <c r="D2242" i="62"/>
  <c r="C2243" i="62"/>
  <c r="D2243" i="62"/>
  <c r="C2244" i="62"/>
  <c r="D2244" i="62"/>
  <c r="C2245" i="62"/>
  <c r="D2245" i="62"/>
  <c r="C2246" i="62"/>
  <c r="D2246" i="62"/>
  <c r="C2247" i="62"/>
  <c r="D2247" i="62"/>
  <c r="C2248" i="62"/>
  <c r="D2248" i="62"/>
  <c r="C2249" i="62"/>
  <c r="D2249" i="62"/>
  <c r="C2250" i="62"/>
  <c r="D2250" i="62"/>
  <c r="C2251" i="62"/>
  <c r="D2251" i="62"/>
  <c r="C2252" i="62"/>
  <c r="D2252" i="62"/>
  <c r="C2253" i="62"/>
  <c r="D2253" i="62"/>
  <c r="C2254" i="62"/>
  <c r="D2254" i="62"/>
  <c r="C2255" i="62"/>
  <c r="D2255" i="62"/>
  <c r="C2256" i="62"/>
  <c r="D2256" i="62"/>
  <c r="C2257" i="62"/>
  <c r="D2257" i="62"/>
  <c r="C2258" i="62"/>
  <c r="D2258" i="62"/>
  <c r="C2259" i="62"/>
  <c r="D2259" i="62"/>
  <c r="C2260" i="62"/>
  <c r="D2260" i="62"/>
  <c r="C2261" i="62"/>
  <c r="D2261" i="62"/>
  <c r="C2262" i="62"/>
  <c r="D2262" i="62"/>
  <c r="C2263" i="62"/>
  <c r="D2263" i="62"/>
  <c r="C2264" i="62"/>
  <c r="D2264" i="62"/>
  <c r="C2265" i="62"/>
  <c r="D2265" i="62"/>
  <c r="C2266" i="62"/>
  <c r="D2266" i="62"/>
  <c r="C2267" i="62"/>
  <c r="D2267" i="62"/>
  <c r="C2268" i="62"/>
  <c r="D2268" i="62"/>
  <c r="C2269" i="62"/>
  <c r="D2269" i="62"/>
  <c r="C2270" i="62"/>
  <c r="D2270" i="62"/>
  <c r="C2271" i="62"/>
  <c r="D2271" i="62"/>
  <c r="C2272" i="62"/>
  <c r="D2272" i="62"/>
  <c r="C2273" i="62"/>
  <c r="D2273" i="62"/>
  <c r="C2274" i="62"/>
  <c r="D2274" i="62"/>
  <c r="C2275" i="62"/>
  <c r="D2275" i="62"/>
  <c r="C2276" i="62"/>
  <c r="D2276" i="62"/>
  <c r="C2277" i="62"/>
  <c r="D2277" i="62"/>
  <c r="C2278" i="62"/>
  <c r="D2278" i="62"/>
  <c r="C2279" i="62"/>
  <c r="D2279" i="62"/>
  <c r="C2280" i="62"/>
  <c r="D2280" i="62"/>
  <c r="C2281" i="62"/>
  <c r="D2281" i="62"/>
  <c r="C2282" i="62"/>
  <c r="D2282" i="62"/>
  <c r="C2283" i="62"/>
  <c r="D2283" i="62"/>
  <c r="C2284" i="62"/>
  <c r="D2284" i="62"/>
  <c r="C2285" i="62"/>
  <c r="D2285" i="62"/>
  <c r="C2286" i="62"/>
  <c r="D2286" i="62"/>
  <c r="C2287" i="62"/>
  <c r="D2287" i="62"/>
  <c r="C2288" i="62"/>
  <c r="D2288" i="62"/>
  <c r="C2289" i="62"/>
  <c r="D2289" i="62"/>
  <c r="C2290" i="62"/>
  <c r="D2290" i="62"/>
  <c r="C2291" i="62"/>
  <c r="D2291" i="62"/>
  <c r="C2292" i="62"/>
  <c r="D2292" i="62"/>
  <c r="C2293" i="62"/>
  <c r="D2293" i="62"/>
  <c r="C2294" i="62"/>
  <c r="D2294" i="62"/>
  <c r="C2295" i="62"/>
  <c r="D2295" i="62"/>
  <c r="C2296" i="62"/>
  <c r="D2296" i="62"/>
  <c r="C2297" i="62"/>
  <c r="D2297" i="62"/>
  <c r="C2298" i="62"/>
  <c r="D2298" i="62"/>
  <c r="C2299" i="62"/>
  <c r="D2299" i="62"/>
  <c r="C2300" i="62"/>
  <c r="D2300" i="62"/>
  <c r="C2301" i="62"/>
  <c r="D2301" i="62"/>
  <c r="C2302" i="62"/>
  <c r="D2302" i="62"/>
  <c r="C2303" i="62"/>
  <c r="D2303" i="62"/>
  <c r="C2304" i="62"/>
  <c r="D2304" i="62"/>
  <c r="C2305" i="62"/>
  <c r="D2305" i="62"/>
  <c r="C2306" i="62"/>
  <c r="D2306" i="62"/>
  <c r="C2307" i="62"/>
  <c r="D2307" i="62"/>
  <c r="C2308" i="62"/>
  <c r="D2308" i="62"/>
  <c r="C2309" i="62"/>
  <c r="D2309" i="62"/>
  <c r="C2310" i="62"/>
  <c r="D2310" i="62"/>
  <c r="C2311" i="62"/>
  <c r="D2311" i="62"/>
  <c r="C2312" i="62"/>
  <c r="D2312" i="62"/>
  <c r="C2313" i="62"/>
  <c r="D2313" i="62"/>
  <c r="C2314" i="62"/>
  <c r="D2314" i="62"/>
  <c r="C2315" i="62"/>
  <c r="D2315" i="62"/>
  <c r="C2316" i="62"/>
  <c r="D2316" i="62"/>
  <c r="C2317" i="62"/>
  <c r="D2317" i="62"/>
  <c r="C2318" i="62"/>
  <c r="D2318" i="62"/>
  <c r="C2319" i="62"/>
  <c r="D2319" i="62"/>
  <c r="C2320" i="62"/>
  <c r="D2320" i="62"/>
  <c r="C2321" i="62"/>
  <c r="D2321" i="62"/>
  <c r="C2322" i="62"/>
  <c r="D2322" i="62"/>
  <c r="C2323" i="62"/>
  <c r="D2323" i="62"/>
  <c r="C2324" i="62"/>
  <c r="D2324" i="62"/>
  <c r="C2325" i="62"/>
  <c r="D2325" i="62"/>
  <c r="C2326" i="62"/>
  <c r="D2326" i="62"/>
  <c r="C2327" i="62"/>
  <c r="D2327" i="62"/>
  <c r="C2328" i="62"/>
  <c r="D2328" i="62"/>
  <c r="C2329" i="62"/>
  <c r="D2329" i="62"/>
  <c r="C2330" i="62"/>
  <c r="D2330" i="62"/>
  <c r="C2331" i="62"/>
  <c r="D2331" i="62"/>
  <c r="C2332" i="62"/>
  <c r="D2332" i="62"/>
  <c r="C2333" i="62"/>
  <c r="D2333" i="62"/>
  <c r="C2334" i="62"/>
  <c r="D2334" i="62"/>
  <c r="C2335" i="62"/>
  <c r="D2335" i="62"/>
  <c r="C2336" i="62"/>
  <c r="D2336" i="62"/>
  <c r="C2337" i="62"/>
  <c r="D2337" i="62"/>
  <c r="C2338" i="62"/>
  <c r="D2338" i="62"/>
  <c r="C2339" i="62"/>
  <c r="D2339" i="62"/>
  <c r="C2340" i="62"/>
  <c r="D2340" i="62"/>
  <c r="C2341" i="62"/>
  <c r="D2341" i="62"/>
  <c r="C2342" i="62"/>
  <c r="D2342" i="62"/>
  <c r="C2343" i="62"/>
  <c r="D2343" i="62"/>
  <c r="C2344" i="62"/>
  <c r="D2344" i="62"/>
  <c r="C2345" i="62"/>
  <c r="D2345" i="62"/>
  <c r="C2346" i="62"/>
  <c r="D2346" i="62"/>
  <c r="C2347" i="62"/>
  <c r="D2347" i="62"/>
  <c r="C2348" i="62"/>
  <c r="D2348" i="62"/>
  <c r="C2349" i="62"/>
  <c r="D2349" i="62"/>
  <c r="C2350" i="62"/>
  <c r="D2350" i="62"/>
  <c r="C2351" i="62"/>
  <c r="D2351" i="62"/>
  <c r="C2352" i="62"/>
  <c r="D2352" i="62"/>
  <c r="C2353" i="62"/>
  <c r="D2353" i="62"/>
  <c r="C2354" i="62"/>
  <c r="D2354" i="62"/>
  <c r="C2355" i="62"/>
  <c r="D2355" i="62"/>
  <c r="C2356" i="62"/>
  <c r="D2356" i="62"/>
  <c r="C2357" i="62"/>
  <c r="D2357" i="62"/>
  <c r="C2358" i="62"/>
  <c r="D2358" i="62"/>
  <c r="C2359" i="62"/>
  <c r="D2359" i="62"/>
  <c r="C2360" i="62"/>
  <c r="D2360" i="62"/>
  <c r="C2361" i="62"/>
  <c r="D2361" i="62"/>
  <c r="C2362" i="62"/>
  <c r="D2362" i="62"/>
  <c r="C2363" i="62"/>
  <c r="D2363" i="62"/>
  <c r="C2364" i="62"/>
  <c r="D2364" i="62"/>
  <c r="C2365" i="62"/>
  <c r="D2365" i="62"/>
  <c r="C2366" i="62"/>
  <c r="D2366" i="62"/>
  <c r="C2367" i="62"/>
  <c r="D2367" i="62"/>
  <c r="C2368" i="62"/>
  <c r="D2368" i="62"/>
  <c r="C2369" i="62"/>
  <c r="D2369" i="62"/>
  <c r="C2370" i="62"/>
  <c r="D2370" i="62"/>
  <c r="C2371" i="62"/>
  <c r="D2371" i="62"/>
  <c r="C2372" i="62"/>
  <c r="D2372" i="62"/>
  <c r="C2373" i="62"/>
  <c r="D2373" i="62"/>
  <c r="C2374" i="62"/>
  <c r="D2374" i="62"/>
  <c r="C2375" i="62"/>
  <c r="D2375" i="62"/>
  <c r="C2376" i="62"/>
  <c r="D2376" i="62"/>
  <c r="C2377" i="62"/>
  <c r="D2377" i="62"/>
  <c r="C2378" i="62"/>
  <c r="D2378" i="62"/>
  <c r="C2379" i="62"/>
  <c r="D2379" i="62"/>
  <c r="C2380" i="62"/>
  <c r="D2380" i="62"/>
  <c r="C2381" i="62"/>
  <c r="D2381" i="62"/>
  <c r="C2382" i="62"/>
  <c r="D2382" i="62"/>
  <c r="C2383" i="62"/>
  <c r="D2383" i="62"/>
  <c r="C2384" i="62"/>
  <c r="D2384" i="62"/>
  <c r="C2385" i="62"/>
  <c r="D2385" i="62"/>
  <c r="C2386" i="62"/>
  <c r="D2386" i="62"/>
  <c r="C2387" i="62"/>
  <c r="D2387" i="62"/>
  <c r="C2388" i="62"/>
  <c r="D2388" i="62"/>
  <c r="C2389" i="62"/>
  <c r="D2389" i="62"/>
  <c r="C2390" i="62"/>
  <c r="D2390" i="62"/>
  <c r="C2391" i="62"/>
  <c r="D2391" i="62"/>
  <c r="C2392" i="62"/>
  <c r="D2392" i="62"/>
  <c r="C2393" i="62"/>
  <c r="D2393" i="62"/>
  <c r="C2394" i="62"/>
  <c r="D2394" i="62"/>
  <c r="C2395" i="62"/>
  <c r="D2395" i="62"/>
  <c r="C2396" i="62"/>
  <c r="D2396" i="62"/>
  <c r="C2397" i="62"/>
  <c r="D2397" i="62"/>
  <c r="C2398" i="62"/>
  <c r="D2398" i="62"/>
  <c r="C2399" i="62"/>
  <c r="D2399" i="62"/>
  <c r="C2400" i="62"/>
  <c r="D2400" i="62"/>
  <c r="C2401" i="62"/>
  <c r="D2401" i="62"/>
  <c r="C2402" i="62"/>
  <c r="D2402" i="62"/>
  <c r="C2403" i="62"/>
  <c r="D2403" i="62"/>
  <c r="C2404" i="62"/>
  <c r="D2404" i="62"/>
  <c r="C2405" i="62"/>
  <c r="D2405" i="62"/>
  <c r="C2406" i="62"/>
  <c r="D2406" i="62"/>
  <c r="C2407" i="62"/>
  <c r="D2407" i="62"/>
  <c r="C2408" i="62"/>
  <c r="D2408" i="62"/>
  <c r="C2409" i="62"/>
  <c r="D2409" i="62"/>
  <c r="C2410" i="62"/>
  <c r="D2410" i="62"/>
  <c r="C2411" i="62"/>
  <c r="D2411" i="62"/>
  <c r="C2412" i="62"/>
  <c r="D2412" i="62"/>
  <c r="C2413" i="62"/>
  <c r="D2413" i="62"/>
  <c r="C2414" i="62"/>
  <c r="D2414" i="62"/>
  <c r="C2415" i="62"/>
  <c r="D2415" i="62"/>
  <c r="C2416" i="62"/>
  <c r="D2416" i="62"/>
  <c r="C2417" i="62"/>
  <c r="D2417" i="62"/>
  <c r="C2418" i="62"/>
  <c r="D2418" i="62"/>
  <c r="C2419" i="62"/>
  <c r="D2419" i="62"/>
  <c r="C2420" i="62"/>
  <c r="D2420" i="62"/>
  <c r="C2421" i="62"/>
  <c r="D2421" i="62"/>
  <c r="C2422" i="62"/>
  <c r="D2422" i="62"/>
  <c r="C2423" i="62"/>
  <c r="D2423" i="62"/>
  <c r="C2424" i="62"/>
  <c r="D2424" i="62"/>
  <c r="C2425" i="62"/>
  <c r="D2425" i="62"/>
  <c r="C2426" i="62"/>
  <c r="D2426" i="62"/>
  <c r="C2427" i="62"/>
  <c r="D2427" i="62"/>
  <c r="C2428" i="62"/>
  <c r="D2428" i="62"/>
  <c r="C2429" i="62"/>
  <c r="D2429" i="62"/>
  <c r="C2430" i="62"/>
  <c r="D2430" i="62"/>
  <c r="C2431" i="62"/>
  <c r="D2431" i="62"/>
  <c r="C2432" i="62"/>
  <c r="D2432" i="62"/>
  <c r="C2433" i="62"/>
  <c r="D2433" i="62"/>
  <c r="C2434" i="62"/>
  <c r="D2434" i="62"/>
  <c r="C2435" i="62"/>
  <c r="D2435" i="62"/>
  <c r="C2436" i="62"/>
  <c r="D2436" i="62"/>
  <c r="C2437" i="62"/>
  <c r="D2437" i="62"/>
  <c r="C2438" i="62"/>
  <c r="D2438" i="62"/>
  <c r="C2439" i="62"/>
  <c r="D2439" i="62"/>
  <c r="C2440" i="62"/>
  <c r="D2440" i="62"/>
  <c r="C2441" i="62"/>
  <c r="D2441" i="62"/>
  <c r="C2442" i="62"/>
  <c r="D2442" i="62"/>
  <c r="C2443" i="62"/>
  <c r="D2443" i="62"/>
  <c r="C2444" i="62"/>
  <c r="D2444" i="62"/>
  <c r="C2445" i="62"/>
  <c r="D2445" i="62"/>
  <c r="C2446" i="62"/>
  <c r="D2446" i="62"/>
  <c r="C2447" i="62"/>
  <c r="D2447" i="62"/>
  <c r="C2448" i="62"/>
  <c r="D2448" i="62"/>
  <c r="C2449" i="62"/>
  <c r="D2449" i="62"/>
  <c r="C2450" i="62"/>
  <c r="D2450" i="62"/>
  <c r="C2451" i="62"/>
  <c r="D2451" i="62"/>
  <c r="C2452" i="62"/>
  <c r="D2452" i="62"/>
  <c r="C2453" i="62"/>
  <c r="D2453" i="62"/>
  <c r="C2454" i="62"/>
  <c r="D2454" i="62"/>
  <c r="C2455" i="62"/>
  <c r="D2455" i="62"/>
  <c r="C2456" i="62"/>
  <c r="D2456" i="62"/>
  <c r="C2457" i="62"/>
  <c r="D2457" i="62"/>
  <c r="C2458" i="62"/>
  <c r="D2458" i="62"/>
  <c r="C2459" i="62"/>
  <c r="D2459" i="62"/>
  <c r="C2460" i="62"/>
  <c r="D2460" i="62"/>
  <c r="C2461" i="62"/>
  <c r="D2461" i="62"/>
  <c r="C2462" i="62"/>
  <c r="D2462" i="62"/>
  <c r="C2463" i="62"/>
  <c r="D2463" i="62"/>
  <c r="C2464" i="62"/>
  <c r="D2464" i="62"/>
  <c r="C2465" i="62"/>
  <c r="D2465" i="62"/>
  <c r="C2466" i="62"/>
  <c r="D2466" i="62"/>
  <c r="C2467" i="62"/>
  <c r="D2467" i="62"/>
  <c r="C2468" i="62"/>
  <c r="D2468" i="62"/>
  <c r="C2469" i="62"/>
  <c r="D2469" i="62"/>
  <c r="C2470" i="62"/>
  <c r="D2470" i="62"/>
  <c r="C2471" i="62"/>
  <c r="D2471" i="62"/>
  <c r="C2472" i="62"/>
  <c r="D2472" i="62"/>
  <c r="C2473" i="62"/>
  <c r="D2473" i="62"/>
  <c r="C2474" i="62"/>
  <c r="D2474" i="62"/>
  <c r="C2475" i="62"/>
  <c r="D2475" i="62"/>
  <c r="C2476" i="62"/>
  <c r="D2476" i="62"/>
  <c r="C2477" i="62"/>
  <c r="D2477" i="62"/>
  <c r="C2478" i="62"/>
  <c r="D2478" i="62"/>
  <c r="C2479" i="62"/>
  <c r="D2479" i="62"/>
  <c r="C2480" i="62"/>
  <c r="D2480" i="62"/>
  <c r="C2481" i="62"/>
  <c r="D2481" i="62"/>
  <c r="C2482" i="62"/>
  <c r="D2482" i="62"/>
  <c r="C2483" i="62"/>
  <c r="D2483" i="62"/>
  <c r="C2484" i="62"/>
  <c r="D2484" i="62"/>
  <c r="C2485" i="62"/>
  <c r="D2485" i="62"/>
  <c r="C2486" i="62"/>
  <c r="D2486" i="62"/>
  <c r="C2487" i="62"/>
  <c r="D2487" i="62"/>
  <c r="C2488" i="62"/>
  <c r="D2488" i="62"/>
  <c r="C2489" i="62"/>
  <c r="D2489" i="62"/>
  <c r="C2490" i="62"/>
  <c r="D2490" i="62"/>
  <c r="C2491" i="62"/>
  <c r="D2491" i="62"/>
  <c r="C2492" i="62"/>
  <c r="D2492" i="62"/>
  <c r="C2493" i="62"/>
  <c r="D2493" i="62"/>
  <c r="C2494" i="62"/>
  <c r="D2494" i="62"/>
  <c r="C2495" i="62"/>
  <c r="D2495" i="62"/>
  <c r="C2496" i="62"/>
  <c r="D2496" i="62"/>
  <c r="C2497" i="62"/>
  <c r="D2497" i="62"/>
  <c r="C2498" i="62"/>
  <c r="D2498" i="62"/>
  <c r="C2499" i="62"/>
  <c r="D2499" i="62"/>
  <c r="C2500" i="62"/>
  <c r="D2500" i="62"/>
  <c r="C2501" i="62"/>
  <c r="D2501" i="62"/>
  <c r="C2502" i="62"/>
  <c r="D2502" i="62"/>
  <c r="C2503" i="62"/>
  <c r="D2503" i="62"/>
  <c r="C2504" i="62"/>
  <c r="D2504" i="62"/>
  <c r="C2505" i="62"/>
  <c r="D2505" i="62"/>
  <c r="C2506" i="62"/>
  <c r="D2506" i="62"/>
  <c r="C2507" i="62"/>
  <c r="D2507" i="62"/>
  <c r="C2508" i="62"/>
  <c r="D2508" i="62"/>
  <c r="C2509" i="62"/>
  <c r="D2509" i="62"/>
  <c r="C2510" i="62"/>
  <c r="D2510" i="62"/>
  <c r="C2511" i="62"/>
  <c r="D2511" i="62"/>
  <c r="C2512" i="62"/>
  <c r="D2512" i="62"/>
  <c r="C2513" i="62"/>
  <c r="D2513" i="62"/>
  <c r="C2514" i="62"/>
  <c r="D2514" i="62"/>
  <c r="C2515" i="62"/>
  <c r="D2515" i="62"/>
  <c r="C2516" i="62"/>
  <c r="D2516" i="62"/>
  <c r="C2517" i="62"/>
  <c r="D2517" i="62"/>
  <c r="C2518" i="62"/>
  <c r="D2518" i="62"/>
  <c r="C2519" i="62"/>
  <c r="D2519" i="62"/>
  <c r="C2520" i="62"/>
  <c r="D2520" i="62"/>
  <c r="C2521" i="62"/>
  <c r="D2521" i="62"/>
  <c r="C2522" i="62"/>
  <c r="D2522" i="62"/>
  <c r="C2523" i="62"/>
  <c r="D2523" i="62"/>
  <c r="C2524" i="62"/>
  <c r="D2524" i="62"/>
  <c r="C2525" i="62"/>
  <c r="D2525" i="62"/>
  <c r="C2526" i="62"/>
  <c r="D2526" i="62"/>
  <c r="C2527" i="62"/>
  <c r="D2527" i="62"/>
  <c r="C2528" i="62"/>
  <c r="D2528" i="62"/>
  <c r="C2529" i="62"/>
  <c r="D2529" i="62"/>
  <c r="C2530" i="62"/>
  <c r="D2530" i="62"/>
  <c r="C2531" i="62"/>
  <c r="D2531" i="62"/>
  <c r="C2532" i="62"/>
  <c r="D2532" i="62"/>
  <c r="C2533" i="62"/>
  <c r="D2533" i="62"/>
  <c r="C2534" i="62"/>
  <c r="D2534" i="62"/>
  <c r="C2535" i="62"/>
  <c r="D2535" i="62"/>
  <c r="C2536" i="62"/>
  <c r="D2536" i="62"/>
  <c r="C2537" i="62"/>
  <c r="D2537" i="62"/>
  <c r="C2538" i="62"/>
  <c r="D2538" i="62"/>
  <c r="C2539" i="62"/>
  <c r="D2539" i="62"/>
  <c r="C2540" i="62"/>
  <c r="D2540" i="62"/>
  <c r="C2541" i="62"/>
  <c r="D2541" i="62"/>
  <c r="C2542" i="62"/>
  <c r="D2542" i="62"/>
  <c r="C2543" i="62"/>
  <c r="D2543" i="62"/>
  <c r="C2544" i="62"/>
  <c r="D2544" i="62"/>
  <c r="C2545" i="62"/>
  <c r="D2545" i="62"/>
  <c r="C2546" i="62"/>
  <c r="D2546" i="62"/>
  <c r="C2547" i="62"/>
  <c r="D2547" i="62"/>
  <c r="C2548" i="62"/>
  <c r="D2548" i="62"/>
  <c r="C2549" i="62"/>
  <c r="D2549" i="62"/>
  <c r="C2550" i="62"/>
  <c r="D2550" i="62"/>
  <c r="C2551" i="62"/>
  <c r="D2551" i="62"/>
  <c r="C2552" i="62"/>
  <c r="D2552" i="62"/>
  <c r="C2553" i="62"/>
  <c r="D2553" i="62"/>
  <c r="C2554" i="62"/>
  <c r="D2554" i="62"/>
  <c r="C2555" i="62"/>
  <c r="D2555" i="62"/>
  <c r="C2556" i="62"/>
  <c r="D2556" i="62"/>
  <c r="C2557" i="62"/>
  <c r="D2557" i="62"/>
  <c r="C2558" i="62"/>
  <c r="D2558" i="62"/>
  <c r="C2559" i="62"/>
  <c r="D2559" i="62"/>
  <c r="C2560" i="62"/>
  <c r="D2560" i="62"/>
  <c r="C2561" i="62"/>
  <c r="D2561" i="62"/>
  <c r="C2562" i="62"/>
  <c r="D2562" i="62"/>
  <c r="C2563" i="62"/>
  <c r="D2563" i="62"/>
  <c r="C2564" i="62"/>
  <c r="D2564" i="62"/>
  <c r="C2565" i="62"/>
  <c r="D2565" i="62"/>
  <c r="C2566" i="62"/>
  <c r="D2566" i="62"/>
  <c r="C2567" i="62"/>
  <c r="D2567" i="62"/>
  <c r="C2568" i="62"/>
  <c r="D2568" i="62"/>
  <c r="C2569" i="62"/>
  <c r="D2569" i="62"/>
  <c r="C2570" i="62"/>
  <c r="D2570" i="62"/>
  <c r="C2571" i="62"/>
  <c r="D2571" i="62"/>
  <c r="C2572" i="62"/>
  <c r="D2572" i="62"/>
  <c r="C2573" i="62"/>
  <c r="D2573" i="62"/>
  <c r="C2574" i="62"/>
  <c r="D2574" i="62"/>
  <c r="C2575" i="62"/>
  <c r="D2575" i="62"/>
  <c r="C2576" i="62"/>
  <c r="D2576" i="62"/>
  <c r="C2577" i="62"/>
  <c r="D2577" i="62"/>
  <c r="C2578" i="62"/>
  <c r="D2578" i="62"/>
  <c r="C2579" i="62"/>
  <c r="D2579" i="62"/>
  <c r="C2580" i="62"/>
  <c r="D2580" i="62"/>
  <c r="C2581" i="62"/>
  <c r="D2581" i="62"/>
  <c r="C2582" i="62"/>
  <c r="D2582" i="62"/>
  <c r="C2583" i="62"/>
  <c r="D2583" i="62"/>
  <c r="C2584" i="62"/>
  <c r="D2584" i="62"/>
  <c r="C2585" i="62"/>
  <c r="D2585" i="62"/>
  <c r="C2586" i="62"/>
  <c r="D2586" i="62"/>
  <c r="C2587" i="62"/>
  <c r="D2587" i="62"/>
  <c r="C2588" i="62"/>
  <c r="D2588" i="62"/>
  <c r="C2589" i="62"/>
  <c r="D2589" i="62"/>
  <c r="C2590" i="62"/>
  <c r="D2590" i="62"/>
  <c r="C2591" i="62"/>
  <c r="D2591" i="62"/>
  <c r="C2592" i="62"/>
  <c r="D2592" i="62"/>
  <c r="C2593" i="62"/>
  <c r="D2593" i="62"/>
  <c r="C2594" i="62"/>
  <c r="D2594" i="62"/>
  <c r="C2595" i="62"/>
  <c r="D2595" i="62"/>
  <c r="C2596" i="62"/>
  <c r="D2596" i="62"/>
  <c r="C2597" i="62"/>
  <c r="D2597" i="62"/>
  <c r="C2598" i="62"/>
  <c r="D2598" i="62"/>
  <c r="C2599" i="62"/>
  <c r="D2599" i="62"/>
  <c r="C2600" i="62"/>
  <c r="D2600" i="62"/>
  <c r="C2601" i="62"/>
  <c r="D2601" i="62"/>
  <c r="C2602" i="62"/>
  <c r="D2602" i="62"/>
  <c r="C2603" i="62"/>
  <c r="D2603" i="62"/>
  <c r="C2604" i="62"/>
  <c r="D2604" i="62"/>
  <c r="C2605" i="62"/>
  <c r="D2605" i="62"/>
  <c r="C2606" i="62"/>
  <c r="D2606" i="62"/>
  <c r="C2607" i="62"/>
  <c r="D2607" i="62"/>
  <c r="C2608" i="62"/>
  <c r="D2608" i="62"/>
  <c r="C2609" i="62"/>
  <c r="D2609" i="62"/>
  <c r="C2610" i="62"/>
  <c r="D2610" i="62"/>
  <c r="C2611" i="62"/>
  <c r="D2611" i="62"/>
  <c r="C2612" i="62"/>
  <c r="D2612" i="62"/>
  <c r="C2613" i="62"/>
  <c r="D2613" i="62"/>
  <c r="C2614" i="62"/>
  <c r="D2614" i="62"/>
  <c r="C2615" i="62"/>
  <c r="D2615" i="62"/>
  <c r="C2616" i="62"/>
  <c r="D2616" i="62"/>
  <c r="C2617" i="62"/>
  <c r="D2617" i="62"/>
  <c r="C2618" i="62"/>
  <c r="D2618" i="62"/>
  <c r="C2619" i="62"/>
  <c r="D2619" i="62"/>
  <c r="C2620" i="62"/>
  <c r="D2620" i="62"/>
  <c r="C2621" i="62"/>
  <c r="D2621" i="62"/>
  <c r="C2622" i="62"/>
  <c r="D2622" i="62"/>
  <c r="C2623" i="62"/>
  <c r="D2623" i="62"/>
  <c r="C2624" i="62"/>
  <c r="D2624" i="62"/>
  <c r="C2625" i="62"/>
  <c r="D2625" i="62"/>
  <c r="C2626" i="62"/>
  <c r="D2626" i="62"/>
  <c r="C2627" i="62"/>
  <c r="D2627" i="62"/>
  <c r="C2628" i="62"/>
  <c r="D2628" i="62"/>
  <c r="C2629" i="62"/>
  <c r="D2629" i="62"/>
  <c r="C2630" i="62"/>
  <c r="D2630" i="62"/>
  <c r="C2631" i="62"/>
  <c r="D2631" i="62"/>
  <c r="C2632" i="62"/>
  <c r="D2632" i="62"/>
  <c r="C2633" i="62"/>
  <c r="D2633" i="62"/>
  <c r="C2634" i="62"/>
  <c r="D2634" i="62"/>
  <c r="C2635" i="62"/>
  <c r="D2635" i="62"/>
  <c r="C2636" i="62"/>
  <c r="D2636" i="62"/>
  <c r="C2637" i="62"/>
  <c r="D2637" i="62"/>
  <c r="C2638" i="62"/>
  <c r="D2638" i="62"/>
  <c r="C2639" i="62"/>
  <c r="D2639" i="62"/>
  <c r="C2640" i="62"/>
  <c r="D2640" i="62"/>
  <c r="C2641" i="62"/>
  <c r="D2641" i="62"/>
  <c r="C2642" i="62"/>
  <c r="D2642" i="62"/>
  <c r="C2643" i="62"/>
  <c r="D2643" i="62"/>
  <c r="C2644" i="62"/>
  <c r="D2644" i="62"/>
  <c r="C2645" i="62"/>
  <c r="D2645" i="62"/>
  <c r="C2646" i="62"/>
  <c r="D2646" i="62"/>
  <c r="C2647" i="62"/>
  <c r="D2647" i="62"/>
  <c r="C2648" i="62"/>
  <c r="D2648" i="62"/>
  <c r="C2649" i="62"/>
  <c r="D2649" i="62"/>
  <c r="C2650" i="62"/>
  <c r="D2650" i="62"/>
  <c r="C2651" i="62"/>
  <c r="D2651" i="62"/>
  <c r="C2652" i="62"/>
  <c r="D2652" i="62"/>
  <c r="C2653" i="62"/>
  <c r="D2653" i="62"/>
  <c r="C2654" i="62"/>
  <c r="D2654" i="62"/>
  <c r="C2655" i="62"/>
  <c r="D2655" i="62"/>
  <c r="C2656" i="62"/>
  <c r="D2656" i="62"/>
  <c r="C2657" i="62"/>
  <c r="D2657" i="62"/>
  <c r="C2658" i="62"/>
  <c r="D2658" i="62"/>
  <c r="C2659" i="62"/>
  <c r="D2659" i="62"/>
  <c r="C2660" i="62"/>
  <c r="D2660" i="62"/>
  <c r="C2661" i="62"/>
  <c r="D2661" i="62"/>
  <c r="C2662" i="62"/>
  <c r="D2662" i="62"/>
  <c r="C2663" i="62"/>
  <c r="D2663" i="62"/>
  <c r="C2664" i="62"/>
  <c r="D2664" i="62"/>
  <c r="C2665" i="62"/>
  <c r="D2665" i="62"/>
  <c r="C2666" i="62"/>
  <c r="D2666" i="62"/>
  <c r="C2667" i="62"/>
  <c r="D2667" i="62"/>
  <c r="C2668" i="62"/>
  <c r="D2668" i="62"/>
  <c r="C2669" i="62"/>
  <c r="D2669" i="62"/>
  <c r="C2670" i="62"/>
  <c r="D2670" i="62"/>
  <c r="C2671" i="62"/>
  <c r="D2671" i="62"/>
  <c r="C2672" i="62"/>
  <c r="D2672" i="62"/>
  <c r="C2673" i="62"/>
  <c r="D2673" i="62"/>
  <c r="C2674" i="62"/>
  <c r="D2674" i="62"/>
  <c r="C2675" i="62"/>
  <c r="D2675" i="62"/>
  <c r="C2676" i="62"/>
  <c r="D2676" i="62"/>
  <c r="C2677" i="62"/>
  <c r="D2677" i="62"/>
  <c r="C2678" i="62"/>
  <c r="D2678" i="62"/>
  <c r="C2679" i="62"/>
  <c r="D2679" i="62"/>
  <c r="C2680" i="62"/>
  <c r="D2680" i="62"/>
  <c r="C2681" i="62"/>
  <c r="D2681" i="62"/>
  <c r="C2682" i="62"/>
  <c r="D2682" i="62"/>
  <c r="C2683" i="62"/>
  <c r="D2683" i="62"/>
  <c r="C2684" i="62"/>
  <c r="D2684" i="62"/>
  <c r="C2685" i="62"/>
  <c r="D2685" i="62"/>
  <c r="C2686" i="62"/>
  <c r="D2686" i="62"/>
  <c r="C2687" i="62"/>
  <c r="D2687" i="62"/>
  <c r="C2688" i="62"/>
  <c r="D2688" i="62"/>
  <c r="C2689" i="62"/>
  <c r="D2689" i="62"/>
  <c r="C2690" i="62"/>
  <c r="D2690" i="62"/>
  <c r="C2691" i="62"/>
  <c r="D2691" i="62"/>
  <c r="C2692" i="62"/>
  <c r="D2692" i="62"/>
  <c r="C2693" i="62"/>
  <c r="D2693" i="62"/>
  <c r="C2694" i="62"/>
  <c r="D2694" i="62"/>
  <c r="C2695" i="62"/>
  <c r="D2695" i="62"/>
  <c r="C2696" i="62"/>
  <c r="D2696" i="62"/>
  <c r="C2697" i="62"/>
  <c r="D2697" i="62"/>
  <c r="C2698" i="62"/>
  <c r="D2698" i="62"/>
  <c r="C2699" i="62"/>
  <c r="D2699" i="62"/>
  <c r="C2700" i="62"/>
  <c r="D2700" i="62"/>
  <c r="C2701" i="62"/>
  <c r="D2701" i="62"/>
  <c r="C2702" i="62"/>
  <c r="D2702" i="62"/>
  <c r="C2703" i="62"/>
  <c r="D2703" i="62"/>
  <c r="C2704" i="62"/>
  <c r="D2704" i="62"/>
  <c r="C2705" i="62"/>
  <c r="D2705" i="62"/>
  <c r="C2706" i="62"/>
  <c r="D2706" i="62"/>
  <c r="C2707" i="62"/>
  <c r="D2707" i="62"/>
  <c r="C2708" i="62"/>
  <c r="D2708" i="62"/>
  <c r="C2709" i="62"/>
  <c r="D2709" i="62"/>
  <c r="C2710" i="62"/>
  <c r="D2710" i="62"/>
  <c r="C2711" i="62"/>
  <c r="D2711" i="62"/>
  <c r="C2712" i="62"/>
  <c r="D2712" i="62"/>
  <c r="C2713" i="62"/>
  <c r="D2713" i="62"/>
  <c r="C2714" i="62"/>
  <c r="D2714" i="62"/>
  <c r="C2715" i="62"/>
  <c r="D2715" i="62"/>
  <c r="C2716" i="62"/>
  <c r="D2716" i="62"/>
  <c r="C2717" i="62"/>
  <c r="D2717" i="62"/>
  <c r="C2718" i="62"/>
  <c r="D2718" i="62"/>
  <c r="C2719" i="62"/>
  <c r="D2719" i="62"/>
  <c r="C2720" i="62"/>
  <c r="D2720" i="62"/>
  <c r="C2721" i="62"/>
  <c r="D2721" i="62"/>
  <c r="C2722" i="62"/>
  <c r="D2722" i="62"/>
  <c r="C2723" i="62"/>
  <c r="D2723" i="62"/>
  <c r="C2724" i="62"/>
  <c r="D2724" i="62"/>
  <c r="C2725" i="62"/>
  <c r="D2725" i="62"/>
  <c r="C2726" i="62"/>
  <c r="D2726" i="62"/>
  <c r="C2727" i="62"/>
  <c r="D2727" i="62"/>
  <c r="C2728" i="62"/>
  <c r="D2728" i="62"/>
  <c r="C2729" i="62"/>
  <c r="D2729" i="62"/>
  <c r="C2730" i="62"/>
  <c r="D2730" i="62"/>
  <c r="C2731" i="62"/>
  <c r="D2731" i="62"/>
  <c r="C2732" i="62"/>
  <c r="D2732" i="62"/>
  <c r="C2733" i="62"/>
  <c r="D2733" i="62"/>
  <c r="C2734" i="62"/>
  <c r="D2734" i="62"/>
  <c r="C2735" i="62"/>
  <c r="D2735" i="62"/>
  <c r="C2736" i="62"/>
  <c r="D2736" i="62"/>
  <c r="C2737" i="62"/>
  <c r="D2737" i="62"/>
  <c r="C2738" i="62"/>
  <c r="D2738" i="62"/>
  <c r="C2739" i="62"/>
  <c r="D2739" i="62"/>
  <c r="C2740" i="62"/>
  <c r="D2740" i="62"/>
  <c r="C2741" i="62"/>
  <c r="D2741" i="62"/>
  <c r="C2742" i="62"/>
  <c r="D2742" i="62"/>
  <c r="C2743" i="62"/>
  <c r="D2743" i="62"/>
  <c r="C2744" i="62"/>
  <c r="D2744" i="62"/>
  <c r="C2745" i="62"/>
  <c r="D2745" i="62"/>
  <c r="C2746" i="62"/>
  <c r="D2746" i="62"/>
  <c r="C2747" i="62"/>
  <c r="D2747" i="62"/>
  <c r="C2748" i="62"/>
  <c r="D2748" i="62"/>
  <c r="C2749" i="62"/>
  <c r="D2749" i="62"/>
  <c r="C2750" i="62"/>
  <c r="D2750" i="62"/>
  <c r="C2751" i="62"/>
  <c r="D2751" i="62"/>
  <c r="C2752" i="62"/>
  <c r="D2752" i="62"/>
  <c r="C2753" i="62"/>
  <c r="D2753" i="62"/>
  <c r="C2754" i="62"/>
  <c r="D2754" i="62"/>
  <c r="C2755" i="62"/>
  <c r="D2755" i="62"/>
  <c r="C2756" i="62"/>
  <c r="D2756" i="62"/>
  <c r="C2757" i="62"/>
  <c r="D2757" i="62"/>
  <c r="C2758" i="62"/>
  <c r="D2758" i="62"/>
  <c r="C2759" i="62"/>
  <c r="D2759" i="62"/>
  <c r="C2760" i="62"/>
  <c r="D2760" i="62"/>
  <c r="C2761" i="62"/>
  <c r="D2761" i="62"/>
  <c r="C2762" i="62"/>
  <c r="D2762" i="62"/>
  <c r="C2763" i="62"/>
  <c r="D2763" i="62"/>
  <c r="C2764" i="62"/>
  <c r="D2764" i="62"/>
  <c r="C2765" i="62"/>
  <c r="D2765" i="62"/>
  <c r="C2766" i="62"/>
  <c r="D2766" i="62"/>
  <c r="C2767" i="62"/>
  <c r="D2767" i="62"/>
  <c r="C2768" i="62"/>
  <c r="D2768" i="62"/>
  <c r="C2769" i="62"/>
  <c r="D2769" i="62"/>
  <c r="C2770" i="62"/>
  <c r="D2770" i="62"/>
  <c r="C2771" i="62"/>
  <c r="D2771" i="62"/>
  <c r="C2772" i="62"/>
  <c r="D2772" i="62"/>
  <c r="C2773" i="62"/>
  <c r="D2773" i="62"/>
  <c r="C2774" i="62"/>
  <c r="D2774" i="62"/>
  <c r="C2775" i="62"/>
  <c r="D2775" i="62"/>
  <c r="C2776" i="62"/>
  <c r="D2776" i="62"/>
  <c r="C2777" i="62"/>
  <c r="D2777" i="62"/>
  <c r="C2778" i="62"/>
  <c r="D2778" i="62"/>
  <c r="C2779" i="62"/>
  <c r="D2779" i="62"/>
  <c r="C2780" i="62"/>
  <c r="D2780" i="62"/>
  <c r="C2781" i="62"/>
  <c r="D2781" i="62"/>
  <c r="C2782" i="62"/>
  <c r="D2782" i="62"/>
  <c r="C2783" i="62"/>
  <c r="D2783" i="62"/>
  <c r="C2784" i="62"/>
  <c r="D2784" i="62"/>
  <c r="C2785" i="62"/>
  <c r="D2785" i="62"/>
  <c r="C2786" i="62"/>
  <c r="D2786" i="62"/>
  <c r="C2787" i="62"/>
  <c r="D2787" i="62"/>
  <c r="C2788" i="62"/>
  <c r="D2788" i="62"/>
  <c r="C2789" i="62"/>
  <c r="D2789" i="62"/>
  <c r="C2790" i="62"/>
  <c r="D2790" i="62"/>
  <c r="C2791" i="62"/>
  <c r="D2791" i="62"/>
  <c r="C2792" i="62"/>
  <c r="D2792" i="62"/>
  <c r="C2793" i="62"/>
  <c r="D2793" i="62"/>
  <c r="C2794" i="62"/>
  <c r="D2794" i="62"/>
  <c r="C2795" i="62"/>
  <c r="D2795" i="62"/>
  <c r="C2796" i="62"/>
  <c r="D2796" i="62"/>
  <c r="C2797" i="62"/>
  <c r="D2797" i="62"/>
  <c r="C2798" i="62"/>
  <c r="D2798" i="62"/>
  <c r="C2799" i="62"/>
  <c r="D2799" i="62"/>
  <c r="C2800" i="62"/>
  <c r="D2800" i="62"/>
  <c r="C2801" i="62"/>
  <c r="D2801" i="62"/>
  <c r="C2802" i="62"/>
  <c r="D2802" i="62"/>
  <c r="C2803" i="62"/>
  <c r="D2803" i="62"/>
  <c r="C2804" i="62"/>
  <c r="D2804" i="62"/>
  <c r="C2805" i="62"/>
  <c r="D2805" i="62"/>
  <c r="C2806" i="62"/>
  <c r="D2806" i="62"/>
  <c r="C2807" i="62"/>
  <c r="D2807" i="62"/>
  <c r="C2808" i="62"/>
  <c r="D2808" i="62"/>
  <c r="C2809" i="62"/>
  <c r="D2809" i="62"/>
  <c r="C2810" i="62"/>
  <c r="D2810" i="62"/>
  <c r="C2811" i="62"/>
  <c r="D2811" i="62"/>
  <c r="C2812" i="62"/>
  <c r="D2812" i="62"/>
  <c r="C2813" i="62"/>
  <c r="D2813" i="62"/>
  <c r="C2814" i="62"/>
  <c r="D2814" i="62"/>
  <c r="C2815" i="62"/>
  <c r="D2815" i="62"/>
  <c r="C2816" i="62"/>
  <c r="D2816" i="62"/>
  <c r="C2817" i="62"/>
  <c r="D2817" i="62"/>
  <c r="C2818" i="62"/>
  <c r="D2818" i="62"/>
  <c r="C2819" i="62"/>
  <c r="D2819" i="62"/>
  <c r="C2820" i="62"/>
  <c r="D2820" i="62"/>
  <c r="C2821" i="62"/>
  <c r="D2821" i="62"/>
  <c r="C2822" i="62"/>
  <c r="D2822" i="62"/>
  <c r="C2823" i="62"/>
  <c r="D2823" i="62"/>
  <c r="C2824" i="62"/>
  <c r="D2824" i="62"/>
  <c r="C2825" i="62"/>
  <c r="D2825" i="62"/>
  <c r="C2826" i="62"/>
  <c r="D2826" i="62"/>
  <c r="C2827" i="62"/>
  <c r="D2827" i="62"/>
  <c r="C2828" i="62"/>
  <c r="D2828" i="62"/>
  <c r="C2829" i="62"/>
  <c r="D2829" i="62"/>
  <c r="C2830" i="62"/>
  <c r="D2830" i="62"/>
  <c r="C2831" i="62"/>
  <c r="D2831" i="62"/>
  <c r="C2832" i="62"/>
  <c r="D2832" i="62"/>
  <c r="C2833" i="62"/>
  <c r="D2833" i="62"/>
  <c r="C2834" i="62"/>
  <c r="D2834" i="62"/>
  <c r="C2835" i="62"/>
  <c r="D2835" i="62"/>
  <c r="C2836" i="62"/>
  <c r="D2836" i="62"/>
  <c r="C2837" i="62"/>
  <c r="D2837" i="62"/>
  <c r="C2838" i="62"/>
  <c r="D2838" i="62"/>
  <c r="C2839" i="62"/>
  <c r="D2839" i="62"/>
  <c r="C2840" i="62"/>
  <c r="D2840" i="62"/>
  <c r="C2841" i="62"/>
  <c r="D2841" i="62"/>
  <c r="C2842" i="62"/>
  <c r="D2842" i="62"/>
  <c r="C2843" i="62"/>
  <c r="D2843" i="62"/>
  <c r="C2844" i="62"/>
  <c r="D2844" i="62"/>
  <c r="C2845" i="62"/>
  <c r="D2845" i="62"/>
  <c r="C2846" i="62"/>
  <c r="D2846" i="62"/>
  <c r="C2847" i="62"/>
  <c r="D2847" i="62"/>
  <c r="C2848" i="62"/>
  <c r="D2848" i="62"/>
  <c r="C2849" i="62"/>
  <c r="D2849" i="62"/>
  <c r="C2850" i="62"/>
  <c r="D2850" i="62"/>
  <c r="C2851" i="62"/>
  <c r="D2851" i="62"/>
  <c r="C2852" i="62"/>
  <c r="D2852" i="62"/>
  <c r="C2853" i="62"/>
  <c r="D2853" i="62"/>
  <c r="C2854" i="62"/>
  <c r="D2854" i="62"/>
  <c r="C2855" i="62"/>
  <c r="D2855" i="62"/>
  <c r="C2856" i="62"/>
  <c r="D2856" i="62"/>
  <c r="C2857" i="62"/>
  <c r="D2857" i="62"/>
  <c r="C2858" i="62"/>
  <c r="D2858" i="62"/>
  <c r="C2859" i="62"/>
  <c r="D2859" i="62"/>
  <c r="C2860" i="62"/>
  <c r="D2860" i="62"/>
  <c r="C2861" i="62"/>
  <c r="D2861" i="62"/>
  <c r="C2862" i="62"/>
  <c r="D2862" i="62"/>
  <c r="C2863" i="62"/>
  <c r="D2863" i="62"/>
  <c r="C2864" i="62"/>
  <c r="D2864" i="62"/>
  <c r="C2865" i="62"/>
  <c r="D2865" i="62"/>
  <c r="C2866" i="62"/>
  <c r="D2866" i="62"/>
  <c r="C2867" i="62"/>
  <c r="D2867" i="62"/>
  <c r="C2868" i="62"/>
  <c r="D2868" i="62"/>
  <c r="C2869" i="62"/>
  <c r="D2869" i="62"/>
  <c r="C2870" i="62"/>
  <c r="D2870" i="62"/>
  <c r="C2871" i="62"/>
  <c r="D2871" i="62"/>
  <c r="C2872" i="62"/>
  <c r="D2872" i="62"/>
  <c r="C2873" i="62"/>
  <c r="D2873" i="62"/>
  <c r="C2874" i="62"/>
  <c r="D2874" i="62"/>
  <c r="C2875" i="62"/>
  <c r="D2875" i="62"/>
  <c r="C2876" i="62"/>
  <c r="D2876" i="62"/>
  <c r="C2877" i="62"/>
  <c r="D2877" i="62"/>
  <c r="C2878" i="62"/>
  <c r="D2878" i="62"/>
  <c r="C2879" i="62"/>
  <c r="D2879" i="62"/>
  <c r="C2880" i="62"/>
  <c r="D2880" i="62"/>
  <c r="C2881" i="62"/>
  <c r="D2881" i="62"/>
  <c r="C2882" i="62"/>
  <c r="D2882" i="62"/>
  <c r="C2883" i="62"/>
  <c r="D2883" i="62"/>
  <c r="C2884" i="62"/>
  <c r="D2884" i="62"/>
  <c r="C2885" i="62"/>
  <c r="D2885" i="62"/>
  <c r="C2886" i="62"/>
  <c r="D2886" i="62"/>
  <c r="C2887" i="62"/>
  <c r="D2887" i="62"/>
  <c r="C2888" i="62"/>
  <c r="D2888" i="62"/>
  <c r="C2889" i="62"/>
  <c r="D2889" i="62"/>
  <c r="C2890" i="62"/>
  <c r="D2890" i="62"/>
  <c r="C2891" i="62"/>
  <c r="D2891" i="62"/>
  <c r="C2892" i="62"/>
  <c r="D2892" i="62"/>
  <c r="C2893" i="62"/>
  <c r="D2893" i="62"/>
  <c r="C2894" i="62"/>
  <c r="D2894" i="62"/>
  <c r="C2895" i="62"/>
  <c r="D2895" i="62"/>
  <c r="C2896" i="62"/>
  <c r="D2896" i="62"/>
  <c r="C2897" i="62"/>
  <c r="D2897" i="62"/>
  <c r="C2898" i="62"/>
  <c r="D2898" i="62"/>
  <c r="C2899" i="62"/>
  <c r="D2899" i="62"/>
  <c r="C2900" i="62"/>
  <c r="D2900" i="62"/>
  <c r="C2901" i="62"/>
  <c r="D2901" i="62"/>
  <c r="C2902" i="62"/>
  <c r="D2902" i="62"/>
  <c r="C2903" i="62"/>
  <c r="D2903" i="62"/>
  <c r="C2904" i="62"/>
  <c r="D2904" i="62"/>
  <c r="C2905" i="62"/>
  <c r="D2905" i="62"/>
  <c r="C2906" i="62"/>
  <c r="D2906" i="62"/>
  <c r="C2907" i="62"/>
  <c r="D2907" i="62"/>
  <c r="C2908" i="62"/>
  <c r="D2908" i="62"/>
  <c r="C2909" i="62"/>
  <c r="D2909" i="62"/>
  <c r="C2910" i="62"/>
  <c r="D2910" i="62"/>
  <c r="C2911" i="62"/>
  <c r="D2911" i="62"/>
  <c r="C2912" i="62"/>
  <c r="D2912" i="62"/>
  <c r="C2913" i="62"/>
  <c r="D2913" i="62"/>
  <c r="C2914" i="62"/>
  <c r="D2914" i="62"/>
  <c r="C2915" i="62"/>
  <c r="D2915" i="62"/>
  <c r="C2916" i="62"/>
  <c r="D2916" i="62"/>
  <c r="C2917" i="62"/>
  <c r="D2917" i="62"/>
  <c r="C2918" i="62"/>
  <c r="D2918" i="62"/>
  <c r="C2919" i="62"/>
  <c r="D2919" i="62"/>
  <c r="C2920" i="62"/>
  <c r="D2920" i="62"/>
  <c r="C2921" i="62"/>
  <c r="D2921" i="62"/>
  <c r="C2922" i="62"/>
  <c r="D2922" i="62"/>
  <c r="C2923" i="62"/>
  <c r="D2923" i="62"/>
  <c r="C2924" i="62"/>
  <c r="D2924" i="62"/>
  <c r="C2925" i="62"/>
  <c r="D2925" i="62"/>
  <c r="C2926" i="62"/>
  <c r="D2926" i="62"/>
  <c r="C2927" i="62"/>
  <c r="D2927" i="62"/>
  <c r="C2928" i="62"/>
  <c r="D2928" i="62"/>
  <c r="C2929" i="62"/>
  <c r="D2929" i="62"/>
  <c r="C2930" i="62"/>
  <c r="D2930" i="62"/>
  <c r="C2931" i="62"/>
  <c r="D2931" i="62"/>
  <c r="C2932" i="62"/>
  <c r="D2932" i="62"/>
  <c r="C2933" i="62"/>
  <c r="D2933" i="62"/>
  <c r="C2934" i="62"/>
  <c r="D2934" i="62"/>
  <c r="C2935" i="62"/>
  <c r="D2935" i="62"/>
  <c r="C2936" i="62"/>
  <c r="D2936" i="62"/>
  <c r="C2937" i="62"/>
  <c r="D2937" i="62"/>
  <c r="C2938" i="62"/>
  <c r="D2938" i="62"/>
  <c r="C2939" i="62"/>
  <c r="D2939" i="62"/>
  <c r="C2940" i="62"/>
  <c r="D2940" i="62"/>
  <c r="C2941" i="62"/>
  <c r="D2941" i="62"/>
  <c r="C2942" i="62"/>
  <c r="D2942" i="62"/>
  <c r="C2943" i="62"/>
  <c r="D2943" i="62"/>
  <c r="C2944" i="62"/>
  <c r="D2944" i="62"/>
  <c r="C2945" i="62"/>
  <c r="D2945" i="62"/>
  <c r="C2946" i="62"/>
  <c r="D2946" i="62"/>
  <c r="C2947" i="62"/>
  <c r="D2947" i="62"/>
  <c r="C2948" i="62"/>
  <c r="D2948" i="62"/>
  <c r="C2949" i="62"/>
  <c r="D2949" i="62"/>
  <c r="C2950" i="62"/>
  <c r="D2950" i="62"/>
  <c r="C2951" i="62"/>
  <c r="D2951" i="62"/>
  <c r="C2952" i="62"/>
  <c r="D2952" i="62"/>
  <c r="C2953" i="62"/>
  <c r="D2953" i="62"/>
  <c r="C2954" i="62"/>
  <c r="D2954" i="62"/>
  <c r="C2955" i="62"/>
  <c r="D2955" i="62"/>
  <c r="C2956" i="62"/>
  <c r="D2956" i="62"/>
  <c r="C2957" i="62"/>
  <c r="D2957" i="62"/>
  <c r="C2958" i="62"/>
  <c r="D2958" i="62"/>
  <c r="C2959" i="62"/>
  <c r="D2959" i="62"/>
  <c r="C2960" i="62"/>
  <c r="D2960" i="62"/>
  <c r="C2961" i="62"/>
  <c r="D2961" i="62"/>
  <c r="C2962" i="62"/>
  <c r="D2962" i="62"/>
  <c r="C2963" i="62"/>
  <c r="D2963" i="62"/>
  <c r="C2964" i="62"/>
  <c r="D2964" i="62"/>
  <c r="C2965" i="62"/>
  <c r="D2965" i="62"/>
  <c r="C2966" i="62"/>
  <c r="D2966" i="62"/>
  <c r="C2967" i="62"/>
  <c r="D2967" i="62"/>
  <c r="C2968" i="62"/>
  <c r="D2968" i="62"/>
  <c r="C2969" i="62"/>
  <c r="D2969" i="62"/>
  <c r="C2970" i="62"/>
  <c r="D2970" i="62"/>
  <c r="C2971" i="62"/>
  <c r="D2971" i="62"/>
  <c r="C2972" i="62"/>
  <c r="D2972" i="62"/>
  <c r="C2973" i="62"/>
  <c r="D2973" i="62"/>
  <c r="C2974" i="62"/>
  <c r="D2974" i="62"/>
  <c r="C2975" i="62"/>
  <c r="D2975" i="62"/>
  <c r="C2976" i="62"/>
  <c r="D2976" i="62"/>
  <c r="C2977" i="62"/>
  <c r="D2977" i="62"/>
  <c r="C2978" i="62"/>
  <c r="D2978" i="62"/>
  <c r="C2979" i="62"/>
  <c r="D2979" i="62"/>
  <c r="C2980" i="62"/>
  <c r="D2980" i="62"/>
  <c r="C2981" i="62"/>
  <c r="D2981" i="62"/>
  <c r="C2982" i="62"/>
  <c r="D2982" i="62"/>
  <c r="C2983" i="62"/>
  <c r="D2983" i="62"/>
  <c r="C2984" i="62"/>
  <c r="D2984" i="62"/>
  <c r="C2985" i="62"/>
  <c r="D2985" i="62"/>
  <c r="C2986" i="62"/>
  <c r="D2986" i="62"/>
  <c r="C2987" i="62"/>
  <c r="D2987" i="62"/>
  <c r="C2988" i="62"/>
  <c r="D2988" i="62"/>
  <c r="C2989" i="62"/>
  <c r="D2989" i="62"/>
  <c r="C2990" i="62"/>
  <c r="D2990" i="62"/>
  <c r="C2991" i="62"/>
  <c r="D2991" i="62"/>
  <c r="C2992" i="62"/>
  <c r="D2992" i="62"/>
  <c r="C2993" i="62"/>
  <c r="D2993" i="62"/>
  <c r="C2994" i="62"/>
  <c r="D2994" i="62"/>
  <c r="C2995" i="62"/>
  <c r="D2995" i="62"/>
  <c r="C2996" i="62"/>
  <c r="D2996" i="62"/>
  <c r="C2997" i="62"/>
  <c r="D2997" i="62"/>
  <c r="C2998" i="62"/>
  <c r="D2998" i="62"/>
  <c r="C2999" i="62"/>
  <c r="D2999" i="62"/>
  <c r="C3000" i="62"/>
  <c r="D3000" i="62"/>
  <c r="C3001" i="62"/>
  <c r="D3001" i="62"/>
  <c r="C3002" i="62"/>
  <c r="D3002" i="62"/>
  <c r="C3003" i="62"/>
  <c r="D3003" i="62"/>
  <c r="C3004" i="62"/>
  <c r="D3004" i="62"/>
  <c r="C3005" i="62"/>
  <c r="D3005" i="62"/>
  <c r="C3006" i="62"/>
  <c r="D3006" i="62"/>
  <c r="C3007" i="62"/>
  <c r="D3007" i="62"/>
  <c r="C3008" i="62"/>
  <c r="D3008" i="62"/>
  <c r="C3009" i="62"/>
  <c r="D3009" i="62"/>
  <c r="C3010" i="62"/>
  <c r="D3010" i="62"/>
  <c r="C3011" i="62"/>
  <c r="D3011" i="62"/>
  <c r="C3012" i="62"/>
  <c r="D3012" i="62"/>
  <c r="C3013" i="62"/>
  <c r="D3013" i="62"/>
  <c r="C3014" i="62"/>
  <c r="D3014" i="62"/>
  <c r="C3015" i="62"/>
  <c r="D3015" i="62"/>
  <c r="C3016" i="62"/>
  <c r="D3016" i="62"/>
  <c r="C3017" i="62"/>
  <c r="D3017" i="62"/>
  <c r="C3018" i="62"/>
  <c r="D3018" i="62"/>
  <c r="C3019" i="62"/>
  <c r="D3019" i="62"/>
  <c r="C3020" i="62"/>
  <c r="D3020" i="62"/>
  <c r="C3021" i="62"/>
  <c r="D3021" i="62"/>
  <c r="C3022" i="62"/>
  <c r="D3022" i="62"/>
  <c r="C3023" i="62"/>
  <c r="D3023" i="62"/>
  <c r="C3024" i="62"/>
  <c r="D3024" i="62"/>
  <c r="C3025" i="62"/>
  <c r="D3025" i="62"/>
  <c r="C3026" i="62"/>
  <c r="D3026" i="62"/>
  <c r="C3027" i="62"/>
  <c r="D3027" i="62"/>
  <c r="C3028" i="62"/>
  <c r="D3028" i="62"/>
  <c r="C3029" i="62"/>
  <c r="D3029" i="62"/>
  <c r="C3030" i="62"/>
  <c r="D3030" i="62"/>
  <c r="C3031" i="62"/>
  <c r="D3031" i="62"/>
  <c r="C3032" i="62"/>
  <c r="D3032" i="62"/>
  <c r="C3033" i="62"/>
  <c r="D3033" i="62"/>
  <c r="C3034" i="62"/>
  <c r="D3034" i="62"/>
  <c r="C3035" i="62"/>
  <c r="D3035" i="62"/>
  <c r="C3036" i="62"/>
  <c r="D3036" i="62"/>
  <c r="C3037" i="62"/>
  <c r="D3037" i="62"/>
  <c r="C3038" i="62"/>
  <c r="D3038" i="62"/>
  <c r="C3039" i="62"/>
  <c r="D3039" i="62"/>
  <c r="C3040" i="62"/>
  <c r="D3040" i="62"/>
  <c r="C3041" i="62"/>
  <c r="D3041" i="62"/>
  <c r="C3042" i="62"/>
  <c r="D3042" i="62"/>
  <c r="C3043" i="62"/>
  <c r="D3043" i="62"/>
  <c r="C3044" i="62"/>
  <c r="D3044" i="62"/>
  <c r="C3045" i="62"/>
  <c r="D3045" i="62"/>
  <c r="C3046" i="62"/>
  <c r="D3046" i="62"/>
  <c r="C3047" i="62"/>
  <c r="D3047" i="62"/>
  <c r="C3048" i="62"/>
  <c r="D3048" i="62"/>
  <c r="C3049" i="62"/>
  <c r="D3049" i="62"/>
  <c r="C3050" i="62"/>
  <c r="D3050" i="62"/>
  <c r="C3051" i="62"/>
  <c r="D3051" i="62"/>
  <c r="C3052" i="62"/>
  <c r="D3052" i="62"/>
  <c r="C3053" i="62"/>
  <c r="D3053" i="62"/>
  <c r="C3054" i="62"/>
  <c r="D3054" i="62"/>
  <c r="C3055" i="62"/>
  <c r="D3055" i="62"/>
  <c r="C3056" i="62"/>
  <c r="D3056" i="62"/>
  <c r="C3057" i="62"/>
  <c r="D3057" i="62"/>
  <c r="C3058" i="62"/>
  <c r="D3058" i="62"/>
  <c r="C3059" i="62"/>
  <c r="D3059" i="62"/>
  <c r="C3060" i="62"/>
  <c r="D3060" i="62"/>
  <c r="C3061" i="62"/>
  <c r="D3061" i="62"/>
  <c r="C3062" i="62"/>
  <c r="D3062" i="62"/>
  <c r="C3063" i="62"/>
  <c r="D3063" i="62"/>
  <c r="C3064" i="62"/>
  <c r="D3064" i="62"/>
  <c r="C3065" i="62"/>
  <c r="D3065" i="62"/>
  <c r="C3066" i="62"/>
  <c r="D3066" i="62"/>
  <c r="C3067" i="62"/>
  <c r="D3067" i="62"/>
  <c r="C3068" i="62"/>
  <c r="D3068" i="62"/>
  <c r="C3069" i="62"/>
  <c r="D3069" i="62"/>
  <c r="C3070" i="62"/>
  <c r="D3070" i="62"/>
  <c r="C3071" i="62"/>
  <c r="D3071" i="62"/>
  <c r="C3072" i="62"/>
  <c r="D3072" i="62"/>
  <c r="C3073" i="62"/>
  <c r="D3073" i="62"/>
  <c r="C3074" i="62"/>
  <c r="D3074" i="62"/>
  <c r="C3075" i="62"/>
  <c r="D3075" i="62"/>
  <c r="C3076" i="62"/>
  <c r="D3076" i="62"/>
  <c r="C3077" i="62"/>
  <c r="D3077" i="62"/>
  <c r="C3078" i="62"/>
  <c r="D3078" i="62"/>
  <c r="C3079" i="62"/>
  <c r="D3079" i="62"/>
  <c r="C3080" i="62"/>
  <c r="D3080" i="62"/>
  <c r="C3081" i="62"/>
  <c r="D3081" i="62"/>
  <c r="C3082" i="62"/>
  <c r="D3082" i="62"/>
  <c r="C3083" i="62"/>
  <c r="D3083" i="62"/>
  <c r="C3084" i="62"/>
  <c r="D3084" i="62"/>
  <c r="C3085" i="62"/>
  <c r="D3085" i="62"/>
  <c r="C3086" i="62"/>
  <c r="D3086" i="62"/>
  <c r="C3087" i="62"/>
  <c r="D3087" i="62"/>
  <c r="C3088" i="62"/>
  <c r="D3088" i="62"/>
  <c r="C3089" i="62"/>
  <c r="D3089" i="62"/>
  <c r="C3090" i="62"/>
  <c r="D3090" i="62"/>
  <c r="C3091" i="62"/>
  <c r="D3091" i="62"/>
  <c r="C3092" i="62"/>
  <c r="D3092" i="62"/>
  <c r="C3093" i="62"/>
  <c r="D3093" i="62"/>
  <c r="C3094" i="62"/>
  <c r="D3094" i="62"/>
  <c r="C3095" i="62"/>
  <c r="D3095" i="62"/>
  <c r="C3096" i="62"/>
  <c r="D3096" i="62"/>
  <c r="C3097" i="62"/>
  <c r="D3097" i="62"/>
  <c r="C3098" i="62"/>
  <c r="D3098" i="62"/>
  <c r="C3099" i="62"/>
  <c r="D3099" i="62"/>
  <c r="C3100" i="62"/>
  <c r="D3100" i="62"/>
  <c r="C3101" i="62"/>
  <c r="D3101" i="62"/>
  <c r="C3102" i="62"/>
  <c r="D3102" i="62"/>
  <c r="C3103" i="62"/>
  <c r="D3103" i="62"/>
  <c r="C3104" i="62"/>
  <c r="D3104" i="62"/>
  <c r="C3105" i="62"/>
  <c r="D3105" i="62"/>
  <c r="C3106" i="62"/>
  <c r="D3106" i="62"/>
  <c r="C3107" i="62"/>
  <c r="D3107" i="62"/>
  <c r="C3108" i="62"/>
  <c r="D3108" i="62"/>
  <c r="C3109" i="62"/>
  <c r="D3109" i="62"/>
  <c r="C3110" i="62"/>
  <c r="D3110" i="62"/>
  <c r="C3111" i="62"/>
  <c r="D3111" i="62"/>
  <c r="C3112" i="62"/>
  <c r="D3112" i="62"/>
  <c r="C3113" i="62"/>
  <c r="D3113" i="62"/>
  <c r="C3114" i="62"/>
  <c r="D3114" i="62"/>
  <c r="C3115" i="62"/>
  <c r="D3115" i="62"/>
  <c r="C3116" i="62"/>
  <c r="D3116" i="62"/>
  <c r="C3117" i="62"/>
  <c r="D3117" i="62"/>
  <c r="C3118" i="62"/>
  <c r="D3118" i="62"/>
  <c r="C3119" i="62"/>
  <c r="D3119" i="62"/>
  <c r="C3120" i="62"/>
  <c r="D3120" i="62"/>
  <c r="C3121" i="62"/>
  <c r="D3121" i="62"/>
  <c r="C3122" i="62"/>
  <c r="D3122" i="62"/>
  <c r="C3123" i="62"/>
  <c r="D3123" i="62"/>
  <c r="C3124" i="62"/>
  <c r="D3124" i="62"/>
  <c r="C3125" i="62"/>
  <c r="D3125" i="62"/>
  <c r="C3126" i="62"/>
  <c r="D3126" i="62"/>
  <c r="C3127" i="62"/>
  <c r="D3127" i="62"/>
  <c r="C3128" i="62"/>
  <c r="D3128" i="62"/>
  <c r="C3129" i="62"/>
  <c r="D3129" i="62"/>
  <c r="C3130" i="62"/>
  <c r="D3130" i="62"/>
  <c r="C3131" i="62"/>
  <c r="D3131" i="62"/>
  <c r="C3132" i="62"/>
  <c r="D3132" i="62"/>
  <c r="C3133" i="62"/>
  <c r="D3133" i="62"/>
  <c r="C3134" i="62"/>
  <c r="D3134" i="62"/>
  <c r="C3135" i="62"/>
  <c r="D3135" i="62"/>
  <c r="C3136" i="62"/>
  <c r="D3136" i="62"/>
  <c r="C3137" i="62"/>
  <c r="D3137" i="62"/>
  <c r="C3138" i="62"/>
  <c r="D3138" i="62"/>
  <c r="C3139" i="62"/>
  <c r="D3139" i="62"/>
  <c r="C3140" i="62"/>
  <c r="D3140" i="62"/>
  <c r="C3141" i="62"/>
  <c r="D3141" i="62"/>
  <c r="C3142" i="62"/>
  <c r="D3142" i="62"/>
  <c r="C3143" i="62"/>
  <c r="D3143" i="62"/>
  <c r="C3144" i="62"/>
  <c r="D3144" i="62"/>
  <c r="C3145" i="62"/>
  <c r="D3145" i="62"/>
  <c r="C3146" i="62"/>
  <c r="D3146" i="62"/>
  <c r="C3147" i="62"/>
  <c r="D3147" i="62"/>
  <c r="C3148" i="62"/>
  <c r="D3148" i="62"/>
  <c r="C3149" i="62"/>
  <c r="D3149" i="62"/>
  <c r="C3150" i="62"/>
  <c r="D3150" i="62"/>
  <c r="C3151" i="62"/>
  <c r="D3151" i="62"/>
  <c r="C3152" i="62"/>
  <c r="D3152" i="62"/>
  <c r="C3153" i="62"/>
  <c r="D3153" i="62"/>
  <c r="C3154" i="62"/>
  <c r="D3154" i="62"/>
  <c r="C3155" i="62"/>
  <c r="D3155" i="62"/>
  <c r="C3156" i="62"/>
  <c r="D3156" i="62"/>
  <c r="C3157" i="62"/>
  <c r="D3157" i="62"/>
  <c r="C3158" i="62"/>
  <c r="D3158" i="62"/>
  <c r="C3159" i="62"/>
  <c r="D3159" i="62"/>
  <c r="C3160" i="62"/>
  <c r="D3160" i="62"/>
  <c r="C3161" i="62"/>
  <c r="D3161" i="62"/>
  <c r="C3162" i="62"/>
  <c r="D3162" i="62"/>
  <c r="C3163" i="62"/>
  <c r="D3163" i="62"/>
  <c r="C3164" i="62"/>
  <c r="D3164" i="62"/>
  <c r="C3165" i="62"/>
  <c r="D3165" i="62"/>
  <c r="C3166" i="62"/>
  <c r="D3166" i="62"/>
  <c r="C3167" i="62"/>
  <c r="D3167" i="62"/>
  <c r="C3168" i="62"/>
  <c r="D3168" i="62"/>
  <c r="C3169" i="62"/>
  <c r="D3169" i="62"/>
  <c r="C3170" i="62"/>
  <c r="D3170" i="62"/>
  <c r="C3171" i="62"/>
  <c r="D3171" i="62"/>
  <c r="C3172" i="62"/>
  <c r="D3172" i="62"/>
  <c r="C3173" i="62"/>
  <c r="D3173" i="62"/>
  <c r="C3174" i="62"/>
  <c r="D3174" i="62"/>
  <c r="C3175" i="62"/>
  <c r="D3175" i="62"/>
  <c r="C3176" i="62"/>
  <c r="D3176" i="62"/>
  <c r="C3177" i="62"/>
  <c r="D3177" i="62"/>
  <c r="C3178" i="62"/>
  <c r="D3178" i="62"/>
  <c r="C3179" i="62"/>
  <c r="D3179" i="62"/>
  <c r="C3180" i="62"/>
  <c r="D3180" i="62"/>
  <c r="C3181" i="62"/>
  <c r="D3181" i="62"/>
  <c r="C3182" i="62"/>
  <c r="D3182" i="62"/>
  <c r="C3183" i="62"/>
  <c r="D3183" i="62"/>
  <c r="C3184" i="62"/>
  <c r="D3184" i="62"/>
  <c r="C3185" i="62"/>
  <c r="D3185" i="62"/>
  <c r="C3186" i="62"/>
  <c r="D3186" i="62"/>
  <c r="C3187" i="62"/>
  <c r="D3187" i="62"/>
  <c r="C3188" i="62"/>
  <c r="D3188" i="62"/>
  <c r="C3189" i="62"/>
  <c r="D3189" i="62"/>
  <c r="C3190" i="62"/>
  <c r="D3190" i="62"/>
  <c r="C3191" i="62"/>
  <c r="D3191" i="62"/>
  <c r="C3192" i="62"/>
  <c r="D3192" i="62"/>
  <c r="C3193" i="62"/>
  <c r="D3193" i="62"/>
  <c r="C3194" i="62"/>
  <c r="D3194" i="62"/>
  <c r="C3195" i="62"/>
  <c r="D3195" i="62"/>
  <c r="C3196" i="62"/>
  <c r="D3196" i="62"/>
  <c r="C3197" i="62"/>
  <c r="D3197" i="62"/>
  <c r="C3198" i="62"/>
  <c r="D3198" i="62"/>
  <c r="C3199" i="62"/>
  <c r="D3199" i="62"/>
  <c r="C3200" i="62"/>
  <c r="D3200" i="62"/>
  <c r="C3201" i="62"/>
  <c r="D3201" i="62"/>
  <c r="C3202" i="62"/>
  <c r="D3202" i="62"/>
  <c r="C3203" i="62"/>
  <c r="D3203" i="62"/>
  <c r="C3204" i="62"/>
  <c r="D3204" i="62"/>
  <c r="C3205" i="62"/>
  <c r="D3205" i="62"/>
  <c r="C3206" i="62"/>
  <c r="D3206" i="62"/>
  <c r="C3207" i="62"/>
  <c r="D3207" i="62"/>
  <c r="C3208" i="62"/>
  <c r="D3208" i="62"/>
  <c r="C3209" i="62"/>
  <c r="D3209" i="62"/>
  <c r="C3210" i="62"/>
  <c r="D3210" i="62"/>
  <c r="C3211" i="62"/>
  <c r="D3211" i="62"/>
  <c r="C3212" i="62"/>
  <c r="D3212" i="62"/>
  <c r="C3213" i="62"/>
  <c r="D3213" i="62"/>
  <c r="C3214" i="62"/>
  <c r="D3214" i="62"/>
  <c r="C3215" i="62"/>
  <c r="D3215" i="62"/>
  <c r="C3216" i="62"/>
  <c r="D3216" i="62"/>
  <c r="C3217" i="62"/>
  <c r="D3217" i="62"/>
  <c r="C3218" i="62"/>
  <c r="D3218" i="62"/>
  <c r="C3219" i="62"/>
  <c r="D3219" i="62"/>
  <c r="C3220" i="62"/>
  <c r="D3220" i="62"/>
  <c r="C3221" i="62"/>
  <c r="D3221" i="62"/>
  <c r="C3222" i="62"/>
  <c r="D3222" i="62"/>
  <c r="C3223" i="62"/>
  <c r="D3223" i="62"/>
  <c r="C3224" i="62"/>
  <c r="D3224" i="62"/>
  <c r="C3225" i="62"/>
  <c r="D3225" i="62"/>
  <c r="C3226" i="62"/>
  <c r="D3226" i="62"/>
  <c r="C3227" i="62"/>
  <c r="D3227" i="62"/>
  <c r="C3228" i="62"/>
  <c r="D3228" i="62"/>
  <c r="C3229" i="62"/>
  <c r="D3229" i="62"/>
  <c r="C3230" i="62"/>
  <c r="D3230" i="62"/>
  <c r="C3231" i="62"/>
  <c r="D3231" i="62"/>
  <c r="C3232" i="62"/>
  <c r="D3232" i="62"/>
  <c r="C3233" i="62"/>
  <c r="D3233" i="62"/>
  <c r="C3234" i="62"/>
  <c r="D3234" i="62"/>
  <c r="C3235" i="62"/>
  <c r="D3235" i="62"/>
  <c r="C3236" i="62"/>
  <c r="D3236" i="62"/>
  <c r="C3237" i="62"/>
  <c r="D3237" i="62"/>
  <c r="C3238" i="62"/>
  <c r="D3238" i="62"/>
  <c r="C3239" i="62"/>
  <c r="D3239" i="62"/>
  <c r="C3240" i="62"/>
  <c r="D3240" i="62"/>
  <c r="C3241" i="62"/>
  <c r="D3241" i="62"/>
  <c r="C3242" i="62"/>
  <c r="D3242" i="62"/>
  <c r="C3243" i="62"/>
  <c r="D3243" i="62"/>
  <c r="C3244" i="62"/>
  <c r="D3244" i="62"/>
  <c r="C3245" i="62"/>
  <c r="D3245" i="62"/>
  <c r="C3246" i="62"/>
  <c r="D3246" i="62"/>
  <c r="C3247" i="62"/>
  <c r="D3247" i="62"/>
  <c r="C3248" i="62"/>
  <c r="D3248" i="62"/>
  <c r="C3249" i="62"/>
  <c r="D3249" i="62"/>
  <c r="C3250" i="62"/>
  <c r="D3250" i="62"/>
  <c r="C3251" i="62"/>
  <c r="D3251" i="62"/>
  <c r="C3252" i="62"/>
  <c r="D3252" i="62"/>
  <c r="C3253" i="62"/>
  <c r="D3253" i="62"/>
  <c r="C3254" i="62"/>
  <c r="D3254" i="62"/>
  <c r="C3255" i="62"/>
  <c r="D3255" i="62"/>
  <c r="C3256" i="62"/>
  <c r="D3256" i="62"/>
  <c r="C3257" i="62"/>
  <c r="D3257" i="62"/>
  <c r="C3258" i="62"/>
  <c r="D3258" i="62"/>
  <c r="C3259" i="62"/>
  <c r="D3259" i="62"/>
  <c r="C3260" i="62"/>
  <c r="D3260" i="62"/>
  <c r="C3261" i="62"/>
  <c r="D3261" i="62"/>
  <c r="C3262" i="62"/>
  <c r="D3262" i="62"/>
  <c r="C3263" i="62"/>
  <c r="D3263" i="62"/>
  <c r="C3264" i="62"/>
  <c r="D3264" i="62"/>
  <c r="C3265" i="62"/>
  <c r="D3265" i="62"/>
  <c r="C3266" i="62"/>
  <c r="D3266" i="62"/>
  <c r="C3267" i="62"/>
  <c r="D3267" i="62"/>
  <c r="C3268" i="62"/>
  <c r="D3268" i="62"/>
  <c r="C3269" i="62"/>
  <c r="D3269" i="62"/>
  <c r="C3270" i="62"/>
  <c r="D3270" i="62"/>
  <c r="C3271" i="62"/>
  <c r="D3271" i="62"/>
  <c r="C3272" i="62"/>
  <c r="D3272" i="62"/>
  <c r="C3273" i="62"/>
  <c r="D3273" i="62"/>
  <c r="C3274" i="62"/>
  <c r="D3274" i="62"/>
  <c r="C3275" i="62"/>
  <c r="D3275" i="62"/>
  <c r="C3276" i="62"/>
  <c r="D3276" i="62"/>
  <c r="C3277" i="62"/>
  <c r="D3277" i="62"/>
  <c r="C3278" i="62"/>
  <c r="D3278" i="62"/>
  <c r="C3279" i="62"/>
  <c r="D3279" i="62"/>
  <c r="C3280" i="62"/>
  <c r="D3280" i="62"/>
  <c r="C3281" i="62"/>
  <c r="D3281" i="62"/>
  <c r="C3282" i="62"/>
  <c r="D3282" i="62"/>
  <c r="C3283" i="62"/>
  <c r="D3283" i="62"/>
  <c r="C3284" i="62"/>
  <c r="D3284" i="62"/>
  <c r="C3285" i="62"/>
  <c r="D3285" i="62"/>
  <c r="C3286" i="62"/>
  <c r="D3286" i="62"/>
  <c r="C3287" i="62"/>
  <c r="D3287" i="62"/>
  <c r="C3288" i="62"/>
  <c r="D3288" i="62"/>
  <c r="C3289" i="62"/>
  <c r="D3289" i="62"/>
  <c r="C3290" i="62"/>
  <c r="D3290" i="62"/>
  <c r="C3291" i="62"/>
  <c r="D3291" i="62"/>
  <c r="C3292" i="62"/>
  <c r="D3292" i="62"/>
  <c r="C3293" i="62"/>
  <c r="D3293" i="62"/>
  <c r="C3294" i="62"/>
  <c r="D3294" i="62"/>
  <c r="C3295" i="62"/>
  <c r="D3295" i="62"/>
  <c r="C3296" i="62"/>
  <c r="D3296" i="62"/>
  <c r="C3297" i="62"/>
  <c r="D3297" i="62"/>
  <c r="C3298" i="62"/>
  <c r="D3298" i="62"/>
  <c r="C3299" i="62"/>
  <c r="D3299" i="62"/>
  <c r="C3300" i="62"/>
  <c r="D3300" i="62"/>
  <c r="C3301" i="62"/>
  <c r="D3301" i="62"/>
  <c r="C3302" i="62"/>
  <c r="D3302" i="62"/>
  <c r="C3303" i="62"/>
  <c r="D3303" i="62"/>
  <c r="C3304" i="62"/>
  <c r="D3304" i="62"/>
  <c r="C3305" i="62"/>
  <c r="D3305" i="62"/>
  <c r="C3306" i="62"/>
  <c r="D3306" i="62"/>
  <c r="C3307" i="62"/>
  <c r="D3307" i="62"/>
  <c r="C3308" i="62"/>
  <c r="D3308" i="62"/>
  <c r="C3309" i="62"/>
  <c r="D3309" i="62"/>
  <c r="C3310" i="62"/>
  <c r="D3310" i="62"/>
  <c r="C3311" i="62"/>
  <c r="D3311" i="62"/>
  <c r="C3312" i="62"/>
  <c r="D3312" i="62"/>
  <c r="C3313" i="62"/>
  <c r="D3313" i="62"/>
  <c r="C3314" i="62"/>
  <c r="D3314" i="62"/>
  <c r="C3315" i="62"/>
  <c r="D3315" i="62"/>
  <c r="C3316" i="62"/>
  <c r="D3316" i="62"/>
  <c r="C3317" i="62"/>
  <c r="D3317" i="62"/>
  <c r="C3318" i="62"/>
  <c r="D3318" i="62"/>
  <c r="C3319" i="62"/>
  <c r="D3319" i="62"/>
  <c r="C3320" i="62"/>
  <c r="D3320" i="62"/>
  <c r="C3321" i="62"/>
  <c r="D3321" i="62"/>
  <c r="C3322" i="62"/>
  <c r="D3322" i="62"/>
  <c r="C3323" i="62"/>
  <c r="D3323" i="62"/>
  <c r="C3324" i="62"/>
  <c r="D3324" i="62"/>
  <c r="C3325" i="62"/>
  <c r="D3325" i="62"/>
  <c r="C3326" i="62"/>
  <c r="D3326" i="62"/>
  <c r="C3327" i="62"/>
  <c r="D3327" i="62"/>
  <c r="C3328" i="62"/>
  <c r="D3328" i="62"/>
  <c r="C3329" i="62"/>
  <c r="D3329" i="62"/>
  <c r="C3330" i="62"/>
  <c r="D3330" i="62"/>
  <c r="C3331" i="62"/>
  <c r="D3331" i="62"/>
  <c r="C3332" i="62"/>
  <c r="D3332" i="62"/>
  <c r="C3333" i="62"/>
  <c r="D3333" i="62"/>
  <c r="C3334" i="62"/>
  <c r="D3334" i="62"/>
  <c r="C3335" i="62"/>
  <c r="D3335" i="62"/>
  <c r="C3336" i="62"/>
  <c r="D3336" i="62"/>
  <c r="C3337" i="62"/>
  <c r="D3337" i="62"/>
  <c r="C3338" i="62"/>
  <c r="D3338" i="62"/>
  <c r="C3339" i="62"/>
  <c r="D3339" i="62"/>
  <c r="C3340" i="62"/>
  <c r="D3340" i="62"/>
  <c r="C3341" i="62"/>
  <c r="D3341" i="62"/>
  <c r="C3342" i="62"/>
  <c r="D3342" i="62"/>
  <c r="C3343" i="62"/>
  <c r="D3343" i="62"/>
  <c r="C3344" i="62"/>
  <c r="D3344" i="62"/>
  <c r="C3345" i="62"/>
  <c r="D3345" i="62"/>
  <c r="C3346" i="62"/>
  <c r="D3346" i="62"/>
  <c r="C3347" i="62"/>
  <c r="D3347" i="62"/>
  <c r="C3348" i="62"/>
  <c r="D3348" i="62"/>
  <c r="C3349" i="62"/>
  <c r="D3349" i="62"/>
  <c r="C3350" i="62"/>
  <c r="D3350" i="62"/>
  <c r="C3351" i="62"/>
  <c r="D3351" i="62"/>
  <c r="C3352" i="62"/>
  <c r="D3352" i="62"/>
  <c r="C3353" i="62"/>
  <c r="D3353" i="62"/>
  <c r="C3354" i="62"/>
  <c r="D3354" i="62"/>
  <c r="C3355" i="62"/>
  <c r="D3355" i="62"/>
  <c r="C3356" i="62"/>
  <c r="D3356" i="62"/>
  <c r="C3357" i="62"/>
  <c r="D3357" i="62"/>
  <c r="C3358" i="62"/>
  <c r="D3358" i="62"/>
  <c r="C3359" i="62"/>
  <c r="D3359" i="62"/>
  <c r="C3360" i="62"/>
  <c r="D3360" i="62"/>
  <c r="C3361" i="62"/>
  <c r="D3361" i="62"/>
  <c r="C3362" i="62"/>
  <c r="D3362" i="62"/>
  <c r="C3363" i="62"/>
  <c r="D3363" i="62"/>
  <c r="C3364" i="62"/>
  <c r="D3364" i="62"/>
  <c r="C3365" i="62"/>
  <c r="D3365" i="62"/>
  <c r="C3366" i="62"/>
  <c r="D3366" i="62"/>
  <c r="C3367" i="62"/>
  <c r="D3367" i="62"/>
  <c r="C3368" i="62"/>
  <c r="D3368" i="62"/>
  <c r="C3369" i="62"/>
  <c r="D3369" i="62"/>
  <c r="C3370" i="62"/>
  <c r="D3370" i="62"/>
  <c r="C3371" i="62"/>
  <c r="D3371" i="62"/>
  <c r="C3372" i="62"/>
  <c r="D3372" i="62"/>
  <c r="C3373" i="62"/>
  <c r="D3373" i="62"/>
  <c r="C3374" i="62"/>
  <c r="D3374" i="62"/>
  <c r="C3375" i="62"/>
  <c r="D3375" i="62"/>
  <c r="C3376" i="62"/>
  <c r="D3376" i="62"/>
  <c r="C3377" i="62"/>
  <c r="D3377" i="62"/>
  <c r="C3378" i="62"/>
  <c r="D3378" i="62"/>
  <c r="C3379" i="62"/>
  <c r="D3379" i="62"/>
  <c r="C3380" i="62"/>
  <c r="D3380" i="62"/>
  <c r="C3381" i="62"/>
  <c r="D3381" i="62"/>
  <c r="C3382" i="62"/>
  <c r="D3382" i="62"/>
  <c r="C3383" i="62"/>
  <c r="D3383" i="62"/>
  <c r="C3384" i="62"/>
  <c r="D3384" i="62"/>
  <c r="C3385" i="62"/>
  <c r="D3385" i="62"/>
  <c r="C3386" i="62"/>
  <c r="D3386" i="62"/>
  <c r="C3387" i="62"/>
  <c r="D3387" i="62"/>
  <c r="C3388" i="62"/>
  <c r="D3388" i="62"/>
  <c r="C3389" i="62"/>
  <c r="D3389" i="62"/>
  <c r="C3390" i="62"/>
  <c r="D3390" i="62"/>
  <c r="C3391" i="62"/>
  <c r="D3391" i="62"/>
  <c r="C3392" i="62"/>
  <c r="D3392" i="62"/>
  <c r="C3393" i="62"/>
  <c r="D3393" i="62"/>
  <c r="C3394" i="62"/>
  <c r="D3394" i="62"/>
  <c r="C3395" i="62"/>
  <c r="D3395" i="62"/>
  <c r="C3396" i="62"/>
  <c r="D3396" i="62"/>
  <c r="C3397" i="62"/>
  <c r="D3397" i="62"/>
  <c r="C3398" i="62"/>
  <c r="D3398" i="62"/>
  <c r="C3399" i="62"/>
  <c r="D3399" i="62"/>
  <c r="C3400" i="62"/>
  <c r="D3400" i="62"/>
  <c r="C3401" i="62"/>
  <c r="D3401" i="62"/>
  <c r="C3402" i="62"/>
  <c r="D3402" i="62"/>
  <c r="C3403" i="62"/>
  <c r="D3403" i="62"/>
  <c r="C3404" i="62"/>
  <c r="D3404" i="62"/>
  <c r="C3405" i="62"/>
  <c r="D3405" i="62"/>
  <c r="C3406" i="62"/>
  <c r="D3406" i="62"/>
  <c r="C3407" i="62"/>
  <c r="D3407" i="62"/>
  <c r="C3408" i="62"/>
  <c r="D3408" i="62"/>
  <c r="C3409" i="62"/>
  <c r="D3409" i="62"/>
  <c r="C3410" i="62"/>
  <c r="D3410" i="62"/>
  <c r="C3411" i="62"/>
  <c r="D3411" i="62"/>
  <c r="C3412" i="62"/>
  <c r="D3412" i="62"/>
  <c r="C3413" i="62"/>
  <c r="D3413" i="62"/>
  <c r="C3414" i="62"/>
  <c r="D3414" i="62"/>
  <c r="C3415" i="62"/>
  <c r="D3415" i="62"/>
  <c r="C3416" i="62"/>
  <c r="D3416" i="62"/>
  <c r="C3417" i="62"/>
  <c r="D3417" i="62"/>
  <c r="C3418" i="62"/>
  <c r="D3418" i="62"/>
  <c r="C3419" i="62"/>
  <c r="D3419" i="62"/>
  <c r="C3420" i="62"/>
  <c r="D3420" i="62"/>
  <c r="C3421" i="62"/>
  <c r="D3421" i="62"/>
  <c r="C3422" i="62"/>
  <c r="D3422" i="62"/>
  <c r="C3423" i="62"/>
  <c r="D3423" i="62"/>
  <c r="C3424" i="62"/>
  <c r="D3424" i="62"/>
  <c r="C3425" i="62"/>
  <c r="D3425" i="62"/>
  <c r="C3426" i="62"/>
  <c r="D3426" i="62"/>
  <c r="C3427" i="62"/>
  <c r="D3427" i="62"/>
  <c r="C3428" i="62"/>
  <c r="D3428" i="62"/>
  <c r="C3429" i="62"/>
  <c r="D3429" i="62"/>
  <c r="C3430" i="62"/>
  <c r="D3430" i="62"/>
  <c r="C3431" i="62"/>
  <c r="D3431" i="62"/>
  <c r="C3432" i="62"/>
  <c r="D3432" i="62"/>
  <c r="C3433" i="62"/>
  <c r="D3433" i="62"/>
  <c r="C3434" i="62"/>
  <c r="D3434" i="62"/>
  <c r="C3435" i="62"/>
  <c r="D3435" i="62"/>
  <c r="C3436" i="62"/>
  <c r="D3436" i="62"/>
  <c r="C3437" i="62"/>
  <c r="D3437" i="62"/>
  <c r="C3438" i="62"/>
  <c r="D3438" i="62"/>
  <c r="C3439" i="62"/>
  <c r="D3439" i="62"/>
  <c r="C3440" i="62"/>
  <c r="D3440" i="62"/>
  <c r="C3441" i="62"/>
  <c r="D3441" i="62"/>
  <c r="C3442" i="62"/>
  <c r="D3442" i="62"/>
  <c r="C3443" i="62"/>
  <c r="D3443" i="62"/>
  <c r="C3444" i="62"/>
  <c r="D3444" i="62"/>
  <c r="C3445" i="62"/>
  <c r="D3445" i="62"/>
  <c r="C3446" i="62"/>
  <c r="D3446" i="62"/>
  <c r="C3447" i="62"/>
  <c r="D3447" i="62"/>
  <c r="C3448" i="62"/>
  <c r="D3448" i="62"/>
  <c r="C3449" i="62"/>
  <c r="D3449" i="62"/>
  <c r="C3450" i="62"/>
  <c r="D3450" i="62"/>
  <c r="C3451" i="62"/>
  <c r="D3451" i="62"/>
  <c r="C3452" i="62"/>
  <c r="D3452" i="62"/>
  <c r="C3453" i="62"/>
  <c r="D3453" i="62"/>
  <c r="C3454" i="62"/>
  <c r="D3454" i="62"/>
  <c r="C3455" i="62"/>
  <c r="D3455" i="62"/>
  <c r="C3456" i="62"/>
  <c r="D3456" i="62"/>
  <c r="C3457" i="62"/>
  <c r="D3457" i="62"/>
  <c r="C3458" i="62"/>
  <c r="D3458" i="62"/>
  <c r="C3459" i="62"/>
  <c r="D3459" i="62"/>
  <c r="C3460" i="62"/>
  <c r="D3460" i="62"/>
  <c r="C3461" i="62"/>
  <c r="D3461" i="62"/>
  <c r="C3462" i="62"/>
  <c r="D3462" i="62"/>
  <c r="C3463" i="62"/>
  <c r="D3463" i="62"/>
  <c r="C3464" i="62"/>
  <c r="D3464" i="62"/>
  <c r="C3465" i="62"/>
  <c r="D3465" i="62"/>
  <c r="C3466" i="62"/>
  <c r="D3466" i="62"/>
  <c r="C3467" i="62"/>
  <c r="D3467" i="62"/>
  <c r="C3468" i="62"/>
  <c r="D3468" i="62"/>
  <c r="C3469" i="62"/>
  <c r="D3469" i="62"/>
  <c r="C3470" i="62"/>
  <c r="D3470" i="62"/>
  <c r="C3471" i="62"/>
  <c r="D3471" i="62"/>
  <c r="C3472" i="62"/>
  <c r="D3472" i="62"/>
  <c r="C3473" i="62"/>
  <c r="D3473" i="62"/>
  <c r="C3474" i="62"/>
  <c r="D3474" i="62"/>
  <c r="C3475" i="62"/>
  <c r="D3475" i="62"/>
  <c r="C3476" i="62"/>
  <c r="D3476" i="62"/>
  <c r="C3477" i="62"/>
  <c r="D3477" i="62"/>
  <c r="C3478" i="62"/>
  <c r="D3478" i="62"/>
  <c r="C3479" i="62"/>
  <c r="D3479" i="62"/>
  <c r="C3480" i="62"/>
  <c r="D3480" i="62"/>
  <c r="C3481" i="62"/>
  <c r="D3481" i="62"/>
  <c r="C3482" i="62"/>
  <c r="D3482" i="62"/>
  <c r="C3483" i="62"/>
  <c r="D3483" i="62"/>
  <c r="C3484" i="62"/>
  <c r="D3484" i="62"/>
  <c r="C3485" i="62"/>
  <c r="D3485" i="62"/>
  <c r="C3486" i="62"/>
  <c r="D3486" i="62"/>
  <c r="C3487" i="62"/>
  <c r="D3487" i="62"/>
  <c r="C3488" i="62"/>
  <c r="D3488" i="62"/>
  <c r="C3489" i="62"/>
  <c r="D3489" i="62"/>
  <c r="C3490" i="62"/>
  <c r="D3490" i="62"/>
  <c r="C3491" i="62"/>
  <c r="D3491" i="62"/>
  <c r="C3492" i="62"/>
  <c r="D3492" i="62"/>
  <c r="C3493" i="62"/>
  <c r="D3493" i="62"/>
  <c r="C3494" i="62"/>
  <c r="D3494" i="62"/>
  <c r="C3495" i="62"/>
  <c r="D3495" i="62"/>
  <c r="C3496" i="62"/>
  <c r="D3496" i="62"/>
  <c r="C3497" i="62"/>
  <c r="D3497" i="62"/>
  <c r="C3498" i="62"/>
  <c r="D3498" i="62"/>
  <c r="C3499" i="62"/>
  <c r="D3499" i="62"/>
  <c r="C3500" i="62"/>
  <c r="D3500" i="62"/>
  <c r="C3501" i="62"/>
  <c r="D3501" i="62"/>
  <c r="C3502" i="62"/>
  <c r="D3502" i="62"/>
  <c r="C3503" i="62"/>
  <c r="D3503" i="62"/>
  <c r="C3504" i="62"/>
  <c r="D3504" i="62"/>
  <c r="C3505" i="62"/>
  <c r="D3505" i="62"/>
  <c r="C3506" i="62"/>
  <c r="D3506" i="62"/>
  <c r="C3507" i="62"/>
  <c r="D3507" i="62"/>
  <c r="C3508" i="62"/>
  <c r="D3508" i="62"/>
  <c r="C3509" i="62"/>
  <c r="D3509" i="62"/>
  <c r="C3510" i="62"/>
  <c r="D3510" i="62"/>
  <c r="C3511" i="62"/>
  <c r="D3511" i="62"/>
  <c r="C3512" i="62"/>
  <c r="D3512" i="62"/>
  <c r="C3513" i="62"/>
  <c r="D3513" i="62"/>
  <c r="C3514" i="62"/>
  <c r="D3514" i="62"/>
  <c r="C3515" i="62"/>
  <c r="D3515" i="62"/>
  <c r="C3516" i="62"/>
  <c r="D3516" i="62"/>
  <c r="C3517" i="62"/>
  <c r="D3517" i="62"/>
  <c r="C3518" i="62"/>
  <c r="D3518" i="62"/>
  <c r="C3519" i="62"/>
  <c r="D3519" i="62"/>
  <c r="C3520" i="62"/>
  <c r="D3520" i="62"/>
  <c r="C3521" i="62"/>
  <c r="D3521" i="62"/>
  <c r="C3522" i="62"/>
  <c r="D3522" i="62"/>
  <c r="C3523" i="62"/>
  <c r="D3523" i="62"/>
  <c r="C3524" i="62"/>
  <c r="D3524" i="62"/>
  <c r="C3525" i="62"/>
  <c r="D3525" i="62"/>
  <c r="C3526" i="62"/>
  <c r="D3526" i="62"/>
  <c r="C3527" i="62"/>
  <c r="D3527" i="62"/>
  <c r="C3528" i="62"/>
  <c r="D3528" i="62"/>
  <c r="C3529" i="62"/>
  <c r="D3529" i="62"/>
  <c r="C3530" i="62"/>
  <c r="D3530" i="62"/>
  <c r="C3531" i="62"/>
  <c r="D3531" i="62"/>
  <c r="C3532" i="62"/>
  <c r="D3532" i="62"/>
  <c r="C3533" i="62"/>
  <c r="D3533" i="62"/>
  <c r="C3534" i="62"/>
  <c r="D3534" i="62"/>
  <c r="C3535" i="62"/>
  <c r="D3535" i="62"/>
  <c r="C3536" i="62"/>
  <c r="D3536" i="62"/>
  <c r="C3537" i="62"/>
  <c r="D3537" i="62"/>
  <c r="C3538" i="62"/>
  <c r="D3538" i="62"/>
  <c r="C3539" i="62"/>
  <c r="D3539" i="62"/>
  <c r="C3540" i="62"/>
  <c r="D3540" i="62"/>
  <c r="C3541" i="62"/>
  <c r="D3541" i="62"/>
  <c r="C3542" i="62"/>
  <c r="D3542" i="62"/>
  <c r="C3543" i="62"/>
  <c r="D3543" i="62"/>
  <c r="C3544" i="62"/>
  <c r="D3544" i="62"/>
  <c r="C3545" i="62"/>
  <c r="D3545" i="62"/>
  <c r="C3546" i="62"/>
  <c r="D3546" i="62"/>
  <c r="C3547" i="62"/>
  <c r="D3547" i="62"/>
  <c r="C3548" i="62"/>
  <c r="D3548" i="62"/>
  <c r="C3549" i="62"/>
  <c r="D3549" i="62"/>
  <c r="C3550" i="62"/>
  <c r="D3550" i="62"/>
  <c r="C3551" i="62"/>
  <c r="D3551" i="62"/>
  <c r="C3552" i="62"/>
  <c r="D3552" i="62"/>
  <c r="C3553" i="62"/>
  <c r="D3553" i="62"/>
  <c r="C3554" i="62"/>
  <c r="D3554" i="62"/>
  <c r="C3555" i="62"/>
  <c r="D3555" i="62"/>
  <c r="C3556" i="62"/>
  <c r="D3556" i="62"/>
  <c r="C3557" i="62"/>
  <c r="D3557" i="62"/>
  <c r="C3558" i="62"/>
  <c r="D3558" i="62"/>
  <c r="C3559" i="62"/>
  <c r="D3559" i="62"/>
  <c r="C3560" i="62"/>
  <c r="D3560" i="62"/>
  <c r="C3561" i="62"/>
  <c r="D3561" i="62"/>
  <c r="C3562" i="62"/>
  <c r="D3562" i="62"/>
  <c r="C3563" i="62"/>
  <c r="D3563" i="62"/>
  <c r="C3564" i="62"/>
  <c r="D3564" i="62"/>
  <c r="C3565" i="62"/>
  <c r="D3565" i="62"/>
  <c r="C3566" i="62"/>
  <c r="D3566" i="62"/>
  <c r="C3567" i="62"/>
  <c r="D3567" i="62"/>
  <c r="C3568" i="62"/>
  <c r="D3568" i="62"/>
  <c r="C3569" i="62"/>
  <c r="D3569" i="62"/>
  <c r="C3570" i="62"/>
  <c r="D3570" i="62"/>
  <c r="C3571" i="62"/>
  <c r="D3571" i="62"/>
  <c r="C3572" i="62"/>
  <c r="D3572" i="62"/>
  <c r="C3573" i="62"/>
  <c r="D3573" i="62"/>
  <c r="C3574" i="62"/>
  <c r="D3574" i="62"/>
  <c r="C3575" i="62"/>
  <c r="D3575" i="62"/>
  <c r="C3576" i="62"/>
  <c r="D3576" i="62"/>
  <c r="C3577" i="62"/>
  <c r="D3577" i="62"/>
  <c r="C3578" i="62"/>
  <c r="D3578" i="62"/>
  <c r="C3579" i="62"/>
  <c r="D3579" i="62"/>
  <c r="C3580" i="62"/>
  <c r="D3580" i="62"/>
  <c r="C3581" i="62"/>
  <c r="D3581" i="62"/>
  <c r="C3582" i="62"/>
  <c r="D3582" i="62"/>
  <c r="C3583" i="62"/>
  <c r="D3583" i="62"/>
  <c r="C3584" i="62"/>
  <c r="D3584" i="62"/>
  <c r="C3585" i="62"/>
  <c r="D3585" i="62"/>
  <c r="C3586" i="62"/>
  <c r="D3586" i="62"/>
  <c r="C3587" i="62"/>
  <c r="D3587" i="62"/>
  <c r="C3588" i="62"/>
  <c r="D3588" i="62"/>
  <c r="C3589" i="62"/>
  <c r="D3589" i="62"/>
  <c r="C3590" i="62"/>
  <c r="D3590" i="62"/>
  <c r="C3591" i="62"/>
  <c r="D3591" i="62"/>
  <c r="C3592" i="62"/>
  <c r="D3592" i="62"/>
  <c r="C3593" i="62"/>
  <c r="D3593" i="62"/>
  <c r="C3594" i="62"/>
  <c r="D3594" i="62"/>
  <c r="C3595" i="62"/>
  <c r="D3595" i="62"/>
  <c r="C3596" i="62"/>
  <c r="D3596" i="62"/>
  <c r="C3597" i="62"/>
  <c r="D3597" i="62"/>
  <c r="C3598" i="62"/>
  <c r="D3598" i="62"/>
  <c r="C3599" i="62"/>
  <c r="D3599" i="62"/>
  <c r="C3600" i="62"/>
  <c r="D3600" i="62"/>
  <c r="C3601" i="62"/>
  <c r="D3601" i="62"/>
  <c r="C3602" i="62"/>
  <c r="D3602" i="62"/>
  <c r="C3603" i="62"/>
  <c r="D3603" i="62"/>
  <c r="C3604" i="62"/>
  <c r="D3604" i="62"/>
  <c r="C3605" i="62"/>
  <c r="D3605" i="62"/>
  <c r="C3606" i="62"/>
  <c r="D3606" i="62"/>
  <c r="C3607" i="62"/>
  <c r="D3607" i="62"/>
  <c r="C3608" i="62"/>
  <c r="D3608" i="62"/>
  <c r="C3609" i="62"/>
  <c r="D3609" i="62"/>
  <c r="C3610" i="62"/>
  <c r="D3610" i="62"/>
  <c r="C3611" i="62"/>
  <c r="D3611" i="62"/>
  <c r="C3612" i="62"/>
  <c r="D3612" i="62"/>
  <c r="C3613" i="62"/>
  <c r="D3613" i="62"/>
  <c r="C3614" i="62"/>
  <c r="D3614" i="62"/>
  <c r="C3615" i="62"/>
  <c r="D3615" i="62"/>
  <c r="C3616" i="62"/>
  <c r="D3616" i="62"/>
  <c r="C3617" i="62"/>
  <c r="D3617" i="62"/>
  <c r="C3618" i="62"/>
  <c r="D3618" i="62"/>
  <c r="C3619" i="62"/>
  <c r="D3619" i="62"/>
  <c r="C3620" i="62"/>
  <c r="D3620" i="62"/>
  <c r="C3621" i="62"/>
  <c r="D3621" i="62"/>
  <c r="C3622" i="62"/>
  <c r="D3622" i="62"/>
  <c r="C3623" i="62"/>
  <c r="D3623" i="62"/>
  <c r="C3624" i="62"/>
  <c r="D3624" i="62"/>
  <c r="C3625" i="62"/>
  <c r="D3625" i="62"/>
  <c r="C3626" i="62"/>
  <c r="D3626" i="62"/>
  <c r="C3627" i="62"/>
  <c r="D3627" i="62"/>
  <c r="C3628" i="62"/>
  <c r="D3628" i="62"/>
  <c r="C3629" i="62"/>
  <c r="D3629" i="62"/>
  <c r="C3630" i="62"/>
  <c r="D3630" i="62"/>
  <c r="C3631" i="62"/>
  <c r="D3631" i="62"/>
  <c r="C3632" i="62"/>
  <c r="D3632" i="62"/>
  <c r="C3633" i="62"/>
  <c r="D3633" i="62"/>
  <c r="C3634" i="62"/>
  <c r="D3634" i="62"/>
  <c r="C3635" i="62"/>
  <c r="D3635" i="62"/>
  <c r="C3636" i="62"/>
  <c r="D3636" i="62"/>
  <c r="C3637" i="62"/>
  <c r="D3637" i="62"/>
  <c r="C3638" i="62"/>
  <c r="D3638" i="62"/>
  <c r="C3639" i="62"/>
  <c r="D3639" i="62"/>
  <c r="C3640" i="62"/>
  <c r="D3640" i="62"/>
  <c r="C3641" i="62"/>
  <c r="D3641" i="62"/>
  <c r="C3642" i="62"/>
  <c r="D3642" i="62"/>
  <c r="C3643" i="62"/>
  <c r="D3643" i="62"/>
  <c r="C3644" i="62"/>
  <c r="D3644" i="62"/>
  <c r="C3645" i="62"/>
  <c r="D3645" i="62"/>
  <c r="C3646" i="62"/>
  <c r="D3646" i="62"/>
  <c r="C3647" i="62"/>
  <c r="D3647" i="62"/>
  <c r="C3648" i="62"/>
  <c r="D3648" i="62"/>
  <c r="C3649" i="62"/>
  <c r="D3649" i="62"/>
  <c r="C3650" i="62"/>
  <c r="D3650" i="62"/>
  <c r="C3651" i="62"/>
  <c r="D3651" i="62"/>
  <c r="C3652" i="62"/>
  <c r="D3652" i="62"/>
  <c r="C3653" i="62"/>
  <c r="D3653" i="62"/>
  <c r="C3654" i="62"/>
  <c r="D3654" i="62"/>
  <c r="C3655" i="62"/>
  <c r="D3655" i="62"/>
  <c r="C3656" i="62"/>
  <c r="D3656" i="62"/>
  <c r="C3657" i="62"/>
  <c r="D3657" i="62"/>
  <c r="C3658" i="62"/>
  <c r="D3658" i="62"/>
  <c r="C3659" i="62"/>
  <c r="D3659" i="62"/>
  <c r="C3660" i="62"/>
  <c r="D3660" i="62"/>
  <c r="C3661" i="62"/>
  <c r="D3661" i="62"/>
  <c r="C3662" i="62"/>
  <c r="D3662" i="62"/>
  <c r="C3663" i="62"/>
  <c r="D3663" i="62"/>
  <c r="C3664" i="62"/>
  <c r="D3664" i="62"/>
  <c r="C3665" i="62"/>
  <c r="D3665" i="62"/>
  <c r="C3666" i="62"/>
  <c r="D3666" i="62"/>
  <c r="C3667" i="62"/>
  <c r="D3667" i="62"/>
  <c r="C3668" i="62"/>
  <c r="D3668" i="62"/>
  <c r="C3669" i="62"/>
  <c r="D3669" i="62"/>
  <c r="C3670" i="62"/>
  <c r="D3670" i="62"/>
  <c r="C3671" i="62"/>
  <c r="D3671" i="62"/>
  <c r="C3672" i="62"/>
  <c r="D3672" i="62"/>
  <c r="C3673" i="62"/>
  <c r="D3673" i="62"/>
  <c r="C3674" i="62"/>
  <c r="D3674" i="62"/>
  <c r="C3675" i="62"/>
  <c r="D3675" i="62"/>
  <c r="C3676" i="62"/>
  <c r="D3676" i="62"/>
  <c r="C3677" i="62"/>
  <c r="D3677" i="62"/>
  <c r="C3678" i="62"/>
  <c r="D3678" i="62"/>
  <c r="C3679" i="62"/>
  <c r="D3679" i="62"/>
  <c r="C3680" i="62"/>
  <c r="D3680" i="62"/>
  <c r="C3681" i="62"/>
  <c r="D3681" i="62"/>
  <c r="C3682" i="62"/>
  <c r="D3682" i="62"/>
  <c r="C3683" i="62"/>
  <c r="D3683" i="62"/>
  <c r="C3684" i="62"/>
  <c r="D3684" i="62"/>
  <c r="C3685" i="62"/>
  <c r="D3685" i="62"/>
  <c r="C3686" i="62"/>
  <c r="D3686" i="62"/>
  <c r="C3687" i="62"/>
  <c r="D3687" i="62"/>
  <c r="C3688" i="62"/>
  <c r="D3688" i="62"/>
  <c r="C3689" i="62"/>
  <c r="D3689" i="62"/>
  <c r="C3690" i="62"/>
  <c r="D3690" i="62"/>
  <c r="C3691" i="62"/>
  <c r="D3691" i="62"/>
  <c r="C3692" i="62"/>
  <c r="D3692" i="62"/>
  <c r="C3693" i="62"/>
  <c r="D3693" i="62"/>
  <c r="C3694" i="62"/>
  <c r="D3694" i="62"/>
  <c r="C3695" i="62"/>
  <c r="D3695" i="62"/>
  <c r="C3696" i="62"/>
  <c r="D3696" i="62"/>
  <c r="C3697" i="62"/>
  <c r="D3697" i="62"/>
  <c r="C3698" i="62"/>
  <c r="D3698" i="62"/>
  <c r="C3699" i="62"/>
  <c r="D3699" i="62"/>
  <c r="C3700" i="62"/>
  <c r="D3700" i="62"/>
  <c r="C3701" i="62"/>
  <c r="D3701" i="62"/>
  <c r="C3702" i="62"/>
  <c r="D3702" i="62"/>
  <c r="C3703" i="62"/>
  <c r="D3703" i="62"/>
  <c r="C3704" i="62"/>
  <c r="D3704" i="62"/>
  <c r="C3705" i="62"/>
  <c r="D3705" i="62"/>
  <c r="C3706" i="62"/>
  <c r="D3706" i="62"/>
  <c r="C3707" i="62"/>
  <c r="D3707" i="62"/>
  <c r="C3708" i="62"/>
  <c r="D3708" i="62"/>
  <c r="C3709" i="62"/>
  <c r="D3709" i="62"/>
  <c r="C3710" i="62"/>
  <c r="D3710" i="62"/>
  <c r="C3711" i="62"/>
  <c r="D3711" i="62"/>
  <c r="C3712" i="62"/>
  <c r="D3712" i="62"/>
  <c r="C3713" i="62"/>
  <c r="D3713" i="62"/>
  <c r="C3714" i="62"/>
  <c r="D3714" i="62"/>
  <c r="C3715" i="62"/>
  <c r="D3715" i="62"/>
  <c r="C3716" i="62"/>
  <c r="D3716" i="62"/>
  <c r="C3717" i="62"/>
  <c r="D3717" i="62"/>
  <c r="C3718" i="62"/>
  <c r="D3718" i="62"/>
  <c r="C3719" i="62"/>
  <c r="D3719" i="62"/>
  <c r="C3720" i="62"/>
  <c r="D3720" i="62"/>
  <c r="C3721" i="62"/>
  <c r="D3721" i="62"/>
  <c r="C3722" i="62"/>
  <c r="D3722" i="62"/>
  <c r="C3723" i="62"/>
  <c r="D3723" i="62"/>
  <c r="C3724" i="62"/>
  <c r="D3724" i="62"/>
  <c r="C3725" i="62"/>
  <c r="D3725" i="62"/>
  <c r="C3726" i="62"/>
  <c r="D3726" i="62"/>
  <c r="C3727" i="62"/>
  <c r="D3727" i="62"/>
  <c r="C3728" i="62"/>
  <c r="D3728" i="62"/>
  <c r="C3729" i="62"/>
  <c r="D3729" i="62"/>
  <c r="C3730" i="62"/>
  <c r="D3730" i="62"/>
  <c r="C3731" i="62"/>
  <c r="D3731" i="62"/>
  <c r="C3732" i="62"/>
  <c r="D3732" i="62"/>
  <c r="C3733" i="62"/>
  <c r="D3733" i="62"/>
  <c r="C3734" i="62"/>
  <c r="D3734" i="62"/>
  <c r="C3735" i="62"/>
  <c r="D3735" i="62"/>
  <c r="C3736" i="62"/>
  <c r="D3736" i="62"/>
  <c r="C3737" i="62"/>
  <c r="D3737" i="62"/>
  <c r="C3738" i="62"/>
  <c r="D3738" i="62"/>
  <c r="C3739" i="62"/>
  <c r="D3739" i="62"/>
  <c r="C3740" i="62"/>
  <c r="D3740" i="62"/>
  <c r="C3741" i="62"/>
  <c r="D3741" i="62"/>
  <c r="C3742" i="62"/>
  <c r="D3742" i="62"/>
  <c r="C3743" i="62"/>
  <c r="D3743" i="62"/>
  <c r="C3744" i="62"/>
  <c r="D3744" i="62"/>
  <c r="C3745" i="62"/>
  <c r="D3745" i="62"/>
  <c r="C3746" i="62"/>
  <c r="D3746" i="62"/>
  <c r="C3747" i="62"/>
  <c r="D3747" i="62"/>
  <c r="C3748" i="62"/>
  <c r="D3748" i="62"/>
  <c r="C3749" i="62"/>
  <c r="D3749" i="62"/>
  <c r="C3750" i="62"/>
  <c r="D3750" i="62"/>
  <c r="C3751" i="62"/>
  <c r="D3751" i="62"/>
  <c r="C3752" i="62"/>
  <c r="D3752" i="62"/>
  <c r="C3753" i="62"/>
  <c r="D3753" i="62"/>
  <c r="C3754" i="62"/>
  <c r="D3754" i="62"/>
  <c r="C3755" i="62"/>
  <c r="D3755" i="62"/>
  <c r="C3756" i="62"/>
  <c r="D3756" i="62"/>
  <c r="C3757" i="62"/>
  <c r="D3757" i="62"/>
  <c r="C3758" i="62"/>
  <c r="D3758" i="62"/>
  <c r="C3759" i="62"/>
  <c r="D3759" i="62"/>
  <c r="C3760" i="62"/>
  <c r="D3760" i="62"/>
  <c r="C3761" i="62"/>
  <c r="D3761" i="62"/>
  <c r="C3762" i="62"/>
  <c r="D3762" i="62"/>
  <c r="C3763" i="62"/>
  <c r="D3763" i="62"/>
  <c r="C3764" i="62"/>
  <c r="D3764" i="62"/>
  <c r="C3765" i="62"/>
  <c r="D3765" i="62"/>
  <c r="C3766" i="62"/>
  <c r="D3766" i="62"/>
  <c r="C3767" i="62"/>
  <c r="D3767" i="62"/>
  <c r="C3768" i="62"/>
  <c r="D3768" i="62"/>
  <c r="C3769" i="62"/>
  <c r="D3769" i="62"/>
  <c r="C3770" i="62"/>
  <c r="D3770" i="62"/>
  <c r="C3771" i="62"/>
  <c r="D3771" i="62"/>
  <c r="C3772" i="62"/>
  <c r="D3772" i="62"/>
  <c r="C3773" i="62"/>
  <c r="D3773" i="62"/>
  <c r="C3774" i="62"/>
  <c r="D3774" i="62"/>
  <c r="C3775" i="62"/>
  <c r="D3775" i="62"/>
  <c r="C3776" i="62"/>
  <c r="D3776" i="62"/>
  <c r="C3777" i="62"/>
  <c r="D3777" i="62"/>
  <c r="C3778" i="62"/>
  <c r="D3778" i="62"/>
  <c r="C3779" i="62"/>
  <c r="D3779" i="62"/>
  <c r="C3780" i="62"/>
  <c r="D3780" i="62"/>
  <c r="C3781" i="62"/>
  <c r="D3781" i="62"/>
  <c r="C3782" i="62"/>
  <c r="D3782" i="62"/>
  <c r="C3783" i="62"/>
  <c r="D3783" i="62"/>
  <c r="C3784" i="62"/>
  <c r="D3784" i="62"/>
  <c r="C3785" i="62"/>
  <c r="D3785" i="62"/>
  <c r="C3786" i="62"/>
  <c r="D3786" i="62"/>
  <c r="C3787" i="62"/>
  <c r="D3787" i="62"/>
  <c r="C3788" i="62"/>
  <c r="D3788" i="62"/>
  <c r="C3789" i="62"/>
  <c r="D3789" i="62"/>
  <c r="C3790" i="62"/>
  <c r="D3790" i="62"/>
  <c r="C3791" i="62"/>
  <c r="D3791" i="62"/>
  <c r="C3792" i="62"/>
  <c r="D3792" i="62"/>
  <c r="C3793" i="62"/>
  <c r="D3793" i="62"/>
  <c r="C3794" i="62"/>
  <c r="D3794" i="62"/>
  <c r="C3795" i="62"/>
  <c r="D3795" i="62"/>
  <c r="C3796" i="62"/>
  <c r="D3796" i="62"/>
  <c r="C3797" i="62"/>
  <c r="D3797" i="62"/>
  <c r="C3798" i="62"/>
  <c r="D3798" i="62"/>
  <c r="C3799" i="62"/>
  <c r="D3799" i="62"/>
  <c r="C3800" i="62"/>
  <c r="D3800" i="62"/>
  <c r="C3801" i="62"/>
  <c r="D3801" i="62"/>
  <c r="C3802" i="62"/>
  <c r="D3802" i="62"/>
  <c r="C3803" i="62"/>
  <c r="D3803" i="62"/>
  <c r="C3804" i="62"/>
  <c r="D3804" i="62"/>
  <c r="C3805" i="62"/>
  <c r="D3805" i="62"/>
  <c r="C3806" i="62"/>
  <c r="D3806" i="62"/>
  <c r="C3807" i="62"/>
  <c r="D3807" i="62"/>
  <c r="C3808" i="62"/>
  <c r="D3808" i="62"/>
  <c r="C3809" i="62"/>
  <c r="D3809" i="62"/>
  <c r="C3810" i="62"/>
  <c r="D3810" i="62"/>
  <c r="C3811" i="62"/>
  <c r="D3811" i="62"/>
  <c r="C3812" i="62"/>
  <c r="D3812" i="62"/>
  <c r="C3813" i="62"/>
  <c r="D3813" i="62"/>
  <c r="C3814" i="62"/>
  <c r="D3814" i="62"/>
  <c r="C3815" i="62"/>
  <c r="D3815" i="62"/>
  <c r="C3816" i="62"/>
  <c r="D3816" i="62"/>
  <c r="C3817" i="62"/>
  <c r="D3817" i="62"/>
  <c r="C3818" i="62"/>
  <c r="D3818" i="62"/>
  <c r="C3819" i="62"/>
  <c r="D3819" i="62"/>
  <c r="C3820" i="62"/>
  <c r="D3820" i="62"/>
  <c r="C3821" i="62"/>
  <c r="D3821" i="62"/>
  <c r="C3822" i="62"/>
  <c r="D3822" i="62"/>
  <c r="C3823" i="62"/>
  <c r="D3823" i="62"/>
  <c r="C3824" i="62"/>
  <c r="D3824" i="62"/>
  <c r="C3825" i="62"/>
  <c r="D3825" i="62"/>
  <c r="C3826" i="62"/>
  <c r="D3826" i="62"/>
  <c r="C3827" i="62"/>
  <c r="D3827" i="62"/>
  <c r="C3828" i="62"/>
  <c r="D3828" i="62"/>
  <c r="C3829" i="62"/>
  <c r="D3829" i="62"/>
  <c r="C3830" i="62"/>
  <c r="D3830" i="62"/>
  <c r="C3831" i="62"/>
  <c r="D3831" i="62"/>
  <c r="C3832" i="62"/>
  <c r="D3832" i="62"/>
  <c r="C3833" i="62"/>
  <c r="D3833" i="62"/>
  <c r="C3834" i="62"/>
  <c r="D3834" i="62"/>
  <c r="C3835" i="62"/>
  <c r="D3835" i="62"/>
  <c r="C3836" i="62"/>
  <c r="D3836" i="62"/>
  <c r="C3837" i="62"/>
  <c r="D3837" i="62"/>
  <c r="C3838" i="62"/>
  <c r="D3838" i="62"/>
  <c r="C3839" i="62"/>
  <c r="D3839" i="62"/>
  <c r="C3840" i="62"/>
  <c r="D3840" i="62"/>
  <c r="C3841" i="62"/>
  <c r="D3841" i="62"/>
  <c r="C3842" i="62"/>
  <c r="D3842" i="62"/>
  <c r="C3843" i="62"/>
  <c r="D3843" i="62"/>
  <c r="C3844" i="62"/>
  <c r="D3844" i="62"/>
  <c r="C3845" i="62"/>
  <c r="D3845" i="62"/>
  <c r="C3846" i="62"/>
  <c r="D3846" i="62"/>
  <c r="C3847" i="62"/>
  <c r="D3847" i="62"/>
  <c r="C3848" i="62"/>
  <c r="D3848" i="62"/>
  <c r="C3849" i="62"/>
  <c r="D3849" i="62"/>
  <c r="C3850" i="62"/>
  <c r="D3850" i="62"/>
  <c r="C3851" i="62"/>
  <c r="D3851" i="62"/>
  <c r="C3852" i="62"/>
  <c r="D3852" i="62"/>
  <c r="C3853" i="62"/>
  <c r="D3853" i="62"/>
  <c r="C3854" i="62"/>
  <c r="D3854" i="62"/>
  <c r="C3855" i="62"/>
  <c r="D3855" i="62"/>
  <c r="C3856" i="62"/>
  <c r="D3856" i="62"/>
  <c r="C3857" i="62"/>
  <c r="D3857" i="62"/>
  <c r="C3858" i="62"/>
  <c r="D3858" i="62"/>
  <c r="C3859" i="62"/>
  <c r="D3859" i="62"/>
  <c r="C3860" i="62"/>
  <c r="D3860" i="62"/>
  <c r="C3861" i="62"/>
  <c r="D3861" i="62"/>
  <c r="C3862" i="62"/>
  <c r="D3862" i="62"/>
  <c r="C3863" i="62"/>
  <c r="D3863" i="62"/>
  <c r="C3864" i="62"/>
  <c r="D3864" i="62"/>
  <c r="C3865" i="62"/>
  <c r="D3865" i="62"/>
  <c r="C3866" i="62"/>
  <c r="D3866" i="62"/>
  <c r="C3867" i="62"/>
  <c r="D3867" i="62"/>
  <c r="C3868" i="62"/>
  <c r="D3868" i="62"/>
  <c r="C3869" i="62"/>
  <c r="D3869" i="62"/>
  <c r="C3870" i="62"/>
  <c r="D3870" i="62"/>
  <c r="C3871" i="62"/>
  <c r="D3871" i="62"/>
  <c r="C3872" i="62"/>
  <c r="D3872" i="62"/>
  <c r="C3873" i="62"/>
  <c r="D3873" i="62"/>
  <c r="C3874" i="62"/>
  <c r="D3874" i="62"/>
  <c r="C3875" i="62"/>
  <c r="D3875" i="62"/>
  <c r="C3876" i="62"/>
  <c r="D3876" i="62"/>
  <c r="C3877" i="62"/>
  <c r="D3877" i="62"/>
  <c r="C3878" i="62"/>
  <c r="D3878" i="62"/>
  <c r="C3879" i="62"/>
  <c r="D3879" i="62"/>
  <c r="C3880" i="62"/>
  <c r="D3880" i="62"/>
  <c r="C3881" i="62"/>
  <c r="D3881" i="62"/>
  <c r="C3882" i="62"/>
  <c r="D3882" i="62"/>
  <c r="C3883" i="62"/>
  <c r="D3883" i="62"/>
  <c r="C3884" i="62"/>
  <c r="D3884" i="62"/>
  <c r="C3885" i="62"/>
  <c r="D3885" i="62"/>
  <c r="C3886" i="62"/>
  <c r="D3886" i="62"/>
  <c r="C3887" i="62"/>
  <c r="D3887" i="62"/>
  <c r="C3888" i="62"/>
  <c r="D3888" i="62"/>
  <c r="C3889" i="62"/>
  <c r="D3889" i="62"/>
  <c r="C3890" i="62"/>
  <c r="D3890" i="62"/>
  <c r="C3891" i="62"/>
  <c r="D3891" i="62"/>
  <c r="C3892" i="62"/>
  <c r="D3892" i="62"/>
  <c r="C3893" i="62"/>
  <c r="D3893" i="62"/>
  <c r="C3894" i="62"/>
  <c r="D3894" i="62"/>
  <c r="C3895" i="62"/>
  <c r="D3895" i="62"/>
  <c r="C3896" i="62"/>
  <c r="D3896" i="62"/>
  <c r="C3897" i="62"/>
  <c r="D3897" i="62"/>
  <c r="C3898" i="62"/>
  <c r="D3898" i="62"/>
  <c r="C3899" i="62"/>
  <c r="D3899" i="62"/>
  <c r="C3900" i="62"/>
  <c r="D3900" i="62"/>
  <c r="C3901" i="62"/>
  <c r="D3901" i="62"/>
  <c r="C3902" i="62"/>
  <c r="D3902" i="62"/>
  <c r="C3903" i="62"/>
  <c r="D3903" i="62"/>
  <c r="C3904" i="62"/>
  <c r="D3904" i="62"/>
  <c r="C3905" i="62"/>
  <c r="D3905" i="62"/>
  <c r="C3906" i="62"/>
  <c r="D3906" i="62"/>
  <c r="C3907" i="62"/>
  <c r="D3907" i="62"/>
  <c r="C3908" i="62"/>
  <c r="D3908" i="62"/>
  <c r="C3909" i="62"/>
  <c r="D3909" i="62"/>
  <c r="C3910" i="62"/>
  <c r="D3910" i="62"/>
  <c r="C3911" i="62"/>
  <c r="D3911" i="62"/>
  <c r="C3912" i="62"/>
  <c r="D3912" i="62"/>
  <c r="C3913" i="62"/>
  <c r="D3913" i="62"/>
  <c r="C3914" i="62"/>
  <c r="D3914" i="62"/>
  <c r="C3915" i="62"/>
  <c r="D3915" i="62"/>
  <c r="C3916" i="62"/>
  <c r="D3916" i="62"/>
  <c r="C3917" i="62"/>
  <c r="D3917" i="62"/>
  <c r="C3918" i="62"/>
  <c r="D3918" i="62"/>
  <c r="C3919" i="62"/>
  <c r="D3919" i="62"/>
  <c r="C3920" i="62"/>
  <c r="D3920" i="62"/>
  <c r="C3921" i="62"/>
  <c r="D3921" i="62"/>
  <c r="C3922" i="62"/>
  <c r="D3922" i="62"/>
  <c r="C3923" i="62"/>
  <c r="D3923" i="62"/>
  <c r="C3924" i="62"/>
  <c r="D3924" i="62"/>
  <c r="C3925" i="62"/>
  <c r="D3925" i="62"/>
  <c r="C3926" i="62"/>
  <c r="D3926" i="62"/>
  <c r="C3927" i="62"/>
  <c r="D3927" i="62"/>
  <c r="C3928" i="62"/>
  <c r="D3928" i="62"/>
  <c r="C3929" i="62"/>
  <c r="D3929" i="62"/>
  <c r="C3930" i="62"/>
  <c r="D3930" i="62"/>
  <c r="C3931" i="62"/>
  <c r="D3931" i="62"/>
  <c r="C3932" i="62"/>
  <c r="D3932" i="62"/>
  <c r="C3933" i="62"/>
  <c r="D3933" i="62"/>
  <c r="C3934" i="62"/>
  <c r="D3934" i="62"/>
  <c r="C3935" i="62"/>
  <c r="D3935" i="62"/>
  <c r="C3936" i="62"/>
  <c r="D3936" i="62"/>
  <c r="C3937" i="62"/>
  <c r="D3937" i="62"/>
  <c r="C3938" i="62"/>
  <c r="D3938" i="62"/>
  <c r="C3939" i="62"/>
  <c r="D3939" i="62"/>
  <c r="C3940" i="62"/>
  <c r="D3940" i="62"/>
  <c r="C3941" i="62"/>
  <c r="D3941" i="62"/>
  <c r="C3942" i="62"/>
  <c r="D3942" i="62"/>
  <c r="C3943" i="62"/>
  <c r="D3943" i="62"/>
  <c r="C3944" i="62"/>
  <c r="D3944" i="62"/>
  <c r="C3945" i="62"/>
  <c r="D3945" i="62"/>
  <c r="C3946" i="62"/>
  <c r="D3946" i="62"/>
  <c r="C3947" i="62"/>
  <c r="D3947" i="62"/>
  <c r="C3948" i="62"/>
  <c r="D3948" i="62"/>
  <c r="C3949" i="62"/>
  <c r="D3949" i="62"/>
  <c r="C3950" i="62"/>
  <c r="D3950" i="62"/>
  <c r="C3951" i="62"/>
  <c r="D3951" i="62"/>
  <c r="C3952" i="62"/>
  <c r="D3952" i="62"/>
  <c r="C3953" i="62"/>
  <c r="D3953" i="62"/>
  <c r="C3954" i="62"/>
  <c r="D3954" i="62"/>
  <c r="C3955" i="62"/>
  <c r="D3955" i="62"/>
  <c r="C3956" i="62"/>
  <c r="D3956" i="62"/>
  <c r="C3957" i="62"/>
  <c r="D3957" i="62"/>
  <c r="C3958" i="62"/>
  <c r="D3958" i="62"/>
  <c r="C3959" i="62"/>
  <c r="D3959" i="62"/>
  <c r="C3960" i="62"/>
  <c r="D3960" i="62"/>
  <c r="C3961" i="62"/>
  <c r="D3961" i="62"/>
  <c r="C3962" i="62"/>
  <c r="D3962" i="62"/>
  <c r="C3963" i="62"/>
  <c r="D3963" i="62"/>
  <c r="C3964" i="62"/>
  <c r="D3964" i="62"/>
  <c r="C3965" i="62"/>
  <c r="D3965" i="62"/>
  <c r="C3966" i="62"/>
  <c r="D3966" i="62"/>
  <c r="C3967" i="62"/>
  <c r="D3967" i="62"/>
  <c r="C3968" i="62"/>
  <c r="D3968" i="62"/>
  <c r="C3969" i="62"/>
  <c r="D3969" i="62"/>
  <c r="C3970" i="62"/>
  <c r="D3970" i="62"/>
  <c r="C3971" i="62"/>
  <c r="D3971" i="62"/>
  <c r="C3972" i="62"/>
  <c r="D3972" i="62"/>
  <c r="C3973" i="62"/>
  <c r="D3973" i="62"/>
  <c r="C3974" i="62"/>
  <c r="D3974" i="62"/>
  <c r="C3975" i="62"/>
  <c r="D3975" i="62"/>
  <c r="C3976" i="62"/>
  <c r="D3976" i="62"/>
  <c r="C3977" i="62"/>
  <c r="D3977" i="62"/>
  <c r="C3978" i="62"/>
  <c r="D3978" i="62"/>
  <c r="C3979" i="62"/>
  <c r="D3979" i="62"/>
  <c r="C3980" i="62"/>
  <c r="D3980" i="62"/>
  <c r="C3981" i="62"/>
  <c r="D3981" i="62"/>
  <c r="C3982" i="62"/>
  <c r="D3982" i="62"/>
  <c r="C3983" i="62"/>
  <c r="D3983" i="62"/>
  <c r="C3984" i="62"/>
  <c r="D3984" i="62"/>
  <c r="C3985" i="62"/>
  <c r="D3985" i="62"/>
  <c r="C3986" i="62"/>
  <c r="D3986" i="62"/>
  <c r="C3987" i="62"/>
  <c r="D3987" i="62"/>
  <c r="C3988" i="62"/>
  <c r="D3988" i="62"/>
  <c r="C3989" i="62"/>
  <c r="D3989" i="62"/>
  <c r="C3990" i="62"/>
  <c r="D3990" i="62"/>
  <c r="C3991" i="62"/>
  <c r="D3991" i="62"/>
  <c r="C3992" i="62"/>
  <c r="D3992" i="62"/>
  <c r="C3993" i="62"/>
  <c r="D3993" i="62"/>
  <c r="C3994" i="62"/>
  <c r="D3994" i="62"/>
  <c r="C3995" i="62"/>
  <c r="D3995" i="62"/>
  <c r="C3996" i="62"/>
  <c r="D3996" i="62"/>
  <c r="C3997" i="62"/>
  <c r="D3997" i="62"/>
  <c r="C3998" i="62"/>
  <c r="D3998" i="62"/>
  <c r="C3999" i="62"/>
  <c r="D3999" i="62"/>
  <c r="C4000" i="62"/>
  <c r="D4000" i="62"/>
  <c r="C4001" i="62"/>
  <c r="D4001" i="62"/>
  <c r="C4002" i="62"/>
  <c r="D4002" i="62"/>
  <c r="C4003" i="62"/>
  <c r="D4003" i="62"/>
  <c r="C4004" i="62"/>
  <c r="D4004" i="62"/>
  <c r="C4005" i="62"/>
  <c r="D4005" i="62"/>
  <c r="C4006" i="62"/>
  <c r="D4006" i="62"/>
  <c r="C4007" i="62"/>
  <c r="D4007" i="62"/>
  <c r="C4008" i="62"/>
  <c r="D4008" i="62"/>
  <c r="C4009" i="62"/>
  <c r="D4009" i="62"/>
  <c r="C4010" i="62"/>
  <c r="D4010" i="62"/>
  <c r="C4011" i="62"/>
  <c r="D4011" i="62"/>
  <c r="C4012" i="62"/>
  <c r="D4012" i="62"/>
  <c r="C4013" i="62"/>
  <c r="D4013" i="62"/>
  <c r="C4014" i="62"/>
  <c r="D4014" i="62"/>
  <c r="C4015" i="62"/>
  <c r="D4015" i="62"/>
  <c r="C4016" i="62"/>
  <c r="D4016" i="62"/>
  <c r="C4017" i="62"/>
  <c r="D4017" i="62"/>
  <c r="C4018" i="62"/>
  <c r="D4018" i="62"/>
  <c r="C4019" i="62"/>
  <c r="D4019" i="62"/>
  <c r="C4020" i="62"/>
  <c r="D4020" i="62"/>
  <c r="C4021" i="62"/>
  <c r="D4021" i="62"/>
  <c r="C4022" i="62"/>
  <c r="D4022" i="62"/>
  <c r="C4023" i="62"/>
  <c r="D4023" i="62"/>
  <c r="C4024" i="62"/>
  <c r="D4024" i="62"/>
  <c r="C4025" i="62"/>
  <c r="D4025" i="62"/>
  <c r="C4026" i="62"/>
  <c r="D4026" i="62"/>
  <c r="C4027" i="62"/>
  <c r="D4027" i="62"/>
  <c r="C4028" i="62"/>
  <c r="D4028" i="62"/>
  <c r="C4029" i="62"/>
  <c r="D4029" i="62"/>
  <c r="C4030" i="62"/>
  <c r="D4030" i="62"/>
  <c r="C4031" i="62"/>
  <c r="D4031" i="62"/>
  <c r="C4032" i="62"/>
  <c r="D4032" i="62"/>
  <c r="C4033" i="62"/>
  <c r="D4033" i="62"/>
  <c r="C4034" i="62"/>
  <c r="D4034" i="62"/>
  <c r="C4035" i="62"/>
  <c r="D4035" i="62"/>
  <c r="C4036" i="62"/>
  <c r="D4036" i="62"/>
  <c r="C4037" i="62"/>
  <c r="D4037" i="62"/>
  <c r="C4038" i="62"/>
  <c r="D4038" i="62"/>
  <c r="C4039" i="62"/>
  <c r="D4039" i="62"/>
  <c r="C4040" i="62"/>
  <c r="D4040" i="62"/>
  <c r="C4041" i="62"/>
  <c r="D4041" i="62"/>
  <c r="C4042" i="62"/>
  <c r="D4042" i="62"/>
  <c r="C4043" i="62"/>
  <c r="D4043" i="62"/>
  <c r="C4044" i="62"/>
  <c r="D4044" i="62"/>
  <c r="C4045" i="62"/>
  <c r="D4045" i="62"/>
  <c r="C4046" i="62"/>
  <c r="D4046" i="62"/>
  <c r="C4047" i="62"/>
  <c r="D4047" i="62"/>
  <c r="C4048" i="62"/>
  <c r="D4048" i="62"/>
  <c r="C4049" i="62"/>
  <c r="D4049" i="62"/>
  <c r="C4050" i="62"/>
  <c r="D4050" i="62"/>
  <c r="C4051" i="62"/>
  <c r="D4051" i="62"/>
  <c r="C4052" i="62"/>
  <c r="D4052" i="62"/>
  <c r="C4053" i="62"/>
  <c r="D4053" i="62"/>
  <c r="C4054" i="62"/>
  <c r="D4054" i="62"/>
  <c r="C4055" i="62"/>
  <c r="D4055" i="62"/>
  <c r="C4056" i="62"/>
  <c r="D4056" i="62"/>
  <c r="C4057" i="62"/>
  <c r="D4057" i="62"/>
  <c r="C4058" i="62"/>
  <c r="D4058" i="62"/>
  <c r="C4059" i="62"/>
  <c r="D4059" i="62"/>
  <c r="C4060" i="62"/>
  <c r="D4060" i="62"/>
  <c r="C4061" i="62"/>
  <c r="D4061" i="62"/>
  <c r="C4062" i="62"/>
  <c r="D4062" i="62"/>
  <c r="C4063" i="62"/>
  <c r="D4063" i="62"/>
  <c r="C4064" i="62"/>
  <c r="D4064" i="62"/>
  <c r="C4065" i="62"/>
  <c r="D4065" i="62"/>
  <c r="C4066" i="62"/>
  <c r="D4066" i="62"/>
  <c r="C4067" i="62"/>
  <c r="D4067" i="62"/>
  <c r="C4068" i="62"/>
  <c r="D4068" i="62"/>
  <c r="C4069" i="62"/>
  <c r="D4069" i="62"/>
  <c r="C4070" i="62"/>
  <c r="D4070" i="62"/>
  <c r="C4071" i="62"/>
  <c r="D4071" i="62"/>
  <c r="C4072" i="62"/>
  <c r="D4072" i="62"/>
  <c r="C4073" i="62"/>
  <c r="D4073" i="62"/>
  <c r="C4074" i="62"/>
  <c r="D4074" i="62"/>
  <c r="C4075" i="62"/>
  <c r="D4075" i="62"/>
  <c r="C4076" i="62"/>
  <c r="D4076" i="62"/>
  <c r="C4077" i="62"/>
  <c r="D4077" i="62"/>
  <c r="C4078" i="62"/>
  <c r="D4078" i="62"/>
  <c r="C4079" i="62"/>
  <c r="D4079" i="62"/>
  <c r="C4080" i="62"/>
  <c r="D4080" i="62"/>
  <c r="C4081" i="62"/>
  <c r="D4081" i="62"/>
  <c r="C4082" i="62"/>
  <c r="D4082" i="62"/>
  <c r="C4083" i="62"/>
  <c r="D4083" i="62"/>
  <c r="C4084" i="62"/>
  <c r="D4084" i="62"/>
  <c r="C4085" i="62"/>
  <c r="D4085" i="62"/>
  <c r="C4086" i="62"/>
  <c r="D4086" i="62"/>
  <c r="C4087" i="62"/>
  <c r="D4087" i="62"/>
  <c r="C4088" i="62"/>
  <c r="D4088" i="62"/>
  <c r="C4089" i="62"/>
  <c r="D4089" i="62"/>
  <c r="C4090" i="62"/>
  <c r="D4090" i="62"/>
  <c r="C4091" i="62"/>
  <c r="D4091" i="62"/>
  <c r="C4092" i="62"/>
  <c r="D4092" i="62"/>
  <c r="C4093" i="62"/>
  <c r="D4093" i="62"/>
  <c r="C4094" i="62"/>
  <c r="D4094" i="62"/>
  <c r="C4095" i="62"/>
  <c r="D4095" i="62"/>
  <c r="C4096" i="62"/>
  <c r="D4096" i="62"/>
  <c r="C4097" i="62"/>
  <c r="D4097" i="62"/>
  <c r="C4098" i="62"/>
  <c r="D4098" i="62"/>
  <c r="C4099" i="62"/>
  <c r="D4099" i="62"/>
  <c r="C4100" i="62"/>
  <c r="D4100" i="62"/>
  <c r="C4101" i="62"/>
  <c r="D4101" i="62"/>
  <c r="C4102" i="62"/>
  <c r="D4102" i="62"/>
  <c r="C4103" i="62"/>
  <c r="D4103" i="62"/>
  <c r="C4104" i="62"/>
  <c r="D4104" i="62"/>
  <c r="C4105" i="62"/>
  <c r="D4105" i="62"/>
  <c r="C4106" i="62"/>
  <c r="D4106" i="62"/>
  <c r="C4107" i="62"/>
  <c r="D4107" i="62"/>
  <c r="C4108" i="62"/>
  <c r="D4108" i="62"/>
  <c r="C4109" i="62"/>
  <c r="D4109" i="62"/>
  <c r="C4110" i="62"/>
  <c r="D4110" i="62"/>
  <c r="C4111" i="62"/>
  <c r="D4111" i="62"/>
  <c r="C4112" i="62"/>
  <c r="D4112" i="62"/>
  <c r="C4113" i="62"/>
  <c r="D4113" i="62"/>
  <c r="C4114" i="62"/>
  <c r="D4114" i="62"/>
  <c r="C4115" i="62"/>
  <c r="D4115" i="62"/>
  <c r="C4116" i="62"/>
  <c r="D4116" i="62"/>
  <c r="C4117" i="62"/>
  <c r="D4117" i="62"/>
  <c r="C4118" i="62"/>
  <c r="D4118" i="62"/>
  <c r="C4119" i="62"/>
  <c r="D4119" i="62"/>
  <c r="C4120" i="62"/>
  <c r="D4120" i="62"/>
  <c r="C4121" i="62"/>
  <c r="D4121" i="62"/>
  <c r="C4122" i="62"/>
  <c r="D4122" i="62"/>
  <c r="C4123" i="62"/>
  <c r="D4123" i="62"/>
  <c r="C4124" i="62"/>
  <c r="D4124" i="62"/>
  <c r="C4125" i="62"/>
  <c r="D4125" i="62"/>
  <c r="C4126" i="62"/>
  <c r="D4126" i="62"/>
  <c r="C4127" i="62"/>
  <c r="D4127" i="62"/>
  <c r="C4128" i="62"/>
  <c r="D4128" i="62"/>
  <c r="C4129" i="62"/>
  <c r="D4129" i="62"/>
  <c r="C4130" i="62"/>
  <c r="D4130" i="62"/>
  <c r="C4131" i="62"/>
  <c r="D4131" i="62"/>
  <c r="C4132" i="62"/>
  <c r="D4132" i="62"/>
  <c r="C4133" i="62"/>
  <c r="D4133" i="62"/>
  <c r="C4134" i="62"/>
  <c r="D4134" i="62"/>
  <c r="C4135" i="62"/>
  <c r="D4135" i="62"/>
  <c r="C4136" i="62"/>
  <c r="D4136" i="62"/>
  <c r="C4137" i="62"/>
  <c r="D4137" i="62"/>
  <c r="C4138" i="62"/>
  <c r="D4138" i="62"/>
  <c r="C4139" i="62"/>
  <c r="D4139" i="62"/>
  <c r="C4140" i="62"/>
  <c r="D4140" i="62"/>
  <c r="C4141" i="62"/>
  <c r="D4141" i="62"/>
  <c r="C4142" i="62"/>
  <c r="D4142" i="62"/>
  <c r="C4143" i="62"/>
  <c r="D4143" i="62"/>
  <c r="C4144" i="62"/>
  <c r="D4144" i="62"/>
  <c r="C4145" i="62"/>
  <c r="D4145" i="62"/>
  <c r="C4146" i="62"/>
  <c r="D4146" i="62"/>
  <c r="C4147" i="62"/>
  <c r="D4147" i="62"/>
  <c r="C4148" i="62"/>
  <c r="D4148" i="62"/>
  <c r="C4149" i="62"/>
  <c r="D4149" i="62"/>
  <c r="C4150" i="62"/>
  <c r="D4150" i="62"/>
  <c r="C4151" i="62"/>
  <c r="D4151" i="62"/>
  <c r="C4152" i="62"/>
  <c r="D4152" i="62"/>
  <c r="C4153" i="62"/>
  <c r="D4153" i="62"/>
  <c r="C4154" i="62"/>
  <c r="D4154" i="62"/>
  <c r="C4155" i="62"/>
  <c r="D4155" i="62"/>
  <c r="C4156" i="62"/>
  <c r="D4156" i="62"/>
  <c r="C4157" i="62"/>
  <c r="D4157" i="62"/>
  <c r="C4158" i="62"/>
  <c r="D4158" i="62"/>
  <c r="C4159" i="62"/>
  <c r="D4159" i="62"/>
  <c r="C4160" i="62"/>
  <c r="D4160" i="62"/>
  <c r="C4161" i="62"/>
  <c r="D4161" i="62"/>
  <c r="C4162" i="62"/>
  <c r="D4162" i="62"/>
  <c r="C4163" i="62"/>
  <c r="D4163" i="62"/>
  <c r="C4164" i="62"/>
  <c r="D4164" i="62"/>
  <c r="C4165" i="62"/>
  <c r="D4165" i="62"/>
  <c r="C4166" i="62"/>
  <c r="D4166" i="62"/>
  <c r="C4167" i="62"/>
  <c r="D4167" i="62"/>
  <c r="C4168" i="62"/>
  <c r="D4168" i="62"/>
  <c r="C4169" i="62"/>
  <c r="D4169" i="62"/>
  <c r="C4170" i="62"/>
  <c r="D4170" i="62"/>
  <c r="C4171" i="62"/>
  <c r="D4171" i="62"/>
  <c r="C4172" i="62"/>
  <c r="D4172" i="62"/>
  <c r="C4173" i="62"/>
  <c r="D4173" i="62"/>
  <c r="C4174" i="62"/>
  <c r="D4174" i="62"/>
  <c r="C4175" i="62"/>
  <c r="D4175" i="62"/>
  <c r="C4176" i="62"/>
  <c r="D4176" i="62"/>
  <c r="C4177" i="62"/>
  <c r="D4177" i="62"/>
  <c r="C4178" i="62"/>
  <c r="D4178" i="62"/>
  <c r="C4179" i="62"/>
  <c r="D4179" i="62"/>
  <c r="C4180" i="62"/>
  <c r="D4180" i="62"/>
  <c r="C4181" i="62"/>
  <c r="D4181" i="62"/>
  <c r="C4182" i="62"/>
  <c r="D4182" i="62"/>
  <c r="C4183" i="62"/>
  <c r="D4183" i="62"/>
  <c r="C4184" i="62"/>
  <c r="D4184" i="62"/>
  <c r="C4185" i="62"/>
  <c r="D4185" i="62"/>
  <c r="C4186" i="62"/>
  <c r="D4186" i="62"/>
  <c r="C4187" i="62"/>
  <c r="D4187" i="62"/>
  <c r="C4188" i="62"/>
  <c r="D4188" i="62"/>
  <c r="C4189" i="62"/>
  <c r="D4189" i="62"/>
  <c r="C4190" i="62"/>
  <c r="D4190" i="62"/>
  <c r="C4191" i="62"/>
  <c r="D4191" i="62"/>
  <c r="C4192" i="62"/>
  <c r="D4192" i="62"/>
  <c r="C4193" i="62"/>
  <c r="D4193" i="62"/>
  <c r="C4194" i="62"/>
  <c r="D4194" i="62"/>
  <c r="C4195" i="62"/>
  <c r="D4195" i="62"/>
  <c r="C4196" i="62"/>
  <c r="D4196" i="62"/>
  <c r="C4197" i="62"/>
  <c r="D4197" i="62"/>
  <c r="C4198" i="62"/>
  <c r="D4198" i="62"/>
  <c r="C4199" i="62"/>
  <c r="D4199" i="62"/>
  <c r="C4200" i="62"/>
  <c r="D4200" i="62"/>
  <c r="C4201" i="62"/>
  <c r="D4201" i="62"/>
  <c r="C4202" i="62"/>
  <c r="D4202" i="62"/>
  <c r="C4203" i="62"/>
  <c r="D4203" i="62"/>
  <c r="C4204" i="62"/>
  <c r="D4204" i="62"/>
  <c r="C4205" i="62"/>
  <c r="D4205" i="62"/>
  <c r="C4206" i="62"/>
  <c r="D4206" i="62"/>
  <c r="C4207" i="62"/>
  <c r="D4207" i="62"/>
  <c r="C4208" i="62"/>
  <c r="D4208" i="62"/>
  <c r="C4209" i="62"/>
  <c r="D4209" i="62"/>
  <c r="C4210" i="62"/>
  <c r="D4210" i="62"/>
  <c r="C4211" i="62"/>
  <c r="D4211" i="62"/>
  <c r="C4212" i="62"/>
  <c r="D4212" i="62"/>
  <c r="C4213" i="62"/>
  <c r="D4213" i="62"/>
  <c r="C4214" i="62"/>
  <c r="D4214" i="62"/>
  <c r="C4215" i="62"/>
  <c r="D4215" i="62"/>
  <c r="C4216" i="62"/>
  <c r="D4216" i="62"/>
  <c r="C4217" i="62"/>
  <c r="D4217" i="62"/>
  <c r="C4218" i="62"/>
  <c r="D4218" i="62"/>
  <c r="C4219" i="62"/>
  <c r="D4219" i="62"/>
  <c r="C4220" i="62"/>
  <c r="D4220" i="62"/>
  <c r="C4221" i="62"/>
  <c r="D4221" i="62"/>
  <c r="C4222" i="62"/>
  <c r="D4222" i="62"/>
  <c r="C4223" i="62"/>
  <c r="D4223" i="62"/>
  <c r="C4224" i="62"/>
  <c r="D4224" i="62"/>
  <c r="C4225" i="62"/>
  <c r="D4225" i="62"/>
  <c r="C4226" i="62"/>
  <c r="D4226" i="62"/>
  <c r="C4227" i="62"/>
  <c r="D4227" i="62"/>
  <c r="C4228" i="62"/>
  <c r="D4228" i="62"/>
  <c r="C4229" i="62"/>
  <c r="D4229" i="62"/>
  <c r="C4230" i="62"/>
  <c r="D4230" i="62"/>
  <c r="C4231" i="62"/>
  <c r="D4231" i="62"/>
  <c r="C4232" i="62"/>
  <c r="D4232" i="62"/>
  <c r="C4233" i="62"/>
  <c r="D4233" i="62"/>
  <c r="C4234" i="62"/>
  <c r="D4234" i="62"/>
  <c r="C4235" i="62"/>
  <c r="D4235" i="62"/>
  <c r="C4236" i="62"/>
  <c r="D4236" i="62"/>
  <c r="C4237" i="62"/>
  <c r="D4237" i="62"/>
  <c r="C4238" i="62"/>
  <c r="D4238" i="62"/>
  <c r="C4239" i="62"/>
  <c r="D4239" i="62"/>
  <c r="C4240" i="62"/>
  <c r="D4240" i="62"/>
  <c r="C4241" i="62"/>
  <c r="D4241" i="62"/>
  <c r="C4242" i="62"/>
  <c r="D4242" i="62"/>
  <c r="C4243" i="62"/>
  <c r="D4243" i="62"/>
  <c r="C4244" i="62"/>
  <c r="D4244" i="62"/>
  <c r="C4245" i="62"/>
  <c r="D4245" i="62"/>
  <c r="C4246" i="62"/>
  <c r="D4246" i="62"/>
  <c r="C4247" i="62"/>
  <c r="D4247" i="62"/>
  <c r="C4248" i="62"/>
  <c r="D4248" i="62"/>
  <c r="C4249" i="62"/>
  <c r="D4249" i="62"/>
  <c r="C4250" i="62"/>
  <c r="D4250" i="62"/>
  <c r="C4251" i="62"/>
  <c r="D4251" i="62"/>
  <c r="C4252" i="62"/>
  <c r="D4252" i="62"/>
  <c r="C4253" i="62"/>
  <c r="D4253" i="62"/>
  <c r="C4254" i="62"/>
  <c r="D4254" i="62"/>
  <c r="C4255" i="62"/>
  <c r="D4255" i="62"/>
  <c r="C4256" i="62"/>
  <c r="D4256" i="62"/>
  <c r="C4257" i="62"/>
  <c r="D4257" i="62"/>
  <c r="C4258" i="62"/>
  <c r="D4258" i="62"/>
  <c r="C4259" i="62"/>
  <c r="D4259" i="62"/>
  <c r="C4260" i="62"/>
  <c r="D4260" i="62"/>
  <c r="C4261" i="62"/>
  <c r="D4261" i="62"/>
  <c r="C4262" i="62"/>
  <c r="D4262" i="62"/>
  <c r="C4263" i="62"/>
  <c r="D4263" i="62"/>
  <c r="C4264" i="62"/>
  <c r="D4264" i="62"/>
  <c r="C4265" i="62"/>
  <c r="D4265" i="62"/>
  <c r="C4266" i="62"/>
  <c r="D4266" i="62"/>
  <c r="C4267" i="62"/>
  <c r="D4267" i="62"/>
  <c r="C4268" i="62"/>
  <c r="D4268" i="62"/>
  <c r="C4269" i="62"/>
  <c r="D4269" i="62"/>
  <c r="C4270" i="62"/>
  <c r="D4270" i="62"/>
  <c r="C4271" i="62"/>
  <c r="D4271" i="62"/>
  <c r="C4272" i="62"/>
  <c r="D4272" i="62"/>
  <c r="C4273" i="62"/>
  <c r="D4273" i="62"/>
  <c r="C4274" i="62"/>
  <c r="D4274" i="62"/>
  <c r="C4275" i="62"/>
  <c r="D4275" i="62"/>
  <c r="C4276" i="62"/>
  <c r="D4276" i="62"/>
  <c r="C4277" i="62"/>
  <c r="D4277" i="62"/>
  <c r="C4278" i="62"/>
  <c r="D4278" i="62"/>
  <c r="C4279" i="62"/>
  <c r="D4279" i="62"/>
  <c r="C4280" i="62"/>
  <c r="D4280" i="62"/>
  <c r="C4281" i="62"/>
  <c r="D4281" i="62"/>
  <c r="C4282" i="62"/>
  <c r="D4282" i="62"/>
  <c r="C4283" i="62"/>
  <c r="D4283" i="62"/>
  <c r="C4284" i="62"/>
  <c r="D4284" i="62"/>
  <c r="C4285" i="62"/>
  <c r="D4285" i="62"/>
  <c r="C4286" i="62"/>
  <c r="D4286" i="62"/>
  <c r="C4287" i="62"/>
  <c r="D4287" i="62"/>
  <c r="C4288" i="62"/>
  <c r="D4288" i="62"/>
  <c r="C4289" i="62"/>
  <c r="D4289" i="62"/>
  <c r="C4290" i="62"/>
  <c r="D4290" i="62"/>
  <c r="C4291" i="62"/>
  <c r="D4291" i="62"/>
  <c r="C4292" i="62"/>
  <c r="D4292" i="62"/>
  <c r="C4293" i="62"/>
  <c r="D4293" i="62"/>
  <c r="C4294" i="62"/>
  <c r="D4294" i="62"/>
  <c r="C4295" i="62"/>
  <c r="D4295" i="62"/>
  <c r="C4296" i="62"/>
  <c r="D4296" i="62"/>
  <c r="C4297" i="62"/>
  <c r="D4297" i="62"/>
  <c r="C4298" i="62"/>
  <c r="D4298" i="62"/>
  <c r="C4299" i="62"/>
  <c r="D4299" i="62"/>
  <c r="C4300" i="62"/>
  <c r="D4300" i="62"/>
  <c r="C4301" i="62"/>
  <c r="D4301" i="62"/>
  <c r="C4302" i="62"/>
  <c r="D4302" i="62"/>
  <c r="C4303" i="62"/>
  <c r="D4303" i="62"/>
  <c r="C4304" i="62"/>
  <c r="D4304" i="62"/>
  <c r="C4305" i="62"/>
  <c r="D4305" i="62"/>
  <c r="C4306" i="62"/>
  <c r="D4306" i="62"/>
  <c r="C4307" i="62"/>
  <c r="D4307" i="62"/>
  <c r="C4308" i="62"/>
  <c r="D4308" i="62"/>
  <c r="C4309" i="62"/>
  <c r="D4309" i="62"/>
  <c r="C4310" i="62"/>
  <c r="D4310" i="62"/>
  <c r="C4311" i="62"/>
  <c r="D4311" i="62"/>
  <c r="C4312" i="62"/>
  <c r="D4312" i="62"/>
  <c r="C4313" i="62"/>
  <c r="D4313" i="62"/>
  <c r="C4314" i="62"/>
  <c r="D4314" i="62"/>
  <c r="C4315" i="62"/>
  <c r="D4315" i="62"/>
  <c r="C4316" i="62"/>
  <c r="D4316" i="62"/>
  <c r="C4317" i="62"/>
  <c r="D4317" i="62"/>
  <c r="C4318" i="62"/>
  <c r="D4318" i="62"/>
  <c r="C4319" i="62"/>
  <c r="D4319" i="62"/>
  <c r="C4320" i="62"/>
  <c r="D4320" i="62"/>
  <c r="C4321" i="62"/>
  <c r="D4321" i="62"/>
  <c r="C4322" i="62"/>
  <c r="D4322" i="62"/>
  <c r="C4323" i="62"/>
  <c r="D4323" i="62"/>
  <c r="C4324" i="62"/>
  <c r="D4324" i="62"/>
  <c r="C4325" i="62"/>
  <c r="D4325" i="62"/>
  <c r="C4326" i="62"/>
  <c r="D4326" i="62"/>
  <c r="C4327" i="62"/>
  <c r="D4327" i="62"/>
  <c r="C4328" i="62"/>
  <c r="D4328" i="62"/>
  <c r="C4329" i="62"/>
  <c r="D4329" i="62"/>
  <c r="C4330" i="62"/>
  <c r="D4330" i="62"/>
  <c r="C4331" i="62"/>
  <c r="D4331" i="62"/>
  <c r="C4332" i="62"/>
  <c r="D4332" i="62"/>
  <c r="C4333" i="62"/>
  <c r="D4333" i="62"/>
  <c r="C4334" i="62"/>
  <c r="D4334" i="62"/>
  <c r="C4335" i="62"/>
  <c r="D4335" i="62"/>
  <c r="C4336" i="62"/>
  <c r="D4336" i="62"/>
  <c r="C4337" i="62"/>
  <c r="D4337" i="62"/>
  <c r="C4338" i="62"/>
  <c r="D4338" i="62"/>
  <c r="C4339" i="62"/>
  <c r="D4339" i="62"/>
  <c r="C4340" i="62"/>
  <c r="D4340" i="62"/>
  <c r="C4341" i="62"/>
  <c r="D4341" i="62"/>
  <c r="C4342" i="62"/>
  <c r="D4342" i="62"/>
  <c r="C4343" i="62"/>
  <c r="D4343" i="62"/>
  <c r="C4344" i="62"/>
  <c r="D4344" i="62"/>
  <c r="C4345" i="62"/>
  <c r="D4345" i="62"/>
  <c r="C4346" i="62"/>
  <c r="D4346" i="62"/>
  <c r="C4347" i="62"/>
  <c r="D4347" i="62"/>
  <c r="C4348" i="62"/>
  <c r="D4348" i="62"/>
  <c r="C4349" i="62"/>
  <c r="D4349" i="62"/>
  <c r="C4350" i="62"/>
  <c r="D4350" i="62"/>
  <c r="C4351" i="62"/>
  <c r="D4351" i="62"/>
  <c r="C4352" i="62"/>
  <c r="D4352" i="62"/>
  <c r="C4353" i="62"/>
  <c r="D4353" i="62"/>
  <c r="C4354" i="62"/>
  <c r="D4354" i="62"/>
  <c r="C4355" i="62"/>
  <c r="D4355" i="62"/>
  <c r="C4356" i="62"/>
  <c r="D4356" i="62"/>
  <c r="C4357" i="62"/>
  <c r="D4357" i="62"/>
  <c r="C4358" i="62"/>
  <c r="D4358" i="62"/>
  <c r="C4359" i="62"/>
  <c r="D4359" i="62"/>
  <c r="C4360" i="62"/>
  <c r="D4360" i="62"/>
  <c r="C4361" i="62"/>
  <c r="D4361" i="62"/>
  <c r="C4362" i="62"/>
  <c r="D4362" i="62"/>
  <c r="C4363" i="62"/>
  <c r="D4363" i="62"/>
  <c r="C4364" i="62"/>
  <c r="D4364" i="62"/>
  <c r="C4365" i="62"/>
  <c r="D4365" i="62"/>
  <c r="C4366" i="62"/>
  <c r="D4366" i="62"/>
  <c r="C4367" i="62"/>
  <c r="D4367" i="62"/>
  <c r="C4368" i="62"/>
  <c r="D4368" i="62"/>
  <c r="C4369" i="62"/>
  <c r="D4369" i="62"/>
  <c r="C4370" i="62"/>
  <c r="D4370" i="62"/>
  <c r="C4371" i="62"/>
  <c r="D4371" i="62"/>
  <c r="C4372" i="62"/>
  <c r="D4372" i="62"/>
  <c r="C4373" i="62"/>
  <c r="D4373" i="62"/>
  <c r="C4374" i="62"/>
  <c r="D4374" i="62"/>
  <c r="C4375" i="62"/>
  <c r="D4375" i="62"/>
  <c r="C4376" i="62"/>
  <c r="D4376" i="62"/>
  <c r="C4377" i="62"/>
  <c r="D4377" i="62"/>
  <c r="C4378" i="62"/>
  <c r="D4378" i="62"/>
  <c r="C4379" i="62"/>
  <c r="D4379" i="62"/>
  <c r="C4380" i="62"/>
  <c r="D4380" i="62"/>
  <c r="C4381" i="62"/>
  <c r="D4381" i="62"/>
  <c r="C4382" i="62"/>
  <c r="D4382" i="62"/>
  <c r="C4383" i="62"/>
  <c r="D4383" i="62"/>
  <c r="C4384" i="62"/>
  <c r="D4384" i="62"/>
  <c r="C4385" i="62"/>
  <c r="D4385" i="62"/>
  <c r="C4386" i="62"/>
  <c r="D4386" i="62"/>
  <c r="C4387" i="62"/>
  <c r="D4387" i="62"/>
  <c r="C4388" i="62"/>
  <c r="D4388" i="62"/>
  <c r="C4389" i="62"/>
  <c r="D4389" i="62"/>
  <c r="C4390" i="62"/>
  <c r="D4390" i="62"/>
  <c r="C4391" i="62"/>
  <c r="D4391" i="62"/>
  <c r="C4392" i="62"/>
  <c r="D4392" i="62"/>
  <c r="C4393" i="62"/>
  <c r="D4393" i="62"/>
  <c r="C4394" i="62"/>
  <c r="D4394" i="62"/>
  <c r="C4395" i="62"/>
  <c r="D4395" i="62"/>
  <c r="C4396" i="62"/>
  <c r="D4396" i="62"/>
  <c r="C4397" i="62"/>
  <c r="D4397" i="62"/>
  <c r="C4398" i="62"/>
  <c r="D4398" i="62"/>
  <c r="C4399" i="62"/>
  <c r="D4399" i="62"/>
  <c r="C4400" i="62"/>
  <c r="D4400" i="62"/>
  <c r="C4401" i="62"/>
  <c r="D4401" i="62"/>
  <c r="C4402" i="62"/>
  <c r="D4402" i="62"/>
  <c r="C4403" i="62"/>
  <c r="D4403" i="62"/>
  <c r="C4404" i="62"/>
  <c r="D4404" i="62"/>
  <c r="C4405" i="62"/>
  <c r="D4405" i="62"/>
  <c r="C4406" i="62"/>
  <c r="D4406" i="62"/>
  <c r="C4407" i="62"/>
  <c r="D4407" i="62"/>
  <c r="C4408" i="62"/>
  <c r="D4408" i="62"/>
  <c r="C4409" i="62"/>
  <c r="D4409" i="62"/>
  <c r="C4410" i="62"/>
  <c r="D4410" i="62"/>
  <c r="C4411" i="62"/>
  <c r="D4411" i="62"/>
  <c r="C4412" i="62"/>
  <c r="D4412" i="62"/>
  <c r="C4413" i="62"/>
  <c r="D4413" i="62"/>
  <c r="C4414" i="62"/>
  <c r="D4414" i="62"/>
  <c r="C4415" i="62"/>
  <c r="D4415" i="62"/>
  <c r="C4416" i="62"/>
  <c r="D4416" i="62"/>
  <c r="C4417" i="62"/>
  <c r="D4417" i="62"/>
  <c r="C4418" i="62"/>
  <c r="D4418" i="62"/>
  <c r="C4419" i="62"/>
  <c r="D4419" i="62"/>
  <c r="C4420" i="62"/>
  <c r="D4420" i="62"/>
  <c r="C4421" i="62"/>
  <c r="D4421" i="62"/>
  <c r="C4422" i="62"/>
  <c r="D4422" i="62"/>
  <c r="C4423" i="62"/>
  <c r="D4423" i="62"/>
  <c r="C4424" i="62"/>
  <c r="D4424" i="62"/>
  <c r="C4425" i="62"/>
  <c r="D4425" i="62"/>
  <c r="C4426" i="62"/>
  <c r="D4426" i="62"/>
  <c r="C4427" i="62"/>
  <c r="D4427" i="62"/>
  <c r="C4428" i="62"/>
  <c r="D4428" i="62"/>
  <c r="C4429" i="62"/>
  <c r="D4429" i="62"/>
  <c r="C4430" i="62"/>
  <c r="D4430" i="62"/>
  <c r="C4431" i="62"/>
  <c r="D4431" i="62"/>
  <c r="C4432" i="62"/>
  <c r="D4432" i="62"/>
  <c r="C4433" i="62"/>
  <c r="D4433" i="62"/>
  <c r="C4434" i="62"/>
  <c r="D4434" i="62"/>
  <c r="C4435" i="62"/>
  <c r="D4435" i="62"/>
  <c r="C4436" i="62"/>
  <c r="D4436" i="62"/>
  <c r="C4437" i="62"/>
  <c r="D4437" i="62"/>
  <c r="C4438" i="62"/>
  <c r="D4438" i="62"/>
  <c r="C4439" i="62"/>
  <c r="D4439" i="62"/>
  <c r="C4440" i="62"/>
  <c r="D4440" i="62"/>
  <c r="C4441" i="62"/>
  <c r="D4441" i="62"/>
  <c r="C4442" i="62"/>
  <c r="D4442" i="62"/>
  <c r="C4443" i="62"/>
  <c r="D4443" i="62"/>
  <c r="C4444" i="62"/>
  <c r="D4444" i="62"/>
  <c r="C4445" i="62"/>
  <c r="D4445" i="62"/>
  <c r="C4446" i="62"/>
  <c r="D4446" i="62"/>
  <c r="C4447" i="62"/>
  <c r="D4447" i="62"/>
  <c r="C4448" i="62"/>
  <c r="D4448" i="62"/>
  <c r="C4449" i="62"/>
  <c r="D4449" i="62"/>
  <c r="C4450" i="62"/>
  <c r="D4450" i="62"/>
  <c r="C4451" i="62"/>
  <c r="D4451" i="62"/>
  <c r="C4452" i="62"/>
  <c r="D4452" i="62"/>
  <c r="C4453" i="62"/>
  <c r="D4453" i="62"/>
  <c r="C4454" i="62"/>
  <c r="D4454" i="62"/>
  <c r="C4455" i="62"/>
  <c r="D4455" i="62"/>
  <c r="C4456" i="62"/>
  <c r="D4456" i="62"/>
  <c r="C4457" i="62"/>
  <c r="D4457" i="62"/>
  <c r="C4458" i="62"/>
  <c r="D4458" i="62"/>
  <c r="C4459" i="62"/>
  <c r="D4459" i="62"/>
  <c r="C4460" i="62"/>
  <c r="D4460" i="62"/>
  <c r="C4461" i="62"/>
  <c r="D4461" i="62"/>
  <c r="C4462" i="62"/>
  <c r="D4462" i="62"/>
  <c r="C4463" i="62"/>
  <c r="D4463" i="62"/>
  <c r="C4464" i="62"/>
  <c r="D4464" i="62"/>
  <c r="A104" i="62"/>
  <c r="A105" i="62"/>
  <c r="A106" i="62"/>
  <c r="A107" i="62"/>
  <c r="A108" i="62"/>
  <c r="A109" i="62"/>
  <c r="A110" i="62"/>
  <c r="A111" i="62"/>
  <c r="A112" i="62"/>
  <c r="A113" i="62"/>
  <c r="A114" i="62"/>
  <c r="A115" i="62"/>
  <c r="A116" i="62"/>
  <c r="A117" i="62"/>
  <c r="A118" i="62"/>
  <c r="A119" i="62"/>
  <c r="A120" i="62"/>
  <c r="A121" i="62"/>
  <c r="A122" i="62"/>
  <c r="A123" i="62"/>
  <c r="A124" i="62"/>
  <c r="A125" i="62"/>
  <c r="A126" i="62"/>
  <c r="A127" i="62"/>
  <c r="A128" i="62"/>
  <c r="A129" i="62"/>
  <c r="A130" i="62"/>
  <c r="A131" i="62"/>
  <c r="A132" i="62"/>
  <c r="A133" i="62"/>
  <c r="A134" i="62"/>
  <c r="A135" i="62"/>
  <c r="A136" i="62"/>
  <c r="A137" i="62"/>
  <c r="A138" i="62"/>
  <c r="A139" i="62"/>
  <c r="A140" i="62"/>
  <c r="A141" i="62"/>
  <c r="A142" i="62"/>
  <c r="A143" i="62"/>
  <c r="A144" i="62"/>
  <c r="A145" i="62"/>
  <c r="A146" i="62"/>
  <c r="A147" i="62"/>
  <c r="A148" i="62"/>
  <c r="A149" i="62"/>
  <c r="A150" i="62"/>
  <c r="A151" i="62"/>
  <c r="A152" i="62"/>
  <c r="A153" i="62"/>
  <c r="A154" i="62"/>
  <c r="A155" i="62"/>
  <c r="A156" i="62"/>
  <c r="A157" i="62"/>
  <c r="A158" i="62"/>
  <c r="A159" i="62"/>
  <c r="A160" i="62"/>
  <c r="A161" i="62"/>
  <c r="A162" i="62"/>
  <c r="A163" i="62"/>
  <c r="A164" i="62"/>
  <c r="A165" i="62"/>
  <c r="A166" i="62"/>
  <c r="A167" i="62"/>
  <c r="A168" i="62"/>
  <c r="A169" i="62"/>
  <c r="A170" i="62"/>
  <c r="A171" i="62"/>
  <c r="A172" i="62"/>
  <c r="A173" i="62"/>
  <c r="A174" i="62"/>
  <c r="A175" i="62"/>
  <c r="A176" i="62"/>
  <c r="A177" i="62"/>
  <c r="A178" i="62"/>
  <c r="A179" i="62"/>
  <c r="A180" i="62"/>
  <c r="A181" i="62"/>
  <c r="A182" i="62"/>
  <c r="A183" i="62"/>
  <c r="A184" i="62"/>
  <c r="A185" i="62"/>
  <c r="A186" i="62"/>
  <c r="A187" i="62"/>
  <c r="A188" i="62"/>
  <c r="A189" i="62"/>
  <c r="A190" i="62"/>
  <c r="A191" i="62"/>
  <c r="A192" i="62"/>
  <c r="A193" i="62"/>
  <c r="A194" i="62"/>
  <c r="A195" i="62"/>
  <c r="A196" i="62"/>
  <c r="A197" i="62"/>
  <c r="A198" i="62"/>
  <c r="A199" i="62"/>
  <c r="A200" i="62"/>
  <c r="A201" i="62"/>
  <c r="A202" i="62"/>
  <c r="A203" i="62"/>
  <c r="A204" i="62"/>
  <c r="A205" i="62"/>
  <c r="A206" i="62"/>
  <c r="A207" i="62"/>
  <c r="A208" i="62"/>
  <c r="A209" i="62"/>
  <c r="A210" i="62"/>
  <c r="A211" i="62"/>
  <c r="A212" i="62"/>
  <c r="A213" i="62"/>
  <c r="A214" i="62"/>
  <c r="A215" i="62"/>
  <c r="A216" i="62"/>
  <c r="A217" i="62"/>
  <c r="A218" i="62"/>
  <c r="A219" i="62"/>
  <c r="A220" i="62"/>
  <c r="A221" i="62"/>
  <c r="A222" i="62"/>
  <c r="A223" i="62"/>
  <c r="A224" i="62"/>
  <c r="A225" i="62"/>
  <c r="A226" i="62"/>
  <c r="A227" i="62"/>
  <c r="A228" i="62"/>
  <c r="A229" i="62"/>
  <c r="A230" i="62"/>
  <c r="A231" i="62"/>
  <c r="A232" i="62"/>
  <c r="A233" i="62"/>
  <c r="A234" i="62"/>
  <c r="A235" i="62"/>
  <c r="A236" i="62"/>
  <c r="A237" i="62"/>
  <c r="A238" i="62"/>
  <c r="A239" i="62"/>
  <c r="A240" i="62"/>
  <c r="A241" i="62"/>
  <c r="A242" i="62"/>
  <c r="A243" i="62"/>
  <c r="A244" i="62"/>
  <c r="A245" i="62"/>
  <c r="A246" i="62"/>
  <c r="A247" i="62"/>
  <c r="A248" i="62"/>
  <c r="A249" i="62"/>
  <c r="A250" i="62"/>
  <c r="A251" i="62"/>
  <c r="A252" i="62"/>
  <c r="A253" i="62"/>
  <c r="A254" i="62"/>
  <c r="A255" i="62"/>
  <c r="A256" i="62"/>
  <c r="A257" i="62"/>
  <c r="A258" i="62"/>
  <c r="A259" i="62"/>
  <c r="A260" i="62"/>
  <c r="A261" i="62"/>
  <c r="A262" i="62"/>
  <c r="A263" i="62"/>
  <c r="A264" i="62"/>
  <c r="A265" i="62"/>
  <c r="A266" i="62"/>
  <c r="A267" i="62"/>
  <c r="A268" i="62"/>
  <c r="A269" i="62"/>
  <c r="A270" i="62"/>
  <c r="A271" i="62"/>
  <c r="A272" i="62"/>
  <c r="A273" i="62"/>
  <c r="A274" i="62"/>
  <c r="A275" i="62"/>
  <c r="A276" i="62"/>
  <c r="A277" i="62"/>
  <c r="A278" i="62"/>
  <c r="A279" i="62"/>
  <c r="A280" i="62"/>
  <c r="A281" i="62"/>
  <c r="A282" i="62"/>
  <c r="A283" i="62"/>
  <c r="A284" i="62"/>
  <c r="A285" i="62"/>
  <c r="A286" i="62"/>
  <c r="A287" i="62"/>
  <c r="A288" i="62"/>
  <c r="A289" i="62"/>
  <c r="A290" i="62"/>
  <c r="A291" i="62"/>
  <c r="A292" i="62"/>
  <c r="A293" i="62"/>
  <c r="A294" i="62"/>
  <c r="A295" i="62"/>
  <c r="A296" i="62"/>
  <c r="A297" i="62"/>
  <c r="A298" i="62"/>
  <c r="A299" i="62"/>
  <c r="A300" i="62"/>
  <c r="A301" i="62"/>
  <c r="A302" i="62"/>
  <c r="A303" i="62"/>
  <c r="A304" i="62"/>
  <c r="A305" i="62"/>
  <c r="A306" i="62"/>
  <c r="A307" i="62"/>
  <c r="A308" i="62"/>
  <c r="A309" i="62"/>
  <c r="A310" i="62"/>
  <c r="A311" i="62"/>
  <c r="A312" i="62"/>
  <c r="A313" i="62"/>
  <c r="A314" i="62"/>
  <c r="A315" i="62"/>
  <c r="A316" i="62"/>
  <c r="A317" i="62"/>
  <c r="A318" i="62"/>
  <c r="A319" i="62"/>
  <c r="A320" i="62"/>
  <c r="A321" i="62"/>
  <c r="A322" i="62"/>
  <c r="A323" i="62"/>
  <c r="A324" i="62"/>
  <c r="A325" i="62"/>
  <c r="A326" i="62"/>
  <c r="A327" i="62"/>
  <c r="A328" i="62"/>
  <c r="A329" i="62"/>
  <c r="A330" i="62"/>
  <c r="A331" i="62"/>
  <c r="A332" i="62"/>
  <c r="A333" i="62"/>
  <c r="A334" i="62"/>
  <c r="A335" i="62"/>
  <c r="A336" i="62"/>
  <c r="A337" i="62"/>
  <c r="A338" i="62"/>
  <c r="A339" i="62"/>
  <c r="A340" i="62"/>
  <c r="A341" i="62"/>
  <c r="A342" i="62"/>
  <c r="A343" i="62"/>
  <c r="A344" i="62"/>
  <c r="A345" i="62"/>
  <c r="A346" i="62"/>
  <c r="A347" i="62"/>
  <c r="A348" i="62"/>
  <c r="A349" i="62"/>
  <c r="A350" i="62"/>
  <c r="A351" i="62"/>
  <c r="A352" i="62"/>
  <c r="A353" i="62"/>
  <c r="A354" i="62"/>
  <c r="A355" i="62"/>
  <c r="A356" i="62"/>
  <c r="A357" i="62"/>
  <c r="A358" i="62"/>
  <c r="A359" i="62"/>
  <c r="A360" i="62"/>
  <c r="A361" i="62"/>
  <c r="A362" i="62"/>
  <c r="A363" i="62"/>
  <c r="A364" i="62"/>
  <c r="A365" i="62"/>
  <c r="A366" i="62"/>
  <c r="A367" i="62"/>
  <c r="A368" i="62"/>
  <c r="A369" i="62"/>
  <c r="A370" i="62"/>
  <c r="A371" i="62"/>
  <c r="A372" i="62"/>
  <c r="A373" i="62"/>
  <c r="A374" i="62"/>
  <c r="A375" i="62"/>
  <c r="A376" i="62"/>
  <c r="A377" i="62"/>
  <c r="A378" i="62"/>
  <c r="A379" i="62"/>
  <c r="A380" i="62"/>
  <c r="A381" i="62"/>
  <c r="A382" i="62"/>
  <c r="A383" i="62"/>
  <c r="A384" i="62"/>
  <c r="A385" i="62"/>
  <c r="A386" i="62"/>
  <c r="A387" i="62"/>
  <c r="A388" i="62"/>
  <c r="A389" i="62"/>
  <c r="A390" i="62"/>
  <c r="A391" i="62"/>
  <c r="A392" i="62"/>
  <c r="A393" i="62"/>
  <c r="A394" i="62"/>
  <c r="A395" i="62"/>
  <c r="A396" i="62"/>
  <c r="A397" i="62"/>
  <c r="A398" i="62"/>
  <c r="A399" i="62"/>
  <c r="A400" i="62"/>
  <c r="A401" i="62"/>
  <c r="A402" i="62"/>
  <c r="A403" i="62"/>
  <c r="A404" i="62"/>
  <c r="A405" i="62"/>
  <c r="A406" i="62"/>
  <c r="A407" i="62"/>
  <c r="A408" i="62"/>
  <c r="A409" i="62"/>
  <c r="A410" i="62"/>
  <c r="A411" i="62"/>
  <c r="A412" i="62"/>
  <c r="A413" i="62"/>
  <c r="A414" i="62"/>
  <c r="A415" i="62"/>
  <c r="A416" i="62"/>
  <c r="A417" i="62"/>
  <c r="A418" i="62"/>
  <c r="A419" i="62"/>
  <c r="A420" i="62"/>
  <c r="A421" i="62"/>
  <c r="A422" i="62"/>
  <c r="A423" i="62"/>
  <c r="A424" i="62"/>
  <c r="A425" i="62"/>
  <c r="A426" i="62"/>
  <c r="A427" i="62"/>
  <c r="A428" i="62"/>
  <c r="A429" i="62"/>
  <c r="A430" i="62"/>
  <c r="A431" i="62"/>
  <c r="A432" i="62"/>
  <c r="A433" i="62"/>
  <c r="A434" i="62"/>
  <c r="A435" i="62"/>
  <c r="A436" i="62"/>
  <c r="A437" i="62"/>
  <c r="A438" i="62"/>
  <c r="A439" i="62"/>
  <c r="A440" i="62"/>
  <c r="A441" i="62"/>
  <c r="A442" i="62"/>
  <c r="A443" i="62"/>
  <c r="A444" i="62"/>
  <c r="A445" i="62"/>
  <c r="A446" i="62"/>
  <c r="A447" i="62"/>
  <c r="A448" i="62"/>
  <c r="A449" i="62"/>
  <c r="A450" i="62"/>
  <c r="A451" i="62"/>
  <c r="A452" i="62"/>
  <c r="A453" i="62"/>
  <c r="A454" i="62"/>
  <c r="A455" i="62"/>
  <c r="A456" i="62"/>
  <c r="A457" i="62"/>
  <c r="A458" i="62"/>
  <c r="A459" i="62"/>
  <c r="A460" i="62"/>
  <c r="A461" i="62"/>
  <c r="A462" i="62"/>
  <c r="A463" i="62"/>
  <c r="A464" i="62"/>
  <c r="A465" i="62"/>
  <c r="A466" i="62"/>
  <c r="A467" i="62"/>
  <c r="A468" i="62"/>
  <c r="A469" i="62"/>
  <c r="A470" i="62"/>
  <c r="A471" i="62"/>
  <c r="A472" i="62"/>
  <c r="A473" i="62"/>
  <c r="A474" i="62"/>
  <c r="A475" i="62"/>
  <c r="A476" i="62"/>
  <c r="A477" i="62"/>
  <c r="A478" i="62"/>
  <c r="A479" i="62"/>
  <c r="A480" i="62"/>
  <c r="A481" i="62"/>
  <c r="A482" i="62"/>
  <c r="A483" i="62"/>
  <c r="A484" i="62"/>
  <c r="A485" i="62"/>
  <c r="A486" i="62"/>
  <c r="A487" i="62"/>
  <c r="A488" i="62"/>
  <c r="A489" i="62"/>
  <c r="A490" i="62"/>
  <c r="A491" i="62"/>
  <c r="A492" i="62"/>
  <c r="A493" i="62"/>
  <c r="A494" i="62"/>
  <c r="A495" i="62"/>
  <c r="A496" i="62"/>
  <c r="A497" i="62"/>
  <c r="A498" i="62"/>
  <c r="A499" i="62"/>
  <c r="A500" i="62"/>
  <c r="A501" i="62"/>
  <c r="A502" i="62"/>
  <c r="A503" i="62"/>
  <c r="A504" i="62"/>
  <c r="A505" i="62"/>
  <c r="A506" i="62"/>
  <c r="A507" i="62"/>
  <c r="A508" i="62"/>
  <c r="A509" i="62"/>
  <c r="A510" i="62"/>
  <c r="A511" i="62"/>
  <c r="A512" i="62"/>
  <c r="A513" i="62"/>
  <c r="A514" i="62"/>
  <c r="A515" i="62"/>
  <c r="A516" i="62"/>
  <c r="A517" i="62"/>
  <c r="A518" i="62"/>
  <c r="A519" i="62"/>
  <c r="A520" i="62"/>
  <c r="A521" i="62"/>
  <c r="A522" i="62"/>
  <c r="A523" i="62"/>
  <c r="A524" i="62"/>
  <c r="A525" i="62"/>
  <c r="A526" i="62"/>
  <c r="A527" i="62"/>
  <c r="A528" i="62"/>
  <c r="A529" i="62"/>
  <c r="A530" i="62"/>
  <c r="A531" i="62"/>
  <c r="A532" i="62"/>
  <c r="A533" i="62"/>
  <c r="A534" i="62"/>
  <c r="A535" i="62"/>
  <c r="A536" i="62"/>
  <c r="A537" i="62"/>
  <c r="A538" i="62"/>
  <c r="A539" i="62"/>
  <c r="A540" i="62"/>
  <c r="A541" i="62"/>
  <c r="A542" i="62"/>
  <c r="A543" i="62"/>
  <c r="A544" i="62"/>
  <c r="A545" i="62"/>
  <c r="A546" i="62"/>
  <c r="A547" i="62"/>
  <c r="A548" i="62"/>
  <c r="A549" i="62"/>
  <c r="A550" i="62"/>
  <c r="A551" i="62"/>
  <c r="A552" i="62"/>
  <c r="A553" i="62"/>
  <c r="A554" i="62"/>
  <c r="A555" i="62"/>
  <c r="A556" i="62"/>
  <c r="A557" i="62"/>
  <c r="A558" i="62"/>
  <c r="A559" i="62"/>
  <c r="A560" i="62"/>
  <c r="A561" i="62"/>
  <c r="A562" i="62"/>
  <c r="A563" i="62"/>
  <c r="A564" i="62"/>
  <c r="A565" i="62"/>
  <c r="A566" i="62"/>
  <c r="A567" i="62"/>
  <c r="A568" i="62"/>
  <c r="A569" i="62"/>
  <c r="A570" i="62"/>
  <c r="A571" i="62"/>
  <c r="A572" i="62"/>
  <c r="A573" i="62"/>
  <c r="A574" i="62"/>
  <c r="A575" i="62"/>
  <c r="A576" i="62"/>
  <c r="A577" i="62"/>
  <c r="A578" i="62"/>
  <c r="A579" i="62"/>
  <c r="A580" i="62"/>
  <c r="A581" i="62"/>
  <c r="A582" i="62"/>
  <c r="A583" i="62"/>
  <c r="A584" i="62"/>
  <c r="A585" i="62"/>
  <c r="A586" i="62"/>
  <c r="A587" i="62"/>
  <c r="A588" i="62"/>
  <c r="A589" i="62"/>
  <c r="A590" i="62"/>
  <c r="A591" i="62"/>
  <c r="A592" i="62"/>
  <c r="A593" i="62"/>
  <c r="A594" i="62"/>
  <c r="A595" i="62"/>
  <c r="A596" i="62"/>
  <c r="A597" i="62"/>
  <c r="A598" i="62"/>
  <c r="A599" i="62"/>
  <c r="A600" i="62"/>
  <c r="A601" i="62"/>
  <c r="A602" i="62"/>
  <c r="A603" i="62"/>
  <c r="A604" i="62"/>
  <c r="A605" i="62"/>
  <c r="A606" i="62"/>
  <c r="A607" i="62"/>
  <c r="A608" i="62"/>
  <c r="A609" i="62"/>
  <c r="A610" i="62"/>
  <c r="A611" i="62"/>
  <c r="A612" i="62"/>
  <c r="A613" i="62"/>
  <c r="A614" i="62"/>
  <c r="A615" i="62"/>
  <c r="A616" i="62"/>
  <c r="A617" i="62"/>
  <c r="A618" i="62"/>
  <c r="A619" i="62"/>
  <c r="A620" i="62"/>
  <c r="A621" i="62"/>
  <c r="A622" i="62"/>
  <c r="A623" i="62"/>
  <c r="A624" i="62"/>
  <c r="A625" i="62"/>
  <c r="A626" i="62"/>
  <c r="A627" i="62"/>
  <c r="A628" i="62"/>
  <c r="A629" i="62"/>
  <c r="A630" i="62"/>
  <c r="A631" i="62"/>
  <c r="A632" i="62"/>
  <c r="A633" i="62"/>
  <c r="A634" i="62"/>
  <c r="A635" i="62"/>
  <c r="A636" i="62"/>
  <c r="A637" i="62"/>
  <c r="A638" i="62"/>
  <c r="A639" i="62"/>
  <c r="A640" i="62"/>
  <c r="A641" i="62"/>
  <c r="A642" i="62"/>
  <c r="A643" i="62"/>
  <c r="A644" i="62"/>
  <c r="A645" i="62"/>
  <c r="A646" i="62"/>
  <c r="A647" i="62"/>
  <c r="A648" i="62"/>
  <c r="A649" i="62"/>
  <c r="A650" i="62"/>
  <c r="A651" i="62"/>
  <c r="A652" i="62"/>
  <c r="A653" i="62"/>
  <c r="A654" i="62"/>
  <c r="A655" i="62"/>
  <c r="A656" i="62"/>
  <c r="A657" i="62"/>
  <c r="A658" i="62"/>
  <c r="A659" i="62"/>
  <c r="A660" i="62"/>
  <c r="A661" i="62"/>
  <c r="A662" i="62"/>
  <c r="A663" i="62"/>
  <c r="A664" i="62"/>
  <c r="A665" i="62"/>
  <c r="A666" i="62"/>
  <c r="A667" i="62"/>
  <c r="A668" i="62"/>
  <c r="A669" i="62"/>
  <c r="A670" i="62"/>
  <c r="A671" i="62"/>
  <c r="A672" i="62"/>
  <c r="A673" i="62"/>
  <c r="A674" i="62"/>
  <c r="A675" i="62"/>
  <c r="A676" i="62"/>
  <c r="A677" i="62"/>
  <c r="A678" i="62"/>
  <c r="A679" i="62"/>
  <c r="A680" i="62"/>
  <c r="A681" i="62"/>
  <c r="A682" i="62"/>
  <c r="A683" i="62"/>
  <c r="A684" i="62"/>
  <c r="A685" i="62"/>
  <c r="A686" i="62"/>
  <c r="A687" i="62"/>
  <c r="A688" i="62"/>
  <c r="A689" i="62"/>
  <c r="A690" i="62"/>
  <c r="A691" i="62"/>
  <c r="A692" i="62"/>
  <c r="A693" i="62"/>
  <c r="A694" i="62"/>
  <c r="A695" i="62"/>
  <c r="A696" i="62"/>
  <c r="A697" i="62"/>
  <c r="A698" i="62"/>
  <c r="A699" i="62"/>
  <c r="A700" i="62"/>
  <c r="A701" i="62"/>
  <c r="A702" i="62"/>
  <c r="A703" i="62"/>
  <c r="A704" i="62"/>
  <c r="A705" i="62"/>
  <c r="A706" i="62"/>
  <c r="A707" i="62"/>
  <c r="A708" i="62"/>
  <c r="A709" i="62"/>
  <c r="A710" i="62"/>
  <c r="A711" i="62"/>
  <c r="A712" i="62"/>
  <c r="A713" i="62"/>
  <c r="A714" i="62"/>
  <c r="A715" i="62"/>
  <c r="A716" i="62"/>
  <c r="A717" i="62"/>
  <c r="A718" i="62"/>
  <c r="A719" i="62"/>
  <c r="A720" i="62"/>
  <c r="A721" i="62"/>
  <c r="A722" i="62"/>
  <c r="A723" i="62"/>
  <c r="A724" i="62"/>
  <c r="A725" i="62"/>
  <c r="A726" i="62"/>
  <c r="A727" i="62"/>
  <c r="A728" i="62"/>
  <c r="A729" i="62"/>
  <c r="A730" i="62"/>
  <c r="A731" i="62"/>
  <c r="A732" i="62"/>
  <c r="A733" i="62"/>
  <c r="A734" i="62"/>
  <c r="A735" i="62"/>
  <c r="A736" i="62"/>
  <c r="A737" i="62"/>
  <c r="A738" i="62"/>
  <c r="A739" i="62"/>
  <c r="A740" i="62"/>
  <c r="A741" i="62"/>
  <c r="A742" i="62"/>
  <c r="A743" i="62"/>
  <c r="A744" i="62"/>
  <c r="A745" i="62"/>
  <c r="A746" i="62"/>
  <c r="A747" i="62"/>
  <c r="A748" i="62"/>
  <c r="A749" i="62"/>
  <c r="A750" i="62"/>
  <c r="A751" i="62"/>
  <c r="A752" i="62"/>
  <c r="A753" i="62"/>
  <c r="A754" i="62"/>
  <c r="A755" i="62"/>
  <c r="A756" i="62"/>
  <c r="A757" i="62"/>
  <c r="A758" i="62"/>
  <c r="A759" i="62"/>
  <c r="A760" i="62"/>
  <c r="A761" i="62"/>
  <c r="A762" i="62"/>
  <c r="A763" i="62"/>
  <c r="A764" i="62"/>
  <c r="A765" i="62"/>
  <c r="A766" i="62"/>
  <c r="A767" i="62"/>
  <c r="A768" i="62"/>
  <c r="A769" i="62"/>
  <c r="A770" i="62"/>
  <c r="A771" i="62"/>
  <c r="A772" i="62"/>
  <c r="A773" i="62"/>
  <c r="A774" i="62"/>
  <c r="A775" i="62"/>
  <c r="A776" i="62"/>
  <c r="A777" i="62"/>
  <c r="A778" i="62"/>
  <c r="A779" i="62"/>
  <c r="A780" i="62"/>
  <c r="A781" i="62"/>
  <c r="A782" i="62"/>
  <c r="A783" i="62"/>
  <c r="A784" i="62"/>
  <c r="A785" i="62"/>
  <c r="A786" i="62"/>
  <c r="A787" i="62"/>
  <c r="A788" i="62"/>
  <c r="A789" i="62"/>
  <c r="A790" i="62"/>
  <c r="A791" i="62"/>
  <c r="A792" i="62"/>
  <c r="A793" i="62"/>
  <c r="A794" i="62"/>
  <c r="A795" i="62"/>
  <c r="A796" i="62"/>
  <c r="A797" i="62"/>
  <c r="A798" i="62"/>
  <c r="A799" i="62"/>
  <c r="A800" i="62"/>
  <c r="A801" i="62"/>
  <c r="A802" i="62"/>
  <c r="A803" i="62"/>
  <c r="A804" i="62"/>
  <c r="A805" i="62"/>
  <c r="A806" i="62"/>
  <c r="A807" i="62"/>
  <c r="A808" i="62"/>
  <c r="A809" i="62"/>
  <c r="A810" i="62"/>
  <c r="A811" i="62"/>
  <c r="A812" i="62"/>
  <c r="A813" i="62"/>
  <c r="A814" i="62"/>
  <c r="A815" i="62"/>
  <c r="A816" i="62"/>
  <c r="A817" i="62"/>
  <c r="A818" i="62"/>
  <c r="A819" i="62"/>
  <c r="A820" i="62"/>
  <c r="A821" i="62"/>
  <c r="A822" i="62"/>
  <c r="A823" i="62"/>
  <c r="A824" i="62"/>
  <c r="A825" i="62"/>
  <c r="A826" i="62"/>
  <c r="A827" i="62"/>
  <c r="A828" i="62"/>
  <c r="A829" i="62"/>
  <c r="A830" i="62"/>
  <c r="A831" i="62"/>
  <c r="A832" i="62"/>
  <c r="A833" i="62"/>
  <c r="A834" i="62"/>
  <c r="A835" i="62"/>
  <c r="A836" i="62"/>
  <c r="A837" i="62"/>
  <c r="A838" i="62"/>
  <c r="A839" i="62"/>
  <c r="A840" i="62"/>
  <c r="A841" i="62"/>
  <c r="A842" i="62"/>
  <c r="A843" i="62"/>
  <c r="A844" i="62"/>
  <c r="A845" i="62"/>
  <c r="A846" i="62"/>
  <c r="A847" i="62"/>
  <c r="A848" i="62"/>
  <c r="A849" i="62"/>
  <c r="A850" i="62"/>
  <c r="A851" i="62"/>
  <c r="A852" i="62"/>
  <c r="A853" i="62"/>
  <c r="A854" i="62"/>
  <c r="A855" i="62"/>
  <c r="A856" i="62"/>
  <c r="A857" i="62"/>
  <c r="A858" i="62"/>
  <c r="A859" i="62"/>
  <c r="A860" i="62"/>
  <c r="A861" i="62"/>
  <c r="A862" i="62"/>
  <c r="A863" i="62"/>
  <c r="A864" i="62"/>
  <c r="A865" i="62"/>
  <c r="A866" i="62"/>
  <c r="A867" i="62"/>
  <c r="A868" i="62"/>
  <c r="A869" i="62"/>
  <c r="A870" i="62"/>
  <c r="A871" i="62"/>
  <c r="A872" i="62"/>
  <c r="A873" i="62"/>
  <c r="A874" i="62"/>
  <c r="A875" i="62"/>
  <c r="A876" i="62"/>
  <c r="A877" i="62"/>
  <c r="A878" i="62"/>
  <c r="A879" i="62"/>
  <c r="A880" i="62"/>
  <c r="A881" i="62"/>
  <c r="A882" i="62"/>
  <c r="A883" i="62"/>
  <c r="A884" i="62"/>
  <c r="A885" i="62"/>
  <c r="A886" i="62"/>
  <c r="A887" i="62"/>
  <c r="A888" i="62"/>
  <c r="A889" i="62"/>
  <c r="A890" i="62"/>
  <c r="A891" i="62"/>
  <c r="A892" i="62"/>
  <c r="A893" i="62"/>
  <c r="A894" i="62"/>
  <c r="A895" i="62"/>
  <c r="A896" i="62"/>
  <c r="A897" i="62"/>
  <c r="A898" i="62"/>
  <c r="A899" i="62"/>
  <c r="A900" i="62"/>
  <c r="A901" i="62"/>
  <c r="A902" i="62"/>
  <c r="A903" i="62"/>
  <c r="A904" i="62"/>
  <c r="A905" i="62"/>
  <c r="A906" i="62"/>
  <c r="A907" i="62"/>
  <c r="A908" i="62"/>
  <c r="A909" i="62"/>
  <c r="A910" i="62"/>
  <c r="A911" i="62"/>
  <c r="A912" i="62"/>
  <c r="A913" i="62"/>
  <c r="A914" i="62"/>
  <c r="A915" i="62"/>
  <c r="A916" i="62"/>
  <c r="A917" i="62"/>
  <c r="A918" i="62"/>
  <c r="A919" i="62"/>
  <c r="A920" i="62"/>
  <c r="A921" i="62"/>
  <c r="A922" i="62"/>
  <c r="A923" i="62"/>
  <c r="A924" i="62"/>
  <c r="A925" i="62"/>
  <c r="A926" i="62"/>
  <c r="A927" i="62"/>
  <c r="A928" i="62"/>
  <c r="A929" i="62"/>
  <c r="A930" i="62"/>
  <c r="A931" i="62"/>
  <c r="A932" i="62"/>
  <c r="A933" i="62"/>
  <c r="A934" i="62"/>
  <c r="A935" i="62"/>
  <c r="A936" i="62"/>
  <c r="A937" i="62"/>
  <c r="A938" i="62"/>
  <c r="A939" i="62"/>
  <c r="A940" i="62"/>
  <c r="A941" i="62"/>
  <c r="A942" i="62"/>
  <c r="A943" i="62"/>
  <c r="A944" i="62"/>
  <c r="A945" i="62"/>
  <c r="A946" i="62"/>
  <c r="A947" i="62"/>
  <c r="A948" i="62"/>
  <c r="A949" i="62"/>
  <c r="A950" i="62"/>
  <c r="A951" i="62"/>
  <c r="A952" i="62"/>
  <c r="A953" i="62"/>
  <c r="A954" i="62"/>
  <c r="A955" i="62"/>
  <c r="A956" i="62"/>
  <c r="A957" i="62"/>
  <c r="A958" i="62"/>
  <c r="A959" i="62"/>
  <c r="A960" i="62"/>
  <c r="A961" i="62"/>
  <c r="A962" i="62"/>
  <c r="A963" i="62"/>
  <c r="A964" i="62"/>
  <c r="A965" i="62"/>
  <c r="A966" i="62"/>
  <c r="A967" i="62"/>
  <c r="A968" i="62"/>
  <c r="A969" i="62"/>
  <c r="A970" i="62"/>
  <c r="A971" i="62"/>
  <c r="A972" i="62"/>
  <c r="A973" i="62"/>
  <c r="A974" i="62"/>
  <c r="A975" i="62"/>
  <c r="A976" i="62"/>
  <c r="A977" i="62"/>
  <c r="A978" i="62"/>
  <c r="A979" i="62"/>
  <c r="A980" i="62"/>
  <c r="A981" i="62"/>
  <c r="A982" i="62"/>
  <c r="A983" i="62"/>
  <c r="A984" i="62"/>
  <c r="A985" i="62"/>
  <c r="A986" i="62"/>
  <c r="A987" i="62"/>
  <c r="A988" i="62"/>
  <c r="A989" i="62"/>
  <c r="A990" i="62"/>
  <c r="A991" i="62"/>
  <c r="A992" i="62"/>
  <c r="A993" i="62"/>
  <c r="A994" i="62"/>
  <c r="A995" i="62"/>
  <c r="A996" i="62"/>
  <c r="A997" i="62"/>
  <c r="A998" i="62"/>
  <c r="A999" i="62"/>
  <c r="A1000" i="62"/>
  <c r="A1001" i="62"/>
  <c r="A1002" i="62"/>
  <c r="A1003" i="62"/>
  <c r="A1004" i="62"/>
  <c r="A1005" i="62"/>
  <c r="A1006" i="62"/>
  <c r="A1007" i="62"/>
  <c r="A1008" i="62"/>
  <c r="A1009" i="62"/>
  <c r="A1010" i="62"/>
  <c r="A1011" i="62"/>
  <c r="A1012" i="62"/>
  <c r="A1013" i="62"/>
  <c r="A1014" i="62"/>
  <c r="A1015" i="62"/>
  <c r="A1016" i="62"/>
  <c r="A1017" i="62"/>
  <c r="A1018" i="62"/>
  <c r="A1019" i="62"/>
  <c r="A1020" i="62"/>
  <c r="A1021" i="62"/>
  <c r="A1022" i="62"/>
  <c r="A1023" i="62"/>
  <c r="A1024" i="62"/>
  <c r="A1025" i="62"/>
  <c r="A1026" i="62"/>
  <c r="A1027" i="62"/>
  <c r="A1028" i="62"/>
  <c r="A1029" i="62"/>
  <c r="A1030" i="62"/>
  <c r="A1031" i="62"/>
  <c r="A1032" i="62"/>
  <c r="A1033" i="62"/>
  <c r="A1034" i="62"/>
  <c r="A1035" i="62"/>
  <c r="A1036" i="62"/>
  <c r="A1037" i="62"/>
  <c r="A1038" i="62"/>
  <c r="A1039" i="62"/>
  <c r="A1040" i="62"/>
  <c r="A1041" i="62"/>
  <c r="A1042" i="62"/>
  <c r="A1043" i="62"/>
  <c r="A1044" i="62"/>
  <c r="A1045" i="62"/>
  <c r="A1046" i="62"/>
  <c r="A1047" i="62"/>
  <c r="A1048" i="62"/>
  <c r="A1049" i="62"/>
  <c r="A1050" i="62"/>
  <c r="A1051" i="62"/>
  <c r="A1052" i="62"/>
  <c r="A1053" i="62"/>
  <c r="A1054" i="62"/>
  <c r="A1055" i="62"/>
  <c r="A1056" i="62"/>
  <c r="A1057" i="62"/>
  <c r="A1058" i="62"/>
  <c r="A1059" i="62"/>
  <c r="A1060" i="62"/>
  <c r="A1061" i="62"/>
  <c r="A1062" i="62"/>
  <c r="A1063" i="62"/>
  <c r="A1064" i="62"/>
  <c r="A1065" i="62"/>
  <c r="A1066" i="62"/>
  <c r="A1067" i="62"/>
  <c r="A1068" i="62"/>
  <c r="A1069" i="62"/>
  <c r="A1070" i="62"/>
  <c r="A1071" i="62"/>
  <c r="A1072" i="62"/>
  <c r="A1073" i="62"/>
  <c r="A1074" i="62"/>
  <c r="A1075" i="62"/>
  <c r="A1076" i="62"/>
  <c r="A1077" i="62"/>
  <c r="A1078" i="62"/>
  <c r="A1079" i="62"/>
  <c r="A1080" i="62"/>
  <c r="A1081" i="62"/>
  <c r="A1082" i="62"/>
  <c r="A1083" i="62"/>
  <c r="A1084" i="62"/>
  <c r="A1085" i="62"/>
  <c r="A1086" i="62"/>
  <c r="A1087" i="62"/>
  <c r="A1088" i="62"/>
  <c r="A1089" i="62"/>
  <c r="A1090" i="62"/>
  <c r="A1091" i="62"/>
  <c r="A1092" i="62"/>
  <c r="A1093" i="62"/>
  <c r="A1094" i="62"/>
  <c r="A1095" i="62"/>
  <c r="A1096" i="62"/>
  <c r="A1097" i="62"/>
  <c r="A1098" i="62"/>
  <c r="A1099" i="62"/>
  <c r="A1100" i="62"/>
  <c r="A1101" i="62"/>
  <c r="A1102" i="62"/>
  <c r="A1103" i="62"/>
  <c r="A1104" i="62"/>
  <c r="A1105" i="62"/>
  <c r="A1106" i="62"/>
  <c r="A1107" i="62"/>
  <c r="A1108" i="62"/>
  <c r="A1109" i="62"/>
  <c r="A1110" i="62"/>
  <c r="A1111" i="62"/>
  <c r="A1112" i="62"/>
  <c r="A1113" i="62"/>
  <c r="A1114" i="62"/>
  <c r="A1115" i="62"/>
  <c r="A1116" i="62"/>
  <c r="A1117" i="62"/>
  <c r="A1118" i="62"/>
  <c r="A1119" i="62"/>
  <c r="A1120" i="62"/>
  <c r="A1121" i="62"/>
  <c r="A1122" i="62"/>
  <c r="A1123" i="62"/>
  <c r="A1124" i="62"/>
  <c r="A1125" i="62"/>
  <c r="A1126" i="62"/>
  <c r="A1127" i="62"/>
  <c r="A1128" i="62"/>
  <c r="A1129" i="62"/>
  <c r="A1130" i="62"/>
  <c r="A1131" i="62"/>
  <c r="A1132" i="62"/>
  <c r="A1133" i="62"/>
  <c r="A1134" i="62"/>
  <c r="A1135" i="62"/>
  <c r="A1136" i="62"/>
  <c r="A1137" i="62"/>
  <c r="A1138" i="62"/>
  <c r="A1139" i="62"/>
  <c r="A1140" i="62"/>
  <c r="A1141" i="62"/>
  <c r="A1142" i="62"/>
  <c r="A1143" i="62"/>
  <c r="A1144" i="62"/>
  <c r="A1145" i="62"/>
  <c r="A1146" i="62"/>
  <c r="A1147" i="62"/>
  <c r="A1148" i="62"/>
  <c r="A1149" i="62"/>
  <c r="A1150" i="62"/>
  <c r="A1151" i="62"/>
  <c r="A1152" i="62"/>
  <c r="A1153" i="62"/>
  <c r="A1154" i="62"/>
  <c r="A1155" i="62"/>
  <c r="A1156" i="62"/>
  <c r="A1157" i="62"/>
  <c r="A1158" i="62"/>
  <c r="A1159" i="62"/>
  <c r="A1160" i="62"/>
  <c r="A1161" i="62"/>
  <c r="A1162" i="62"/>
  <c r="A1163" i="62"/>
  <c r="A1164" i="62"/>
  <c r="A1165" i="62"/>
  <c r="A1166" i="62"/>
  <c r="A1167" i="62"/>
  <c r="A1168" i="62"/>
  <c r="A1169" i="62"/>
  <c r="A1170" i="62"/>
  <c r="A1171" i="62"/>
  <c r="A1172" i="62"/>
  <c r="A1173" i="62"/>
  <c r="A1174" i="62"/>
  <c r="A1175" i="62"/>
  <c r="A1176" i="62"/>
  <c r="A1177" i="62"/>
  <c r="A1178" i="62"/>
  <c r="A1179" i="62"/>
  <c r="A1180" i="62"/>
  <c r="A1181" i="62"/>
  <c r="A1182" i="62"/>
  <c r="A1183" i="62"/>
  <c r="A1184" i="62"/>
  <c r="A1185" i="62"/>
  <c r="A1186" i="62"/>
  <c r="A1187" i="62"/>
  <c r="A1188" i="62"/>
  <c r="A1189" i="62"/>
  <c r="A1190" i="62"/>
  <c r="A1191" i="62"/>
  <c r="A1192" i="62"/>
  <c r="A1193" i="62"/>
  <c r="A1194" i="62"/>
  <c r="A1195" i="62"/>
  <c r="A1196" i="62"/>
  <c r="A1197" i="62"/>
  <c r="A1198" i="62"/>
  <c r="A1199" i="62"/>
  <c r="A1200" i="62"/>
  <c r="A1201" i="62"/>
  <c r="A1202" i="62"/>
  <c r="A1203" i="62"/>
  <c r="A1204" i="62"/>
  <c r="A1205" i="62"/>
  <c r="A1206" i="62"/>
  <c r="A1207" i="62"/>
  <c r="A1208" i="62"/>
  <c r="A1209" i="62"/>
  <c r="A1210" i="62"/>
  <c r="A1211" i="62"/>
  <c r="A1212" i="62"/>
  <c r="A1213" i="62"/>
  <c r="A1214" i="62"/>
  <c r="A1215" i="62"/>
  <c r="A1216" i="62"/>
  <c r="A1217" i="62"/>
  <c r="A1218" i="62"/>
  <c r="A1219" i="62"/>
  <c r="A1220" i="62"/>
  <c r="A1221" i="62"/>
  <c r="A1222" i="62"/>
  <c r="A1223" i="62"/>
  <c r="A1224" i="62"/>
  <c r="A1225" i="62"/>
  <c r="A1226" i="62"/>
  <c r="A1227" i="62"/>
  <c r="A1228" i="62"/>
  <c r="A1229" i="62"/>
  <c r="A1230" i="62"/>
  <c r="A1231" i="62"/>
  <c r="A1232" i="62"/>
  <c r="A1233" i="62"/>
  <c r="A1234" i="62"/>
  <c r="A1235" i="62"/>
  <c r="A1236" i="62"/>
  <c r="A1237" i="62"/>
  <c r="A1238" i="62"/>
  <c r="A1239" i="62"/>
  <c r="A1240" i="62"/>
  <c r="A1241" i="62"/>
  <c r="A1242" i="62"/>
  <c r="A1243" i="62"/>
  <c r="A1244" i="62"/>
  <c r="A1245" i="62"/>
  <c r="A1246" i="62"/>
  <c r="A1247" i="62"/>
  <c r="A1248" i="62"/>
  <c r="A1249" i="62"/>
  <c r="A1250" i="62"/>
  <c r="A1251" i="62"/>
  <c r="A1252" i="62"/>
  <c r="A1253" i="62"/>
  <c r="A1254" i="62"/>
  <c r="A1255" i="62"/>
  <c r="A1256" i="62"/>
  <c r="A1257" i="62"/>
  <c r="A1258" i="62"/>
  <c r="A1259" i="62"/>
  <c r="A1260" i="62"/>
  <c r="A1261" i="62"/>
  <c r="A1262" i="62"/>
  <c r="A1263" i="62"/>
  <c r="A1264" i="62"/>
  <c r="A1265" i="62"/>
  <c r="A1266" i="62"/>
  <c r="A1267" i="62"/>
  <c r="A1268" i="62"/>
  <c r="A1269" i="62"/>
  <c r="A1270" i="62"/>
  <c r="A1271" i="62"/>
  <c r="A1272" i="62"/>
  <c r="A1273" i="62"/>
  <c r="A1274" i="62"/>
  <c r="A1275" i="62"/>
  <c r="A1276" i="62"/>
  <c r="A1277" i="62"/>
  <c r="A1278" i="62"/>
  <c r="A1279" i="62"/>
  <c r="A1280" i="62"/>
  <c r="A1281" i="62"/>
  <c r="A1282" i="62"/>
  <c r="A1283" i="62"/>
  <c r="A1284" i="62"/>
  <c r="A1285" i="62"/>
  <c r="A1286" i="62"/>
  <c r="A1287" i="62"/>
  <c r="A1288" i="62"/>
  <c r="A1289" i="62"/>
  <c r="A1290" i="62"/>
  <c r="A1291" i="62"/>
  <c r="A1292" i="62"/>
  <c r="A1293" i="62"/>
  <c r="A1294" i="62"/>
  <c r="A1295" i="62"/>
  <c r="A1296" i="62"/>
  <c r="A1297" i="62"/>
  <c r="A1298" i="62"/>
  <c r="A1299" i="62"/>
  <c r="A1300" i="62"/>
  <c r="A1301" i="62"/>
  <c r="A1302" i="62"/>
  <c r="A1303" i="62"/>
  <c r="A1304" i="62"/>
  <c r="A1305" i="62"/>
  <c r="A1306" i="62"/>
  <c r="A1307" i="62"/>
  <c r="A1308" i="62"/>
  <c r="A1309" i="62"/>
  <c r="A1310" i="62"/>
  <c r="A1311" i="62"/>
  <c r="A1312" i="62"/>
  <c r="A1313" i="62"/>
  <c r="A1314" i="62"/>
  <c r="A1315" i="62"/>
  <c r="A1316" i="62"/>
  <c r="A1317" i="62"/>
  <c r="A1318" i="62"/>
  <c r="A1319" i="62"/>
  <c r="A1320" i="62"/>
  <c r="A1321" i="62"/>
  <c r="A1322" i="62"/>
  <c r="A1323" i="62"/>
  <c r="A1324" i="62"/>
  <c r="A1325" i="62"/>
  <c r="A1326" i="62"/>
  <c r="A1327" i="62"/>
  <c r="A1328" i="62"/>
  <c r="A1329" i="62"/>
  <c r="A1330" i="62"/>
  <c r="A1331" i="62"/>
  <c r="A1332" i="62"/>
  <c r="A1333" i="62"/>
  <c r="A1334" i="62"/>
  <c r="A1335" i="62"/>
  <c r="A1336" i="62"/>
  <c r="A1337" i="62"/>
  <c r="A1338" i="62"/>
  <c r="A1339" i="62"/>
  <c r="A1340" i="62"/>
  <c r="A1341" i="62"/>
  <c r="A1342" i="62"/>
  <c r="A1343" i="62"/>
  <c r="A1344" i="62"/>
  <c r="A1345" i="62"/>
  <c r="A1346" i="62"/>
  <c r="A1347" i="62"/>
  <c r="A1348" i="62"/>
  <c r="A1349" i="62"/>
  <c r="A1350" i="62"/>
  <c r="A1351" i="62"/>
  <c r="A1352" i="62"/>
  <c r="A1353" i="62"/>
  <c r="A1354" i="62"/>
  <c r="A1355" i="62"/>
  <c r="A1356" i="62"/>
  <c r="A1357" i="62"/>
  <c r="A1358" i="62"/>
  <c r="A1359" i="62"/>
  <c r="A1360" i="62"/>
  <c r="A1361" i="62"/>
  <c r="A1362" i="62"/>
  <c r="A1363" i="62"/>
  <c r="A1364" i="62"/>
  <c r="A1365" i="62"/>
  <c r="A1366" i="62"/>
  <c r="A1367" i="62"/>
  <c r="A1368" i="62"/>
  <c r="A1369" i="62"/>
  <c r="A1370" i="62"/>
  <c r="A1371" i="62"/>
  <c r="A1372" i="62"/>
  <c r="A1373" i="62"/>
  <c r="A1374" i="62"/>
  <c r="A1375" i="62"/>
  <c r="A1376" i="62"/>
  <c r="A1377" i="62"/>
  <c r="A1378" i="62"/>
  <c r="A1379" i="62"/>
  <c r="A1380" i="62"/>
  <c r="A1381" i="62"/>
  <c r="A1382" i="62"/>
  <c r="A1383" i="62"/>
  <c r="A1384" i="62"/>
  <c r="A1385" i="62"/>
  <c r="A1386" i="62"/>
  <c r="A1387" i="62"/>
  <c r="A1388" i="62"/>
  <c r="A1389" i="62"/>
  <c r="A1390" i="62"/>
  <c r="A1391" i="62"/>
  <c r="A1392" i="62"/>
  <c r="A1393" i="62"/>
  <c r="A1394" i="62"/>
  <c r="A1395" i="62"/>
  <c r="A1396" i="62"/>
  <c r="A1397" i="62"/>
  <c r="A1398" i="62"/>
  <c r="A1399" i="62"/>
  <c r="A1400" i="62"/>
  <c r="A1401" i="62"/>
  <c r="A1402" i="62"/>
  <c r="A1403" i="62"/>
  <c r="A1404" i="62"/>
  <c r="A1405" i="62"/>
  <c r="A1406" i="62"/>
  <c r="A1407" i="62"/>
  <c r="A1408" i="62"/>
  <c r="A1409" i="62"/>
  <c r="A1410" i="62"/>
  <c r="A1411" i="62"/>
  <c r="A1412" i="62"/>
  <c r="A1413" i="62"/>
  <c r="A1414" i="62"/>
  <c r="A1415" i="62"/>
  <c r="A1416" i="62"/>
  <c r="A1417" i="62"/>
  <c r="A1418" i="62"/>
  <c r="A1419" i="62"/>
  <c r="A1420" i="62"/>
  <c r="A1421" i="62"/>
  <c r="A1422" i="62"/>
  <c r="A1423" i="62"/>
  <c r="A1424" i="62"/>
  <c r="A1425" i="62"/>
  <c r="A1426" i="62"/>
  <c r="A1427" i="62"/>
  <c r="A1428" i="62"/>
  <c r="A1429" i="62"/>
  <c r="A1430" i="62"/>
  <c r="A1431" i="62"/>
  <c r="A1432" i="62"/>
  <c r="A1433" i="62"/>
  <c r="A1434" i="62"/>
  <c r="A1435" i="62"/>
  <c r="A1436" i="62"/>
  <c r="A1437" i="62"/>
  <c r="A1438" i="62"/>
  <c r="A1439" i="62"/>
  <c r="A1440" i="62"/>
  <c r="A1441" i="62"/>
  <c r="A1442" i="62"/>
  <c r="A1443" i="62"/>
  <c r="A1444" i="62"/>
  <c r="A1445" i="62"/>
  <c r="A1446" i="62"/>
  <c r="A1447" i="62"/>
  <c r="A1448" i="62"/>
  <c r="A1449" i="62"/>
  <c r="A1450" i="62"/>
  <c r="A1451" i="62"/>
  <c r="A1452" i="62"/>
  <c r="A1453" i="62"/>
  <c r="A1454" i="62"/>
  <c r="A1455" i="62"/>
  <c r="A1456" i="62"/>
  <c r="A1457" i="62"/>
  <c r="A1458" i="62"/>
  <c r="A1459" i="62"/>
  <c r="A1460" i="62"/>
  <c r="A1461" i="62"/>
  <c r="A1462" i="62"/>
  <c r="A1463" i="62"/>
  <c r="A1464" i="62"/>
  <c r="A1465" i="62"/>
  <c r="A1466" i="62"/>
  <c r="A1467" i="62"/>
  <c r="A1468" i="62"/>
  <c r="A1469" i="62"/>
  <c r="A1470" i="62"/>
  <c r="A1471" i="62"/>
  <c r="A1472" i="62"/>
  <c r="A1473" i="62"/>
  <c r="A1474" i="62"/>
  <c r="A1475" i="62"/>
  <c r="A1476" i="62"/>
  <c r="A1477" i="62"/>
  <c r="A1478" i="62"/>
  <c r="A1479" i="62"/>
  <c r="A1480" i="62"/>
  <c r="A1481" i="62"/>
  <c r="A1482" i="62"/>
  <c r="A1483" i="62"/>
  <c r="A1484" i="62"/>
  <c r="A1485" i="62"/>
  <c r="A1486" i="62"/>
  <c r="A1487" i="62"/>
  <c r="A1488" i="62"/>
  <c r="A1489" i="62"/>
  <c r="A1490" i="62"/>
  <c r="A1491" i="62"/>
  <c r="A1492" i="62"/>
  <c r="A1493" i="62"/>
  <c r="A1494" i="62"/>
  <c r="A1495" i="62"/>
  <c r="A1496" i="62"/>
  <c r="A1497" i="62"/>
  <c r="A1498" i="62"/>
  <c r="A1499" i="62"/>
  <c r="A1500" i="62"/>
  <c r="A1501" i="62"/>
  <c r="A1502" i="62"/>
  <c r="A1503" i="62"/>
  <c r="A1504" i="62"/>
  <c r="A1505" i="62"/>
  <c r="A1506" i="62"/>
  <c r="A1507" i="62"/>
  <c r="A1508" i="62"/>
  <c r="A1509" i="62"/>
  <c r="A1510" i="62"/>
  <c r="A1511" i="62"/>
  <c r="A1512" i="62"/>
  <c r="A1513" i="62"/>
  <c r="A1514" i="62"/>
  <c r="A1515" i="62"/>
  <c r="A1516" i="62"/>
  <c r="A1517" i="62"/>
  <c r="A1518" i="62"/>
  <c r="A1519" i="62"/>
  <c r="A1520" i="62"/>
  <c r="A1521" i="62"/>
  <c r="A1522" i="62"/>
  <c r="A1523" i="62"/>
  <c r="A1524" i="62"/>
  <c r="A1525" i="62"/>
  <c r="A1526" i="62"/>
  <c r="A1527" i="62"/>
  <c r="A1528" i="62"/>
  <c r="A1529" i="62"/>
  <c r="A1530" i="62"/>
  <c r="A1531" i="62"/>
  <c r="A1532" i="62"/>
  <c r="A1533" i="62"/>
  <c r="A1534" i="62"/>
  <c r="A1535" i="62"/>
  <c r="A1536" i="62"/>
  <c r="A1537" i="62"/>
  <c r="A1538" i="62"/>
  <c r="A1539" i="62"/>
  <c r="A1540" i="62"/>
  <c r="A1541" i="62"/>
  <c r="A1542" i="62"/>
  <c r="A1543" i="62"/>
  <c r="A1544" i="62"/>
  <c r="A1545" i="62"/>
  <c r="A1546" i="62"/>
  <c r="A1547" i="62"/>
  <c r="A1548" i="62"/>
  <c r="A1549" i="62"/>
  <c r="A1550" i="62"/>
  <c r="A1551" i="62"/>
  <c r="A1552" i="62"/>
  <c r="A1553" i="62"/>
  <c r="A1554" i="62"/>
  <c r="A1555" i="62"/>
  <c r="A1556" i="62"/>
  <c r="A1557" i="62"/>
  <c r="A1558" i="62"/>
  <c r="A1559" i="62"/>
  <c r="A1560" i="62"/>
  <c r="A1561" i="62"/>
  <c r="A1562" i="62"/>
  <c r="A1563" i="62"/>
  <c r="A1564" i="62"/>
  <c r="A1565" i="62"/>
  <c r="A1566" i="62"/>
  <c r="A1567" i="62"/>
  <c r="A1568" i="62"/>
  <c r="A1569" i="62"/>
  <c r="A1570" i="62"/>
  <c r="A1571" i="62"/>
  <c r="A1572" i="62"/>
  <c r="A1573" i="62"/>
  <c r="A1574" i="62"/>
  <c r="A1575" i="62"/>
  <c r="A1576" i="62"/>
  <c r="A1577" i="62"/>
  <c r="A1578" i="62"/>
  <c r="A1579" i="62"/>
  <c r="A1580" i="62"/>
  <c r="A1581" i="62"/>
  <c r="A1582" i="62"/>
  <c r="A1583" i="62"/>
  <c r="A1584" i="62"/>
  <c r="A1585" i="62"/>
  <c r="A1586" i="62"/>
  <c r="A1587" i="62"/>
  <c r="A1588" i="62"/>
  <c r="A1589" i="62"/>
  <c r="A1590" i="62"/>
  <c r="A1591" i="62"/>
  <c r="A1592" i="62"/>
  <c r="A1593" i="62"/>
  <c r="A1594" i="62"/>
  <c r="A1595" i="62"/>
  <c r="A1596" i="62"/>
  <c r="A1597" i="62"/>
  <c r="A1598" i="62"/>
  <c r="A1599" i="62"/>
  <c r="A1600" i="62"/>
  <c r="A1601" i="62"/>
  <c r="A1602" i="62"/>
  <c r="A1603" i="62"/>
  <c r="A1604" i="62"/>
  <c r="A1605" i="62"/>
  <c r="A1606" i="62"/>
  <c r="A1607" i="62"/>
  <c r="A1608" i="62"/>
  <c r="A1609" i="62"/>
  <c r="A1610" i="62"/>
  <c r="A1611" i="62"/>
  <c r="A1612" i="62"/>
  <c r="A1613" i="62"/>
  <c r="A1614" i="62"/>
  <c r="A1615" i="62"/>
  <c r="A1616" i="62"/>
  <c r="A1617" i="62"/>
  <c r="A1618" i="62"/>
  <c r="A1619" i="62"/>
  <c r="A1620" i="62"/>
  <c r="A1621" i="62"/>
  <c r="A1622" i="62"/>
  <c r="A1623" i="62"/>
  <c r="A1624" i="62"/>
  <c r="A1625" i="62"/>
  <c r="A1626" i="62"/>
  <c r="A1627" i="62"/>
  <c r="A1628" i="62"/>
  <c r="A1629" i="62"/>
  <c r="A1630" i="62"/>
  <c r="A1631" i="62"/>
  <c r="A1632" i="62"/>
  <c r="A1633" i="62"/>
  <c r="A1634" i="62"/>
  <c r="A1635" i="62"/>
  <c r="A1636" i="62"/>
  <c r="A1637" i="62"/>
  <c r="A1638" i="62"/>
  <c r="A1639" i="62"/>
  <c r="A1640" i="62"/>
  <c r="A1641" i="62"/>
  <c r="A1642" i="62"/>
  <c r="A1643" i="62"/>
  <c r="A1644" i="62"/>
  <c r="A1645" i="62"/>
  <c r="A1646" i="62"/>
  <c r="A1647" i="62"/>
  <c r="A1648" i="62"/>
  <c r="A1649" i="62"/>
  <c r="A1650" i="62"/>
  <c r="A1651" i="62"/>
  <c r="A1652" i="62"/>
  <c r="A1653" i="62"/>
  <c r="A1654" i="62"/>
  <c r="A1655" i="62"/>
  <c r="A1656" i="62"/>
  <c r="A1657" i="62"/>
  <c r="A1658" i="62"/>
  <c r="A1659" i="62"/>
  <c r="A1660" i="62"/>
  <c r="A1661" i="62"/>
  <c r="A1662" i="62"/>
  <c r="A1663" i="62"/>
  <c r="A1664" i="62"/>
  <c r="A1665" i="62"/>
  <c r="A1666" i="62"/>
  <c r="A1667" i="62"/>
  <c r="A1668" i="62"/>
  <c r="A1669" i="62"/>
  <c r="A1670" i="62"/>
  <c r="A1671" i="62"/>
  <c r="A1672" i="62"/>
  <c r="A1673" i="62"/>
  <c r="A1674" i="62"/>
  <c r="A1675" i="62"/>
  <c r="A1676" i="62"/>
  <c r="A1677" i="62"/>
  <c r="A1678" i="62"/>
  <c r="A1679" i="62"/>
  <c r="A1680" i="62"/>
  <c r="A1681" i="62"/>
  <c r="A1682" i="62"/>
  <c r="A1683" i="62"/>
  <c r="A1684" i="62"/>
  <c r="A1685" i="62"/>
  <c r="A1686" i="62"/>
  <c r="A1687" i="62"/>
  <c r="A1688" i="62"/>
  <c r="A1689" i="62"/>
  <c r="A1690" i="62"/>
  <c r="A1691" i="62"/>
  <c r="A1692" i="62"/>
  <c r="A1693" i="62"/>
  <c r="A1694" i="62"/>
  <c r="A1695" i="62"/>
  <c r="A1696" i="62"/>
  <c r="A1697" i="62"/>
  <c r="A1698" i="62"/>
  <c r="A1699" i="62"/>
  <c r="A1700" i="62"/>
  <c r="A1701" i="62"/>
  <c r="A1702" i="62"/>
  <c r="A1703" i="62"/>
  <c r="A1704" i="62"/>
  <c r="A1705" i="62"/>
  <c r="A1706" i="62"/>
  <c r="A1707" i="62"/>
  <c r="A1708" i="62"/>
  <c r="A1709" i="62"/>
  <c r="A1710" i="62"/>
  <c r="A1711" i="62"/>
  <c r="A1712" i="62"/>
  <c r="A1713" i="62"/>
  <c r="A1714" i="62"/>
  <c r="A1715" i="62"/>
  <c r="A1716" i="62"/>
  <c r="A1717" i="62"/>
  <c r="A1718" i="62"/>
  <c r="A1719" i="62"/>
  <c r="A1720" i="62"/>
  <c r="A1721" i="62"/>
  <c r="A1722" i="62"/>
  <c r="A1723" i="62"/>
  <c r="A1724" i="62"/>
  <c r="A1725" i="62"/>
  <c r="A1726" i="62"/>
  <c r="A1727" i="62"/>
  <c r="A1728" i="62"/>
  <c r="A1729" i="62"/>
  <c r="A1730" i="62"/>
  <c r="A1731" i="62"/>
  <c r="A1732" i="62"/>
  <c r="A1733" i="62"/>
  <c r="A1734" i="62"/>
  <c r="A1735" i="62"/>
  <c r="A1736" i="62"/>
  <c r="A1737" i="62"/>
  <c r="A1738" i="62"/>
  <c r="A1739" i="62"/>
  <c r="A1740" i="62"/>
  <c r="A1741" i="62"/>
  <c r="A1742" i="62"/>
  <c r="A1743" i="62"/>
  <c r="A1744" i="62"/>
  <c r="A1745" i="62"/>
  <c r="A1746" i="62"/>
  <c r="A1747" i="62"/>
  <c r="A1748" i="62"/>
  <c r="A1749" i="62"/>
  <c r="A1750" i="62"/>
  <c r="A1751" i="62"/>
  <c r="A1752" i="62"/>
  <c r="A1753" i="62"/>
  <c r="A1754" i="62"/>
  <c r="A1755" i="62"/>
  <c r="A1756" i="62"/>
  <c r="A1757" i="62"/>
  <c r="A1758" i="62"/>
  <c r="A1759" i="62"/>
  <c r="A1760" i="62"/>
  <c r="A1761" i="62"/>
  <c r="A1762" i="62"/>
  <c r="A1763" i="62"/>
  <c r="A1764" i="62"/>
  <c r="A1765" i="62"/>
  <c r="A1766" i="62"/>
  <c r="A1767" i="62"/>
  <c r="A1768" i="62"/>
  <c r="A1769" i="62"/>
  <c r="A1770" i="62"/>
  <c r="A1771" i="62"/>
  <c r="A1772" i="62"/>
  <c r="A1773" i="62"/>
  <c r="A1774" i="62"/>
  <c r="A1775" i="62"/>
  <c r="A1776" i="62"/>
  <c r="A1777" i="62"/>
  <c r="A1778" i="62"/>
  <c r="A1779" i="62"/>
  <c r="A1780" i="62"/>
  <c r="A1781" i="62"/>
  <c r="A1782" i="62"/>
  <c r="A1783" i="62"/>
  <c r="A1784" i="62"/>
  <c r="A1785" i="62"/>
  <c r="A1786" i="62"/>
  <c r="A1787" i="62"/>
  <c r="A1788" i="62"/>
  <c r="A1789" i="62"/>
  <c r="A1790" i="62"/>
  <c r="A1791" i="62"/>
  <c r="A1792" i="62"/>
  <c r="A1793" i="62"/>
  <c r="A1794" i="62"/>
  <c r="A1795" i="62"/>
  <c r="A1796" i="62"/>
  <c r="A1797" i="62"/>
  <c r="A1798" i="62"/>
  <c r="A1799" i="62"/>
  <c r="A1800" i="62"/>
  <c r="A1801" i="62"/>
  <c r="A1802" i="62"/>
  <c r="A1803" i="62"/>
  <c r="A1804" i="62"/>
  <c r="A1805" i="62"/>
  <c r="A1806" i="62"/>
  <c r="A1807" i="62"/>
  <c r="A1808" i="62"/>
  <c r="A1809" i="62"/>
  <c r="A1810" i="62"/>
  <c r="A1811" i="62"/>
  <c r="A1812" i="62"/>
  <c r="A1813" i="62"/>
  <c r="A1814" i="62"/>
  <c r="A1815" i="62"/>
  <c r="A1816" i="62"/>
  <c r="A1817" i="62"/>
  <c r="A1818" i="62"/>
  <c r="A1819" i="62"/>
  <c r="A1820" i="62"/>
  <c r="A1821" i="62"/>
  <c r="A1822" i="62"/>
  <c r="A1823" i="62"/>
  <c r="A1824" i="62"/>
  <c r="A1825" i="62"/>
  <c r="A1826" i="62"/>
  <c r="A1827" i="62"/>
  <c r="A1828" i="62"/>
  <c r="A1829" i="62"/>
  <c r="A1830" i="62"/>
  <c r="A1831" i="62"/>
  <c r="A1832" i="62"/>
  <c r="A1833" i="62"/>
  <c r="A1834" i="62"/>
  <c r="A1835" i="62"/>
  <c r="A1836" i="62"/>
  <c r="A1837" i="62"/>
  <c r="A1838" i="62"/>
  <c r="A1839" i="62"/>
  <c r="A1840" i="62"/>
  <c r="A1841" i="62"/>
  <c r="A1842" i="62"/>
  <c r="A1843" i="62"/>
  <c r="A1844" i="62"/>
  <c r="A1845" i="62"/>
  <c r="A1846" i="62"/>
  <c r="A1847" i="62"/>
  <c r="A1848" i="62"/>
  <c r="A1849" i="62"/>
  <c r="A1850" i="62"/>
  <c r="A1851" i="62"/>
  <c r="A1852" i="62"/>
  <c r="A1853" i="62"/>
  <c r="A1854" i="62"/>
  <c r="A1855" i="62"/>
  <c r="A1856" i="62"/>
  <c r="A1857" i="62"/>
  <c r="A1858" i="62"/>
  <c r="A1859" i="62"/>
  <c r="A1860" i="62"/>
  <c r="A1861" i="62"/>
  <c r="A1862" i="62"/>
  <c r="A1863" i="62"/>
  <c r="A1864" i="62"/>
  <c r="A1865" i="62"/>
  <c r="A1866" i="62"/>
  <c r="A1867" i="62"/>
  <c r="A1868" i="62"/>
  <c r="A1869" i="62"/>
  <c r="A1870" i="62"/>
  <c r="A1871" i="62"/>
  <c r="A1872" i="62"/>
  <c r="A1873" i="62"/>
  <c r="A1874" i="62"/>
  <c r="A1875" i="62"/>
  <c r="A1876" i="62"/>
  <c r="A1877" i="62"/>
  <c r="A1878" i="62"/>
  <c r="A1879" i="62"/>
  <c r="A1880" i="62"/>
  <c r="A1881" i="62"/>
  <c r="A1882" i="62"/>
  <c r="A1883" i="62"/>
  <c r="A1884" i="62"/>
  <c r="A1885" i="62"/>
  <c r="A1886" i="62"/>
  <c r="A1887" i="62"/>
  <c r="A1888" i="62"/>
  <c r="A1889" i="62"/>
  <c r="A1890" i="62"/>
  <c r="A1891" i="62"/>
  <c r="A1892" i="62"/>
  <c r="A1893" i="62"/>
  <c r="A1894" i="62"/>
  <c r="A1895" i="62"/>
  <c r="A1896" i="62"/>
  <c r="A1897" i="62"/>
  <c r="A1898" i="62"/>
  <c r="A1899" i="62"/>
  <c r="A1900" i="62"/>
  <c r="A1901" i="62"/>
  <c r="A1902" i="62"/>
  <c r="A1903" i="62"/>
  <c r="A1904" i="62"/>
  <c r="A1905" i="62"/>
  <c r="A1906" i="62"/>
  <c r="A1907" i="62"/>
  <c r="A1908" i="62"/>
  <c r="A1909" i="62"/>
  <c r="A1910" i="62"/>
  <c r="A1911" i="62"/>
  <c r="A1912" i="62"/>
  <c r="A1913" i="62"/>
  <c r="A1914" i="62"/>
  <c r="A1915" i="62"/>
  <c r="A1916" i="62"/>
  <c r="A1917" i="62"/>
  <c r="A1918" i="62"/>
  <c r="A1919" i="62"/>
  <c r="A1920" i="62"/>
  <c r="A1921" i="62"/>
  <c r="A1922" i="62"/>
  <c r="A1923" i="62"/>
  <c r="A1924" i="62"/>
  <c r="A1925" i="62"/>
  <c r="A1926" i="62"/>
  <c r="A1927" i="62"/>
  <c r="A1928" i="62"/>
  <c r="A1929" i="62"/>
  <c r="A1930" i="62"/>
  <c r="A1931" i="62"/>
  <c r="A1932" i="62"/>
  <c r="A1933" i="62"/>
  <c r="A1934" i="62"/>
  <c r="A1935" i="62"/>
  <c r="A1936" i="62"/>
  <c r="A1937" i="62"/>
  <c r="A1938" i="62"/>
  <c r="A1939" i="62"/>
  <c r="A1940" i="62"/>
  <c r="A1941" i="62"/>
  <c r="A1942" i="62"/>
  <c r="A1943" i="62"/>
  <c r="A1944" i="62"/>
  <c r="A1945" i="62"/>
  <c r="A1946" i="62"/>
  <c r="A1947" i="62"/>
  <c r="A1948" i="62"/>
  <c r="A1949" i="62"/>
  <c r="A1950" i="62"/>
  <c r="A1951" i="62"/>
  <c r="A1952" i="62"/>
  <c r="A1953" i="62"/>
  <c r="A1954" i="62"/>
  <c r="A1955" i="62"/>
  <c r="A1956" i="62"/>
  <c r="A1957" i="62"/>
  <c r="A1958" i="62"/>
  <c r="A1959" i="62"/>
  <c r="A1960" i="62"/>
  <c r="A1961" i="62"/>
  <c r="A1962" i="62"/>
  <c r="A1963" i="62"/>
  <c r="A1964" i="62"/>
  <c r="A1965" i="62"/>
  <c r="A1966" i="62"/>
  <c r="A1967" i="62"/>
  <c r="A1968" i="62"/>
  <c r="A1969" i="62"/>
  <c r="A1970" i="62"/>
  <c r="A1971" i="62"/>
  <c r="A1972" i="62"/>
  <c r="A1973" i="62"/>
  <c r="A1974" i="62"/>
  <c r="A1975" i="62"/>
  <c r="A1976" i="62"/>
  <c r="A1977" i="62"/>
  <c r="A1978" i="62"/>
  <c r="A1979" i="62"/>
  <c r="A1980" i="62"/>
  <c r="A1981" i="62"/>
  <c r="A1982" i="62"/>
  <c r="A1983" i="62"/>
  <c r="A1984" i="62"/>
  <c r="A1985" i="62"/>
  <c r="A1986" i="62"/>
  <c r="A1987" i="62"/>
  <c r="A1988" i="62"/>
  <c r="A1989" i="62"/>
  <c r="A1990" i="62"/>
  <c r="A1991" i="62"/>
  <c r="A1992" i="62"/>
  <c r="A1993" i="62"/>
  <c r="A1994" i="62"/>
  <c r="A1995" i="62"/>
  <c r="A1996" i="62"/>
  <c r="A1997" i="62"/>
  <c r="A1998" i="62"/>
  <c r="A1999" i="62"/>
  <c r="A2000" i="62"/>
  <c r="A2001" i="62"/>
  <c r="A2002" i="62"/>
  <c r="A2003" i="62"/>
  <c r="A2004" i="62"/>
  <c r="A2005" i="62"/>
  <c r="A2006" i="62"/>
  <c r="A2007" i="62"/>
  <c r="A2008" i="62"/>
  <c r="A2009" i="62"/>
  <c r="A2010" i="62"/>
  <c r="A2011" i="62"/>
  <c r="A2012" i="62"/>
  <c r="A2013" i="62"/>
  <c r="A2014" i="62"/>
  <c r="A2015" i="62"/>
  <c r="A2016" i="62"/>
  <c r="A2017" i="62"/>
  <c r="A2018" i="62"/>
  <c r="A2019" i="62"/>
  <c r="A2020" i="62"/>
  <c r="A2021" i="62"/>
  <c r="A2022" i="62"/>
  <c r="A2023" i="62"/>
  <c r="A2024" i="62"/>
  <c r="A2025" i="62"/>
  <c r="A2026" i="62"/>
  <c r="A2027" i="62"/>
  <c r="A2028" i="62"/>
  <c r="A2029" i="62"/>
  <c r="A2030" i="62"/>
  <c r="A2031" i="62"/>
  <c r="A2032" i="62"/>
  <c r="A2033" i="62"/>
  <c r="A2034" i="62"/>
  <c r="A2035" i="62"/>
  <c r="A2036" i="62"/>
  <c r="A2037" i="62"/>
  <c r="A2038" i="62"/>
  <c r="A2039" i="62"/>
  <c r="A2040" i="62"/>
  <c r="A2041" i="62"/>
  <c r="A2042" i="62"/>
  <c r="A2043" i="62"/>
  <c r="A2044" i="62"/>
  <c r="A2045" i="62"/>
  <c r="A2046" i="62"/>
  <c r="A2047" i="62"/>
  <c r="A2048" i="62"/>
  <c r="A2049" i="62"/>
  <c r="A2050" i="62"/>
  <c r="A2051" i="62"/>
  <c r="A2052" i="62"/>
  <c r="A2053" i="62"/>
  <c r="A2054" i="62"/>
  <c r="A2055" i="62"/>
  <c r="A2056" i="62"/>
  <c r="A2057" i="62"/>
  <c r="A2058" i="62"/>
  <c r="A2059" i="62"/>
  <c r="A2060" i="62"/>
  <c r="A2061" i="62"/>
  <c r="A2062" i="62"/>
  <c r="A2063" i="62"/>
  <c r="A2064" i="62"/>
  <c r="A2065" i="62"/>
  <c r="A2066" i="62"/>
  <c r="A2067" i="62"/>
  <c r="A2068" i="62"/>
  <c r="A2069" i="62"/>
  <c r="A2070" i="62"/>
  <c r="A2071" i="62"/>
  <c r="A2072" i="62"/>
  <c r="A2073" i="62"/>
  <c r="A2074" i="62"/>
  <c r="A2075" i="62"/>
  <c r="A2076" i="62"/>
  <c r="A2077" i="62"/>
  <c r="A2078" i="62"/>
  <c r="A2079" i="62"/>
  <c r="A2080" i="62"/>
  <c r="A2081" i="62"/>
  <c r="A2082" i="62"/>
  <c r="A2083" i="62"/>
  <c r="A2084" i="62"/>
  <c r="A2085" i="62"/>
  <c r="A2086" i="62"/>
  <c r="A2087" i="62"/>
  <c r="A2088" i="62"/>
  <c r="A2089" i="62"/>
  <c r="A2090" i="62"/>
  <c r="A2091" i="62"/>
  <c r="A2092" i="62"/>
  <c r="A2093" i="62"/>
  <c r="A2094" i="62"/>
  <c r="A2095" i="62"/>
  <c r="A2096" i="62"/>
  <c r="A2097" i="62"/>
  <c r="A2098" i="62"/>
  <c r="A2099" i="62"/>
  <c r="A2100" i="62"/>
  <c r="A2101" i="62"/>
  <c r="A2102" i="62"/>
  <c r="A2103" i="62"/>
  <c r="A2104" i="62"/>
  <c r="A2105" i="62"/>
  <c r="A2106" i="62"/>
  <c r="A2107" i="62"/>
  <c r="A2108" i="62"/>
  <c r="A2109" i="62"/>
  <c r="A2110" i="62"/>
  <c r="A2111" i="62"/>
  <c r="A2112" i="62"/>
  <c r="A2113" i="62"/>
  <c r="A2114" i="62"/>
  <c r="A2115" i="62"/>
  <c r="A2116" i="62"/>
  <c r="A2117" i="62"/>
  <c r="A2118" i="62"/>
  <c r="A2119" i="62"/>
  <c r="A2120" i="62"/>
  <c r="A2121" i="62"/>
  <c r="A2122" i="62"/>
  <c r="A2123" i="62"/>
  <c r="A2124" i="62"/>
  <c r="A2125" i="62"/>
  <c r="A2126" i="62"/>
  <c r="A2127" i="62"/>
  <c r="A2128" i="62"/>
  <c r="A2129" i="62"/>
  <c r="A2130" i="62"/>
  <c r="A2131" i="62"/>
  <c r="A2132" i="62"/>
  <c r="A2133" i="62"/>
  <c r="A2134" i="62"/>
  <c r="A2135" i="62"/>
  <c r="A2136" i="62"/>
  <c r="A2137" i="62"/>
  <c r="A2138" i="62"/>
  <c r="A2139" i="62"/>
  <c r="A2140" i="62"/>
  <c r="A2141" i="62"/>
  <c r="A2142" i="62"/>
  <c r="A2143" i="62"/>
  <c r="A2144" i="62"/>
  <c r="A2145" i="62"/>
  <c r="A2146" i="62"/>
  <c r="A2147" i="62"/>
  <c r="A2148" i="62"/>
  <c r="A2149" i="62"/>
  <c r="A2150" i="62"/>
  <c r="A2151" i="62"/>
  <c r="A2152" i="62"/>
  <c r="A2153" i="62"/>
  <c r="A2154" i="62"/>
  <c r="A2155" i="62"/>
  <c r="A2156" i="62"/>
  <c r="A2157" i="62"/>
  <c r="A2158" i="62"/>
  <c r="A2159" i="62"/>
  <c r="A2160" i="62"/>
  <c r="A2161" i="62"/>
  <c r="A2162" i="62"/>
  <c r="A2163" i="62"/>
  <c r="A2164" i="62"/>
  <c r="A2165" i="62"/>
  <c r="A2166" i="62"/>
  <c r="A2167" i="62"/>
  <c r="A2168" i="62"/>
  <c r="A2169" i="62"/>
  <c r="A2170" i="62"/>
  <c r="A2171" i="62"/>
  <c r="A2172" i="62"/>
  <c r="A2173" i="62"/>
  <c r="A2174" i="62"/>
  <c r="A2175" i="62"/>
  <c r="A2176" i="62"/>
  <c r="A2177" i="62"/>
  <c r="A2178" i="62"/>
  <c r="A2179" i="62"/>
  <c r="A2180" i="62"/>
  <c r="A2181" i="62"/>
  <c r="A2182" i="62"/>
  <c r="A2183" i="62"/>
  <c r="A2184" i="62"/>
  <c r="A2185" i="62"/>
  <c r="A2186" i="62"/>
  <c r="A2187" i="62"/>
  <c r="A2188" i="62"/>
  <c r="A2189" i="62"/>
  <c r="A2190" i="62"/>
  <c r="A2191" i="62"/>
  <c r="A2192" i="62"/>
  <c r="A2193" i="62"/>
  <c r="A2194" i="62"/>
  <c r="A2195" i="62"/>
  <c r="A2196" i="62"/>
  <c r="A2197" i="62"/>
  <c r="A2198" i="62"/>
  <c r="A2199" i="62"/>
  <c r="A2200" i="62"/>
  <c r="A2201" i="62"/>
  <c r="A2202" i="62"/>
  <c r="A2203" i="62"/>
  <c r="A2204" i="62"/>
  <c r="A2205" i="62"/>
  <c r="A2206" i="62"/>
  <c r="A2207" i="62"/>
  <c r="A2208" i="62"/>
  <c r="A2209" i="62"/>
  <c r="A2210" i="62"/>
  <c r="A2211" i="62"/>
  <c r="A2212" i="62"/>
  <c r="A2213" i="62"/>
  <c r="A2214" i="62"/>
  <c r="A2215" i="62"/>
  <c r="A2216" i="62"/>
  <c r="A2217" i="62"/>
  <c r="A2218" i="62"/>
  <c r="A2219" i="62"/>
  <c r="A2220" i="62"/>
  <c r="A2221" i="62"/>
  <c r="A2222" i="62"/>
  <c r="A2223" i="62"/>
  <c r="A2224" i="62"/>
  <c r="A2225" i="62"/>
  <c r="A2226" i="62"/>
  <c r="A2227" i="62"/>
  <c r="A2228" i="62"/>
  <c r="A2229" i="62"/>
  <c r="A2230" i="62"/>
  <c r="A2231" i="62"/>
  <c r="A2232" i="62"/>
  <c r="A2233" i="62"/>
  <c r="A2234" i="62"/>
  <c r="A2235" i="62"/>
  <c r="A2236" i="62"/>
  <c r="A2237" i="62"/>
  <c r="A2238" i="62"/>
  <c r="A2239" i="62"/>
  <c r="A2240" i="62"/>
  <c r="A2241" i="62"/>
  <c r="A2242" i="62"/>
  <c r="A2243" i="62"/>
  <c r="A2244" i="62"/>
  <c r="A2245" i="62"/>
  <c r="A2246" i="62"/>
  <c r="A2247" i="62"/>
  <c r="A2248" i="62"/>
  <c r="A2249" i="62"/>
  <c r="A2250" i="62"/>
  <c r="A2251" i="62"/>
  <c r="A2252" i="62"/>
  <c r="A2253" i="62"/>
  <c r="A2254" i="62"/>
  <c r="A2255" i="62"/>
  <c r="A2256" i="62"/>
  <c r="A2257" i="62"/>
  <c r="A2258" i="62"/>
  <c r="A2259" i="62"/>
  <c r="A2260" i="62"/>
  <c r="A2261" i="62"/>
  <c r="A2262" i="62"/>
  <c r="A2263" i="62"/>
  <c r="A2264" i="62"/>
  <c r="A2265" i="62"/>
  <c r="A2266" i="62"/>
  <c r="A2267" i="62"/>
  <c r="A2268" i="62"/>
  <c r="A2269" i="62"/>
  <c r="A2270" i="62"/>
  <c r="A2271" i="62"/>
  <c r="A2272" i="62"/>
  <c r="A2273" i="62"/>
  <c r="A2274" i="62"/>
  <c r="A2275" i="62"/>
  <c r="A2276" i="62"/>
  <c r="A2277" i="62"/>
  <c r="A2278" i="62"/>
  <c r="A2279" i="62"/>
  <c r="A2280" i="62"/>
  <c r="A2281" i="62"/>
  <c r="A2282" i="62"/>
  <c r="A2283" i="62"/>
  <c r="A2284" i="62"/>
  <c r="A2285" i="62"/>
  <c r="A2286" i="62"/>
  <c r="A2287" i="62"/>
  <c r="A2288" i="62"/>
  <c r="A2289" i="62"/>
  <c r="A2290" i="62"/>
  <c r="A2291" i="62"/>
  <c r="A2292" i="62"/>
  <c r="A2293" i="62"/>
  <c r="A2294" i="62"/>
  <c r="A2295" i="62"/>
  <c r="A2296" i="62"/>
  <c r="A2297" i="62"/>
  <c r="A2298" i="62"/>
  <c r="A2299" i="62"/>
  <c r="A2300" i="62"/>
  <c r="A2301" i="62"/>
  <c r="A2302" i="62"/>
  <c r="A2303" i="62"/>
  <c r="A2304" i="62"/>
  <c r="A2305" i="62"/>
  <c r="A2306" i="62"/>
  <c r="A2307" i="62"/>
  <c r="A2308" i="62"/>
  <c r="A2309" i="62"/>
  <c r="A2310" i="62"/>
  <c r="A2311" i="62"/>
  <c r="A2312" i="62"/>
  <c r="A2313" i="62"/>
  <c r="A2314" i="62"/>
  <c r="A2315" i="62"/>
  <c r="A2316" i="62"/>
  <c r="A2317" i="62"/>
  <c r="A2318" i="62"/>
  <c r="A2319" i="62"/>
  <c r="A2320" i="62"/>
  <c r="A2321" i="62"/>
  <c r="A2322" i="62"/>
  <c r="A2323" i="62"/>
  <c r="A2324" i="62"/>
  <c r="A2325" i="62"/>
  <c r="A2326" i="62"/>
  <c r="A2327" i="62"/>
  <c r="A2328" i="62"/>
  <c r="A2329" i="62"/>
  <c r="A2330" i="62"/>
  <c r="A2331" i="62"/>
  <c r="A2332" i="62"/>
  <c r="A2333" i="62"/>
  <c r="A2334" i="62"/>
  <c r="A2335" i="62"/>
  <c r="A2336" i="62"/>
  <c r="A2337" i="62"/>
  <c r="A2338" i="62"/>
  <c r="A2339" i="62"/>
  <c r="A2340" i="62"/>
  <c r="A2341" i="62"/>
  <c r="A2342" i="62"/>
  <c r="A2343" i="62"/>
  <c r="A2344" i="62"/>
  <c r="A2345" i="62"/>
  <c r="A2346" i="62"/>
  <c r="A2347" i="62"/>
  <c r="A2348" i="62"/>
  <c r="A2349" i="62"/>
  <c r="A2350" i="62"/>
  <c r="A2351" i="62"/>
  <c r="A2352" i="62"/>
  <c r="A2353" i="62"/>
  <c r="A2354" i="62"/>
  <c r="A2355" i="62"/>
  <c r="A2356" i="62"/>
  <c r="A2357" i="62"/>
  <c r="A2358" i="62"/>
  <c r="A2359" i="62"/>
  <c r="A2360" i="62"/>
  <c r="A2361" i="62"/>
  <c r="A2362" i="62"/>
  <c r="A2363" i="62"/>
  <c r="A2364" i="62"/>
  <c r="A2365" i="62"/>
  <c r="A2366" i="62"/>
  <c r="A2367" i="62"/>
  <c r="A2368" i="62"/>
  <c r="A2369" i="62"/>
  <c r="A2370" i="62"/>
  <c r="A2371" i="62"/>
  <c r="A2372" i="62"/>
  <c r="A2373" i="62"/>
  <c r="A2374" i="62"/>
  <c r="A2375" i="62"/>
  <c r="A2376" i="62"/>
  <c r="A2377" i="62"/>
  <c r="A2378" i="62"/>
  <c r="A2379" i="62"/>
  <c r="A2380" i="62"/>
  <c r="A2381" i="62"/>
  <c r="A2382" i="62"/>
  <c r="A2383" i="62"/>
  <c r="A2384" i="62"/>
  <c r="A2385" i="62"/>
  <c r="A2386" i="62"/>
  <c r="A2387" i="62"/>
  <c r="A2388" i="62"/>
  <c r="A2389" i="62"/>
  <c r="A2390" i="62"/>
  <c r="A2391" i="62"/>
  <c r="A2392" i="62"/>
  <c r="A2393" i="62"/>
  <c r="A2394" i="62"/>
  <c r="A2395" i="62"/>
  <c r="A2396" i="62"/>
  <c r="A2397" i="62"/>
  <c r="A2398" i="62"/>
  <c r="A2399" i="62"/>
  <c r="A2400" i="62"/>
  <c r="A2401" i="62"/>
  <c r="A2402" i="62"/>
  <c r="A2403" i="62"/>
  <c r="A2404" i="62"/>
  <c r="A2405" i="62"/>
  <c r="A2406" i="62"/>
  <c r="A2407" i="62"/>
  <c r="A2408" i="62"/>
  <c r="A2409" i="62"/>
  <c r="A2410" i="62"/>
  <c r="A2411" i="62"/>
  <c r="A2412" i="62"/>
  <c r="A2413" i="62"/>
  <c r="A2414" i="62"/>
  <c r="A2415" i="62"/>
  <c r="A2416" i="62"/>
  <c r="A2417" i="62"/>
  <c r="A2418" i="62"/>
  <c r="A2419" i="62"/>
  <c r="A2420" i="62"/>
  <c r="A2421" i="62"/>
  <c r="A2422" i="62"/>
  <c r="A2423" i="62"/>
  <c r="A2424" i="62"/>
  <c r="A2425" i="62"/>
  <c r="A2426" i="62"/>
  <c r="A2427" i="62"/>
  <c r="A2428" i="62"/>
  <c r="A2429" i="62"/>
  <c r="A2430" i="62"/>
  <c r="A2431" i="62"/>
  <c r="A2432" i="62"/>
  <c r="A2433" i="62"/>
  <c r="A2434" i="62"/>
  <c r="A2435" i="62"/>
  <c r="A2436" i="62"/>
  <c r="A2437" i="62"/>
  <c r="A2438" i="62"/>
  <c r="A2439" i="62"/>
  <c r="A2440" i="62"/>
  <c r="A2441" i="62"/>
  <c r="A2442" i="62"/>
  <c r="A2443" i="62"/>
  <c r="A2444" i="62"/>
  <c r="A2445" i="62"/>
  <c r="A2446" i="62"/>
  <c r="A2447" i="62"/>
  <c r="A2448" i="62"/>
  <c r="A2449" i="62"/>
  <c r="A2450" i="62"/>
  <c r="A2451" i="62"/>
  <c r="A2452" i="62"/>
  <c r="A2453" i="62"/>
  <c r="A2454" i="62"/>
  <c r="A2455" i="62"/>
  <c r="A2456" i="62"/>
  <c r="A2457" i="62"/>
  <c r="A2458" i="62"/>
  <c r="A2459" i="62"/>
  <c r="A2460" i="62"/>
  <c r="A2461" i="62"/>
  <c r="A2462" i="62"/>
  <c r="A2463" i="62"/>
  <c r="A2464" i="62"/>
  <c r="A2465" i="62"/>
  <c r="A2466" i="62"/>
  <c r="A2467" i="62"/>
  <c r="A2468" i="62"/>
  <c r="A2469" i="62"/>
  <c r="A2470" i="62"/>
  <c r="A2471" i="62"/>
  <c r="A2472" i="62"/>
  <c r="A2473" i="62"/>
  <c r="A2474" i="62"/>
  <c r="A2475" i="62"/>
  <c r="A2476" i="62"/>
  <c r="A2477" i="62"/>
  <c r="A2478" i="62"/>
  <c r="A2479" i="62"/>
  <c r="A2480" i="62"/>
  <c r="A2481" i="62"/>
  <c r="A2482" i="62"/>
  <c r="A2483" i="62"/>
  <c r="A2484" i="62"/>
  <c r="A2485" i="62"/>
  <c r="A2486" i="62"/>
  <c r="A2487" i="62"/>
  <c r="A2488" i="62"/>
  <c r="A2489" i="62"/>
  <c r="A2490" i="62"/>
  <c r="A2491" i="62"/>
  <c r="A2492" i="62"/>
  <c r="A2493" i="62"/>
  <c r="A2494" i="62"/>
  <c r="A2495" i="62"/>
  <c r="A2496" i="62"/>
  <c r="A2497" i="62"/>
  <c r="A2498" i="62"/>
  <c r="A2499" i="62"/>
  <c r="A2500" i="62"/>
  <c r="A2501" i="62"/>
  <c r="A2502" i="62"/>
  <c r="A2503" i="62"/>
  <c r="A2504" i="62"/>
  <c r="A2505" i="62"/>
  <c r="A2506" i="62"/>
  <c r="A2507" i="62"/>
  <c r="A2508" i="62"/>
  <c r="A2509" i="62"/>
  <c r="A2510" i="62"/>
  <c r="A2511" i="62"/>
  <c r="A2512" i="62"/>
  <c r="A2513" i="62"/>
  <c r="A2514" i="62"/>
  <c r="A2515" i="62"/>
  <c r="A2516" i="62"/>
  <c r="A2517" i="62"/>
  <c r="A2518" i="62"/>
  <c r="A2519" i="62"/>
  <c r="A2520" i="62"/>
  <c r="A2521" i="62"/>
  <c r="A2522" i="62"/>
  <c r="A2523" i="62"/>
  <c r="A2524" i="62"/>
  <c r="A2525" i="62"/>
  <c r="A2526" i="62"/>
  <c r="A2527" i="62"/>
  <c r="A2528" i="62"/>
  <c r="A2529" i="62"/>
  <c r="A2530" i="62"/>
  <c r="A2531" i="62"/>
  <c r="A2532" i="62"/>
  <c r="A2533" i="62"/>
  <c r="A2534" i="62"/>
  <c r="A2535" i="62"/>
  <c r="A2536" i="62"/>
  <c r="A2537" i="62"/>
  <c r="A2538" i="62"/>
  <c r="A2539" i="62"/>
  <c r="A2540" i="62"/>
  <c r="A2541" i="62"/>
  <c r="A2542" i="62"/>
  <c r="A2543" i="62"/>
  <c r="A2544" i="62"/>
  <c r="A2545" i="62"/>
  <c r="A2546" i="62"/>
  <c r="A2547" i="62"/>
  <c r="A2548" i="62"/>
  <c r="A2549" i="62"/>
  <c r="A2550" i="62"/>
  <c r="A2551" i="62"/>
  <c r="A2552" i="62"/>
  <c r="A2553" i="62"/>
  <c r="A2554" i="62"/>
  <c r="A2555" i="62"/>
  <c r="A2556" i="62"/>
  <c r="A2557" i="62"/>
  <c r="A2558" i="62"/>
  <c r="A2559" i="62"/>
  <c r="A2560" i="62"/>
  <c r="A2561" i="62"/>
  <c r="A2562" i="62"/>
  <c r="A2563" i="62"/>
  <c r="A2564" i="62"/>
  <c r="A2565" i="62"/>
  <c r="A2566" i="62"/>
  <c r="A2567" i="62"/>
  <c r="A2568" i="62"/>
  <c r="A2569" i="62"/>
  <c r="A2570" i="62"/>
  <c r="A2571" i="62"/>
  <c r="A2572" i="62"/>
  <c r="A2573" i="62"/>
  <c r="A2574" i="62"/>
  <c r="A2575" i="62"/>
  <c r="A2576" i="62"/>
  <c r="A2577" i="62"/>
  <c r="A2578" i="62"/>
  <c r="A2579" i="62"/>
  <c r="A2580" i="62"/>
  <c r="A2581" i="62"/>
  <c r="A2582" i="62"/>
  <c r="A2583" i="62"/>
  <c r="A2584" i="62"/>
  <c r="A2585" i="62"/>
  <c r="A2586" i="62"/>
  <c r="A2587" i="62"/>
  <c r="A2588" i="62"/>
  <c r="A2589" i="62"/>
  <c r="A2590" i="62"/>
  <c r="A2591" i="62"/>
  <c r="A2592" i="62"/>
  <c r="A2593" i="62"/>
  <c r="A2594" i="62"/>
  <c r="A2595" i="62"/>
  <c r="A2596" i="62"/>
  <c r="A2597" i="62"/>
  <c r="A2598" i="62"/>
  <c r="A2599" i="62"/>
  <c r="A2600" i="62"/>
  <c r="A2601" i="62"/>
  <c r="A2602" i="62"/>
  <c r="A2603" i="62"/>
  <c r="A2604" i="62"/>
  <c r="A2605" i="62"/>
  <c r="A2606" i="62"/>
  <c r="A2607" i="62"/>
  <c r="A2608" i="62"/>
  <c r="A2609" i="62"/>
  <c r="A2610" i="62"/>
  <c r="A2611" i="62"/>
  <c r="A2612" i="62"/>
  <c r="A2613" i="62"/>
  <c r="A2614" i="62"/>
  <c r="A2615" i="62"/>
  <c r="A2616" i="62"/>
  <c r="A2617" i="62"/>
  <c r="A2618" i="62"/>
  <c r="A2619" i="62"/>
  <c r="A2620" i="62"/>
  <c r="A2621" i="62"/>
  <c r="A2622" i="62"/>
  <c r="A2623" i="62"/>
  <c r="A2624" i="62"/>
  <c r="A2625" i="62"/>
  <c r="A2626" i="62"/>
  <c r="A2627" i="62"/>
  <c r="A2628" i="62"/>
  <c r="A2629" i="62"/>
  <c r="A2630" i="62"/>
  <c r="A2631" i="62"/>
  <c r="A2632" i="62"/>
  <c r="A2633" i="62"/>
  <c r="A2634" i="62"/>
  <c r="A2635" i="62"/>
  <c r="A2636" i="62"/>
  <c r="A2637" i="62"/>
  <c r="A2638" i="62"/>
  <c r="A2639" i="62"/>
  <c r="A2640" i="62"/>
  <c r="A2641" i="62"/>
  <c r="A2642" i="62"/>
  <c r="A2643" i="62"/>
  <c r="A2644" i="62"/>
  <c r="A2645" i="62"/>
  <c r="A2646" i="62"/>
  <c r="A2647" i="62"/>
  <c r="A2648" i="62"/>
  <c r="A2649" i="62"/>
  <c r="A2650" i="62"/>
  <c r="A2651" i="62"/>
  <c r="A2652" i="62"/>
  <c r="A2653" i="62"/>
  <c r="A2654" i="62"/>
  <c r="A2655" i="62"/>
  <c r="A2656" i="62"/>
  <c r="A2657" i="62"/>
  <c r="A2658" i="62"/>
  <c r="A2659" i="62"/>
  <c r="A2660" i="62"/>
  <c r="A2661" i="62"/>
  <c r="A2662" i="62"/>
  <c r="A2663" i="62"/>
  <c r="A2664" i="62"/>
  <c r="A2665" i="62"/>
  <c r="A2666" i="62"/>
  <c r="A2667" i="62"/>
  <c r="A2668" i="62"/>
  <c r="A2669" i="62"/>
  <c r="A2670" i="62"/>
  <c r="A2671" i="62"/>
  <c r="A2672" i="62"/>
  <c r="A2673" i="62"/>
  <c r="A2674" i="62"/>
  <c r="A2675" i="62"/>
  <c r="A2676" i="62"/>
  <c r="A2677" i="62"/>
  <c r="A2678" i="62"/>
  <c r="A2679" i="62"/>
  <c r="A2680" i="62"/>
  <c r="A2681" i="62"/>
  <c r="A2682" i="62"/>
  <c r="A2683" i="62"/>
  <c r="A2684" i="62"/>
  <c r="A2685" i="62"/>
  <c r="A2686" i="62"/>
  <c r="A2687" i="62"/>
  <c r="A2688" i="62"/>
  <c r="A2689" i="62"/>
  <c r="A2690" i="62"/>
  <c r="A2691" i="62"/>
  <c r="A2692" i="62"/>
  <c r="A2693" i="62"/>
  <c r="A2694" i="62"/>
  <c r="A2695" i="62"/>
  <c r="A2696" i="62"/>
  <c r="A2697" i="62"/>
  <c r="A2698" i="62"/>
  <c r="A2699" i="62"/>
  <c r="A2700" i="62"/>
  <c r="A2701" i="62"/>
  <c r="A2702" i="62"/>
  <c r="A2703" i="62"/>
  <c r="A2704" i="62"/>
  <c r="A2705" i="62"/>
  <c r="A2706" i="62"/>
  <c r="A2707" i="62"/>
  <c r="A2708" i="62"/>
  <c r="A2709" i="62"/>
  <c r="A2710" i="62"/>
  <c r="A2711" i="62"/>
  <c r="A2712" i="62"/>
  <c r="A2713" i="62"/>
  <c r="A2714" i="62"/>
  <c r="A2715" i="62"/>
  <c r="A2716" i="62"/>
  <c r="A2717" i="62"/>
  <c r="A2718" i="62"/>
  <c r="A2719" i="62"/>
  <c r="A2720" i="62"/>
  <c r="A2721" i="62"/>
  <c r="A2722" i="62"/>
  <c r="A2723" i="62"/>
  <c r="A2724" i="62"/>
  <c r="A2725" i="62"/>
  <c r="A2726" i="62"/>
  <c r="A2727" i="62"/>
  <c r="A2728" i="62"/>
  <c r="A2729" i="62"/>
  <c r="A2730" i="62"/>
  <c r="A2731" i="62"/>
  <c r="A2732" i="62"/>
  <c r="A2733" i="62"/>
  <c r="A2734" i="62"/>
  <c r="A2735" i="62"/>
  <c r="A2736" i="62"/>
  <c r="A2737" i="62"/>
  <c r="A2738" i="62"/>
  <c r="A2739" i="62"/>
  <c r="A2740" i="62"/>
  <c r="A2741" i="62"/>
  <c r="A2742" i="62"/>
  <c r="A2743" i="62"/>
  <c r="A2744" i="62"/>
  <c r="A2745" i="62"/>
  <c r="A2746" i="62"/>
  <c r="A2747" i="62"/>
  <c r="A2748" i="62"/>
  <c r="A2749" i="62"/>
  <c r="A2750" i="62"/>
  <c r="A2751" i="62"/>
  <c r="A2752" i="62"/>
  <c r="A2753" i="62"/>
  <c r="A2754" i="62"/>
  <c r="A2755" i="62"/>
  <c r="A2756" i="62"/>
  <c r="A2757" i="62"/>
  <c r="A2758" i="62"/>
  <c r="A2759" i="62"/>
  <c r="A2760" i="62"/>
  <c r="A2761" i="62"/>
  <c r="A2762" i="62"/>
  <c r="A2763" i="62"/>
  <c r="A2764" i="62"/>
  <c r="A2765" i="62"/>
  <c r="A2766" i="62"/>
  <c r="A2767" i="62"/>
  <c r="A2768" i="62"/>
  <c r="A2769" i="62"/>
  <c r="A2770" i="62"/>
  <c r="A2771" i="62"/>
  <c r="A2772" i="62"/>
  <c r="A2773" i="62"/>
  <c r="A2774" i="62"/>
  <c r="A2775" i="62"/>
  <c r="A2776" i="62"/>
  <c r="A2777" i="62"/>
  <c r="A2778" i="62"/>
  <c r="A2779" i="62"/>
  <c r="A2780" i="62"/>
  <c r="A2781" i="62"/>
  <c r="A2782" i="62"/>
  <c r="A2783" i="62"/>
  <c r="A2784" i="62"/>
  <c r="A2785" i="62"/>
  <c r="A2786" i="62"/>
  <c r="A2787" i="62"/>
  <c r="A2788" i="62"/>
  <c r="A2789" i="62"/>
  <c r="A2790" i="62"/>
  <c r="A2791" i="62"/>
  <c r="A2792" i="62"/>
  <c r="A2793" i="62"/>
  <c r="A2794" i="62"/>
  <c r="A2795" i="62"/>
  <c r="A2796" i="62"/>
  <c r="A2797" i="62"/>
  <c r="A2798" i="62"/>
  <c r="A2799" i="62"/>
  <c r="A2800" i="62"/>
  <c r="A2801" i="62"/>
  <c r="A2802" i="62"/>
  <c r="A2803" i="62"/>
  <c r="A2804" i="62"/>
  <c r="A2805" i="62"/>
  <c r="A2806" i="62"/>
  <c r="A2807" i="62"/>
  <c r="A2808" i="62"/>
  <c r="A2809" i="62"/>
  <c r="A2810" i="62"/>
  <c r="A2811" i="62"/>
  <c r="A2812" i="62"/>
  <c r="A2813" i="62"/>
  <c r="A2814" i="62"/>
  <c r="A2815" i="62"/>
  <c r="A2816" i="62"/>
  <c r="A2817" i="62"/>
  <c r="A2818" i="62"/>
  <c r="A2819" i="62"/>
  <c r="A2820" i="62"/>
  <c r="A2821" i="62"/>
  <c r="A2822" i="62"/>
  <c r="A2823" i="62"/>
  <c r="A2824" i="62"/>
  <c r="A2825" i="62"/>
  <c r="A2826" i="62"/>
  <c r="A2827" i="62"/>
  <c r="A2828" i="62"/>
  <c r="A2829" i="62"/>
  <c r="A2830" i="62"/>
  <c r="A2831" i="62"/>
  <c r="A2832" i="62"/>
  <c r="A2833" i="62"/>
  <c r="A2834" i="62"/>
  <c r="A2835" i="62"/>
  <c r="A2836" i="62"/>
  <c r="A2837" i="62"/>
  <c r="A2838" i="62"/>
  <c r="A2839" i="62"/>
  <c r="A2840" i="62"/>
  <c r="A2841" i="62"/>
  <c r="A2842" i="62"/>
  <c r="A2843" i="62"/>
  <c r="A2844" i="62"/>
  <c r="A2845" i="62"/>
  <c r="A2846" i="62"/>
  <c r="A2847" i="62"/>
  <c r="A2848" i="62"/>
  <c r="A2849" i="62"/>
  <c r="A2850" i="62"/>
  <c r="A2851" i="62"/>
  <c r="A2852" i="62"/>
  <c r="A2853" i="62"/>
  <c r="A2854" i="62"/>
  <c r="A2855" i="62"/>
  <c r="A2856" i="62"/>
  <c r="A2857" i="62"/>
  <c r="A2858" i="62"/>
  <c r="A2859" i="62"/>
  <c r="A2860" i="62"/>
  <c r="A2861" i="62"/>
  <c r="A2862" i="62"/>
  <c r="A2863" i="62"/>
  <c r="A2864" i="62"/>
  <c r="A2865" i="62"/>
  <c r="A2866" i="62"/>
  <c r="A2867" i="62"/>
  <c r="A2868" i="62"/>
  <c r="A2869" i="62"/>
  <c r="A2870" i="62"/>
  <c r="A2871" i="62"/>
  <c r="A2872" i="62"/>
  <c r="A2873" i="62"/>
  <c r="A2874" i="62"/>
  <c r="A2875" i="62"/>
  <c r="A2876" i="62"/>
  <c r="A2877" i="62"/>
  <c r="A2878" i="62"/>
  <c r="A2879" i="62"/>
  <c r="A2880" i="62"/>
  <c r="A2881" i="62"/>
  <c r="A2882" i="62"/>
  <c r="A2883" i="62"/>
  <c r="A2884" i="62"/>
  <c r="A2885" i="62"/>
  <c r="A2886" i="62"/>
  <c r="A2887" i="62"/>
  <c r="A2888" i="62"/>
  <c r="A2889" i="62"/>
  <c r="A2890" i="62"/>
  <c r="A2891" i="62"/>
  <c r="A2892" i="62"/>
  <c r="A2893" i="62"/>
  <c r="A2894" i="62"/>
  <c r="A2895" i="62"/>
  <c r="A2896" i="62"/>
  <c r="A2897" i="62"/>
  <c r="A2898" i="62"/>
  <c r="A2899" i="62"/>
  <c r="A2900" i="62"/>
  <c r="A2901" i="62"/>
  <c r="A2902" i="62"/>
  <c r="A2903" i="62"/>
  <c r="A2904" i="62"/>
  <c r="A2905" i="62"/>
  <c r="A2906" i="62"/>
  <c r="A2907" i="62"/>
  <c r="A2908" i="62"/>
  <c r="A2909" i="62"/>
  <c r="A2910" i="62"/>
  <c r="A2911" i="62"/>
  <c r="A2912" i="62"/>
  <c r="A2913" i="62"/>
  <c r="A2914" i="62"/>
  <c r="A2915" i="62"/>
  <c r="A2916" i="62"/>
  <c r="A2917" i="62"/>
  <c r="A2918" i="62"/>
  <c r="A2919" i="62"/>
  <c r="A2920" i="62"/>
  <c r="A2921" i="62"/>
  <c r="A2922" i="62"/>
  <c r="A2923" i="62"/>
  <c r="A2924" i="62"/>
  <c r="A2925" i="62"/>
  <c r="A2926" i="62"/>
  <c r="A2927" i="62"/>
  <c r="A2928" i="62"/>
  <c r="A2929" i="62"/>
  <c r="A2930" i="62"/>
  <c r="A2931" i="62"/>
  <c r="A2932" i="62"/>
  <c r="A2933" i="62"/>
  <c r="A2934" i="62"/>
  <c r="A2935" i="62"/>
  <c r="A2936" i="62"/>
  <c r="A2937" i="62"/>
  <c r="A2938" i="62"/>
  <c r="A2939" i="62"/>
  <c r="A2940" i="62"/>
  <c r="A2941" i="62"/>
  <c r="A2942" i="62"/>
  <c r="A2943" i="62"/>
  <c r="A2944" i="62"/>
  <c r="A2945" i="62"/>
  <c r="A2946" i="62"/>
  <c r="A2947" i="62"/>
  <c r="A2948" i="62"/>
  <c r="A2949" i="62"/>
  <c r="A2950" i="62"/>
  <c r="A2951" i="62"/>
  <c r="A2952" i="62"/>
  <c r="A2953" i="62"/>
  <c r="A2954" i="62"/>
  <c r="A2955" i="62"/>
  <c r="A2956" i="62"/>
  <c r="A2957" i="62"/>
  <c r="A2958" i="62"/>
  <c r="A2959" i="62"/>
  <c r="A2960" i="62"/>
  <c r="A2961" i="62"/>
  <c r="A2962" i="62"/>
  <c r="A2963" i="62"/>
  <c r="A2964" i="62"/>
  <c r="A2965" i="62"/>
  <c r="A2966" i="62"/>
  <c r="A2967" i="62"/>
  <c r="A2968" i="62"/>
  <c r="A2969" i="62"/>
  <c r="A2970" i="62"/>
  <c r="A2971" i="62"/>
  <c r="A2972" i="62"/>
  <c r="A2973" i="62"/>
  <c r="A2974" i="62"/>
  <c r="A2975" i="62"/>
  <c r="A2976" i="62"/>
  <c r="A2977" i="62"/>
  <c r="A2978" i="62"/>
  <c r="A2979" i="62"/>
  <c r="A2980" i="62"/>
  <c r="A2981" i="62"/>
  <c r="A2982" i="62"/>
  <c r="A2983" i="62"/>
  <c r="A2984" i="62"/>
  <c r="A2985" i="62"/>
  <c r="A2986" i="62"/>
  <c r="A2987" i="62"/>
  <c r="A2988" i="62"/>
  <c r="A2989" i="62"/>
  <c r="A2990" i="62"/>
  <c r="A2991" i="62"/>
  <c r="A2992" i="62"/>
  <c r="A2993" i="62"/>
  <c r="A2994" i="62"/>
  <c r="A2995" i="62"/>
  <c r="A2996" i="62"/>
  <c r="A2997" i="62"/>
  <c r="A2998" i="62"/>
  <c r="A2999" i="62"/>
  <c r="A3000" i="62"/>
  <c r="A3001" i="62"/>
  <c r="A3002" i="62"/>
  <c r="A3003" i="62"/>
  <c r="A3004" i="62"/>
  <c r="A3005" i="62"/>
  <c r="A3006" i="62"/>
  <c r="A3007" i="62"/>
  <c r="A3008" i="62"/>
  <c r="A3009" i="62"/>
  <c r="A3010" i="62"/>
  <c r="A3011" i="62"/>
  <c r="A3012" i="62"/>
  <c r="A3013" i="62"/>
  <c r="A3014" i="62"/>
  <c r="A3015" i="62"/>
  <c r="A3016" i="62"/>
  <c r="A3017" i="62"/>
  <c r="A3018" i="62"/>
  <c r="A3019" i="62"/>
  <c r="A3020" i="62"/>
  <c r="A3021" i="62"/>
  <c r="A3022" i="62"/>
  <c r="A3023" i="62"/>
  <c r="A3024" i="62"/>
  <c r="A3025" i="62"/>
  <c r="A3026" i="62"/>
  <c r="A3027" i="62"/>
  <c r="A3028" i="62"/>
  <c r="A3029" i="62"/>
  <c r="A3030" i="62"/>
  <c r="A3031" i="62"/>
  <c r="A3032" i="62"/>
  <c r="A3033" i="62"/>
  <c r="A3034" i="62"/>
  <c r="A3035" i="62"/>
  <c r="A3036" i="62"/>
  <c r="A3037" i="62"/>
  <c r="A3038" i="62"/>
  <c r="A3039" i="62"/>
  <c r="A3040" i="62"/>
  <c r="A3041" i="62"/>
  <c r="A3042" i="62"/>
  <c r="A3043" i="62"/>
  <c r="A3044" i="62"/>
  <c r="A3045" i="62"/>
  <c r="A3046" i="62"/>
  <c r="A3047" i="62"/>
  <c r="A3048" i="62"/>
  <c r="A3049" i="62"/>
  <c r="A3050" i="62"/>
  <c r="A3051" i="62"/>
  <c r="A3052" i="62"/>
  <c r="A3053" i="62"/>
  <c r="A3054" i="62"/>
  <c r="A3055" i="62"/>
  <c r="A3056" i="62"/>
  <c r="A3057" i="62"/>
  <c r="A3058" i="62"/>
  <c r="A3059" i="62"/>
  <c r="A3060" i="62"/>
  <c r="A3061" i="62"/>
  <c r="A3062" i="62"/>
  <c r="A3063" i="62"/>
  <c r="A3064" i="62"/>
  <c r="A3065" i="62"/>
  <c r="A3066" i="62"/>
  <c r="A3067" i="62"/>
  <c r="A3068" i="62"/>
  <c r="A3069" i="62"/>
  <c r="A3070" i="62"/>
  <c r="A3071" i="62"/>
  <c r="A3072" i="62"/>
  <c r="A3073" i="62"/>
  <c r="A3074" i="62"/>
  <c r="A3075" i="62"/>
  <c r="A3076" i="62"/>
  <c r="A3077" i="62"/>
  <c r="A3078" i="62"/>
  <c r="A3079" i="62"/>
  <c r="A3080" i="62"/>
  <c r="A3081" i="62"/>
  <c r="A3082" i="62"/>
  <c r="A3083" i="62"/>
  <c r="A3084" i="62"/>
  <c r="A3085" i="62"/>
  <c r="A3086" i="62"/>
  <c r="A3087" i="62"/>
  <c r="A3088" i="62"/>
  <c r="A3089" i="62"/>
  <c r="A3090" i="62"/>
  <c r="A3091" i="62"/>
  <c r="A3092" i="62"/>
  <c r="A3093" i="62"/>
  <c r="A3094" i="62"/>
  <c r="A3095" i="62"/>
  <c r="A3096" i="62"/>
  <c r="A3097" i="62"/>
  <c r="A3098" i="62"/>
  <c r="A3099" i="62"/>
  <c r="A3100" i="62"/>
  <c r="A3101" i="62"/>
  <c r="A3102" i="62"/>
  <c r="A3103" i="62"/>
  <c r="A3104" i="62"/>
  <c r="A3105" i="62"/>
  <c r="A3106" i="62"/>
  <c r="A3107" i="62"/>
  <c r="A3108" i="62"/>
  <c r="A3109" i="62"/>
  <c r="A3110" i="62"/>
  <c r="A3111" i="62"/>
  <c r="A3112" i="62"/>
  <c r="A3113" i="62"/>
  <c r="A3114" i="62"/>
  <c r="A3115" i="62"/>
  <c r="A3116" i="62"/>
  <c r="A3117" i="62"/>
  <c r="A3118" i="62"/>
  <c r="A3119" i="62"/>
  <c r="A3120" i="62"/>
  <c r="A3121" i="62"/>
  <c r="A3122" i="62"/>
  <c r="A3123" i="62"/>
  <c r="A3124" i="62"/>
  <c r="A3125" i="62"/>
  <c r="A3126" i="62"/>
  <c r="A3127" i="62"/>
  <c r="A3128" i="62"/>
  <c r="A3129" i="62"/>
  <c r="A3130" i="62"/>
  <c r="A3131" i="62"/>
  <c r="A3132" i="62"/>
  <c r="A3133" i="62"/>
  <c r="A3134" i="62"/>
  <c r="A3135" i="62"/>
  <c r="A3136" i="62"/>
  <c r="A3137" i="62"/>
  <c r="A3138" i="62"/>
  <c r="A3139" i="62"/>
  <c r="A3140" i="62"/>
  <c r="A3141" i="62"/>
  <c r="A3142" i="62"/>
  <c r="A3143" i="62"/>
  <c r="A3144" i="62"/>
  <c r="A3145" i="62"/>
  <c r="A3146" i="62"/>
  <c r="A3147" i="62"/>
  <c r="A3148" i="62"/>
  <c r="A3149" i="62"/>
  <c r="A3150" i="62"/>
  <c r="A3151" i="62"/>
  <c r="A3152" i="62"/>
  <c r="A3153" i="62"/>
  <c r="A3154" i="62"/>
  <c r="A3155" i="62"/>
  <c r="A3156" i="62"/>
  <c r="A3157" i="62"/>
  <c r="A3158" i="62"/>
  <c r="A3159" i="62"/>
  <c r="A3160" i="62"/>
  <c r="A3161" i="62"/>
  <c r="A3162" i="62"/>
  <c r="A3163" i="62"/>
  <c r="A3164" i="62"/>
  <c r="A3165" i="62"/>
  <c r="A3166" i="62"/>
  <c r="A3167" i="62"/>
  <c r="A3168" i="62"/>
  <c r="A3169" i="62"/>
  <c r="A3170" i="62"/>
  <c r="A3171" i="62"/>
  <c r="A3172" i="62"/>
  <c r="A3173" i="62"/>
  <c r="A3174" i="62"/>
  <c r="A3175" i="62"/>
  <c r="A3176" i="62"/>
  <c r="A3177" i="62"/>
  <c r="A3178" i="62"/>
  <c r="A3179" i="62"/>
  <c r="A3180" i="62"/>
  <c r="A3181" i="62"/>
  <c r="A3182" i="62"/>
  <c r="A3183" i="62"/>
  <c r="A3184" i="62"/>
  <c r="A3185" i="62"/>
  <c r="A3186" i="62"/>
  <c r="A3187" i="62"/>
  <c r="A3188" i="62"/>
  <c r="A3189" i="62"/>
  <c r="A3190" i="62"/>
  <c r="A3191" i="62"/>
  <c r="A3192" i="62"/>
  <c r="A3193" i="62"/>
  <c r="A3194" i="62"/>
  <c r="A3195" i="62"/>
  <c r="A3196" i="62"/>
  <c r="A3197" i="62"/>
  <c r="A3198" i="62"/>
  <c r="A3199" i="62"/>
  <c r="A3200" i="62"/>
  <c r="A3201" i="62"/>
  <c r="A3202" i="62"/>
  <c r="A3203" i="62"/>
  <c r="A3204" i="62"/>
  <c r="A3205" i="62"/>
  <c r="A3206" i="62"/>
  <c r="A3207" i="62"/>
  <c r="A3208" i="62"/>
  <c r="A3209" i="62"/>
  <c r="A3210" i="62"/>
  <c r="A3211" i="62"/>
  <c r="A3212" i="62"/>
  <c r="A3213" i="62"/>
  <c r="A3214" i="62"/>
  <c r="A3215" i="62"/>
  <c r="A3216" i="62"/>
  <c r="A3217" i="62"/>
  <c r="A3218" i="62"/>
  <c r="A3219" i="62"/>
  <c r="A3220" i="62"/>
  <c r="A3221" i="62"/>
  <c r="A3222" i="62"/>
  <c r="A3223" i="62"/>
  <c r="A3224" i="62"/>
  <c r="A3225" i="62"/>
  <c r="A3226" i="62"/>
  <c r="A3227" i="62"/>
  <c r="A3228" i="62"/>
  <c r="A3229" i="62"/>
  <c r="A3230" i="62"/>
  <c r="A3231" i="62"/>
  <c r="A3232" i="62"/>
  <c r="A3233" i="62"/>
  <c r="A3234" i="62"/>
  <c r="A3235" i="62"/>
  <c r="A3236" i="62"/>
  <c r="A3237" i="62"/>
  <c r="A3238" i="62"/>
  <c r="A3239" i="62"/>
  <c r="A3240" i="62"/>
  <c r="A3241" i="62"/>
  <c r="A3242" i="62"/>
  <c r="A3243" i="62"/>
  <c r="A3244" i="62"/>
  <c r="A3245" i="62"/>
  <c r="A3246" i="62"/>
  <c r="A3247" i="62"/>
  <c r="A3248" i="62"/>
  <c r="A3249" i="62"/>
  <c r="A3250" i="62"/>
  <c r="A3251" i="62"/>
  <c r="A3252" i="62"/>
  <c r="A3253" i="62"/>
  <c r="A3254" i="62"/>
  <c r="A3255" i="62"/>
  <c r="A3256" i="62"/>
  <c r="A3257" i="62"/>
  <c r="A3258" i="62"/>
  <c r="A3259" i="62"/>
  <c r="A3260" i="62"/>
  <c r="A3261" i="62"/>
  <c r="A3262" i="62"/>
  <c r="A3263" i="62"/>
  <c r="A3264" i="62"/>
  <c r="A3265" i="62"/>
  <c r="A3266" i="62"/>
  <c r="A3267" i="62"/>
  <c r="A3268" i="62"/>
  <c r="A3269" i="62"/>
  <c r="A3270" i="62"/>
  <c r="A3271" i="62"/>
  <c r="A3272" i="62"/>
  <c r="A3273" i="62"/>
  <c r="A3274" i="62"/>
  <c r="A3275" i="62"/>
  <c r="A3276" i="62"/>
  <c r="A3277" i="62"/>
  <c r="A3278" i="62"/>
  <c r="A3279" i="62"/>
  <c r="A3280" i="62"/>
  <c r="A3281" i="62"/>
  <c r="A3282" i="62"/>
  <c r="A3283" i="62"/>
  <c r="A3284" i="62"/>
  <c r="A3285" i="62"/>
  <c r="A3286" i="62"/>
  <c r="A3287" i="62"/>
  <c r="A3288" i="62"/>
  <c r="A3289" i="62"/>
  <c r="A3290" i="62"/>
  <c r="A3291" i="62"/>
  <c r="A3292" i="62"/>
  <c r="A3293" i="62"/>
  <c r="A3294" i="62"/>
  <c r="A3295" i="62"/>
  <c r="A3296" i="62"/>
  <c r="A3297" i="62"/>
  <c r="A3298" i="62"/>
  <c r="A3299" i="62"/>
  <c r="A3300" i="62"/>
  <c r="A3301" i="62"/>
  <c r="A3302" i="62"/>
  <c r="A3303" i="62"/>
  <c r="A3304" i="62"/>
  <c r="A3305" i="62"/>
  <c r="A3306" i="62"/>
  <c r="A3307" i="62"/>
  <c r="A3308" i="62"/>
  <c r="A3309" i="62"/>
  <c r="A3310" i="62"/>
  <c r="A3311" i="62"/>
  <c r="A3312" i="62"/>
  <c r="A3313" i="62"/>
  <c r="A3314" i="62"/>
  <c r="A3315" i="62"/>
  <c r="A3316" i="62"/>
  <c r="A3317" i="62"/>
  <c r="A3318" i="62"/>
  <c r="A3319" i="62"/>
  <c r="A3320" i="62"/>
  <c r="A3321" i="62"/>
  <c r="A3322" i="62"/>
  <c r="A3323" i="62"/>
  <c r="A3324" i="62"/>
  <c r="A3325" i="62"/>
  <c r="A3326" i="62"/>
  <c r="A3327" i="62"/>
  <c r="A3328" i="62"/>
  <c r="A3329" i="62"/>
  <c r="A3330" i="62"/>
  <c r="A3331" i="62"/>
  <c r="A3332" i="62"/>
  <c r="A3333" i="62"/>
  <c r="A3334" i="62"/>
  <c r="A3335" i="62"/>
  <c r="A3336" i="62"/>
  <c r="A3337" i="62"/>
  <c r="A3338" i="62"/>
  <c r="A3339" i="62"/>
  <c r="A3340" i="62"/>
  <c r="A3341" i="62"/>
  <c r="A3342" i="62"/>
  <c r="A3343" i="62"/>
  <c r="A3344" i="62"/>
  <c r="A3345" i="62"/>
  <c r="A3346" i="62"/>
  <c r="A3347" i="62"/>
  <c r="A3348" i="62"/>
  <c r="A3349" i="62"/>
  <c r="A3350" i="62"/>
  <c r="A3351" i="62"/>
  <c r="A3352" i="62"/>
  <c r="A3353" i="62"/>
  <c r="A3354" i="62"/>
  <c r="A3355" i="62"/>
  <c r="A3356" i="62"/>
  <c r="A3357" i="62"/>
  <c r="A3358" i="62"/>
  <c r="A3359" i="62"/>
  <c r="A3360" i="62"/>
  <c r="A3361" i="62"/>
  <c r="A3362" i="62"/>
  <c r="A3363" i="62"/>
  <c r="A3364" i="62"/>
  <c r="A3365" i="62"/>
  <c r="A3366" i="62"/>
  <c r="A3367" i="62"/>
  <c r="A3368" i="62"/>
  <c r="A3369" i="62"/>
  <c r="A3370" i="62"/>
  <c r="A3371" i="62"/>
  <c r="A3372" i="62"/>
  <c r="A3373" i="62"/>
  <c r="A3374" i="62"/>
  <c r="A3375" i="62"/>
  <c r="A3376" i="62"/>
  <c r="A3377" i="62"/>
  <c r="A3378" i="62"/>
  <c r="A3379" i="62"/>
  <c r="A3380" i="62"/>
  <c r="A3381" i="62"/>
  <c r="A3382" i="62"/>
  <c r="A3383" i="62"/>
  <c r="A3384" i="62"/>
  <c r="A3385" i="62"/>
  <c r="A3386" i="62"/>
  <c r="A3387" i="62"/>
  <c r="A3388" i="62"/>
  <c r="A3389" i="62"/>
  <c r="A3390" i="62"/>
  <c r="A3391" i="62"/>
  <c r="A3392" i="62"/>
  <c r="A3393" i="62"/>
  <c r="A3394" i="62"/>
  <c r="A3395" i="62"/>
  <c r="A3396" i="62"/>
  <c r="A3397" i="62"/>
  <c r="A3398" i="62"/>
  <c r="A3399" i="62"/>
  <c r="A3400" i="62"/>
  <c r="A3401" i="62"/>
  <c r="A3402" i="62"/>
  <c r="A3403" i="62"/>
  <c r="A3404" i="62"/>
  <c r="A3405" i="62"/>
  <c r="A3406" i="62"/>
  <c r="A3407" i="62"/>
  <c r="A3408" i="62"/>
  <c r="A3409" i="62"/>
  <c r="A3410" i="62"/>
  <c r="A3411" i="62"/>
  <c r="A3412" i="62"/>
  <c r="A3413" i="62"/>
  <c r="A3414" i="62"/>
  <c r="A3415" i="62"/>
  <c r="A3416" i="62"/>
  <c r="A3417" i="62"/>
  <c r="A3418" i="62"/>
  <c r="A3419" i="62"/>
  <c r="A3420" i="62"/>
  <c r="A3421" i="62"/>
  <c r="A3422" i="62"/>
  <c r="A3423" i="62"/>
  <c r="A3424" i="62"/>
  <c r="A3425" i="62"/>
  <c r="A3426" i="62"/>
  <c r="A3427" i="62"/>
  <c r="A3428" i="62"/>
  <c r="A3429" i="62"/>
  <c r="A3430" i="62"/>
  <c r="A3431" i="62"/>
  <c r="A3432" i="62"/>
  <c r="A3433" i="62"/>
  <c r="A3434" i="62"/>
  <c r="A3435" i="62"/>
  <c r="A3436" i="62"/>
  <c r="A3437" i="62"/>
  <c r="A3438" i="62"/>
  <c r="A3439" i="62"/>
  <c r="A3440" i="62"/>
  <c r="A3441" i="62"/>
  <c r="A3442" i="62"/>
  <c r="A3443" i="62"/>
  <c r="A3444" i="62"/>
  <c r="A3445" i="62"/>
  <c r="A3446" i="62"/>
  <c r="A3447" i="62"/>
  <c r="A3448" i="62"/>
  <c r="A3449" i="62"/>
  <c r="A3450" i="62"/>
  <c r="A3451" i="62"/>
  <c r="A3452" i="62"/>
  <c r="A3453" i="62"/>
  <c r="A3454" i="62"/>
  <c r="A3455" i="62"/>
  <c r="A3456" i="62"/>
  <c r="A3457" i="62"/>
  <c r="A3458" i="62"/>
  <c r="A3459" i="62"/>
  <c r="A3460" i="62"/>
  <c r="A3461" i="62"/>
  <c r="A3462" i="62"/>
  <c r="A3463" i="62"/>
  <c r="A3464" i="62"/>
  <c r="A3465" i="62"/>
  <c r="A3466" i="62"/>
  <c r="A3467" i="62"/>
  <c r="A3468" i="62"/>
  <c r="A3469" i="62"/>
  <c r="A3470" i="62"/>
  <c r="A3471" i="62"/>
  <c r="A3472" i="62"/>
  <c r="A3473" i="62"/>
  <c r="A3474" i="62"/>
  <c r="A3475" i="62"/>
  <c r="A3476" i="62"/>
  <c r="A3477" i="62"/>
  <c r="A3478" i="62"/>
  <c r="A3479" i="62"/>
  <c r="A3480" i="62"/>
  <c r="A3481" i="62"/>
  <c r="A3482" i="62"/>
  <c r="A3483" i="62"/>
  <c r="A3484" i="62"/>
  <c r="A3485" i="62"/>
  <c r="A3486" i="62"/>
  <c r="A3487" i="62"/>
  <c r="A3488" i="62"/>
  <c r="A3489" i="62"/>
  <c r="A3490" i="62"/>
  <c r="A3491" i="62"/>
  <c r="A3492" i="62"/>
  <c r="A3493" i="62"/>
  <c r="A3494" i="62"/>
  <c r="A3495" i="62"/>
  <c r="A3496" i="62"/>
  <c r="A3497" i="62"/>
  <c r="A3498" i="62"/>
  <c r="A3499" i="62"/>
  <c r="A3500" i="62"/>
  <c r="A3501" i="62"/>
  <c r="A3502" i="62"/>
  <c r="A3503" i="62"/>
  <c r="A3504" i="62"/>
  <c r="A3505" i="62"/>
  <c r="A3506" i="62"/>
  <c r="A3507" i="62"/>
  <c r="A3508" i="62"/>
  <c r="A3509" i="62"/>
  <c r="A3510" i="62"/>
  <c r="A3511" i="62"/>
  <c r="A3512" i="62"/>
  <c r="A3513" i="62"/>
  <c r="A3514" i="62"/>
  <c r="A3515" i="62"/>
  <c r="A3516" i="62"/>
  <c r="A3517" i="62"/>
  <c r="A3518" i="62"/>
  <c r="A3519" i="62"/>
  <c r="A3520" i="62"/>
  <c r="A3521" i="62"/>
  <c r="A3522" i="62"/>
  <c r="A3523" i="62"/>
  <c r="A3524" i="62"/>
  <c r="A3525" i="62"/>
  <c r="A3526" i="62"/>
  <c r="A3527" i="62"/>
  <c r="A3528" i="62"/>
  <c r="A3529" i="62"/>
  <c r="A3530" i="62"/>
  <c r="A3531" i="62"/>
  <c r="A3532" i="62"/>
  <c r="A3533" i="62"/>
  <c r="A3534" i="62"/>
  <c r="A3535" i="62"/>
  <c r="A3536" i="62"/>
  <c r="A3537" i="62"/>
  <c r="A3538" i="62"/>
  <c r="A3539" i="62"/>
  <c r="A3540" i="62"/>
  <c r="A3541" i="62"/>
  <c r="A3542" i="62"/>
  <c r="A3543" i="62"/>
  <c r="A3544" i="62"/>
  <c r="A3545" i="62"/>
  <c r="A3546" i="62"/>
  <c r="A3547" i="62"/>
  <c r="A3548" i="62"/>
  <c r="A3549" i="62"/>
  <c r="A3550" i="62"/>
  <c r="A3551" i="62"/>
  <c r="A3552" i="62"/>
  <c r="A3553" i="62"/>
  <c r="A3554" i="62"/>
  <c r="A3555" i="62"/>
  <c r="A3556" i="62"/>
  <c r="A3557" i="62"/>
  <c r="A3558" i="62"/>
  <c r="A3559" i="62"/>
  <c r="A3560" i="62"/>
  <c r="A3561" i="62"/>
  <c r="A3562" i="62"/>
  <c r="A3563" i="62"/>
  <c r="A3564" i="62"/>
  <c r="A3565" i="62"/>
  <c r="A3566" i="62"/>
  <c r="A3567" i="62"/>
  <c r="A3568" i="62"/>
  <c r="A3569" i="62"/>
  <c r="A3570" i="62"/>
  <c r="A3571" i="62"/>
  <c r="A3572" i="62"/>
  <c r="A3573" i="62"/>
  <c r="A3574" i="62"/>
  <c r="A3575" i="62"/>
  <c r="A3576" i="62"/>
  <c r="A3577" i="62"/>
  <c r="A3578" i="62"/>
  <c r="A3579" i="62"/>
  <c r="A3580" i="62"/>
  <c r="A3581" i="62"/>
  <c r="A3582" i="62"/>
  <c r="A3583" i="62"/>
  <c r="A3584" i="62"/>
  <c r="A3585" i="62"/>
  <c r="A3586" i="62"/>
  <c r="A3587" i="62"/>
  <c r="A3588" i="62"/>
  <c r="A3589" i="62"/>
  <c r="A3590" i="62"/>
  <c r="A3591" i="62"/>
  <c r="A3592" i="62"/>
  <c r="A3593" i="62"/>
  <c r="A3594" i="62"/>
  <c r="A3595" i="62"/>
  <c r="A3596" i="62"/>
  <c r="A3597" i="62"/>
  <c r="A3598" i="62"/>
  <c r="A3599" i="62"/>
  <c r="A3600" i="62"/>
  <c r="A3601" i="62"/>
  <c r="A3602" i="62"/>
  <c r="A3603" i="62"/>
  <c r="A3604" i="62"/>
  <c r="A3605" i="62"/>
  <c r="A3606" i="62"/>
  <c r="A3607" i="62"/>
  <c r="A3608" i="62"/>
  <c r="A3609" i="62"/>
  <c r="A3610" i="62"/>
  <c r="A3611" i="62"/>
  <c r="A3612" i="62"/>
  <c r="A3613" i="62"/>
  <c r="A3614" i="62"/>
  <c r="A3615" i="62"/>
  <c r="A3616" i="62"/>
  <c r="A3617" i="62"/>
  <c r="A3618" i="62"/>
  <c r="A3619" i="62"/>
  <c r="A3620" i="62"/>
  <c r="A3621" i="62"/>
  <c r="A3622" i="62"/>
  <c r="A3623" i="62"/>
  <c r="A3624" i="62"/>
  <c r="A3625" i="62"/>
  <c r="A3626" i="62"/>
  <c r="A3627" i="62"/>
  <c r="A3628" i="62"/>
  <c r="A3629" i="62"/>
  <c r="A3630" i="62"/>
  <c r="A3631" i="62"/>
  <c r="A3632" i="62"/>
  <c r="A3633" i="62"/>
  <c r="A3634" i="62"/>
  <c r="A3635" i="62"/>
  <c r="A3636" i="62"/>
  <c r="A3637" i="62"/>
  <c r="A3638" i="62"/>
  <c r="A3639" i="62"/>
  <c r="A3640" i="62"/>
  <c r="A3641" i="62"/>
  <c r="A3642" i="62"/>
  <c r="A3643" i="62"/>
  <c r="A3644" i="62"/>
  <c r="A3645" i="62"/>
  <c r="A3646" i="62"/>
  <c r="A3647" i="62"/>
  <c r="A3648" i="62"/>
  <c r="A3649" i="62"/>
  <c r="A3650" i="62"/>
  <c r="A3651" i="62"/>
  <c r="A3652" i="62"/>
  <c r="A3653" i="62"/>
  <c r="A3654" i="62"/>
  <c r="A3655" i="62"/>
  <c r="A3656" i="62"/>
  <c r="A3657" i="62"/>
  <c r="A3658" i="62"/>
  <c r="A3659" i="62"/>
  <c r="A3660" i="62"/>
  <c r="A3661" i="62"/>
  <c r="A3662" i="62"/>
  <c r="A3663" i="62"/>
  <c r="A3664" i="62"/>
  <c r="A3665" i="62"/>
  <c r="A3666" i="62"/>
  <c r="A3667" i="62"/>
  <c r="A3668" i="62"/>
  <c r="A3669" i="62"/>
  <c r="A3670" i="62"/>
  <c r="A3671" i="62"/>
  <c r="A3672" i="62"/>
  <c r="A3673" i="62"/>
  <c r="A3674" i="62"/>
  <c r="A3675" i="62"/>
  <c r="A3676" i="62"/>
  <c r="A3677" i="62"/>
  <c r="A3678" i="62"/>
  <c r="A3679" i="62"/>
  <c r="A3680" i="62"/>
  <c r="A3681" i="62"/>
  <c r="A3682" i="62"/>
  <c r="A3683" i="62"/>
  <c r="A3684" i="62"/>
  <c r="A3685" i="62"/>
  <c r="A3686" i="62"/>
  <c r="A3687" i="62"/>
  <c r="A3688" i="62"/>
  <c r="A3689" i="62"/>
  <c r="A3690" i="62"/>
  <c r="A3691" i="62"/>
  <c r="A3692" i="62"/>
  <c r="A3693" i="62"/>
  <c r="A3694" i="62"/>
  <c r="A3695" i="62"/>
  <c r="A3696" i="62"/>
  <c r="A3697" i="62"/>
  <c r="A3698" i="62"/>
  <c r="A3699" i="62"/>
  <c r="A3700" i="62"/>
  <c r="A3701" i="62"/>
  <c r="A3702" i="62"/>
  <c r="A3703" i="62"/>
  <c r="A3704" i="62"/>
  <c r="A3705" i="62"/>
  <c r="A3706" i="62"/>
  <c r="A3707" i="62"/>
  <c r="A3708" i="62"/>
  <c r="A3709" i="62"/>
  <c r="A3710" i="62"/>
  <c r="A3711" i="62"/>
  <c r="A3712" i="62"/>
  <c r="A3713" i="62"/>
  <c r="A3714" i="62"/>
  <c r="A3715" i="62"/>
  <c r="A3716" i="62"/>
  <c r="A3717" i="62"/>
  <c r="A3718" i="62"/>
  <c r="A3719" i="62"/>
  <c r="A3720" i="62"/>
  <c r="A3721" i="62"/>
  <c r="A3722" i="62"/>
  <c r="A3723" i="62"/>
  <c r="A3724" i="62"/>
  <c r="A3725" i="62"/>
  <c r="A3726" i="62"/>
  <c r="A3727" i="62"/>
  <c r="A3728" i="62"/>
  <c r="A3729" i="62"/>
  <c r="A3730" i="62"/>
  <c r="A3731" i="62"/>
  <c r="A3732" i="62"/>
  <c r="A3733" i="62"/>
  <c r="A3734" i="62"/>
  <c r="A3735" i="62"/>
  <c r="A3736" i="62"/>
  <c r="A3737" i="62"/>
  <c r="A3738" i="62"/>
  <c r="A3739" i="62"/>
  <c r="A3740" i="62"/>
  <c r="A3741" i="62"/>
  <c r="A3742" i="62"/>
  <c r="A3743" i="62"/>
  <c r="A3744" i="62"/>
  <c r="A3745" i="62"/>
  <c r="A3746" i="62"/>
  <c r="A3747" i="62"/>
  <c r="A3748" i="62"/>
  <c r="A3749" i="62"/>
  <c r="A3750" i="62"/>
  <c r="A3751" i="62"/>
  <c r="A3752" i="62"/>
  <c r="A3753" i="62"/>
  <c r="A3754" i="62"/>
  <c r="A3755" i="62"/>
  <c r="A3756" i="62"/>
  <c r="A3757" i="62"/>
  <c r="A3758" i="62"/>
  <c r="A3759" i="62"/>
  <c r="A3760" i="62"/>
  <c r="A3761" i="62"/>
  <c r="A3762" i="62"/>
  <c r="A3763" i="62"/>
  <c r="A3764" i="62"/>
  <c r="A3765" i="62"/>
  <c r="A3766" i="62"/>
  <c r="A3767" i="62"/>
  <c r="A3768" i="62"/>
  <c r="A3769" i="62"/>
  <c r="A3770" i="62"/>
  <c r="A3771" i="62"/>
  <c r="A3772" i="62"/>
  <c r="A3773" i="62"/>
  <c r="A3774" i="62"/>
  <c r="A3775" i="62"/>
  <c r="A3776" i="62"/>
  <c r="A3777" i="62"/>
  <c r="A3778" i="62"/>
  <c r="A3779" i="62"/>
  <c r="A3780" i="62"/>
  <c r="A3781" i="62"/>
  <c r="A3782" i="62"/>
  <c r="A3783" i="62"/>
  <c r="A3784" i="62"/>
  <c r="A3785" i="62"/>
  <c r="A3786" i="62"/>
  <c r="A3787" i="62"/>
  <c r="A3788" i="62"/>
  <c r="A3789" i="62"/>
  <c r="A3790" i="62"/>
  <c r="A3791" i="62"/>
  <c r="A3792" i="62"/>
  <c r="A3793" i="62"/>
  <c r="A3794" i="62"/>
  <c r="A3795" i="62"/>
  <c r="A3796" i="62"/>
  <c r="A3797" i="62"/>
  <c r="A3798" i="62"/>
  <c r="A3799" i="62"/>
  <c r="A3800" i="62"/>
  <c r="A3801" i="62"/>
  <c r="A3802" i="62"/>
  <c r="A3803" i="62"/>
  <c r="A3804" i="62"/>
  <c r="A3805" i="62"/>
  <c r="A3806" i="62"/>
  <c r="A3807" i="62"/>
  <c r="A3808" i="62"/>
  <c r="A3809" i="62"/>
  <c r="A3810" i="62"/>
  <c r="A3811" i="62"/>
  <c r="A3812" i="62"/>
  <c r="A3813" i="62"/>
  <c r="A3814" i="62"/>
  <c r="A3815" i="62"/>
  <c r="A3816" i="62"/>
  <c r="A3817" i="62"/>
  <c r="A3818" i="62"/>
  <c r="A3819" i="62"/>
  <c r="A3820" i="62"/>
  <c r="A3821" i="62"/>
  <c r="A3822" i="62"/>
  <c r="A3823" i="62"/>
  <c r="A3824" i="62"/>
  <c r="A3825" i="62"/>
  <c r="A3826" i="62"/>
  <c r="A3827" i="62"/>
  <c r="A3828" i="62"/>
  <c r="A3829" i="62"/>
  <c r="A3830" i="62"/>
  <c r="A3831" i="62"/>
  <c r="A3832" i="62"/>
  <c r="A3833" i="62"/>
  <c r="A3834" i="62"/>
  <c r="A3835" i="62"/>
  <c r="A3836" i="62"/>
  <c r="A3837" i="62"/>
  <c r="A3838" i="62"/>
  <c r="A3839" i="62"/>
  <c r="A3840" i="62"/>
  <c r="A3841" i="62"/>
  <c r="A3842" i="62"/>
  <c r="A3843" i="62"/>
  <c r="A3844" i="62"/>
  <c r="A3845" i="62"/>
  <c r="A3846" i="62"/>
  <c r="A3847" i="62"/>
  <c r="A3848" i="62"/>
  <c r="A3849" i="62"/>
  <c r="A3850" i="62"/>
  <c r="A3851" i="62"/>
  <c r="A3852" i="62"/>
  <c r="A3853" i="62"/>
  <c r="A3854" i="62"/>
  <c r="A3855" i="62"/>
  <c r="A3856" i="62"/>
  <c r="A3857" i="62"/>
  <c r="A3858" i="62"/>
  <c r="A3859" i="62"/>
  <c r="A3860" i="62"/>
  <c r="A3861" i="62"/>
  <c r="A3862" i="62"/>
  <c r="A3863" i="62"/>
  <c r="A3864" i="62"/>
  <c r="A3865" i="62"/>
  <c r="A3866" i="62"/>
  <c r="A3867" i="62"/>
  <c r="A3868" i="62"/>
  <c r="A3869" i="62"/>
  <c r="A3870" i="62"/>
  <c r="A3871" i="62"/>
  <c r="A3872" i="62"/>
  <c r="A3873" i="62"/>
  <c r="A3874" i="62"/>
  <c r="A3875" i="62"/>
  <c r="A3876" i="62"/>
  <c r="A3877" i="62"/>
  <c r="A3878" i="62"/>
  <c r="A3879" i="62"/>
  <c r="A3880" i="62"/>
  <c r="A3881" i="62"/>
  <c r="A3882" i="62"/>
  <c r="A3883" i="62"/>
  <c r="A3884" i="62"/>
  <c r="A3885" i="62"/>
  <c r="A3886" i="62"/>
  <c r="A3887" i="62"/>
  <c r="A3888" i="62"/>
  <c r="A3889" i="62"/>
  <c r="A3890" i="62"/>
  <c r="A3891" i="62"/>
  <c r="A3892" i="62"/>
  <c r="A3893" i="62"/>
  <c r="A3894" i="62"/>
  <c r="A3895" i="62"/>
  <c r="A3896" i="62"/>
  <c r="A3897" i="62"/>
  <c r="A3898" i="62"/>
  <c r="A3899" i="62"/>
  <c r="A3900" i="62"/>
  <c r="A3901" i="62"/>
  <c r="A3902" i="62"/>
  <c r="A3903" i="62"/>
  <c r="A3904" i="62"/>
  <c r="A3905" i="62"/>
  <c r="A3906" i="62"/>
  <c r="A3907" i="62"/>
  <c r="A3908" i="62"/>
  <c r="A3909" i="62"/>
  <c r="A3910" i="62"/>
  <c r="A3911" i="62"/>
  <c r="A3912" i="62"/>
  <c r="A3913" i="62"/>
  <c r="A3914" i="62"/>
  <c r="A3915" i="62"/>
  <c r="A3916" i="62"/>
  <c r="A3917" i="62"/>
  <c r="A3918" i="62"/>
  <c r="A3919" i="62"/>
  <c r="A3920" i="62"/>
  <c r="A3921" i="62"/>
  <c r="A3922" i="62"/>
  <c r="A3923" i="62"/>
  <c r="A3924" i="62"/>
  <c r="A3925" i="62"/>
  <c r="A3926" i="62"/>
  <c r="A3927" i="62"/>
  <c r="A3928" i="62"/>
  <c r="A3929" i="62"/>
  <c r="A3930" i="62"/>
  <c r="A3931" i="62"/>
  <c r="A3932" i="62"/>
  <c r="A3933" i="62"/>
  <c r="A3934" i="62"/>
  <c r="A3935" i="62"/>
  <c r="A3936" i="62"/>
  <c r="A3937" i="62"/>
  <c r="A3938" i="62"/>
  <c r="A3939" i="62"/>
  <c r="A3940" i="62"/>
  <c r="A3941" i="62"/>
  <c r="A3942" i="62"/>
  <c r="A3943" i="62"/>
  <c r="A3944" i="62"/>
  <c r="A3945" i="62"/>
  <c r="A3946" i="62"/>
  <c r="A3947" i="62"/>
  <c r="A3948" i="62"/>
  <c r="A3949" i="62"/>
  <c r="A3950" i="62"/>
  <c r="A3951" i="62"/>
  <c r="A3952" i="62"/>
  <c r="A3953" i="62"/>
  <c r="A3954" i="62"/>
  <c r="A3955" i="62"/>
  <c r="A3956" i="62"/>
  <c r="A3957" i="62"/>
  <c r="A3958" i="62"/>
  <c r="A3959" i="62"/>
  <c r="A3960" i="62"/>
  <c r="A3961" i="62"/>
  <c r="A3962" i="62"/>
  <c r="A3963" i="62"/>
  <c r="A3964" i="62"/>
  <c r="A3965" i="62"/>
  <c r="A3966" i="62"/>
  <c r="A3967" i="62"/>
  <c r="A3968" i="62"/>
  <c r="A3969" i="62"/>
  <c r="A3970" i="62"/>
  <c r="A3971" i="62"/>
  <c r="A3972" i="62"/>
  <c r="A3973" i="62"/>
  <c r="A3974" i="62"/>
  <c r="A3975" i="62"/>
  <c r="A3976" i="62"/>
  <c r="A3977" i="62"/>
  <c r="A3978" i="62"/>
  <c r="A3979" i="62"/>
  <c r="A3980" i="62"/>
  <c r="A3981" i="62"/>
  <c r="A3982" i="62"/>
  <c r="A3983" i="62"/>
  <c r="A3984" i="62"/>
  <c r="A3985" i="62"/>
  <c r="A3986" i="62"/>
  <c r="A3987" i="62"/>
  <c r="A3988" i="62"/>
  <c r="A3989" i="62"/>
  <c r="A3990" i="62"/>
  <c r="A3991" i="62"/>
  <c r="A3992" i="62"/>
  <c r="A3993" i="62"/>
  <c r="A3994" i="62"/>
  <c r="A3995" i="62"/>
  <c r="A3996" i="62"/>
  <c r="A3997" i="62"/>
  <c r="A3998" i="62"/>
  <c r="A3999" i="62"/>
  <c r="A4000" i="62"/>
  <c r="A4001" i="62"/>
  <c r="A4002" i="62"/>
  <c r="A4003" i="62"/>
  <c r="A4004" i="62"/>
  <c r="A4005" i="62"/>
  <c r="A4006" i="62"/>
  <c r="A4007" i="62"/>
  <c r="A4008" i="62"/>
  <c r="A4009" i="62"/>
  <c r="A4010" i="62"/>
  <c r="A4011" i="62"/>
  <c r="A4012" i="62"/>
  <c r="A4013" i="62"/>
  <c r="A4014" i="62"/>
  <c r="A4015" i="62"/>
  <c r="A4016" i="62"/>
  <c r="A4017" i="62"/>
  <c r="A4018" i="62"/>
  <c r="A4019" i="62"/>
  <c r="A4020" i="62"/>
  <c r="A4021" i="62"/>
  <c r="A4022" i="62"/>
  <c r="A4023" i="62"/>
  <c r="A4024" i="62"/>
  <c r="A4025" i="62"/>
  <c r="A4026" i="62"/>
  <c r="A4027" i="62"/>
  <c r="A4028" i="62"/>
  <c r="A4029" i="62"/>
  <c r="A4030" i="62"/>
  <c r="A4031" i="62"/>
  <c r="A4032" i="62"/>
  <c r="A4033" i="62"/>
  <c r="A4034" i="62"/>
  <c r="A4035" i="62"/>
  <c r="A4036" i="62"/>
  <c r="A4037" i="62"/>
  <c r="A4038" i="62"/>
  <c r="A4039" i="62"/>
  <c r="A4040" i="62"/>
  <c r="A4041" i="62"/>
  <c r="A4042" i="62"/>
  <c r="A4043" i="62"/>
  <c r="A4044" i="62"/>
  <c r="A4045" i="62"/>
  <c r="A4046" i="62"/>
  <c r="A4047" i="62"/>
  <c r="A4048" i="62"/>
  <c r="A4049" i="62"/>
  <c r="A4050" i="62"/>
  <c r="A4051" i="62"/>
  <c r="A4052" i="62"/>
  <c r="A4053" i="62"/>
  <c r="A4054" i="62"/>
  <c r="A4055" i="62"/>
  <c r="A4056" i="62"/>
  <c r="A4057" i="62"/>
  <c r="A4058" i="62"/>
  <c r="A4059" i="62"/>
  <c r="A4060" i="62"/>
  <c r="A4061" i="62"/>
  <c r="A4062" i="62"/>
  <c r="A4063" i="62"/>
  <c r="A4064" i="62"/>
  <c r="A4065" i="62"/>
  <c r="A4066" i="62"/>
  <c r="A4067" i="62"/>
  <c r="A4068" i="62"/>
  <c r="A4069" i="62"/>
  <c r="A4070" i="62"/>
  <c r="A4071" i="62"/>
  <c r="A4072" i="62"/>
  <c r="A4073" i="62"/>
  <c r="A4074" i="62"/>
  <c r="A4075" i="62"/>
  <c r="A4076" i="62"/>
  <c r="A4077" i="62"/>
  <c r="A4078" i="62"/>
  <c r="A4079" i="62"/>
  <c r="A4080" i="62"/>
  <c r="A4081" i="62"/>
  <c r="A4082" i="62"/>
  <c r="A4083" i="62"/>
  <c r="A4084" i="62"/>
  <c r="A4085" i="62"/>
  <c r="A4086" i="62"/>
  <c r="A4087" i="62"/>
  <c r="A4088" i="62"/>
  <c r="A4089" i="62"/>
  <c r="A4090" i="62"/>
  <c r="A4091" i="62"/>
  <c r="A4092" i="62"/>
  <c r="A4093" i="62"/>
  <c r="A4094" i="62"/>
  <c r="A4095" i="62"/>
  <c r="A4096" i="62"/>
  <c r="A4097" i="62"/>
  <c r="A4098" i="62"/>
  <c r="A4099" i="62"/>
  <c r="A4100" i="62"/>
  <c r="A4101" i="62"/>
  <c r="A4102" i="62"/>
  <c r="A4103" i="62"/>
  <c r="A4104" i="62"/>
  <c r="A4105" i="62"/>
  <c r="A4106" i="62"/>
  <c r="A4107" i="62"/>
  <c r="A4108" i="62"/>
  <c r="A4109" i="62"/>
  <c r="A4110" i="62"/>
  <c r="A4111" i="62"/>
  <c r="A4112" i="62"/>
  <c r="A4113" i="62"/>
  <c r="A4114" i="62"/>
  <c r="A4115" i="62"/>
  <c r="A4116" i="62"/>
  <c r="A4117" i="62"/>
  <c r="A4118" i="62"/>
  <c r="A4119" i="62"/>
  <c r="A4120" i="62"/>
  <c r="A4121" i="62"/>
  <c r="A4122" i="62"/>
  <c r="A4123" i="62"/>
  <c r="A4124" i="62"/>
  <c r="A4125" i="62"/>
  <c r="A4126" i="62"/>
  <c r="A4127" i="62"/>
  <c r="A4128" i="62"/>
  <c r="A4129" i="62"/>
  <c r="A4130" i="62"/>
  <c r="A4131" i="62"/>
  <c r="A4132" i="62"/>
  <c r="A4133" i="62"/>
  <c r="A4134" i="62"/>
  <c r="A4135" i="62"/>
  <c r="A4136" i="62"/>
  <c r="A4137" i="62"/>
  <c r="A4138" i="62"/>
  <c r="A4139" i="62"/>
  <c r="A4140" i="62"/>
  <c r="A4141" i="62"/>
  <c r="A4142" i="62"/>
  <c r="A4143" i="62"/>
  <c r="A4144" i="62"/>
  <c r="A4145" i="62"/>
  <c r="A4146" i="62"/>
  <c r="A4147" i="62"/>
  <c r="A4148" i="62"/>
  <c r="A4149" i="62"/>
  <c r="A4150" i="62"/>
  <c r="A4151" i="62"/>
  <c r="A4152" i="62"/>
  <c r="A4153" i="62"/>
  <c r="A4154" i="62"/>
  <c r="A4155" i="62"/>
  <c r="A4156" i="62"/>
  <c r="A4157" i="62"/>
  <c r="A4158" i="62"/>
  <c r="A4159" i="62"/>
  <c r="A4160" i="62"/>
  <c r="A4161" i="62"/>
  <c r="A4162" i="62"/>
  <c r="A4163" i="62"/>
  <c r="A4164" i="62"/>
  <c r="A4165" i="62"/>
  <c r="A4166" i="62"/>
  <c r="A4167" i="62"/>
  <c r="A4168" i="62"/>
  <c r="A4169" i="62"/>
  <c r="A4170" i="62"/>
  <c r="A4171" i="62"/>
  <c r="A4172" i="62"/>
  <c r="A4173" i="62"/>
  <c r="A4174" i="62"/>
  <c r="A4175" i="62"/>
  <c r="A4176" i="62"/>
  <c r="A4177" i="62"/>
  <c r="A4178" i="62"/>
  <c r="A4179" i="62"/>
  <c r="A4180" i="62"/>
  <c r="A4181" i="62"/>
  <c r="A4182" i="62"/>
  <c r="A4183" i="62"/>
  <c r="A4184" i="62"/>
  <c r="A4185" i="62"/>
  <c r="A4186" i="62"/>
  <c r="A4187" i="62"/>
  <c r="A4188" i="62"/>
  <c r="A4189" i="62"/>
  <c r="A4190" i="62"/>
  <c r="A4191" i="62"/>
  <c r="A4192" i="62"/>
  <c r="A4193" i="62"/>
  <c r="A4194" i="62"/>
  <c r="A4195" i="62"/>
  <c r="A4196" i="62"/>
  <c r="A4197" i="62"/>
  <c r="A4198" i="62"/>
  <c r="A4199" i="62"/>
  <c r="A4200" i="62"/>
  <c r="A4201" i="62"/>
  <c r="A4202" i="62"/>
  <c r="A4203" i="62"/>
  <c r="A4204" i="62"/>
  <c r="A4205" i="62"/>
  <c r="A4206" i="62"/>
  <c r="A4207" i="62"/>
  <c r="A4208" i="62"/>
  <c r="A4209" i="62"/>
  <c r="A4210" i="62"/>
  <c r="A4211" i="62"/>
  <c r="A4212" i="62"/>
  <c r="A4213" i="62"/>
  <c r="A4214" i="62"/>
  <c r="A4215" i="62"/>
  <c r="A4216" i="62"/>
  <c r="A4217" i="62"/>
  <c r="A4218" i="62"/>
  <c r="A4219" i="62"/>
  <c r="A4220" i="62"/>
  <c r="A4221" i="62"/>
  <c r="A4222" i="62"/>
  <c r="A4223" i="62"/>
  <c r="A4224" i="62"/>
  <c r="A4225" i="62"/>
  <c r="A4226" i="62"/>
  <c r="A4227" i="62"/>
  <c r="A4228" i="62"/>
  <c r="A4229" i="62"/>
  <c r="A4230" i="62"/>
  <c r="A4231" i="62"/>
  <c r="A4232" i="62"/>
  <c r="A4233" i="62"/>
  <c r="A4234" i="62"/>
  <c r="A4235" i="62"/>
  <c r="A4236" i="62"/>
  <c r="A4237" i="62"/>
  <c r="A4238" i="62"/>
  <c r="A4239" i="62"/>
  <c r="A4240" i="62"/>
  <c r="A4241" i="62"/>
  <c r="A4242" i="62"/>
  <c r="A4243" i="62"/>
  <c r="A4244" i="62"/>
  <c r="A4245" i="62"/>
  <c r="A4246" i="62"/>
  <c r="A4247" i="62"/>
  <c r="A4248" i="62"/>
  <c r="A4249" i="62"/>
  <c r="A4250" i="62"/>
  <c r="A4251" i="62"/>
  <c r="A4252" i="62"/>
  <c r="A4253" i="62"/>
  <c r="A4254" i="62"/>
  <c r="A4255" i="62"/>
  <c r="A4256" i="62"/>
  <c r="A4257" i="62"/>
  <c r="A4258" i="62"/>
  <c r="A4259" i="62"/>
  <c r="A4260" i="62"/>
  <c r="A4261" i="62"/>
  <c r="A4262" i="62"/>
  <c r="A4263" i="62"/>
  <c r="A4264" i="62"/>
  <c r="A4265" i="62"/>
  <c r="A4266" i="62"/>
  <c r="A4267" i="62"/>
  <c r="A4268" i="62"/>
  <c r="A4269" i="62"/>
  <c r="A4270" i="62"/>
  <c r="A4271" i="62"/>
  <c r="A4272" i="62"/>
  <c r="A4273" i="62"/>
  <c r="A4274" i="62"/>
  <c r="A4275" i="62"/>
  <c r="A4276" i="62"/>
  <c r="A4277" i="62"/>
  <c r="A4278" i="62"/>
  <c r="A4279" i="62"/>
  <c r="A4280" i="62"/>
  <c r="A4281" i="62"/>
  <c r="A4282" i="62"/>
  <c r="A4283" i="62"/>
  <c r="A4284" i="62"/>
  <c r="A4285" i="62"/>
  <c r="A4286" i="62"/>
  <c r="A4287" i="62"/>
  <c r="A4288" i="62"/>
  <c r="A4289" i="62"/>
  <c r="A4290" i="62"/>
  <c r="A4291" i="62"/>
  <c r="A4292" i="62"/>
  <c r="A4293" i="62"/>
  <c r="A4294" i="62"/>
  <c r="A4295" i="62"/>
  <c r="A4296" i="62"/>
  <c r="A4297" i="62"/>
  <c r="A4298" i="62"/>
  <c r="A4299" i="62"/>
  <c r="A4300" i="62"/>
  <c r="A4301" i="62"/>
  <c r="A4302" i="62"/>
  <c r="A4303" i="62"/>
  <c r="A4304" i="62"/>
  <c r="A4305" i="62"/>
  <c r="A4306" i="62"/>
  <c r="A4307" i="62"/>
  <c r="A4308" i="62"/>
  <c r="A4309" i="62"/>
  <c r="A4310" i="62"/>
  <c r="A4311" i="62"/>
  <c r="A4312" i="62"/>
  <c r="A4313" i="62"/>
  <c r="A4314" i="62"/>
  <c r="A4315" i="62"/>
  <c r="A4316" i="62"/>
  <c r="A4317" i="62"/>
  <c r="A4318" i="62"/>
  <c r="A4319" i="62"/>
  <c r="A4320" i="62"/>
  <c r="A4321" i="62"/>
  <c r="A4322" i="62"/>
  <c r="A4323" i="62"/>
  <c r="A4324" i="62"/>
  <c r="A4325" i="62"/>
  <c r="A4326" i="62"/>
  <c r="A4327" i="62"/>
  <c r="A4328" i="62"/>
  <c r="A4329" i="62"/>
  <c r="A4330" i="62"/>
  <c r="A4331" i="62"/>
  <c r="A4332" i="62"/>
  <c r="A4333" i="62"/>
  <c r="A4334" i="62"/>
  <c r="A4335" i="62"/>
  <c r="A4336" i="62"/>
  <c r="A4337" i="62"/>
  <c r="A4338" i="62"/>
  <c r="A4339" i="62"/>
  <c r="A4340" i="62"/>
  <c r="A4341" i="62"/>
  <c r="A4342" i="62"/>
  <c r="A4343" i="62"/>
  <c r="A4344" i="62"/>
  <c r="A4345" i="62"/>
  <c r="A4346" i="62"/>
  <c r="A4347" i="62"/>
  <c r="A4348" i="62"/>
  <c r="A4349" i="62"/>
  <c r="A4350" i="62"/>
  <c r="A4351" i="62"/>
  <c r="A4352" i="62"/>
  <c r="A4353" i="62"/>
  <c r="A4354" i="62"/>
  <c r="A4355" i="62"/>
  <c r="A4356" i="62"/>
  <c r="A4357" i="62"/>
  <c r="A4358" i="62"/>
  <c r="A4359" i="62"/>
  <c r="A4360" i="62"/>
  <c r="A4361" i="62"/>
  <c r="A4362" i="62"/>
  <c r="A4363" i="62"/>
  <c r="A4364" i="62"/>
  <c r="A4365" i="62"/>
  <c r="A4366" i="62"/>
  <c r="A4367" i="62"/>
  <c r="A4368" i="62"/>
  <c r="A4369" i="62"/>
  <c r="A4370" i="62"/>
  <c r="A4371" i="62"/>
  <c r="A4372" i="62"/>
  <c r="A4373" i="62"/>
  <c r="A4374" i="62"/>
  <c r="A4375" i="62"/>
  <c r="A4376" i="62"/>
  <c r="A4377" i="62"/>
  <c r="A4378" i="62"/>
  <c r="A4379" i="62"/>
  <c r="A4380" i="62"/>
  <c r="A4381" i="62"/>
  <c r="A4382" i="62"/>
  <c r="A4383" i="62"/>
  <c r="A4384" i="62"/>
  <c r="A4385" i="62"/>
  <c r="A4386" i="62"/>
  <c r="A4387" i="62"/>
  <c r="A4388" i="62"/>
  <c r="A4389" i="62"/>
  <c r="A4390" i="62"/>
  <c r="A4391" i="62"/>
  <c r="A4392" i="62"/>
  <c r="A4393" i="62"/>
  <c r="A4394" i="62"/>
  <c r="A4395" i="62"/>
  <c r="A4396" i="62"/>
  <c r="A4397" i="62"/>
  <c r="A4398" i="62"/>
  <c r="A4399" i="62"/>
  <c r="A4400" i="62"/>
  <c r="A4401" i="62"/>
  <c r="A4402" i="62"/>
  <c r="A4403" i="62"/>
  <c r="A4404" i="62"/>
  <c r="A4405" i="62"/>
  <c r="A4406" i="62"/>
  <c r="A4407" i="62"/>
  <c r="A4408" i="62"/>
  <c r="A4409" i="62"/>
  <c r="A4410" i="62"/>
  <c r="A4411" i="62"/>
  <c r="A4412" i="62"/>
  <c r="A4413" i="62"/>
  <c r="A4414" i="62"/>
  <c r="A4415" i="62"/>
  <c r="A4416" i="62"/>
  <c r="A4417" i="62"/>
  <c r="A4418" i="62"/>
  <c r="A4419" i="62"/>
  <c r="A4420" i="62"/>
  <c r="A4421" i="62"/>
  <c r="A4422" i="62"/>
  <c r="A4423" i="62"/>
  <c r="A4424" i="62"/>
  <c r="A4425" i="62"/>
  <c r="A4426" i="62"/>
  <c r="A4427" i="62"/>
  <c r="A4428" i="62"/>
  <c r="A4429" i="62"/>
  <c r="A4430" i="62"/>
  <c r="A4431" i="62"/>
  <c r="A4432" i="62"/>
  <c r="A4433" i="62"/>
  <c r="A4434" i="62"/>
  <c r="A4435" i="62"/>
  <c r="A4436" i="62"/>
  <c r="A4437" i="62"/>
  <c r="A4438" i="62"/>
  <c r="A4439" i="62"/>
  <c r="A4440" i="62"/>
  <c r="A4441" i="62"/>
  <c r="A4442" i="62"/>
  <c r="A4443" i="62"/>
  <c r="A4444" i="62"/>
  <c r="A4445" i="62"/>
  <c r="A4446" i="62"/>
  <c r="A4447" i="62"/>
  <c r="A4448" i="62"/>
  <c r="A4449" i="62"/>
  <c r="A4450" i="62"/>
  <c r="A4451" i="62"/>
  <c r="A4452" i="62"/>
  <c r="A4453" i="62"/>
  <c r="A4454" i="62"/>
  <c r="A4455" i="62"/>
  <c r="A4456" i="62"/>
  <c r="A4457" i="62"/>
  <c r="A4458" i="62"/>
  <c r="A4459" i="62"/>
  <c r="A4460" i="62"/>
  <c r="A4461" i="62"/>
  <c r="A4462" i="62"/>
  <c r="A4463" i="62"/>
  <c r="A4464" i="62"/>
  <c r="A2" i="62"/>
  <c r="A3" i="62"/>
  <c r="A4" i="62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53" i="62"/>
  <c r="A54" i="62"/>
  <c r="A55" i="62"/>
  <c r="A56" i="62"/>
  <c r="A57" i="62"/>
  <c r="A58" i="62"/>
  <c r="A59" i="62"/>
  <c r="A60" i="62"/>
  <c r="A61" i="62"/>
  <c r="A62" i="62"/>
  <c r="A63" i="62"/>
  <c r="A64" i="62"/>
  <c r="A65" i="62"/>
  <c r="A66" i="62"/>
  <c r="A67" i="62"/>
  <c r="A68" i="62"/>
  <c r="A69" i="62"/>
  <c r="A70" i="62"/>
  <c r="A71" i="62"/>
  <c r="A72" i="62"/>
  <c r="A73" i="62"/>
  <c r="A74" i="62"/>
  <c r="A75" i="62"/>
  <c r="A76" i="62"/>
  <c r="A77" i="62"/>
  <c r="A78" i="62"/>
  <c r="A79" i="62"/>
  <c r="A80" i="62"/>
  <c r="A81" i="62"/>
  <c r="A82" i="62"/>
  <c r="A83" i="62"/>
  <c r="A84" i="62"/>
  <c r="A85" i="62"/>
  <c r="A86" i="62"/>
  <c r="A87" i="62"/>
  <c r="A88" i="62"/>
  <c r="A89" i="62"/>
  <c r="A90" i="62"/>
  <c r="A91" i="62"/>
  <c r="A92" i="62"/>
  <c r="A93" i="62"/>
  <c r="A94" i="62"/>
  <c r="A95" i="62"/>
  <c r="A96" i="62"/>
  <c r="A97" i="62"/>
  <c r="A98" i="62"/>
  <c r="A99" i="62"/>
  <c r="A100" i="62"/>
  <c r="A101" i="62"/>
  <c r="A102" i="62"/>
  <c r="A103" i="62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1" i="62"/>
  <c r="C102" i="62"/>
  <c r="C103" i="62"/>
  <c r="D2" i="62"/>
  <c r="D1" i="62"/>
  <c r="C1" i="62"/>
  <c r="C2" i="62"/>
  <c r="A1" i="62"/>
  <c r="B55" i="57"/>
  <c r="B51" i="57"/>
  <c r="B47" i="57"/>
  <c r="B43" i="57"/>
  <c r="B39" i="57"/>
  <c r="B35" i="57"/>
  <c r="B31" i="57"/>
  <c r="B27" i="57"/>
  <c r="B23" i="57"/>
  <c r="B19" i="57"/>
  <c r="B15" i="57"/>
  <c r="B11" i="57"/>
  <c r="B55" i="56"/>
  <c r="B51" i="56"/>
  <c r="B47" i="56"/>
  <c r="B43" i="56"/>
  <c r="B39" i="56"/>
  <c r="B35" i="56"/>
  <c r="B31" i="56"/>
  <c r="B27" i="56"/>
  <c r="B23" i="56"/>
  <c r="B19" i="56"/>
  <c r="B15" i="56"/>
  <c r="B11" i="56"/>
  <c r="B55" i="55"/>
  <c r="B51" i="55"/>
  <c r="B47" i="55"/>
  <c r="B43" i="55"/>
  <c r="B39" i="55"/>
  <c r="B35" i="55"/>
  <c r="B31" i="55"/>
  <c r="B27" i="55"/>
  <c r="B23" i="55"/>
  <c r="B19" i="55"/>
  <c r="B15" i="55"/>
  <c r="B11" i="55"/>
  <c r="B55" i="54"/>
  <c r="B51" i="54"/>
  <c r="B47" i="54"/>
  <c r="B43" i="54"/>
  <c r="B39" i="54"/>
  <c r="B35" i="54"/>
  <c r="B31" i="54"/>
  <c r="B27" i="54"/>
  <c r="B23" i="54"/>
  <c r="B19" i="54"/>
  <c r="B15" i="54"/>
  <c r="B11" i="54"/>
  <c r="B55" i="17"/>
  <c r="B51" i="17"/>
  <c r="B47" i="17"/>
  <c r="B43" i="17"/>
  <c r="B39" i="17"/>
  <c r="B35" i="17"/>
  <c r="B31" i="17"/>
  <c r="B27" i="17"/>
  <c r="B23" i="17"/>
  <c r="B19" i="17"/>
  <c r="B15" i="17"/>
  <c r="B11" i="17"/>
  <c r="D8" i="57"/>
  <c r="D8" i="56"/>
  <c r="D8" i="55"/>
  <c r="D8" i="54"/>
  <c r="B55" i="53"/>
  <c r="B51" i="53"/>
  <c r="B47" i="53"/>
  <c r="B43" i="53"/>
  <c r="B39" i="53"/>
  <c r="B35" i="53"/>
  <c r="B31" i="53"/>
  <c r="B27" i="53"/>
  <c r="B23" i="53"/>
  <c r="B19" i="53"/>
  <c r="B15" i="53"/>
  <c r="B11" i="53"/>
  <c r="D8" i="53"/>
  <c r="D8" i="17"/>
  <c r="D3" i="57"/>
  <c r="D3" i="56"/>
  <c r="D3" i="55"/>
  <c r="D3" i="54"/>
  <c r="D3" i="53"/>
  <c r="C28" i="49"/>
  <c r="C6" i="49"/>
  <c r="C28" i="48"/>
  <c r="C6" i="48"/>
  <c r="C28" i="47"/>
  <c r="C6" i="47"/>
  <c r="C28" i="46"/>
  <c r="C6" i="46"/>
  <c r="C8" i="46" s="1"/>
  <c r="D5" i="53" s="1"/>
  <c r="C28" i="45"/>
  <c r="C6" i="45"/>
  <c r="C28" i="44"/>
  <c r="C6" i="44"/>
  <c r="AC17" i="103" l="1"/>
  <c r="AC21" i="94"/>
  <c r="AC20" i="94"/>
  <c r="AC28" i="94"/>
  <c r="AC29" i="94"/>
  <c r="AC26" i="103"/>
  <c r="C8" i="48"/>
  <c r="D5" i="55" s="1"/>
  <c r="C8" i="49"/>
  <c r="D5" i="92" s="1"/>
  <c r="C8" i="44"/>
  <c r="D5" i="56" s="1"/>
  <c r="C8" i="45"/>
  <c r="D5" i="57" s="1"/>
  <c r="C8" i="47"/>
  <c r="D5" i="54" s="1"/>
  <c r="AC37" i="105"/>
  <c r="AC41" i="105"/>
  <c r="L56" i="105"/>
  <c r="M56" i="105"/>
  <c r="N57" i="105"/>
  <c r="K57" i="105"/>
  <c r="L55" i="105"/>
  <c r="X56" i="105"/>
  <c r="Y56" i="105"/>
  <c r="Z57" i="105"/>
  <c r="J57" i="105"/>
  <c r="G55" i="105"/>
  <c r="V57" i="105"/>
  <c r="W57" i="105"/>
  <c r="S55" i="105"/>
  <c r="H55" i="105"/>
  <c r="I55" i="105"/>
  <c r="X55" i="105"/>
  <c r="M55" i="105"/>
  <c r="R57" i="105"/>
  <c r="U57" i="105"/>
  <c r="P55" i="105"/>
  <c r="E55" i="105"/>
  <c r="E56" i="105"/>
  <c r="T55" i="105"/>
  <c r="U55" i="105"/>
  <c r="J56" i="105"/>
  <c r="Y55" i="105"/>
  <c r="U56" i="105"/>
  <c r="AB55" i="105"/>
  <c r="Q55" i="105"/>
  <c r="Q56" i="105"/>
  <c r="F56" i="105"/>
  <c r="G56" i="105"/>
  <c r="V56" i="105"/>
  <c r="K56" i="105"/>
  <c r="Z55" i="105"/>
  <c r="S57" i="105"/>
  <c r="N56" i="105"/>
  <c r="O57" i="105"/>
  <c r="R56" i="105"/>
  <c r="S56" i="105"/>
  <c r="J55" i="105"/>
  <c r="K55" i="105"/>
  <c r="H57" i="105"/>
  <c r="W56" i="105"/>
  <c r="V55" i="105"/>
  <c r="T56" i="105"/>
  <c r="F57" i="105"/>
  <c r="G57" i="105"/>
  <c r="AA55" i="105"/>
  <c r="AB56" i="105"/>
  <c r="Z56" i="105"/>
  <c r="O56" i="105"/>
  <c r="F55" i="105"/>
  <c r="AA57" i="105"/>
  <c r="P57" i="105"/>
  <c r="E57" i="105"/>
  <c r="W55" i="105"/>
  <c r="T57" i="105"/>
  <c r="I57" i="105"/>
  <c r="L57" i="105"/>
  <c r="AA56" i="105"/>
  <c r="R55" i="105"/>
  <c r="AB57" i="105"/>
  <c r="Q57" i="105"/>
  <c r="H56" i="105"/>
  <c r="I56" i="105"/>
  <c r="X57" i="105"/>
  <c r="M57" i="105"/>
  <c r="N55" i="105"/>
  <c r="O55" i="105"/>
  <c r="Y57" i="105"/>
  <c r="P56" i="105"/>
  <c r="Z33" i="105"/>
  <c r="F31" i="105"/>
  <c r="AB32" i="105"/>
  <c r="P32" i="105"/>
  <c r="R31" i="105"/>
  <c r="J33" i="105"/>
  <c r="Z32" i="105"/>
  <c r="X32" i="105"/>
  <c r="N32" i="105"/>
  <c r="L32" i="105"/>
  <c r="AB31" i="105"/>
  <c r="Z31" i="105"/>
  <c r="P31" i="105"/>
  <c r="X33" i="105"/>
  <c r="N31" i="105"/>
  <c r="V33" i="105"/>
  <c r="N33" i="105"/>
  <c r="L33" i="105"/>
  <c r="O33" i="105"/>
  <c r="M31" i="105"/>
  <c r="K32" i="105"/>
  <c r="AA33" i="105"/>
  <c r="Y31" i="105"/>
  <c r="H31" i="105"/>
  <c r="T31" i="105"/>
  <c r="I31" i="105"/>
  <c r="W32" i="105"/>
  <c r="Q32" i="105"/>
  <c r="S33" i="105"/>
  <c r="O31" i="105"/>
  <c r="E31" i="105"/>
  <c r="F32" i="105"/>
  <c r="U31" i="105"/>
  <c r="J31" i="105"/>
  <c r="I33" i="105"/>
  <c r="H33" i="105"/>
  <c r="AA31" i="105"/>
  <c r="Q31" i="105"/>
  <c r="R32" i="105"/>
  <c r="G32" i="105"/>
  <c r="V31" i="105"/>
  <c r="L31" i="105"/>
  <c r="R33" i="105"/>
  <c r="U33" i="105"/>
  <c r="M32" i="105"/>
  <c r="O32" i="105"/>
  <c r="P33" i="105"/>
  <c r="S32" i="105"/>
  <c r="H32" i="105"/>
  <c r="K31" i="105"/>
  <c r="X31" i="105"/>
  <c r="S31" i="105"/>
  <c r="U32" i="105"/>
  <c r="G33" i="105"/>
  <c r="T33" i="105"/>
  <c r="Y32" i="105"/>
  <c r="AA32" i="105"/>
  <c r="AB33" i="105"/>
  <c r="E33" i="105"/>
  <c r="T32" i="105"/>
  <c r="W31" i="105"/>
  <c r="J32" i="105"/>
  <c r="K33" i="105"/>
  <c r="M33" i="105"/>
  <c r="G31" i="105"/>
  <c r="Q33" i="105"/>
  <c r="F33" i="105"/>
  <c r="I32" i="105"/>
  <c r="V32" i="105"/>
  <c r="W33" i="105"/>
  <c r="Y33" i="105"/>
  <c r="E32" i="105"/>
  <c r="S24" i="105"/>
  <c r="G24" i="105"/>
  <c r="U23" i="105"/>
  <c r="I23" i="105"/>
  <c r="X24" i="105"/>
  <c r="L24" i="105"/>
  <c r="Y25" i="105"/>
  <c r="M25" i="105"/>
  <c r="AA24" i="105"/>
  <c r="O24" i="105"/>
  <c r="Q23" i="105"/>
  <c r="E23" i="105"/>
  <c r="S25" i="105"/>
  <c r="U24" i="105"/>
  <c r="J23" i="105"/>
  <c r="T24" i="105"/>
  <c r="J24" i="105"/>
  <c r="I24" i="105"/>
  <c r="V25" i="105"/>
  <c r="H24" i="105"/>
  <c r="T25" i="105"/>
  <c r="Z23" i="105"/>
  <c r="R25" i="105"/>
  <c r="X23" i="105"/>
  <c r="J25" i="105"/>
  <c r="W23" i="105"/>
  <c r="H25" i="105"/>
  <c r="V23" i="105"/>
  <c r="G25" i="105"/>
  <c r="N23" i="105"/>
  <c r="F25" i="105"/>
  <c r="L23" i="105"/>
  <c r="V24" i="105"/>
  <c r="K23" i="105"/>
  <c r="K25" i="105"/>
  <c r="W25" i="105"/>
  <c r="P23" i="105"/>
  <c r="AB23" i="105"/>
  <c r="M23" i="105"/>
  <c r="N24" i="105"/>
  <c r="F23" i="105"/>
  <c r="AA23" i="105"/>
  <c r="Y23" i="105"/>
  <c r="Z24" i="105"/>
  <c r="R23" i="105"/>
  <c r="S23" i="105"/>
  <c r="R24" i="105"/>
  <c r="AA25" i="105"/>
  <c r="E25" i="105"/>
  <c r="K24" i="105"/>
  <c r="L25" i="105"/>
  <c r="P24" i="105"/>
  <c r="G23" i="105"/>
  <c r="H23" i="105"/>
  <c r="Z25" i="105"/>
  <c r="Q24" i="105"/>
  <c r="P25" i="105"/>
  <c r="Y24" i="105"/>
  <c r="AB25" i="105"/>
  <c r="Q25" i="105"/>
  <c r="W24" i="105"/>
  <c r="X25" i="105"/>
  <c r="AB24" i="105"/>
  <c r="T23" i="105"/>
  <c r="I25" i="105"/>
  <c r="O23" i="105"/>
  <c r="N25" i="105"/>
  <c r="E24" i="105"/>
  <c r="F24" i="105"/>
  <c r="U25" i="105"/>
  <c r="O25" i="105"/>
  <c r="M24" i="105"/>
  <c r="S53" i="105"/>
  <c r="G53" i="105"/>
  <c r="U52" i="105"/>
  <c r="I52" i="105"/>
  <c r="W51" i="105"/>
  <c r="K51" i="105"/>
  <c r="AA53" i="105"/>
  <c r="O53" i="105"/>
  <c r="Q52" i="105"/>
  <c r="E52" i="105"/>
  <c r="S51" i="105"/>
  <c r="G51" i="105"/>
  <c r="U53" i="105"/>
  <c r="I53" i="105"/>
  <c r="W52" i="105"/>
  <c r="K52" i="105"/>
  <c r="Y51" i="105"/>
  <c r="M51" i="105"/>
  <c r="T53" i="105"/>
  <c r="H53" i="105"/>
  <c r="V52" i="105"/>
  <c r="J52" i="105"/>
  <c r="X51" i="105"/>
  <c r="L51" i="105"/>
  <c r="V53" i="105"/>
  <c r="J53" i="105"/>
  <c r="X52" i="105"/>
  <c r="L52" i="105"/>
  <c r="Z51" i="105"/>
  <c r="N51" i="105"/>
  <c r="M52" i="105"/>
  <c r="M53" i="105"/>
  <c r="AB52" i="105"/>
  <c r="H51" i="105"/>
  <c r="I51" i="105"/>
  <c r="T52" i="105"/>
  <c r="Z53" i="105"/>
  <c r="F52" i="105"/>
  <c r="G52" i="105"/>
  <c r="Y52" i="105"/>
  <c r="P51" i="105"/>
  <c r="Y53" i="105"/>
  <c r="N53" i="105"/>
  <c r="T51" i="105"/>
  <c r="U51" i="105"/>
  <c r="F53" i="105"/>
  <c r="K53" i="105"/>
  <c r="AB51" i="105"/>
  <c r="W53" i="105"/>
  <c r="N52" i="105"/>
  <c r="R52" i="105"/>
  <c r="S52" i="105"/>
  <c r="R53" i="105"/>
  <c r="Z52" i="105"/>
  <c r="P53" i="105"/>
  <c r="E53" i="105"/>
  <c r="J51" i="105"/>
  <c r="L53" i="105"/>
  <c r="AB53" i="105"/>
  <c r="Q53" i="105"/>
  <c r="Q51" i="105"/>
  <c r="F51" i="105"/>
  <c r="V51" i="105"/>
  <c r="X53" i="105"/>
  <c r="AA51" i="105"/>
  <c r="AA52" i="105"/>
  <c r="P52" i="105"/>
  <c r="H52" i="105"/>
  <c r="E51" i="105"/>
  <c r="O51" i="105"/>
  <c r="O52" i="105"/>
  <c r="R51" i="105"/>
  <c r="AC36" i="105"/>
  <c r="Q49" i="105"/>
  <c r="E49" i="105"/>
  <c r="S48" i="105"/>
  <c r="G48" i="105"/>
  <c r="U47" i="105"/>
  <c r="I47" i="105"/>
  <c r="Y49" i="105"/>
  <c r="M49" i="105"/>
  <c r="AA48" i="105"/>
  <c r="O48" i="105"/>
  <c r="Q47" i="105"/>
  <c r="E47" i="105"/>
  <c r="U49" i="105"/>
  <c r="I49" i="105"/>
  <c r="W48" i="105"/>
  <c r="K48" i="105"/>
  <c r="Y47" i="105"/>
  <c r="M47" i="105"/>
  <c r="S49" i="105"/>
  <c r="G49" i="105"/>
  <c r="U48" i="105"/>
  <c r="I48" i="105"/>
  <c r="W47" i="105"/>
  <c r="K47" i="105"/>
  <c r="R49" i="105"/>
  <c r="F49" i="105"/>
  <c r="T48" i="105"/>
  <c r="H48" i="105"/>
  <c r="V47" i="105"/>
  <c r="J47" i="105"/>
  <c r="T49" i="105"/>
  <c r="H49" i="105"/>
  <c r="V48" i="105"/>
  <c r="J48" i="105"/>
  <c r="X47" i="105"/>
  <c r="L47" i="105"/>
  <c r="V49" i="105"/>
  <c r="O47" i="105"/>
  <c r="AA47" i="105"/>
  <c r="P47" i="105"/>
  <c r="M48" i="105"/>
  <c r="AB47" i="105"/>
  <c r="H47" i="105"/>
  <c r="AB48" i="105"/>
  <c r="AB49" i="105"/>
  <c r="Y48" i="105"/>
  <c r="N48" i="105"/>
  <c r="F47" i="105"/>
  <c r="T47" i="105"/>
  <c r="N49" i="105"/>
  <c r="O49" i="105"/>
  <c r="K49" i="105"/>
  <c r="Z48" i="105"/>
  <c r="R47" i="105"/>
  <c r="G47" i="105"/>
  <c r="F48" i="105"/>
  <c r="Q48" i="105"/>
  <c r="J49" i="105"/>
  <c r="Z49" i="105"/>
  <c r="AA49" i="105"/>
  <c r="N47" i="105"/>
  <c r="W49" i="105"/>
  <c r="L49" i="105"/>
  <c r="S47" i="105"/>
  <c r="R48" i="105"/>
  <c r="Z47" i="105"/>
  <c r="X49" i="105"/>
  <c r="P48" i="105"/>
  <c r="E48" i="105"/>
  <c r="P49" i="105"/>
  <c r="L48" i="105"/>
  <c r="X48" i="105"/>
  <c r="Q45" i="105"/>
  <c r="E45" i="105"/>
  <c r="S44" i="105"/>
  <c r="G44" i="105"/>
  <c r="U43" i="105"/>
  <c r="I43" i="105"/>
  <c r="T44" i="105"/>
  <c r="R44" i="105"/>
  <c r="H44" i="105"/>
  <c r="F44" i="105"/>
  <c r="V43" i="105"/>
  <c r="T43" i="105"/>
  <c r="J43" i="105"/>
  <c r="H43" i="105"/>
  <c r="R45" i="105"/>
  <c r="F45" i="105"/>
  <c r="I45" i="105"/>
  <c r="J45" i="105"/>
  <c r="Y44" i="105"/>
  <c r="AB43" i="105"/>
  <c r="E43" i="105"/>
  <c r="P44" i="105"/>
  <c r="E44" i="105"/>
  <c r="W45" i="105"/>
  <c r="Z44" i="105"/>
  <c r="O44" i="105"/>
  <c r="N45" i="105"/>
  <c r="O45" i="105"/>
  <c r="L43" i="105"/>
  <c r="U45" i="105"/>
  <c r="V45" i="105"/>
  <c r="K45" i="105"/>
  <c r="N44" i="105"/>
  <c r="Q43" i="105"/>
  <c r="AB44" i="105"/>
  <c r="Q44" i="105"/>
  <c r="X43" i="105"/>
  <c r="R43" i="105"/>
  <c r="J44" i="105"/>
  <c r="L45" i="105"/>
  <c r="AA44" i="105"/>
  <c r="Z45" i="105"/>
  <c r="X44" i="105"/>
  <c r="K43" i="105"/>
  <c r="V44" i="105"/>
  <c r="X45" i="105"/>
  <c r="M45" i="105"/>
  <c r="W43" i="105"/>
  <c r="H45" i="105"/>
  <c r="Y45" i="105"/>
  <c r="Z43" i="105"/>
  <c r="O43" i="105"/>
  <c r="G43" i="105"/>
  <c r="W44" i="105"/>
  <c r="M44" i="105"/>
  <c r="I44" i="105"/>
  <c r="T45" i="105"/>
  <c r="F43" i="105"/>
  <c r="P43" i="105"/>
  <c r="S43" i="105"/>
  <c r="U44" i="105"/>
  <c r="Y43" i="105"/>
  <c r="P45" i="105"/>
  <c r="G45" i="105"/>
  <c r="M43" i="105"/>
  <c r="N43" i="105"/>
  <c r="AB45" i="105"/>
  <c r="S45" i="105"/>
  <c r="AA45" i="105"/>
  <c r="K44" i="105"/>
  <c r="L44" i="105"/>
  <c r="AA43" i="105"/>
  <c r="AC39" i="105"/>
  <c r="E21" i="105"/>
  <c r="U19" i="105"/>
  <c r="T19" i="105"/>
  <c r="V20" i="105"/>
  <c r="L19" i="105"/>
  <c r="T20" i="105"/>
  <c r="J19" i="105"/>
  <c r="S20" i="105"/>
  <c r="I19" i="105"/>
  <c r="AB21" i="105"/>
  <c r="R20" i="105"/>
  <c r="H19" i="105"/>
  <c r="T21" i="105"/>
  <c r="J20" i="105"/>
  <c r="R21" i="105"/>
  <c r="H20" i="105"/>
  <c r="Q21" i="105"/>
  <c r="G20" i="105"/>
  <c r="P21" i="105"/>
  <c r="F20" i="105"/>
  <c r="H21" i="105"/>
  <c r="X19" i="105"/>
  <c r="F21" i="105"/>
  <c r="V19" i="105"/>
  <c r="I20" i="105"/>
  <c r="J21" i="105"/>
  <c r="Y20" i="105"/>
  <c r="N20" i="105"/>
  <c r="E19" i="105"/>
  <c r="F19" i="105"/>
  <c r="W21" i="105"/>
  <c r="L21" i="105"/>
  <c r="O20" i="105"/>
  <c r="P20" i="105"/>
  <c r="U20" i="105"/>
  <c r="V21" i="105"/>
  <c r="K21" i="105"/>
  <c r="Z20" i="105"/>
  <c r="Q19" i="105"/>
  <c r="R19" i="105"/>
  <c r="G21" i="105"/>
  <c r="M19" i="105"/>
  <c r="S21" i="105"/>
  <c r="Y19" i="105"/>
  <c r="X21" i="105"/>
  <c r="AA20" i="105"/>
  <c r="AB20" i="105"/>
  <c r="K20" i="105"/>
  <c r="M21" i="105"/>
  <c r="N21" i="105"/>
  <c r="W20" i="105"/>
  <c r="Y21" i="105"/>
  <c r="Z21" i="105"/>
  <c r="O21" i="105"/>
  <c r="W19" i="105"/>
  <c r="I21" i="105"/>
  <c r="G19" i="105"/>
  <c r="Q20" i="105"/>
  <c r="X20" i="105"/>
  <c r="M20" i="105"/>
  <c r="AB19" i="105"/>
  <c r="U21" i="105"/>
  <c r="S19" i="105"/>
  <c r="Z19" i="105"/>
  <c r="O19" i="105"/>
  <c r="N19" i="105"/>
  <c r="E20" i="105"/>
  <c r="AA21" i="105"/>
  <c r="K19" i="105"/>
  <c r="L20" i="105"/>
  <c r="AA19" i="105"/>
  <c r="P19" i="105"/>
  <c r="AC40" i="105"/>
  <c r="AC35" i="105"/>
  <c r="S29" i="105"/>
  <c r="G29" i="105"/>
  <c r="U28" i="105"/>
  <c r="I28" i="105"/>
  <c r="W27" i="105"/>
  <c r="K27" i="105"/>
  <c r="Z28" i="105"/>
  <c r="P27" i="105"/>
  <c r="AB27" i="105"/>
  <c r="AA29" i="105"/>
  <c r="O29" i="105"/>
  <c r="Q28" i="105"/>
  <c r="E28" i="105"/>
  <c r="S27" i="105"/>
  <c r="G27" i="105"/>
  <c r="X29" i="105"/>
  <c r="L29" i="105"/>
  <c r="N28" i="105"/>
  <c r="U29" i="105"/>
  <c r="I29" i="105"/>
  <c r="W28" i="105"/>
  <c r="K28" i="105"/>
  <c r="Y27" i="105"/>
  <c r="M27" i="105"/>
  <c r="V29" i="105"/>
  <c r="T29" i="105"/>
  <c r="J29" i="105"/>
  <c r="H29" i="105"/>
  <c r="X28" i="105"/>
  <c r="V28" i="105"/>
  <c r="L28" i="105"/>
  <c r="J28" i="105"/>
  <c r="Z27" i="105"/>
  <c r="X27" i="105"/>
  <c r="N27" i="105"/>
  <c r="L27" i="105"/>
  <c r="M28" i="105"/>
  <c r="N29" i="105"/>
  <c r="F28" i="105"/>
  <c r="I27" i="105"/>
  <c r="J27" i="105"/>
  <c r="P29" i="105"/>
  <c r="G28" i="105"/>
  <c r="H28" i="105"/>
  <c r="Y28" i="105"/>
  <c r="Z29" i="105"/>
  <c r="R28" i="105"/>
  <c r="U27" i="105"/>
  <c r="V27" i="105"/>
  <c r="K29" i="105"/>
  <c r="E27" i="105"/>
  <c r="T27" i="105"/>
  <c r="W29" i="105"/>
  <c r="Q27" i="105"/>
  <c r="AB29" i="105"/>
  <c r="S28" i="105"/>
  <c r="T28" i="105"/>
  <c r="O28" i="105"/>
  <c r="E29" i="105"/>
  <c r="F29" i="105"/>
  <c r="AA28" i="105"/>
  <c r="Q29" i="105"/>
  <c r="R27" i="105"/>
  <c r="M29" i="105"/>
  <c r="AA27" i="105"/>
  <c r="AB28" i="105"/>
  <c r="Y29" i="105"/>
  <c r="R29" i="105"/>
  <c r="F27" i="105"/>
  <c r="P28" i="105"/>
  <c r="H27" i="105"/>
  <c r="AC43" i="103"/>
  <c r="AC45" i="103"/>
  <c r="Z53" i="103"/>
  <c r="N53" i="103"/>
  <c r="AB52" i="103"/>
  <c r="P52" i="103"/>
  <c r="R51" i="103"/>
  <c r="F51" i="103"/>
  <c r="V53" i="103"/>
  <c r="J53" i="103"/>
  <c r="X52" i="103"/>
  <c r="L52" i="103"/>
  <c r="Z51" i="103"/>
  <c r="N51" i="103"/>
  <c r="U53" i="103"/>
  <c r="I53" i="103"/>
  <c r="W52" i="103"/>
  <c r="K52" i="103"/>
  <c r="Y51" i="103"/>
  <c r="M51" i="103"/>
  <c r="S53" i="103"/>
  <c r="G53" i="103"/>
  <c r="U52" i="103"/>
  <c r="I52" i="103"/>
  <c r="W51" i="103"/>
  <c r="K51" i="103"/>
  <c r="T53" i="103"/>
  <c r="R53" i="103"/>
  <c r="H53" i="103"/>
  <c r="F53" i="103"/>
  <c r="V52" i="103"/>
  <c r="V51" i="103"/>
  <c r="T52" i="103"/>
  <c r="J52" i="103"/>
  <c r="H52" i="103"/>
  <c r="X51" i="103"/>
  <c r="L51" i="103"/>
  <c r="J51" i="103"/>
  <c r="AB51" i="103"/>
  <c r="Q51" i="103"/>
  <c r="Q52" i="103"/>
  <c r="R52" i="103"/>
  <c r="U51" i="103"/>
  <c r="N52" i="103"/>
  <c r="O52" i="103"/>
  <c r="O53" i="103"/>
  <c r="P53" i="103"/>
  <c r="G52" i="103"/>
  <c r="O51" i="103"/>
  <c r="Z52" i="103"/>
  <c r="AA52" i="103"/>
  <c r="AA53" i="103"/>
  <c r="AB53" i="103"/>
  <c r="S52" i="103"/>
  <c r="AA51" i="103"/>
  <c r="L53" i="103"/>
  <c r="M53" i="103"/>
  <c r="E53" i="103"/>
  <c r="M52" i="103"/>
  <c r="X53" i="103"/>
  <c r="Y53" i="103"/>
  <c r="Y52" i="103"/>
  <c r="K53" i="103"/>
  <c r="Q53" i="103"/>
  <c r="W53" i="103"/>
  <c r="G51" i="103"/>
  <c r="H51" i="103"/>
  <c r="S51" i="103"/>
  <c r="I51" i="103"/>
  <c r="P51" i="103"/>
  <c r="E52" i="103"/>
  <c r="T51" i="103"/>
  <c r="F52" i="103"/>
  <c r="E51" i="103"/>
  <c r="R56" i="103"/>
  <c r="F56" i="103"/>
  <c r="T55" i="103"/>
  <c r="H55" i="103"/>
  <c r="X57" i="103"/>
  <c r="L57" i="103"/>
  <c r="Z56" i="103"/>
  <c r="N56" i="103"/>
  <c r="AB55" i="103"/>
  <c r="P55" i="103"/>
  <c r="U57" i="103"/>
  <c r="I57" i="103"/>
  <c r="W56" i="103"/>
  <c r="K56" i="103"/>
  <c r="Y55" i="103"/>
  <c r="M55" i="103"/>
  <c r="T57" i="103"/>
  <c r="H57" i="103"/>
  <c r="V56" i="103"/>
  <c r="V57" i="103"/>
  <c r="J57" i="103"/>
  <c r="X56" i="103"/>
  <c r="L56" i="103"/>
  <c r="J56" i="103"/>
  <c r="Z55" i="103"/>
  <c r="X55" i="103"/>
  <c r="N55" i="103"/>
  <c r="L55" i="103"/>
  <c r="M57" i="103"/>
  <c r="Y57" i="103"/>
  <c r="O55" i="103"/>
  <c r="H56" i="103"/>
  <c r="W55" i="103"/>
  <c r="AA55" i="103"/>
  <c r="I55" i="103"/>
  <c r="J55" i="103"/>
  <c r="S57" i="103"/>
  <c r="M56" i="103"/>
  <c r="U55" i="103"/>
  <c r="V55" i="103"/>
  <c r="K55" i="103"/>
  <c r="G56" i="103"/>
  <c r="Y56" i="103"/>
  <c r="F55" i="103"/>
  <c r="G55" i="103"/>
  <c r="K57" i="103"/>
  <c r="R55" i="103"/>
  <c r="S55" i="103"/>
  <c r="S56" i="103"/>
  <c r="T56" i="103"/>
  <c r="I56" i="103"/>
  <c r="AB57" i="103"/>
  <c r="W57" i="103"/>
  <c r="P56" i="103"/>
  <c r="E56" i="103"/>
  <c r="P57" i="103"/>
  <c r="E57" i="103"/>
  <c r="F57" i="103"/>
  <c r="U56" i="103"/>
  <c r="E55" i="103"/>
  <c r="AB56" i="103"/>
  <c r="Q56" i="103"/>
  <c r="Q57" i="103"/>
  <c r="R57" i="103"/>
  <c r="G57" i="103"/>
  <c r="Q55" i="103"/>
  <c r="N57" i="103"/>
  <c r="O57" i="103"/>
  <c r="AA57" i="103"/>
  <c r="O56" i="103"/>
  <c r="AA56" i="103"/>
  <c r="Z57" i="103"/>
  <c r="AC19" i="103"/>
  <c r="X12" i="103"/>
  <c r="N11" i="103"/>
  <c r="T12" i="103"/>
  <c r="J11" i="103"/>
  <c r="Z13" i="103"/>
  <c r="P12" i="103"/>
  <c r="F11" i="103"/>
  <c r="X13" i="103"/>
  <c r="N12" i="103"/>
  <c r="F13" i="103"/>
  <c r="V11" i="103"/>
  <c r="AB12" i="103"/>
  <c r="R11" i="103"/>
  <c r="V13" i="103"/>
  <c r="L12" i="103"/>
  <c r="L13" i="103"/>
  <c r="AB11" i="103"/>
  <c r="J13" i="103"/>
  <c r="Z11" i="103"/>
  <c r="R13" i="103"/>
  <c r="H12" i="103"/>
  <c r="N13" i="103"/>
  <c r="Z12" i="103"/>
  <c r="P11" i="103"/>
  <c r="K13" i="103"/>
  <c r="M13" i="103"/>
  <c r="O13" i="103"/>
  <c r="U11" i="103"/>
  <c r="U12" i="103"/>
  <c r="V12" i="103"/>
  <c r="W12" i="103"/>
  <c r="W13" i="103"/>
  <c r="Y13" i="103"/>
  <c r="AA13" i="103"/>
  <c r="G12" i="103"/>
  <c r="G13" i="103"/>
  <c r="H13" i="103"/>
  <c r="I13" i="103"/>
  <c r="H11" i="103"/>
  <c r="S12" i="103"/>
  <c r="S13" i="103"/>
  <c r="T13" i="103"/>
  <c r="T11" i="103"/>
  <c r="E13" i="103"/>
  <c r="F12" i="103"/>
  <c r="Q13" i="103"/>
  <c r="W11" i="103"/>
  <c r="X11" i="103"/>
  <c r="R12" i="103"/>
  <c r="P13" i="103"/>
  <c r="K11" i="103"/>
  <c r="L11" i="103"/>
  <c r="AB13" i="103"/>
  <c r="U13" i="103"/>
  <c r="O11" i="103"/>
  <c r="E11" i="103"/>
  <c r="G11" i="103"/>
  <c r="AA11" i="103"/>
  <c r="Q11" i="103"/>
  <c r="S11" i="103"/>
  <c r="M11" i="103"/>
  <c r="M12" i="103"/>
  <c r="O12" i="103"/>
  <c r="E12" i="103"/>
  <c r="Y12" i="103"/>
  <c r="AA12" i="103"/>
  <c r="I12" i="103"/>
  <c r="J12" i="103"/>
  <c r="I11" i="103"/>
  <c r="Q12" i="103"/>
  <c r="K12" i="103"/>
  <c r="Y11" i="103"/>
  <c r="AC44" i="103"/>
  <c r="AC46" i="103" s="1"/>
  <c r="AC41" i="103"/>
  <c r="X49" i="103"/>
  <c r="L49" i="103"/>
  <c r="Z48" i="103"/>
  <c r="N48" i="103"/>
  <c r="AB47" i="103"/>
  <c r="P47" i="103"/>
  <c r="U49" i="103"/>
  <c r="I49" i="103"/>
  <c r="W48" i="103"/>
  <c r="K48" i="103"/>
  <c r="Y47" i="103"/>
  <c r="M47" i="103"/>
  <c r="T49" i="103"/>
  <c r="H49" i="103"/>
  <c r="V48" i="103"/>
  <c r="J48" i="103"/>
  <c r="X47" i="103"/>
  <c r="L47" i="103"/>
  <c r="S49" i="103"/>
  <c r="G49" i="103"/>
  <c r="U48" i="103"/>
  <c r="I48" i="103"/>
  <c r="W47" i="103"/>
  <c r="K47" i="103"/>
  <c r="Q49" i="103"/>
  <c r="E49" i="103"/>
  <c r="S48" i="103"/>
  <c r="G48" i="103"/>
  <c r="U47" i="103"/>
  <c r="I47" i="103"/>
  <c r="V47" i="103"/>
  <c r="T47" i="103"/>
  <c r="J47" i="103"/>
  <c r="AB49" i="103"/>
  <c r="H47" i="103"/>
  <c r="R49" i="103"/>
  <c r="R48" i="103"/>
  <c r="P49" i="103"/>
  <c r="F49" i="103"/>
  <c r="T48" i="103"/>
  <c r="H48" i="103"/>
  <c r="F48" i="103"/>
  <c r="Q47" i="103"/>
  <c r="E47" i="103"/>
  <c r="F47" i="103"/>
  <c r="N47" i="103"/>
  <c r="R47" i="103"/>
  <c r="O48" i="103"/>
  <c r="P48" i="103"/>
  <c r="Z47" i="103"/>
  <c r="O47" i="103"/>
  <c r="L48" i="103"/>
  <c r="AA47" i="103"/>
  <c r="AA48" i="103"/>
  <c r="AB48" i="103"/>
  <c r="G47" i="103"/>
  <c r="Y49" i="103"/>
  <c r="Z49" i="103"/>
  <c r="Q48" i="103"/>
  <c r="X48" i="103"/>
  <c r="M48" i="103"/>
  <c r="M49" i="103"/>
  <c r="N49" i="103"/>
  <c r="S47" i="103"/>
  <c r="J49" i="103"/>
  <c r="Y48" i="103"/>
  <c r="E48" i="103"/>
  <c r="V49" i="103"/>
  <c r="K49" i="103"/>
  <c r="W49" i="103"/>
  <c r="AA49" i="103"/>
  <c r="O49" i="103"/>
  <c r="AC40" i="103"/>
  <c r="AC20" i="103"/>
  <c r="AC16" i="103"/>
  <c r="Z29" i="103"/>
  <c r="N29" i="103"/>
  <c r="AB28" i="103"/>
  <c r="P28" i="103"/>
  <c r="R27" i="103"/>
  <c r="F27" i="103"/>
  <c r="S29" i="103"/>
  <c r="G29" i="103"/>
  <c r="U28" i="103"/>
  <c r="I28" i="103"/>
  <c r="W27" i="103"/>
  <c r="K27" i="103"/>
  <c r="H29" i="103"/>
  <c r="L27" i="103"/>
  <c r="V28" i="103"/>
  <c r="F29" i="103"/>
  <c r="J27" i="103"/>
  <c r="X28" i="103"/>
  <c r="T29" i="103"/>
  <c r="X27" i="103"/>
  <c r="T28" i="103"/>
  <c r="L28" i="103"/>
  <c r="H28" i="103"/>
  <c r="J28" i="103"/>
  <c r="V29" i="103"/>
  <c r="Z27" i="103"/>
  <c r="R29" i="103"/>
  <c r="V27" i="103"/>
  <c r="J29" i="103"/>
  <c r="N27" i="103"/>
  <c r="I29" i="103"/>
  <c r="K29" i="103"/>
  <c r="Q27" i="103"/>
  <c r="Q28" i="103"/>
  <c r="R28" i="103"/>
  <c r="U29" i="103"/>
  <c r="W29" i="103"/>
  <c r="O28" i="103"/>
  <c r="O29" i="103"/>
  <c r="P29" i="103"/>
  <c r="Q29" i="103"/>
  <c r="P27" i="103"/>
  <c r="AA28" i="103"/>
  <c r="AA29" i="103"/>
  <c r="AB29" i="103"/>
  <c r="AB27" i="103"/>
  <c r="M29" i="103"/>
  <c r="N28" i="103"/>
  <c r="Y29" i="103"/>
  <c r="I27" i="103"/>
  <c r="S27" i="103"/>
  <c r="Z28" i="103"/>
  <c r="L29" i="103"/>
  <c r="U27" i="103"/>
  <c r="H27" i="103"/>
  <c r="X29" i="103"/>
  <c r="G28" i="103"/>
  <c r="M27" i="103"/>
  <c r="S28" i="103"/>
  <c r="Y27" i="103"/>
  <c r="AA27" i="103"/>
  <c r="G27" i="103"/>
  <c r="E29" i="103"/>
  <c r="K28" i="103"/>
  <c r="M28" i="103"/>
  <c r="W28" i="103"/>
  <c r="E28" i="103"/>
  <c r="E27" i="103"/>
  <c r="T27" i="103"/>
  <c r="F28" i="103"/>
  <c r="Y28" i="103"/>
  <c r="Z37" i="103"/>
  <c r="N37" i="103"/>
  <c r="AB36" i="103"/>
  <c r="X37" i="103"/>
  <c r="R35" i="103"/>
  <c r="AB35" i="103"/>
  <c r="Z35" i="103"/>
  <c r="V37" i="103"/>
  <c r="P35" i="103"/>
  <c r="L37" i="103"/>
  <c r="N35" i="103"/>
  <c r="Z36" i="103"/>
  <c r="J37" i="103"/>
  <c r="F35" i="103"/>
  <c r="X36" i="103"/>
  <c r="N36" i="103"/>
  <c r="L36" i="103"/>
  <c r="P36" i="103"/>
  <c r="M37" i="103"/>
  <c r="O37" i="103"/>
  <c r="F36" i="103"/>
  <c r="U35" i="103"/>
  <c r="V35" i="103"/>
  <c r="U36" i="103"/>
  <c r="V36" i="103"/>
  <c r="Y37" i="103"/>
  <c r="AA37" i="103"/>
  <c r="R36" i="103"/>
  <c r="G36" i="103"/>
  <c r="H36" i="103"/>
  <c r="G37" i="103"/>
  <c r="H37" i="103"/>
  <c r="O35" i="103"/>
  <c r="P37" i="103"/>
  <c r="S36" i="103"/>
  <c r="T36" i="103"/>
  <c r="S37" i="103"/>
  <c r="T37" i="103"/>
  <c r="K36" i="103"/>
  <c r="AA35" i="103"/>
  <c r="AB37" i="103"/>
  <c r="E37" i="103"/>
  <c r="F37" i="103"/>
  <c r="M35" i="103"/>
  <c r="M36" i="103"/>
  <c r="Q37" i="103"/>
  <c r="R37" i="103"/>
  <c r="Y35" i="103"/>
  <c r="U37" i="103"/>
  <c r="Y36" i="103"/>
  <c r="K37" i="103"/>
  <c r="W36" i="103"/>
  <c r="K35" i="103"/>
  <c r="W37" i="103"/>
  <c r="I37" i="103"/>
  <c r="E35" i="103"/>
  <c r="G35" i="103"/>
  <c r="Q35" i="103"/>
  <c r="S35" i="103"/>
  <c r="L35" i="103"/>
  <c r="H35" i="103"/>
  <c r="W35" i="103"/>
  <c r="O36" i="103"/>
  <c r="E36" i="103"/>
  <c r="T35" i="103"/>
  <c r="I35" i="103"/>
  <c r="X35" i="103"/>
  <c r="AA36" i="103"/>
  <c r="I36" i="103"/>
  <c r="J36" i="103"/>
  <c r="Q36" i="103"/>
  <c r="J35" i="103"/>
  <c r="AC21" i="103"/>
  <c r="AC39" i="103"/>
  <c r="AB33" i="103"/>
  <c r="P33" i="103"/>
  <c r="R32" i="103"/>
  <c r="F32" i="103"/>
  <c r="T31" i="103"/>
  <c r="H31" i="103"/>
  <c r="AB32" i="103"/>
  <c r="P32" i="103"/>
  <c r="R31" i="103"/>
  <c r="F31" i="103"/>
  <c r="U33" i="103"/>
  <c r="I33" i="103"/>
  <c r="W32" i="103"/>
  <c r="K32" i="103"/>
  <c r="Y31" i="103"/>
  <c r="M31" i="103"/>
  <c r="T33" i="103"/>
  <c r="X31" i="103"/>
  <c r="H33" i="103"/>
  <c r="L31" i="103"/>
  <c r="L33" i="103"/>
  <c r="P31" i="103"/>
  <c r="J33" i="103"/>
  <c r="N31" i="103"/>
  <c r="J32" i="103"/>
  <c r="Z32" i="103"/>
  <c r="X32" i="103"/>
  <c r="N32" i="103"/>
  <c r="V32" i="103"/>
  <c r="L32" i="103"/>
  <c r="X33" i="103"/>
  <c r="AB31" i="103"/>
  <c r="V33" i="103"/>
  <c r="Z31" i="103"/>
  <c r="I32" i="103"/>
  <c r="U32" i="103"/>
  <c r="U31" i="103"/>
  <c r="O31" i="103"/>
  <c r="E31" i="103"/>
  <c r="G33" i="103"/>
  <c r="G32" i="103"/>
  <c r="AA31" i="103"/>
  <c r="Q31" i="103"/>
  <c r="I31" i="103"/>
  <c r="J31" i="103"/>
  <c r="M32" i="103"/>
  <c r="O32" i="103"/>
  <c r="V31" i="103"/>
  <c r="H32" i="103"/>
  <c r="Y32" i="103"/>
  <c r="AA32" i="103"/>
  <c r="G31" i="103"/>
  <c r="K33" i="103"/>
  <c r="M33" i="103"/>
  <c r="S31" i="103"/>
  <c r="S32" i="103"/>
  <c r="T32" i="103"/>
  <c r="Q33" i="103"/>
  <c r="R33" i="103"/>
  <c r="S33" i="103"/>
  <c r="W33" i="103"/>
  <c r="Y33" i="103"/>
  <c r="E32" i="103"/>
  <c r="E33" i="103"/>
  <c r="F33" i="103"/>
  <c r="N33" i="103"/>
  <c r="Q32" i="103"/>
  <c r="Z33" i="103"/>
  <c r="O33" i="103"/>
  <c r="W31" i="103"/>
  <c r="AA33" i="103"/>
  <c r="K31" i="103"/>
  <c r="AC15" i="103"/>
  <c r="AC41" i="102"/>
  <c r="AC19" i="102"/>
  <c r="AC43" i="102"/>
  <c r="AC16" i="102"/>
  <c r="AC17" i="102"/>
  <c r="AC21" i="102"/>
  <c r="AC40" i="102"/>
  <c r="AC20" i="102"/>
  <c r="R33" i="102"/>
  <c r="F33" i="102"/>
  <c r="T32" i="102"/>
  <c r="H32" i="102"/>
  <c r="V31" i="102"/>
  <c r="J31" i="102"/>
  <c r="N32" i="102"/>
  <c r="AB33" i="102"/>
  <c r="P33" i="102"/>
  <c r="R32" i="102"/>
  <c r="F32" i="102"/>
  <c r="T31" i="102"/>
  <c r="H31" i="102"/>
  <c r="AA33" i="102"/>
  <c r="O33" i="102"/>
  <c r="Q32" i="102"/>
  <c r="E32" i="102"/>
  <c r="S31" i="102"/>
  <c r="G31" i="102"/>
  <c r="L33" i="102"/>
  <c r="Z33" i="102"/>
  <c r="N33" i="102"/>
  <c r="AB32" i="102"/>
  <c r="P32" i="102"/>
  <c r="R31" i="102"/>
  <c r="F31" i="102"/>
  <c r="X33" i="102"/>
  <c r="P31" i="102"/>
  <c r="Z32" i="102"/>
  <c r="U33" i="102"/>
  <c r="I33" i="102"/>
  <c r="W32" i="102"/>
  <c r="K32" i="102"/>
  <c r="Y31" i="102"/>
  <c r="M31" i="102"/>
  <c r="AB31" i="102"/>
  <c r="Z31" i="102"/>
  <c r="V33" i="102"/>
  <c r="L31" i="102"/>
  <c r="X31" i="102"/>
  <c r="N31" i="102"/>
  <c r="T33" i="102"/>
  <c r="J33" i="102"/>
  <c r="H33" i="102"/>
  <c r="J32" i="102"/>
  <c r="V32" i="102"/>
  <c r="X32" i="102"/>
  <c r="L32" i="102"/>
  <c r="I32" i="102"/>
  <c r="I31" i="102"/>
  <c r="U31" i="102"/>
  <c r="G32" i="102"/>
  <c r="Q33" i="102"/>
  <c r="S32" i="102"/>
  <c r="AA31" i="102"/>
  <c r="E31" i="102"/>
  <c r="U32" i="102"/>
  <c r="AA32" i="102"/>
  <c r="G33" i="102"/>
  <c r="O31" i="102"/>
  <c r="E33" i="102"/>
  <c r="K31" i="102"/>
  <c r="W31" i="102"/>
  <c r="S33" i="102"/>
  <c r="M32" i="102"/>
  <c r="Q31" i="102"/>
  <c r="Y32" i="102"/>
  <c r="O32" i="102"/>
  <c r="K33" i="102"/>
  <c r="W33" i="102"/>
  <c r="M33" i="102"/>
  <c r="Y33" i="102"/>
  <c r="AB29" i="102"/>
  <c r="P29" i="102"/>
  <c r="R28" i="102"/>
  <c r="F28" i="102"/>
  <c r="T27" i="102"/>
  <c r="H27" i="102"/>
  <c r="Z29" i="102"/>
  <c r="N29" i="102"/>
  <c r="AB28" i="102"/>
  <c r="P28" i="102"/>
  <c r="R27" i="102"/>
  <c r="F27" i="102"/>
  <c r="Y29" i="102"/>
  <c r="M29" i="102"/>
  <c r="AA28" i="102"/>
  <c r="O28" i="102"/>
  <c r="Q27" i="102"/>
  <c r="E27" i="102"/>
  <c r="X29" i="102"/>
  <c r="L29" i="102"/>
  <c r="Z28" i="102"/>
  <c r="N28" i="102"/>
  <c r="AB27" i="102"/>
  <c r="P27" i="102"/>
  <c r="S29" i="102"/>
  <c r="G29" i="102"/>
  <c r="U28" i="102"/>
  <c r="I28" i="102"/>
  <c r="W27" i="102"/>
  <c r="K27" i="102"/>
  <c r="J29" i="102"/>
  <c r="N27" i="102"/>
  <c r="H29" i="102"/>
  <c r="L27" i="102"/>
  <c r="V28" i="102"/>
  <c r="F29" i="102"/>
  <c r="J27" i="102"/>
  <c r="X28" i="102"/>
  <c r="T28" i="102"/>
  <c r="L28" i="102"/>
  <c r="J28" i="102"/>
  <c r="Z27" i="102"/>
  <c r="R29" i="102"/>
  <c r="V27" i="102"/>
  <c r="H28" i="102"/>
  <c r="V29" i="102"/>
  <c r="T29" i="102"/>
  <c r="X27" i="102"/>
  <c r="Y27" i="102"/>
  <c r="AA29" i="102"/>
  <c r="I27" i="102"/>
  <c r="K28" i="102"/>
  <c r="AA27" i="102"/>
  <c r="U27" i="102"/>
  <c r="W28" i="102"/>
  <c r="M28" i="102"/>
  <c r="G28" i="102"/>
  <c r="I29" i="102"/>
  <c r="Y28" i="102"/>
  <c r="S28" i="102"/>
  <c r="U29" i="102"/>
  <c r="K29" i="102"/>
  <c r="E29" i="102"/>
  <c r="E28" i="102"/>
  <c r="W29" i="102"/>
  <c r="G27" i="102"/>
  <c r="Q29" i="102"/>
  <c r="S27" i="102"/>
  <c r="Q28" i="102"/>
  <c r="O29" i="102"/>
  <c r="M27" i="102"/>
  <c r="Z13" i="102"/>
  <c r="X13" i="102"/>
  <c r="AB11" i="102"/>
  <c r="V13" i="102"/>
  <c r="Z11" i="102"/>
  <c r="R11" i="102"/>
  <c r="N12" i="102"/>
  <c r="N13" i="102"/>
  <c r="L13" i="102"/>
  <c r="P11" i="102"/>
  <c r="J13" i="102"/>
  <c r="N11" i="102"/>
  <c r="AB12" i="102"/>
  <c r="X12" i="102"/>
  <c r="P12" i="102"/>
  <c r="L12" i="102"/>
  <c r="F11" i="102"/>
  <c r="Z12" i="102"/>
  <c r="M12" i="102"/>
  <c r="Q11" i="102"/>
  <c r="G11" i="102"/>
  <c r="AB13" i="102"/>
  <c r="S13" i="102"/>
  <c r="T13" i="102"/>
  <c r="X11" i="102"/>
  <c r="Y12" i="102"/>
  <c r="O12" i="102"/>
  <c r="S11" i="102"/>
  <c r="K13" i="102"/>
  <c r="AA12" i="102"/>
  <c r="E12" i="102"/>
  <c r="W13" i="102"/>
  <c r="M13" i="102"/>
  <c r="Q12" i="102"/>
  <c r="I11" i="102"/>
  <c r="Y13" i="102"/>
  <c r="O13" i="102"/>
  <c r="U11" i="102"/>
  <c r="J11" i="102"/>
  <c r="S12" i="102"/>
  <c r="K11" i="102"/>
  <c r="AA13" i="102"/>
  <c r="G12" i="102"/>
  <c r="V11" i="102"/>
  <c r="M11" i="102"/>
  <c r="H12" i="102"/>
  <c r="Y11" i="102"/>
  <c r="H11" i="102"/>
  <c r="E13" i="102"/>
  <c r="T12" i="102"/>
  <c r="L11" i="102"/>
  <c r="K12" i="102"/>
  <c r="U13" i="102"/>
  <c r="I13" i="102"/>
  <c r="T11" i="102"/>
  <c r="Q13" i="102"/>
  <c r="F13" i="102"/>
  <c r="O11" i="102"/>
  <c r="R12" i="102"/>
  <c r="U12" i="102"/>
  <c r="V12" i="102"/>
  <c r="G13" i="102"/>
  <c r="H13" i="102"/>
  <c r="W11" i="102"/>
  <c r="W12" i="102"/>
  <c r="F12" i="102"/>
  <c r="R13" i="102"/>
  <c r="I12" i="102"/>
  <c r="J12" i="102"/>
  <c r="AA11" i="102"/>
  <c r="E11" i="102"/>
  <c r="P13" i="102"/>
  <c r="AC45" i="102"/>
  <c r="O57" i="102"/>
  <c r="Q56" i="102"/>
  <c r="E56" i="102"/>
  <c r="S55" i="102"/>
  <c r="G55" i="102"/>
  <c r="Z57" i="102"/>
  <c r="N57" i="102"/>
  <c r="AB56" i="102"/>
  <c r="P56" i="102"/>
  <c r="R55" i="102"/>
  <c r="F55" i="102"/>
  <c r="X57" i="102"/>
  <c r="L57" i="102"/>
  <c r="Z56" i="102"/>
  <c r="N56" i="102"/>
  <c r="AB55" i="102"/>
  <c r="P55" i="102"/>
  <c r="J57" i="102"/>
  <c r="X56" i="102"/>
  <c r="L56" i="102"/>
  <c r="Z55" i="102"/>
  <c r="N55" i="102"/>
  <c r="U57" i="102"/>
  <c r="I57" i="102"/>
  <c r="W56" i="102"/>
  <c r="K56" i="102"/>
  <c r="Y55" i="102"/>
  <c r="M55" i="102"/>
  <c r="T57" i="102"/>
  <c r="H57" i="102"/>
  <c r="V56" i="102"/>
  <c r="J56" i="102"/>
  <c r="X55" i="102"/>
  <c r="L55" i="102"/>
  <c r="V55" i="102"/>
  <c r="W55" i="102"/>
  <c r="E55" i="102"/>
  <c r="H55" i="102"/>
  <c r="I55" i="102"/>
  <c r="H56" i="102"/>
  <c r="I56" i="102"/>
  <c r="Q55" i="102"/>
  <c r="T55" i="102"/>
  <c r="U55" i="102"/>
  <c r="T56" i="102"/>
  <c r="U56" i="102"/>
  <c r="O56" i="102"/>
  <c r="AA57" i="102"/>
  <c r="F56" i="102"/>
  <c r="G56" i="102"/>
  <c r="F57" i="102"/>
  <c r="G57" i="102"/>
  <c r="AB57" i="102"/>
  <c r="Q57" i="102"/>
  <c r="S57" i="102"/>
  <c r="AA56" i="102"/>
  <c r="R56" i="102"/>
  <c r="S56" i="102"/>
  <c r="R57" i="102"/>
  <c r="AA55" i="102"/>
  <c r="K57" i="102"/>
  <c r="O55" i="102"/>
  <c r="M57" i="102"/>
  <c r="P57" i="102"/>
  <c r="E57" i="102"/>
  <c r="Y57" i="102"/>
  <c r="M56" i="102"/>
  <c r="Y56" i="102"/>
  <c r="V57" i="102"/>
  <c r="W57" i="102"/>
  <c r="J55" i="102"/>
  <c r="K55" i="102"/>
  <c r="AB36" i="102"/>
  <c r="Z37" i="102"/>
  <c r="P36" i="102"/>
  <c r="R35" i="102"/>
  <c r="F35" i="102"/>
  <c r="AB37" i="102"/>
  <c r="P37" i="102"/>
  <c r="R36" i="102"/>
  <c r="F36" i="102"/>
  <c r="T35" i="102"/>
  <c r="H35" i="102"/>
  <c r="X37" i="102"/>
  <c r="N35" i="102"/>
  <c r="V37" i="102"/>
  <c r="J37" i="102"/>
  <c r="N37" i="102"/>
  <c r="L37" i="102"/>
  <c r="Z36" i="102"/>
  <c r="X36" i="102"/>
  <c r="N36" i="102"/>
  <c r="AB35" i="102"/>
  <c r="P35" i="102"/>
  <c r="L36" i="102"/>
  <c r="Z35" i="102"/>
  <c r="Q35" i="102"/>
  <c r="G35" i="102"/>
  <c r="V35" i="102"/>
  <c r="S37" i="102"/>
  <c r="K36" i="102"/>
  <c r="O36" i="102"/>
  <c r="S35" i="102"/>
  <c r="H36" i="102"/>
  <c r="W36" i="102"/>
  <c r="V36" i="102"/>
  <c r="AA36" i="102"/>
  <c r="E36" i="102"/>
  <c r="T36" i="102"/>
  <c r="I37" i="102"/>
  <c r="W37" i="102"/>
  <c r="M37" i="102"/>
  <c r="Q36" i="102"/>
  <c r="I35" i="102"/>
  <c r="F37" i="102"/>
  <c r="S36" i="102"/>
  <c r="K35" i="102"/>
  <c r="O35" i="102"/>
  <c r="Y37" i="102"/>
  <c r="O37" i="102"/>
  <c r="U35" i="102"/>
  <c r="R37" i="102"/>
  <c r="M36" i="102"/>
  <c r="X35" i="102"/>
  <c r="H37" i="102"/>
  <c r="AA35" i="102"/>
  <c r="AA37" i="102"/>
  <c r="G36" i="102"/>
  <c r="L35" i="102"/>
  <c r="Y36" i="102"/>
  <c r="E37" i="102"/>
  <c r="J36" i="102"/>
  <c r="K37" i="102"/>
  <c r="Q37" i="102"/>
  <c r="U37" i="102"/>
  <c r="U36" i="102"/>
  <c r="T37" i="102"/>
  <c r="M35" i="102"/>
  <c r="G37" i="102"/>
  <c r="Y35" i="102"/>
  <c r="I36" i="102"/>
  <c r="E35" i="102"/>
  <c r="J35" i="102"/>
  <c r="W35" i="102"/>
  <c r="V49" i="102"/>
  <c r="J49" i="102"/>
  <c r="X48" i="102"/>
  <c r="L48" i="102"/>
  <c r="Z47" i="102"/>
  <c r="N47" i="102"/>
  <c r="T49" i="102"/>
  <c r="H49" i="102"/>
  <c r="V48" i="102"/>
  <c r="J48" i="102"/>
  <c r="X47" i="102"/>
  <c r="L47" i="102"/>
  <c r="Q49" i="102"/>
  <c r="E49" i="102"/>
  <c r="S48" i="102"/>
  <c r="G48" i="102"/>
  <c r="U47" i="102"/>
  <c r="I47" i="102"/>
  <c r="AB49" i="102"/>
  <c r="H47" i="102"/>
  <c r="R49" i="102"/>
  <c r="P49" i="102"/>
  <c r="F49" i="102"/>
  <c r="T48" i="102"/>
  <c r="J47" i="102"/>
  <c r="R48" i="102"/>
  <c r="H48" i="102"/>
  <c r="F48" i="102"/>
  <c r="V47" i="102"/>
  <c r="T47" i="102"/>
  <c r="W47" i="102"/>
  <c r="Y48" i="102"/>
  <c r="P47" i="102"/>
  <c r="R47" i="102"/>
  <c r="I48" i="102"/>
  <c r="M47" i="102"/>
  <c r="K49" i="102"/>
  <c r="AB47" i="102"/>
  <c r="E47" i="102"/>
  <c r="P48" i="102"/>
  <c r="G47" i="102"/>
  <c r="U48" i="102"/>
  <c r="Y47" i="102"/>
  <c r="W49" i="102"/>
  <c r="N48" i="102"/>
  <c r="Q47" i="102"/>
  <c r="AB48" i="102"/>
  <c r="S47" i="102"/>
  <c r="G49" i="102"/>
  <c r="K48" i="102"/>
  <c r="Z48" i="102"/>
  <c r="O48" i="102"/>
  <c r="N49" i="102"/>
  <c r="E48" i="102"/>
  <c r="U49" i="102"/>
  <c r="S49" i="102"/>
  <c r="W48" i="102"/>
  <c r="L49" i="102"/>
  <c r="AA48" i="102"/>
  <c r="Z49" i="102"/>
  <c r="Q48" i="102"/>
  <c r="O47" i="102"/>
  <c r="I49" i="102"/>
  <c r="X49" i="102"/>
  <c r="M49" i="102"/>
  <c r="O49" i="102"/>
  <c r="Y49" i="102"/>
  <c r="AA49" i="102"/>
  <c r="AA47" i="102"/>
  <c r="F47" i="102"/>
  <c r="K47" i="102"/>
  <c r="M48" i="102"/>
  <c r="AC39" i="102"/>
  <c r="AC42" i="102" s="1"/>
  <c r="AC44" i="102"/>
  <c r="AC46" i="102" s="1"/>
  <c r="R23" i="102"/>
  <c r="F23" i="102"/>
  <c r="X25" i="102"/>
  <c r="L25" i="102"/>
  <c r="Z24" i="102"/>
  <c r="N24" i="102"/>
  <c r="AB23" i="102"/>
  <c r="P23" i="102"/>
  <c r="V25" i="102"/>
  <c r="J25" i="102"/>
  <c r="X24" i="102"/>
  <c r="L24" i="102"/>
  <c r="Z23" i="102"/>
  <c r="N23" i="102"/>
  <c r="Q25" i="102"/>
  <c r="E25" i="102"/>
  <c r="S24" i="102"/>
  <c r="G24" i="102"/>
  <c r="U23" i="102"/>
  <c r="I23" i="102"/>
  <c r="V24" i="102"/>
  <c r="T24" i="102"/>
  <c r="R24" i="102"/>
  <c r="J24" i="102"/>
  <c r="H24" i="102"/>
  <c r="AB25" i="102"/>
  <c r="F24" i="102"/>
  <c r="T25" i="102"/>
  <c r="X23" i="102"/>
  <c r="P25" i="102"/>
  <c r="F25" i="102"/>
  <c r="J23" i="102"/>
  <c r="H23" i="102"/>
  <c r="T23" i="102"/>
  <c r="R25" i="102"/>
  <c r="V23" i="102"/>
  <c r="H25" i="102"/>
  <c r="L23" i="102"/>
  <c r="Y24" i="102"/>
  <c r="K25" i="102"/>
  <c r="E23" i="102"/>
  <c r="P24" i="102"/>
  <c r="W25" i="102"/>
  <c r="Q23" i="102"/>
  <c r="AB24" i="102"/>
  <c r="O24" i="102"/>
  <c r="N25" i="102"/>
  <c r="W23" i="102"/>
  <c r="AA24" i="102"/>
  <c r="Z25" i="102"/>
  <c r="M23" i="102"/>
  <c r="S23" i="102"/>
  <c r="W24" i="102"/>
  <c r="AA25" i="102"/>
  <c r="K23" i="102"/>
  <c r="M25" i="102"/>
  <c r="Y25" i="102"/>
  <c r="E24" i="102"/>
  <c r="G25" i="102"/>
  <c r="I24" i="102"/>
  <c r="Y23" i="102"/>
  <c r="G23" i="102"/>
  <c r="U24" i="102"/>
  <c r="K24" i="102"/>
  <c r="S25" i="102"/>
  <c r="I25" i="102"/>
  <c r="AA23" i="102"/>
  <c r="Q24" i="102"/>
  <c r="O25" i="102"/>
  <c r="O23" i="102"/>
  <c r="U25" i="102"/>
  <c r="M24" i="102"/>
  <c r="Y53" i="102"/>
  <c r="M53" i="102"/>
  <c r="AA52" i="102"/>
  <c r="O52" i="102"/>
  <c r="Q51" i="102"/>
  <c r="E51" i="102"/>
  <c r="X53" i="102"/>
  <c r="L53" i="102"/>
  <c r="Z52" i="102"/>
  <c r="N52" i="102"/>
  <c r="AB51" i="102"/>
  <c r="P51" i="102"/>
  <c r="V53" i="102"/>
  <c r="J53" i="102"/>
  <c r="X52" i="102"/>
  <c r="L52" i="102"/>
  <c r="Z51" i="102"/>
  <c r="N51" i="102"/>
  <c r="U53" i="102"/>
  <c r="I53" i="102"/>
  <c r="W52" i="102"/>
  <c r="K52" i="102"/>
  <c r="Y51" i="102"/>
  <c r="M51" i="102"/>
  <c r="S53" i="102"/>
  <c r="G53" i="102"/>
  <c r="U52" i="102"/>
  <c r="I52" i="102"/>
  <c r="W51" i="102"/>
  <c r="K51" i="102"/>
  <c r="F53" i="102"/>
  <c r="V52" i="102"/>
  <c r="T52" i="102"/>
  <c r="J52" i="102"/>
  <c r="H52" i="102"/>
  <c r="X51" i="102"/>
  <c r="H53" i="102"/>
  <c r="V51" i="102"/>
  <c r="L51" i="102"/>
  <c r="J51" i="102"/>
  <c r="T53" i="102"/>
  <c r="R53" i="102"/>
  <c r="W53" i="102"/>
  <c r="Z53" i="102"/>
  <c r="AA53" i="102"/>
  <c r="S52" i="102"/>
  <c r="S51" i="102"/>
  <c r="T51" i="102"/>
  <c r="R52" i="102"/>
  <c r="G52" i="102"/>
  <c r="M52" i="102"/>
  <c r="E52" i="102"/>
  <c r="P53" i="102"/>
  <c r="H51" i="102"/>
  <c r="F51" i="102"/>
  <c r="I51" i="102"/>
  <c r="Q53" i="102"/>
  <c r="U51" i="102"/>
  <c r="O51" i="102"/>
  <c r="R51" i="102"/>
  <c r="G51" i="102"/>
  <c r="F52" i="102"/>
  <c r="P52" i="102"/>
  <c r="AA51" i="102"/>
  <c r="Y52" i="102"/>
  <c r="AB52" i="102"/>
  <c r="Q52" i="102"/>
  <c r="AB53" i="102"/>
  <c r="E53" i="102"/>
  <c r="N53" i="102"/>
  <c r="O53" i="102"/>
  <c r="K53" i="102"/>
  <c r="AC15" i="102"/>
  <c r="AC18" i="102" s="1"/>
  <c r="AC43" i="101"/>
  <c r="AC21" i="101"/>
  <c r="AC17" i="101"/>
  <c r="AC19" i="101"/>
  <c r="AC20" i="101"/>
  <c r="F35" i="101"/>
  <c r="Z37" i="101"/>
  <c r="N37" i="101"/>
  <c r="P36" i="101"/>
  <c r="R35" i="101"/>
  <c r="P37" i="101"/>
  <c r="R36" i="101"/>
  <c r="F36" i="101"/>
  <c r="T35" i="101"/>
  <c r="H35" i="101"/>
  <c r="AB36" i="101"/>
  <c r="Y37" i="101"/>
  <c r="M37" i="101"/>
  <c r="AA36" i="101"/>
  <c r="O36" i="101"/>
  <c r="Q35" i="101"/>
  <c r="E35" i="101"/>
  <c r="N36" i="101"/>
  <c r="L36" i="101"/>
  <c r="AB35" i="101"/>
  <c r="Z35" i="101"/>
  <c r="J37" i="101"/>
  <c r="P35" i="101"/>
  <c r="N35" i="101"/>
  <c r="X37" i="101"/>
  <c r="V37" i="101"/>
  <c r="L37" i="101"/>
  <c r="Z36" i="101"/>
  <c r="X36" i="101"/>
  <c r="AA35" i="101"/>
  <c r="G35" i="101"/>
  <c r="U35" i="101"/>
  <c r="H36" i="101"/>
  <c r="I37" i="101"/>
  <c r="V36" i="101"/>
  <c r="M36" i="101"/>
  <c r="S35" i="101"/>
  <c r="G36" i="101"/>
  <c r="T36" i="101"/>
  <c r="Y36" i="101"/>
  <c r="E36" i="101"/>
  <c r="S36" i="101"/>
  <c r="F37" i="101"/>
  <c r="L35" i="101"/>
  <c r="K37" i="101"/>
  <c r="Q36" i="101"/>
  <c r="E37" i="101"/>
  <c r="R37" i="101"/>
  <c r="X35" i="101"/>
  <c r="AA37" i="101"/>
  <c r="H37" i="101"/>
  <c r="W37" i="101"/>
  <c r="O37" i="101"/>
  <c r="AB37" i="101"/>
  <c r="Q37" i="101"/>
  <c r="J36" i="101"/>
  <c r="W35" i="101"/>
  <c r="T37" i="101"/>
  <c r="U37" i="101"/>
  <c r="I36" i="101"/>
  <c r="M35" i="101"/>
  <c r="O35" i="101"/>
  <c r="V35" i="101"/>
  <c r="S37" i="101"/>
  <c r="U36" i="101"/>
  <c r="Y35" i="101"/>
  <c r="I35" i="101"/>
  <c r="J35" i="101"/>
  <c r="G37" i="101"/>
  <c r="K36" i="101"/>
  <c r="W36" i="101"/>
  <c r="K35" i="101"/>
  <c r="AC39" i="101"/>
  <c r="N32" i="101"/>
  <c r="Z32" i="101"/>
  <c r="L33" i="101"/>
  <c r="F31" i="101"/>
  <c r="X33" i="101"/>
  <c r="AB31" i="101"/>
  <c r="H33" i="101"/>
  <c r="X32" i="101"/>
  <c r="V32" i="101"/>
  <c r="L32" i="101"/>
  <c r="J32" i="101"/>
  <c r="Z31" i="101"/>
  <c r="V33" i="101"/>
  <c r="L31" i="101"/>
  <c r="X31" i="101"/>
  <c r="P31" i="101"/>
  <c r="N31" i="101"/>
  <c r="J33" i="101"/>
  <c r="T33" i="101"/>
  <c r="S33" i="101"/>
  <c r="P32" i="101"/>
  <c r="I31" i="101"/>
  <c r="F33" i="101"/>
  <c r="M31" i="101"/>
  <c r="T31" i="101"/>
  <c r="Y31" i="101"/>
  <c r="AB32" i="101"/>
  <c r="U31" i="101"/>
  <c r="R33" i="101"/>
  <c r="N33" i="101"/>
  <c r="G32" i="101"/>
  <c r="I32" i="101"/>
  <c r="Z33" i="101"/>
  <c r="S32" i="101"/>
  <c r="K31" i="101"/>
  <c r="O31" i="101"/>
  <c r="G31" i="101"/>
  <c r="S31" i="101"/>
  <c r="H31" i="101"/>
  <c r="E33" i="101"/>
  <c r="W31" i="101"/>
  <c r="AA31" i="101"/>
  <c r="F32" i="101"/>
  <c r="K32" i="101"/>
  <c r="M32" i="101"/>
  <c r="Q31" i="101"/>
  <c r="E32" i="101"/>
  <c r="R32" i="101"/>
  <c r="G33" i="101"/>
  <c r="E31" i="101"/>
  <c r="U32" i="101"/>
  <c r="W32" i="101"/>
  <c r="Y32" i="101"/>
  <c r="O32" i="101"/>
  <c r="Q32" i="101"/>
  <c r="P33" i="101"/>
  <c r="J31" i="101"/>
  <c r="R31" i="101"/>
  <c r="T32" i="101"/>
  <c r="I33" i="101"/>
  <c r="K33" i="101"/>
  <c r="AA32" i="101"/>
  <c r="O33" i="101"/>
  <c r="AB33" i="101"/>
  <c r="V31" i="101"/>
  <c r="Q33" i="101"/>
  <c r="U33" i="101"/>
  <c r="W33" i="101"/>
  <c r="M33" i="101"/>
  <c r="AA33" i="101"/>
  <c r="H32" i="101"/>
  <c r="Y33" i="101"/>
  <c r="T13" i="101"/>
  <c r="H13" i="101"/>
  <c r="V12" i="101"/>
  <c r="J12" i="101"/>
  <c r="X11" i="101"/>
  <c r="L11" i="101"/>
  <c r="V11" i="101"/>
  <c r="J11" i="101"/>
  <c r="H11" i="101"/>
  <c r="F12" i="101"/>
  <c r="AB13" i="101"/>
  <c r="P13" i="101"/>
  <c r="R12" i="101"/>
  <c r="T11" i="101"/>
  <c r="Y13" i="101"/>
  <c r="M13" i="101"/>
  <c r="AA12" i="101"/>
  <c r="O12" i="101"/>
  <c r="Q11" i="101"/>
  <c r="E11" i="101"/>
  <c r="AB12" i="101"/>
  <c r="F11" i="101"/>
  <c r="Z12" i="101"/>
  <c r="X12" i="101"/>
  <c r="P12" i="101"/>
  <c r="R11" i="101"/>
  <c r="N12" i="101"/>
  <c r="L12" i="101"/>
  <c r="Z13" i="101"/>
  <c r="X13" i="101"/>
  <c r="AB11" i="101"/>
  <c r="V13" i="101"/>
  <c r="Z11" i="101"/>
  <c r="N13" i="101"/>
  <c r="L13" i="101"/>
  <c r="P11" i="101"/>
  <c r="J13" i="101"/>
  <c r="N11" i="101"/>
  <c r="M12" i="101"/>
  <c r="G11" i="101"/>
  <c r="U11" i="101"/>
  <c r="T12" i="101"/>
  <c r="W12" i="101"/>
  <c r="K11" i="101"/>
  <c r="Y12" i="101"/>
  <c r="S11" i="101"/>
  <c r="G12" i="101"/>
  <c r="F13" i="101"/>
  <c r="K13" i="101"/>
  <c r="E12" i="101"/>
  <c r="S12" i="101"/>
  <c r="R13" i="101"/>
  <c r="M11" i="101"/>
  <c r="W13" i="101"/>
  <c r="Q12" i="101"/>
  <c r="E13" i="101"/>
  <c r="Y11" i="101"/>
  <c r="I13" i="101"/>
  <c r="O13" i="101"/>
  <c r="Q13" i="101"/>
  <c r="K12" i="101"/>
  <c r="AA13" i="101"/>
  <c r="W11" i="101"/>
  <c r="I11" i="101"/>
  <c r="I12" i="101"/>
  <c r="U13" i="101"/>
  <c r="AA11" i="101"/>
  <c r="S13" i="101"/>
  <c r="U12" i="101"/>
  <c r="O11" i="101"/>
  <c r="G13" i="101"/>
  <c r="H12" i="101"/>
  <c r="Z47" i="101"/>
  <c r="N47" i="101"/>
  <c r="U49" i="101"/>
  <c r="I49" i="101"/>
  <c r="W48" i="101"/>
  <c r="K48" i="101"/>
  <c r="Y47" i="101"/>
  <c r="M47" i="101"/>
  <c r="T49" i="101"/>
  <c r="H49" i="101"/>
  <c r="V48" i="101"/>
  <c r="J48" i="101"/>
  <c r="X47" i="101"/>
  <c r="L47" i="101"/>
  <c r="S49" i="101"/>
  <c r="G49" i="101"/>
  <c r="U48" i="101"/>
  <c r="I48" i="101"/>
  <c r="W47" i="101"/>
  <c r="K47" i="101"/>
  <c r="R49" i="101"/>
  <c r="F49" i="101"/>
  <c r="T48" i="101"/>
  <c r="H48" i="101"/>
  <c r="V47" i="101"/>
  <c r="J47" i="101"/>
  <c r="Q49" i="101"/>
  <c r="E49" i="101"/>
  <c r="S48" i="101"/>
  <c r="G48" i="101"/>
  <c r="U47" i="101"/>
  <c r="I47" i="101"/>
  <c r="AB49" i="101"/>
  <c r="F48" i="101"/>
  <c r="P49" i="101"/>
  <c r="R48" i="101"/>
  <c r="H47" i="101"/>
  <c r="T47" i="101"/>
  <c r="AB47" i="101"/>
  <c r="E47" i="101"/>
  <c r="N49" i="101"/>
  <c r="S47" i="101"/>
  <c r="L48" i="101"/>
  <c r="AA47" i="101"/>
  <c r="N48" i="101"/>
  <c r="Q47" i="101"/>
  <c r="Z49" i="101"/>
  <c r="E48" i="101"/>
  <c r="Z48" i="101"/>
  <c r="O48" i="101"/>
  <c r="Q48" i="101"/>
  <c r="Y49" i="101"/>
  <c r="L49" i="101"/>
  <c r="AA48" i="101"/>
  <c r="O49" i="101"/>
  <c r="O47" i="101"/>
  <c r="X49" i="101"/>
  <c r="M49" i="101"/>
  <c r="X48" i="101"/>
  <c r="J49" i="101"/>
  <c r="M48" i="101"/>
  <c r="V49" i="101"/>
  <c r="Y48" i="101"/>
  <c r="F47" i="101"/>
  <c r="G47" i="101"/>
  <c r="AA49" i="101"/>
  <c r="K49" i="101"/>
  <c r="R47" i="101"/>
  <c r="P47" i="101"/>
  <c r="AB48" i="101"/>
  <c r="W49" i="101"/>
  <c r="P48" i="101"/>
  <c r="T57" i="101"/>
  <c r="H57" i="101"/>
  <c r="V56" i="101"/>
  <c r="J56" i="101"/>
  <c r="X55" i="101"/>
  <c r="L55" i="101"/>
  <c r="Z55" i="101"/>
  <c r="AA55" i="101"/>
  <c r="H55" i="101"/>
  <c r="I55" i="101"/>
  <c r="F57" i="101"/>
  <c r="U56" i="101"/>
  <c r="L56" i="101"/>
  <c r="M56" i="101"/>
  <c r="T55" i="101"/>
  <c r="U55" i="101"/>
  <c r="R57" i="101"/>
  <c r="G57" i="101"/>
  <c r="S57" i="101"/>
  <c r="X56" i="101"/>
  <c r="Y56" i="101"/>
  <c r="F56" i="101"/>
  <c r="G56" i="101"/>
  <c r="M55" i="101"/>
  <c r="P55" i="101"/>
  <c r="J57" i="101"/>
  <c r="K57" i="101"/>
  <c r="R56" i="101"/>
  <c r="S56" i="101"/>
  <c r="E55" i="101"/>
  <c r="R55" i="101"/>
  <c r="G55" i="101"/>
  <c r="Q57" i="101"/>
  <c r="Y55" i="101"/>
  <c r="S55" i="101"/>
  <c r="V57" i="101"/>
  <c r="W57" i="101"/>
  <c r="F55" i="101"/>
  <c r="P57" i="101"/>
  <c r="E57" i="101"/>
  <c r="K56" i="101"/>
  <c r="AB55" i="101"/>
  <c r="O56" i="101"/>
  <c r="P56" i="101"/>
  <c r="E56" i="101"/>
  <c r="W56" i="101"/>
  <c r="N56" i="101"/>
  <c r="AA56" i="101"/>
  <c r="AB56" i="101"/>
  <c r="Q56" i="101"/>
  <c r="J55" i="101"/>
  <c r="N55" i="101"/>
  <c r="O55" i="101"/>
  <c r="X57" i="101"/>
  <c r="T56" i="101"/>
  <c r="AB57" i="101"/>
  <c r="I57" i="101"/>
  <c r="Z56" i="101"/>
  <c r="M57" i="101"/>
  <c r="N57" i="101"/>
  <c r="O57" i="101"/>
  <c r="V55" i="101"/>
  <c r="K55" i="101"/>
  <c r="I56" i="101"/>
  <c r="Q55" i="101"/>
  <c r="U57" i="101"/>
  <c r="L57" i="101"/>
  <c r="Y57" i="101"/>
  <c r="Z57" i="101"/>
  <c r="AA57" i="101"/>
  <c r="H56" i="101"/>
  <c r="W55" i="101"/>
  <c r="AC16" i="101"/>
  <c r="AC40" i="101"/>
  <c r="Z25" i="101"/>
  <c r="N25" i="101"/>
  <c r="AB24" i="101"/>
  <c r="P24" i="101"/>
  <c r="R23" i="101"/>
  <c r="F23" i="101"/>
  <c r="X25" i="101"/>
  <c r="L25" i="101"/>
  <c r="Z24" i="101"/>
  <c r="N24" i="101"/>
  <c r="AB23" i="101"/>
  <c r="P23" i="101"/>
  <c r="V25" i="101"/>
  <c r="J25" i="101"/>
  <c r="X24" i="101"/>
  <c r="L24" i="101"/>
  <c r="Z23" i="101"/>
  <c r="N23" i="101"/>
  <c r="S25" i="101"/>
  <c r="G25" i="101"/>
  <c r="U24" i="101"/>
  <c r="I24" i="101"/>
  <c r="W23" i="101"/>
  <c r="K23" i="101"/>
  <c r="Q25" i="101"/>
  <c r="E25" i="101"/>
  <c r="S24" i="101"/>
  <c r="G24" i="101"/>
  <c r="U23" i="101"/>
  <c r="I23" i="101"/>
  <c r="T25" i="101"/>
  <c r="X23" i="101"/>
  <c r="R25" i="101"/>
  <c r="V23" i="101"/>
  <c r="P25" i="101"/>
  <c r="T23" i="101"/>
  <c r="H25" i="101"/>
  <c r="L23" i="101"/>
  <c r="J24" i="101"/>
  <c r="F25" i="101"/>
  <c r="J23" i="101"/>
  <c r="H23" i="101"/>
  <c r="H24" i="101"/>
  <c r="V24" i="101"/>
  <c r="T24" i="101"/>
  <c r="R24" i="101"/>
  <c r="F24" i="101"/>
  <c r="AB25" i="101"/>
  <c r="AA25" i="101"/>
  <c r="E23" i="101"/>
  <c r="Y25" i="101"/>
  <c r="S23" i="101"/>
  <c r="Q23" i="101"/>
  <c r="O24" i="101"/>
  <c r="AA24" i="101"/>
  <c r="O23" i="101"/>
  <c r="G23" i="101"/>
  <c r="M25" i="101"/>
  <c r="AA23" i="101"/>
  <c r="Y23" i="101"/>
  <c r="M24" i="101"/>
  <c r="E24" i="101"/>
  <c r="U25" i="101"/>
  <c r="K24" i="101"/>
  <c r="Y24" i="101"/>
  <c r="Q24" i="101"/>
  <c r="W24" i="101"/>
  <c r="K25" i="101"/>
  <c r="O25" i="101"/>
  <c r="I25" i="101"/>
  <c r="W25" i="101"/>
  <c r="M23" i="101"/>
  <c r="AC44" i="101"/>
  <c r="AC41" i="101"/>
  <c r="AC15" i="101"/>
  <c r="AB29" i="101"/>
  <c r="P29" i="101"/>
  <c r="R28" i="101"/>
  <c r="F28" i="101"/>
  <c r="T27" i="101"/>
  <c r="H27" i="101"/>
  <c r="Z29" i="101"/>
  <c r="N29" i="101"/>
  <c r="AB28" i="101"/>
  <c r="P28" i="101"/>
  <c r="R27" i="101"/>
  <c r="F27" i="101"/>
  <c r="X29" i="101"/>
  <c r="L29" i="101"/>
  <c r="Z28" i="101"/>
  <c r="N28" i="101"/>
  <c r="AB27" i="101"/>
  <c r="P27" i="101"/>
  <c r="U29" i="101"/>
  <c r="I29" i="101"/>
  <c r="W28" i="101"/>
  <c r="K28" i="101"/>
  <c r="Y27" i="101"/>
  <c r="M27" i="101"/>
  <c r="S29" i="101"/>
  <c r="G29" i="101"/>
  <c r="U28" i="101"/>
  <c r="I28" i="101"/>
  <c r="W27" i="101"/>
  <c r="K27" i="101"/>
  <c r="J28" i="101"/>
  <c r="H28" i="101"/>
  <c r="V29" i="101"/>
  <c r="Z27" i="101"/>
  <c r="T29" i="101"/>
  <c r="X27" i="101"/>
  <c r="V28" i="101"/>
  <c r="R29" i="101"/>
  <c r="V27" i="101"/>
  <c r="J29" i="101"/>
  <c r="N27" i="101"/>
  <c r="H29" i="101"/>
  <c r="L27" i="101"/>
  <c r="F29" i="101"/>
  <c r="J27" i="101"/>
  <c r="X28" i="101"/>
  <c r="T28" i="101"/>
  <c r="L28" i="101"/>
  <c r="Q27" i="101"/>
  <c r="G28" i="101"/>
  <c r="AA27" i="101"/>
  <c r="O28" i="101"/>
  <c r="S28" i="101"/>
  <c r="M28" i="101"/>
  <c r="AA28" i="101"/>
  <c r="E29" i="101"/>
  <c r="Y28" i="101"/>
  <c r="M29" i="101"/>
  <c r="W29" i="101"/>
  <c r="G27" i="101"/>
  <c r="Q29" i="101"/>
  <c r="K29" i="101"/>
  <c r="Y29" i="101"/>
  <c r="S27" i="101"/>
  <c r="E28" i="101"/>
  <c r="Q28" i="101"/>
  <c r="AA29" i="101"/>
  <c r="U27" i="101"/>
  <c r="O29" i="101"/>
  <c r="I27" i="101"/>
  <c r="E27" i="101"/>
  <c r="AC45" i="101"/>
  <c r="V53" i="101"/>
  <c r="J53" i="101"/>
  <c r="X52" i="101"/>
  <c r="L52" i="101"/>
  <c r="Z51" i="101"/>
  <c r="N51" i="101"/>
  <c r="U53" i="101"/>
  <c r="I53" i="101"/>
  <c r="W52" i="101"/>
  <c r="K52" i="101"/>
  <c r="Y51" i="101"/>
  <c r="M51" i="101"/>
  <c r="T53" i="101"/>
  <c r="H53" i="101"/>
  <c r="V52" i="101"/>
  <c r="J52" i="101"/>
  <c r="X51" i="101"/>
  <c r="L51" i="101"/>
  <c r="S53" i="101"/>
  <c r="G53" i="101"/>
  <c r="U52" i="101"/>
  <c r="I52" i="101"/>
  <c r="W51" i="101"/>
  <c r="K51" i="101"/>
  <c r="H52" i="101"/>
  <c r="V51" i="101"/>
  <c r="J51" i="101"/>
  <c r="R53" i="101"/>
  <c r="T52" i="101"/>
  <c r="F53" i="101"/>
  <c r="AA51" i="101"/>
  <c r="N52" i="101"/>
  <c r="Q51" i="101"/>
  <c r="F51" i="101"/>
  <c r="R52" i="101"/>
  <c r="M52" i="101"/>
  <c r="Z52" i="101"/>
  <c r="O52" i="101"/>
  <c r="Y52" i="101"/>
  <c r="L53" i="101"/>
  <c r="AA52" i="101"/>
  <c r="H51" i="101"/>
  <c r="K53" i="101"/>
  <c r="X53" i="101"/>
  <c r="M53" i="101"/>
  <c r="T51" i="101"/>
  <c r="U51" i="101"/>
  <c r="R51" i="101"/>
  <c r="W53" i="101"/>
  <c r="Y53" i="101"/>
  <c r="F52" i="101"/>
  <c r="I51" i="101"/>
  <c r="P53" i="101"/>
  <c r="S51" i="101"/>
  <c r="AB53" i="101"/>
  <c r="S52" i="101"/>
  <c r="Z53" i="101"/>
  <c r="G51" i="101"/>
  <c r="Q53" i="101"/>
  <c r="P52" i="101"/>
  <c r="E52" i="101"/>
  <c r="E53" i="101"/>
  <c r="AB51" i="101"/>
  <c r="E51" i="101"/>
  <c r="AB52" i="101"/>
  <c r="Q52" i="101"/>
  <c r="O51" i="101"/>
  <c r="AA53" i="101"/>
  <c r="P51" i="101"/>
  <c r="N53" i="101"/>
  <c r="O53" i="101"/>
  <c r="G52" i="101"/>
  <c r="AC20" i="100"/>
  <c r="AC19" i="100"/>
  <c r="AC21" i="100"/>
  <c r="AC11" i="100"/>
  <c r="V17" i="100"/>
  <c r="J17" i="100"/>
  <c r="X16" i="100"/>
  <c r="L16" i="100"/>
  <c r="Z15" i="100"/>
  <c r="I17" i="100"/>
  <c r="W16" i="100"/>
  <c r="K16" i="100"/>
  <c r="Y15" i="100"/>
  <c r="M15" i="100"/>
  <c r="E17" i="100"/>
  <c r="Q17" i="100"/>
  <c r="S17" i="100"/>
  <c r="G17" i="100"/>
  <c r="U16" i="100"/>
  <c r="I16" i="100"/>
  <c r="W15" i="100"/>
  <c r="K15" i="100"/>
  <c r="G16" i="100"/>
  <c r="U15" i="100"/>
  <c r="I15" i="100"/>
  <c r="S16" i="100"/>
  <c r="AA17" i="100"/>
  <c r="O17" i="100"/>
  <c r="Q16" i="100"/>
  <c r="E16" i="100"/>
  <c r="S15" i="100"/>
  <c r="G15" i="100"/>
  <c r="Y17" i="100"/>
  <c r="M17" i="100"/>
  <c r="AA16" i="100"/>
  <c r="O16" i="100"/>
  <c r="Q15" i="100"/>
  <c r="E15" i="100"/>
  <c r="Z17" i="100"/>
  <c r="X17" i="100"/>
  <c r="AB15" i="100"/>
  <c r="R16" i="100"/>
  <c r="P16" i="100"/>
  <c r="P17" i="100"/>
  <c r="T15" i="100"/>
  <c r="N17" i="100"/>
  <c r="R15" i="100"/>
  <c r="L17" i="100"/>
  <c r="P15" i="100"/>
  <c r="N15" i="100"/>
  <c r="AB17" i="100"/>
  <c r="AB16" i="100"/>
  <c r="H15" i="100"/>
  <c r="N16" i="100"/>
  <c r="Z16" i="100"/>
  <c r="F15" i="100"/>
  <c r="F16" i="100"/>
  <c r="W17" i="100"/>
  <c r="V15" i="100"/>
  <c r="Y16" i="100"/>
  <c r="K17" i="100"/>
  <c r="H16" i="100"/>
  <c r="T16" i="100"/>
  <c r="F17" i="100"/>
  <c r="U17" i="100"/>
  <c r="O15" i="100"/>
  <c r="T17" i="100"/>
  <c r="R17" i="100"/>
  <c r="M16" i="100"/>
  <c r="L15" i="100"/>
  <c r="V16" i="100"/>
  <c r="J15" i="100"/>
  <c r="X15" i="100"/>
  <c r="J16" i="100"/>
  <c r="H17" i="100"/>
  <c r="AA15" i="100"/>
  <c r="U25" i="100"/>
  <c r="I25" i="100"/>
  <c r="W24" i="100"/>
  <c r="K24" i="100"/>
  <c r="Y23" i="100"/>
  <c r="M23" i="100"/>
  <c r="S25" i="100"/>
  <c r="G25" i="100"/>
  <c r="U24" i="100"/>
  <c r="I24" i="100"/>
  <c r="W23" i="100"/>
  <c r="K23" i="100"/>
  <c r="Q25" i="100"/>
  <c r="E25" i="100"/>
  <c r="S24" i="100"/>
  <c r="G24" i="100"/>
  <c r="U23" i="100"/>
  <c r="I23" i="100"/>
  <c r="J24" i="100"/>
  <c r="H24" i="100"/>
  <c r="H23" i="100"/>
  <c r="AB25" i="100"/>
  <c r="F24" i="100"/>
  <c r="T25" i="100"/>
  <c r="X23" i="100"/>
  <c r="R24" i="100"/>
  <c r="R25" i="100"/>
  <c r="V23" i="100"/>
  <c r="P25" i="100"/>
  <c r="T23" i="100"/>
  <c r="V24" i="100"/>
  <c r="H25" i="100"/>
  <c r="L23" i="100"/>
  <c r="T24" i="100"/>
  <c r="F25" i="100"/>
  <c r="J23" i="100"/>
  <c r="Z23" i="100"/>
  <c r="X25" i="100"/>
  <c r="O24" i="100"/>
  <c r="P24" i="100"/>
  <c r="AA24" i="100"/>
  <c r="AB24" i="100"/>
  <c r="M25" i="100"/>
  <c r="N25" i="100"/>
  <c r="L24" i="100"/>
  <c r="X24" i="100"/>
  <c r="J25" i="100"/>
  <c r="Y25" i="100"/>
  <c r="Z25" i="100"/>
  <c r="N24" i="100"/>
  <c r="N23" i="100"/>
  <c r="O25" i="100"/>
  <c r="V25" i="100"/>
  <c r="Y24" i="100"/>
  <c r="W25" i="100"/>
  <c r="L25" i="100"/>
  <c r="Q23" i="100"/>
  <c r="E24" i="100"/>
  <c r="R23" i="100"/>
  <c r="AA25" i="100"/>
  <c r="O23" i="100"/>
  <c r="AA23" i="100"/>
  <c r="P23" i="100"/>
  <c r="G23" i="100"/>
  <c r="M24" i="100"/>
  <c r="AB23" i="100"/>
  <c r="S23" i="100"/>
  <c r="K25" i="100"/>
  <c r="Z24" i="100"/>
  <c r="E23" i="100"/>
  <c r="F23" i="100"/>
  <c r="Q24" i="100"/>
  <c r="V28" i="100"/>
  <c r="T28" i="100"/>
  <c r="L28" i="100"/>
  <c r="J28" i="100"/>
  <c r="H28" i="100"/>
  <c r="V29" i="100"/>
  <c r="Z27" i="100"/>
  <c r="J27" i="100"/>
  <c r="X28" i="100"/>
  <c r="L27" i="100"/>
  <c r="F29" i="100"/>
  <c r="T29" i="100"/>
  <c r="X27" i="100"/>
  <c r="H29" i="100"/>
  <c r="R29" i="100"/>
  <c r="V27" i="100"/>
  <c r="J29" i="100"/>
  <c r="N27" i="100"/>
  <c r="E27" i="100"/>
  <c r="I27" i="100"/>
  <c r="U27" i="100"/>
  <c r="G28" i="100"/>
  <c r="Q27" i="100"/>
  <c r="F27" i="100"/>
  <c r="O28" i="100"/>
  <c r="R27" i="100"/>
  <c r="AA28" i="100"/>
  <c r="P28" i="100"/>
  <c r="S28" i="100"/>
  <c r="I29" i="100"/>
  <c r="L29" i="100"/>
  <c r="AA29" i="100"/>
  <c r="AB29" i="100"/>
  <c r="M29" i="100"/>
  <c r="AB28" i="100"/>
  <c r="G27" i="100"/>
  <c r="H27" i="100"/>
  <c r="E29" i="100"/>
  <c r="P27" i="100"/>
  <c r="K27" i="100"/>
  <c r="M27" i="100"/>
  <c r="Y29" i="100"/>
  <c r="N29" i="100"/>
  <c r="S27" i="100"/>
  <c r="T27" i="100"/>
  <c r="W27" i="100"/>
  <c r="Y27" i="100"/>
  <c r="AA27" i="100"/>
  <c r="AB27" i="100"/>
  <c r="Z29" i="100"/>
  <c r="E28" i="100"/>
  <c r="F28" i="100"/>
  <c r="G29" i="100"/>
  <c r="I28" i="100"/>
  <c r="K28" i="100"/>
  <c r="M28" i="100"/>
  <c r="N28" i="100"/>
  <c r="Q28" i="100"/>
  <c r="R28" i="100"/>
  <c r="K29" i="100"/>
  <c r="U28" i="100"/>
  <c r="W28" i="100"/>
  <c r="Y28" i="100"/>
  <c r="Z28" i="100"/>
  <c r="O29" i="100"/>
  <c r="P29" i="100"/>
  <c r="Q29" i="100"/>
  <c r="S29" i="100"/>
  <c r="U29" i="100"/>
  <c r="W29" i="100"/>
  <c r="X29" i="100"/>
  <c r="AC12" i="100"/>
  <c r="AC13" i="100"/>
  <c r="AC44" i="100"/>
  <c r="V51" i="100"/>
  <c r="L51" i="100"/>
  <c r="J51" i="100"/>
  <c r="X51" i="100"/>
  <c r="T53" i="100"/>
  <c r="R53" i="100"/>
  <c r="H53" i="100"/>
  <c r="F53" i="100"/>
  <c r="V52" i="100"/>
  <c r="T52" i="100"/>
  <c r="J52" i="100"/>
  <c r="H52" i="100"/>
  <c r="Y51" i="100"/>
  <c r="AA51" i="100"/>
  <c r="P51" i="100"/>
  <c r="E51" i="100"/>
  <c r="AB52" i="100"/>
  <c r="E52" i="100"/>
  <c r="N53" i="100"/>
  <c r="Q52" i="100"/>
  <c r="Z53" i="100"/>
  <c r="O53" i="100"/>
  <c r="M51" i="100"/>
  <c r="K52" i="100"/>
  <c r="M52" i="100"/>
  <c r="AB51" i="100"/>
  <c r="Q51" i="100"/>
  <c r="W52" i="100"/>
  <c r="Y52" i="100"/>
  <c r="N52" i="100"/>
  <c r="O52" i="100"/>
  <c r="I53" i="100"/>
  <c r="K53" i="100"/>
  <c r="Z52" i="100"/>
  <c r="AA52" i="100"/>
  <c r="AA53" i="100"/>
  <c r="R51" i="100"/>
  <c r="P52" i="100"/>
  <c r="S51" i="100"/>
  <c r="Q53" i="100"/>
  <c r="U53" i="100"/>
  <c r="W53" i="100"/>
  <c r="L53" i="100"/>
  <c r="M53" i="100"/>
  <c r="H51" i="100"/>
  <c r="G53" i="100"/>
  <c r="S52" i="100"/>
  <c r="K51" i="100"/>
  <c r="N51" i="100"/>
  <c r="X53" i="100"/>
  <c r="Y53" i="100"/>
  <c r="T51" i="100"/>
  <c r="W51" i="100"/>
  <c r="Z51" i="100"/>
  <c r="F52" i="100"/>
  <c r="I51" i="100"/>
  <c r="J53" i="100"/>
  <c r="AB53" i="100"/>
  <c r="O51" i="100"/>
  <c r="I52" i="100"/>
  <c r="L52" i="100"/>
  <c r="R52" i="100"/>
  <c r="U51" i="100"/>
  <c r="U52" i="100"/>
  <c r="X52" i="100"/>
  <c r="F51" i="100"/>
  <c r="P53" i="100"/>
  <c r="G52" i="100"/>
  <c r="S53" i="100"/>
  <c r="V53" i="100"/>
  <c r="G51" i="100"/>
  <c r="E53" i="100"/>
  <c r="AC41" i="100"/>
  <c r="AC40" i="100"/>
  <c r="AA37" i="100"/>
  <c r="O37" i="100"/>
  <c r="Q36" i="100"/>
  <c r="E36" i="100"/>
  <c r="S35" i="100"/>
  <c r="G35" i="100"/>
  <c r="N37" i="100"/>
  <c r="R35" i="100"/>
  <c r="L37" i="100"/>
  <c r="P35" i="100"/>
  <c r="J37" i="100"/>
  <c r="N35" i="100"/>
  <c r="AB36" i="100"/>
  <c r="F35" i="100"/>
  <c r="Z36" i="100"/>
  <c r="X36" i="100"/>
  <c r="P36" i="100"/>
  <c r="AB35" i="100"/>
  <c r="V37" i="100"/>
  <c r="X37" i="100"/>
  <c r="Z35" i="100"/>
  <c r="N36" i="100"/>
  <c r="L36" i="100"/>
  <c r="Z37" i="100"/>
  <c r="AA35" i="100"/>
  <c r="I35" i="100"/>
  <c r="K36" i="100"/>
  <c r="W36" i="100"/>
  <c r="M36" i="100"/>
  <c r="U35" i="100"/>
  <c r="J35" i="100"/>
  <c r="Y36" i="100"/>
  <c r="G36" i="100"/>
  <c r="V35" i="100"/>
  <c r="I37" i="100"/>
  <c r="K37" i="100"/>
  <c r="S36" i="100"/>
  <c r="H36" i="100"/>
  <c r="W37" i="100"/>
  <c r="E37" i="100"/>
  <c r="T36" i="100"/>
  <c r="K35" i="100"/>
  <c r="L35" i="100"/>
  <c r="O35" i="100"/>
  <c r="Y35" i="100"/>
  <c r="E35" i="100"/>
  <c r="H35" i="100"/>
  <c r="Q37" i="100"/>
  <c r="F37" i="100"/>
  <c r="W35" i="100"/>
  <c r="X35" i="100"/>
  <c r="M37" i="100"/>
  <c r="U37" i="100"/>
  <c r="Q35" i="100"/>
  <c r="T35" i="100"/>
  <c r="R37" i="100"/>
  <c r="I36" i="100"/>
  <c r="J36" i="100"/>
  <c r="P37" i="100"/>
  <c r="S37" i="100"/>
  <c r="O36" i="100"/>
  <c r="F36" i="100"/>
  <c r="U36" i="100"/>
  <c r="V36" i="100"/>
  <c r="T37" i="100"/>
  <c r="AA36" i="100"/>
  <c r="R36" i="100"/>
  <c r="G37" i="100"/>
  <c r="H37" i="100"/>
  <c r="Y37" i="100"/>
  <c r="AB37" i="100"/>
  <c r="M35" i="100"/>
  <c r="AC43" i="100"/>
  <c r="AC45" i="100"/>
  <c r="Y33" i="100"/>
  <c r="M33" i="100"/>
  <c r="AA32" i="100"/>
  <c r="O32" i="100"/>
  <c r="Q31" i="100"/>
  <c r="E31" i="100"/>
  <c r="U33" i="100"/>
  <c r="I33" i="100"/>
  <c r="W32" i="100"/>
  <c r="K32" i="100"/>
  <c r="Y31" i="100"/>
  <c r="M31" i="100"/>
  <c r="H33" i="100"/>
  <c r="L31" i="100"/>
  <c r="Z32" i="100"/>
  <c r="T33" i="100"/>
  <c r="L33" i="100"/>
  <c r="X32" i="100"/>
  <c r="V32" i="100"/>
  <c r="N32" i="100"/>
  <c r="L32" i="100"/>
  <c r="X31" i="100"/>
  <c r="N31" i="100"/>
  <c r="J32" i="100"/>
  <c r="P31" i="100"/>
  <c r="X33" i="100"/>
  <c r="AB31" i="100"/>
  <c r="V33" i="100"/>
  <c r="Z31" i="100"/>
  <c r="J33" i="100"/>
  <c r="AA31" i="100"/>
  <c r="R31" i="100"/>
  <c r="AB33" i="100"/>
  <c r="G32" i="100"/>
  <c r="H32" i="100"/>
  <c r="S32" i="100"/>
  <c r="T32" i="100"/>
  <c r="E33" i="100"/>
  <c r="F33" i="100"/>
  <c r="M32" i="100"/>
  <c r="P32" i="100"/>
  <c r="Y32" i="100"/>
  <c r="AB32" i="100"/>
  <c r="S33" i="100"/>
  <c r="K33" i="100"/>
  <c r="N33" i="100"/>
  <c r="Q33" i="100"/>
  <c r="R33" i="100"/>
  <c r="AA33" i="100"/>
  <c r="P33" i="100"/>
  <c r="U31" i="100"/>
  <c r="W33" i="100"/>
  <c r="Z33" i="100"/>
  <c r="F32" i="100"/>
  <c r="V31" i="100"/>
  <c r="K31" i="100"/>
  <c r="G31" i="100"/>
  <c r="W31" i="100"/>
  <c r="Q32" i="100"/>
  <c r="G33" i="100"/>
  <c r="F31" i="100"/>
  <c r="S31" i="100"/>
  <c r="H31" i="100"/>
  <c r="I32" i="100"/>
  <c r="O31" i="100"/>
  <c r="E32" i="100"/>
  <c r="T31" i="100"/>
  <c r="U32" i="100"/>
  <c r="O33" i="100"/>
  <c r="R32" i="100"/>
  <c r="I31" i="100"/>
  <c r="J31" i="100"/>
  <c r="U49" i="100"/>
  <c r="I49" i="100"/>
  <c r="W48" i="100"/>
  <c r="K48" i="100"/>
  <c r="Y47" i="100"/>
  <c r="M47" i="100"/>
  <c r="S49" i="100"/>
  <c r="G49" i="100"/>
  <c r="U48" i="100"/>
  <c r="I48" i="100"/>
  <c r="W47" i="100"/>
  <c r="K47" i="100"/>
  <c r="Q49" i="100"/>
  <c r="E49" i="100"/>
  <c r="S48" i="100"/>
  <c r="G48" i="100"/>
  <c r="U47" i="100"/>
  <c r="I47" i="100"/>
  <c r="R48" i="100"/>
  <c r="H48" i="100"/>
  <c r="F48" i="100"/>
  <c r="V47" i="100"/>
  <c r="T47" i="100"/>
  <c r="J47" i="100"/>
  <c r="AB49" i="100"/>
  <c r="H47" i="100"/>
  <c r="R49" i="100"/>
  <c r="T48" i="100"/>
  <c r="P49" i="100"/>
  <c r="F49" i="100"/>
  <c r="X47" i="100"/>
  <c r="P48" i="100"/>
  <c r="AB48" i="100"/>
  <c r="G47" i="100"/>
  <c r="N49" i="100"/>
  <c r="S47" i="100"/>
  <c r="J48" i="100"/>
  <c r="L47" i="100"/>
  <c r="V48" i="100"/>
  <c r="P47" i="100"/>
  <c r="H49" i="100"/>
  <c r="AB47" i="100"/>
  <c r="Z49" i="100"/>
  <c r="E48" i="100"/>
  <c r="Y48" i="100"/>
  <c r="Y49" i="100"/>
  <c r="T49" i="100"/>
  <c r="N48" i="100"/>
  <c r="E47" i="100"/>
  <c r="Q48" i="100"/>
  <c r="N47" i="100"/>
  <c r="Z48" i="100"/>
  <c r="Q47" i="100"/>
  <c r="O49" i="100"/>
  <c r="Z47" i="100"/>
  <c r="O47" i="100"/>
  <c r="L49" i="100"/>
  <c r="O48" i="100"/>
  <c r="L48" i="100"/>
  <c r="AA47" i="100"/>
  <c r="X49" i="100"/>
  <c r="AA48" i="100"/>
  <c r="J49" i="100"/>
  <c r="W49" i="100"/>
  <c r="R47" i="100"/>
  <c r="X48" i="100"/>
  <c r="M48" i="100"/>
  <c r="M49" i="100"/>
  <c r="AA49" i="100"/>
  <c r="V49" i="100"/>
  <c r="K49" i="100"/>
  <c r="F47" i="100"/>
  <c r="AC39" i="100"/>
  <c r="Y57" i="100"/>
  <c r="M57" i="100"/>
  <c r="AA56" i="100"/>
  <c r="O56" i="100"/>
  <c r="Q55" i="100"/>
  <c r="E55" i="100"/>
  <c r="U57" i="100"/>
  <c r="I57" i="100"/>
  <c r="W56" i="100"/>
  <c r="K56" i="100"/>
  <c r="Y55" i="100"/>
  <c r="M55" i="100"/>
  <c r="V57" i="100"/>
  <c r="T57" i="100"/>
  <c r="J57" i="100"/>
  <c r="H57" i="100"/>
  <c r="X56" i="100"/>
  <c r="V56" i="100"/>
  <c r="L56" i="100"/>
  <c r="L55" i="100"/>
  <c r="J56" i="100"/>
  <c r="Z55" i="100"/>
  <c r="X55" i="100"/>
  <c r="N55" i="100"/>
  <c r="AB55" i="100"/>
  <c r="H56" i="100"/>
  <c r="W55" i="100"/>
  <c r="T56" i="100"/>
  <c r="F57" i="100"/>
  <c r="U56" i="100"/>
  <c r="N56" i="100"/>
  <c r="I56" i="100"/>
  <c r="Z56" i="100"/>
  <c r="P55" i="100"/>
  <c r="L57" i="100"/>
  <c r="H55" i="100"/>
  <c r="R57" i="100"/>
  <c r="G57" i="100"/>
  <c r="AB56" i="100"/>
  <c r="Z57" i="100"/>
  <c r="K55" i="100"/>
  <c r="X57" i="100"/>
  <c r="T55" i="100"/>
  <c r="I55" i="100"/>
  <c r="AA57" i="100"/>
  <c r="V55" i="100"/>
  <c r="O55" i="100"/>
  <c r="F56" i="100"/>
  <c r="U55" i="100"/>
  <c r="AA55" i="100"/>
  <c r="F55" i="100"/>
  <c r="G55" i="100"/>
  <c r="R56" i="100"/>
  <c r="G56" i="100"/>
  <c r="Q57" i="100"/>
  <c r="M56" i="100"/>
  <c r="R55" i="100"/>
  <c r="S55" i="100"/>
  <c r="P57" i="100"/>
  <c r="S56" i="100"/>
  <c r="K57" i="100"/>
  <c r="Q56" i="100"/>
  <c r="Y56" i="100"/>
  <c r="P56" i="100"/>
  <c r="E56" i="100"/>
  <c r="AB57" i="100"/>
  <c r="E57" i="100"/>
  <c r="S57" i="100"/>
  <c r="W57" i="100"/>
  <c r="N57" i="100"/>
  <c r="O57" i="100"/>
  <c r="J55" i="100"/>
  <c r="AC19" i="94"/>
  <c r="AC22" i="94" s="1"/>
  <c r="AC37" i="94"/>
  <c r="AA17" i="94"/>
  <c r="N16" i="94"/>
  <c r="F16" i="94"/>
  <c r="T16" i="94"/>
  <c r="W17" i="94"/>
  <c r="G16" i="94"/>
  <c r="AB17" i="94"/>
  <c r="O17" i="94"/>
  <c r="P15" i="94"/>
  <c r="H15" i="94"/>
  <c r="V15" i="94"/>
  <c r="K15" i="94"/>
  <c r="L15" i="94"/>
  <c r="AA16" i="94"/>
  <c r="U17" i="94"/>
  <c r="R17" i="94"/>
  <c r="Q16" i="94"/>
  <c r="N17" i="94"/>
  <c r="X17" i="94"/>
  <c r="Q17" i="94"/>
  <c r="W15" i="94"/>
  <c r="X15" i="94"/>
  <c r="O15" i="94"/>
  <c r="E16" i="94"/>
  <c r="P16" i="94"/>
  <c r="Z16" i="94"/>
  <c r="S16" i="94"/>
  <c r="I16" i="94"/>
  <c r="J16" i="94"/>
  <c r="AA15" i="94"/>
  <c r="Q15" i="94"/>
  <c r="F17" i="94"/>
  <c r="X16" i="94"/>
  <c r="L17" i="94"/>
  <c r="S15" i="94"/>
  <c r="R15" i="94"/>
  <c r="AB15" i="94"/>
  <c r="U15" i="94"/>
  <c r="U16" i="94"/>
  <c r="V16" i="94"/>
  <c r="M15" i="94"/>
  <c r="M16" i="94"/>
  <c r="Y17" i="94"/>
  <c r="G15" i="94"/>
  <c r="J15" i="94"/>
  <c r="Z17" i="94"/>
  <c r="R16" i="94"/>
  <c r="G17" i="94"/>
  <c r="H17" i="94"/>
  <c r="Y15" i="94"/>
  <c r="Y16" i="94"/>
  <c r="M17" i="94"/>
  <c r="P17" i="94"/>
  <c r="AB16" i="94"/>
  <c r="S17" i="94"/>
  <c r="T17" i="94"/>
  <c r="K16" i="94"/>
  <c r="N15" i="94"/>
  <c r="K17" i="94"/>
  <c r="L16" i="94"/>
  <c r="O16" i="94"/>
  <c r="T15" i="94"/>
  <c r="F15" i="94"/>
  <c r="W16" i="94"/>
  <c r="Z15" i="94"/>
  <c r="E17" i="94"/>
  <c r="I17" i="94"/>
  <c r="V17" i="94"/>
  <c r="H16" i="94"/>
  <c r="I15" i="94"/>
  <c r="E15" i="94"/>
  <c r="J17" i="94"/>
  <c r="U25" i="94"/>
  <c r="I25" i="94"/>
  <c r="W24" i="94"/>
  <c r="K24" i="94"/>
  <c r="Y23" i="94"/>
  <c r="M23" i="94"/>
  <c r="S25" i="94"/>
  <c r="G25" i="94"/>
  <c r="U24" i="94"/>
  <c r="I24" i="94"/>
  <c r="W23" i="94"/>
  <c r="K23" i="94"/>
  <c r="AB25" i="94"/>
  <c r="V24" i="94"/>
  <c r="U23" i="94"/>
  <c r="V25" i="94"/>
  <c r="T24" i="94"/>
  <c r="T23" i="94"/>
  <c r="T25" i="94"/>
  <c r="S24" i="94"/>
  <c r="N23" i="94"/>
  <c r="R25" i="94"/>
  <c r="R24" i="94"/>
  <c r="L23" i="94"/>
  <c r="Q25" i="94"/>
  <c r="L24" i="94"/>
  <c r="J23" i="94"/>
  <c r="X23" i="94"/>
  <c r="H25" i="94"/>
  <c r="G24" i="94"/>
  <c r="P25" i="94"/>
  <c r="J24" i="94"/>
  <c r="I23" i="94"/>
  <c r="J25" i="94"/>
  <c r="H24" i="94"/>
  <c r="H23" i="94"/>
  <c r="F25" i="94"/>
  <c r="F24" i="94"/>
  <c r="E25" i="94"/>
  <c r="Z23" i="94"/>
  <c r="X24" i="94"/>
  <c r="V23" i="94"/>
  <c r="O23" i="94"/>
  <c r="P23" i="94"/>
  <c r="M25" i="94"/>
  <c r="G23" i="94"/>
  <c r="AA23" i="94"/>
  <c r="AB23" i="94"/>
  <c r="Y25" i="94"/>
  <c r="S23" i="94"/>
  <c r="M24" i="94"/>
  <c r="N24" i="94"/>
  <c r="F23" i="94"/>
  <c r="E24" i="94"/>
  <c r="Y24" i="94"/>
  <c r="Z24" i="94"/>
  <c r="R23" i="94"/>
  <c r="Q24" i="94"/>
  <c r="AA25" i="94"/>
  <c r="K25" i="94"/>
  <c r="L25" i="94"/>
  <c r="P24" i="94"/>
  <c r="O25" i="94"/>
  <c r="W25" i="94"/>
  <c r="X25" i="94"/>
  <c r="AB24" i="94"/>
  <c r="N25" i="94"/>
  <c r="Z25" i="94"/>
  <c r="E23" i="94"/>
  <c r="AA24" i="94"/>
  <c r="Q23" i="94"/>
  <c r="O24" i="94"/>
  <c r="AC39" i="94"/>
  <c r="AC36" i="94"/>
  <c r="AC11" i="94"/>
  <c r="AC43" i="94"/>
  <c r="AC27" i="94"/>
  <c r="AC30" i="94" s="1"/>
  <c r="AC44" i="94"/>
  <c r="AC35" i="94"/>
  <c r="AC38" i="94" s="1"/>
  <c r="X53" i="94"/>
  <c r="L53" i="94"/>
  <c r="Z52" i="94"/>
  <c r="N52" i="94"/>
  <c r="AB51" i="94"/>
  <c r="P51" i="94"/>
  <c r="T53" i="94"/>
  <c r="J52" i="94"/>
  <c r="I52" i="94"/>
  <c r="H52" i="94"/>
  <c r="T52" i="94"/>
  <c r="X51" i="94"/>
  <c r="S53" i="94"/>
  <c r="W51" i="94"/>
  <c r="R53" i="94"/>
  <c r="V51" i="94"/>
  <c r="G53" i="94"/>
  <c r="K51" i="94"/>
  <c r="H53" i="94"/>
  <c r="L51" i="94"/>
  <c r="F53" i="94"/>
  <c r="J51" i="94"/>
  <c r="V52" i="94"/>
  <c r="U52" i="94"/>
  <c r="M51" i="94"/>
  <c r="N51" i="94"/>
  <c r="E51" i="94"/>
  <c r="N53" i="94"/>
  <c r="Y51" i="94"/>
  <c r="Z51" i="94"/>
  <c r="O51" i="94"/>
  <c r="Q51" i="94"/>
  <c r="Z53" i="94"/>
  <c r="K52" i="94"/>
  <c r="L52" i="94"/>
  <c r="AA51" i="94"/>
  <c r="O52" i="94"/>
  <c r="G51" i="94"/>
  <c r="H51" i="94"/>
  <c r="W52" i="94"/>
  <c r="X52" i="94"/>
  <c r="M52" i="94"/>
  <c r="AA52" i="94"/>
  <c r="S51" i="94"/>
  <c r="T51" i="94"/>
  <c r="I53" i="94"/>
  <c r="J53" i="94"/>
  <c r="Y52" i="94"/>
  <c r="M53" i="94"/>
  <c r="E52" i="94"/>
  <c r="F52" i="94"/>
  <c r="U53" i="94"/>
  <c r="V53" i="94"/>
  <c r="K53" i="94"/>
  <c r="Y53" i="94"/>
  <c r="Q52" i="94"/>
  <c r="R52" i="94"/>
  <c r="W53" i="94"/>
  <c r="O53" i="94"/>
  <c r="P53" i="94"/>
  <c r="I51" i="94"/>
  <c r="F51" i="94"/>
  <c r="AA53" i="94"/>
  <c r="AB53" i="94"/>
  <c r="U51" i="94"/>
  <c r="AB52" i="94"/>
  <c r="Q53" i="94"/>
  <c r="R51" i="94"/>
  <c r="G52" i="94"/>
  <c r="S52" i="94"/>
  <c r="P52" i="94"/>
  <c r="E53" i="94"/>
  <c r="AC41" i="94"/>
  <c r="AC45" i="94"/>
  <c r="R55" i="94"/>
  <c r="F55" i="94"/>
  <c r="Y57" i="94"/>
  <c r="M57" i="94"/>
  <c r="AA56" i="94"/>
  <c r="O56" i="94"/>
  <c r="Q55" i="94"/>
  <c r="E55" i="94"/>
  <c r="X57" i="94"/>
  <c r="L57" i="94"/>
  <c r="Z56" i="94"/>
  <c r="N56" i="94"/>
  <c r="AB55" i="94"/>
  <c r="P55" i="94"/>
  <c r="J57" i="94"/>
  <c r="L56" i="94"/>
  <c r="Z55" i="94"/>
  <c r="N55" i="94"/>
  <c r="X56" i="94"/>
  <c r="U57" i="94"/>
  <c r="T57" i="94"/>
  <c r="L55" i="94"/>
  <c r="I57" i="94"/>
  <c r="H57" i="94"/>
  <c r="W56" i="94"/>
  <c r="V56" i="94"/>
  <c r="J56" i="94"/>
  <c r="K56" i="94"/>
  <c r="Y55" i="94"/>
  <c r="X55" i="94"/>
  <c r="M55" i="94"/>
  <c r="E57" i="94"/>
  <c r="F57" i="94"/>
  <c r="W55" i="94"/>
  <c r="Q57" i="94"/>
  <c r="R57" i="94"/>
  <c r="I56" i="94"/>
  <c r="H55" i="94"/>
  <c r="U56" i="94"/>
  <c r="T55" i="94"/>
  <c r="G57" i="94"/>
  <c r="F56" i="94"/>
  <c r="R56" i="94"/>
  <c r="O55" i="94"/>
  <c r="G55" i="94"/>
  <c r="P57" i="94"/>
  <c r="AA55" i="94"/>
  <c r="S55" i="94"/>
  <c r="AB57" i="94"/>
  <c r="V57" i="94"/>
  <c r="Z57" i="94"/>
  <c r="S56" i="94"/>
  <c r="M56" i="94"/>
  <c r="P56" i="94"/>
  <c r="E56" i="94"/>
  <c r="I55" i="94"/>
  <c r="J55" i="94"/>
  <c r="W57" i="94"/>
  <c r="AA57" i="94"/>
  <c r="Y56" i="94"/>
  <c r="AB56" i="94"/>
  <c r="Q56" i="94"/>
  <c r="U55" i="94"/>
  <c r="V55" i="94"/>
  <c r="K55" i="94"/>
  <c r="S57" i="94"/>
  <c r="K57" i="94"/>
  <c r="N57" i="94"/>
  <c r="O57" i="94"/>
  <c r="G56" i="94"/>
  <c r="H56" i="94"/>
  <c r="T56" i="94"/>
  <c r="J49" i="94"/>
  <c r="Z47" i="94"/>
  <c r="X48" i="94"/>
  <c r="V49" i="94"/>
  <c r="L48" i="94"/>
  <c r="U49" i="94"/>
  <c r="I49" i="94"/>
  <c r="W48" i="94"/>
  <c r="K48" i="94"/>
  <c r="Y47" i="94"/>
  <c r="M47" i="94"/>
  <c r="T49" i="94"/>
  <c r="H49" i="94"/>
  <c r="V48" i="94"/>
  <c r="J48" i="94"/>
  <c r="X47" i="94"/>
  <c r="L47" i="94"/>
  <c r="S49" i="94"/>
  <c r="G49" i="94"/>
  <c r="U48" i="94"/>
  <c r="I48" i="94"/>
  <c r="W47" i="94"/>
  <c r="K47" i="94"/>
  <c r="H48" i="94"/>
  <c r="G48" i="94"/>
  <c r="R48" i="94"/>
  <c r="AB49" i="94"/>
  <c r="F48" i="94"/>
  <c r="R49" i="94"/>
  <c r="V47" i="94"/>
  <c r="Q49" i="94"/>
  <c r="U47" i="94"/>
  <c r="P49" i="94"/>
  <c r="T47" i="94"/>
  <c r="E49" i="94"/>
  <c r="J47" i="94"/>
  <c r="F49" i="94"/>
  <c r="N47" i="94"/>
  <c r="I47" i="94"/>
  <c r="T48" i="94"/>
  <c r="H47" i="94"/>
  <c r="S48" i="94"/>
  <c r="M49" i="94"/>
  <c r="N49" i="94"/>
  <c r="P47" i="94"/>
  <c r="Y49" i="94"/>
  <c r="Z49" i="94"/>
  <c r="G47" i="94"/>
  <c r="AB47" i="94"/>
  <c r="S47" i="94"/>
  <c r="N48" i="94"/>
  <c r="E48" i="94"/>
  <c r="Z48" i="94"/>
  <c r="Q48" i="94"/>
  <c r="L49" i="94"/>
  <c r="O49" i="94"/>
  <c r="O47" i="94"/>
  <c r="X49" i="94"/>
  <c r="AA49" i="94"/>
  <c r="AA47" i="94"/>
  <c r="W49" i="94"/>
  <c r="M48" i="94"/>
  <c r="E47" i="94"/>
  <c r="F47" i="94"/>
  <c r="AA48" i="94"/>
  <c r="AB48" i="94"/>
  <c r="Y48" i="94"/>
  <c r="Q47" i="94"/>
  <c r="R47" i="94"/>
  <c r="K49" i="94"/>
  <c r="O48" i="94"/>
  <c r="P48" i="94"/>
  <c r="AC12" i="94"/>
  <c r="AC40" i="94"/>
  <c r="Y33" i="94"/>
  <c r="M33" i="94"/>
  <c r="AA32" i="94"/>
  <c r="O32" i="94"/>
  <c r="Q31" i="94"/>
  <c r="E31" i="94"/>
  <c r="Z32" i="94"/>
  <c r="Y31" i="94"/>
  <c r="Z33" i="94"/>
  <c r="X32" i="94"/>
  <c r="X31" i="94"/>
  <c r="H33" i="94"/>
  <c r="X33" i="94"/>
  <c r="W32" i="94"/>
  <c r="R31" i="94"/>
  <c r="V33" i="94"/>
  <c r="V32" i="94"/>
  <c r="P31" i="94"/>
  <c r="U33" i="94"/>
  <c r="P32" i="94"/>
  <c r="N31" i="94"/>
  <c r="T33" i="94"/>
  <c r="N32" i="94"/>
  <c r="M31" i="94"/>
  <c r="N33" i="94"/>
  <c r="L32" i="94"/>
  <c r="L31" i="94"/>
  <c r="L33" i="94"/>
  <c r="K32" i="94"/>
  <c r="F31" i="94"/>
  <c r="J33" i="94"/>
  <c r="J32" i="94"/>
  <c r="I33" i="94"/>
  <c r="AB31" i="94"/>
  <c r="AB32" i="94"/>
  <c r="Z31" i="94"/>
  <c r="G31" i="94"/>
  <c r="H31" i="94"/>
  <c r="E33" i="94"/>
  <c r="I32" i="94"/>
  <c r="S33" i="94"/>
  <c r="S31" i="94"/>
  <c r="T31" i="94"/>
  <c r="Q33" i="94"/>
  <c r="U32" i="94"/>
  <c r="E32" i="94"/>
  <c r="F32" i="94"/>
  <c r="J31" i="94"/>
  <c r="G33" i="94"/>
  <c r="Q32" i="94"/>
  <c r="R32" i="94"/>
  <c r="V31" i="94"/>
  <c r="O33" i="94"/>
  <c r="P33" i="94"/>
  <c r="H32" i="94"/>
  <c r="AA33" i="94"/>
  <c r="AB33" i="94"/>
  <c r="T32" i="94"/>
  <c r="O31" i="94"/>
  <c r="F33" i="94"/>
  <c r="AA31" i="94"/>
  <c r="R33" i="94"/>
  <c r="S32" i="94"/>
  <c r="W31" i="94"/>
  <c r="M32" i="94"/>
  <c r="I31" i="94"/>
  <c r="Y32" i="94"/>
  <c r="U31" i="94"/>
  <c r="W33" i="94"/>
  <c r="K33" i="94"/>
  <c r="G32" i="94"/>
  <c r="K31" i="94"/>
  <c r="AC13" i="94"/>
  <c r="AA33" i="92"/>
  <c r="Q33" i="92"/>
  <c r="J31" i="92"/>
  <c r="O31" i="92"/>
  <c r="V31" i="92"/>
  <c r="AA31" i="92"/>
  <c r="H32" i="92"/>
  <c r="M32" i="92"/>
  <c r="E31" i="92"/>
  <c r="T32" i="92"/>
  <c r="Y32" i="92"/>
  <c r="Q31" i="92"/>
  <c r="F33" i="92"/>
  <c r="K31" i="92"/>
  <c r="K33" i="92"/>
  <c r="O32" i="92"/>
  <c r="R33" i="92"/>
  <c r="W31" i="92"/>
  <c r="AA32" i="92"/>
  <c r="I32" i="92"/>
  <c r="M33" i="92"/>
  <c r="G31" i="92"/>
  <c r="I31" i="92"/>
  <c r="U32" i="92"/>
  <c r="E32" i="92"/>
  <c r="Y33" i="92"/>
  <c r="S31" i="92"/>
  <c r="U31" i="92"/>
  <c r="G33" i="92"/>
  <c r="G32" i="92"/>
  <c r="Q32" i="92"/>
  <c r="S32" i="92"/>
  <c r="O33" i="92"/>
  <c r="E33" i="92"/>
  <c r="R12" i="92"/>
  <c r="U11" i="92"/>
  <c r="I12" i="92"/>
  <c r="I13" i="92"/>
  <c r="H11" i="92"/>
  <c r="AB13" i="92"/>
  <c r="G12" i="92"/>
  <c r="U12" i="92"/>
  <c r="E13" i="92"/>
  <c r="G13" i="92"/>
  <c r="Q12" i="92"/>
  <c r="Y11" i="92"/>
  <c r="M12" i="92"/>
  <c r="Q13" i="92"/>
  <c r="S13" i="92"/>
  <c r="L11" i="92"/>
  <c r="Y12" i="92"/>
  <c r="X11" i="92"/>
  <c r="M13" i="92"/>
  <c r="K13" i="92"/>
  <c r="J12" i="92"/>
  <c r="W13" i="92"/>
  <c r="G11" i="92"/>
  <c r="V12" i="92"/>
  <c r="O12" i="92"/>
  <c r="S11" i="92"/>
  <c r="H13" i="92"/>
  <c r="AA12" i="92"/>
  <c r="E12" i="92"/>
  <c r="T13" i="92"/>
  <c r="M11" i="92"/>
  <c r="Y13" i="92"/>
  <c r="O13" i="92"/>
  <c r="T11" i="92"/>
  <c r="K11" i="92"/>
  <c r="K12" i="92"/>
  <c r="AA13" i="92"/>
  <c r="F12" i="92"/>
  <c r="I11" i="92"/>
  <c r="W11" i="92"/>
  <c r="W12" i="92"/>
  <c r="O49" i="92"/>
  <c r="P24" i="92"/>
  <c r="Q47" i="92"/>
  <c r="E48" i="92"/>
  <c r="W49" i="92"/>
  <c r="J49" i="92"/>
  <c r="S47" i="92"/>
  <c r="Z49" i="92"/>
  <c r="K49" i="92"/>
  <c r="X48" i="92"/>
  <c r="G47" i="92"/>
  <c r="N49" i="92"/>
  <c r="AA24" i="92"/>
  <c r="Y48" i="92"/>
  <c r="W25" i="92"/>
  <c r="L48" i="92"/>
  <c r="AB48" i="92"/>
  <c r="O24" i="92"/>
  <c r="M48" i="92"/>
  <c r="Y24" i="92"/>
  <c r="Z47" i="92"/>
  <c r="AA44" i="92"/>
  <c r="P48" i="92"/>
  <c r="Q23" i="92"/>
  <c r="AA47" i="92"/>
  <c r="AA23" i="92"/>
  <c r="N47" i="92"/>
  <c r="O25" i="92"/>
  <c r="R47" i="92"/>
  <c r="O47" i="92"/>
  <c r="J25" i="92"/>
  <c r="R23" i="92"/>
  <c r="E47" i="92"/>
  <c r="E24" i="92"/>
  <c r="F47" i="92"/>
  <c r="Y49" i="92"/>
  <c r="L24" i="92"/>
  <c r="K24" i="92"/>
  <c r="G23" i="92"/>
  <c r="M49" i="92"/>
  <c r="Y23" i="92"/>
  <c r="M23" i="92"/>
  <c r="U24" i="92"/>
  <c r="R37" i="92"/>
  <c r="Z37" i="92"/>
  <c r="AB36" i="92"/>
  <c r="N37" i="92"/>
  <c r="P36" i="92"/>
  <c r="R35" i="92"/>
  <c r="J37" i="92"/>
  <c r="N35" i="92"/>
  <c r="F37" i="92"/>
  <c r="J35" i="92"/>
  <c r="Z36" i="92"/>
  <c r="F35" i="92"/>
  <c r="X36" i="92"/>
  <c r="T36" i="92"/>
  <c r="N36" i="92"/>
  <c r="L36" i="92"/>
  <c r="H36" i="92"/>
  <c r="AB35" i="92"/>
  <c r="X37" i="92"/>
  <c r="Z35" i="92"/>
  <c r="V37" i="92"/>
  <c r="V35" i="92"/>
  <c r="L37" i="92"/>
  <c r="P35" i="92"/>
  <c r="O35" i="92"/>
  <c r="AA37" i="92"/>
  <c r="M35" i="92"/>
  <c r="Y37" i="92"/>
  <c r="T37" i="92"/>
  <c r="AA35" i="92"/>
  <c r="H35" i="92"/>
  <c r="Y35" i="92"/>
  <c r="M36" i="92"/>
  <c r="T35" i="92"/>
  <c r="I35" i="92"/>
  <c r="K36" i="92"/>
  <c r="Y36" i="92"/>
  <c r="F36" i="92"/>
  <c r="U35" i="92"/>
  <c r="W36" i="92"/>
  <c r="K37" i="92"/>
  <c r="R36" i="92"/>
  <c r="G36" i="92"/>
  <c r="I37" i="92"/>
  <c r="S37" i="92"/>
  <c r="U37" i="92"/>
  <c r="W37" i="92"/>
  <c r="P37" i="92"/>
  <c r="S36" i="92"/>
  <c r="E35" i="92"/>
  <c r="AB37" i="92"/>
  <c r="E37" i="92"/>
  <c r="K35" i="92"/>
  <c r="L35" i="92"/>
  <c r="O37" i="92"/>
  <c r="Q35" i="92"/>
  <c r="G35" i="92"/>
  <c r="Q37" i="92"/>
  <c r="W35" i="92"/>
  <c r="X35" i="92"/>
  <c r="O36" i="92"/>
  <c r="S35" i="92"/>
  <c r="I36" i="92"/>
  <c r="J36" i="92"/>
  <c r="AA36" i="92"/>
  <c r="E36" i="92"/>
  <c r="U36" i="92"/>
  <c r="V36" i="92"/>
  <c r="M37" i="92"/>
  <c r="Q36" i="92"/>
  <c r="G37" i="92"/>
  <c r="H37" i="92"/>
  <c r="E43" i="92"/>
  <c r="S23" i="92"/>
  <c r="L45" i="92"/>
  <c r="K45" i="92"/>
  <c r="M24" i="92"/>
  <c r="I16" i="92"/>
  <c r="X24" i="92"/>
  <c r="Y17" i="92"/>
  <c r="M17" i="92"/>
  <c r="AA16" i="92"/>
  <c r="O16" i="92"/>
  <c r="Q15" i="92"/>
  <c r="E15" i="92"/>
  <c r="Z17" i="92"/>
  <c r="P16" i="92"/>
  <c r="F15" i="92"/>
  <c r="X17" i="92"/>
  <c r="N16" i="92"/>
  <c r="T17" i="92"/>
  <c r="J16" i="92"/>
  <c r="P17" i="92"/>
  <c r="F16" i="92"/>
  <c r="H17" i="92"/>
  <c r="X15" i="92"/>
  <c r="N17" i="92"/>
  <c r="L17" i="92"/>
  <c r="AB15" i="92"/>
  <c r="T15" i="92"/>
  <c r="AB16" i="92"/>
  <c r="R15" i="92"/>
  <c r="Z16" i="92"/>
  <c r="P15" i="92"/>
  <c r="V16" i="92"/>
  <c r="L15" i="92"/>
  <c r="AB17" i="92"/>
  <c r="R16" i="92"/>
  <c r="H15" i="92"/>
  <c r="W15" i="92"/>
  <c r="H16" i="92"/>
  <c r="N44" i="92"/>
  <c r="M44" i="92"/>
  <c r="O23" i="92"/>
  <c r="K15" i="92"/>
  <c r="Z23" i="92"/>
  <c r="V15" i="92"/>
  <c r="F13" i="92"/>
  <c r="V11" i="92"/>
  <c r="AB12" i="92"/>
  <c r="R11" i="92"/>
  <c r="Z12" i="92"/>
  <c r="P11" i="92"/>
  <c r="X12" i="92"/>
  <c r="N11" i="92"/>
  <c r="T12" i="92"/>
  <c r="J11" i="92"/>
  <c r="X13" i="92"/>
  <c r="N12" i="92"/>
  <c r="Z13" i="92"/>
  <c r="P12" i="92"/>
  <c r="F11" i="92"/>
  <c r="V13" i="92"/>
  <c r="L12" i="92"/>
  <c r="R13" i="92"/>
  <c r="H12" i="92"/>
  <c r="N13" i="92"/>
  <c r="L13" i="92"/>
  <c r="AB11" i="92"/>
  <c r="J13" i="92"/>
  <c r="Z11" i="92"/>
  <c r="H41" i="92"/>
  <c r="V40" i="92"/>
  <c r="X39" i="92"/>
  <c r="T41" i="92"/>
  <c r="J40" i="92"/>
  <c r="L39" i="92"/>
  <c r="U40" i="92"/>
  <c r="I40" i="92"/>
  <c r="W39" i="92"/>
  <c r="K39" i="92"/>
  <c r="T39" i="92"/>
  <c r="R41" i="92"/>
  <c r="F41" i="92"/>
  <c r="T40" i="92"/>
  <c r="H40" i="92"/>
  <c r="V39" i="92"/>
  <c r="J39" i="92"/>
  <c r="R40" i="92"/>
  <c r="Q41" i="92"/>
  <c r="E41" i="92"/>
  <c r="S40" i="92"/>
  <c r="G40" i="92"/>
  <c r="U39" i="92"/>
  <c r="I39" i="92"/>
  <c r="F40" i="92"/>
  <c r="H39" i="92"/>
  <c r="AB41" i="92"/>
  <c r="P41" i="92"/>
  <c r="AA41" i="92"/>
  <c r="O41" i="92"/>
  <c r="Q40" i="92"/>
  <c r="E40" i="92"/>
  <c r="S39" i="92"/>
  <c r="G39" i="92"/>
  <c r="Y41" i="92"/>
  <c r="M41" i="92"/>
  <c r="AA40" i="92"/>
  <c r="O40" i="92"/>
  <c r="Q39" i="92"/>
  <c r="E39" i="92"/>
  <c r="N40" i="92"/>
  <c r="AB39" i="92"/>
  <c r="R39" i="92"/>
  <c r="Z41" i="92"/>
  <c r="P39" i="92"/>
  <c r="X41" i="92"/>
  <c r="F39" i="92"/>
  <c r="N41" i="92"/>
  <c r="L41" i="92"/>
  <c r="AB40" i="92"/>
  <c r="Z40" i="92"/>
  <c r="P40" i="92"/>
  <c r="AB43" i="92"/>
  <c r="AA43" i="92"/>
  <c r="N23" i="92"/>
  <c r="J15" i="92"/>
  <c r="Q11" i="92"/>
  <c r="AA11" i="92"/>
  <c r="Y45" i="92"/>
  <c r="U16" i="92"/>
  <c r="F17" i="92"/>
  <c r="P43" i="92"/>
  <c r="U25" i="92"/>
  <c r="Q17" i="92"/>
  <c r="E11" i="92"/>
  <c r="O11" i="92"/>
  <c r="W17" i="92"/>
  <c r="Z33" i="92"/>
  <c r="N33" i="92"/>
  <c r="AB32" i="92"/>
  <c r="P32" i="92"/>
  <c r="R31" i="92"/>
  <c r="F31" i="92"/>
  <c r="X33" i="92"/>
  <c r="U33" i="92"/>
  <c r="I33" i="92"/>
  <c r="W32" i="92"/>
  <c r="K32" i="92"/>
  <c r="Y31" i="92"/>
  <c r="M31" i="92"/>
  <c r="H33" i="92"/>
  <c r="X31" i="92"/>
  <c r="T31" i="92"/>
  <c r="Z32" i="92"/>
  <c r="P31" i="92"/>
  <c r="X32" i="92"/>
  <c r="N31" i="92"/>
  <c r="V32" i="92"/>
  <c r="L31" i="92"/>
  <c r="R32" i="92"/>
  <c r="H31" i="92"/>
  <c r="AB33" i="92"/>
  <c r="N32" i="92"/>
  <c r="V33" i="92"/>
  <c r="L32" i="92"/>
  <c r="T33" i="92"/>
  <c r="J32" i="92"/>
  <c r="P33" i="92"/>
  <c r="F32" i="92"/>
  <c r="L33" i="92"/>
  <c r="AB31" i="92"/>
  <c r="J33" i="92"/>
  <c r="Z31" i="92"/>
  <c r="Z25" i="92"/>
  <c r="V17" i="92"/>
  <c r="Y25" i="92"/>
  <c r="U17" i="92"/>
  <c r="S12" i="92"/>
  <c r="P13" i="92"/>
  <c r="I25" i="92"/>
  <c r="E17" i="92"/>
  <c r="W33" i="92"/>
  <c r="S25" i="92"/>
  <c r="AA17" i="92"/>
  <c r="X49" i="92"/>
  <c r="L49" i="92"/>
  <c r="Z48" i="92"/>
  <c r="N48" i="92"/>
  <c r="AB47" i="92"/>
  <c r="P47" i="92"/>
  <c r="U49" i="92"/>
  <c r="I49" i="92"/>
  <c r="W48" i="92"/>
  <c r="K48" i="92"/>
  <c r="Y47" i="92"/>
  <c r="M47" i="92"/>
  <c r="T49" i="92"/>
  <c r="H49" i="92"/>
  <c r="V48" i="92"/>
  <c r="J48" i="92"/>
  <c r="X47" i="92"/>
  <c r="L47" i="92"/>
  <c r="S49" i="92"/>
  <c r="G49" i="92"/>
  <c r="U48" i="92"/>
  <c r="I48" i="92"/>
  <c r="W47" i="92"/>
  <c r="K47" i="92"/>
  <c r="Q49" i="92"/>
  <c r="E49" i="92"/>
  <c r="S48" i="92"/>
  <c r="G48" i="92"/>
  <c r="U47" i="92"/>
  <c r="I47" i="92"/>
  <c r="T48" i="92"/>
  <c r="R48" i="92"/>
  <c r="H48" i="92"/>
  <c r="F48" i="92"/>
  <c r="V47" i="92"/>
  <c r="T47" i="92"/>
  <c r="J47" i="92"/>
  <c r="AB49" i="92"/>
  <c r="H47" i="92"/>
  <c r="R49" i="92"/>
  <c r="P49" i="92"/>
  <c r="F49" i="92"/>
  <c r="AA49" i="92"/>
  <c r="N25" i="92"/>
  <c r="J17" i="92"/>
  <c r="M25" i="92"/>
  <c r="I17" i="92"/>
  <c r="W24" i="92"/>
  <c r="S16" i="92"/>
  <c r="G25" i="92"/>
  <c r="O17" i="92"/>
  <c r="D30" i="92"/>
  <c r="AA25" i="92"/>
  <c r="W41" i="92"/>
  <c r="K17" i="92"/>
  <c r="X16" i="92"/>
  <c r="W16" i="92"/>
  <c r="G16" i="92"/>
  <c r="Q16" i="92"/>
  <c r="D58" i="92"/>
  <c r="S33" i="92"/>
  <c r="Y16" i="92"/>
  <c r="L16" i="92"/>
  <c r="K16" i="92"/>
  <c r="U15" i="92"/>
  <c r="E16" i="92"/>
  <c r="D22" i="92"/>
  <c r="M16" i="92"/>
  <c r="Z15" i="92"/>
  <c r="Y15" i="92"/>
  <c r="S17" i="92"/>
  <c r="D54" i="92"/>
  <c r="I15" i="92"/>
  <c r="S15" i="92"/>
  <c r="Q25" i="92"/>
  <c r="E25" i="92"/>
  <c r="S24" i="92"/>
  <c r="G24" i="92"/>
  <c r="U23" i="92"/>
  <c r="I23" i="92"/>
  <c r="V24" i="92"/>
  <c r="L23" i="92"/>
  <c r="T24" i="92"/>
  <c r="J23" i="92"/>
  <c r="AB25" i="92"/>
  <c r="R24" i="92"/>
  <c r="H23" i="92"/>
  <c r="P25" i="92"/>
  <c r="X25" i="92"/>
  <c r="N24" i="92"/>
  <c r="F24" i="92"/>
  <c r="T25" i="92"/>
  <c r="J24" i="92"/>
  <c r="R25" i="92"/>
  <c r="H24" i="92"/>
  <c r="L25" i="92"/>
  <c r="AB23" i="92"/>
  <c r="H25" i="92"/>
  <c r="X23" i="92"/>
  <c r="F25" i="92"/>
  <c r="V23" i="92"/>
  <c r="T23" i="92"/>
  <c r="Z24" i="92"/>
  <c r="P23" i="92"/>
  <c r="U13" i="92"/>
  <c r="O15" i="92"/>
  <c r="Q24" i="92"/>
  <c r="AA15" i="92"/>
  <c r="F23" i="92"/>
  <c r="N15" i="92"/>
  <c r="E23" i="92"/>
  <c r="M15" i="92"/>
  <c r="K25" i="92"/>
  <c r="G17" i="92"/>
  <c r="V25" i="92"/>
  <c r="R17" i="92"/>
  <c r="K23" i="92"/>
  <c r="G15" i="92"/>
  <c r="X44" i="92"/>
  <c r="L44" i="92"/>
  <c r="Z43" i="92"/>
  <c r="N43" i="92"/>
  <c r="J45" i="92"/>
  <c r="V45" i="92"/>
  <c r="U45" i="92"/>
  <c r="I45" i="92"/>
  <c r="W44" i="92"/>
  <c r="K44" i="92"/>
  <c r="Y43" i="92"/>
  <c r="M43" i="92"/>
  <c r="T45" i="92"/>
  <c r="H45" i="92"/>
  <c r="V44" i="92"/>
  <c r="J44" i="92"/>
  <c r="X43" i="92"/>
  <c r="L43" i="92"/>
  <c r="S45" i="92"/>
  <c r="G45" i="92"/>
  <c r="U44" i="92"/>
  <c r="I44" i="92"/>
  <c r="W43" i="92"/>
  <c r="K43" i="92"/>
  <c r="R45" i="92"/>
  <c r="F45" i="92"/>
  <c r="T44" i="92"/>
  <c r="H44" i="92"/>
  <c r="V43" i="92"/>
  <c r="J43" i="92"/>
  <c r="Q45" i="92"/>
  <c r="E45" i="92"/>
  <c r="S44" i="92"/>
  <c r="G44" i="92"/>
  <c r="U43" i="92"/>
  <c r="I43" i="92"/>
  <c r="AA45" i="92"/>
  <c r="O45" i="92"/>
  <c r="Q44" i="92"/>
  <c r="E44" i="92"/>
  <c r="S43" i="92"/>
  <c r="G43" i="92"/>
  <c r="AB45" i="92"/>
  <c r="H43" i="92"/>
  <c r="Z45" i="92"/>
  <c r="F43" i="92"/>
  <c r="P45" i="92"/>
  <c r="N45" i="92"/>
  <c r="AB44" i="92"/>
  <c r="R44" i="92"/>
  <c r="P44" i="92"/>
  <c r="F44" i="92"/>
  <c r="T43" i="92"/>
  <c r="R43" i="92"/>
  <c r="D21" i="16"/>
  <c r="D29" i="16"/>
  <c r="D25" i="16"/>
  <c r="D19" i="16"/>
  <c r="D12" i="16"/>
  <c r="D11" i="16"/>
  <c r="D16" i="16"/>
  <c r="D50" i="57"/>
  <c r="D38" i="57"/>
  <c r="S37" i="57" s="1"/>
  <c r="D34" i="57"/>
  <c r="D18" i="57"/>
  <c r="D34" i="56"/>
  <c r="D18" i="56"/>
  <c r="D50" i="55"/>
  <c r="D34" i="55"/>
  <c r="AB33" i="55" s="1"/>
  <c r="D18" i="55"/>
  <c r="D54" i="54"/>
  <c r="D50" i="54"/>
  <c r="D42" i="54"/>
  <c r="D34" i="54"/>
  <c r="D22" i="54"/>
  <c r="D50" i="53"/>
  <c r="D50" i="17"/>
  <c r="D18" i="17"/>
  <c r="M16" i="17" s="1"/>
  <c r="D26" i="16"/>
  <c r="D54" i="57"/>
  <c r="D46" i="57"/>
  <c r="D22" i="56"/>
  <c r="G21" i="56" s="1"/>
  <c r="D14" i="56"/>
  <c r="D54" i="55"/>
  <c r="D30" i="55"/>
  <c r="D38" i="53"/>
  <c r="D58" i="17"/>
  <c r="D54" i="17"/>
  <c r="D30" i="57"/>
  <c r="D14" i="57"/>
  <c r="D50" i="56"/>
  <c r="D46" i="56"/>
  <c r="D38" i="56"/>
  <c r="AB37" i="56" s="1"/>
  <c r="D30" i="56"/>
  <c r="D46" i="55"/>
  <c r="D14" i="55"/>
  <c r="D46" i="54"/>
  <c r="D30" i="54"/>
  <c r="D18" i="54"/>
  <c r="D14" i="54"/>
  <c r="D54" i="53"/>
  <c r="D46" i="53"/>
  <c r="D34" i="53"/>
  <c r="D30" i="53"/>
  <c r="D22" i="53"/>
  <c r="D14" i="53"/>
  <c r="D30" i="17"/>
  <c r="D14" i="17"/>
  <c r="Z11" i="17"/>
  <c r="V11" i="17"/>
  <c r="R11" i="17"/>
  <c r="N11" i="17"/>
  <c r="J11" i="17"/>
  <c r="AA11" i="17"/>
  <c r="U11" i="17"/>
  <c r="P11" i="17"/>
  <c r="K11" i="17"/>
  <c r="AB11" i="17"/>
  <c r="T11" i="17"/>
  <c r="M11" i="17"/>
  <c r="G11" i="17"/>
  <c r="Y11" i="17"/>
  <c r="S11" i="17"/>
  <c r="L11" i="17"/>
  <c r="W11" i="17"/>
  <c r="H11" i="17"/>
  <c r="Q11" i="17"/>
  <c r="I11" i="17"/>
  <c r="O11" i="17"/>
  <c r="X11" i="17"/>
  <c r="D46" i="16"/>
  <c r="D30" i="16"/>
  <c r="D58" i="57"/>
  <c r="D26" i="56"/>
  <c r="D26" i="57"/>
  <c r="D22" i="57"/>
  <c r="D54" i="56"/>
  <c r="D42" i="55"/>
  <c r="D38" i="55"/>
  <c r="D22" i="55"/>
  <c r="D38" i="54"/>
  <c r="D38" i="17"/>
  <c r="D22" i="17"/>
  <c r="Z13" i="17"/>
  <c r="V13" i="17"/>
  <c r="R13" i="17"/>
  <c r="N13" i="17"/>
  <c r="J13" i="17"/>
  <c r="AA13" i="17"/>
  <c r="U13" i="17"/>
  <c r="P13" i="17"/>
  <c r="K13" i="17"/>
  <c r="W13" i="17"/>
  <c r="O13" i="17"/>
  <c r="H13" i="17"/>
  <c r="AB13" i="17"/>
  <c r="T13" i="17"/>
  <c r="M13" i="17"/>
  <c r="G13" i="17"/>
  <c r="Q13" i="17"/>
  <c r="Y13" i="17"/>
  <c r="L13" i="17"/>
  <c r="S13" i="17"/>
  <c r="X13" i="17"/>
  <c r="I13" i="17"/>
  <c r="D42" i="57"/>
  <c r="D58" i="56"/>
  <c r="D42" i="56"/>
  <c r="D58" i="55"/>
  <c r="D26" i="55"/>
  <c r="D58" i="54"/>
  <c r="D26" i="54"/>
  <c r="D58" i="53"/>
  <c r="D42" i="53"/>
  <c r="D26" i="53"/>
  <c r="D18" i="53"/>
  <c r="D46" i="17"/>
  <c r="D42" i="17"/>
  <c r="D34" i="17"/>
  <c r="D26" i="17"/>
  <c r="Z12" i="17"/>
  <c r="V12" i="17"/>
  <c r="R12" i="17"/>
  <c r="N12" i="17"/>
  <c r="J12" i="17"/>
  <c r="X12" i="17"/>
  <c r="S12" i="17"/>
  <c r="M12" i="17"/>
  <c r="H12" i="17"/>
  <c r="Y12" i="17"/>
  <c r="Q12" i="17"/>
  <c r="K12" i="17"/>
  <c r="W12" i="17"/>
  <c r="P12" i="17"/>
  <c r="I12" i="17"/>
  <c r="AA12" i="17"/>
  <c r="L12" i="17"/>
  <c r="U12" i="17"/>
  <c r="G12" i="17"/>
  <c r="O12" i="17"/>
  <c r="AB12" i="17"/>
  <c r="T12" i="17"/>
  <c r="D58" i="16"/>
  <c r="S21" i="57"/>
  <c r="AA20" i="57"/>
  <c r="K20" i="57"/>
  <c r="S19" i="57"/>
  <c r="Z21" i="57"/>
  <c r="J21" i="57"/>
  <c r="R20" i="57"/>
  <c r="Z19" i="57"/>
  <c r="J19" i="57"/>
  <c r="Q21" i="57"/>
  <c r="Y20" i="57"/>
  <c r="I20" i="57"/>
  <c r="Q19" i="57"/>
  <c r="AB21" i="57"/>
  <c r="L19" i="57"/>
  <c r="H21" i="57"/>
  <c r="X20" i="57"/>
  <c r="L20" i="57"/>
  <c r="AA25" i="57"/>
  <c r="W25" i="57"/>
  <c r="S25" i="57"/>
  <c r="O25" i="57"/>
  <c r="K25" i="57"/>
  <c r="G25" i="57"/>
  <c r="AA24" i="57"/>
  <c r="W24" i="57"/>
  <c r="S24" i="57"/>
  <c r="O24" i="57"/>
  <c r="K24" i="57"/>
  <c r="G24" i="57"/>
  <c r="AA23" i="57"/>
  <c r="W23" i="57"/>
  <c r="S23" i="57"/>
  <c r="O23" i="57"/>
  <c r="K23" i="57"/>
  <c r="G23" i="57"/>
  <c r="Z25" i="57"/>
  <c r="V25" i="57"/>
  <c r="R25" i="57"/>
  <c r="N25" i="57"/>
  <c r="J25" i="57"/>
  <c r="F25" i="57"/>
  <c r="Z24" i="57"/>
  <c r="V24" i="57"/>
  <c r="R24" i="57"/>
  <c r="N24" i="57"/>
  <c r="J24" i="57"/>
  <c r="F24" i="57"/>
  <c r="Z23" i="57"/>
  <c r="V23" i="57"/>
  <c r="R23" i="57"/>
  <c r="N23" i="57"/>
  <c r="J23" i="57"/>
  <c r="F23" i="57"/>
  <c r="Y25" i="57"/>
  <c r="U25" i="57"/>
  <c r="Q25" i="57"/>
  <c r="M25" i="57"/>
  <c r="I25" i="57"/>
  <c r="E25" i="57"/>
  <c r="Y24" i="57"/>
  <c r="U24" i="57"/>
  <c r="Q24" i="57"/>
  <c r="M24" i="57"/>
  <c r="I24" i="57"/>
  <c r="E24" i="57"/>
  <c r="Y23" i="57"/>
  <c r="U23" i="57"/>
  <c r="Q23" i="57"/>
  <c r="M23" i="57"/>
  <c r="I23" i="57"/>
  <c r="E23" i="57"/>
  <c r="T25" i="57"/>
  <c r="AB24" i="57"/>
  <c r="L24" i="57"/>
  <c r="T23" i="57"/>
  <c r="X25" i="57"/>
  <c r="P24" i="57"/>
  <c r="P25" i="57"/>
  <c r="X24" i="57"/>
  <c r="H24" i="57"/>
  <c r="P23" i="57"/>
  <c r="H25" i="57"/>
  <c r="X23" i="57"/>
  <c r="AB25" i="57"/>
  <c r="L25" i="57"/>
  <c r="T24" i="57"/>
  <c r="AB23" i="57"/>
  <c r="L23" i="57"/>
  <c r="H23" i="57"/>
  <c r="Z41" i="57"/>
  <c r="V41" i="57"/>
  <c r="R41" i="57"/>
  <c r="N41" i="57"/>
  <c r="J41" i="57"/>
  <c r="F41" i="57"/>
  <c r="Z40" i="57"/>
  <c r="V40" i="57"/>
  <c r="R40" i="57"/>
  <c r="N40" i="57"/>
  <c r="J40" i="57"/>
  <c r="F40" i="57"/>
  <c r="Z39" i="57"/>
  <c r="Y41" i="57"/>
  <c r="U41" i="57"/>
  <c r="Q41" i="57"/>
  <c r="M41" i="57"/>
  <c r="I41" i="57"/>
  <c r="E41" i="57"/>
  <c r="Y40" i="57"/>
  <c r="U40" i="57"/>
  <c r="Q40" i="57"/>
  <c r="M40" i="57"/>
  <c r="I40" i="57"/>
  <c r="E40" i="57"/>
  <c r="Y39" i="57"/>
  <c r="AB41" i="57"/>
  <c r="X41" i="57"/>
  <c r="T41" i="57"/>
  <c r="P41" i="57"/>
  <c r="L41" i="57"/>
  <c r="H41" i="57"/>
  <c r="AB40" i="57"/>
  <c r="X40" i="57"/>
  <c r="T40" i="57"/>
  <c r="P40" i="57"/>
  <c r="L40" i="57"/>
  <c r="H40" i="57"/>
  <c r="AB39" i="57"/>
  <c r="S41" i="57"/>
  <c r="AA40" i="57"/>
  <c r="K40" i="57"/>
  <c r="W39" i="57"/>
  <c r="S39" i="57"/>
  <c r="O39" i="57"/>
  <c r="K39" i="57"/>
  <c r="G39" i="57"/>
  <c r="G41" i="57"/>
  <c r="P39" i="57"/>
  <c r="O41" i="57"/>
  <c r="W40" i="57"/>
  <c r="G40" i="57"/>
  <c r="V39" i="57"/>
  <c r="R39" i="57"/>
  <c r="N39" i="57"/>
  <c r="J39" i="57"/>
  <c r="F39" i="57"/>
  <c r="W41" i="57"/>
  <c r="X39" i="57"/>
  <c r="H39" i="57"/>
  <c r="AA41" i="57"/>
  <c r="K41" i="57"/>
  <c r="S40" i="57"/>
  <c r="AA39" i="57"/>
  <c r="U39" i="57"/>
  <c r="Q39" i="57"/>
  <c r="M39" i="57"/>
  <c r="I39" i="57"/>
  <c r="E39" i="57"/>
  <c r="O40" i="57"/>
  <c r="T39" i="57"/>
  <c r="L39" i="57"/>
  <c r="J56" i="57"/>
  <c r="Q56" i="57"/>
  <c r="AB56" i="57"/>
  <c r="W57" i="57"/>
  <c r="W37" i="57"/>
  <c r="O37" i="57"/>
  <c r="G37" i="57"/>
  <c r="W36" i="57"/>
  <c r="O36" i="57"/>
  <c r="G36" i="57"/>
  <c r="W35" i="57"/>
  <c r="O35" i="57"/>
  <c r="G35" i="57"/>
  <c r="P37" i="57"/>
  <c r="L36" i="57"/>
  <c r="H35" i="57"/>
  <c r="V37" i="57"/>
  <c r="N37" i="57"/>
  <c r="F37" i="57"/>
  <c r="V36" i="57"/>
  <c r="N36" i="57"/>
  <c r="F36" i="57"/>
  <c r="V35" i="57"/>
  <c r="N35" i="57"/>
  <c r="F35" i="57"/>
  <c r="H37" i="57"/>
  <c r="H36" i="57"/>
  <c r="L35" i="57"/>
  <c r="U37" i="57"/>
  <c r="M37" i="57"/>
  <c r="E37" i="57"/>
  <c r="U36" i="57"/>
  <c r="M36" i="57"/>
  <c r="E36" i="57"/>
  <c r="U35" i="57"/>
  <c r="M35" i="57"/>
  <c r="E35" i="57"/>
  <c r="L37" i="57"/>
  <c r="P36" i="57"/>
  <c r="P35" i="57"/>
  <c r="AA13" i="57"/>
  <c r="W13" i="57"/>
  <c r="S13" i="57"/>
  <c r="O13" i="57"/>
  <c r="K13" i="57"/>
  <c r="G13" i="57"/>
  <c r="AA12" i="57"/>
  <c r="W12" i="57"/>
  <c r="S12" i="57"/>
  <c r="O12" i="57"/>
  <c r="K12" i="57"/>
  <c r="G12" i="57"/>
  <c r="AA11" i="57"/>
  <c r="W11" i="57"/>
  <c r="S11" i="57"/>
  <c r="O11" i="57"/>
  <c r="K11" i="57"/>
  <c r="G11" i="57"/>
  <c r="Z13" i="57"/>
  <c r="V13" i="57"/>
  <c r="R13" i="57"/>
  <c r="N13" i="57"/>
  <c r="J13" i="57"/>
  <c r="F13" i="57"/>
  <c r="Z12" i="57"/>
  <c r="V12" i="57"/>
  <c r="R12" i="57"/>
  <c r="N12" i="57"/>
  <c r="J12" i="57"/>
  <c r="F12" i="57"/>
  <c r="Z11" i="57"/>
  <c r="V11" i="57"/>
  <c r="R11" i="57"/>
  <c r="N11" i="57"/>
  <c r="J11" i="57"/>
  <c r="F11" i="57"/>
  <c r="Y13" i="57"/>
  <c r="U13" i="57"/>
  <c r="Q13" i="57"/>
  <c r="M13" i="57"/>
  <c r="I13" i="57"/>
  <c r="E13" i="57"/>
  <c r="Y12" i="57"/>
  <c r="U12" i="57"/>
  <c r="Q12" i="57"/>
  <c r="M12" i="57"/>
  <c r="I12" i="57"/>
  <c r="E12" i="57"/>
  <c r="Y11" i="57"/>
  <c r="U11" i="57"/>
  <c r="Q11" i="57"/>
  <c r="M11" i="57"/>
  <c r="I11" i="57"/>
  <c r="E11" i="57"/>
  <c r="AB13" i="57"/>
  <c r="L13" i="57"/>
  <c r="T12" i="57"/>
  <c r="AB11" i="57"/>
  <c r="L11" i="57"/>
  <c r="P13" i="57"/>
  <c r="H12" i="57"/>
  <c r="X13" i="57"/>
  <c r="H13" i="57"/>
  <c r="P12" i="57"/>
  <c r="X11" i="57"/>
  <c r="H11" i="57"/>
  <c r="X12" i="57"/>
  <c r="T13" i="57"/>
  <c r="AB12" i="57"/>
  <c r="L12" i="57"/>
  <c r="T11" i="57"/>
  <c r="P11" i="57"/>
  <c r="S29" i="57"/>
  <c r="F29" i="57"/>
  <c r="V27" i="57"/>
  <c r="M29" i="57"/>
  <c r="E28" i="57"/>
  <c r="L29" i="57"/>
  <c r="X27" i="57"/>
  <c r="P27" i="57"/>
  <c r="Z45" i="57"/>
  <c r="V45" i="57"/>
  <c r="R45" i="57"/>
  <c r="N45" i="57"/>
  <c r="J45" i="57"/>
  <c r="F45" i="57"/>
  <c r="Z44" i="57"/>
  <c r="V44" i="57"/>
  <c r="R44" i="57"/>
  <c r="N44" i="57"/>
  <c r="J44" i="57"/>
  <c r="F44" i="57"/>
  <c r="Z43" i="57"/>
  <c r="V43" i="57"/>
  <c r="R43" i="57"/>
  <c r="N43" i="57"/>
  <c r="J43" i="57"/>
  <c r="F43" i="57"/>
  <c r="Y45" i="57"/>
  <c r="U45" i="57"/>
  <c r="Q45" i="57"/>
  <c r="M45" i="57"/>
  <c r="I45" i="57"/>
  <c r="E45" i="57"/>
  <c r="Y44" i="57"/>
  <c r="U44" i="57"/>
  <c r="Q44" i="57"/>
  <c r="M44" i="57"/>
  <c r="I44" i="57"/>
  <c r="E44" i="57"/>
  <c r="Y43" i="57"/>
  <c r="U43" i="57"/>
  <c r="Q43" i="57"/>
  <c r="M43" i="57"/>
  <c r="I43" i="57"/>
  <c r="E43" i="57"/>
  <c r="AB45" i="57"/>
  <c r="X45" i="57"/>
  <c r="T45" i="57"/>
  <c r="P45" i="57"/>
  <c r="L45" i="57"/>
  <c r="H45" i="57"/>
  <c r="AB44" i="57"/>
  <c r="X44" i="57"/>
  <c r="T44" i="57"/>
  <c r="P44" i="57"/>
  <c r="L44" i="57"/>
  <c r="H44" i="57"/>
  <c r="AB43" i="57"/>
  <c r="X43" i="57"/>
  <c r="T43" i="57"/>
  <c r="P43" i="57"/>
  <c r="L43" i="57"/>
  <c r="H43" i="57"/>
  <c r="AA45" i="57"/>
  <c r="K45" i="57"/>
  <c r="S44" i="57"/>
  <c r="AA43" i="57"/>
  <c r="K43" i="57"/>
  <c r="W44" i="57"/>
  <c r="W45" i="57"/>
  <c r="G45" i="57"/>
  <c r="O44" i="57"/>
  <c r="W43" i="57"/>
  <c r="G43" i="57"/>
  <c r="G44" i="57"/>
  <c r="S45" i="57"/>
  <c r="AA44" i="57"/>
  <c r="K44" i="57"/>
  <c r="S43" i="57"/>
  <c r="O45" i="57"/>
  <c r="O43" i="57"/>
  <c r="Z53" i="57"/>
  <c r="V53" i="57"/>
  <c r="R53" i="57"/>
  <c r="N53" i="57"/>
  <c r="J53" i="57"/>
  <c r="F53" i="57"/>
  <c r="Z52" i="57"/>
  <c r="V52" i="57"/>
  <c r="R52" i="57"/>
  <c r="N52" i="57"/>
  <c r="J52" i="57"/>
  <c r="F52" i="57"/>
  <c r="Z51" i="57"/>
  <c r="V51" i="57"/>
  <c r="R51" i="57"/>
  <c r="N51" i="57"/>
  <c r="J51" i="57"/>
  <c r="F51" i="57"/>
  <c r="Y53" i="57"/>
  <c r="U53" i="57"/>
  <c r="Q53" i="57"/>
  <c r="M53" i="57"/>
  <c r="I53" i="57"/>
  <c r="E53" i="57"/>
  <c r="Y52" i="57"/>
  <c r="U52" i="57"/>
  <c r="Q52" i="57"/>
  <c r="M52" i="57"/>
  <c r="I52" i="57"/>
  <c r="E52" i="57"/>
  <c r="Y51" i="57"/>
  <c r="U51" i="57"/>
  <c r="Q51" i="57"/>
  <c r="M51" i="57"/>
  <c r="I51" i="57"/>
  <c r="E51" i="57"/>
  <c r="AB53" i="57"/>
  <c r="X53" i="57"/>
  <c r="T53" i="57"/>
  <c r="P53" i="57"/>
  <c r="L53" i="57"/>
  <c r="H53" i="57"/>
  <c r="AB52" i="57"/>
  <c r="X52" i="57"/>
  <c r="T52" i="57"/>
  <c r="P52" i="57"/>
  <c r="L52" i="57"/>
  <c r="H52" i="57"/>
  <c r="AB51" i="57"/>
  <c r="X51" i="57"/>
  <c r="T51" i="57"/>
  <c r="P51" i="57"/>
  <c r="L51" i="57"/>
  <c r="H51" i="57"/>
  <c r="AA53" i="57"/>
  <c r="K53" i="57"/>
  <c r="S52" i="57"/>
  <c r="AA51" i="57"/>
  <c r="K51" i="57"/>
  <c r="O53" i="57"/>
  <c r="W53" i="57"/>
  <c r="G53" i="57"/>
  <c r="O52" i="57"/>
  <c r="W51" i="57"/>
  <c r="G51" i="57"/>
  <c r="W52" i="57"/>
  <c r="O51" i="57"/>
  <c r="S53" i="57"/>
  <c r="AA52" i="57"/>
  <c r="K52" i="57"/>
  <c r="S51" i="57"/>
  <c r="G52" i="57"/>
  <c r="W16" i="57"/>
  <c r="O15" i="57"/>
  <c r="F17" i="57"/>
  <c r="V15" i="57"/>
  <c r="M17" i="57"/>
  <c r="E16" i="57"/>
  <c r="AB16" i="57"/>
  <c r="P16" i="57"/>
  <c r="X15" i="57"/>
  <c r="AA33" i="57"/>
  <c r="W33" i="57"/>
  <c r="S33" i="57"/>
  <c r="O33" i="57"/>
  <c r="K33" i="57"/>
  <c r="G33" i="57"/>
  <c r="AA32" i="57"/>
  <c r="W32" i="57"/>
  <c r="S32" i="57"/>
  <c r="O32" i="57"/>
  <c r="K32" i="57"/>
  <c r="G32" i="57"/>
  <c r="AA31" i="57"/>
  <c r="W31" i="57"/>
  <c r="S31" i="57"/>
  <c r="O31" i="57"/>
  <c r="K31" i="57"/>
  <c r="G31" i="57"/>
  <c r="T33" i="57"/>
  <c r="Z33" i="57"/>
  <c r="V33" i="57"/>
  <c r="R33" i="57"/>
  <c r="N33" i="57"/>
  <c r="J33" i="57"/>
  <c r="F33" i="57"/>
  <c r="Z32" i="57"/>
  <c r="V32" i="57"/>
  <c r="R32" i="57"/>
  <c r="N32" i="57"/>
  <c r="J32" i="57"/>
  <c r="F32" i="57"/>
  <c r="Z31" i="57"/>
  <c r="V31" i="57"/>
  <c r="R31" i="57"/>
  <c r="N31" i="57"/>
  <c r="J31" i="57"/>
  <c r="F31" i="57"/>
  <c r="X33" i="57"/>
  <c r="P33" i="57"/>
  <c r="Y33" i="57"/>
  <c r="U33" i="57"/>
  <c r="Q33" i="57"/>
  <c r="M33" i="57"/>
  <c r="I33" i="57"/>
  <c r="E33" i="57"/>
  <c r="Y32" i="57"/>
  <c r="U32" i="57"/>
  <c r="Q32" i="57"/>
  <c r="M32" i="57"/>
  <c r="I32" i="57"/>
  <c r="E32" i="57"/>
  <c r="Y31" i="57"/>
  <c r="U31" i="57"/>
  <c r="Q31" i="57"/>
  <c r="M31" i="57"/>
  <c r="I31" i="57"/>
  <c r="E31" i="57"/>
  <c r="AB33" i="57"/>
  <c r="AB32" i="57"/>
  <c r="L32" i="57"/>
  <c r="T31" i="57"/>
  <c r="H33" i="57"/>
  <c r="H31" i="57"/>
  <c r="X32" i="57"/>
  <c r="H32" i="57"/>
  <c r="P31" i="57"/>
  <c r="X31" i="57"/>
  <c r="L33" i="57"/>
  <c r="T32" i="57"/>
  <c r="AB31" i="57"/>
  <c r="L31" i="57"/>
  <c r="P32" i="57"/>
  <c r="N49" i="57"/>
  <c r="V48" i="57"/>
  <c r="R48" i="57"/>
  <c r="F48" i="57"/>
  <c r="Z47" i="57"/>
  <c r="N47" i="57"/>
  <c r="J47" i="57"/>
  <c r="U49" i="57"/>
  <c r="Q49" i="57"/>
  <c r="E49" i="57"/>
  <c r="Y48" i="57"/>
  <c r="Q48" i="57"/>
  <c r="M48" i="57"/>
  <c r="I48" i="57"/>
  <c r="E48" i="57"/>
  <c r="Y47" i="57"/>
  <c r="U47" i="57"/>
  <c r="Q47" i="57"/>
  <c r="M47" i="57"/>
  <c r="I47" i="57"/>
  <c r="E47" i="57"/>
  <c r="AB49" i="57"/>
  <c r="X49" i="57"/>
  <c r="T49" i="57"/>
  <c r="P49" i="57"/>
  <c r="L49" i="57"/>
  <c r="H49" i="57"/>
  <c r="AB48" i="57"/>
  <c r="X48" i="57"/>
  <c r="T48" i="57"/>
  <c r="P48" i="57"/>
  <c r="L48" i="57"/>
  <c r="H48" i="57"/>
  <c r="AB47" i="57"/>
  <c r="X47" i="57"/>
  <c r="T47" i="57"/>
  <c r="P47" i="57"/>
  <c r="L47" i="57"/>
  <c r="H47" i="57"/>
  <c r="S49" i="57"/>
  <c r="AA48" i="57"/>
  <c r="K48" i="57"/>
  <c r="S47" i="57"/>
  <c r="G49" i="57"/>
  <c r="O49" i="57"/>
  <c r="W48" i="57"/>
  <c r="G48" i="57"/>
  <c r="O47" i="57"/>
  <c r="O48" i="57"/>
  <c r="G47" i="57"/>
  <c r="AA49" i="57"/>
  <c r="K49" i="57"/>
  <c r="S48" i="57"/>
  <c r="AA47" i="57"/>
  <c r="K47" i="57"/>
  <c r="W49" i="57"/>
  <c r="W47" i="57"/>
  <c r="O21" i="56"/>
  <c r="O20" i="56"/>
  <c r="S19" i="56"/>
  <c r="P21" i="56"/>
  <c r="V21" i="56"/>
  <c r="Z20" i="56"/>
  <c r="F20" i="56"/>
  <c r="F19" i="56"/>
  <c r="T19" i="56"/>
  <c r="M21" i="56"/>
  <c r="U20" i="56"/>
  <c r="E20" i="56"/>
  <c r="M19" i="56"/>
  <c r="L21" i="56"/>
  <c r="L19" i="56"/>
  <c r="P37" i="56"/>
  <c r="X36" i="56"/>
  <c r="H36" i="56"/>
  <c r="P35" i="56"/>
  <c r="W37" i="56"/>
  <c r="G37" i="56"/>
  <c r="O36" i="56"/>
  <c r="W35" i="56"/>
  <c r="G35" i="56"/>
  <c r="N37" i="56"/>
  <c r="V36" i="56"/>
  <c r="F36" i="56"/>
  <c r="N35" i="56"/>
  <c r="Y36" i="56"/>
  <c r="U35" i="56"/>
  <c r="M35" i="56"/>
  <c r="Q36" i="56"/>
  <c r="E35" i="56"/>
  <c r="AA25" i="56"/>
  <c r="W25" i="56"/>
  <c r="S25" i="56"/>
  <c r="O25" i="56"/>
  <c r="K25" i="56"/>
  <c r="G25" i="56"/>
  <c r="AA24" i="56"/>
  <c r="W24" i="56"/>
  <c r="S24" i="56"/>
  <c r="O24" i="56"/>
  <c r="K24" i="56"/>
  <c r="G24" i="56"/>
  <c r="AA23" i="56"/>
  <c r="W23" i="56"/>
  <c r="S23" i="56"/>
  <c r="O23" i="56"/>
  <c r="K23" i="56"/>
  <c r="G23" i="56"/>
  <c r="X25" i="56"/>
  <c r="L25" i="56"/>
  <c r="X24" i="56"/>
  <c r="L24" i="56"/>
  <c r="X23" i="56"/>
  <c r="P23" i="56"/>
  <c r="Z25" i="56"/>
  <c r="V25" i="56"/>
  <c r="R25" i="56"/>
  <c r="N25" i="56"/>
  <c r="J25" i="56"/>
  <c r="F25" i="56"/>
  <c r="Z24" i="56"/>
  <c r="V24" i="56"/>
  <c r="R24" i="56"/>
  <c r="N24" i="56"/>
  <c r="J24" i="56"/>
  <c r="F24" i="56"/>
  <c r="Z23" i="56"/>
  <c r="V23" i="56"/>
  <c r="R23" i="56"/>
  <c r="N23" i="56"/>
  <c r="J23" i="56"/>
  <c r="F23" i="56"/>
  <c r="AB25" i="56"/>
  <c r="P25" i="56"/>
  <c r="AB24" i="56"/>
  <c r="P24" i="56"/>
  <c r="AB23" i="56"/>
  <c r="L23" i="56"/>
  <c r="H23" i="56"/>
  <c r="Y25" i="56"/>
  <c r="U25" i="56"/>
  <c r="Q25" i="56"/>
  <c r="M25" i="56"/>
  <c r="I25" i="56"/>
  <c r="E25" i="56"/>
  <c r="Y24" i="56"/>
  <c r="U24" i="56"/>
  <c r="Q24" i="56"/>
  <c r="M24" i="56"/>
  <c r="I24" i="56"/>
  <c r="E24" i="56"/>
  <c r="Y23" i="56"/>
  <c r="U23" i="56"/>
  <c r="Q23" i="56"/>
  <c r="M23" i="56"/>
  <c r="I23" i="56"/>
  <c r="E23" i="56"/>
  <c r="T25" i="56"/>
  <c r="H25" i="56"/>
  <c r="T24" i="56"/>
  <c r="H24" i="56"/>
  <c r="T23" i="56"/>
  <c r="Z41" i="56"/>
  <c r="V41" i="56"/>
  <c r="R41" i="56"/>
  <c r="N41" i="56"/>
  <c r="J41" i="56"/>
  <c r="F41" i="56"/>
  <c r="Z40" i="56"/>
  <c r="V40" i="56"/>
  <c r="R40" i="56"/>
  <c r="N40" i="56"/>
  <c r="J40" i="56"/>
  <c r="F40" i="56"/>
  <c r="Z39" i="56"/>
  <c r="Y41" i="56"/>
  <c r="U41" i="56"/>
  <c r="Q41" i="56"/>
  <c r="M41" i="56"/>
  <c r="I41" i="56"/>
  <c r="E41" i="56"/>
  <c r="Y40" i="56"/>
  <c r="U40" i="56"/>
  <c r="Q40" i="56"/>
  <c r="M40" i="56"/>
  <c r="I40" i="56"/>
  <c r="E40" i="56"/>
  <c r="Y39" i="56"/>
  <c r="X41" i="56"/>
  <c r="P41" i="56"/>
  <c r="H41" i="56"/>
  <c r="X40" i="56"/>
  <c r="P40" i="56"/>
  <c r="H40" i="56"/>
  <c r="X39" i="56"/>
  <c r="T39" i="56"/>
  <c r="P39" i="56"/>
  <c r="L39" i="56"/>
  <c r="H39" i="56"/>
  <c r="W41" i="56"/>
  <c r="O41" i="56"/>
  <c r="G41" i="56"/>
  <c r="W40" i="56"/>
  <c r="O40" i="56"/>
  <c r="G40" i="56"/>
  <c r="W39" i="56"/>
  <c r="S39" i="56"/>
  <c r="O39" i="56"/>
  <c r="K39" i="56"/>
  <c r="G39" i="56"/>
  <c r="AB41" i="56"/>
  <c r="T41" i="56"/>
  <c r="L41" i="56"/>
  <c r="AB40" i="56"/>
  <c r="T40" i="56"/>
  <c r="L40" i="56"/>
  <c r="AB39" i="56"/>
  <c r="V39" i="56"/>
  <c r="R39" i="56"/>
  <c r="N39" i="56"/>
  <c r="J39" i="56"/>
  <c r="F39" i="56"/>
  <c r="K41" i="56"/>
  <c r="AA39" i="56"/>
  <c r="I39" i="56"/>
  <c r="AA40" i="56"/>
  <c r="U39" i="56"/>
  <c r="E39" i="56"/>
  <c r="S41" i="56"/>
  <c r="M39" i="56"/>
  <c r="AA41" i="56"/>
  <c r="S40" i="56"/>
  <c r="Q39" i="56"/>
  <c r="K40" i="56"/>
  <c r="Z57" i="56"/>
  <c r="V57" i="56"/>
  <c r="R57" i="56"/>
  <c r="N57" i="56"/>
  <c r="J57" i="56"/>
  <c r="F57" i="56"/>
  <c r="Z56" i="56"/>
  <c r="V56" i="56"/>
  <c r="R56" i="56"/>
  <c r="N56" i="56"/>
  <c r="J56" i="56"/>
  <c r="F56" i="56"/>
  <c r="Z55" i="56"/>
  <c r="V55" i="56"/>
  <c r="R55" i="56"/>
  <c r="N55" i="56"/>
  <c r="J55" i="56"/>
  <c r="F55" i="56"/>
  <c r="Y57" i="56"/>
  <c r="U57" i="56"/>
  <c r="Q57" i="56"/>
  <c r="M57" i="56"/>
  <c r="I57" i="56"/>
  <c r="E57" i="56"/>
  <c r="Y56" i="56"/>
  <c r="U56" i="56"/>
  <c r="Q56" i="56"/>
  <c r="M56" i="56"/>
  <c r="I56" i="56"/>
  <c r="E56" i="56"/>
  <c r="Y55" i="56"/>
  <c r="U55" i="56"/>
  <c r="Q55" i="56"/>
  <c r="M55" i="56"/>
  <c r="I55" i="56"/>
  <c r="E55" i="56"/>
  <c r="X57" i="56"/>
  <c r="P57" i="56"/>
  <c r="H57" i="56"/>
  <c r="X56" i="56"/>
  <c r="P56" i="56"/>
  <c r="H56" i="56"/>
  <c r="X55" i="56"/>
  <c r="P55" i="56"/>
  <c r="H55" i="56"/>
  <c r="W57" i="56"/>
  <c r="O57" i="56"/>
  <c r="G57" i="56"/>
  <c r="W56" i="56"/>
  <c r="O56" i="56"/>
  <c r="G56" i="56"/>
  <c r="W55" i="56"/>
  <c r="O55" i="56"/>
  <c r="G55" i="56"/>
  <c r="AB57" i="56"/>
  <c r="T57" i="56"/>
  <c r="L57" i="56"/>
  <c r="AB56" i="56"/>
  <c r="T56" i="56"/>
  <c r="L56" i="56"/>
  <c r="AB55" i="56"/>
  <c r="T55" i="56"/>
  <c r="L55" i="56"/>
  <c r="K57" i="56"/>
  <c r="AA55" i="56"/>
  <c r="AA56" i="56"/>
  <c r="S55" i="56"/>
  <c r="K56" i="56"/>
  <c r="AA57" i="56"/>
  <c r="S56" i="56"/>
  <c r="K55" i="56"/>
  <c r="S57" i="56"/>
  <c r="AA13" i="56"/>
  <c r="W13" i="56"/>
  <c r="S13" i="56"/>
  <c r="O13" i="56"/>
  <c r="K13" i="56"/>
  <c r="G13" i="56"/>
  <c r="AA12" i="56"/>
  <c r="W12" i="56"/>
  <c r="S12" i="56"/>
  <c r="O12" i="56"/>
  <c r="K12" i="56"/>
  <c r="G12" i="56"/>
  <c r="AA11" i="56"/>
  <c r="W11" i="56"/>
  <c r="S11" i="56"/>
  <c r="O11" i="56"/>
  <c r="K11" i="56"/>
  <c r="G11" i="56"/>
  <c r="AB13" i="56"/>
  <c r="P13" i="56"/>
  <c r="AB12" i="56"/>
  <c r="P12" i="56"/>
  <c r="AB11" i="56"/>
  <c r="L11" i="56"/>
  <c r="Z13" i="56"/>
  <c r="V13" i="56"/>
  <c r="R13" i="56"/>
  <c r="N13" i="56"/>
  <c r="J13" i="56"/>
  <c r="F13" i="56"/>
  <c r="Z12" i="56"/>
  <c r="V12" i="56"/>
  <c r="R12" i="56"/>
  <c r="N12" i="56"/>
  <c r="J12" i="56"/>
  <c r="F12" i="56"/>
  <c r="Z11" i="56"/>
  <c r="V11" i="56"/>
  <c r="R11" i="56"/>
  <c r="N11" i="56"/>
  <c r="J11" i="56"/>
  <c r="F11" i="56"/>
  <c r="T13" i="56"/>
  <c r="H13" i="56"/>
  <c r="T12" i="56"/>
  <c r="H12" i="56"/>
  <c r="P11" i="56"/>
  <c r="Y13" i="56"/>
  <c r="U13" i="56"/>
  <c r="Q13" i="56"/>
  <c r="M13" i="56"/>
  <c r="I13" i="56"/>
  <c r="E13" i="56"/>
  <c r="Y12" i="56"/>
  <c r="U12" i="56"/>
  <c r="Q12" i="56"/>
  <c r="M12" i="56"/>
  <c r="I12" i="56"/>
  <c r="E12" i="56"/>
  <c r="Y11" i="56"/>
  <c r="U11" i="56"/>
  <c r="Q11" i="56"/>
  <c r="M11" i="56"/>
  <c r="I11" i="56"/>
  <c r="E11" i="56"/>
  <c r="X13" i="56"/>
  <c r="L13" i="56"/>
  <c r="X12" i="56"/>
  <c r="L12" i="56"/>
  <c r="X11" i="56"/>
  <c r="T11" i="56"/>
  <c r="H11" i="56"/>
  <c r="AB29" i="56"/>
  <c r="X29" i="56"/>
  <c r="T29" i="56"/>
  <c r="P29" i="56"/>
  <c r="L29" i="56"/>
  <c r="H29" i="56"/>
  <c r="AB28" i="56"/>
  <c r="AA29" i="56"/>
  <c r="W29" i="56"/>
  <c r="S29" i="56"/>
  <c r="O29" i="56"/>
  <c r="K29" i="56"/>
  <c r="G29" i="56"/>
  <c r="AA28" i="56"/>
  <c r="Z29" i="56"/>
  <c r="U29" i="56"/>
  <c r="M29" i="56"/>
  <c r="E29" i="56"/>
  <c r="W28" i="56"/>
  <c r="S28" i="56"/>
  <c r="O28" i="56"/>
  <c r="K28" i="56"/>
  <c r="G28" i="56"/>
  <c r="AA27" i="56"/>
  <c r="W27" i="56"/>
  <c r="S27" i="56"/>
  <c r="K27" i="56"/>
  <c r="G27" i="56"/>
  <c r="F29" i="56"/>
  <c r="X28" i="56"/>
  <c r="H28" i="56"/>
  <c r="T27" i="56"/>
  <c r="H27" i="56"/>
  <c r="R29" i="56"/>
  <c r="J29" i="56"/>
  <c r="Z28" i="56"/>
  <c r="V28" i="56"/>
  <c r="R28" i="56"/>
  <c r="N28" i="56"/>
  <c r="J28" i="56"/>
  <c r="F28" i="56"/>
  <c r="Z27" i="56"/>
  <c r="V27" i="56"/>
  <c r="R27" i="56"/>
  <c r="N27" i="56"/>
  <c r="J27" i="56"/>
  <c r="F27" i="56"/>
  <c r="V29" i="56"/>
  <c r="T28" i="56"/>
  <c r="L28" i="56"/>
  <c r="X27" i="56"/>
  <c r="P27" i="56"/>
  <c r="Y29" i="56"/>
  <c r="Q29" i="56"/>
  <c r="I29" i="56"/>
  <c r="Y28" i="56"/>
  <c r="U28" i="56"/>
  <c r="Q28" i="56"/>
  <c r="M28" i="56"/>
  <c r="I28" i="56"/>
  <c r="E28" i="56"/>
  <c r="Y27" i="56"/>
  <c r="U27" i="56"/>
  <c r="Q27" i="56"/>
  <c r="M27" i="56"/>
  <c r="I27" i="56"/>
  <c r="E27" i="56"/>
  <c r="N29" i="56"/>
  <c r="P28" i="56"/>
  <c r="AB27" i="56"/>
  <c r="L27" i="56"/>
  <c r="Z45" i="56"/>
  <c r="V45" i="56"/>
  <c r="R45" i="56"/>
  <c r="N45" i="56"/>
  <c r="J45" i="56"/>
  <c r="F45" i="56"/>
  <c r="Z44" i="56"/>
  <c r="V44" i="56"/>
  <c r="R44" i="56"/>
  <c r="N44" i="56"/>
  <c r="J44" i="56"/>
  <c r="F44" i="56"/>
  <c r="Z43" i="56"/>
  <c r="V43" i="56"/>
  <c r="R43" i="56"/>
  <c r="N43" i="56"/>
  <c r="J43" i="56"/>
  <c r="F43" i="56"/>
  <c r="Y45" i="56"/>
  <c r="U45" i="56"/>
  <c r="Q45" i="56"/>
  <c r="M45" i="56"/>
  <c r="I45" i="56"/>
  <c r="E45" i="56"/>
  <c r="Y44" i="56"/>
  <c r="U44" i="56"/>
  <c r="Q44" i="56"/>
  <c r="M44" i="56"/>
  <c r="I44" i="56"/>
  <c r="E44" i="56"/>
  <c r="Y43" i="56"/>
  <c r="U43" i="56"/>
  <c r="Q43" i="56"/>
  <c r="M43" i="56"/>
  <c r="I43" i="56"/>
  <c r="E43" i="56"/>
  <c r="X45" i="56"/>
  <c r="P45" i="56"/>
  <c r="H45" i="56"/>
  <c r="X44" i="56"/>
  <c r="P44" i="56"/>
  <c r="H44" i="56"/>
  <c r="X43" i="56"/>
  <c r="P43" i="56"/>
  <c r="H43" i="56"/>
  <c r="W45" i="56"/>
  <c r="O45" i="56"/>
  <c r="G45" i="56"/>
  <c r="W44" i="56"/>
  <c r="O44" i="56"/>
  <c r="G44" i="56"/>
  <c r="W43" i="56"/>
  <c r="O43" i="56"/>
  <c r="G43" i="56"/>
  <c r="AB45" i="56"/>
  <c r="T45" i="56"/>
  <c r="L45" i="56"/>
  <c r="AB44" i="56"/>
  <c r="T44" i="56"/>
  <c r="L44" i="56"/>
  <c r="AB43" i="56"/>
  <c r="T43" i="56"/>
  <c r="L43" i="56"/>
  <c r="AA44" i="56"/>
  <c r="S43" i="56"/>
  <c r="K45" i="56"/>
  <c r="AA43" i="56"/>
  <c r="AA45" i="56"/>
  <c r="S44" i="56"/>
  <c r="K43" i="56"/>
  <c r="S45" i="56"/>
  <c r="K44" i="56"/>
  <c r="Z53" i="56"/>
  <c r="V53" i="56"/>
  <c r="R53" i="56"/>
  <c r="N53" i="56"/>
  <c r="J53" i="56"/>
  <c r="F53" i="56"/>
  <c r="Z52" i="56"/>
  <c r="V52" i="56"/>
  <c r="R52" i="56"/>
  <c r="N52" i="56"/>
  <c r="J52" i="56"/>
  <c r="F52" i="56"/>
  <c r="Z51" i="56"/>
  <c r="V51" i="56"/>
  <c r="R51" i="56"/>
  <c r="N51" i="56"/>
  <c r="J51" i="56"/>
  <c r="F51" i="56"/>
  <c r="Y53" i="56"/>
  <c r="U53" i="56"/>
  <c r="Q53" i="56"/>
  <c r="M53" i="56"/>
  <c r="I53" i="56"/>
  <c r="E53" i="56"/>
  <c r="Y52" i="56"/>
  <c r="U52" i="56"/>
  <c r="Q52" i="56"/>
  <c r="M52" i="56"/>
  <c r="I52" i="56"/>
  <c r="E52" i="56"/>
  <c r="Y51" i="56"/>
  <c r="U51" i="56"/>
  <c r="Q51" i="56"/>
  <c r="M51" i="56"/>
  <c r="I51" i="56"/>
  <c r="E51" i="56"/>
  <c r="X53" i="56"/>
  <c r="P53" i="56"/>
  <c r="H53" i="56"/>
  <c r="X52" i="56"/>
  <c r="P52" i="56"/>
  <c r="H52" i="56"/>
  <c r="X51" i="56"/>
  <c r="P51" i="56"/>
  <c r="H51" i="56"/>
  <c r="W53" i="56"/>
  <c r="O53" i="56"/>
  <c r="G53" i="56"/>
  <c r="W52" i="56"/>
  <c r="O52" i="56"/>
  <c r="G52" i="56"/>
  <c r="W51" i="56"/>
  <c r="O51" i="56"/>
  <c r="G51" i="56"/>
  <c r="AB53" i="56"/>
  <c r="T53" i="56"/>
  <c r="L53" i="56"/>
  <c r="AB52" i="56"/>
  <c r="T52" i="56"/>
  <c r="L52" i="56"/>
  <c r="AB51" i="56"/>
  <c r="T51" i="56"/>
  <c r="L51" i="56"/>
  <c r="S53" i="56"/>
  <c r="K52" i="56"/>
  <c r="AA53" i="56"/>
  <c r="K51" i="56"/>
  <c r="K53" i="56"/>
  <c r="AA51" i="56"/>
  <c r="S52" i="56"/>
  <c r="AA52" i="56"/>
  <c r="S51" i="56"/>
  <c r="AA17" i="56"/>
  <c r="W17" i="56"/>
  <c r="S17" i="56"/>
  <c r="O17" i="56"/>
  <c r="K17" i="56"/>
  <c r="G17" i="56"/>
  <c r="AA16" i="56"/>
  <c r="W16" i="56"/>
  <c r="S16" i="56"/>
  <c r="O16" i="56"/>
  <c r="K16" i="56"/>
  <c r="G16" i="56"/>
  <c r="AA15" i="56"/>
  <c r="W15" i="56"/>
  <c r="S15" i="56"/>
  <c r="O15" i="56"/>
  <c r="K15" i="56"/>
  <c r="G15" i="56"/>
  <c r="AB17" i="56"/>
  <c r="P17" i="56"/>
  <c r="H17" i="56"/>
  <c r="P16" i="56"/>
  <c r="AB15" i="56"/>
  <c r="T15" i="56"/>
  <c r="Z17" i="56"/>
  <c r="V17" i="56"/>
  <c r="R17" i="56"/>
  <c r="N17" i="56"/>
  <c r="J17" i="56"/>
  <c r="F17" i="56"/>
  <c r="Z16" i="56"/>
  <c r="V16" i="56"/>
  <c r="R16" i="56"/>
  <c r="N16" i="56"/>
  <c r="J16" i="56"/>
  <c r="F16" i="56"/>
  <c r="Z15" i="56"/>
  <c r="V15" i="56"/>
  <c r="R15" i="56"/>
  <c r="N15" i="56"/>
  <c r="J15" i="56"/>
  <c r="F15" i="56"/>
  <c r="T17" i="56"/>
  <c r="AB16" i="56"/>
  <c r="T16" i="56"/>
  <c r="H16" i="56"/>
  <c r="P15" i="56"/>
  <c r="H15" i="56"/>
  <c r="Y17" i="56"/>
  <c r="U17" i="56"/>
  <c r="Q17" i="56"/>
  <c r="M17" i="56"/>
  <c r="I17" i="56"/>
  <c r="E17" i="56"/>
  <c r="Y16" i="56"/>
  <c r="U16" i="56"/>
  <c r="Q16" i="56"/>
  <c r="M16" i="56"/>
  <c r="I16" i="56"/>
  <c r="E16" i="56"/>
  <c r="Y15" i="56"/>
  <c r="U15" i="56"/>
  <c r="Q15" i="56"/>
  <c r="M15" i="56"/>
  <c r="I15" i="56"/>
  <c r="E15" i="56"/>
  <c r="X17" i="56"/>
  <c r="L17" i="56"/>
  <c r="X16" i="56"/>
  <c r="L16" i="56"/>
  <c r="X15" i="56"/>
  <c r="L15" i="56"/>
  <c r="AB33" i="56"/>
  <c r="X33" i="56"/>
  <c r="T33" i="56"/>
  <c r="P33" i="56"/>
  <c r="L33" i="56"/>
  <c r="H33" i="56"/>
  <c r="AB32" i="56"/>
  <c r="X32" i="56"/>
  <c r="T32" i="56"/>
  <c r="P32" i="56"/>
  <c r="L32" i="56"/>
  <c r="H32" i="56"/>
  <c r="AB31" i="56"/>
  <c r="X31" i="56"/>
  <c r="T31" i="56"/>
  <c r="P31" i="56"/>
  <c r="L31" i="56"/>
  <c r="H31" i="56"/>
  <c r="AA33" i="56"/>
  <c r="W33" i="56"/>
  <c r="S33" i="56"/>
  <c r="O33" i="56"/>
  <c r="K33" i="56"/>
  <c r="G33" i="56"/>
  <c r="AA32" i="56"/>
  <c r="W32" i="56"/>
  <c r="S32" i="56"/>
  <c r="O32" i="56"/>
  <c r="K32" i="56"/>
  <c r="G32" i="56"/>
  <c r="AA31" i="56"/>
  <c r="W31" i="56"/>
  <c r="S31" i="56"/>
  <c r="O31" i="56"/>
  <c r="K31" i="56"/>
  <c r="G31" i="56"/>
  <c r="Z33" i="56"/>
  <c r="V33" i="56"/>
  <c r="R33" i="56"/>
  <c r="N33" i="56"/>
  <c r="J33" i="56"/>
  <c r="F33" i="56"/>
  <c r="Z32" i="56"/>
  <c r="V32" i="56"/>
  <c r="R32" i="56"/>
  <c r="N32" i="56"/>
  <c r="J32" i="56"/>
  <c r="F32" i="56"/>
  <c r="Z31" i="56"/>
  <c r="V31" i="56"/>
  <c r="R31" i="56"/>
  <c r="N31" i="56"/>
  <c r="J31" i="56"/>
  <c r="F31" i="56"/>
  <c r="Y33" i="56"/>
  <c r="I33" i="56"/>
  <c r="Q32" i="56"/>
  <c r="Y31" i="56"/>
  <c r="I31" i="56"/>
  <c r="M33" i="56"/>
  <c r="M31" i="56"/>
  <c r="U33" i="56"/>
  <c r="E33" i="56"/>
  <c r="M32" i="56"/>
  <c r="U31" i="56"/>
  <c r="E31" i="56"/>
  <c r="U32" i="56"/>
  <c r="Q33" i="56"/>
  <c r="Y32" i="56"/>
  <c r="I32" i="56"/>
  <c r="Q31" i="56"/>
  <c r="E32" i="56"/>
  <c r="Z49" i="56"/>
  <c r="V49" i="56"/>
  <c r="R49" i="56"/>
  <c r="N49" i="56"/>
  <c r="J49" i="56"/>
  <c r="F49" i="56"/>
  <c r="Z48" i="56"/>
  <c r="V48" i="56"/>
  <c r="R48" i="56"/>
  <c r="N48" i="56"/>
  <c r="J48" i="56"/>
  <c r="F48" i="56"/>
  <c r="Z47" i="56"/>
  <c r="V47" i="56"/>
  <c r="R47" i="56"/>
  <c r="N47" i="56"/>
  <c r="J47" i="56"/>
  <c r="F47" i="56"/>
  <c r="Y49" i="56"/>
  <c r="U49" i="56"/>
  <c r="Q49" i="56"/>
  <c r="M49" i="56"/>
  <c r="I49" i="56"/>
  <c r="E49" i="56"/>
  <c r="Y48" i="56"/>
  <c r="U48" i="56"/>
  <c r="Q48" i="56"/>
  <c r="M48" i="56"/>
  <c r="I48" i="56"/>
  <c r="E48" i="56"/>
  <c r="Y47" i="56"/>
  <c r="U47" i="56"/>
  <c r="Q47" i="56"/>
  <c r="M47" i="56"/>
  <c r="I47" i="56"/>
  <c r="E47" i="56"/>
  <c r="X49" i="56"/>
  <c r="P49" i="56"/>
  <c r="H49" i="56"/>
  <c r="X48" i="56"/>
  <c r="P48" i="56"/>
  <c r="H48" i="56"/>
  <c r="X47" i="56"/>
  <c r="P47" i="56"/>
  <c r="H47" i="56"/>
  <c r="W49" i="56"/>
  <c r="O49" i="56"/>
  <c r="G49" i="56"/>
  <c r="W48" i="56"/>
  <c r="O48" i="56"/>
  <c r="G48" i="56"/>
  <c r="W47" i="56"/>
  <c r="O47" i="56"/>
  <c r="G47" i="56"/>
  <c r="AB49" i="56"/>
  <c r="T49" i="56"/>
  <c r="L49" i="56"/>
  <c r="AB48" i="56"/>
  <c r="T48" i="56"/>
  <c r="L48" i="56"/>
  <c r="AB47" i="56"/>
  <c r="T47" i="56"/>
  <c r="L47" i="56"/>
  <c r="AA49" i="56"/>
  <c r="S48" i="56"/>
  <c r="K47" i="56"/>
  <c r="S49" i="56"/>
  <c r="K48" i="56"/>
  <c r="S47" i="56"/>
  <c r="K49" i="56"/>
  <c r="AA47" i="56"/>
  <c r="AA48" i="56"/>
  <c r="AB25" i="55"/>
  <c r="X25" i="55"/>
  <c r="T25" i="55"/>
  <c r="P25" i="55"/>
  <c r="AA25" i="55"/>
  <c r="W25" i="55"/>
  <c r="S25" i="55"/>
  <c r="O25" i="55"/>
  <c r="V25" i="55"/>
  <c r="N25" i="55"/>
  <c r="J25" i="55"/>
  <c r="F25" i="55"/>
  <c r="Z24" i="55"/>
  <c r="V24" i="55"/>
  <c r="R24" i="55"/>
  <c r="N24" i="55"/>
  <c r="J24" i="55"/>
  <c r="F24" i="55"/>
  <c r="Z23" i="55"/>
  <c r="V23" i="55"/>
  <c r="R23" i="55"/>
  <c r="N23" i="55"/>
  <c r="J23" i="55"/>
  <c r="F23" i="55"/>
  <c r="R25" i="55"/>
  <c r="H25" i="55"/>
  <c r="X24" i="55"/>
  <c r="P24" i="55"/>
  <c r="H24" i="55"/>
  <c r="X23" i="55"/>
  <c r="P23" i="55"/>
  <c r="H23" i="55"/>
  <c r="U25" i="55"/>
  <c r="M25" i="55"/>
  <c r="I25" i="55"/>
  <c r="E25" i="55"/>
  <c r="Y24" i="55"/>
  <c r="U24" i="55"/>
  <c r="Q24" i="55"/>
  <c r="M24" i="55"/>
  <c r="I24" i="55"/>
  <c r="E24" i="55"/>
  <c r="Y23" i="55"/>
  <c r="U23" i="55"/>
  <c r="Q23" i="55"/>
  <c r="M23" i="55"/>
  <c r="I23" i="55"/>
  <c r="E23" i="55"/>
  <c r="Z25" i="55"/>
  <c r="L25" i="55"/>
  <c r="AB24" i="55"/>
  <c r="T24" i="55"/>
  <c r="L24" i="55"/>
  <c r="AB23" i="55"/>
  <c r="T23" i="55"/>
  <c r="L23" i="55"/>
  <c r="Y25" i="55"/>
  <c r="AA24" i="55"/>
  <c r="K24" i="55"/>
  <c r="S23" i="55"/>
  <c r="K25" i="55"/>
  <c r="AA23" i="55"/>
  <c r="O24" i="55"/>
  <c r="G23" i="55"/>
  <c r="Q25" i="55"/>
  <c r="W24" i="55"/>
  <c r="G24" i="55"/>
  <c r="O23" i="55"/>
  <c r="S24" i="55"/>
  <c r="K23" i="55"/>
  <c r="G25" i="55"/>
  <c r="W23" i="55"/>
  <c r="Z41" i="55"/>
  <c r="V41" i="55"/>
  <c r="R41" i="55"/>
  <c r="N41" i="55"/>
  <c r="J41" i="55"/>
  <c r="F41" i="55"/>
  <c r="Z40" i="55"/>
  <c r="V40" i="55"/>
  <c r="R40" i="55"/>
  <c r="N40" i="55"/>
  <c r="J40" i="55"/>
  <c r="Y41" i="55"/>
  <c r="U41" i="55"/>
  <c r="Q41" i="55"/>
  <c r="M41" i="55"/>
  <c r="I41" i="55"/>
  <c r="E41" i="55"/>
  <c r="Y40" i="55"/>
  <c r="U40" i="55"/>
  <c r="Q40" i="55"/>
  <c r="M40" i="55"/>
  <c r="AB41" i="55"/>
  <c r="X41" i="55"/>
  <c r="T41" i="55"/>
  <c r="P41" i="55"/>
  <c r="L41" i="55"/>
  <c r="H41" i="55"/>
  <c r="AB40" i="55"/>
  <c r="X40" i="55"/>
  <c r="T40" i="55"/>
  <c r="P40" i="55"/>
  <c r="L40" i="55"/>
  <c r="H40" i="55"/>
  <c r="AB39" i="55"/>
  <c r="S41" i="55"/>
  <c r="AA40" i="55"/>
  <c r="K40" i="55"/>
  <c r="E40" i="55"/>
  <c r="X39" i="55"/>
  <c r="T39" i="55"/>
  <c r="P39" i="55"/>
  <c r="L39" i="55"/>
  <c r="H39" i="55"/>
  <c r="O41" i="55"/>
  <c r="W40" i="55"/>
  <c r="I40" i="55"/>
  <c r="AA39" i="55"/>
  <c r="W39" i="55"/>
  <c r="S39" i="55"/>
  <c r="O39" i="55"/>
  <c r="K39" i="55"/>
  <c r="G39" i="55"/>
  <c r="K41" i="55"/>
  <c r="G40" i="55"/>
  <c r="V39" i="55"/>
  <c r="N39" i="55"/>
  <c r="F39" i="55"/>
  <c r="S40" i="55"/>
  <c r="R39" i="55"/>
  <c r="G41" i="55"/>
  <c r="F40" i="55"/>
  <c r="U39" i="55"/>
  <c r="M39" i="55"/>
  <c r="E39" i="55"/>
  <c r="AA41" i="55"/>
  <c r="Z39" i="55"/>
  <c r="J39" i="55"/>
  <c r="W41" i="55"/>
  <c r="I39" i="55"/>
  <c r="Y39" i="55"/>
  <c r="O40" i="55"/>
  <c r="Q39" i="55"/>
  <c r="Z45" i="55"/>
  <c r="V45" i="55"/>
  <c r="R45" i="55"/>
  <c r="N45" i="55"/>
  <c r="J45" i="55"/>
  <c r="F45" i="55"/>
  <c r="Z44" i="55"/>
  <c r="V44" i="55"/>
  <c r="R44" i="55"/>
  <c r="N44" i="55"/>
  <c r="J44" i="55"/>
  <c r="F44" i="55"/>
  <c r="Z43" i="55"/>
  <c r="V43" i="55"/>
  <c r="R43" i="55"/>
  <c r="N43" i="55"/>
  <c r="J43" i="55"/>
  <c r="F43" i="55"/>
  <c r="Y45" i="55"/>
  <c r="U45" i="55"/>
  <c r="Q45" i="55"/>
  <c r="M45" i="55"/>
  <c r="I45" i="55"/>
  <c r="E45" i="55"/>
  <c r="Y44" i="55"/>
  <c r="U44" i="55"/>
  <c r="Q44" i="55"/>
  <c r="M44" i="55"/>
  <c r="I44" i="55"/>
  <c r="E44" i="55"/>
  <c r="Y43" i="55"/>
  <c r="U43" i="55"/>
  <c r="Q43" i="55"/>
  <c r="M43" i="55"/>
  <c r="I43" i="55"/>
  <c r="E43" i="55"/>
  <c r="AB45" i="55"/>
  <c r="X45" i="55"/>
  <c r="T45" i="55"/>
  <c r="P45" i="55"/>
  <c r="L45" i="55"/>
  <c r="H45" i="55"/>
  <c r="AB44" i="55"/>
  <c r="X44" i="55"/>
  <c r="T44" i="55"/>
  <c r="P44" i="55"/>
  <c r="L44" i="55"/>
  <c r="H44" i="55"/>
  <c r="AB43" i="55"/>
  <c r="X43" i="55"/>
  <c r="T43" i="55"/>
  <c r="P43" i="55"/>
  <c r="L43" i="55"/>
  <c r="H43" i="55"/>
  <c r="AA45" i="55"/>
  <c r="K45" i="55"/>
  <c r="S44" i="55"/>
  <c r="AA43" i="55"/>
  <c r="K43" i="55"/>
  <c r="W45" i="55"/>
  <c r="G45" i="55"/>
  <c r="O44" i="55"/>
  <c r="W43" i="55"/>
  <c r="G43" i="55"/>
  <c r="AA44" i="55"/>
  <c r="S43" i="55"/>
  <c r="K44" i="55"/>
  <c r="O45" i="55"/>
  <c r="W44" i="55"/>
  <c r="O43" i="55"/>
  <c r="S45" i="55"/>
  <c r="G44" i="55"/>
  <c r="Z17" i="55"/>
  <c r="V17" i="55"/>
  <c r="R17" i="55"/>
  <c r="N17" i="55"/>
  <c r="J17" i="55"/>
  <c r="F17" i="55"/>
  <c r="Z16" i="55"/>
  <c r="V16" i="55"/>
  <c r="R16" i="55"/>
  <c r="N16" i="55"/>
  <c r="J16" i="55"/>
  <c r="F16" i="55"/>
  <c r="Z15" i="55"/>
  <c r="V15" i="55"/>
  <c r="R15" i="55"/>
  <c r="N15" i="55"/>
  <c r="J15" i="55"/>
  <c r="F15" i="55"/>
  <c r="X17" i="55"/>
  <c r="P17" i="55"/>
  <c r="H17" i="55"/>
  <c r="X16" i="55"/>
  <c r="P16" i="55"/>
  <c r="H16" i="55"/>
  <c r="X15" i="55"/>
  <c r="P15" i="55"/>
  <c r="Y17" i="55"/>
  <c r="U17" i="55"/>
  <c r="Q17" i="55"/>
  <c r="M17" i="55"/>
  <c r="I17" i="55"/>
  <c r="E17" i="55"/>
  <c r="Y16" i="55"/>
  <c r="U16" i="55"/>
  <c r="Q16" i="55"/>
  <c r="M16" i="55"/>
  <c r="I16" i="55"/>
  <c r="E16" i="55"/>
  <c r="Y15" i="55"/>
  <c r="U15" i="55"/>
  <c r="Q15" i="55"/>
  <c r="M15" i="55"/>
  <c r="I15" i="55"/>
  <c r="E15" i="55"/>
  <c r="AB17" i="55"/>
  <c r="T17" i="55"/>
  <c r="L17" i="55"/>
  <c r="AB16" i="55"/>
  <c r="T16" i="55"/>
  <c r="L16" i="55"/>
  <c r="AB15" i="55"/>
  <c r="T15" i="55"/>
  <c r="L15" i="55"/>
  <c r="H15" i="55"/>
  <c r="S17" i="55"/>
  <c r="AA16" i="55"/>
  <c r="K16" i="55"/>
  <c r="S15" i="55"/>
  <c r="AA17" i="55"/>
  <c r="S16" i="55"/>
  <c r="K15" i="55"/>
  <c r="G17" i="55"/>
  <c r="W15" i="55"/>
  <c r="O17" i="55"/>
  <c r="W16" i="55"/>
  <c r="G16" i="55"/>
  <c r="O15" i="55"/>
  <c r="K17" i="55"/>
  <c r="AA15" i="55"/>
  <c r="W17" i="55"/>
  <c r="O16" i="55"/>
  <c r="G15" i="55"/>
  <c r="X33" i="55"/>
  <c r="P33" i="55"/>
  <c r="H33" i="55"/>
  <c r="X32" i="55"/>
  <c r="P32" i="55"/>
  <c r="H32" i="55"/>
  <c r="AB31" i="55"/>
  <c r="X31" i="55"/>
  <c r="T31" i="55"/>
  <c r="P31" i="55"/>
  <c r="L31" i="55"/>
  <c r="H31" i="55"/>
  <c r="AA33" i="55"/>
  <c r="W33" i="55"/>
  <c r="S33" i="55"/>
  <c r="O33" i="55"/>
  <c r="K33" i="55"/>
  <c r="G33" i="55"/>
  <c r="AA32" i="55"/>
  <c r="W32" i="55"/>
  <c r="S32" i="55"/>
  <c r="O32" i="55"/>
  <c r="K32" i="55"/>
  <c r="G32" i="55"/>
  <c r="AA31" i="55"/>
  <c r="W31" i="55"/>
  <c r="S31" i="55"/>
  <c r="O31" i="55"/>
  <c r="K31" i="55"/>
  <c r="G31" i="55"/>
  <c r="V33" i="55"/>
  <c r="N33" i="55"/>
  <c r="F33" i="55"/>
  <c r="V32" i="55"/>
  <c r="N32" i="55"/>
  <c r="F32" i="55"/>
  <c r="V31" i="55"/>
  <c r="N31" i="55"/>
  <c r="F31" i="55"/>
  <c r="R33" i="55"/>
  <c r="Z32" i="55"/>
  <c r="J32" i="55"/>
  <c r="R31" i="55"/>
  <c r="U33" i="55"/>
  <c r="M33" i="55"/>
  <c r="E33" i="55"/>
  <c r="U32" i="55"/>
  <c r="M32" i="55"/>
  <c r="E32" i="55"/>
  <c r="U31" i="55"/>
  <c r="M31" i="55"/>
  <c r="E31" i="55"/>
  <c r="Z33" i="55"/>
  <c r="J33" i="55"/>
  <c r="R32" i="55"/>
  <c r="Z31" i="55"/>
  <c r="J31" i="55"/>
  <c r="I33" i="55"/>
  <c r="Y31" i="55"/>
  <c r="Q32" i="55"/>
  <c r="Q33" i="55"/>
  <c r="Y32" i="55"/>
  <c r="Q31" i="55"/>
  <c r="Y33" i="55"/>
  <c r="I31" i="55"/>
  <c r="I32" i="55"/>
  <c r="Z49" i="55"/>
  <c r="V49" i="55"/>
  <c r="R49" i="55"/>
  <c r="N49" i="55"/>
  <c r="J49" i="55"/>
  <c r="F49" i="55"/>
  <c r="Z48" i="55"/>
  <c r="V48" i="55"/>
  <c r="R48" i="55"/>
  <c r="N48" i="55"/>
  <c r="J48" i="55"/>
  <c r="F48" i="55"/>
  <c r="Z47" i="55"/>
  <c r="V47" i="55"/>
  <c r="R47" i="55"/>
  <c r="N47" i="55"/>
  <c r="J47" i="55"/>
  <c r="F47" i="55"/>
  <c r="Y49" i="55"/>
  <c r="U49" i="55"/>
  <c r="Q49" i="55"/>
  <c r="M49" i="55"/>
  <c r="I49" i="55"/>
  <c r="E49" i="55"/>
  <c r="Y48" i="55"/>
  <c r="U48" i="55"/>
  <c r="Q48" i="55"/>
  <c r="M48" i="55"/>
  <c r="I48" i="55"/>
  <c r="E48" i="55"/>
  <c r="Y47" i="55"/>
  <c r="U47" i="55"/>
  <c r="Q47" i="55"/>
  <c r="M47" i="55"/>
  <c r="I47" i="55"/>
  <c r="E47" i="55"/>
  <c r="AB49" i="55"/>
  <c r="X49" i="55"/>
  <c r="T49" i="55"/>
  <c r="P49" i="55"/>
  <c r="L49" i="55"/>
  <c r="H49" i="55"/>
  <c r="AB48" i="55"/>
  <c r="X48" i="55"/>
  <c r="T48" i="55"/>
  <c r="P48" i="55"/>
  <c r="L48" i="55"/>
  <c r="H48" i="55"/>
  <c r="AB47" i="55"/>
  <c r="X47" i="55"/>
  <c r="T47" i="55"/>
  <c r="P47" i="55"/>
  <c r="L47" i="55"/>
  <c r="H47" i="55"/>
  <c r="S49" i="55"/>
  <c r="AA48" i="55"/>
  <c r="K48" i="55"/>
  <c r="S47" i="55"/>
  <c r="O49" i="55"/>
  <c r="W48" i="55"/>
  <c r="G48" i="55"/>
  <c r="O47" i="55"/>
  <c r="AA49" i="55"/>
  <c r="S48" i="55"/>
  <c r="K47" i="55"/>
  <c r="AA47" i="55"/>
  <c r="G49" i="55"/>
  <c r="W49" i="55"/>
  <c r="O48" i="55"/>
  <c r="G47" i="55"/>
  <c r="K49" i="55"/>
  <c r="W47" i="55"/>
  <c r="Z57" i="55"/>
  <c r="V57" i="55"/>
  <c r="R57" i="55"/>
  <c r="N57" i="55"/>
  <c r="J57" i="55"/>
  <c r="F57" i="55"/>
  <c r="Z56" i="55"/>
  <c r="V56" i="55"/>
  <c r="R56" i="55"/>
  <c r="N56" i="55"/>
  <c r="J56" i="55"/>
  <c r="F56" i="55"/>
  <c r="Z55" i="55"/>
  <c r="V55" i="55"/>
  <c r="R55" i="55"/>
  <c r="N55" i="55"/>
  <c r="J55" i="55"/>
  <c r="F55" i="55"/>
  <c r="Y57" i="55"/>
  <c r="U57" i="55"/>
  <c r="Q57" i="55"/>
  <c r="M57" i="55"/>
  <c r="I57" i="55"/>
  <c r="E57" i="55"/>
  <c r="Y56" i="55"/>
  <c r="U56" i="55"/>
  <c r="Q56" i="55"/>
  <c r="M56" i="55"/>
  <c r="I56" i="55"/>
  <c r="E56" i="55"/>
  <c r="Y55" i="55"/>
  <c r="U55" i="55"/>
  <c r="Q55" i="55"/>
  <c r="M55" i="55"/>
  <c r="I55" i="55"/>
  <c r="E55" i="55"/>
  <c r="AB57" i="55"/>
  <c r="X57" i="55"/>
  <c r="T57" i="55"/>
  <c r="P57" i="55"/>
  <c r="L57" i="55"/>
  <c r="H57" i="55"/>
  <c r="AB56" i="55"/>
  <c r="X56" i="55"/>
  <c r="T56" i="55"/>
  <c r="P56" i="55"/>
  <c r="L56" i="55"/>
  <c r="H56" i="55"/>
  <c r="AB55" i="55"/>
  <c r="X55" i="55"/>
  <c r="T55" i="55"/>
  <c r="P55" i="55"/>
  <c r="L55" i="55"/>
  <c r="H55" i="55"/>
  <c r="S57" i="55"/>
  <c r="AA56" i="55"/>
  <c r="K56" i="55"/>
  <c r="S55" i="55"/>
  <c r="O57" i="55"/>
  <c r="W56" i="55"/>
  <c r="G56" i="55"/>
  <c r="O55" i="55"/>
  <c r="K57" i="55"/>
  <c r="AA55" i="55"/>
  <c r="S56" i="55"/>
  <c r="K55" i="55"/>
  <c r="O56" i="55"/>
  <c r="G57" i="55"/>
  <c r="W55" i="55"/>
  <c r="AA57" i="55"/>
  <c r="W57" i="55"/>
  <c r="G55" i="55"/>
  <c r="Z13" i="55"/>
  <c r="V13" i="55"/>
  <c r="R13" i="55"/>
  <c r="N13" i="55"/>
  <c r="J13" i="55"/>
  <c r="F13" i="55"/>
  <c r="Z12" i="55"/>
  <c r="V12" i="55"/>
  <c r="R12" i="55"/>
  <c r="N12" i="55"/>
  <c r="J12" i="55"/>
  <c r="F12" i="55"/>
  <c r="Z11" i="55"/>
  <c r="V11" i="55"/>
  <c r="R11" i="55"/>
  <c r="N11" i="55"/>
  <c r="J11" i="55"/>
  <c r="F11" i="55"/>
  <c r="AB13" i="55"/>
  <c r="T13" i="55"/>
  <c r="L13" i="55"/>
  <c r="AB12" i="55"/>
  <c r="T12" i="55"/>
  <c r="L12" i="55"/>
  <c r="AB11" i="55"/>
  <c r="T11" i="55"/>
  <c r="L11" i="55"/>
  <c r="Y13" i="55"/>
  <c r="U13" i="55"/>
  <c r="Q13" i="55"/>
  <c r="M13" i="55"/>
  <c r="I13" i="55"/>
  <c r="E13" i="55"/>
  <c r="Y12" i="55"/>
  <c r="U12" i="55"/>
  <c r="Q12" i="55"/>
  <c r="M12" i="55"/>
  <c r="I12" i="55"/>
  <c r="E12" i="55"/>
  <c r="Y11" i="55"/>
  <c r="U11" i="55"/>
  <c r="Q11" i="55"/>
  <c r="M11" i="55"/>
  <c r="I11" i="55"/>
  <c r="E11" i="55"/>
  <c r="X13" i="55"/>
  <c r="P13" i="55"/>
  <c r="H13" i="55"/>
  <c r="X12" i="55"/>
  <c r="P12" i="55"/>
  <c r="H12" i="55"/>
  <c r="X11" i="55"/>
  <c r="P11" i="55"/>
  <c r="H11" i="55"/>
  <c r="AA13" i="55"/>
  <c r="K13" i="55"/>
  <c r="S12" i="55"/>
  <c r="AA11" i="55"/>
  <c r="K11" i="55"/>
  <c r="AA12" i="55"/>
  <c r="S11" i="55"/>
  <c r="O13" i="55"/>
  <c r="G12" i="55"/>
  <c r="W13" i="55"/>
  <c r="G13" i="55"/>
  <c r="O12" i="55"/>
  <c r="W11" i="55"/>
  <c r="G11" i="55"/>
  <c r="S13" i="55"/>
  <c r="K12" i="55"/>
  <c r="W12" i="55"/>
  <c r="O11" i="55"/>
  <c r="AB29" i="55"/>
  <c r="X29" i="55"/>
  <c r="T29" i="55"/>
  <c r="P29" i="55"/>
  <c r="L29" i="55"/>
  <c r="H29" i="55"/>
  <c r="AB28" i="55"/>
  <c r="X28" i="55"/>
  <c r="T28" i="55"/>
  <c r="P28" i="55"/>
  <c r="L28" i="55"/>
  <c r="H28" i="55"/>
  <c r="AB27" i="55"/>
  <c r="X27" i="55"/>
  <c r="T27" i="55"/>
  <c r="P27" i="55"/>
  <c r="L27" i="55"/>
  <c r="H27" i="55"/>
  <c r="AA29" i="55"/>
  <c r="W29" i="55"/>
  <c r="S29" i="55"/>
  <c r="O29" i="55"/>
  <c r="K29" i="55"/>
  <c r="G29" i="55"/>
  <c r="AA28" i="55"/>
  <c r="W28" i="55"/>
  <c r="S28" i="55"/>
  <c r="O28" i="55"/>
  <c r="K28" i="55"/>
  <c r="G28" i="55"/>
  <c r="AA27" i="55"/>
  <c r="W27" i="55"/>
  <c r="S27" i="55"/>
  <c r="K27" i="55"/>
  <c r="G27" i="55"/>
  <c r="V29" i="55"/>
  <c r="N29" i="55"/>
  <c r="F29" i="55"/>
  <c r="V28" i="55"/>
  <c r="N28" i="55"/>
  <c r="F28" i="55"/>
  <c r="V27" i="55"/>
  <c r="N27" i="55"/>
  <c r="F27" i="55"/>
  <c r="Z29" i="55"/>
  <c r="J29" i="55"/>
  <c r="R28" i="55"/>
  <c r="Z27" i="55"/>
  <c r="J27" i="55"/>
  <c r="U29" i="55"/>
  <c r="M29" i="55"/>
  <c r="E29" i="55"/>
  <c r="U28" i="55"/>
  <c r="M28" i="55"/>
  <c r="E28" i="55"/>
  <c r="U27" i="55"/>
  <c r="M27" i="55"/>
  <c r="E27" i="55"/>
  <c r="R29" i="55"/>
  <c r="Z28" i="55"/>
  <c r="J28" i="55"/>
  <c r="R27" i="55"/>
  <c r="Q29" i="55"/>
  <c r="I28" i="55"/>
  <c r="Y28" i="55"/>
  <c r="Y29" i="55"/>
  <c r="I27" i="55"/>
  <c r="I29" i="55"/>
  <c r="Y27" i="55"/>
  <c r="Q27" i="55"/>
  <c r="Q28" i="55"/>
  <c r="Z21" i="55"/>
  <c r="V21" i="55"/>
  <c r="R21" i="55"/>
  <c r="N21" i="55"/>
  <c r="J21" i="55"/>
  <c r="F21" i="55"/>
  <c r="Z20" i="55"/>
  <c r="V20" i="55"/>
  <c r="R20" i="55"/>
  <c r="N20" i="55"/>
  <c r="J20" i="55"/>
  <c r="F20" i="55"/>
  <c r="Z19" i="55"/>
  <c r="V19" i="55"/>
  <c r="R19" i="55"/>
  <c r="N19" i="55"/>
  <c r="J19" i="55"/>
  <c r="F19" i="55"/>
  <c r="X21" i="55"/>
  <c r="P21" i="55"/>
  <c r="H21" i="55"/>
  <c r="X20" i="55"/>
  <c r="P20" i="55"/>
  <c r="H20" i="55"/>
  <c r="X19" i="55"/>
  <c r="P19" i="55"/>
  <c r="H19" i="55"/>
  <c r="Y21" i="55"/>
  <c r="U21" i="55"/>
  <c r="Q21" i="55"/>
  <c r="M21" i="55"/>
  <c r="I21" i="55"/>
  <c r="E21" i="55"/>
  <c r="Y20" i="55"/>
  <c r="U20" i="55"/>
  <c r="Q20" i="55"/>
  <c r="M20" i="55"/>
  <c r="I20" i="55"/>
  <c r="E20" i="55"/>
  <c r="Y19" i="55"/>
  <c r="U19" i="55"/>
  <c r="Q19" i="55"/>
  <c r="M19" i="55"/>
  <c r="I19" i="55"/>
  <c r="E19" i="55"/>
  <c r="AB21" i="55"/>
  <c r="T21" i="55"/>
  <c r="L21" i="55"/>
  <c r="AB20" i="55"/>
  <c r="T20" i="55"/>
  <c r="L20" i="55"/>
  <c r="AB19" i="55"/>
  <c r="T19" i="55"/>
  <c r="L19" i="55"/>
  <c r="AA21" i="55"/>
  <c r="K21" i="55"/>
  <c r="S20" i="55"/>
  <c r="AA19" i="55"/>
  <c r="K19" i="55"/>
  <c r="S21" i="55"/>
  <c r="K20" i="55"/>
  <c r="W20" i="55"/>
  <c r="O19" i="55"/>
  <c r="W21" i="55"/>
  <c r="G21" i="55"/>
  <c r="O20" i="55"/>
  <c r="W19" i="55"/>
  <c r="G19" i="55"/>
  <c r="AA20" i="55"/>
  <c r="S19" i="55"/>
  <c r="O21" i="55"/>
  <c r="G20" i="55"/>
  <c r="AB37" i="55"/>
  <c r="X37" i="55"/>
  <c r="T37" i="55"/>
  <c r="P37" i="55"/>
  <c r="L37" i="55"/>
  <c r="H37" i="55"/>
  <c r="AB36" i="55"/>
  <c r="X36" i="55"/>
  <c r="T36" i="55"/>
  <c r="P36" i="55"/>
  <c r="L36" i="55"/>
  <c r="H36" i="55"/>
  <c r="AB35" i="55"/>
  <c r="X35" i="55"/>
  <c r="T35" i="55"/>
  <c r="P35" i="55"/>
  <c r="L35" i="55"/>
  <c r="H35" i="55"/>
  <c r="AA37" i="55"/>
  <c r="W37" i="55"/>
  <c r="S37" i="55"/>
  <c r="O37" i="55"/>
  <c r="K37" i="55"/>
  <c r="G37" i="55"/>
  <c r="AA36" i="55"/>
  <c r="W36" i="55"/>
  <c r="S36" i="55"/>
  <c r="O36" i="55"/>
  <c r="K36" i="55"/>
  <c r="G36" i="55"/>
  <c r="AA35" i="55"/>
  <c r="W35" i="55"/>
  <c r="S35" i="55"/>
  <c r="O35" i="55"/>
  <c r="K35" i="55"/>
  <c r="G35" i="55"/>
  <c r="V37" i="55"/>
  <c r="N37" i="55"/>
  <c r="F37" i="55"/>
  <c r="V36" i="55"/>
  <c r="N36" i="55"/>
  <c r="F36" i="55"/>
  <c r="V35" i="55"/>
  <c r="N35" i="55"/>
  <c r="F35" i="55"/>
  <c r="Z37" i="55"/>
  <c r="J37" i="55"/>
  <c r="R36" i="55"/>
  <c r="Z35" i="55"/>
  <c r="J35" i="55"/>
  <c r="U37" i="55"/>
  <c r="M37" i="55"/>
  <c r="E37" i="55"/>
  <c r="U36" i="55"/>
  <c r="M36" i="55"/>
  <c r="E36" i="55"/>
  <c r="U35" i="55"/>
  <c r="M35" i="55"/>
  <c r="E35" i="55"/>
  <c r="R37" i="55"/>
  <c r="Z36" i="55"/>
  <c r="J36" i="55"/>
  <c r="R35" i="55"/>
  <c r="Y36" i="55"/>
  <c r="Q35" i="55"/>
  <c r="I36" i="55"/>
  <c r="I37" i="55"/>
  <c r="Y37" i="55"/>
  <c r="Q36" i="55"/>
  <c r="I35" i="55"/>
  <c r="Q37" i="55"/>
  <c r="Y35" i="55"/>
  <c r="Z53" i="55"/>
  <c r="V53" i="55"/>
  <c r="R53" i="55"/>
  <c r="N53" i="55"/>
  <c r="J53" i="55"/>
  <c r="F53" i="55"/>
  <c r="Z52" i="55"/>
  <c r="V52" i="55"/>
  <c r="R52" i="55"/>
  <c r="N52" i="55"/>
  <c r="J52" i="55"/>
  <c r="F52" i="55"/>
  <c r="Z51" i="55"/>
  <c r="V51" i="55"/>
  <c r="R51" i="55"/>
  <c r="N51" i="55"/>
  <c r="J51" i="55"/>
  <c r="F51" i="55"/>
  <c r="Y53" i="55"/>
  <c r="U53" i="55"/>
  <c r="Q53" i="55"/>
  <c r="M53" i="55"/>
  <c r="I53" i="55"/>
  <c r="E53" i="55"/>
  <c r="Y52" i="55"/>
  <c r="U52" i="55"/>
  <c r="Q52" i="55"/>
  <c r="M52" i="55"/>
  <c r="I52" i="55"/>
  <c r="E52" i="55"/>
  <c r="Y51" i="55"/>
  <c r="U51" i="55"/>
  <c r="Q51" i="55"/>
  <c r="M51" i="55"/>
  <c r="I51" i="55"/>
  <c r="E51" i="55"/>
  <c r="AB53" i="55"/>
  <c r="X53" i="55"/>
  <c r="T53" i="55"/>
  <c r="P53" i="55"/>
  <c r="L53" i="55"/>
  <c r="H53" i="55"/>
  <c r="AB52" i="55"/>
  <c r="X52" i="55"/>
  <c r="T52" i="55"/>
  <c r="P52" i="55"/>
  <c r="L52" i="55"/>
  <c r="H52" i="55"/>
  <c r="AB51" i="55"/>
  <c r="X51" i="55"/>
  <c r="T51" i="55"/>
  <c r="P51" i="55"/>
  <c r="L51" i="55"/>
  <c r="H51" i="55"/>
  <c r="AA53" i="55"/>
  <c r="K53" i="55"/>
  <c r="S52" i="55"/>
  <c r="AA51" i="55"/>
  <c r="K51" i="55"/>
  <c r="W53" i="55"/>
  <c r="G53" i="55"/>
  <c r="O52" i="55"/>
  <c r="W51" i="55"/>
  <c r="G51" i="55"/>
  <c r="S53" i="55"/>
  <c r="K52" i="55"/>
  <c r="S51" i="55"/>
  <c r="W52" i="55"/>
  <c r="O53" i="55"/>
  <c r="G52" i="55"/>
  <c r="AA52" i="55"/>
  <c r="O51" i="55"/>
  <c r="AA25" i="54"/>
  <c r="W25" i="54"/>
  <c r="S25" i="54"/>
  <c r="O25" i="54"/>
  <c r="K25" i="54"/>
  <c r="G25" i="54"/>
  <c r="AA24" i="54"/>
  <c r="W24" i="54"/>
  <c r="S24" i="54"/>
  <c r="O24" i="54"/>
  <c r="K24" i="54"/>
  <c r="G24" i="54"/>
  <c r="AA23" i="54"/>
  <c r="W23" i="54"/>
  <c r="S23" i="54"/>
  <c r="O23" i="54"/>
  <c r="K23" i="54"/>
  <c r="G23" i="54"/>
  <c r="Z25" i="54"/>
  <c r="V25" i="54"/>
  <c r="R25" i="54"/>
  <c r="N25" i="54"/>
  <c r="J25" i="54"/>
  <c r="F25" i="54"/>
  <c r="Z24" i="54"/>
  <c r="V24" i="54"/>
  <c r="R24" i="54"/>
  <c r="N24" i="54"/>
  <c r="J24" i="54"/>
  <c r="F24" i="54"/>
  <c r="Z23" i="54"/>
  <c r="V23" i="54"/>
  <c r="R23" i="54"/>
  <c r="N23" i="54"/>
  <c r="J23" i="54"/>
  <c r="F23" i="54"/>
  <c r="AB25" i="54"/>
  <c r="T25" i="54"/>
  <c r="L25" i="54"/>
  <c r="AB24" i="54"/>
  <c r="T24" i="54"/>
  <c r="L24" i="54"/>
  <c r="AB23" i="54"/>
  <c r="T23" i="54"/>
  <c r="L23" i="54"/>
  <c r="X25" i="54"/>
  <c r="X24" i="54"/>
  <c r="X23" i="54"/>
  <c r="H23" i="54"/>
  <c r="M25" i="54"/>
  <c r="E25" i="54"/>
  <c r="M24" i="54"/>
  <c r="U23" i="54"/>
  <c r="E23" i="54"/>
  <c r="Y25" i="54"/>
  <c r="Q25" i="54"/>
  <c r="I25" i="54"/>
  <c r="Y24" i="54"/>
  <c r="Q24" i="54"/>
  <c r="I24" i="54"/>
  <c r="Y23" i="54"/>
  <c r="Q23" i="54"/>
  <c r="I23" i="54"/>
  <c r="P25" i="54"/>
  <c r="H25" i="54"/>
  <c r="P24" i="54"/>
  <c r="H24" i="54"/>
  <c r="P23" i="54"/>
  <c r="U25" i="54"/>
  <c r="U24" i="54"/>
  <c r="E24" i="54"/>
  <c r="M23" i="54"/>
  <c r="Z41" i="54"/>
  <c r="V41" i="54"/>
  <c r="R41" i="54"/>
  <c r="N41" i="54"/>
  <c r="J41" i="54"/>
  <c r="F41" i="54"/>
  <c r="Z40" i="54"/>
  <c r="V40" i="54"/>
  <c r="R40" i="54"/>
  <c r="N40" i="54"/>
  <c r="J40" i="54"/>
  <c r="F40" i="54"/>
  <c r="Z39" i="54"/>
  <c r="Y41" i="54"/>
  <c r="U41" i="54"/>
  <c r="Q41" i="54"/>
  <c r="M41" i="54"/>
  <c r="I41" i="54"/>
  <c r="E41" i="54"/>
  <c r="Y40" i="54"/>
  <c r="U40" i="54"/>
  <c r="Q40" i="54"/>
  <c r="M40" i="54"/>
  <c r="I40" i="54"/>
  <c r="E40" i="54"/>
  <c r="Y39" i="54"/>
  <c r="AB41" i="54"/>
  <c r="X41" i="54"/>
  <c r="T41" i="54"/>
  <c r="P41" i="54"/>
  <c r="L41" i="54"/>
  <c r="H41" i="54"/>
  <c r="AB40" i="54"/>
  <c r="X40" i="54"/>
  <c r="T40" i="54"/>
  <c r="P40" i="54"/>
  <c r="L40" i="54"/>
  <c r="H40" i="54"/>
  <c r="AB39" i="54"/>
  <c r="S41" i="54"/>
  <c r="AA40" i="54"/>
  <c r="K40" i="54"/>
  <c r="W39" i="54"/>
  <c r="S39" i="54"/>
  <c r="O39" i="54"/>
  <c r="K39" i="54"/>
  <c r="G39" i="54"/>
  <c r="K41" i="54"/>
  <c r="AA39" i="54"/>
  <c r="Q39" i="54"/>
  <c r="I39" i="54"/>
  <c r="O41" i="54"/>
  <c r="W40" i="54"/>
  <c r="G40" i="54"/>
  <c r="V39" i="54"/>
  <c r="R39" i="54"/>
  <c r="N39" i="54"/>
  <c r="J39" i="54"/>
  <c r="F39" i="54"/>
  <c r="AA41" i="54"/>
  <c r="S40" i="54"/>
  <c r="U39" i="54"/>
  <c r="M39" i="54"/>
  <c r="E39" i="54"/>
  <c r="W41" i="54"/>
  <c r="T39" i="54"/>
  <c r="O40" i="54"/>
  <c r="H39" i="54"/>
  <c r="G41" i="54"/>
  <c r="P39" i="54"/>
  <c r="L39" i="54"/>
  <c r="X39" i="54"/>
  <c r="Z57" i="54"/>
  <c r="V57" i="54"/>
  <c r="R57" i="54"/>
  <c r="N57" i="54"/>
  <c r="J57" i="54"/>
  <c r="F57" i="54"/>
  <c r="Z56" i="54"/>
  <c r="V56" i="54"/>
  <c r="R56" i="54"/>
  <c r="N56" i="54"/>
  <c r="J56" i="54"/>
  <c r="F56" i="54"/>
  <c r="Z55" i="54"/>
  <c r="V55" i="54"/>
  <c r="R55" i="54"/>
  <c r="N55" i="54"/>
  <c r="J55" i="54"/>
  <c r="F55" i="54"/>
  <c r="Y57" i="54"/>
  <c r="U57" i="54"/>
  <c r="Q57" i="54"/>
  <c r="M57" i="54"/>
  <c r="I57" i="54"/>
  <c r="E57" i="54"/>
  <c r="Y56" i="54"/>
  <c r="U56" i="54"/>
  <c r="Q56" i="54"/>
  <c r="M56" i="54"/>
  <c r="I56" i="54"/>
  <c r="E56" i="54"/>
  <c r="Y55" i="54"/>
  <c r="U55" i="54"/>
  <c r="Q55" i="54"/>
  <c r="M55" i="54"/>
  <c r="I55" i="54"/>
  <c r="E55" i="54"/>
  <c r="AB57" i="54"/>
  <c r="X57" i="54"/>
  <c r="T57" i="54"/>
  <c r="P57" i="54"/>
  <c r="L57" i="54"/>
  <c r="H57" i="54"/>
  <c r="AB56" i="54"/>
  <c r="X56" i="54"/>
  <c r="T56" i="54"/>
  <c r="P56" i="54"/>
  <c r="L56" i="54"/>
  <c r="H56" i="54"/>
  <c r="AB55" i="54"/>
  <c r="X55" i="54"/>
  <c r="T55" i="54"/>
  <c r="P55" i="54"/>
  <c r="L55" i="54"/>
  <c r="H55" i="54"/>
  <c r="S57" i="54"/>
  <c r="AA56" i="54"/>
  <c r="K56" i="54"/>
  <c r="S55" i="54"/>
  <c r="AA57" i="54"/>
  <c r="S56" i="54"/>
  <c r="K55" i="54"/>
  <c r="O57" i="54"/>
  <c r="W56" i="54"/>
  <c r="G56" i="54"/>
  <c r="O55" i="54"/>
  <c r="K57" i="54"/>
  <c r="AA55" i="54"/>
  <c r="O56" i="54"/>
  <c r="W57" i="54"/>
  <c r="W55" i="54"/>
  <c r="G55" i="54"/>
  <c r="G57" i="54"/>
  <c r="AA13" i="54"/>
  <c r="W13" i="54"/>
  <c r="S13" i="54"/>
  <c r="O13" i="54"/>
  <c r="K13" i="54"/>
  <c r="G13" i="54"/>
  <c r="Z12" i="54"/>
  <c r="V12" i="54"/>
  <c r="R12" i="54"/>
  <c r="N12" i="54"/>
  <c r="J12" i="54"/>
  <c r="F12" i="54"/>
  <c r="Y11" i="54"/>
  <c r="U11" i="54"/>
  <c r="Q11" i="54"/>
  <c r="M11" i="54"/>
  <c r="I11" i="54"/>
  <c r="E13" i="54"/>
  <c r="Z13" i="54"/>
  <c r="V13" i="54"/>
  <c r="R13" i="54"/>
  <c r="N13" i="54"/>
  <c r="J13" i="54"/>
  <c r="F13" i="54"/>
  <c r="Y12" i="54"/>
  <c r="U12" i="54"/>
  <c r="Q12" i="54"/>
  <c r="M12" i="54"/>
  <c r="I12" i="54"/>
  <c r="AB11" i="54"/>
  <c r="X11" i="54"/>
  <c r="T11" i="54"/>
  <c r="P11" i="54"/>
  <c r="L11" i="54"/>
  <c r="H11" i="54"/>
  <c r="E12" i="54"/>
  <c r="AB13" i="54"/>
  <c r="T13" i="54"/>
  <c r="L13" i="54"/>
  <c r="AA12" i="54"/>
  <c r="S12" i="54"/>
  <c r="K12" i="54"/>
  <c r="Z11" i="54"/>
  <c r="R11" i="54"/>
  <c r="J11" i="54"/>
  <c r="P13" i="54"/>
  <c r="W12" i="54"/>
  <c r="G12" i="54"/>
  <c r="N11" i="54"/>
  <c r="U13" i="54"/>
  <c r="AB12" i="54"/>
  <c r="L12" i="54"/>
  <c r="S11" i="54"/>
  <c r="E11" i="54"/>
  <c r="Y13" i="54"/>
  <c r="Q13" i="54"/>
  <c r="I13" i="54"/>
  <c r="X12" i="54"/>
  <c r="P12" i="54"/>
  <c r="H12" i="54"/>
  <c r="W11" i="54"/>
  <c r="O11" i="54"/>
  <c r="G11" i="54"/>
  <c r="X13" i="54"/>
  <c r="H13" i="54"/>
  <c r="O12" i="54"/>
  <c r="V11" i="54"/>
  <c r="F11" i="54"/>
  <c r="M13" i="54"/>
  <c r="T12" i="54"/>
  <c r="AA11" i="54"/>
  <c r="K11" i="54"/>
  <c r="AA29" i="54"/>
  <c r="W29" i="54"/>
  <c r="S29" i="54"/>
  <c r="O29" i="54"/>
  <c r="K29" i="54"/>
  <c r="G29" i="54"/>
  <c r="AA28" i="54"/>
  <c r="W28" i="54"/>
  <c r="S28" i="54"/>
  <c r="O28" i="54"/>
  <c r="K28" i="54"/>
  <c r="G28" i="54"/>
  <c r="AA27" i="54"/>
  <c r="W27" i="54"/>
  <c r="S27" i="54"/>
  <c r="K27" i="54"/>
  <c r="G27" i="54"/>
  <c r="Z29" i="54"/>
  <c r="V29" i="54"/>
  <c r="R29" i="54"/>
  <c r="N29" i="54"/>
  <c r="J29" i="54"/>
  <c r="F29" i="54"/>
  <c r="Z28" i="54"/>
  <c r="V28" i="54"/>
  <c r="R28" i="54"/>
  <c r="N28" i="54"/>
  <c r="J28" i="54"/>
  <c r="F28" i="54"/>
  <c r="Z27" i="54"/>
  <c r="V27" i="54"/>
  <c r="R27" i="54"/>
  <c r="N27" i="54"/>
  <c r="J27" i="54"/>
  <c r="F27" i="54"/>
  <c r="AB29" i="54"/>
  <c r="T29" i="54"/>
  <c r="L29" i="54"/>
  <c r="AB28" i="54"/>
  <c r="T28" i="54"/>
  <c r="L28" i="54"/>
  <c r="AB27" i="54"/>
  <c r="T27" i="54"/>
  <c r="L27" i="54"/>
  <c r="P29" i="54"/>
  <c r="X28" i="54"/>
  <c r="X27" i="54"/>
  <c r="H27" i="54"/>
  <c r="M29" i="54"/>
  <c r="U28" i="54"/>
  <c r="M28" i="54"/>
  <c r="U27" i="54"/>
  <c r="E27" i="54"/>
  <c r="Y29" i="54"/>
  <c r="Q29" i="54"/>
  <c r="I29" i="54"/>
  <c r="Y28" i="54"/>
  <c r="Q28" i="54"/>
  <c r="I28" i="54"/>
  <c r="Y27" i="54"/>
  <c r="Q27" i="54"/>
  <c r="I27" i="54"/>
  <c r="X29" i="54"/>
  <c r="H29" i="54"/>
  <c r="P28" i="54"/>
  <c r="H28" i="54"/>
  <c r="P27" i="54"/>
  <c r="U29" i="54"/>
  <c r="E29" i="54"/>
  <c r="E28" i="54"/>
  <c r="M27" i="54"/>
  <c r="Z45" i="54"/>
  <c r="V45" i="54"/>
  <c r="R45" i="54"/>
  <c r="N45" i="54"/>
  <c r="J45" i="54"/>
  <c r="F45" i="54"/>
  <c r="Z44" i="54"/>
  <c r="V44" i="54"/>
  <c r="R44" i="54"/>
  <c r="N44" i="54"/>
  <c r="J44" i="54"/>
  <c r="F44" i="54"/>
  <c r="Z43" i="54"/>
  <c r="V43" i="54"/>
  <c r="R43" i="54"/>
  <c r="N43" i="54"/>
  <c r="J43" i="54"/>
  <c r="F43" i="54"/>
  <c r="Y45" i="54"/>
  <c r="U45" i="54"/>
  <c r="Q45" i="54"/>
  <c r="M45" i="54"/>
  <c r="I45" i="54"/>
  <c r="E45" i="54"/>
  <c r="Y44" i="54"/>
  <c r="U44" i="54"/>
  <c r="Q44" i="54"/>
  <c r="M44" i="54"/>
  <c r="I44" i="54"/>
  <c r="E44" i="54"/>
  <c r="Y43" i="54"/>
  <c r="U43" i="54"/>
  <c r="Q43" i="54"/>
  <c r="M43" i="54"/>
  <c r="I43" i="54"/>
  <c r="E43" i="54"/>
  <c r="AB45" i="54"/>
  <c r="X45" i="54"/>
  <c r="T45" i="54"/>
  <c r="P45" i="54"/>
  <c r="L45" i="54"/>
  <c r="H45" i="54"/>
  <c r="AB44" i="54"/>
  <c r="X44" i="54"/>
  <c r="T44" i="54"/>
  <c r="P44" i="54"/>
  <c r="L44" i="54"/>
  <c r="H44" i="54"/>
  <c r="AB43" i="54"/>
  <c r="X43" i="54"/>
  <c r="T43" i="54"/>
  <c r="P43" i="54"/>
  <c r="L43" i="54"/>
  <c r="H43" i="54"/>
  <c r="AA45" i="54"/>
  <c r="K45" i="54"/>
  <c r="S44" i="54"/>
  <c r="AA43" i="54"/>
  <c r="K43" i="54"/>
  <c r="AA44" i="54"/>
  <c r="S43" i="54"/>
  <c r="W45" i="54"/>
  <c r="G45" i="54"/>
  <c r="O44" i="54"/>
  <c r="W43" i="54"/>
  <c r="G43" i="54"/>
  <c r="S45" i="54"/>
  <c r="K44" i="54"/>
  <c r="O45" i="54"/>
  <c r="G44" i="54"/>
  <c r="O43" i="54"/>
  <c r="W44" i="54"/>
  <c r="AA17" i="54"/>
  <c r="W17" i="54"/>
  <c r="S17" i="54"/>
  <c r="O17" i="54"/>
  <c r="K17" i="54"/>
  <c r="G17" i="54"/>
  <c r="AA16" i="54"/>
  <c r="W16" i="54"/>
  <c r="S16" i="54"/>
  <c r="O16" i="54"/>
  <c r="K16" i="54"/>
  <c r="G16" i="54"/>
  <c r="AA15" i="54"/>
  <c r="W15" i="54"/>
  <c r="S15" i="54"/>
  <c r="O15" i="54"/>
  <c r="K15" i="54"/>
  <c r="G15" i="54"/>
  <c r="Z17" i="54"/>
  <c r="V17" i="54"/>
  <c r="R17" i="54"/>
  <c r="N17" i="54"/>
  <c r="J17" i="54"/>
  <c r="F17" i="54"/>
  <c r="Z16" i="54"/>
  <c r="V16" i="54"/>
  <c r="R16" i="54"/>
  <c r="N16" i="54"/>
  <c r="J16" i="54"/>
  <c r="F16" i="54"/>
  <c r="Z15" i="54"/>
  <c r="V15" i="54"/>
  <c r="R15" i="54"/>
  <c r="N15" i="54"/>
  <c r="J15" i="54"/>
  <c r="F15" i="54"/>
  <c r="AB17" i="54"/>
  <c r="T17" i="54"/>
  <c r="L17" i="54"/>
  <c r="AB16" i="54"/>
  <c r="T16" i="54"/>
  <c r="L16" i="54"/>
  <c r="AB15" i="54"/>
  <c r="T15" i="54"/>
  <c r="L15" i="54"/>
  <c r="X17" i="54"/>
  <c r="H17" i="54"/>
  <c r="P16" i="54"/>
  <c r="X15" i="54"/>
  <c r="H15" i="54"/>
  <c r="U17" i="54"/>
  <c r="E17" i="54"/>
  <c r="M16" i="54"/>
  <c r="U15" i="54"/>
  <c r="M15" i="54"/>
  <c r="Y17" i="54"/>
  <c r="Q17" i="54"/>
  <c r="I17" i="54"/>
  <c r="Y16" i="54"/>
  <c r="Q16" i="54"/>
  <c r="I16" i="54"/>
  <c r="Y15" i="54"/>
  <c r="Q15" i="54"/>
  <c r="I15" i="54"/>
  <c r="P17" i="54"/>
  <c r="X16" i="54"/>
  <c r="H16" i="54"/>
  <c r="P15" i="54"/>
  <c r="M17" i="54"/>
  <c r="U16" i="54"/>
  <c r="E16" i="54"/>
  <c r="E15" i="54"/>
  <c r="AA33" i="54"/>
  <c r="W33" i="54"/>
  <c r="S33" i="54"/>
  <c r="O33" i="54"/>
  <c r="K33" i="54"/>
  <c r="G33" i="54"/>
  <c r="AA32" i="54"/>
  <c r="W32" i="54"/>
  <c r="S32" i="54"/>
  <c r="O32" i="54"/>
  <c r="K32" i="54"/>
  <c r="G32" i="54"/>
  <c r="AA31" i="54"/>
  <c r="W31" i="54"/>
  <c r="S31" i="54"/>
  <c r="O31" i="54"/>
  <c r="K31" i="54"/>
  <c r="G31" i="54"/>
  <c r="Z33" i="54"/>
  <c r="V33" i="54"/>
  <c r="R33" i="54"/>
  <c r="N33" i="54"/>
  <c r="J33" i="54"/>
  <c r="F33" i="54"/>
  <c r="Z32" i="54"/>
  <c r="V32" i="54"/>
  <c r="R32" i="54"/>
  <c r="N32" i="54"/>
  <c r="J32" i="54"/>
  <c r="F32" i="54"/>
  <c r="Z31" i="54"/>
  <c r="V31" i="54"/>
  <c r="R31" i="54"/>
  <c r="N31" i="54"/>
  <c r="J31" i="54"/>
  <c r="F31" i="54"/>
  <c r="AB33" i="54"/>
  <c r="T33" i="54"/>
  <c r="L33" i="54"/>
  <c r="AB32" i="54"/>
  <c r="T32" i="54"/>
  <c r="L32" i="54"/>
  <c r="AB31" i="54"/>
  <c r="T31" i="54"/>
  <c r="L31" i="54"/>
  <c r="P33" i="54"/>
  <c r="H33" i="54"/>
  <c r="P32" i="54"/>
  <c r="X31" i="54"/>
  <c r="H31" i="54"/>
  <c r="M33" i="54"/>
  <c r="E33" i="54"/>
  <c r="M32" i="54"/>
  <c r="U31" i="54"/>
  <c r="E31" i="54"/>
  <c r="Y33" i="54"/>
  <c r="Q33" i="54"/>
  <c r="I33" i="54"/>
  <c r="Y32" i="54"/>
  <c r="Q32" i="54"/>
  <c r="I32" i="54"/>
  <c r="Y31" i="54"/>
  <c r="Q31" i="54"/>
  <c r="I31" i="54"/>
  <c r="X33" i="54"/>
  <c r="X32" i="54"/>
  <c r="H32" i="54"/>
  <c r="P31" i="54"/>
  <c r="U33" i="54"/>
  <c r="U32" i="54"/>
  <c r="E32" i="54"/>
  <c r="M31" i="54"/>
  <c r="Z49" i="54"/>
  <c r="V49" i="54"/>
  <c r="R49" i="54"/>
  <c r="N49" i="54"/>
  <c r="J49" i="54"/>
  <c r="F49" i="54"/>
  <c r="Z48" i="54"/>
  <c r="V48" i="54"/>
  <c r="R48" i="54"/>
  <c r="N48" i="54"/>
  <c r="J48" i="54"/>
  <c r="F48" i="54"/>
  <c r="Z47" i="54"/>
  <c r="V47" i="54"/>
  <c r="R47" i="54"/>
  <c r="N47" i="54"/>
  <c r="J47" i="54"/>
  <c r="F47" i="54"/>
  <c r="Y49" i="54"/>
  <c r="U49" i="54"/>
  <c r="Q49" i="54"/>
  <c r="M49" i="54"/>
  <c r="I49" i="54"/>
  <c r="E49" i="54"/>
  <c r="Y48" i="54"/>
  <c r="U48" i="54"/>
  <c r="Q48" i="54"/>
  <c r="M48" i="54"/>
  <c r="I48" i="54"/>
  <c r="E48" i="54"/>
  <c r="Y47" i="54"/>
  <c r="U47" i="54"/>
  <c r="Q47" i="54"/>
  <c r="M47" i="54"/>
  <c r="I47" i="54"/>
  <c r="E47" i="54"/>
  <c r="AB49" i="54"/>
  <c r="X49" i="54"/>
  <c r="T49" i="54"/>
  <c r="P49" i="54"/>
  <c r="L49" i="54"/>
  <c r="H49" i="54"/>
  <c r="AB48" i="54"/>
  <c r="X48" i="54"/>
  <c r="T48" i="54"/>
  <c r="P48" i="54"/>
  <c r="L48" i="54"/>
  <c r="H48" i="54"/>
  <c r="AB47" i="54"/>
  <c r="X47" i="54"/>
  <c r="T47" i="54"/>
  <c r="P47" i="54"/>
  <c r="L47" i="54"/>
  <c r="H47" i="54"/>
  <c r="S49" i="54"/>
  <c r="AA48" i="54"/>
  <c r="K48" i="54"/>
  <c r="S47" i="54"/>
  <c r="K49" i="54"/>
  <c r="S48" i="54"/>
  <c r="K47" i="54"/>
  <c r="O49" i="54"/>
  <c r="W48" i="54"/>
  <c r="G48" i="54"/>
  <c r="O47" i="54"/>
  <c r="AA49" i="54"/>
  <c r="AA47" i="54"/>
  <c r="G49" i="54"/>
  <c r="W49" i="54"/>
  <c r="O48" i="54"/>
  <c r="W47" i="54"/>
  <c r="G47" i="54"/>
  <c r="AA21" i="54"/>
  <c r="W21" i="54"/>
  <c r="S21" i="54"/>
  <c r="O21" i="54"/>
  <c r="K21" i="54"/>
  <c r="G21" i="54"/>
  <c r="AA20" i="54"/>
  <c r="W20" i="54"/>
  <c r="S20" i="54"/>
  <c r="O20" i="54"/>
  <c r="K20" i="54"/>
  <c r="G20" i="54"/>
  <c r="AA19" i="54"/>
  <c r="W19" i="54"/>
  <c r="S19" i="54"/>
  <c r="O19" i="54"/>
  <c r="K19" i="54"/>
  <c r="G19" i="54"/>
  <c r="Z21" i="54"/>
  <c r="V21" i="54"/>
  <c r="R21" i="54"/>
  <c r="N21" i="54"/>
  <c r="J21" i="54"/>
  <c r="F21" i="54"/>
  <c r="Z20" i="54"/>
  <c r="V20" i="54"/>
  <c r="R20" i="54"/>
  <c r="N20" i="54"/>
  <c r="J20" i="54"/>
  <c r="F20" i="54"/>
  <c r="Z19" i="54"/>
  <c r="V19" i="54"/>
  <c r="R19" i="54"/>
  <c r="N19" i="54"/>
  <c r="J19" i="54"/>
  <c r="F19" i="54"/>
  <c r="AB21" i="54"/>
  <c r="T21" i="54"/>
  <c r="L21" i="54"/>
  <c r="AB20" i="54"/>
  <c r="T20" i="54"/>
  <c r="L20" i="54"/>
  <c r="AB19" i="54"/>
  <c r="T19" i="54"/>
  <c r="L19" i="54"/>
  <c r="P21" i="54"/>
  <c r="H21" i="54"/>
  <c r="P20" i="54"/>
  <c r="P19" i="54"/>
  <c r="H19" i="54"/>
  <c r="M21" i="54"/>
  <c r="U20" i="54"/>
  <c r="E20" i="54"/>
  <c r="M19" i="54"/>
  <c r="Y21" i="54"/>
  <c r="Q21" i="54"/>
  <c r="I21" i="54"/>
  <c r="Y20" i="54"/>
  <c r="Q20" i="54"/>
  <c r="I20" i="54"/>
  <c r="Y19" i="54"/>
  <c r="Q19" i="54"/>
  <c r="I19" i="54"/>
  <c r="X21" i="54"/>
  <c r="X20" i="54"/>
  <c r="H20" i="54"/>
  <c r="X19" i="54"/>
  <c r="U21" i="54"/>
  <c r="E21" i="54"/>
  <c r="M20" i="54"/>
  <c r="U19" i="54"/>
  <c r="E19" i="54"/>
  <c r="AA37" i="54"/>
  <c r="W37" i="54"/>
  <c r="S37" i="54"/>
  <c r="O37" i="54"/>
  <c r="K37" i="54"/>
  <c r="G37" i="54"/>
  <c r="AA36" i="54"/>
  <c r="W36" i="54"/>
  <c r="S36" i="54"/>
  <c r="O36" i="54"/>
  <c r="K36" i="54"/>
  <c r="G36" i="54"/>
  <c r="AA35" i="54"/>
  <c r="W35" i="54"/>
  <c r="S35" i="54"/>
  <c r="O35" i="54"/>
  <c r="K35" i="54"/>
  <c r="G35" i="54"/>
  <c r="Y37" i="54"/>
  <c r="Q37" i="54"/>
  <c r="I37" i="54"/>
  <c r="Y36" i="54"/>
  <c r="Z37" i="54"/>
  <c r="V37" i="54"/>
  <c r="R37" i="54"/>
  <c r="N37" i="54"/>
  <c r="J37" i="54"/>
  <c r="F37" i="54"/>
  <c r="Z36" i="54"/>
  <c r="V36" i="54"/>
  <c r="R36" i="54"/>
  <c r="N36" i="54"/>
  <c r="J36" i="54"/>
  <c r="F36" i="54"/>
  <c r="Z35" i="54"/>
  <c r="V35" i="54"/>
  <c r="R35" i="54"/>
  <c r="N35" i="54"/>
  <c r="J35" i="54"/>
  <c r="F35" i="54"/>
  <c r="U37" i="54"/>
  <c r="M37" i="54"/>
  <c r="E37" i="54"/>
  <c r="U36" i="54"/>
  <c r="AB37" i="54"/>
  <c r="L37" i="54"/>
  <c r="T36" i="54"/>
  <c r="L36" i="54"/>
  <c r="AB35" i="54"/>
  <c r="T35" i="54"/>
  <c r="L35" i="54"/>
  <c r="P36" i="54"/>
  <c r="X36" i="54"/>
  <c r="E36" i="54"/>
  <c r="U35" i="54"/>
  <c r="X37" i="54"/>
  <c r="H37" i="54"/>
  <c r="Q36" i="54"/>
  <c r="I36" i="54"/>
  <c r="Y35" i="54"/>
  <c r="Q35" i="54"/>
  <c r="I35" i="54"/>
  <c r="T37" i="54"/>
  <c r="AB36" i="54"/>
  <c r="H36" i="54"/>
  <c r="X35" i="54"/>
  <c r="P35" i="54"/>
  <c r="H35" i="54"/>
  <c r="P37" i="54"/>
  <c r="M36" i="54"/>
  <c r="M35" i="54"/>
  <c r="E35" i="54"/>
  <c r="Z53" i="54"/>
  <c r="V53" i="54"/>
  <c r="R53" i="54"/>
  <c r="N53" i="54"/>
  <c r="J53" i="54"/>
  <c r="F53" i="54"/>
  <c r="Z52" i="54"/>
  <c r="V52" i="54"/>
  <c r="R52" i="54"/>
  <c r="N52" i="54"/>
  <c r="J52" i="54"/>
  <c r="F52" i="54"/>
  <c r="Z51" i="54"/>
  <c r="V51" i="54"/>
  <c r="R51" i="54"/>
  <c r="N51" i="54"/>
  <c r="J51" i="54"/>
  <c r="F51" i="54"/>
  <c r="Y53" i="54"/>
  <c r="U53" i="54"/>
  <c r="Q53" i="54"/>
  <c r="M53" i="54"/>
  <c r="I53" i="54"/>
  <c r="E53" i="54"/>
  <c r="Y52" i="54"/>
  <c r="U52" i="54"/>
  <c r="Q52" i="54"/>
  <c r="M52" i="54"/>
  <c r="I52" i="54"/>
  <c r="E52" i="54"/>
  <c r="Y51" i="54"/>
  <c r="U51" i="54"/>
  <c r="Q51" i="54"/>
  <c r="M51" i="54"/>
  <c r="I51" i="54"/>
  <c r="E51" i="54"/>
  <c r="AB53" i="54"/>
  <c r="X53" i="54"/>
  <c r="T53" i="54"/>
  <c r="P53" i="54"/>
  <c r="L53" i="54"/>
  <c r="H53" i="54"/>
  <c r="AB52" i="54"/>
  <c r="X52" i="54"/>
  <c r="T52" i="54"/>
  <c r="P52" i="54"/>
  <c r="L52" i="54"/>
  <c r="H52" i="54"/>
  <c r="AB51" i="54"/>
  <c r="X51" i="54"/>
  <c r="T51" i="54"/>
  <c r="P51" i="54"/>
  <c r="L51" i="54"/>
  <c r="H51" i="54"/>
  <c r="AA53" i="54"/>
  <c r="K53" i="54"/>
  <c r="S52" i="54"/>
  <c r="AA51" i="54"/>
  <c r="K51" i="54"/>
  <c r="AA52" i="54"/>
  <c r="S51" i="54"/>
  <c r="W53" i="54"/>
  <c r="G53" i="54"/>
  <c r="O52" i="54"/>
  <c r="W51" i="54"/>
  <c r="G51" i="54"/>
  <c r="S53" i="54"/>
  <c r="K52" i="54"/>
  <c r="W52" i="54"/>
  <c r="O51" i="54"/>
  <c r="O53" i="54"/>
  <c r="G52" i="54"/>
  <c r="AB25" i="53"/>
  <c r="X25" i="53"/>
  <c r="T25" i="53"/>
  <c r="P25" i="53"/>
  <c r="L25" i="53"/>
  <c r="H25" i="53"/>
  <c r="AB24" i="53"/>
  <c r="X24" i="53"/>
  <c r="T24" i="53"/>
  <c r="P24" i="53"/>
  <c r="L24" i="53"/>
  <c r="H24" i="53"/>
  <c r="AB23" i="53"/>
  <c r="X23" i="53"/>
  <c r="T23" i="53"/>
  <c r="P23" i="53"/>
  <c r="L23" i="53"/>
  <c r="H23" i="53"/>
  <c r="AA25" i="53"/>
  <c r="W25" i="53"/>
  <c r="S25" i="53"/>
  <c r="O25" i="53"/>
  <c r="K25" i="53"/>
  <c r="G25" i="53"/>
  <c r="AA24" i="53"/>
  <c r="W24" i="53"/>
  <c r="S24" i="53"/>
  <c r="O24" i="53"/>
  <c r="K24" i="53"/>
  <c r="G24" i="53"/>
  <c r="AA23" i="53"/>
  <c r="W23" i="53"/>
  <c r="S23" i="53"/>
  <c r="O23" i="53"/>
  <c r="K23" i="53"/>
  <c r="G23" i="53"/>
  <c r="V25" i="53"/>
  <c r="N25" i="53"/>
  <c r="F25" i="53"/>
  <c r="V24" i="53"/>
  <c r="N24" i="53"/>
  <c r="F24" i="53"/>
  <c r="V23" i="53"/>
  <c r="N23" i="53"/>
  <c r="F23" i="53"/>
  <c r="Z25" i="53"/>
  <c r="R25" i="53"/>
  <c r="J25" i="53"/>
  <c r="Z24" i="53"/>
  <c r="R24" i="53"/>
  <c r="J24" i="53"/>
  <c r="Z23" i="53"/>
  <c r="R23" i="53"/>
  <c r="J23" i="53"/>
  <c r="Y25" i="53"/>
  <c r="I25" i="53"/>
  <c r="Q24" i="53"/>
  <c r="Y23" i="53"/>
  <c r="I23" i="53"/>
  <c r="Q25" i="53"/>
  <c r="I24" i="53"/>
  <c r="M25" i="53"/>
  <c r="E24" i="53"/>
  <c r="U25" i="53"/>
  <c r="E25" i="53"/>
  <c r="M24" i="53"/>
  <c r="U23" i="53"/>
  <c r="E23" i="53"/>
  <c r="Y24" i="53"/>
  <c r="Q23" i="53"/>
  <c r="U24" i="53"/>
  <c r="M23" i="53"/>
  <c r="Z41" i="53"/>
  <c r="V41" i="53"/>
  <c r="R41" i="53"/>
  <c r="N41" i="53"/>
  <c r="J41" i="53"/>
  <c r="F41" i="53"/>
  <c r="Z40" i="53"/>
  <c r="V40" i="53"/>
  <c r="R40" i="53"/>
  <c r="N40" i="53"/>
  <c r="J40" i="53"/>
  <c r="F40" i="53"/>
  <c r="Z39" i="53"/>
  <c r="Y41" i="53"/>
  <c r="U41" i="53"/>
  <c r="Q41" i="53"/>
  <c r="M41" i="53"/>
  <c r="I41" i="53"/>
  <c r="E41" i="53"/>
  <c r="Y40" i="53"/>
  <c r="U40" i="53"/>
  <c r="Q40" i="53"/>
  <c r="M40" i="53"/>
  <c r="I40" i="53"/>
  <c r="E40" i="53"/>
  <c r="Y39" i="53"/>
  <c r="X41" i="53"/>
  <c r="P41" i="53"/>
  <c r="H41" i="53"/>
  <c r="X40" i="53"/>
  <c r="P40" i="53"/>
  <c r="H40" i="53"/>
  <c r="X39" i="53"/>
  <c r="T39" i="53"/>
  <c r="P39" i="53"/>
  <c r="L39" i="53"/>
  <c r="H39" i="53"/>
  <c r="W41" i="53"/>
  <c r="O41" i="53"/>
  <c r="G41" i="53"/>
  <c r="W40" i="53"/>
  <c r="O40" i="53"/>
  <c r="G40" i="53"/>
  <c r="W39" i="53"/>
  <c r="S39" i="53"/>
  <c r="O39" i="53"/>
  <c r="K39" i="53"/>
  <c r="G39" i="53"/>
  <c r="T41" i="53"/>
  <c r="AB40" i="53"/>
  <c r="L40" i="53"/>
  <c r="V39" i="53"/>
  <c r="N39" i="53"/>
  <c r="F39" i="53"/>
  <c r="AB41" i="53"/>
  <c r="L41" i="53"/>
  <c r="T40" i="53"/>
  <c r="AB39" i="53"/>
  <c r="R39" i="53"/>
  <c r="J39" i="53"/>
  <c r="K41" i="53"/>
  <c r="AA39" i="53"/>
  <c r="I39" i="53"/>
  <c r="S40" i="53"/>
  <c r="K40" i="53"/>
  <c r="AA40" i="53"/>
  <c r="U39" i="53"/>
  <c r="E39" i="53"/>
  <c r="AA41" i="53"/>
  <c r="Q39" i="53"/>
  <c r="S41" i="53"/>
  <c r="M39" i="53"/>
  <c r="AB13" i="53"/>
  <c r="X13" i="53"/>
  <c r="T13" i="53"/>
  <c r="P13" i="53"/>
  <c r="L13" i="53"/>
  <c r="H13" i="53"/>
  <c r="AB12" i="53"/>
  <c r="X12" i="53"/>
  <c r="T12" i="53"/>
  <c r="P12" i="53"/>
  <c r="L12" i="53"/>
  <c r="H12" i="53"/>
  <c r="X11" i="53"/>
  <c r="T11" i="53"/>
  <c r="AA13" i="53"/>
  <c r="W13" i="53"/>
  <c r="S13" i="53"/>
  <c r="O13" i="53"/>
  <c r="K13" i="53"/>
  <c r="G13" i="53"/>
  <c r="AA12" i="53"/>
  <c r="W12" i="53"/>
  <c r="S12" i="53"/>
  <c r="O12" i="53"/>
  <c r="K12" i="53"/>
  <c r="G12" i="53"/>
  <c r="AA11" i="53"/>
  <c r="W11" i="53"/>
  <c r="S11" i="53"/>
  <c r="V13" i="53"/>
  <c r="N13" i="53"/>
  <c r="F13" i="53"/>
  <c r="V12" i="53"/>
  <c r="N12" i="53"/>
  <c r="F12" i="53"/>
  <c r="V11" i="53"/>
  <c r="P11" i="53"/>
  <c r="L11" i="53"/>
  <c r="H11" i="53"/>
  <c r="Z13" i="53"/>
  <c r="R13" i="53"/>
  <c r="J13" i="53"/>
  <c r="Z12" i="53"/>
  <c r="R12" i="53"/>
  <c r="J12" i="53"/>
  <c r="Z11" i="53"/>
  <c r="Q13" i="53"/>
  <c r="Y12" i="53"/>
  <c r="I12" i="53"/>
  <c r="R11" i="53"/>
  <c r="M11" i="53"/>
  <c r="G11" i="53"/>
  <c r="I13" i="53"/>
  <c r="Y11" i="53"/>
  <c r="J11" i="53"/>
  <c r="E13" i="53"/>
  <c r="U11" i="53"/>
  <c r="I11" i="53"/>
  <c r="M13" i="53"/>
  <c r="U12" i="53"/>
  <c r="E12" i="53"/>
  <c r="Q11" i="53"/>
  <c r="K11" i="53"/>
  <c r="F11" i="53"/>
  <c r="Y13" i="53"/>
  <c r="Q12" i="53"/>
  <c r="O11" i="53"/>
  <c r="E11" i="53"/>
  <c r="U13" i="53"/>
  <c r="M12" i="53"/>
  <c r="N11" i="53"/>
  <c r="AB29" i="53"/>
  <c r="X29" i="53"/>
  <c r="T29" i="53"/>
  <c r="P29" i="53"/>
  <c r="L29" i="53"/>
  <c r="H29" i="53"/>
  <c r="AB28" i="53"/>
  <c r="X28" i="53"/>
  <c r="T28" i="53"/>
  <c r="P28" i="53"/>
  <c r="L28" i="53"/>
  <c r="H28" i="53"/>
  <c r="AB27" i="53"/>
  <c r="X27" i="53"/>
  <c r="T27" i="53"/>
  <c r="P27" i="53"/>
  <c r="L27" i="53"/>
  <c r="H27" i="53"/>
  <c r="AA29" i="53"/>
  <c r="W29" i="53"/>
  <c r="S29" i="53"/>
  <c r="O29" i="53"/>
  <c r="K29" i="53"/>
  <c r="G29" i="53"/>
  <c r="AA28" i="53"/>
  <c r="W28" i="53"/>
  <c r="S28" i="53"/>
  <c r="O28" i="53"/>
  <c r="K28" i="53"/>
  <c r="G28" i="53"/>
  <c r="AA27" i="53"/>
  <c r="W27" i="53"/>
  <c r="S27" i="53"/>
  <c r="O27" i="53"/>
  <c r="K27" i="53"/>
  <c r="G27" i="53"/>
  <c r="V29" i="53"/>
  <c r="N29" i="53"/>
  <c r="F29" i="53"/>
  <c r="V28" i="53"/>
  <c r="N28" i="53"/>
  <c r="F28" i="53"/>
  <c r="V27" i="53"/>
  <c r="N27" i="53"/>
  <c r="F27" i="53"/>
  <c r="Z29" i="53"/>
  <c r="R29" i="53"/>
  <c r="J29" i="53"/>
  <c r="Z28" i="53"/>
  <c r="R28" i="53"/>
  <c r="J28" i="53"/>
  <c r="Z27" i="53"/>
  <c r="R27" i="53"/>
  <c r="J27" i="53"/>
  <c r="Q29" i="53"/>
  <c r="Y28" i="53"/>
  <c r="I28" i="53"/>
  <c r="Q27" i="53"/>
  <c r="I29" i="53"/>
  <c r="Y27" i="53"/>
  <c r="E29" i="53"/>
  <c r="U27" i="53"/>
  <c r="M29" i="53"/>
  <c r="U28" i="53"/>
  <c r="E28" i="53"/>
  <c r="M27" i="53"/>
  <c r="Y29" i="53"/>
  <c r="Q28" i="53"/>
  <c r="I27" i="53"/>
  <c r="U29" i="53"/>
  <c r="M28" i="53"/>
  <c r="E27" i="53"/>
  <c r="AB17" i="53"/>
  <c r="X17" i="53"/>
  <c r="T17" i="53"/>
  <c r="P17" i="53"/>
  <c r="L17" i="53"/>
  <c r="H17" i="53"/>
  <c r="AB16" i="53"/>
  <c r="X16" i="53"/>
  <c r="T16" i="53"/>
  <c r="P16" i="53"/>
  <c r="L16" i="53"/>
  <c r="H16" i="53"/>
  <c r="AB15" i="53"/>
  <c r="X15" i="53"/>
  <c r="T15" i="53"/>
  <c r="P15" i="53"/>
  <c r="L15" i="53"/>
  <c r="H15" i="53"/>
  <c r="AA17" i="53"/>
  <c r="W17" i="53"/>
  <c r="S17" i="53"/>
  <c r="O17" i="53"/>
  <c r="K17" i="53"/>
  <c r="G17" i="53"/>
  <c r="AA16" i="53"/>
  <c r="W16" i="53"/>
  <c r="S16" i="53"/>
  <c r="O16" i="53"/>
  <c r="K16" i="53"/>
  <c r="G16" i="53"/>
  <c r="AA15" i="53"/>
  <c r="W15" i="53"/>
  <c r="S15" i="53"/>
  <c r="O15" i="53"/>
  <c r="K15" i="53"/>
  <c r="G15" i="53"/>
  <c r="V17" i="53"/>
  <c r="N17" i="53"/>
  <c r="F17" i="53"/>
  <c r="V16" i="53"/>
  <c r="N16" i="53"/>
  <c r="F16" i="53"/>
  <c r="V15" i="53"/>
  <c r="N15" i="53"/>
  <c r="F15" i="53"/>
  <c r="Z17" i="53"/>
  <c r="R17" i="53"/>
  <c r="J17" i="53"/>
  <c r="Z16" i="53"/>
  <c r="R16" i="53"/>
  <c r="J16" i="53"/>
  <c r="Z15" i="53"/>
  <c r="R15" i="53"/>
  <c r="J15" i="53"/>
  <c r="Y17" i="53"/>
  <c r="I17" i="53"/>
  <c r="Q16" i="53"/>
  <c r="Y15" i="53"/>
  <c r="I15" i="53"/>
  <c r="Y16" i="53"/>
  <c r="Q15" i="53"/>
  <c r="U16" i="53"/>
  <c r="M15" i="53"/>
  <c r="U17" i="53"/>
  <c r="E17" i="53"/>
  <c r="M16" i="53"/>
  <c r="U15" i="53"/>
  <c r="E15" i="53"/>
  <c r="Q17" i="53"/>
  <c r="I16" i="53"/>
  <c r="M17" i="53"/>
  <c r="E16" i="53"/>
  <c r="AB33" i="53"/>
  <c r="X33" i="53"/>
  <c r="T33" i="53"/>
  <c r="P33" i="53"/>
  <c r="L33" i="53"/>
  <c r="H33" i="53"/>
  <c r="AB32" i="53"/>
  <c r="X32" i="53"/>
  <c r="T32" i="53"/>
  <c r="P32" i="53"/>
  <c r="L32" i="53"/>
  <c r="H32" i="53"/>
  <c r="AB31" i="53"/>
  <c r="X31" i="53"/>
  <c r="T31" i="53"/>
  <c r="P31" i="53"/>
  <c r="L31" i="53"/>
  <c r="H31" i="53"/>
  <c r="AA33" i="53"/>
  <c r="W33" i="53"/>
  <c r="S33" i="53"/>
  <c r="O33" i="53"/>
  <c r="K33" i="53"/>
  <c r="G33" i="53"/>
  <c r="AA32" i="53"/>
  <c r="W32" i="53"/>
  <c r="S32" i="53"/>
  <c r="O32" i="53"/>
  <c r="K32" i="53"/>
  <c r="G32" i="53"/>
  <c r="AA31" i="53"/>
  <c r="W31" i="53"/>
  <c r="S31" i="53"/>
  <c r="O31" i="53"/>
  <c r="K31" i="53"/>
  <c r="G31" i="53"/>
  <c r="V33" i="53"/>
  <c r="N33" i="53"/>
  <c r="F33" i="53"/>
  <c r="V32" i="53"/>
  <c r="N32" i="53"/>
  <c r="F32" i="53"/>
  <c r="V31" i="53"/>
  <c r="N31" i="53"/>
  <c r="F31" i="53"/>
  <c r="Z33" i="53"/>
  <c r="R33" i="53"/>
  <c r="J33" i="53"/>
  <c r="Z32" i="53"/>
  <c r="R32" i="53"/>
  <c r="J32" i="53"/>
  <c r="Z31" i="53"/>
  <c r="R31" i="53"/>
  <c r="J31" i="53"/>
  <c r="Y33" i="53"/>
  <c r="I33" i="53"/>
  <c r="Q32" i="53"/>
  <c r="Y31" i="53"/>
  <c r="I31" i="53"/>
  <c r="Y32" i="53"/>
  <c r="Q31" i="53"/>
  <c r="U32" i="53"/>
  <c r="M31" i="53"/>
  <c r="U33" i="53"/>
  <c r="E33" i="53"/>
  <c r="M32" i="53"/>
  <c r="U31" i="53"/>
  <c r="E31" i="53"/>
  <c r="Q33" i="53"/>
  <c r="I32" i="53"/>
  <c r="M33" i="53"/>
  <c r="E32" i="53"/>
  <c r="Z49" i="53"/>
  <c r="V49" i="53"/>
  <c r="R49" i="53"/>
  <c r="N49" i="53"/>
  <c r="J49" i="53"/>
  <c r="F49" i="53"/>
  <c r="Z48" i="53"/>
  <c r="V48" i="53"/>
  <c r="R48" i="53"/>
  <c r="N48" i="53"/>
  <c r="J48" i="53"/>
  <c r="F48" i="53"/>
  <c r="Z47" i="53"/>
  <c r="V47" i="53"/>
  <c r="R47" i="53"/>
  <c r="N47" i="53"/>
  <c r="J47" i="53"/>
  <c r="F47" i="53"/>
  <c r="Y49" i="53"/>
  <c r="U49" i="53"/>
  <c r="Q49" i="53"/>
  <c r="M49" i="53"/>
  <c r="I49" i="53"/>
  <c r="E49" i="53"/>
  <c r="Y48" i="53"/>
  <c r="U48" i="53"/>
  <c r="Q48" i="53"/>
  <c r="M48" i="53"/>
  <c r="I48" i="53"/>
  <c r="E48" i="53"/>
  <c r="Y47" i="53"/>
  <c r="U47" i="53"/>
  <c r="Q47" i="53"/>
  <c r="M47" i="53"/>
  <c r="I47" i="53"/>
  <c r="E47" i="53"/>
  <c r="X49" i="53"/>
  <c r="P49" i="53"/>
  <c r="H49" i="53"/>
  <c r="X48" i="53"/>
  <c r="P48" i="53"/>
  <c r="H48" i="53"/>
  <c r="X47" i="53"/>
  <c r="P47" i="53"/>
  <c r="H47" i="53"/>
  <c r="W49" i="53"/>
  <c r="O49" i="53"/>
  <c r="G49" i="53"/>
  <c r="W48" i="53"/>
  <c r="O48" i="53"/>
  <c r="G48" i="53"/>
  <c r="W47" i="53"/>
  <c r="O47" i="53"/>
  <c r="G47" i="53"/>
  <c r="T49" i="53"/>
  <c r="AB48" i="53"/>
  <c r="L48" i="53"/>
  <c r="T47" i="53"/>
  <c r="AB49" i="53"/>
  <c r="L49" i="53"/>
  <c r="T48" i="53"/>
  <c r="AB47" i="53"/>
  <c r="L47" i="53"/>
  <c r="AA49" i="53"/>
  <c r="S48" i="53"/>
  <c r="K47" i="53"/>
  <c r="AA47" i="53"/>
  <c r="S47" i="53"/>
  <c r="S49" i="53"/>
  <c r="K48" i="53"/>
  <c r="K49" i="53"/>
  <c r="AA48" i="53"/>
  <c r="Z57" i="53"/>
  <c r="V57" i="53"/>
  <c r="R57" i="53"/>
  <c r="N57" i="53"/>
  <c r="J57" i="53"/>
  <c r="F57" i="53"/>
  <c r="Z56" i="53"/>
  <c r="V56" i="53"/>
  <c r="R56" i="53"/>
  <c r="N56" i="53"/>
  <c r="J56" i="53"/>
  <c r="F56" i="53"/>
  <c r="Z55" i="53"/>
  <c r="V55" i="53"/>
  <c r="R55" i="53"/>
  <c r="N55" i="53"/>
  <c r="J55" i="53"/>
  <c r="F55" i="53"/>
  <c r="Y57" i="53"/>
  <c r="U57" i="53"/>
  <c r="Q57" i="53"/>
  <c r="M57" i="53"/>
  <c r="I57" i="53"/>
  <c r="E57" i="53"/>
  <c r="Y56" i="53"/>
  <c r="U56" i="53"/>
  <c r="Q56" i="53"/>
  <c r="M56" i="53"/>
  <c r="I56" i="53"/>
  <c r="E56" i="53"/>
  <c r="Y55" i="53"/>
  <c r="U55" i="53"/>
  <c r="Q55" i="53"/>
  <c r="M55" i="53"/>
  <c r="I55" i="53"/>
  <c r="E55" i="53"/>
  <c r="X57" i="53"/>
  <c r="P57" i="53"/>
  <c r="H57" i="53"/>
  <c r="X56" i="53"/>
  <c r="P56" i="53"/>
  <c r="H56" i="53"/>
  <c r="X55" i="53"/>
  <c r="P55" i="53"/>
  <c r="H55" i="53"/>
  <c r="W57" i="53"/>
  <c r="O57" i="53"/>
  <c r="G57" i="53"/>
  <c r="W56" i="53"/>
  <c r="O56" i="53"/>
  <c r="G56" i="53"/>
  <c r="W55" i="53"/>
  <c r="O55" i="53"/>
  <c r="G55" i="53"/>
  <c r="T57" i="53"/>
  <c r="AB56" i="53"/>
  <c r="L56" i="53"/>
  <c r="T55" i="53"/>
  <c r="AB57" i="53"/>
  <c r="L57" i="53"/>
  <c r="T56" i="53"/>
  <c r="AB55" i="53"/>
  <c r="L55" i="53"/>
  <c r="K57" i="53"/>
  <c r="AA55" i="53"/>
  <c r="AA57" i="53"/>
  <c r="K55" i="53"/>
  <c r="S57" i="53"/>
  <c r="AA56" i="53"/>
  <c r="S55" i="53"/>
  <c r="S56" i="53"/>
  <c r="K56" i="53"/>
  <c r="Z45" i="53"/>
  <c r="V45" i="53"/>
  <c r="R45" i="53"/>
  <c r="N45" i="53"/>
  <c r="J45" i="53"/>
  <c r="F45" i="53"/>
  <c r="Z44" i="53"/>
  <c r="V44" i="53"/>
  <c r="R44" i="53"/>
  <c r="N44" i="53"/>
  <c r="J44" i="53"/>
  <c r="F44" i="53"/>
  <c r="Z43" i="53"/>
  <c r="V43" i="53"/>
  <c r="R43" i="53"/>
  <c r="N43" i="53"/>
  <c r="J43" i="53"/>
  <c r="F43" i="53"/>
  <c r="Y45" i="53"/>
  <c r="U45" i="53"/>
  <c r="Q45" i="53"/>
  <c r="M45" i="53"/>
  <c r="I45" i="53"/>
  <c r="E45" i="53"/>
  <c r="Y44" i="53"/>
  <c r="U44" i="53"/>
  <c r="Q44" i="53"/>
  <c r="M44" i="53"/>
  <c r="I44" i="53"/>
  <c r="E44" i="53"/>
  <c r="Y43" i="53"/>
  <c r="U43" i="53"/>
  <c r="Q43" i="53"/>
  <c r="M43" i="53"/>
  <c r="I43" i="53"/>
  <c r="E43" i="53"/>
  <c r="X45" i="53"/>
  <c r="P45" i="53"/>
  <c r="H45" i="53"/>
  <c r="X44" i="53"/>
  <c r="P44" i="53"/>
  <c r="H44" i="53"/>
  <c r="X43" i="53"/>
  <c r="P43" i="53"/>
  <c r="H43" i="53"/>
  <c r="W45" i="53"/>
  <c r="O45" i="53"/>
  <c r="G45" i="53"/>
  <c r="W44" i="53"/>
  <c r="O44" i="53"/>
  <c r="G44" i="53"/>
  <c r="W43" i="53"/>
  <c r="O43" i="53"/>
  <c r="G43" i="53"/>
  <c r="AB45" i="53"/>
  <c r="L45" i="53"/>
  <c r="T44" i="53"/>
  <c r="AB43" i="53"/>
  <c r="L43" i="53"/>
  <c r="T45" i="53"/>
  <c r="AB44" i="53"/>
  <c r="L44" i="53"/>
  <c r="T43" i="53"/>
  <c r="AA44" i="53"/>
  <c r="S43" i="53"/>
  <c r="K44" i="53"/>
  <c r="AA43" i="53"/>
  <c r="AA45" i="53"/>
  <c r="S44" i="53"/>
  <c r="K43" i="53"/>
  <c r="S45" i="53"/>
  <c r="K45" i="53"/>
  <c r="AB21" i="53"/>
  <c r="X21" i="53"/>
  <c r="T21" i="53"/>
  <c r="P21" i="53"/>
  <c r="L21" i="53"/>
  <c r="H21" i="53"/>
  <c r="AB20" i="53"/>
  <c r="X20" i="53"/>
  <c r="T20" i="53"/>
  <c r="P20" i="53"/>
  <c r="L20" i="53"/>
  <c r="H20" i="53"/>
  <c r="AB19" i="53"/>
  <c r="X19" i="53"/>
  <c r="T19" i="53"/>
  <c r="P19" i="53"/>
  <c r="L19" i="53"/>
  <c r="H19" i="53"/>
  <c r="AA21" i="53"/>
  <c r="W21" i="53"/>
  <c r="S21" i="53"/>
  <c r="O21" i="53"/>
  <c r="K21" i="53"/>
  <c r="G21" i="53"/>
  <c r="AA20" i="53"/>
  <c r="W20" i="53"/>
  <c r="S20" i="53"/>
  <c r="O20" i="53"/>
  <c r="K20" i="53"/>
  <c r="G20" i="53"/>
  <c r="AA19" i="53"/>
  <c r="W19" i="53"/>
  <c r="S19" i="53"/>
  <c r="O19" i="53"/>
  <c r="K19" i="53"/>
  <c r="G19" i="53"/>
  <c r="V21" i="53"/>
  <c r="N21" i="53"/>
  <c r="F21" i="53"/>
  <c r="V20" i="53"/>
  <c r="N20" i="53"/>
  <c r="F20" i="53"/>
  <c r="V19" i="53"/>
  <c r="N19" i="53"/>
  <c r="F19" i="53"/>
  <c r="Z21" i="53"/>
  <c r="R21" i="53"/>
  <c r="J21" i="53"/>
  <c r="Z20" i="53"/>
  <c r="R20" i="53"/>
  <c r="J20" i="53"/>
  <c r="Z19" i="53"/>
  <c r="R19" i="53"/>
  <c r="J19" i="53"/>
  <c r="Q21" i="53"/>
  <c r="Y20" i="53"/>
  <c r="I20" i="53"/>
  <c r="Q19" i="53"/>
  <c r="Y21" i="53"/>
  <c r="Q20" i="53"/>
  <c r="I19" i="53"/>
  <c r="U21" i="53"/>
  <c r="M20" i="53"/>
  <c r="E19" i="53"/>
  <c r="M21" i="53"/>
  <c r="U20" i="53"/>
  <c r="E20" i="53"/>
  <c r="M19" i="53"/>
  <c r="I21" i="53"/>
  <c r="Y19" i="53"/>
  <c r="E21" i="53"/>
  <c r="U19" i="53"/>
  <c r="AB37" i="53"/>
  <c r="X37" i="53"/>
  <c r="T37" i="53"/>
  <c r="P37" i="53"/>
  <c r="L37" i="53"/>
  <c r="H37" i="53"/>
  <c r="AB36" i="53"/>
  <c r="X36" i="53"/>
  <c r="T36" i="53"/>
  <c r="P36" i="53"/>
  <c r="L36" i="53"/>
  <c r="H36" i="53"/>
  <c r="AB35" i="53"/>
  <c r="X35" i="53"/>
  <c r="T35" i="53"/>
  <c r="P35" i="53"/>
  <c r="L35" i="53"/>
  <c r="H35" i="53"/>
  <c r="AA37" i="53"/>
  <c r="W37" i="53"/>
  <c r="S37" i="53"/>
  <c r="O37" i="53"/>
  <c r="K37" i="53"/>
  <c r="G37" i="53"/>
  <c r="AA36" i="53"/>
  <c r="W36" i="53"/>
  <c r="S36" i="53"/>
  <c r="O36" i="53"/>
  <c r="K36" i="53"/>
  <c r="G36" i="53"/>
  <c r="AA35" i="53"/>
  <c r="W35" i="53"/>
  <c r="S35" i="53"/>
  <c r="O35" i="53"/>
  <c r="K35" i="53"/>
  <c r="G35" i="53"/>
  <c r="V37" i="53"/>
  <c r="N37" i="53"/>
  <c r="F37" i="53"/>
  <c r="V36" i="53"/>
  <c r="N36" i="53"/>
  <c r="F36" i="53"/>
  <c r="V35" i="53"/>
  <c r="N35" i="53"/>
  <c r="F35" i="53"/>
  <c r="Z37" i="53"/>
  <c r="R37" i="53"/>
  <c r="J37" i="53"/>
  <c r="Z36" i="53"/>
  <c r="R36" i="53"/>
  <c r="J36" i="53"/>
  <c r="Z35" i="53"/>
  <c r="R35" i="53"/>
  <c r="J35" i="53"/>
  <c r="Q37" i="53"/>
  <c r="Y36" i="53"/>
  <c r="I36" i="53"/>
  <c r="Q35" i="53"/>
  <c r="Y37" i="53"/>
  <c r="Q36" i="53"/>
  <c r="I35" i="53"/>
  <c r="U37" i="53"/>
  <c r="M36" i="53"/>
  <c r="E35" i="53"/>
  <c r="M37" i="53"/>
  <c r="U36" i="53"/>
  <c r="E36" i="53"/>
  <c r="M35" i="53"/>
  <c r="I37" i="53"/>
  <c r="Y35" i="53"/>
  <c r="E37" i="53"/>
  <c r="U35" i="53"/>
  <c r="Z53" i="53"/>
  <c r="V53" i="53"/>
  <c r="R53" i="53"/>
  <c r="N53" i="53"/>
  <c r="J53" i="53"/>
  <c r="F53" i="53"/>
  <c r="Z52" i="53"/>
  <c r="V52" i="53"/>
  <c r="R52" i="53"/>
  <c r="N52" i="53"/>
  <c r="J52" i="53"/>
  <c r="F52" i="53"/>
  <c r="Z51" i="53"/>
  <c r="V51" i="53"/>
  <c r="R51" i="53"/>
  <c r="N51" i="53"/>
  <c r="J51" i="53"/>
  <c r="F51" i="53"/>
  <c r="Y53" i="53"/>
  <c r="U53" i="53"/>
  <c r="Q53" i="53"/>
  <c r="M53" i="53"/>
  <c r="I53" i="53"/>
  <c r="E53" i="53"/>
  <c r="Y52" i="53"/>
  <c r="U52" i="53"/>
  <c r="Q52" i="53"/>
  <c r="M52" i="53"/>
  <c r="I52" i="53"/>
  <c r="E52" i="53"/>
  <c r="Y51" i="53"/>
  <c r="U51" i="53"/>
  <c r="Q51" i="53"/>
  <c r="M51" i="53"/>
  <c r="I51" i="53"/>
  <c r="E51" i="53"/>
  <c r="X53" i="53"/>
  <c r="P53" i="53"/>
  <c r="H53" i="53"/>
  <c r="X52" i="53"/>
  <c r="P52" i="53"/>
  <c r="H52" i="53"/>
  <c r="X51" i="53"/>
  <c r="P51" i="53"/>
  <c r="H51" i="53"/>
  <c r="W53" i="53"/>
  <c r="O53" i="53"/>
  <c r="G53" i="53"/>
  <c r="W52" i="53"/>
  <c r="O52" i="53"/>
  <c r="G52" i="53"/>
  <c r="W51" i="53"/>
  <c r="O51" i="53"/>
  <c r="G51" i="53"/>
  <c r="AB53" i="53"/>
  <c r="L53" i="53"/>
  <c r="T52" i="53"/>
  <c r="AB51" i="53"/>
  <c r="L51" i="53"/>
  <c r="T53" i="53"/>
  <c r="AB52" i="53"/>
  <c r="L52" i="53"/>
  <c r="T51" i="53"/>
  <c r="S53" i="53"/>
  <c r="K52" i="53"/>
  <c r="S51" i="53"/>
  <c r="AA53" i="53"/>
  <c r="K51" i="53"/>
  <c r="K53" i="53"/>
  <c r="AA51" i="53"/>
  <c r="AA52" i="53"/>
  <c r="S52" i="53"/>
  <c r="D42" i="16"/>
  <c r="D22" i="16"/>
  <c r="D38" i="16"/>
  <c r="D54" i="16"/>
  <c r="D18" i="16"/>
  <c r="D34" i="16"/>
  <c r="D50" i="16"/>
  <c r="D14" i="16"/>
  <c r="AC38" i="105" l="1"/>
  <c r="AC42" i="100"/>
  <c r="AC42" i="103"/>
  <c r="AC43" i="105"/>
  <c r="AC52" i="105"/>
  <c r="AC56" i="105"/>
  <c r="AC48" i="105"/>
  <c r="AC44" i="105"/>
  <c r="AC23" i="105"/>
  <c r="AC32" i="105"/>
  <c r="AC33" i="105"/>
  <c r="AC20" i="105"/>
  <c r="AC51" i="105"/>
  <c r="AC55" i="105"/>
  <c r="AC53" i="105"/>
  <c r="AC24" i="105"/>
  <c r="AC57" i="105"/>
  <c r="AC27" i="105"/>
  <c r="AC19" i="105"/>
  <c r="AC31" i="105"/>
  <c r="AC28" i="105"/>
  <c r="AC29" i="105"/>
  <c r="AC21" i="105"/>
  <c r="AC45" i="105"/>
  <c r="AC46" i="105" s="1"/>
  <c r="AC49" i="105"/>
  <c r="AC42" i="105"/>
  <c r="AC47" i="105"/>
  <c r="AC25" i="105"/>
  <c r="AC18" i="103"/>
  <c r="AC36" i="103"/>
  <c r="AC29" i="103"/>
  <c r="AC48" i="103"/>
  <c r="AC56" i="103"/>
  <c r="AC11" i="103"/>
  <c r="AC13" i="103"/>
  <c r="AC57" i="103"/>
  <c r="AC52" i="103"/>
  <c r="AC49" i="103"/>
  <c r="AC12" i="103"/>
  <c r="AC27" i="103"/>
  <c r="AC35" i="103"/>
  <c r="AC28" i="103"/>
  <c r="AC53" i="103"/>
  <c r="AC22" i="103"/>
  <c r="AC33" i="103"/>
  <c r="AC37" i="103"/>
  <c r="AC55" i="103"/>
  <c r="AC51" i="103"/>
  <c r="AC32" i="103"/>
  <c r="AC31" i="103"/>
  <c r="AC47" i="103"/>
  <c r="AC35" i="102"/>
  <c r="AC11" i="102"/>
  <c r="AC22" i="102"/>
  <c r="AC51" i="102"/>
  <c r="AC23" i="102"/>
  <c r="AC31" i="102"/>
  <c r="AC52" i="102"/>
  <c r="AC25" i="102"/>
  <c r="AC48" i="102"/>
  <c r="AC12" i="102"/>
  <c r="AC57" i="102"/>
  <c r="AC27" i="102"/>
  <c r="AC28" i="102"/>
  <c r="AC32" i="102"/>
  <c r="AC47" i="102"/>
  <c r="AC56" i="102"/>
  <c r="AC29" i="102"/>
  <c r="AC49" i="102"/>
  <c r="AC55" i="102"/>
  <c r="AC24" i="102"/>
  <c r="AC36" i="102"/>
  <c r="AC38" i="102" s="1"/>
  <c r="AC13" i="102"/>
  <c r="AC33" i="102"/>
  <c r="AC53" i="102"/>
  <c r="AC37" i="102"/>
  <c r="AC18" i="101"/>
  <c r="AC46" i="101"/>
  <c r="AC51" i="101"/>
  <c r="AC22" i="101"/>
  <c r="AC37" i="101"/>
  <c r="AC56" i="101"/>
  <c r="AC11" i="101"/>
  <c r="AC52" i="101"/>
  <c r="AC55" i="101"/>
  <c r="AC27" i="101"/>
  <c r="AC24" i="101"/>
  <c r="AC23" i="101"/>
  <c r="AC25" i="101"/>
  <c r="AC57" i="101"/>
  <c r="AC47" i="101"/>
  <c r="AC49" i="101"/>
  <c r="AC33" i="101"/>
  <c r="AC36" i="101"/>
  <c r="AC35" i="101"/>
  <c r="AC29" i="101"/>
  <c r="AC12" i="101"/>
  <c r="AC31" i="101"/>
  <c r="AC53" i="101"/>
  <c r="AC13" i="101"/>
  <c r="AC48" i="101"/>
  <c r="AC42" i="101"/>
  <c r="AC28" i="101"/>
  <c r="AC32" i="101"/>
  <c r="AC14" i="100"/>
  <c r="AC17" i="100"/>
  <c r="AC22" i="100"/>
  <c r="AC23" i="100"/>
  <c r="AC24" i="100"/>
  <c r="AC15" i="100"/>
  <c r="AC49" i="100"/>
  <c r="AC33" i="100"/>
  <c r="AC37" i="100"/>
  <c r="AC36" i="100"/>
  <c r="AC52" i="100"/>
  <c r="AC47" i="100"/>
  <c r="AC50" i="100" s="1"/>
  <c r="AC51" i="100"/>
  <c r="AC27" i="100"/>
  <c r="AC46" i="100"/>
  <c r="AC28" i="100"/>
  <c r="AC57" i="100"/>
  <c r="AC48" i="100"/>
  <c r="AC35" i="100"/>
  <c r="AC53" i="100"/>
  <c r="AC55" i="100"/>
  <c r="AC29" i="100"/>
  <c r="AC25" i="100"/>
  <c r="AC16" i="100"/>
  <c r="AC56" i="100"/>
  <c r="AC32" i="100"/>
  <c r="AC31" i="100"/>
  <c r="AC51" i="94"/>
  <c r="AC17" i="94"/>
  <c r="AC16" i="94"/>
  <c r="AC47" i="94"/>
  <c r="AC15" i="94"/>
  <c r="AC18" i="94" s="1"/>
  <c r="AC32" i="94"/>
  <c r="AC52" i="94"/>
  <c r="AC23" i="94"/>
  <c r="AC49" i="94"/>
  <c r="AC53" i="94"/>
  <c r="AC24" i="94"/>
  <c r="AC31" i="94"/>
  <c r="AC57" i="94"/>
  <c r="AC55" i="94"/>
  <c r="AC56" i="94"/>
  <c r="AC46" i="94"/>
  <c r="AC14" i="94"/>
  <c r="AC25" i="94"/>
  <c r="AC33" i="94"/>
  <c r="AC48" i="94"/>
  <c r="AC42" i="94"/>
  <c r="AC32" i="92"/>
  <c r="AC37" i="92"/>
  <c r="AC36" i="92"/>
  <c r="AC24" i="92"/>
  <c r="AC31" i="92"/>
  <c r="AC47" i="92"/>
  <c r="AC33" i="92"/>
  <c r="AC48" i="92"/>
  <c r="AC13" i="92"/>
  <c r="AC12" i="92"/>
  <c r="AC11" i="92"/>
  <c r="AC23" i="92"/>
  <c r="AA21" i="92"/>
  <c r="O21" i="92"/>
  <c r="Q20" i="92"/>
  <c r="E20" i="92"/>
  <c r="S19" i="92"/>
  <c r="G19" i="92"/>
  <c r="N21" i="92"/>
  <c r="J21" i="92"/>
  <c r="Z19" i="92"/>
  <c r="T20" i="92"/>
  <c r="F21" i="92"/>
  <c r="V19" i="92"/>
  <c r="T19" i="92"/>
  <c r="J19" i="92"/>
  <c r="AB20" i="92"/>
  <c r="R19" i="92"/>
  <c r="X20" i="92"/>
  <c r="N19" i="92"/>
  <c r="AB21" i="92"/>
  <c r="R20" i="92"/>
  <c r="H19" i="92"/>
  <c r="Z21" i="92"/>
  <c r="P20" i="92"/>
  <c r="F19" i="92"/>
  <c r="V21" i="92"/>
  <c r="L20" i="92"/>
  <c r="R21" i="92"/>
  <c r="H20" i="92"/>
  <c r="P21" i="92"/>
  <c r="F20" i="92"/>
  <c r="S21" i="92"/>
  <c r="W21" i="92"/>
  <c r="X21" i="92"/>
  <c r="L19" i="92"/>
  <c r="X19" i="92"/>
  <c r="M19" i="92"/>
  <c r="J20" i="92"/>
  <c r="Y19" i="92"/>
  <c r="G21" i="92"/>
  <c r="V20" i="92"/>
  <c r="K20" i="92"/>
  <c r="E19" i="92"/>
  <c r="Q21" i="92"/>
  <c r="H21" i="92"/>
  <c r="W20" i="92"/>
  <c r="Q19" i="92"/>
  <c r="I19" i="92"/>
  <c r="T21" i="92"/>
  <c r="I21" i="92"/>
  <c r="O19" i="92"/>
  <c r="P19" i="92"/>
  <c r="O20" i="92"/>
  <c r="U19" i="92"/>
  <c r="K19" i="92"/>
  <c r="U21" i="92"/>
  <c r="AA19" i="92"/>
  <c r="AB19" i="92"/>
  <c r="AA20" i="92"/>
  <c r="G20" i="92"/>
  <c r="W19" i="92"/>
  <c r="M20" i="92"/>
  <c r="N20" i="92"/>
  <c r="M21" i="92"/>
  <c r="Y21" i="92"/>
  <c r="S20" i="92"/>
  <c r="I20" i="92"/>
  <c r="Y20" i="92"/>
  <c r="Z20" i="92"/>
  <c r="E21" i="92"/>
  <c r="U20" i="92"/>
  <c r="K21" i="92"/>
  <c r="L21" i="92"/>
  <c r="AC44" i="92"/>
  <c r="AC25" i="92"/>
  <c r="AC16" i="92"/>
  <c r="AC39" i="92"/>
  <c r="AC17" i="92"/>
  <c r="AC15" i="92"/>
  <c r="AC43" i="92"/>
  <c r="AC35" i="92"/>
  <c r="Z53" i="92"/>
  <c r="N53" i="92"/>
  <c r="AB52" i="92"/>
  <c r="P52" i="92"/>
  <c r="R51" i="92"/>
  <c r="F51" i="92"/>
  <c r="V53" i="92"/>
  <c r="J53" i="92"/>
  <c r="X52" i="92"/>
  <c r="L52" i="92"/>
  <c r="Z51" i="92"/>
  <c r="N51" i="92"/>
  <c r="U53" i="92"/>
  <c r="I53" i="92"/>
  <c r="W52" i="92"/>
  <c r="K52" i="92"/>
  <c r="Y51" i="92"/>
  <c r="M51" i="92"/>
  <c r="S53" i="92"/>
  <c r="G53" i="92"/>
  <c r="U52" i="92"/>
  <c r="I52" i="92"/>
  <c r="W51" i="92"/>
  <c r="K51" i="92"/>
  <c r="H52" i="92"/>
  <c r="X51" i="92"/>
  <c r="V51" i="92"/>
  <c r="L51" i="92"/>
  <c r="J51" i="92"/>
  <c r="T53" i="92"/>
  <c r="R53" i="92"/>
  <c r="H53" i="92"/>
  <c r="F53" i="92"/>
  <c r="V52" i="92"/>
  <c r="T52" i="92"/>
  <c r="J52" i="92"/>
  <c r="E53" i="92"/>
  <c r="AA53" i="92"/>
  <c r="O51" i="92"/>
  <c r="Q53" i="92"/>
  <c r="AA51" i="92"/>
  <c r="P51" i="92"/>
  <c r="M52" i="92"/>
  <c r="AB51" i="92"/>
  <c r="Y52" i="92"/>
  <c r="N52" i="92"/>
  <c r="E51" i="92"/>
  <c r="K53" i="92"/>
  <c r="Z52" i="92"/>
  <c r="Q51" i="92"/>
  <c r="S52" i="92"/>
  <c r="W53" i="92"/>
  <c r="L53" i="92"/>
  <c r="O52" i="92"/>
  <c r="G51" i="92"/>
  <c r="H51" i="92"/>
  <c r="AB53" i="92"/>
  <c r="X53" i="92"/>
  <c r="AA52" i="92"/>
  <c r="S51" i="92"/>
  <c r="T51" i="92"/>
  <c r="M53" i="92"/>
  <c r="E52" i="92"/>
  <c r="F52" i="92"/>
  <c r="I51" i="92"/>
  <c r="Y53" i="92"/>
  <c r="Q52" i="92"/>
  <c r="R52" i="92"/>
  <c r="U51" i="92"/>
  <c r="O53" i="92"/>
  <c r="P53" i="92"/>
  <c r="G52" i="92"/>
  <c r="X29" i="92"/>
  <c r="L29" i="92"/>
  <c r="Z28" i="92"/>
  <c r="N28" i="92"/>
  <c r="AB27" i="92"/>
  <c r="P27" i="92"/>
  <c r="S29" i="92"/>
  <c r="G29" i="92"/>
  <c r="U28" i="92"/>
  <c r="I28" i="92"/>
  <c r="W27" i="92"/>
  <c r="K27" i="92"/>
  <c r="T29" i="92"/>
  <c r="J28" i="92"/>
  <c r="R29" i="92"/>
  <c r="H28" i="92"/>
  <c r="N29" i="92"/>
  <c r="J29" i="92"/>
  <c r="Z27" i="92"/>
  <c r="AB28" i="92"/>
  <c r="H29" i="92"/>
  <c r="X27" i="92"/>
  <c r="F29" i="92"/>
  <c r="V27" i="92"/>
  <c r="R27" i="92"/>
  <c r="X28" i="92"/>
  <c r="N27" i="92"/>
  <c r="V28" i="92"/>
  <c r="L27" i="92"/>
  <c r="T28" i="92"/>
  <c r="J27" i="92"/>
  <c r="Z29" i="92"/>
  <c r="P28" i="92"/>
  <c r="F27" i="92"/>
  <c r="V29" i="92"/>
  <c r="L28" i="92"/>
  <c r="W29" i="92"/>
  <c r="Q29" i="92"/>
  <c r="U29" i="92"/>
  <c r="E27" i="92"/>
  <c r="I27" i="92"/>
  <c r="Q27" i="92"/>
  <c r="U27" i="92"/>
  <c r="O28" i="92"/>
  <c r="G28" i="92"/>
  <c r="AA28" i="92"/>
  <c r="S28" i="92"/>
  <c r="M27" i="92"/>
  <c r="M29" i="92"/>
  <c r="G27" i="92"/>
  <c r="H27" i="92"/>
  <c r="E29" i="92"/>
  <c r="K29" i="92"/>
  <c r="AA29" i="92"/>
  <c r="AB29" i="92"/>
  <c r="Y27" i="92"/>
  <c r="Y29" i="92"/>
  <c r="S27" i="92"/>
  <c r="T27" i="92"/>
  <c r="K28" i="92"/>
  <c r="AA27" i="92"/>
  <c r="E28" i="92"/>
  <c r="F28" i="92"/>
  <c r="W28" i="92"/>
  <c r="M28" i="92"/>
  <c r="Q28" i="92"/>
  <c r="R28" i="92"/>
  <c r="I29" i="92"/>
  <c r="Y28" i="92"/>
  <c r="O29" i="92"/>
  <c r="P29" i="92"/>
  <c r="AC45" i="92"/>
  <c r="P57" i="92"/>
  <c r="R56" i="92"/>
  <c r="F56" i="92"/>
  <c r="T55" i="92"/>
  <c r="H55" i="92"/>
  <c r="L57" i="92"/>
  <c r="Z56" i="92"/>
  <c r="N56" i="92"/>
  <c r="AB55" i="92"/>
  <c r="P55" i="92"/>
  <c r="V57" i="92"/>
  <c r="J57" i="92"/>
  <c r="X56" i="92"/>
  <c r="L56" i="92"/>
  <c r="Z55" i="92"/>
  <c r="U57" i="92"/>
  <c r="I57" i="92"/>
  <c r="W56" i="92"/>
  <c r="K56" i="92"/>
  <c r="Y55" i="92"/>
  <c r="M55" i="92"/>
  <c r="T57" i="92"/>
  <c r="H57" i="92"/>
  <c r="V56" i="92"/>
  <c r="J56" i="92"/>
  <c r="X55" i="92"/>
  <c r="N55" i="92"/>
  <c r="L55" i="92"/>
  <c r="O55" i="92"/>
  <c r="Y57" i="92"/>
  <c r="N57" i="92"/>
  <c r="E56" i="92"/>
  <c r="I55" i="92"/>
  <c r="J55" i="92"/>
  <c r="AA55" i="92"/>
  <c r="Z57" i="92"/>
  <c r="Q56" i="92"/>
  <c r="U55" i="92"/>
  <c r="V55" i="92"/>
  <c r="K55" i="92"/>
  <c r="M56" i="92"/>
  <c r="O57" i="92"/>
  <c r="G56" i="92"/>
  <c r="H56" i="92"/>
  <c r="W55" i="92"/>
  <c r="Y56" i="92"/>
  <c r="AA57" i="92"/>
  <c r="S56" i="92"/>
  <c r="T56" i="92"/>
  <c r="I56" i="92"/>
  <c r="K57" i="92"/>
  <c r="E57" i="92"/>
  <c r="F57" i="92"/>
  <c r="U56" i="92"/>
  <c r="W57" i="92"/>
  <c r="AB57" i="92"/>
  <c r="Q57" i="92"/>
  <c r="R57" i="92"/>
  <c r="G57" i="92"/>
  <c r="X57" i="92"/>
  <c r="M57" i="92"/>
  <c r="AB56" i="92"/>
  <c r="S55" i="92"/>
  <c r="E55" i="92"/>
  <c r="S57" i="92"/>
  <c r="Q55" i="92"/>
  <c r="F55" i="92"/>
  <c r="O56" i="92"/>
  <c r="R55" i="92"/>
  <c r="AA56" i="92"/>
  <c r="P56" i="92"/>
  <c r="G55" i="92"/>
  <c r="AC49" i="92"/>
  <c r="AC40" i="92"/>
  <c r="AC41" i="92"/>
  <c r="Z17" i="17"/>
  <c r="N57" i="57"/>
  <c r="V56" i="57"/>
  <c r="F56" i="57"/>
  <c r="N55" i="57"/>
  <c r="U57" i="57"/>
  <c r="E57" i="57"/>
  <c r="M56" i="57"/>
  <c r="U55" i="57"/>
  <c r="E55" i="57"/>
  <c r="P57" i="57"/>
  <c r="X56" i="57"/>
  <c r="H56" i="57"/>
  <c r="P55" i="57"/>
  <c r="AA56" i="57"/>
  <c r="O57" i="57"/>
  <c r="G57" i="57"/>
  <c r="S56" i="57"/>
  <c r="G55" i="57"/>
  <c r="Z57" i="57"/>
  <c r="J57" i="57"/>
  <c r="R56" i="57"/>
  <c r="Z55" i="57"/>
  <c r="J55" i="57"/>
  <c r="Q57" i="57"/>
  <c r="Y56" i="57"/>
  <c r="I56" i="57"/>
  <c r="Q55" i="57"/>
  <c r="AB57" i="57"/>
  <c r="L57" i="57"/>
  <c r="T56" i="57"/>
  <c r="AB55" i="57"/>
  <c r="L55" i="57"/>
  <c r="K56" i="57"/>
  <c r="W56" i="57"/>
  <c r="W55" i="57"/>
  <c r="AA55" i="57"/>
  <c r="V57" i="57"/>
  <c r="F57" i="57"/>
  <c r="N56" i="57"/>
  <c r="V55" i="57"/>
  <c r="F55" i="57"/>
  <c r="M57" i="57"/>
  <c r="U56" i="57"/>
  <c r="E56" i="57"/>
  <c r="M55" i="57"/>
  <c r="X57" i="57"/>
  <c r="H57" i="57"/>
  <c r="P56" i="57"/>
  <c r="X55" i="57"/>
  <c r="H55" i="57"/>
  <c r="S55" i="57"/>
  <c r="G56" i="57"/>
  <c r="AA57" i="57"/>
  <c r="K55" i="57"/>
  <c r="O29" i="57"/>
  <c r="W28" i="57"/>
  <c r="G28" i="57"/>
  <c r="AA29" i="57"/>
  <c r="K29" i="57"/>
  <c r="S28" i="57"/>
  <c r="AA27" i="57"/>
  <c r="K27" i="57"/>
  <c r="R29" i="57"/>
  <c r="Z28" i="57"/>
  <c r="J28" i="57"/>
  <c r="R27" i="57"/>
  <c r="Y29" i="57"/>
  <c r="I29" i="57"/>
  <c r="Q28" i="57"/>
  <c r="Y27" i="57"/>
  <c r="I27" i="57"/>
  <c r="T28" i="57"/>
  <c r="X29" i="57"/>
  <c r="H27" i="57"/>
  <c r="AB28" i="57"/>
  <c r="W29" i="57"/>
  <c r="G29" i="57"/>
  <c r="O28" i="57"/>
  <c r="W27" i="57"/>
  <c r="G27" i="57"/>
  <c r="N29" i="57"/>
  <c r="V28" i="57"/>
  <c r="F28" i="57"/>
  <c r="N27" i="57"/>
  <c r="U29" i="57"/>
  <c r="E29" i="57"/>
  <c r="M28" i="57"/>
  <c r="U27" i="57"/>
  <c r="E27" i="57"/>
  <c r="AB27" i="57"/>
  <c r="H29" i="57"/>
  <c r="P29" i="57"/>
  <c r="L28" i="57"/>
  <c r="O48" i="17"/>
  <c r="AB48" i="17"/>
  <c r="Y49" i="17"/>
  <c r="J49" i="17"/>
  <c r="V49" i="17"/>
  <c r="P47" i="17"/>
  <c r="L48" i="17"/>
  <c r="AA17" i="57"/>
  <c r="K17" i="57"/>
  <c r="S16" i="57"/>
  <c r="AA15" i="57"/>
  <c r="K15" i="57"/>
  <c r="R17" i="57"/>
  <c r="Z16" i="57"/>
  <c r="J16" i="57"/>
  <c r="R15" i="57"/>
  <c r="Y17" i="57"/>
  <c r="I17" i="57"/>
  <c r="Q16" i="57"/>
  <c r="Y15" i="57"/>
  <c r="I15" i="57"/>
  <c r="L16" i="57"/>
  <c r="X16" i="57"/>
  <c r="H15" i="57"/>
  <c r="AB15" i="57"/>
  <c r="W17" i="57"/>
  <c r="G17" i="57"/>
  <c r="O16" i="57"/>
  <c r="W15" i="57"/>
  <c r="G15" i="57"/>
  <c r="N17" i="57"/>
  <c r="V16" i="57"/>
  <c r="F16" i="57"/>
  <c r="N15" i="57"/>
  <c r="U17" i="57"/>
  <c r="E17" i="57"/>
  <c r="M16" i="57"/>
  <c r="U15" i="57"/>
  <c r="E15" i="57"/>
  <c r="T15" i="57"/>
  <c r="H16" i="57"/>
  <c r="AB17" i="57"/>
  <c r="L15" i="57"/>
  <c r="L32" i="55"/>
  <c r="AB32" i="55"/>
  <c r="T33" i="55"/>
  <c r="E37" i="56"/>
  <c r="I37" i="56"/>
  <c r="E36" i="56"/>
  <c r="U37" i="56"/>
  <c r="Q37" i="56"/>
  <c r="R35" i="56"/>
  <c r="J36" i="56"/>
  <c r="Z36" i="56"/>
  <c r="R37" i="56"/>
  <c r="K35" i="56"/>
  <c r="AA35" i="56"/>
  <c r="S36" i="56"/>
  <c r="K37" i="56"/>
  <c r="AA37" i="56"/>
  <c r="T35" i="56"/>
  <c r="L36" i="56"/>
  <c r="AB36" i="56"/>
  <c r="T37" i="56"/>
  <c r="X19" i="56"/>
  <c r="X21" i="56"/>
  <c r="Q19" i="56"/>
  <c r="I20" i="56"/>
  <c r="Y20" i="56"/>
  <c r="Q21" i="56"/>
  <c r="H20" i="56"/>
  <c r="N19" i="56"/>
  <c r="J20" i="56"/>
  <c r="F21" i="56"/>
  <c r="P19" i="56"/>
  <c r="AB21" i="56"/>
  <c r="W19" i="56"/>
  <c r="W20" i="56"/>
  <c r="S21" i="56"/>
  <c r="X17" i="57"/>
  <c r="P15" i="57"/>
  <c r="T17" i="57"/>
  <c r="I16" i="57"/>
  <c r="Q17" i="57"/>
  <c r="Z15" i="57"/>
  <c r="J17" i="57"/>
  <c r="S15" i="57"/>
  <c r="AA16" i="57"/>
  <c r="T27" i="57"/>
  <c r="P28" i="57"/>
  <c r="AB29" i="57"/>
  <c r="I28" i="57"/>
  <c r="Q29" i="57"/>
  <c r="Z27" i="57"/>
  <c r="J29" i="57"/>
  <c r="S27" i="57"/>
  <c r="O56" i="57"/>
  <c r="S57" i="57"/>
  <c r="T57" i="57"/>
  <c r="I57" i="57"/>
  <c r="Z56" i="57"/>
  <c r="O21" i="57"/>
  <c r="W20" i="57"/>
  <c r="G20" i="57"/>
  <c r="O19" i="57"/>
  <c r="V21" i="57"/>
  <c r="F21" i="57"/>
  <c r="N20" i="57"/>
  <c r="V19" i="57"/>
  <c r="F19" i="57"/>
  <c r="M21" i="57"/>
  <c r="U20" i="57"/>
  <c r="E20" i="57"/>
  <c r="M19" i="57"/>
  <c r="L21" i="57"/>
  <c r="P21" i="57"/>
  <c r="P20" i="57"/>
  <c r="P19" i="57"/>
  <c r="T19" i="57"/>
  <c r="AA21" i="57"/>
  <c r="K21" i="57"/>
  <c r="S20" i="57"/>
  <c r="AA19" i="57"/>
  <c r="K19" i="57"/>
  <c r="R21" i="57"/>
  <c r="Z20" i="57"/>
  <c r="J20" i="57"/>
  <c r="R19" i="57"/>
  <c r="Y21" i="57"/>
  <c r="I21" i="57"/>
  <c r="Q20" i="57"/>
  <c r="Y19" i="57"/>
  <c r="I19" i="57"/>
  <c r="T20" i="57"/>
  <c r="H20" i="57"/>
  <c r="X19" i="57"/>
  <c r="T21" i="57"/>
  <c r="W21" i="57"/>
  <c r="G21" i="57"/>
  <c r="O20" i="57"/>
  <c r="W19" i="57"/>
  <c r="G19" i="57"/>
  <c r="N21" i="57"/>
  <c r="V20" i="57"/>
  <c r="F20" i="57"/>
  <c r="N19" i="57"/>
  <c r="U21" i="57"/>
  <c r="E21" i="57"/>
  <c r="M20" i="57"/>
  <c r="U19" i="57"/>
  <c r="E19" i="57"/>
  <c r="AB19" i="57"/>
  <c r="X21" i="57"/>
  <c r="H19" i="57"/>
  <c r="AB20" i="57"/>
  <c r="I35" i="56"/>
  <c r="Y37" i="56"/>
  <c r="U36" i="56"/>
  <c r="Q35" i="56"/>
  <c r="F35" i="56"/>
  <c r="V35" i="56"/>
  <c r="N36" i="56"/>
  <c r="F37" i="56"/>
  <c r="V37" i="56"/>
  <c r="O35" i="56"/>
  <c r="G36" i="56"/>
  <c r="W36" i="56"/>
  <c r="O37" i="56"/>
  <c r="H35" i="56"/>
  <c r="X35" i="56"/>
  <c r="P36" i="56"/>
  <c r="H37" i="56"/>
  <c r="X37" i="56"/>
  <c r="L20" i="56"/>
  <c r="E19" i="56"/>
  <c r="U19" i="56"/>
  <c r="M20" i="56"/>
  <c r="E21" i="56"/>
  <c r="U21" i="56"/>
  <c r="H21" i="56"/>
  <c r="R19" i="56"/>
  <c r="N20" i="56"/>
  <c r="N21" i="56"/>
  <c r="AB19" i="56"/>
  <c r="G19" i="56"/>
  <c r="G20" i="56"/>
  <c r="AA20" i="56"/>
  <c r="W21" i="56"/>
  <c r="T16" i="57"/>
  <c r="P17" i="57"/>
  <c r="M15" i="57"/>
  <c r="U16" i="57"/>
  <c r="F15" i="57"/>
  <c r="N16" i="57"/>
  <c r="V17" i="57"/>
  <c r="G16" i="57"/>
  <c r="O17" i="57"/>
  <c r="T29" i="57"/>
  <c r="X28" i="57"/>
  <c r="M27" i="57"/>
  <c r="U28" i="57"/>
  <c r="F27" i="57"/>
  <c r="N28" i="57"/>
  <c r="V29" i="57"/>
  <c r="K28" i="57"/>
  <c r="K57" i="57"/>
  <c r="T55" i="57"/>
  <c r="I55" i="57"/>
  <c r="Y57" i="57"/>
  <c r="R57" i="57"/>
  <c r="T32" i="55"/>
  <c r="L33" i="55"/>
  <c r="AC33" i="55" s="1"/>
  <c r="Y35" i="56"/>
  <c r="M36" i="56"/>
  <c r="M37" i="56"/>
  <c r="I36" i="56"/>
  <c r="J35" i="56"/>
  <c r="Z35" i="56"/>
  <c r="R36" i="56"/>
  <c r="J37" i="56"/>
  <c r="Z37" i="56"/>
  <c r="S35" i="56"/>
  <c r="K36" i="56"/>
  <c r="AA36" i="56"/>
  <c r="S37" i="56"/>
  <c r="L35" i="56"/>
  <c r="AB35" i="56"/>
  <c r="T36" i="56"/>
  <c r="L37" i="56"/>
  <c r="X20" i="56"/>
  <c r="I19" i="56"/>
  <c r="Y19" i="56"/>
  <c r="Q20" i="56"/>
  <c r="I21" i="56"/>
  <c r="H19" i="56"/>
  <c r="T21" i="56"/>
  <c r="V19" i="56"/>
  <c r="V20" i="56"/>
  <c r="R21" i="56"/>
  <c r="P20" i="56"/>
  <c r="O19" i="56"/>
  <c r="K20" i="56"/>
  <c r="L17" i="57"/>
  <c r="H17" i="57"/>
  <c r="Q15" i="57"/>
  <c r="Y16" i="57"/>
  <c r="J15" i="57"/>
  <c r="R16" i="57"/>
  <c r="Z17" i="57"/>
  <c r="K16" i="57"/>
  <c r="S17" i="57"/>
  <c r="H28" i="57"/>
  <c r="L27" i="57"/>
  <c r="Q27" i="57"/>
  <c r="Y28" i="57"/>
  <c r="J27" i="57"/>
  <c r="R28" i="57"/>
  <c r="Z29" i="57"/>
  <c r="AA28" i="57"/>
  <c r="O55" i="57"/>
  <c r="L56" i="57"/>
  <c r="Y55" i="57"/>
  <c r="R55" i="57"/>
  <c r="G49" i="17"/>
  <c r="M48" i="17"/>
  <c r="F49" i="17"/>
  <c r="L49" i="17"/>
  <c r="H47" i="17"/>
  <c r="W47" i="17"/>
  <c r="S49" i="17"/>
  <c r="AA48" i="17"/>
  <c r="K48" i="17"/>
  <c r="S47" i="17"/>
  <c r="Z49" i="17"/>
  <c r="E49" i="17"/>
  <c r="H48" i="17"/>
  <c r="J47" i="17"/>
  <c r="I49" i="17"/>
  <c r="E48" i="17"/>
  <c r="AB49" i="17"/>
  <c r="V48" i="17"/>
  <c r="R47" i="17"/>
  <c r="N48" i="17"/>
  <c r="H49" i="17"/>
  <c r="Y48" i="17"/>
  <c r="N49" i="17"/>
  <c r="T47" i="17"/>
  <c r="O49" i="17"/>
  <c r="W48" i="17"/>
  <c r="G48" i="17"/>
  <c r="O47" i="17"/>
  <c r="U49" i="17"/>
  <c r="X48" i="17"/>
  <c r="Z47" i="17"/>
  <c r="E47" i="17"/>
  <c r="Z48" i="17"/>
  <c r="V47" i="17"/>
  <c r="T49" i="17"/>
  <c r="P48" i="17"/>
  <c r="L47" i="17"/>
  <c r="X47" i="17"/>
  <c r="J48" i="17"/>
  <c r="F48" i="17"/>
  <c r="AB47" i="17"/>
  <c r="U48" i="17"/>
  <c r="AA49" i="17"/>
  <c r="K49" i="17"/>
  <c r="S48" i="17"/>
  <c r="AA47" i="17"/>
  <c r="K47" i="17"/>
  <c r="P49" i="17"/>
  <c r="R48" i="17"/>
  <c r="U47" i="17"/>
  <c r="X49" i="17"/>
  <c r="T48" i="17"/>
  <c r="N47" i="17"/>
  <c r="M49" i="17"/>
  <c r="I48" i="17"/>
  <c r="R49" i="17"/>
  <c r="I47" i="17"/>
  <c r="Q47" i="17"/>
  <c r="M47" i="17"/>
  <c r="F47" i="17"/>
  <c r="AC17" i="55"/>
  <c r="AC53" i="56"/>
  <c r="Q48" i="17"/>
  <c r="Y47" i="17"/>
  <c r="Q49" i="17"/>
  <c r="G47" i="17"/>
  <c r="W49" i="17"/>
  <c r="J17" i="17"/>
  <c r="M17" i="17"/>
  <c r="Q16" i="17"/>
  <c r="P17" i="17"/>
  <c r="S16" i="17"/>
  <c r="R16" i="17"/>
  <c r="P16" i="17"/>
  <c r="L15" i="17"/>
  <c r="G15" i="17"/>
  <c r="Z15" i="17"/>
  <c r="S15" i="17"/>
  <c r="L17" i="17"/>
  <c r="G16" i="17"/>
  <c r="J15" i="17"/>
  <c r="U17" i="17"/>
  <c r="H16" i="17"/>
  <c r="Z49" i="57"/>
  <c r="J49" i="57"/>
  <c r="V49" i="57"/>
  <c r="F49" i="57"/>
  <c r="N48" i="57"/>
  <c r="V47" i="57"/>
  <c r="F47" i="57"/>
  <c r="M49" i="57"/>
  <c r="U48" i="57"/>
  <c r="R49" i="57"/>
  <c r="Z48" i="57"/>
  <c r="J48" i="57"/>
  <c r="R47" i="57"/>
  <c r="Y49" i="57"/>
  <c r="I49" i="57"/>
  <c r="AC39" i="55"/>
  <c r="AC32" i="56"/>
  <c r="AC11" i="56"/>
  <c r="V17" i="17"/>
  <c r="F17" i="17"/>
  <c r="N16" i="17"/>
  <c r="V15" i="17"/>
  <c r="F15" i="17"/>
  <c r="H17" i="17"/>
  <c r="K16" i="17"/>
  <c r="M15" i="17"/>
  <c r="O17" i="17"/>
  <c r="I16" i="17"/>
  <c r="E15" i="17"/>
  <c r="E17" i="17"/>
  <c r="Y15" i="17"/>
  <c r="Y16" i="17"/>
  <c r="Y17" i="17"/>
  <c r="P15" i="17"/>
  <c r="I17" i="17"/>
  <c r="O15" i="17"/>
  <c r="R17" i="17"/>
  <c r="Z16" i="17"/>
  <c r="J16" i="17"/>
  <c r="R15" i="17"/>
  <c r="X17" i="17"/>
  <c r="AA16" i="17"/>
  <c r="E16" i="17"/>
  <c r="H15" i="17"/>
  <c r="G17" i="17"/>
  <c r="AA15" i="17"/>
  <c r="AA17" i="17"/>
  <c r="W16" i="17"/>
  <c r="Q15" i="17"/>
  <c r="L16" i="17"/>
  <c r="K17" i="17"/>
  <c r="AB16" i="17"/>
  <c r="AB15" i="17"/>
  <c r="Q17" i="17"/>
  <c r="N17" i="17"/>
  <c r="V16" i="17"/>
  <c r="F16" i="17"/>
  <c r="N15" i="17"/>
  <c r="S17" i="17"/>
  <c r="U16" i="17"/>
  <c r="X15" i="17"/>
  <c r="AB17" i="17"/>
  <c r="X16" i="17"/>
  <c r="T15" i="17"/>
  <c r="T17" i="17"/>
  <c r="O16" i="17"/>
  <c r="K15" i="17"/>
  <c r="U15" i="17"/>
  <c r="T16" i="17"/>
  <c r="W15" i="17"/>
  <c r="W17" i="17"/>
  <c r="I15" i="17"/>
  <c r="AC52" i="53"/>
  <c r="AC31" i="53"/>
  <c r="AC45" i="54"/>
  <c r="AC24" i="54"/>
  <c r="AA21" i="56"/>
  <c r="K21" i="56"/>
  <c r="S20" i="56"/>
  <c r="AA19" i="56"/>
  <c r="K19" i="56"/>
  <c r="AB20" i="56"/>
  <c r="Z21" i="56"/>
  <c r="J21" i="56"/>
  <c r="R20" i="56"/>
  <c r="Z19" i="56"/>
  <c r="J19" i="56"/>
  <c r="T20" i="56"/>
  <c r="Y21" i="56"/>
  <c r="AC19" i="55"/>
  <c r="AC17" i="56"/>
  <c r="AC16" i="56"/>
  <c r="X36" i="57"/>
  <c r="I35" i="57"/>
  <c r="Y35" i="57"/>
  <c r="Q36" i="57"/>
  <c r="I37" i="57"/>
  <c r="Y37" i="57"/>
  <c r="T36" i="57"/>
  <c r="J35" i="57"/>
  <c r="Z35" i="57"/>
  <c r="R36" i="57"/>
  <c r="J37" i="57"/>
  <c r="Z37" i="57"/>
  <c r="AB36" i="57"/>
  <c r="K35" i="57"/>
  <c r="AA35" i="57"/>
  <c r="S36" i="57"/>
  <c r="K37" i="57"/>
  <c r="AA37" i="57"/>
  <c r="AB35" i="57"/>
  <c r="X37" i="57"/>
  <c r="Q35" i="57"/>
  <c r="I36" i="57"/>
  <c r="Y36" i="57"/>
  <c r="Q37" i="57"/>
  <c r="X35" i="57"/>
  <c r="T37" i="57"/>
  <c r="R35" i="57"/>
  <c r="J36" i="57"/>
  <c r="Z36" i="57"/>
  <c r="R37" i="57"/>
  <c r="T35" i="57"/>
  <c r="AB37" i="57"/>
  <c r="S35" i="57"/>
  <c r="K36" i="57"/>
  <c r="AA36" i="57"/>
  <c r="AC36" i="53"/>
  <c r="AC20" i="53"/>
  <c r="AC41" i="53"/>
  <c r="AC35" i="53"/>
  <c r="AC57" i="53"/>
  <c r="AC47" i="53"/>
  <c r="AC32" i="53"/>
  <c r="AC16" i="53"/>
  <c r="AC15" i="53"/>
  <c r="AC27" i="53"/>
  <c r="AC12" i="53"/>
  <c r="AC39" i="53"/>
  <c r="AC25" i="53"/>
  <c r="AC24" i="53"/>
  <c r="AC35" i="54"/>
  <c r="AC19" i="54"/>
  <c r="AC15" i="54"/>
  <c r="AC25" i="55"/>
  <c r="AC29" i="56"/>
  <c r="AC41" i="56"/>
  <c r="AC53" i="53"/>
  <c r="AC45" i="53"/>
  <c r="AC56" i="53"/>
  <c r="AC48" i="53"/>
  <c r="AC40" i="53"/>
  <c r="AC17" i="53"/>
  <c r="AA41" i="17"/>
  <c r="W41" i="17"/>
  <c r="S41" i="17"/>
  <c r="O41" i="17"/>
  <c r="K41" i="17"/>
  <c r="G41" i="17"/>
  <c r="AA40" i="17"/>
  <c r="W40" i="17"/>
  <c r="S40" i="17"/>
  <c r="Z41" i="17"/>
  <c r="U41" i="17"/>
  <c r="P41" i="17"/>
  <c r="J41" i="17"/>
  <c r="E41" i="17"/>
  <c r="X40" i="17"/>
  <c r="R40" i="17"/>
  <c r="N40" i="17"/>
  <c r="J40" i="17"/>
  <c r="F40" i="17"/>
  <c r="Z39" i="17"/>
  <c r="V39" i="17"/>
  <c r="R39" i="17"/>
  <c r="N39" i="17"/>
  <c r="J39" i="17"/>
  <c r="F39" i="17"/>
  <c r="Y41" i="17"/>
  <c r="R41" i="17"/>
  <c r="L41" i="17"/>
  <c r="AB40" i="17"/>
  <c r="U40" i="17"/>
  <c r="O40" i="17"/>
  <c r="I40" i="17"/>
  <c r="AB39" i="17"/>
  <c r="W39" i="17"/>
  <c r="Q39" i="17"/>
  <c r="L39" i="17"/>
  <c r="G39" i="17"/>
  <c r="X41" i="17"/>
  <c r="N41" i="17"/>
  <c r="F41" i="17"/>
  <c r="T40" i="17"/>
  <c r="L40" i="17"/>
  <c r="E40" i="17"/>
  <c r="U39" i="17"/>
  <c r="O39" i="17"/>
  <c r="H39" i="17"/>
  <c r="Q41" i="17"/>
  <c r="Z40" i="17"/>
  <c r="P40" i="17"/>
  <c r="G40" i="17"/>
  <c r="T39" i="17"/>
  <c r="K39" i="17"/>
  <c r="AB41" i="17"/>
  <c r="M41" i="17"/>
  <c r="Y40" i="17"/>
  <c r="M40" i="17"/>
  <c r="AA39" i="17"/>
  <c r="S39" i="17"/>
  <c r="I39" i="17"/>
  <c r="T41" i="17"/>
  <c r="Q40" i="17"/>
  <c r="X39" i="17"/>
  <c r="I41" i="17"/>
  <c r="K40" i="17"/>
  <c r="P39" i="17"/>
  <c r="V40" i="17"/>
  <c r="E39" i="17"/>
  <c r="H40" i="17"/>
  <c r="M39" i="17"/>
  <c r="Y39" i="17"/>
  <c r="V41" i="17"/>
  <c r="H41" i="17"/>
  <c r="Z21" i="17"/>
  <c r="V21" i="17"/>
  <c r="R21" i="17"/>
  <c r="N21" i="17"/>
  <c r="J21" i="17"/>
  <c r="F21" i="17"/>
  <c r="Z20" i="17"/>
  <c r="V20" i="17"/>
  <c r="R20" i="17"/>
  <c r="N20" i="17"/>
  <c r="J20" i="17"/>
  <c r="F20" i="17"/>
  <c r="Z19" i="17"/>
  <c r="V19" i="17"/>
  <c r="R19" i="17"/>
  <c r="N19" i="17"/>
  <c r="J19" i="17"/>
  <c r="F19" i="17"/>
  <c r="AA21" i="17"/>
  <c r="U21" i="17"/>
  <c r="P21" i="17"/>
  <c r="K21" i="17"/>
  <c r="E21" i="17"/>
  <c r="X20" i="17"/>
  <c r="S20" i="17"/>
  <c r="M20" i="17"/>
  <c r="H20" i="17"/>
  <c r="AA19" i="17"/>
  <c r="U19" i="17"/>
  <c r="P19" i="17"/>
  <c r="K19" i="17"/>
  <c r="E19" i="17"/>
  <c r="AB21" i="17"/>
  <c r="T21" i="17"/>
  <c r="M21" i="17"/>
  <c r="G21" i="17"/>
  <c r="W20" i="17"/>
  <c r="P20" i="17"/>
  <c r="I20" i="17"/>
  <c r="Y19" i="17"/>
  <c r="S19" i="17"/>
  <c r="L19" i="17"/>
  <c r="Y21" i="17"/>
  <c r="S21" i="17"/>
  <c r="L21" i="17"/>
  <c r="AB20" i="17"/>
  <c r="U20" i="17"/>
  <c r="O20" i="17"/>
  <c r="G20" i="17"/>
  <c r="X19" i="17"/>
  <c r="Q19" i="17"/>
  <c r="I19" i="17"/>
  <c r="O21" i="17"/>
  <c r="Y20" i="17"/>
  <c r="K20" i="17"/>
  <c r="T19" i="17"/>
  <c r="G19" i="17"/>
  <c r="X21" i="17"/>
  <c r="I21" i="17"/>
  <c r="T20" i="17"/>
  <c r="E20" i="17"/>
  <c r="O19" i="17"/>
  <c r="Q21" i="17"/>
  <c r="L20" i="17"/>
  <c r="H19" i="17"/>
  <c r="W19" i="17"/>
  <c r="W21" i="17"/>
  <c r="Q20" i="17"/>
  <c r="M19" i="17"/>
  <c r="H21" i="17"/>
  <c r="AB19" i="17"/>
  <c r="AA20" i="17"/>
  <c r="AC19" i="53"/>
  <c r="AC43" i="53"/>
  <c r="AC44" i="53"/>
  <c r="AC55" i="53"/>
  <c r="AC49" i="53"/>
  <c r="AC28" i="53"/>
  <c r="AC11" i="53"/>
  <c r="AC23" i="53"/>
  <c r="AC37" i="53"/>
  <c r="AC21" i="53"/>
  <c r="AC33" i="53"/>
  <c r="AA45" i="17"/>
  <c r="W45" i="17"/>
  <c r="S45" i="17"/>
  <c r="O45" i="17"/>
  <c r="K45" i="17"/>
  <c r="G45" i="17"/>
  <c r="AA44" i="17"/>
  <c r="W44" i="17"/>
  <c r="S44" i="17"/>
  <c r="O44" i="17"/>
  <c r="K44" i="17"/>
  <c r="G44" i="17"/>
  <c r="AA43" i="17"/>
  <c r="W43" i="17"/>
  <c r="S43" i="17"/>
  <c r="O43" i="17"/>
  <c r="K43" i="17"/>
  <c r="G43" i="17"/>
  <c r="X45" i="17"/>
  <c r="R45" i="17"/>
  <c r="M45" i="17"/>
  <c r="H45" i="17"/>
  <c r="Z44" i="17"/>
  <c r="U44" i="17"/>
  <c r="P44" i="17"/>
  <c r="J44" i="17"/>
  <c r="E44" i="17"/>
  <c r="X43" i="17"/>
  <c r="R43" i="17"/>
  <c r="M43" i="17"/>
  <c r="H43" i="17"/>
  <c r="Y45" i="17"/>
  <c r="Q45" i="17"/>
  <c r="J45" i="17"/>
  <c r="AB44" i="17"/>
  <c r="T44" i="17"/>
  <c r="M44" i="17"/>
  <c r="F44" i="17"/>
  <c r="V43" i="17"/>
  <c r="P43" i="17"/>
  <c r="I43" i="17"/>
  <c r="AB45" i="17"/>
  <c r="U45" i="17"/>
  <c r="T45" i="17"/>
  <c r="I45" i="17"/>
  <c r="X44" i="17"/>
  <c r="N44" i="17"/>
  <c r="AB43" i="17"/>
  <c r="T43" i="17"/>
  <c r="J43" i="17"/>
  <c r="V45" i="17"/>
  <c r="F45" i="17"/>
  <c r="R44" i="17"/>
  <c r="H44" i="17"/>
  <c r="Q43" i="17"/>
  <c r="E43" i="17"/>
  <c r="P45" i="17"/>
  <c r="E45" i="17"/>
  <c r="Q44" i="17"/>
  <c r="Z43" i="17"/>
  <c r="N43" i="17"/>
  <c r="Z45" i="17"/>
  <c r="V44" i="17"/>
  <c r="U43" i="17"/>
  <c r="N45" i="17"/>
  <c r="L44" i="17"/>
  <c r="L43" i="17"/>
  <c r="Y43" i="17"/>
  <c r="L45" i="17"/>
  <c r="F43" i="17"/>
  <c r="I44" i="17"/>
  <c r="Y44" i="17"/>
  <c r="Z37" i="17"/>
  <c r="V37" i="17"/>
  <c r="R37" i="17"/>
  <c r="N37" i="17"/>
  <c r="J37" i="17"/>
  <c r="F37" i="17"/>
  <c r="Z36" i="17"/>
  <c r="V36" i="17"/>
  <c r="R36" i="17"/>
  <c r="N36" i="17"/>
  <c r="J36" i="17"/>
  <c r="F36" i="17"/>
  <c r="Z35" i="17"/>
  <c r="V35" i="17"/>
  <c r="R35" i="17"/>
  <c r="Y37" i="17"/>
  <c r="T37" i="17"/>
  <c r="O37" i="17"/>
  <c r="I37" i="17"/>
  <c r="AB36" i="17"/>
  <c r="W36" i="17"/>
  <c r="Q36" i="17"/>
  <c r="L36" i="17"/>
  <c r="G36" i="17"/>
  <c r="Y35" i="17"/>
  <c r="T35" i="17"/>
  <c r="O35" i="17"/>
  <c r="K35" i="17"/>
  <c r="G35" i="17"/>
  <c r="X37" i="17"/>
  <c r="Q37" i="17"/>
  <c r="K37" i="17"/>
  <c r="AA36" i="17"/>
  <c r="T36" i="17"/>
  <c r="M36" i="17"/>
  <c r="E36" i="17"/>
  <c r="W35" i="17"/>
  <c r="P35" i="17"/>
  <c r="J35" i="17"/>
  <c r="E35" i="17"/>
  <c r="AA37" i="17"/>
  <c r="P37" i="17"/>
  <c r="G37" i="17"/>
  <c r="U36" i="17"/>
  <c r="K36" i="17"/>
  <c r="AA35" i="17"/>
  <c r="Q35" i="17"/>
  <c r="I35" i="17"/>
  <c r="W37" i="17"/>
  <c r="M37" i="17"/>
  <c r="E37" i="17"/>
  <c r="S36" i="17"/>
  <c r="I36" i="17"/>
  <c r="X35" i="17"/>
  <c r="N35" i="17"/>
  <c r="H35" i="17"/>
  <c r="AB37" i="17"/>
  <c r="H37" i="17"/>
  <c r="O36" i="17"/>
  <c r="S35" i="17"/>
  <c r="U37" i="17"/>
  <c r="Y36" i="17"/>
  <c r="H36" i="17"/>
  <c r="M35" i="17"/>
  <c r="P36" i="17"/>
  <c r="F35" i="17"/>
  <c r="S37" i="17"/>
  <c r="AB35" i="17"/>
  <c r="L35" i="17"/>
  <c r="U35" i="17"/>
  <c r="L37" i="17"/>
  <c r="X36" i="17"/>
  <c r="AC51" i="53"/>
  <c r="AC13" i="53"/>
  <c r="AC51" i="54"/>
  <c r="AC33" i="54"/>
  <c r="AC29" i="54"/>
  <c r="AC11" i="54"/>
  <c r="AC13" i="54"/>
  <c r="AC55" i="54"/>
  <c r="AC56" i="54"/>
  <c r="AC39" i="54"/>
  <c r="AC40" i="54"/>
  <c r="AC36" i="55"/>
  <c r="AC28" i="55"/>
  <c r="AC11" i="55"/>
  <c r="AC13" i="55"/>
  <c r="AC12" i="55"/>
  <c r="AC55" i="55"/>
  <c r="AC49" i="55"/>
  <c r="AC44" i="55"/>
  <c r="AC41" i="55"/>
  <c r="AC23" i="55"/>
  <c r="AC48" i="56"/>
  <c r="AC43" i="56"/>
  <c r="AC27" i="56"/>
  <c r="Z25" i="17"/>
  <c r="V25" i="17"/>
  <c r="R25" i="17"/>
  <c r="N25" i="17"/>
  <c r="J25" i="17"/>
  <c r="F25" i="17"/>
  <c r="Z24" i="17"/>
  <c r="V24" i="17"/>
  <c r="R24" i="17"/>
  <c r="N24" i="17"/>
  <c r="J24" i="17"/>
  <c r="F24" i="17"/>
  <c r="Z23" i="17"/>
  <c r="V23" i="17"/>
  <c r="R23" i="17"/>
  <c r="N23" i="17"/>
  <c r="J23" i="17"/>
  <c r="F23" i="17"/>
  <c r="X25" i="17"/>
  <c r="S25" i="17"/>
  <c r="M25" i="17"/>
  <c r="H25" i="17"/>
  <c r="AA24" i="17"/>
  <c r="U24" i="17"/>
  <c r="P24" i="17"/>
  <c r="K24" i="17"/>
  <c r="E24" i="17"/>
  <c r="X23" i="17"/>
  <c r="S23" i="17"/>
  <c r="M23" i="17"/>
  <c r="H23" i="17"/>
  <c r="AA25" i="17"/>
  <c r="T25" i="17"/>
  <c r="L25" i="17"/>
  <c r="E25" i="17"/>
  <c r="W24" i="17"/>
  <c r="O24" i="17"/>
  <c r="H24" i="17"/>
  <c r="Y23" i="17"/>
  <c r="Q23" i="17"/>
  <c r="K23" i="17"/>
  <c r="Y25" i="17"/>
  <c r="Q25" i="17"/>
  <c r="K25" i="17"/>
  <c r="AB24" i="17"/>
  <c r="T24" i="17"/>
  <c r="M24" i="17"/>
  <c r="G24" i="17"/>
  <c r="W23" i="17"/>
  <c r="P23" i="17"/>
  <c r="I23" i="17"/>
  <c r="AB25" i="17"/>
  <c r="O25" i="17"/>
  <c r="X24" i="17"/>
  <c r="I24" i="17"/>
  <c r="T23" i="17"/>
  <c r="E23" i="17"/>
  <c r="W25" i="17"/>
  <c r="I25" i="17"/>
  <c r="S24" i="17"/>
  <c r="AB23" i="17"/>
  <c r="O23" i="17"/>
  <c r="Y24" i="17"/>
  <c r="U23" i="17"/>
  <c r="P25" i="17"/>
  <c r="G23" i="17"/>
  <c r="G25" i="17"/>
  <c r="AA23" i="17"/>
  <c r="U25" i="17"/>
  <c r="Q24" i="17"/>
  <c r="L23" i="17"/>
  <c r="L24" i="17"/>
  <c r="F13" i="17"/>
  <c r="F12" i="17"/>
  <c r="F11" i="17"/>
  <c r="E13" i="17"/>
  <c r="E11" i="17"/>
  <c r="E12" i="17"/>
  <c r="AC29" i="53"/>
  <c r="AA33" i="17"/>
  <c r="W33" i="17"/>
  <c r="S33" i="17"/>
  <c r="O33" i="17"/>
  <c r="K33" i="17"/>
  <c r="G33" i="17"/>
  <c r="AA32" i="17"/>
  <c r="W32" i="17"/>
  <c r="S32" i="17"/>
  <c r="O32" i="17"/>
  <c r="K32" i="17"/>
  <c r="G32" i="17"/>
  <c r="AA31" i="17"/>
  <c r="W31" i="17"/>
  <c r="S31" i="17"/>
  <c r="O31" i="17"/>
  <c r="K31" i="17"/>
  <c r="G31" i="17"/>
  <c r="X33" i="17"/>
  <c r="R33" i="17"/>
  <c r="M33" i="17"/>
  <c r="H33" i="17"/>
  <c r="Z32" i="17"/>
  <c r="U32" i="17"/>
  <c r="P32" i="17"/>
  <c r="J32" i="17"/>
  <c r="E32" i="17"/>
  <c r="X31" i="17"/>
  <c r="R31" i="17"/>
  <c r="M31" i="17"/>
  <c r="H31" i="17"/>
  <c r="Z33" i="17"/>
  <c r="T33" i="17"/>
  <c r="L33" i="17"/>
  <c r="E33" i="17"/>
  <c r="V32" i="17"/>
  <c r="N32" i="17"/>
  <c r="H32" i="17"/>
  <c r="Y31" i="17"/>
  <c r="Q31" i="17"/>
  <c r="J31" i="17"/>
  <c r="Y33" i="17"/>
  <c r="Q33" i="17"/>
  <c r="J33" i="17"/>
  <c r="AB32" i="17"/>
  <c r="T32" i="17"/>
  <c r="M32" i="17"/>
  <c r="F32" i="17"/>
  <c r="AB33" i="17"/>
  <c r="N33" i="17"/>
  <c r="X32" i="17"/>
  <c r="I32" i="17"/>
  <c r="U31" i="17"/>
  <c r="L31" i="17"/>
  <c r="V33" i="17"/>
  <c r="I33" i="17"/>
  <c r="R32" i="17"/>
  <c r="AB31" i="17"/>
  <c r="T31" i="17"/>
  <c r="I31" i="17"/>
  <c r="Y32" i="17"/>
  <c r="V31" i="17"/>
  <c r="E31" i="17"/>
  <c r="U33" i="17"/>
  <c r="Q32" i="17"/>
  <c r="P31" i="17"/>
  <c r="Z31" i="17"/>
  <c r="F33" i="17"/>
  <c r="L32" i="17"/>
  <c r="P33" i="17"/>
  <c r="N31" i="17"/>
  <c r="F31" i="17"/>
  <c r="AA29" i="17"/>
  <c r="Z29" i="17"/>
  <c r="V29" i="17"/>
  <c r="R29" i="17"/>
  <c r="N29" i="17"/>
  <c r="J29" i="17"/>
  <c r="F29" i="17"/>
  <c r="Z28" i="17"/>
  <c r="V28" i="17"/>
  <c r="R28" i="17"/>
  <c r="N28" i="17"/>
  <c r="J28" i="17"/>
  <c r="F28" i="17"/>
  <c r="Z27" i="17"/>
  <c r="V27" i="17"/>
  <c r="R27" i="17"/>
  <c r="N27" i="17"/>
  <c r="J27" i="17"/>
  <c r="F27" i="17"/>
  <c r="AB29" i="17"/>
  <c r="U29" i="17"/>
  <c r="P29" i="17"/>
  <c r="K29" i="17"/>
  <c r="E29" i="17"/>
  <c r="X28" i="17"/>
  <c r="S28" i="17"/>
  <c r="M28" i="17"/>
  <c r="H28" i="17"/>
  <c r="AA27" i="17"/>
  <c r="U27" i="17"/>
  <c r="P27" i="17"/>
  <c r="K27" i="17"/>
  <c r="E27" i="17"/>
  <c r="Y29" i="17"/>
  <c r="S29" i="17"/>
  <c r="L29" i="17"/>
  <c r="AB28" i="17"/>
  <c r="U28" i="17"/>
  <c r="O28" i="17"/>
  <c r="G28" i="17"/>
  <c r="X27" i="17"/>
  <c r="Q27" i="17"/>
  <c r="I27" i="17"/>
  <c r="X29" i="17"/>
  <c r="Q29" i="17"/>
  <c r="I29" i="17"/>
  <c r="AA28" i="17"/>
  <c r="T28" i="17"/>
  <c r="L28" i="17"/>
  <c r="E28" i="17"/>
  <c r="W27" i="17"/>
  <c r="O27" i="17"/>
  <c r="H27" i="17"/>
  <c r="M29" i="17"/>
  <c r="W28" i="17"/>
  <c r="I28" i="17"/>
  <c r="S27" i="17"/>
  <c r="W29" i="17"/>
  <c r="H29" i="17"/>
  <c r="Q28" i="17"/>
  <c r="AB27" i="17"/>
  <c r="M27" i="17"/>
  <c r="O29" i="17"/>
  <c r="K28" i="17"/>
  <c r="G27" i="17"/>
  <c r="Y28" i="17"/>
  <c r="T29" i="17"/>
  <c r="P28" i="17"/>
  <c r="L27" i="17"/>
  <c r="G29" i="17"/>
  <c r="Y27" i="17"/>
  <c r="T27" i="17"/>
  <c r="AC53" i="54"/>
  <c r="AC36" i="54"/>
  <c r="AC21" i="54"/>
  <c r="AC49" i="54"/>
  <c r="AC44" i="54"/>
  <c r="AC27" i="54"/>
  <c r="AC57" i="54"/>
  <c r="AC52" i="55"/>
  <c r="AC37" i="55"/>
  <c r="AC56" i="55"/>
  <c r="AC15" i="55"/>
  <c r="AC16" i="55"/>
  <c r="AC47" i="56"/>
  <c r="AC31" i="56"/>
  <c r="AC44" i="56"/>
  <c r="AC57" i="56"/>
  <c r="AC40" i="56"/>
  <c r="AC24" i="56"/>
  <c r="AC37" i="54"/>
  <c r="AC32" i="54"/>
  <c r="AC31" i="54"/>
  <c r="AC16" i="54"/>
  <c r="AC41" i="54"/>
  <c r="AC25" i="54"/>
  <c r="AC35" i="55"/>
  <c r="AC20" i="55"/>
  <c r="AC29" i="55"/>
  <c r="AC40" i="55"/>
  <c r="AC24" i="55"/>
  <c r="AC52" i="54"/>
  <c r="AC20" i="54"/>
  <c r="AC17" i="54"/>
  <c r="AC43" i="54"/>
  <c r="AC28" i="54"/>
  <c r="AC12" i="54"/>
  <c r="AC51" i="55"/>
  <c r="AC21" i="55"/>
  <c r="AC47" i="55"/>
  <c r="AC31" i="55"/>
  <c r="AC45" i="55"/>
  <c r="AC15" i="56"/>
  <c r="AC51" i="56"/>
  <c r="AC52" i="56"/>
  <c r="AC45" i="56"/>
  <c r="AC28" i="56"/>
  <c r="AC13" i="56"/>
  <c r="AC55" i="56"/>
  <c r="AC23" i="56"/>
  <c r="AC47" i="54"/>
  <c r="AC48" i="54"/>
  <c r="AC23" i="54"/>
  <c r="AC53" i="55"/>
  <c r="AC27" i="55"/>
  <c r="AC48" i="55"/>
  <c r="AC43" i="55"/>
  <c r="AC49" i="56"/>
  <c r="AC33" i="56"/>
  <c r="AC12" i="56"/>
  <c r="AC56" i="56"/>
  <c r="AC39" i="56"/>
  <c r="AC25" i="56"/>
  <c r="AC51" i="57"/>
  <c r="AC53" i="57"/>
  <c r="AC43" i="57"/>
  <c r="AC45" i="57"/>
  <c r="AC12" i="57"/>
  <c r="AC52" i="57"/>
  <c r="AC44" i="57"/>
  <c r="AC11" i="57"/>
  <c r="AC13" i="57"/>
  <c r="AC23" i="57"/>
  <c r="AC25" i="57"/>
  <c r="AC24" i="57"/>
  <c r="AC32" i="57"/>
  <c r="AC41" i="57"/>
  <c r="AC31" i="57"/>
  <c r="AC33" i="57"/>
  <c r="AC39" i="57"/>
  <c r="AC40" i="57"/>
  <c r="AC57" i="55"/>
  <c r="D8" i="16"/>
  <c r="C6" i="43"/>
  <c r="D3" i="17"/>
  <c r="D3" i="16"/>
  <c r="B55" i="16"/>
  <c r="AB57" i="16" s="1"/>
  <c r="B51" i="16"/>
  <c r="B47" i="16"/>
  <c r="B43" i="16"/>
  <c r="Z45" i="16" s="1"/>
  <c r="B39" i="16"/>
  <c r="B35" i="16"/>
  <c r="B31" i="16"/>
  <c r="AB31" i="16" s="1"/>
  <c r="B27" i="16"/>
  <c r="B23" i="16"/>
  <c r="B19" i="16"/>
  <c r="B15" i="16"/>
  <c r="B11" i="16"/>
  <c r="AC34" i="94" l="1"/>
  <c r="AC30" i="105"/>
  <c r="AC38" i="92"/>
  <c r="AC30" i="103"/>
  <c r="AC34" i="92"/>
  <c r="AC50" i="103"/>
  <c r="AC50" i="105"/>
  <c r="AC54" i="94"/>
  <c r="AC34" i="101"/>
  <c r="AC58" i="105"/>
  <c r="AC58" i="94"/>
  <c r="AC54" i="105"/>
  <c r="AC26" i="105"/>
  <c r="AC34" i="105"/>
  <c r="AC22" i="105"/>
  <c r="AC58" i="103"/>
  <c r="AC38" i="103"/>
  <c r="AC34" i="103"/>
  <c r="AC54" i="103"/>
  <c r="AC14" i="103"/>
  <c r="AC14" i="102"/>
  <c r="AC30" i="102"/>
  <c r="AC58" i="102"/>
  <c r="AC34" i="102"/>
  <c r="AC50" i="102"/>
  <c r="AC26" i="102"/>
  <c r="AC54" i="102"/>
  <c r="AC38" i="101"/>
  <c r="AC54" i="101"/>
  <c r="AC50" i="101"/>
  <c r="AC26" i="101"/>
  <c r="AC30" i="101"/>
  <c r="AC58" i="101"/>
  <c r="AC14" i="101"/>
  <c r="AC34" i="100"/>
  <c r="AC30" i="100"/>
  <c r="AC54" i="100"/>
  <c r="AC58" i="100"/>
  <c r="AC38" i="100"/>
  <c r="AC18" i="100"/>
  <c r="AC26" i="100"/>
  <c r="AC50" i="94"/>
  <c r="AC26" i="94"/>
  <c r="AC14" i="92"/>
  <c r="AC18" i="92"/>
  <c r="AC50" i="92"/>
  <c r="AC26" i="92"/>
  <c r="AC51" i="92"/>
  <c r="AC46" i="92"/>
  <c r="AC21" i="92"/>
  <c r="AC56" i="92"/>
  <c r="AC19" i="92"/>
  <c r="AC42" i="92"/>
  <c r="AC20" i="92"/>
  <c r="AC55" i="92"/>
  <c r="AC57" i="92"/>
  <c r="AC29" i="92"/>
  <c r="AC27" i="92"/>
  <c r="AC28" i="92"/>
  <c r="AC52" i="92"/>
  <c r="AC53" i="92"/>
  <c r="AC55" i="57"/>
  <c r="AC57" i="57"/>
  <c r="AC30" i="53"/>
  <c r="AC47" i="57"/>
  <c r="AC36" i="56"/>
  <c r="AC37" i="56"/>
  <c r="AC35" i="56"/>
  <c r="AC38" i="56" s="1"/>
  <c r="AC46" i="54"/>
  <c r="AC47" i="17"/>
  <c r="H43" i="16"/>
  <c r="W43" i="16"/>
  <c r="Q45" i="16"/>
  <c r="AB43" i="16"/>
  <c r="W45" i="16"/>
  <c r="X45" i="16"/>
  <c r="U44" i="16"/>
  <c r="O43" i="16"/>
  <c r="L44" i="16"/>
  <c r="I45" i="16"/>
  <c r="E43" i="16"/>
  <c r="AA43" i="16"/>
  <c r="X44" i="16"/>
  <c r="U45" i="16"/>
  <c r="N43" i="16"/>
  <c r="F44" i="16"/>
  <c r="V44" i="16"/>
  <c r="N45" i="16"/>
  <c r="Y56" i="16"/>
  <c r="V56" i="16"/>
  <c r="J56" i="16"/>
  <c r="O56" i="16"/>
  <c r="AA55" i="16"/>
  <c r="G55" i="16"/>
  <c r="K56" i="16"/>
  <c r="Q57" i="16"/>
  <c r="W55" i="16"/>
  <c r="AA56" i="16"/>
  <c r="E55" i="16"/>
  <c r="Z55" i="16"/>
  <c r="W56" i="16"/>
  <c r="U57" i="16"/>
  <c r="P55" i="16"/>
  <c r="H56" i="16"/>
  <c r="X56" i="16"/>
  <c r="P57" i="16"/>
  <c r="O31" i="16"/>
  <c r="I33" i="16"/>
  <c r="Q32" i="16"/>
  <c r="K31" i="16"/>
  <c r="T33" i="16"/>
  <c r="M32" i="16"/>
  <c r="G31" i="16"/>
  <c r="R29" i="16"/>
  <c r="Z28" i="16"/>
  <c r="J28" i="16"/>
  <c r="R27" i="16"/>
  <c r="AA29" i="16"/>
  <c r="E29" i="16"/>
  <c r="H28" i="16"/>
  <c r="K27" i="16"/>
  <c r="O29" i="16"/>
  <c r="Q28" i="16"/>
  <c r="T27" i="16"/>
  <c r="H29" i="16"/>
  <c r="M27" i="16"/>
  <c r="P28" i="16"/>
  <c r="Y28" i="16"/>
  <c r="G27" i="16"/>
  <c r="T28" i="16"/>
  <c r="E28" i="16"/>
  <c r="N29" i="16"/>
  <c r="V28" i="16"/>
  <c r="F28" i="16"/>
  <c r="N27" i="16"/>
  <c r="U29" i="16"/>
  <c r="X28" i="16"/>
  <c r="AA27" i="16"/>
  <c r="E27" i="16"/>
  <c r="I29" i="16"/>
  <c r="L28" i="16"/>
  <c r="O27" i="16"/>
  <c r="U28" i="16"/>
  <c r="I28" i="16"/>
  <c r="S27" i="16"/>
  <c r="O28" i="16"/>
  <c r="AB29" i="16"/>
  <c r="W27" i="16"/>
  <c r="H27" i="16"/>
  <c r="Z29" i="16"/>
  <c r="J29" i="16"/>
  <c r="R28" i="16"/>
  <c r="Z27" i="16"/>
  <c r="J27" i="16"/>
  <c r="P29" i="16"/>
  <c r="S28" i="16"/>
  <c r="U27" i="16"/>
  <c r="Y29" i="16"/>
  <c r="AB28" i="16"/>
  <c r="G28" i="16"/>
  <c r="I27" i="16"/>
  <c r="K28" i="16"/>
  <c r="L27" i="16"/>
  <c r="W29" i="16"/>
  <c r="AB27" i="16"/>
  <c r="Q29" i="16"/>
  <c r="X29" i="16"/>
  <c r="V29" i="16"/>
  <c r="F29" i="16"/>
  <c r="N28" i="16"/>
  <c r="V27" i="16"/>
  <c r="F27" i="16"/>
  <c r="K29" i="16"/>
  <c r="M28" i="16"/>
  <c r="P27" i="16"/>
  <c r="T29" i="16"/>
  <c r="W28" i="16"/>
  <c r="Y27" i="16"/>
  <c r="S29" i="16"/>
  <c r="X27" i="16"/>
  <c r="M29" i="16"/>
  <c r="L29" i="16"/>
  <c r="Q27" i="16"/>
  <c r="G29" i="16"/>
  <c r="AA28" i="16"/>
  <c r="T15" i="16"/>
  <c r="M16" i="16"/>
  <c r="F17" i="16"/>
  <c r="V17" i="16"/>
  <c r="U15" i="16"/>
  <c r="S16" i="16"/>
  <c r="Q17" i="16"/>
  <c r="Q15" i="16"/>
  <c r="O16" i="16"/>
  <c r="M17" i="16"/>
  <c r="V16" i="16"/>
  <c r="H15" i="16"/>
  <c r="X15" i="16"/>
  <c r="Q16" i="16"/>
  <c r="J17" i="16"/>
  <c r="Z17" i="16"/>
  <c r="Z15" i="16"/>
  <c r="X16" i="16"/>
  <c r="W17" i="16"/>
  <c r="V15" i="16"/>
  <c r="T16" i="16"/>
  <c r="M15" i="16"/>
  <c r="I17" i="16"/>
  <c r="L15" i="16"/>
  <c r="AB15" i="16"/>
  <c r="U16" i="16"/>
  <c r="N17" i="16"/>
  <c r="J15" i="16"/>
  <c r="H16" i="16"/>
  <c r="G17" i="16"/>
  <c r="F15" i="16"/>
  <c r="AA15" i="16"/>
  <c r="Z16" i="16"/>
  <c r="W15" i="16"/>
  <c r="R17" i="16"/>
  <c r="K15" i="16"/>
  <c r="S17" i="16"/>
  <c r="W16" i="16"/>
  <c r="AA16" i="16"/>
  <c r="G16" i="16"/>
  <c r="X17" i="16"/>
  <c r="K17" i="16"/>
  <c r="P16" i="16"/>
  <c r="P15" i="16"/>
  <c r="O15" i="16"/>
  <c r="J16" i="16"/>
  <c r="Y17" i="16"/>
  <c r="T17" i="16"/>
  <c r="U17" i="16"/>
  <c r="R16" i="16"/>
  <c r="E17" i="16"/>
  <c r="AA17" i="16"/>
  <c r="O17" i="16"/>
  <c r="I16" i="16"/>
  <c r="N16" i="16"/>
  <c r="H17" i="16"/>
  <c r="E15" i="16"/>
  <c r="G15" i="16"/>
  <c r="I15" i="16"/>
  <c r="AB16" i="16"/>
  <c r="N15" i="16"/>
  <c r="E16" i="16"/>
  <c r="AB17" i="16"/>
  <c r="Y16" i="16"/>
  <c r="L17" i="16"/>
  <c r="K16" i="16"/>
  <c r="Y15" i="16"/>
  <c r="F16" i="16"/>
  <c r="S15" i="16"/>
  <c r="P17" i="16"/>
  <c r="L16" i="16"/>
  <c r="R15" i="16"/>
  <c r="Z33" i="16"/>
  <c r="J33" i="16"/>
  <c r="R32" i="16"/>
  <c r="Z31" i="16"/>
  <c r="J31" i="16"/>
  <c r="M33" i="16"/>
  <c r="P32" i="16"/>
  <c r="S31" i="16"/>
  <c r="W33" i="16"/>
  <c r="Y32" i="16"/>
  <c r="V33" i="16"/>
  <c r="F33" i="16"/>
  <c r="N32" i="16"/>
  <c r="V31" i="16"/>
  <c r="F31" i="16"/>
  <c r="H33" i="16"/>
  <c r="K32" i="16"/>
  <c r="M31" i="16"/>
  <c r="Q33" i="16"/>
  <c r="T32" i="16"/>
  <c r="R33" i="16"/>
  <c r="Z32" i="16"/>
  <c r="J32" i="16"/>
  <c r="R31" i="16"/>
  <c r="X33" i="16"/>
  <c r="AA32" i="16"/>
  <c r="E32" i="16"/>
  <c r="H31" i="16"/>
  <c r="L33" i="16"/>
  <c r="N33" i="16"/>
  <c r="V32" i="16"/>
  <c r="F32" i="16"/>
  <c r="N31" i="16"/>
  <c r="S33" i="16"/>
  <c r="U32" i="16"/>
  <c r="X31" i="16"/>
  <c r="AB33" i="16"/>
  <c r="R49" i="16"/>
  <c r="Z48" i="16"/>
  <c r="J48" i="16"/>
  <c r="R47" i="16"/>
  <c r="X49" i="16"/>
  <c r="AA48" i="16"/>
  <c r="E48" i="16"/>
  <c r="H47" i="16"/>
  <c r="L49" i="16"/>
  <c r="O48" i="16"/>
  <c r="Q47" i="16"/>
  <c r="K49" i="16"/>
  <c r="P47" i="16"/>
  <c r="H48" i="16"/>
  <c r="Q48" i="16"/>
  <c r="T49" i="16"/>
  <c r="Y47" i="16"/>
  <c r="U47" i="16"/>
  <c r="N49" i="16"/>
  <c r="V48" i="16"/>
  <c r="F48" i="16"/>
  <c r="N47" i="16"/>
  <c r="S49" i="16"/>
  <c r="U48" i="16"/>
  <c r="X47" i="16"/>
  <c r="AB49" i="16"/>
  <c r="G49" i="16"/>
  <c r="I48" i="16"/>
  <c r="L47" i="16"/>
  <c r="X48" i="16"/>
  <c r="E47" i="16"/>
  <c r="Y49" i="16"/>
  <c r="G48" i="16"/>
  <c r="I49" i="16"/>
  <c r="O47" i="16"/>
  <c r="K47" i="16"/>
  <c r="Z49" i="16"/>
  <c r="J49" i="16"/>
  <c r="R48" i="16"/>
  <c r="Z47" i="16"/>
  <c r="J47" i="16"/>
  <c r="M49" i="16"/>
  <c r="P48" i="16"/>
  <c r="S47" i="16"/>
  <c r="W49" i="16"/>
  <c r="Y48" i="16"/>
  <c r="AB47" i="16"/>
  <c r="G47" i="16"/>
  <c r="M48" i="16"/>
  <c r="AA49" i="16"/>
  <c r="O49" i="16"/>
  <c r="T47" i="16"/>
  <c r="W48" i="16"/>
  <c r="P49" i="16"/>
  <c r="V49" i="16"/>
  <c r="F49" i="16"/>
  <c r="N48" i="16"/>
  <c r="V47" i="16"/>
  <c r="F47" i="16"/>
  <c r="H49" i="16"/>
  <c r="K48" i="16"/>
  <c r="M47" i="16"/>
  <c r="Q49" i="16"/>
  <c r="T48" i="16"/>
  <c r="W47" i="16"/>
  <c r="U49" i="16"/>
  <c r="AA47" i="16"/>
  <c r="E49" i="16"/>
  <c r="AB48" i="16"/>
  <c r="I47" i="16"/>
  <c r="L48" i="16"/>
  <c r="S48" i="16"/>
  <c r="P44" i="16"/>
  <c r="I44" i="16"/>
  <c r="AB45" i="16"/>
  <c r="O44" i="16"/>
  <c r="S43" i="16"/>
  <c r="M43" i="16"/>
  <c r="H45" i="16"/>
  <c r="T43" i="16"/>
  <c r="Q44" i="16"/>
  <c r="O45" i="16"/>
  <c r="K43" i="16"/>
  <c r="H44" i="16"/>
  <c r="E45" i="16"/>
  <c r="AA45" i="16"/>
  <c r="R43" i="16"/>
  <c r="J44" i="16"/>
  <c r="Z44" i="16"/>
  <c r="R45" i="16"/>
  <c r="I56" i="16"/>
  <c r="AA57" i="16"/>
  <c r="N57" i="16"/>
  <c r="F57" i="16"/>
  <c r="Q56" i="16"/>
  <c r="N55" i="16"/>
  <c r="S56" i="16"/>
  <c r="W57" i="16"/>
  <c r="F56" i="16"/>
  <c r="K57" i="16"/>
  <c r="J55" i="16"/>
  <c r="G56" i="16"/>
  <c r="E57" i="16"/>
  <c r="Z57" i="16"/>
  <c r="T55" i="16"/>
  <c r="L56" i="16"/>
  <c r="AB56" i="16"/>
  <c r="T57" i="16"/>
  <c r="U31" i="16"/>
  <c r="Y31" i="16"/>
  <c r="I31" i="16"/>
  <c r="AB32" i="16"/>
  <c r="H32" i="16"/>
  <c r="E31" i="16"/>
  <c r="X32" i="16"/>
  <c r="L31" i="16"/>
  <c r="I32" i="16"/>
  <c r="E12" i="16"/>
  <c r="E13" i="16"/>
  <c r="F11" i="16"/>
  <c r="E11" i="16"/>
  <c r="F13" i="16"/>
  <c r="F12" i="16"/>
  <c r="N21" i="16"/>
  <c r="V20" i="16"/>
  <c r="F20" i="16"/>
  <c r="N19" i="16"/>
  <c r="U21" i="16"/>
  <c r="X20" i="16"/>
  <c r="AA19" i="16"/>
  <c r="E19" i="16"/>
  <c r="I21" i="16"/>
  <c r="L20" i="16"/>
  <c r="O19" i="16"/>
  <c r="AA20" i="16"/>
  <c r="H19" i="16"/>
  <c r="G19" i="16"/>
  <c r="AB21" i="16"/>
  <c r="I20" i="16"/>
  <c r="O20" i="16"/>
  <c r="M19" i="16"/>
  <c r="Z21" i="16"/>
  <c r="J21" i="16"/>
  <c r="R20" i="16"/>
  <c r="Z19" i="16"/>
  <c r="J19" i="16"/>
  <c r="P21" i="16"/>
  <c r="S20" i="16"/>
  <c r="U19" i="16"/>
  <c r="Y21" i="16"/>
  <c r="AB20" i="16"/>
  <c r="G20" i="16"/>
  <c r="I19" i="16"/>
  <c r="P20" i="16"/>
  <c r="W21" i="16"/>
  <c r="S21" i="16"/>
  <c r="Q21" i="16"/>
  <c r="W19" i="16"/>
  <c r="Q19" i="16"/>
  <c r="V21" i="16"/>
  <c r="F21" i="16"/>
  <c r="N20" i="16"/>
  <c r="V19" i="16"/>
  <c r="F19" i="16"/>
  <c r="K21" i="16"/>
  <c r="M20" i="16"/>
  <c r="P19" i="16"/>
  <c r="T21" i="16"/>
  <c r="W20" i="16"/>
  <c r="Y19" i="16"/>
  <c r="X21" i="16"/>
  <c r="E20" i="16"/>
  <c r="Y20" i="16"/>
  <c r="U20" i="16"/>
  <c r="G21" i="16"/>
  <c r="L19" i="16"/>
  <c r="H21" i="16"/>
  <c r="Z20" i="16"/>
  <c r="E21" i="16"/>
  <c r="Q20" i="16"/>
  <c r="AB19" i="16"/>
  <c r="K20" i="16"/>
  <c r="J20" i="16"/>
  <c r="H20" i="16"/>
  <c r="T19" i="16"/>
  <c r="X19" i="16"/>
  <c r="R19" i="16"/>
  <c r="K19" i="16"/>
  <c r="M21" i="16"/>
  <c r="T20" i="16"/>
  <c r="R21" i="16"/>
  <c r="AA21" i="16"/>
  <c r="O21" i="16"/>
  <c r="S19" i="16"/>
  <c r="L21" i="16"/>
  <c r="R37" i="16"/>
  <c r="Z36" i="16"/>
  <c r="J36" i="16"/>
  <c r="R35" i="16"/>
  <c r="AA37" i="16"/>
  <c r="E37" i="16"/>
  <c r="H36" i="16"/>
  <c r="K35" i="16"/>
  <c r="O37" i="16"/>
  <c r="Q36" i="16"/>
  <c r="T35" i="16"/>
  <c r="M37" i="16"/>
  <c r="S35" i="16"/>
  <c r="K36" i="16"/>
  <c r="G37" i="16"/>
  <c r="L35" i="16"/>
  <c r="O36" i="16"/>
  <c r="U36" i="16"/>
  <c r="N37" i="16"/>
  <c r="V36" i="16"/>
  <c r="F36" i="16"/>
  <c r="N35" i="16"/>
  <c r="U37" i="16"/>
  <c r="X36" i="16"/>
  <c r="AA35" i="16"/>
  <c r="E35" i="16"/>
  <c r="I37" i="16"/>
  <c r="L36" i="16"/>
  <c r="O35" i="16"/>
  <c r="AA36" i="16"/>
  <c r="H35" i="16"/>
  <c r="M35" i="16"/>
  <c r="T36" i="16"/>
  <c r="W37" i="16"/>
  <c r="AB35" i="16"/>
  <c r="X35" i="16"/>
  <c r="Z37" i="16"/>
  <c r="J37" i="16"/>
  <c r="R36" i="16"/>
  <c r="Z35" i="16"/>
  <c r="J35" i="16"/>
  <c r="P37" i="16"/>
  <c r="S36" i="16"/>
  <c r="U35" i="16"/>
  <c r="Y37" i="16"/>
  <c r="AB36" i="16"/>
  <c r="G36" i="16"/>
  <c r="I35" i="16"/>
  <c r="P36" i="16"/>
  <c r="S37" i="16"/>
  <c r="AB37" i="16"/>
  <c r="I36" i="16"/>
  <c r="L37" i="16"/>
  <c r="Q35" i="16"/>
  <c r="V37" i="16"/>
  <c r="F37" i="16"/>
  <c r="N36" i="16"/>
  <c r="V35" i="16"/>
  <c r="F35" i="16"/>
  <c r="K37" i="16"/>
  <c r="M36" i="16"/>
  <c r="P35" i="16"/>
  <c r="T37" i="16"/>
  <c r="W36" i="16"/>
  <c r="Y35" i="16"/>
  <c r="X37" i="16"/>
  <c r="E36" i="16"/>
  <c r="H37" i="16"/>
  <c r="Q37" i="16"/>
  <c r="W35" i="16"/>
  <c r="Y36" i="16"/>
  <c r="G35" i="16"/>
  <c r="X53" i="16"/>
  <c r="H53" i="16"/>
  <c r="M53" i="16"/>
  <c r="R52" i="16"/>
  <c r="Z51" i="16"/>
  <c r="J51" i="16"/>
  <c r="K53" i="16"/>
  <c r="J53" i="16"/>
  <c r="S52" i="16"/>
  <c r="U51" i="16"/>
  <c r="U53" i="16"/>
  <c r="L52" i="16"/>
  <c r="O51" i="16"/>
  <c r="E52" i="16"/>
  <c r="U52" i="16"/>
  <c r="I52" i="16"/>
  <c r="Y52" i="16"/>
  <c r="G51" i="16"/>
  <c r="T53" i="16"/>
  <c r="AB52" i="16"/>
  <c r="G53" i="16"/>
  <c r="N52" i="16"/>
  <c r="V51" i="16"/>
  <c r="F51" i="16"/>
  <c r="E53" i="16"/>
  <c r="V53" i="16"/>
  <c r="M52" i="16"/>
  <c r="P51" i="16"/>
  <c r="F53" i="16"/>
  <c r="G52" i="16"/>
  <c r="I51" i="16"/>
  <c r="S51" i="16"/>
  <c r="X51" i="16"/>
  <c r="W51" i="16"/>
  <c r="O52" i="16"/>
  <c r="K52" i="16"/>
  <c r="P53" i="16"/>
  <c r="W53" i="16"/>
  <c r="Z52" i="16"/>
  <c r="J52" i="16"/>
  <c r="R51" i="16"/>
  <c r="Z53" i="16"/>
  <c r="Y53" i="16"/>
  <c r="I53" i="16"/>
  <c r="H52" i="16"/>
  <c r="K51" i="16"/>
  <c r="W52" i="16"/>
  <c r="Y51" i="16"/>
  <c r="AA52" i="16"/>
  <c r="H51" i="16"/>
  <c r="N53" i="16"/>
  <c r="L51" i="16"/>
  <c r="AB51" i="16"/>
  <c r="M51" i="16"/>
  <c r="L53" i="16"/>
  <c r="N51" i="16"/>
  <c r="AA51" i="16"/>
  <c r="P52" i="16"/>
  <c r="Q51" i="16"/>
  <c r="R53" i="16"/>
  <c r="S53" i="16"/>
  <c r="E51" i="16"/>
  <c r="O53" i="16"/>
  <c r="V52" i="16"/>
  <c r="Q53" i="16"/>
  <c r="Q52" i="16"/>
  <c r="T52" i="16"/>
  <c r="AB53" i="16"/>
  <c r="F52" i="16"/>
  <c r="X52" i="16"/>
  <c r="T51" i="16"/>
  <c r="AA53" i="16"/>
  <c r="M45" i="16"/>
  <c r="T44" i="16"/>
  <c r="G43" i="16"/>
  <c r="Y44" i="16"/>
  <c r="E44" i="16"/>
  <c r="X43" i="16"/>
  <c r="S45" i="16"/>
  <c r="Y43" i="16"/>
  <c r="W44" i="16"/>
  <c r="T45" i="16"/>
  <c r="P43" i="16"/>
  <c r="M44" i="16"/>
  <c r="K45" i="16"/>
  <c r="F43" i="16"/>
  <c r="V43" i="16"/>
  <c r="N44" i="16"/>
  <c r="F45" i="16"/>
  <c r="V45" i="16"/>
  <c r="M57" i="16"/>
  <c r="S55" i="16"/>
  <c r="K55" i="16"/>
  <c r="S57" i="16"/>
  <c r="G57" i="16"/>
  <c r="V55" i="16"/>
  <c r="Z56" i="16"/>
  <c r="I55" i="16"/>
  <c r="N56" i="16"/>
  <c r="R57" i="16"/>
  <c r="O55" i="16"/>
  <c r="M56" i="16"/>
  <c r="J57" i="16"/>
  <c r="H55" i="16"/>
  <c r="X55" i="16"/>
  <c r="P56" i="16"/>
  <c r="H57" i="16"/>
  <c r="X57" i="16"/>
  <c r="E33" i="16"/>
  <c r="L32" i="16"/>
  <c r="T31" i="16"/>
  <c r="O33" i="16"/>
  <c r="S32" i="16"/>
  <c r="P31" i="16"/>
  <c r="K33" i="16"/>
  <c r="Q31" i="16"/>
  <c r="O32" i="16"/>
  <c r="Z25" i="16"/>
  <c r="N24" i="16"/>
  <c r="K24" i="16"/>
  <c r="W23" i="16"/>
  <c r="P23" i="16"/>
  <c r="R25" i="16"/>
  <c r="X25" i="16"/>
  <c r="L25" i="16"/>
  <c r="U23" i="16"/>
  <c r="G24" i="16"/>
  <c r="F24" i="16"/>
  <c r="X23" i="16"/>
  <c r="L23" i="16"/>
  <c r="I25" i="16"/>
  <c r="J25" i="16"/>
  <c r="K25" i="16"/>
  <c r="M24" i="16"/>
  <c r="W24" i="16"/>
  <c r="Y25" i="16"/>
  <c r="V23" i="16"/>
  <c r="M23" i="16"/>
  <c r="AA25" i="16"/>
  <c r="L24" i="16"/>
  <c r="Z24" i="16"/>
  <c r="AA24" i="16"/>
  <c r="O24" i="16"/>
  <c r="T23" i="16"/>
  <c r="AA23" i="16"/>
  <c r="N23" i="16"/>
  <c r="AB25" i="16"/>
  <c r="E25" i="16"/>
  <c r="O23" i="16"/>
  <c r="M25" i="16"/>
  <c r="R24" i="16"/>
  <c r="Z23" i="16"/>
  <c r="J23" i="16"/>
  <c r="V25" i="16"/>
  <c r="F23" i="16"/>
  <c r="Q25" i="16"/>
  <c r="H24" i="16"/>
  <c r="AB24" i="16"/>
  <c r="J24" i="16"/>
  <c r="E24" i="16"/>
  <c r="Q23" i="16"/>
  <c r="T25" i="16"/>
  <c r="N25" i="16"/>
  <c r="S25" i="16"/>
  <c r="G25" i="16"/>
  <c r="K23" i="16"/>
  <c r="I23" i="16"/>
  <c r="Y24" i="16"/>
  <c r="P24" i="16"/>
  <c r="S23" i="16"/>
  <c r="W25" i="16"/>
  <c r="F25" i="16"/>
  <c r="H25" i="16"/>
  <c r="T24" i="16"/>
  <c r="Q24" i="16"/>
  <c r="X24" i="16"/>
  <c r="R23" i="16"/>
  <c r="H23" i="16"/>
  <c r="P25" i="16"/>
  <c r="Y23" i="16"/>
  <c r="V24" i="16"/>
  <c r="U24" i="16"/>
  <c r="I24" i="16"/>
  <c r="U25" i="16"/>
  <c r="E23" i="16"/>
  <c r="O25" i="16"/>
  <c r="AB23" i="16"/>
  <c r="G23" i="16"/>
  <c r="S24" i="16"/>
  <c r="Z41" i="16"/>
  <c r="J41" i="16"/>
  <c r="R40" i="16"/>
  <c r="Z39" i="16"/>
  <c r="J39" i="16"/>
  <c r="M41" i="16"/>
  <c r="P40" i="16"/>
  <c r="S39" i="16"/>
  <c r="W41" i="16"/>
  <c r="Y40" i="16"/>
  <c r="AB39" i="16"/>
  <c r="G39" i="16"/>
  <c r="S40" i="16"/>
  <c r="U41" i="16"/>
  <c r="I41" i="16"/>
  <c r="O39" i="16"/>
  <c r="Q40" i="16"/>
  <c r="K41" i="16"/>
  <c r="V41" i="16"/>
  <c r="F41" i="16"/>
  <c r="N40" i="16"/>
  <c r="V39" i="16"/>
  <c r="F39" i="16"/>
  <c r="H41" i="16"/>
  <c r="K40" i="16"/>
  <c r="M39" i="16"/>
  <c r="Q41" i="16"/>
  <c r="T40" i="16"/>
  <c r="W39" i="16"/>
  <c r="AA41" i="16"/>
  <c r="H40" i="16"/>
  <c r="M40" i="16"/>
  <c r="W40" i="16"/>
  <c r="Y41" i="16"/>
  <c r="G40" i="16"/>
  <c r="X40" i="16"/>
  <c r="R41" i="16"/>
  <c r="Z40" i="16"/>
  <c r="J40" i="16"/>
  <c r="R39" i="16"/>
  <c r="X41" i="16"/>
  <c r="AA40" i="16"/>
  <c r="E40" i="16"/>
  <c r="H39" i="16"/>
  <c r="L41" i="16"/>
  <c r="O40" i="16"/>
  <c r="Q39" i="16"/>
  <c r="P41" i="16"/>
  <c r="U39" i="16"/>
  <c r="P39" i="16"/>
  <c r="L40" i="16"/>
  <c r="O41" i="16"/>
  <c r="T39" i="16"/>
  <c r="AA39" i="16"/>
  <c r="N41" i="16"/>
  <c r="V40" i="16"/>
  <c r="U40" i="16"/>
  <c r="I40" i="16"/>
  <c r="T41" i="16"/>
  <c r="E39" i="16"/>
  <c r="F40" i="16"/>
  <c r="X39" i="16"/>
  <c r="L39" i="16"/>
  <c r="Y39" i="16"/>
  <c r="N39" i="16"/>
  <c r="AB41" i="16"/>
  <c r="E41" i="16"/>
  <c r="AB40" i="16"/>
  <c r="S41" i="16"/>
  <c r="G41" i="16"/>
  <c r="K39" i="16"/>
  <c r="I39" i="16"/>
  <c r="L43" i="16"/>
  <c r="G45" i="16"/>
  <c r="Q43" i="16"/>
  <c r="L45" i="16"/>
  <c r="AA44" i="16"/>
  <c r="K44" i="16"/>
  <c r="I43" i="16"/>
  <c r="G44" i="16"/>
  <c r="AB44" i="16"/>
  <c r="Y45" i="16"/>
  <c r="U43" i="16"/>
  <c r="S44" i="16"/>
  <c r="P45" i="16"/>
  <c r="J43" i="16"/>
  <c r="Z43" i="16"/>
  <c r="R44" i="16"/>
  <c r="J45" i="16"/>
  <c r="R55" i="16"/>
  <c r="F55" i="16"/>
  <c r="Y55" i="16"/>
  <c r="M55" i="16"/>
  <c r="V57" i="16"/>
  <c r="E56" i="16"/>
  <c r="I57" i="16"/>
  <c r="Q55" i="16"/>
  <c r="U56" i="16"/>
  <c r="Y57" i="16"/>
  <c r="U55" i="16"/>
  <c r="R56" i="16"/>
  <c r="O57" i="16"/>
  <c r="L55" i="16"/>
  <c r="AB55" i="16"/>
  <c r="T56" i="16"/>
  <c r="L57" i="16"/>
  <c r="AA33" i="16"/>
  <c r="W32" i="16"/>
  <c r="G32" i="16"/>
  <c r="Y33" i="16"/>
  <c r="P33" i="16"/>
  <c r="AA31" i="16"/>
  <c r="U33" i="16"/>
  <c r="W31" i="16"/>
  <c r="G33" i="16"/>
  <c r="AC16" i="57"/>
  <c r="AC15" i="57"/>
  <c r="AC19" i="57"/>
  <c r="AC22" i="57" s="1"/>
  <c r="AC21" i="57"/>
  <c r="AC20" i="57"/>
  <c r="AC28" i="57"/>
  <c r="AC17" i="57"/>
  <c r="AC27" i="57"/>
  <c r="AC29" i="57"/>
  <c r="AC56" i="57"/>
  <c r="AC58" i="57" s="1"/>
  <c r="AC32" i="55"/>
  <c r="AC34" i="55" s="1"/>
  <c r="AC55" i="17"/>
  <c r="AC58" i="17" s="1"/>
  <c r="AC57" i="17"/>
  <c r="AC51" i="17"/>
  <c r="AC52" i="17"/>
  <c r="AC35" i="57"/>
  <c r="AC16" i="17"/>
  <c r="AC26" i="55"/>
  <c r="AC48" i="17"/>
  <c r="AC18" i="56"/>
  <c r="AC34" i="53"/>
  <c r="AC34" i="56"/>
  <c r="AC48" i="57"/>
  <c r="AC50" i="57" s="1"/>
  <c r="AC56" i="17"/>
  <c r="AC53" i="17"/>
  <c r="AC50" i="53"/>
  <c r="AC18" i="54"/>
  <c r="AC49" i="57"/>
  <c r="AC49" i="17"/>
  <c r="AC50" i="17" s="1"/>
  <c r="AC54" i="53"/>
  <c r="AC34" i="54"/>
  <c r="AC50" i="56"/>
  <c r="AC38" i="55"/>
  <c r="AC26" i="54"/>
  <c r="AC54" i="54"/>
  <c r="AC46" i="56"/>
  <c r="AC29" i="17"/>
  <c r="AC33" i="17"/>
  <c r="AC50" i="55"/>
  <c r="AC14" i="55"/>
  <c r="AC14" i="54"/>
  <c r="AC22" i="53"/>
  <c r="AC20" i="17"/>
  <c r="AC19" i="17"/>
  <c r="AC39" i="17"/>
  <c r="AC14" i="53"/>
  <c r="AC42" i="53"/>
  <c r="AC37" i="57"/>
  <c r="AC19" i="56"/>
  <c r="AC21" i="56"/>
  <c r="AC15" i="17"/>
  <c r="AC17" i="17"/>
  <c r="AC42" i="54"/>
  <c r="AC20" i="56"/>
  <c r="AC26" i="53"/>
  <c r="AC58" i="53"/>
  <c r="AC36" i="57"/>
  <c r="AC14" i="56"/>
  <c r="AC26" i="56"/>
  <c r="AC46" i="55"/>
  <c r="AC22" i="55"/>
  <c r="AC54" i="56"/>
  <c r="AC42" i="55"/>
  <c r="AC58" i="55"/>
  <c r="AC58" i="54"/>
  <c r="AC36" i="17"/>
  <c r="AC35" i="17"/>
  <c r="AC37" i="17"/>
  <c r="AC43" i="17"/>
  <c r="AC44" i="17"/>
  <c r="AC21" i="17"/>
  <c r="AC40" i="17"/>
  <c r="AC46" i="53"/>
  <c r="AC42" i="56"/>
  <c r="AC22" i="54"/>
  <c r="AC18" i="53"/>
  <c r="AC38" i="53"/>
  <c r="AC28" i="17"/>
  <c r="AC27" i="17"/>
  <c r="AC32" i="17"/>
  <c r="AC24" i="17"/>
  <c r="AC25" i="17"/>
  <c r="AC30" i="54"/>
  <c r="AC30" i="56"/>
  <c r="AC18" i="55"/>
  <c r="AC58" i="56"/>
  <c r="AC30" i="55"/>
  <c r="AC38" i="54"/>
  <c r="AC54" i="55"/>
  <c r="AC50" i="54"/>
  <c r="AC45" i="17"/>
  <c r="AC31" i="17"/>
  <c r="AC41" i="17"/>
  <c r="AC23" i="17"/>
  <c r="AC34" i="57"/>
  <c r="AC26" i="57"/>
  <c r="AC42" i="57"/>
  <c r="AC14" i="57"/>
  <c r="AC54" i="57"/>
  <c r="AC46" i="57"/>
  <c r="H11" i="16"/>
  <c r="L11" i="16"/>
  <c r="P11" i="16"/>
  <c r="T11" i="16"/>
  <c r="X11" i="16"/>
  <c r="AB11" i="16"/>
  <c r="I12" i="16"/>
  <c r="M12" i="16"/>
  <c r="Q12" i="16"/>
  <c r="U12" i="16"/>
  <c r="Y12" i="16"/>
  <c r="J13" i="16"/>
  <c r="N13" i="16"/>
  <c r="R13" i="16"/>
  <c r="V13" i="16"/>
  <c r="Z13" i="16"/>
  <c r="I11" i="16"/>
  <c r="M11" i="16"/>
  <c r="Q11" i="16"/>
  <c r="U11" i="16"/>
  <c r="Y11" i="16"/>
  <c r="J12" i="16"/>
  <c r="N12" i="16"/>
  <c r="R12" i="16"/>
  <c r="V12" i="16"/>
  <c r="Z12" i="16"/>
  <c r="G13" i="16"/>
  <c r="K13" i="16"/>
  <c r="O13" i="16"/>
  <c r="S13" i="16"/>
  <c r="W13" i="16"/>
  <c r="AA13" i="16"/>
  <c r="G11" i="16"/>
  <c r="K11" i="16"/>
  <c r="O11" i="16"/>
  <c r="S11" i="16"/>
  <c r="W11" i="16"/>
  <c r="H12" i="16"/>
  <c r="L12" i="16"/>
  <c r="P12" i="16"/>
  <c r="T12" i="16"/>
  <c r="X12" i="16"/>
  <c r="I13" i="16"/>
  <c r="Q13" i="16"/>
  <c r="Y13" i="16"/>
  <c r="J11" i="16"/>
  <c r="N11" i="16"/>
  <c r="R11" i="16"/>
  <c r="V11" i="16"/>
  <c r="Z11" i="16"/>
  <c r="G12" i="16"/>
  <c r="K12" i="16"/>
  <c r="O12" i="16"/>
  <c r="S12" i="16"/>
  <c r="W12" i="16"/>
  <c r="AA12" i="16"/>
  <c r="H13" i="16"/>
  <c r="L13" i="16"/>
  <c r="P13" i="16"/>
  <c r="T13" i="16"/>
  <c r="X13" i="16"/>
  <c r="AB13" i="16"/>
  <c r="AA11" i="16"/>
  <c r="AB12" i="16"/>
  <c r="M13" i="16"/>
  <c r="U13" i="16"/>
  <c r="AC13" i="17"/>
  <c r="AC11" i="17"/>
  <c r="AC12" i="17"/>
  <c r="AC54" i="92" l="1"/>
  <c r="AC58" i="92"/>
  <c r="AC30" i="92"/>
  <c r="AC22" i="92"/>
  <c r="AC30" i="57"/>
  <c r="AC18" i="57"/>
  <c r="AC38" i="57"/>
  <c r="AC54" i="17"/>
  <c r="AC22" i="17"/>
  <c r="AC26" i="17"/>
  <c r="AC46" i="17"/>
  <c r="AC38" i="17"/>
  <c r="AC22" i="56"/>
  <c r="AC42" i="17"/>
  <c r="AC34" i="17"/>
  <c r="AC30" i="17"/>
  <c r="AC18" i="17"/>
  <c r="AC13" i="16"/>
  <c r="AC11" i="16"/>
  <c r="AC12" i="16"/>
  <c r="AC19" i="16"/>
  <c r="AC27" i="16"/>
  <c r="AC21" i="16"/>
  <c r="AC31" i="16"/>
  <c r="AC29" i="16"/>
  <c r="AC20" i="16"/>
  <c r="AC24" i="16"/>
  <c r="AC32" i="16"/>
  <c r="AC28" i="16"/>
  <c r="AC23" i="16"/>
  <c r="AC25" i="16"/>
  <c r="AC33" i="16"/>
  <c r="AC16" i="16"/>
  <c r="AC15" i="16"/>
  <c r="AC17" i="16"/>
  <c r="AC39" i="16"/>
  <c r="AC41" i="16"/>
  <c r="AC40" i="16"/>
  <c r="AC51" i="16"/>
  <c r="AC53" i="16"/>
  <c r="AC43" i="16"/>
  <c r="AC45" i="16"/>
  <c r="AC52" i="16"/>
  <c r="AC44" i="16"/>
  <c r="AC47" i="16"/>
  <c r="AC49" i="16"/>
  <c r="AC48" i="16"/>
  <c r="AC56" i="16"/>
  <c r="AC57" i="16"/>
  <c r="AC55" i="16"/>
  <c r="AC36" i="16"/>
  <c r="AC35" i="16"/>
  <c r="AC37" i="16"/>
  <c r="AC14" i="17"/>
  <c r="AC26" i="16" l="1"/>
  <c r="AC18" i="16"/>
  <c r="AC30" i="16"/>
  <c r="AC14" i="16"/>
  <c r="AC34" i="16"/>
  <c r="AC54" i="16"/>
  <c r="AC22" i="16"/>
  <c r="AC50" i="16"/>
  <c r="AC46" i="16"/>
  <c r="AC42" i="16"/>
  <c r="AC58" i="16"/>
  <c r="AC38" i="16"/>
  <c r="C28" i="43"/>
  <c r="C28" i="21"/>
</calcChain>
</file>

<file path=xl/sharedStrings.xml><?xml version="1.0" encoding="utf-8"?>
<sst xmlns="http://schemas.openxmlformats.org/spreadsheetml/2006/main" count="4576" uniqueCount="293">
  <si>
    <t>ANEXO 3. CUADRO DE CANTIDADES DE ENERGÍA Y PRECIO</t>
  </si>
  <si>
    <t>OFERTA MERCANTIL N°:</t>
  </si>
  <si>
    <t>INVITACIÓN:</t>
  </si>
  <si>
    <t>OFERENTE:</t>
  </si>
  <si>
    <t>OFERTA:</t>
  </si>
  <si>
    <t>FNCER (SI/NO):</t>
  </si>
  <si>
    <t>CANTIDAD EN:</t>
  </si>
  <si>
    <t>KWh</t>
  </si>
  <si>
    <t>PRECIOS $/kWh de:</t>
  </si>
  <si>
    <t>MODALIDAD:</t>
  </si>
  <si>
    <r>
      <t xml:space="preserve">PC </t>
    </r>
    <r>
      <rPr>
        <b/>
        <sz val="8"/>
        <rFont val="Times New Roman"/>
        <family val="1"/>
      </rPr>
      <t>(1)</t>
    </r>
  </si>
  <si>
    <t>ENERGÍA SOLICITADA (KWh)</t>
  </si>
  <si>
    <t>NIVEL DE COBERTURA ESPERADO
 (%)</t>
  </si>
  <si>
    <t>ENERGÍA OFRECIDA (KWh)
(2) (3)</t>
  </si>
  <si>
    <t>PRECIO OFERTADO (COP/KWh)
(4)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</si>
  <si>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</si>
  <si>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</si>
  <si>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</si>
  <si>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</si>
  <si>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</si>
  <si>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</si>
  <si>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</si>
  <si>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</si>
  <si>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</si>
  <si>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</si>
  <si>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</si>
  <si>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</si>
  <si>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</si>
  <si>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NOTAS:</t>
  </si>
  <si>
    <t>OFERENTE E.S.P.</t>
  </si>
  <si>
    <t>AÑO 2024</t>
  </si>
  <si>
    <t>AÑO 2025</t>
  </si>
  <si>
    <t>AÑO 2026</t>
  </si>
  <si>
    <t>AÑO 2027</t>
  </si>
  <si>
    <t>AÑO 2028</t>
  </si>
  <si>
    <t>AÑO 2029</t>
  </si>
  <si>
    <t>AÑO 2030</t>
  </si>
  <si>
    <t>ANEXO 4. CANTIDADES HORARIAS SOLICITADAS</t>
  </si>
  <si>
    <t>AÑO:</t>
  </si>
  <si>
    <t>KWh*</t>
  </si>
  <si>
    <t>L-V</t>
  </si>
  <si>
    <t>SAB</t>
  </si>
  <si>
    <t>CURVA HORARIA:</t>
  </si>
  <si>
    <t>DOM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</si>
  <si>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</si>
  <si>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</si>
  <si>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</si>
  <si>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</si>
  <si>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</si>
  <si>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</si>
  <si>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</si>
  <si>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</si>
  <si>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</si>
  <si>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</si>
  <si>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</si>
  <si>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</si>
  <si>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</si>
  <si>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</si>
  <si>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</si>
  <si>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</si>
  <si>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</si>
  <si>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</si>
  <si>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</si>
  <si>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</si>
  <si>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</si>
  <si>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</si>
  <si>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</si>
  <si>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</si>
  <si>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</si>
  <si>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</si>
  <si>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</si>
  <si>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ORD</t>
  </si>
  <si>
    <t>SÁB</t>
  </si>
  <si>
    <t>FES</t>
  </si>
  <si>
    <t>PC: PAGUE LO CONTRATADO</t>
  </si>
  <si>
    <t>* Las cantidades ofrecidas deben presentarse con dos cifras decimales.</t>
  </si>
  <si>
    <t>OFERENTE S.A. ESP</t>
  </si>
  <si>
    <t>Lunes</t>
  </si>
  <si>
    <t>1-2023</t>
  </si>
  <si>
    <t>Martes</t>
  </si>
  <si>
    <t>Miércoles</t>
  </si>
  <si>
    <t>Jueves</t>
  </si>
  <si>
    <t>2-2023</t>
  </si>
  <si>
    <t>Viernes</t>
  </si>
  <si>
    <t>Sábado</t>
  </si>
  <si>
    <t>Domingo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</si>
  <si>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</si>
  <si>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</si>
  <si>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</si>
  <si>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</si>
  <si>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</si>
  <si>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</si>
  <si>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</si>
  <si>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</si>
  <si>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</si>
  <si>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</si>
  <si>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</si>
  <si>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</si>
  <si>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</si>
  <si>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</si>
  <si>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</si>
  <si>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</si>
  <si>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</si>
  <si>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</si>
  <si>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</si>
  <si>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</si>
  <si>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</si>
  <si>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</si>
  <si>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</si>
  <si>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</si>
  <si>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</si>
  <si>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</si>
  <si>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</si>
  <si>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</si>
  <si>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</si>
  <si>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</si>
  <si>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</si>
  <si>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</si>
  <si>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</si>
  <si>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</si>
  <si>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</si>
  <si>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</si>
  <si>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</si>
  <si>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</si>
  <si>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</si>
  <si>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</si>
  <si>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</si>
  <si>
    <t>8-2026</t>
  </si>
  <si>
    <t>9-2026</t>
  </si>
  <si>
    <t>10-2026</t>
  </si>
  <si>
    <t>11-2026</t>
  </si>
  <si>
    <t>12-2026</t>
  </si>
  <si>
    <t>1-2027</t>
  </si>
  <si>
    <t>2-2027</t>
  </si>
  <si>
    <t>3-2027</t>
  </si>
  <si>
    <t>4-2027</t>
  </si>
  <si>
    <t>5-2027</t>
  </si>
  <si>
    <t>6-2027</t>
  </si>
  <si>
    <t>7-2027</t>
  </si>
  <si>
    <t>8-2027</t>
  </si>
  <si>
    <t>9-2027</t>
  </si>
  <si>
    <t>10-2027</t>
  </si>
  <si>
    <t>11-2027</t>
  </si>
  <si>
    <t>12-2027</t>
  </si>
  <si>
    <t>1-2028</t>
  </si>
  <si>
    <t>2-2028</t>
  </si>
  <si>
    <t>3-2028</t>
  </si>
  <si>
    <t>4-2028</t>
  </si>
  <si>
    <t>5-2028</t>
  </si>
  <si>
    <t>6-2028</t>
  </si>
  <si>
    <t>7-2028</t>
  </si>
  <si>
    <t>8-2028</t>
  </si>
  <si>
    <t>9-2028</t>
  </si>
  <si>
    <t>10-2028</t>
  </si>
  <si>
    <t>11-2028</t>
  </si>
  <si>
    <t>12-2028</t>
  </si>
  <si>
    <t>1-2029</t>
  </si>
  <si>
    <t>2-2029</t>
  </si>
  <si>
    <t>3-2029</t>
  </si>
  <si>
    <t>4-2029</t>
  </si>
  <si>
    <t>5-2029</t>
  </si>
  <si>
    <t>6-2029</t>
  </si>
  <si>
    <t>7-2029</t>
  </si>
  <si>
    <t>8-2029</t>
  </si>
  <si>
    <t>9-2029</t>
  </si>
  <si>
    <t>10-2029</t>
  </si>
  <si>
    <t>11-2029</t>
  </si>
  <si>
    <t>12-2029</t>
  </si>
  <si>
    <t>1-2030</t>
  </si>
  <si>
    <t>2-2030</t>
  </si>
  <si>
    <t>3-2030</t>
  </si>
  <si>
    <t>4-2030</t>
  </si>
  <si>
    <t>5-2030</t>
  </si>
  <si>
    <t>6-2030</t>
  </si>
  <si>
    <t>7-2030</t>
  </si>
  <si>
    <t>8-2030</t>
  </si>
  <si>
    <t>9-2030</t>
  </si>
  <si>
    <t>10-2030</t>
  </si>
  <si>
    <t>11-2030</t>
  </si>
  <si>
    <t>12-2030</t>
  </si>
  <si>
    <t>1-2031</t>
  </si>
  <si>
    <t>2-2031</t>
  </si>
  <si>
    <t>3-2031</t>
  </si>
  <si>
    <t>4-2031</t>
  </si>
  <si>
    <t>5-2031</t>
  </si>
  <si>
    <t>6-2031</t>
  </si>
  <si>
    <t>7-2031</t>
  </si>
  <si>
    <t>8-2031</t>
  </si>
  <si>
    <t>9-2031</t>
  </si>
  <si>
    <t>10-2031</t>
  </si>
  <si>
    <t>11-2031</t>
  </si>
  <si>
    <t>12-2031</t>
  </si>
  <si>
    <t>1-2032</t>
  </si>
  <si>
    <t>2-2032</t>
  </si>
  <si>
    <t>3-2032</t>
  </si>
  <si>
    <t>4-2032</t>
  </si>
  <si>
    <t>5-2032</t>
  </si>
  <si>
    <t>6-2032</t>
  </si>
  <si>
    <t>7-2032</t>
  </si>
  <si>
    <t>8-2032</t>
  </si>
  <si>
    <t>9-2032</t>
  </si>
  <si>
    <t>10-2032</t>
  </si>
  <si>
    <t>11-2032</t>
  </si>
  <si>
    <t>12-2032</t>
  </si>
  <si>
    <t>1-2033</t>
  </si>
  <si>
    <t>2-2033</t>
  </si>
  <si>
    <t>3-2033</t>
  </si>
  <si>
    <t>4-2033</t>
  </si>
  <si>
    <t>5-2033</t>
  </si>
  <si>
    <t>6-2033</t>
  </si>
  <si>
    <t>7-2033</t>
  </si>
  <si>
    <t>8-2033</t>
  </si>
  <si>
    <t>9-2033</t>
  </si>
  <si>
    <t>10-2033</t>
  </si>
  <si>
    <t>11-2033</t>
  </si>
  <si>
    <t>12-2033</t>
  </si>
  <si>
    <t>1-2034</t>
  </si>
  <si>
    <t>2-2034</t>
  </si>
  <si>
    <t>3-2034</t>
  </si>
  <si>
    <t>4-2034</t>
  </si>
  <si>
    <t>5-2034</t>
  </si>
  <si>
    <t>6-2034</t>
  </si>
  <si>
    <t>7-2034</t>
  </si>
  <si>
    <t>8-2034</t>
  </si>
  <si>
    <t>9-2034</t>
  </si>
  <si>
    <t>10-2034</t>
  </si>
  <si>
    <t>11-2034</t>
  </si>
  <si>
    <t>12-2034</t>
  </si>
  <si>
    <t>1-2035</t>
  </si>
  <si>
    <t>2-2035</t>
  </si>
  <si>
    <t>3-2035</t>
  </si>
  <si>
    <t>Plana</t>
  </si>
  <si>
    <t>3-2036</t>
  </si>
  <si>
    <t>3-2037</t>
  </si>
  <si>
    <t>3-2038</t>
  </si>
  <si>
    <t>4-2035</t>
  </si>
  <si>
    <t>5-2035</t>
  </si>
  <si>
    <t>6-2035</t>
  </si>
  <si>
    <t>7-2035</t>
  </si>
  <si>
    <t>8-2035</t>
  </si>
  <si>
    <t>9-2035</t>
  </si>
  <si>
    <t>10-2035</t>
  </si>
  <si>
    <t>11-2035</t>
  </si>
  <si>
    <t>12-2035</t>
  </si>
  <si>
    <t>1-2036</t>
  </si>
  <si>
    <t>2-2036</t>
  </si>
  <si>
    <t>4-2036</t>
  </si>
  <si>
    <t>5-2036</t>
  </si>
  <si>
    <t>6-2036</t>
  </si>
  <si>
    <t>7-2036</t>
  </si>
  <si>
    <t>8-2036</t>
  </si>
  <si>
    <t>9-2036</t>
  </si>
  <si>
    <t>10-2036</t>
  </si>
  <si>
    <t>11-2036</t>
  </si>
  <si>
    <t>12-2036</t>
  </si>
  <si>
    <t>1-2037</t>
  </si>
  <si>
    <t>2-2037</t>
  </si>
  <si>
    <t>4-2037</t>
  </si>
  <si>
    <t>5-2037</t>
  </si>
  <si>
    <t>6-2037</t>
  </si>
  <si>
    <t>7-2037</t>
  </si>
  <si>
    <t>8-2037</t>
  </si>
  <si>
    <t>9-2037</t>
  </si>
  <si>
    <t>10-2037</t>
  </si>
  <si>
    <t>11-2037</t>
  </si>
  <si>
    <t>12-2037</t>
  </si>
  <si>
    <t>1-2038</t>
  </si>
  <si>
    <t>2-2038</t>
  </si>
  <si>
    <t>4-2038</t>
  </si>
  <si>
    <t>5-2038</t>
  </si>
  <si>
    <t>6-2038</t>
  </si>
  <si>
    <t>7-2038</t>
  </si>
  <si>
    <t>8-2038</t>
  </si>
  <si>
    <t>9-2038</t>
  </si>
  <si>
    <t>10-2038</t>
  </si>
  <si>
    <t>11-2038</t>
  </si>
  <si>
    <t>12-2038</t>
  </si>
  <si>
    <t>1-2039</t>
  </si>
  <si>
    <t>2-2039</t>
  </si>
  <si>
    <t>_PC: Pague lo contratado</t>
  </si>
  <si>
    <t>_La energía ofrecida se despachará de acuerdo con las curvas descritas los terminos de referencia.</t>
  </si>
  <si>
    <t>_Ingresar con dos cifras decimales la energía ofrecida hasta las cantidades solicitadas.</t>
  </si>
  <si>
    <t>_Ingresar un precio monomio fijo en COP/KWh con dos cifras decimales.</t>
  </si>
  <si>
    <t>_No serán tenidas en cuenta ofertas con condiciones y/o modificaciones adicionales a los Pliegos definitivos.</t>
  </si>
  <si>
    <t>CP-EXEC2024-002-PROD01</t>
  </si>
  <si>
    <t>AÑO 2031</t>
  </si>
  <si>
    <t>AÑO 2032</t>
  </si>
  <si>
    <t>AÑO 2033</t>
  </si>
  <si>
    <t>AÑO 2034</t>
  </si>
  <si>
    <t>AÑO 2035</t>
  </si>
  <si>
    <t>AÑO 2036</t>
  </si>
  <si>
    <t>noviembre de 2024</t>
  </si>
  <si>
    <t>CP-EXEC2025-001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</si>
</sst>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  <numFmt numFmtId="173" formatCode="0.0000%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46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164" fontId="23" fillId="2" borderId="0" xfId="4" applyFont="1" applyFill="1" applyBorder="1" applyAlignment="1" applyProtection="1">
      <alignment horizontal="center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7" fillId="2" borderId="0" xfId="7" applyFont="1" applyFill="1"/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0" xfId="7" applyNumberFormat="1" applyFont="1" applyFill="1" applyBorder="1"/>
    <xf numFmtId="0" fontId="5" fillId="2" borderId="20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0" fontId="14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6" xfId="6" applyFont="1" applyFill="1" applyBorder="1" applyAlignment="1">
      <alignment horizontal="center" vertical="center" wrapText="1"/>
    </xf>
    <xf numFmtId="0" fontId="13" fillId="2" borderId="27" xfId="6" applyFont="1" applyFill="1" applyBorder="1" applyAlignment="1">
      <alignment horizontal="center" vertical="center" wrapText="1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167" fontId="31" fillId="2" borderId="0" xfId="6" applyNumberFormat="1" applyFont="1" applyFill="1" applyAlignment="1">
      <alignment horizontal="left" vertical="center"/>
    </xf>
    <xf numFmtId="171" fontId="32" fillId="4" borderId="3" xfId="1" applyNumberFormat="1" applyFont="1" applyFill="1" applyBorder="1" applyProtection="1"/>
    <xf numFmtId="172" fontId="33" fillId="4" borderId="3" xfId="4" applyNumberFormat="1" applyFont="1" applyFill="1" applyBorder="1" applyProtection="1"/>
    <xf numFmtId="169" fontId="29" fillId="2" borderId="0" xfId="8" applyNumberFormat="1" applyFont="1" applyFill="1" applyBorder="1" applyProtection="1"/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64" fontId="15" fillId="2" borderId="29" xfId="3" applyFont="1" applyFill="1" applyBorder="1" applyAlignment="1" applyProtection="1">
      <alignment vertical="center"/>
    </xf>
    <xf numFmtId="164" fontId="15" fillId="2" borderId="30" xfId="3" applyFont="1" applyFill="1" applyBorder="1" applyAlignment="1" applyProtection="1">
      <alignment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28" xfId="3" applyFont="1" applyFill="1" applyBorder="1" applyAlignment="1" applyProtection="1">
      <alignment vertic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16" fillId="2" borderId="36" xfId="3" applyFont="1" applyFill="1" applyBorder="1" applyAlignment="1" applyProtection="1">
      <alignment vertical="center"/>
    </xf>
    <xf numFmtId="164" fontId="16" fillId="2" borderId="37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5" fillId="2" borderId="39" xfId="3" applyFont="1" applyFill="1" applyBorder="1" applyAlignment="1" applyProtection="1">
      <alignment vertical="center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6" fillId="2" borderId="41" xfId="3" applyFont="1" applyFill="1" applyBorder="1" applyAlignment="1" applyProtection="1">
      <alignment vertical="center"/>
    </xf>
    <xf numFmtId="164" fontId="16" fillId="2" borderId="42" xfId="3" applyFont="1" applyFill="1" applyBorder="1" applyAlignment="1" applyProtection="1">
      <alignment vertical="center"/>
    </xf>
    <xf numFmtId="0" fontId="34" fillId="2" borderId="0" xfId="7" applyFont="1" applyFill="1" applyAlignment="1">
      <alignment vertical="center"/>
    </xf>
    <xf numFmtId="0" fontId="2" fillId="2" borderId="0" xfId="7" applyFont="1" applyFill="1" applyAlignment="1">
      <alignment vertical="center"/>
    </xf>
    <xf numFmtId="166" fontId="2" fillId="2" borderId="0" xfId="7" applyNumberFormat="1" applyFont="1" applyFill="1" applyAlignment="1">
      <alignment vertical="center"/>
    </xf>
    <xf numFmtId="0" fontId="2" fillId="2" borderId="0" xfId="7" applyFont="1" applyFill="1" applyAlignment="1">
      <alignment vertical="center" wrapText="1"/>
    </xf>
    <xf numFmtId="0" fontId="2" fillId="2" borderId="19" xfId="7" applyFont="1" applyFill="1" applyBorder="1" applyAlignment="1" applyProtection="1">
      <alignment vertical="center"/>
      <protection locked="0"/>
    </xf>
    <xf numFmtId="169" fontId="2" fillId="2" borderId="0" xfId="8" applyNumberFormat="1" applyFont="1" applyFill="1" applyBorder="1" applyAlignment="1" applyProtection="1">
      <alignment horizontal="center" vertical="center"/>
    </xf>
    <xf numFmtId="169" fontId="2" fillId="2" borderId="0" xfId="8" applyNumberFormat="1" applyFont="1" applyFill="1" applyAlignment="1" applyProtection="1">
      <alignment horizontal="center" vertical="center"/>
    </xf>
    <xf numFmtId="169" fontId="35" fillId="2" borderId="19" xfId="8" applyNumberFormat="1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vertical="center"/>
    </xf>
    <xf numFmtId="9" fontId="2" fillId="2" borderId="0" xfId="8" applyFont="1" applyFill="1" applyAlignment="1">
      <alignment vertical="center"/>
    </xf>
    <xf numFmtId="9" fontId="6" fillId="2" borderId="0" xfId="8" applyFont="1" applyFill="1" applyAlignment="1">
      <alignment vertical="center"/>
    </xf>
    <xf numFmtId="17" fontId="0" fillId="0" borderId="0" xfId="0" applyNumberFormat="1"/>
    <xf numFmtId="169" fontId="36" fillId="2" borderId="19" xfId="8" applyNumberFormat="1" applyFont="1" applyFill="1" applyBorder="1" applyAlignment="1">
      <alignment horizontal="center" vertical="center"/>
    </xf>
    <xf numFmtId="169" fontId="36" fillId="2" borderId="0" xfId="8" applyNumberFormat="1" applyFont="1" applyFill="1" applyBorder="1" applyAlignment="1" applyProtection="1">
      <alignment horizontal="center" vertical="center"/>
    </xf>
    <xf numFmtId="169" fontId="36" fillId="2" borderId="0" xfId="8" applyNumberFormat="1" applyFont="1" applyFill="1" applyAlignment="1" applyProtection="1">
      <alignment horizontal="center" vertical="center"/>
    </xf>
    <xf numFmtId="171" fontId="37" fillId="4" borderId="3" xfId="1" applyNumberFormat="1" applyFont="1" applyFill="1" applyBorder="1" applyProtection="1"/>
    <xf numFmtId="165" fontId="5" fillId="2" borderId="0" xfId="1" applyFont="1" applyFill="1"/>
    <xf numFmtId="169" fontId="2" fillId="2" borderId="0" xfId="8" applyNumberFormat="1" applyFont="1" applyFill="1" applyAlignment="1">
      <alignment vertical="center"/>
    </xf>
    <xf numFmtId="9" fontId="2" fillId="2" borderId="0" xfId="7" applyNumberFormat="1" applyFont="1" applyFill="1" applyAlignment="1">
      <alignment vertical="center"/>
    </xf>
    <xf numFmtId="173" fontId="2" fillId="2" borderId="0" xfId="7" applyNumberFormat="1" applyFont="1" applyFill="1" applyAlignment="1">
      <alignment vertical="center"/>
    </xf>
    <xf numFmtId="0" fontId="24" fillId="5" borderId="3" xfId="6" applyFont="1" applyFill="1" applyBorder="1" applyAlignment="1">
      <alignment horizontal="center" vertical="center"/>
    </xf>
    <xf numFmtId="171" fontId="5" fillId="2" borderId="0" xfId="7" applyNumberFormat="1" applyFill="1"/>
    <xf numFmtId="10" fontId="0" fillId="6" borderId="0" xfId="0" applyNumberFormat="1" applyFill="1" applyAlignment="1">
      <alignment horizontal="center"/>
    </xf>
    <xf numFmtId="171" fontId="20" fillId="4" borderId="3" xfId="1" applyNumberFormat="1" applyFont="1" applyFill="1" applyBorder="1" applyProtection="1"/>
    <xf numFmtId="169" fontId="20" fillId="4" borderId="3" xfId="8" applyNumberFormat="1" applyFont="1" applyFill="1" applyBorder="1" applyAlignment="1" applyProtection="1">
      <alignment horizontal="center"/>
    </xf>
    <xf numFmtId="4" fontId="28" fillId="4" borderId="1" xfId="7" applyNumberFormat="1" applyFont="1" applyFill="1" applyBorder="1" applyAlignment="1" applyProtection="1">
      <alignment horizontal="center" vertical="center" wrapText="1"/>
      <protection locked="0"/>
    </xf>
    <xf numFmtId="172" fontId="15" fillId="2" borderId="31" xfId="3" applyNumberFormat="1" applyFont="1" applyFill="1" applyBorder="1" applyAlignment="1" applyProtection="1">
      <alignment vertical="center"/>
    </xf>
    <xf numFmtId="4" fontId="5" fillId="2" borderId="1" xfId="7" applyNumberFormat="1" applyFill="1" applyBorder="1" applyAlignment="1" applyProtection="1">
      <alignment horizontal="center" vertical="center" wrapText="1"/>
      <protection locked="0"/>
    </xf>
    <xf numFmtId="172" fontId="29" fillId="4" borderId="3" xfId="4" applyNumberFormat="1" applyFont="1" applyFill="1" applyBorder="1" applyProtection="1"/>
    <xf numFmtId="0" fontId="5" fillId="2" borderId="0" xfId="7" applyFill="1" applyAlignment="1">
      <alignment horizontal="left" wrapText="1"/>
    </xf>
    <xf numFmtId="0" fontId="18" fillId="2" borderId="0" xfId="7" applyFont="1" applyFill="1" applyAlignment="1">
      <alignment horizontal="left" vertical="top" wrapText="1"/>
    </xf>
    <xf numFmtId="0" fontId="22" fillId="2" borderId="22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2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1" fillId="2" borderId="22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0" fontId="5" fillId="0" borderId="0" xfId="7" applyAlignment="1">
      <alignment horizontal="left" vertical="center" wrapText="1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0" fontId="4" fillId="0" borderId="21" xfId="1" applyNumberFormat="1" applyFont="1" applyFill="1" applyBorder="1" applyAlignment="1" applyProtection="1">
      <alignment horizontal="center" vertical="center"/>
    </xf>
    <xf numFmtId="170" fontId="2" fillId="0" borderId="25" xfId="1" applyNumberFormat="1" applyFont="1" applyFill="1" applyBorder="1" applyAlignment="1" applyProtection="1">
      <alignment horizontal="center" vertical="center"/>
    </xf>
    <xf numFmtId="170" fontId="4" fillId="0" borderId="35" xfId="1" applyNumberFormat="1" applyFont="1" applyFill="1" applyBorder="1" applyAlignment="1" applyProtection="1">
      <alignment horizontal="center" vertical="center"/>
    </xf>
    <xf numFmtId="170" fontId="4" fillId="0" borderId="25" xfId="1" applyNumberFormat="1" applyFont="1" applyFill="1" applyBorder="1" applyAlignment="1" applyProtection="1">
      <alignment horizontal="center" vertical="center"/>
    </xf>
    <xf numFmtId="1" fontId="9" fillId="2" borderId="0" xfId="3" applyNumberFormat="1" applyFont="1" applyFill="1" applyBorder="1" applyAlignment="1" applyProtection="1">
      <alignment horizontal="left" vertical="center"/>
    </xf>
    <xf numFmtId="168" fontId="13" fillId="2" borderId="0" xfId="6" applyNumberFormat="1" applyFont="1" applyFill="1" applyAlignment="1">
      <alignment horizontal="center" vertical="center"/>
    </xf>
    <xf numFmtId="0" fontId="38" fillId="0" borderId="0" xfId="7" applyFont="1" applyAlignment="1">
      <alignment horizontal="left" vertical="center" wrapText="1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86B528-661A-4464-8E2F-CA385442211F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A8ACAC-2504-44B0-A276-E996FA29E836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F6DDE35-52EC-4BCE-AF34-7DF1344A3002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A5AB13A-B845-4043-A5E4-096E56AA4D86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90CD68-DB22-4C0A-938A-F4F6D1E22F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98B3BD-A304-47EA-B18E-6B6235DD2B5D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39E670D-5944-4598-9279-67D474F496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12E1FA7-575D-4B0E-AF36-89B480BA64B3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EAE162-FFB1-46EC-AF69-B2847B677ED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D88293F-9D3D-4A65-9B8E-3EC071F39E4A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57B1213-CED2-4EF5-8FA6-CFA18B4667CE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94810E9-C0D9-4C59-B60B-9660BF3BCD69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4ABAA9E-0DFC-445A-8EE2-0F23A35BDAB2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461EBC-9B2C-48F1-B4CF-294CA27D5F7F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90AFC03-2615-4B2F-A8A6-56B787617A2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06E6092-713D-4A43-B58E-2BF102285D45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67E9B28-4624-4902-84BB-C4E493F0780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D09FDFC-04F2-4982-B572-1FDA6D2182BA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1B5BEAFB-2858-41EC-A255-F6FC966EF2AB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0213CD3-3D04-422A-8CDF-56E5DB3693D5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3053B43-9721-486B-B8A8-74AE22EAB477}"/>
            </a:ext>
          </a:extLst>
        </xdr:cNvPr>
        <xdr:cNvSpPr txBox="1">
          <a:spLocks noChangeArrowheads="1"/>
        </xdr:cNvSpPr>
      </xdr:nvSpPr>
      <xdr:spPr bwMode="auto">
        <a:xfrm>
          <a:off x="841375" y="3524250"/>
          <a:ext cx="85725" cy="184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F6603FC-A803-4159-8516-151C59AA2EEF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025A758-06D6-4366-B5F9-D70504E2AED1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7753BD-F9DD-4334-912B-202CA2DE1069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BE66CA7-C9EB-4AE1-BDAC-9E48AB391EE8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C844841-E8AE-4C97-B7E5-6FD8B175D87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77BE105-7191-4870-A93A-5DB9B8E97CE2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1115630-6C55-449C-826A-43212D989BAF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B9FDA5B-5368-46B6-B208-F66818A9A123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28A8F1E8-87EA-4BD6-8325-B865F4C444F8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B0DCDB6-44A2-423C-BA60-5C905990A543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AE0E902-75BA-4373-821A-1D1E6A040FF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A8992B8B-86DF-41E5-939A-27E2C472801B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431CEC8-E325-4D4E-BCAF-CD8D30A8991A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706A08E-FD93-4B0C-A11E-CF40945D490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AAC53CDB-6C2F-494E-A2C7-B1FBD8819376}"/>
            </a:ext>
          </a:extLst>
        </xdr:cNvPr>
        <xdr:cNvSpPr txBox="1">
          <a:spLocks noChangeArrowheads="1"/>
        </xdr:cNvSpPr>
      </xdr:nvSpPr>
      <xdr:spPr bwMode="auto">
        <a:xfrm>
          <a:off x="835025" y="3543300"/>
          <a:ext cx="889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5C8525E-321E-4246-B64D-C7AE27659148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75F372A-B1E3-44B3-9EA6-EA0E6C1FEE49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0E2B5A2-A3AE-45A4-8C15-3E3B97F134C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D39096F-6029-4E71-8DD1-FA9E1DF9243B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55F6-DFEA-4A36-9EBE-B45E4DA5E8C0}">
  <sheetPr>
    <tabColor rgb="FF00B050"/>
    <pageSetUpPr fitToPage="1"/>
  </sheetPr>
  <dimension ref="A1:H42"/>
  <sheetViews>
    <sheetView showGridLines="0" topLeftCell="A9" zoomScale="115" zoomScaleNormal="115" zoomScaleSheetLayoutView="100" workbookViewId="0">
      <selection activeCell="B2" sqref="B2:H4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">
        <v>292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/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">
        <v>291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30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/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/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">
        <v>279</v>
      </c>
      <c r="C31" s="44"/>
      <c r="D31" s="45"/>
      <c r="E31" s="44"/>
      <c r="F31" s="44"/>
      <c r="G31" s="44"/>
      <c r="H31" s="44"/>
    </row>
    <row r="32" spans="1:8" x14ac:dyDescent="0.3">
      <c r="B32" s="44" t="s">
        <v>280</v>
      </c>
      <c r="C32" s="44"/>
      <c r="D32" s="45"/>
      <c r="E32" s="44"/>
      <c r="F32" s="44"/>
      <c r="G32" s="44"/>
      <c r="H32" s="44"/>
    </row>
    <row r="33" spans="2:8" x14ac:dyDescent="0.3">
      <c r="B33" s="44" t="s">
        <v>281</v>
      </c>
      <c r="C33" s="44"/>
      <c r="D33" s="45"/>
      <c r="E33" s="44"/>
      <c r="F33" s="44"/>
      <c r="G33" s="44"/>
      <c r="H33" s="44"/>
    </row>
    <row r="34" spans="2:8" x14ac:dyDescent="0.3">
      <c r="B34" s="8" t="s">
        <v>282</v>
      </c>
    </row>
    <row r="35" spans="2:8" s="9" customFormat="1" x14ac:dyDescent="0.3">
      <c r="B35" s="8" t="s">
        <v>283</v>
      </c>
      <c r="D35" s="11"/>
    </row>
    <row r="36" spans="2:8" s="9" customFormat="1" x14ac:dyDescent="0.3">
      <c r="B36" s="126"/>
      <c r="C36" s="126"/>
      <c r="D36" s="126"/>
      <c r="E36" s="126"/>
      <c r="F36" s="126"/>
    </row>
    <row r="37" spans="2:8" s="9" customFormat="1" x14ac:dyDescent="0.3">
      <c r="B37" s="126"/>
      <c r="C37" s="126"/>
      <c r="D37" s="126"/>
      <c r="E37" s="126"/>
      <c r="F37" s="126"/>
    </row>
    <row r="38" spans="2:8" s="9" customFormat="1" x14ac:dyDescent="0.3">
      <c r="D38" s="11"/>
    </row>
    <row r="39" spans="2:8" x14ac:dyDescent="0.3">
      <c r="C39" s="9"/>
      <c r="D39" s="11"/>
      <c r="E39" s="9"/>
      <c r="F39" s="9"/>
    </row>
    <row r="40" spans="2:8" ht="11.25" customHeight="1" x14ac:dyDescent="0.3"/>
    <row r="41" spans="2:8" ht="7.5" customHeight="1" x14ac:dyDescent="0.3"/>
    <row r="42" spans="2:8" ht="17.25" customHeight="1" x14ac:dyDescent="0.4">
      <c r="B42" s="46" t="s">
        <v>29</v>
      </c>
      <c r="C42" s="47"/>
      <c r="F42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E4D-20F2-43B3-835A-5CBB6A6D501F}">
  <sheetPr>
    <tabColor rgb="FF00B050"/>
    <pageSetUpPr fitToPage="1"/>
  </sheetPr>
  <dimension ref="A1:H48"/>
  <sheetViews>
    <sheetView showGridLines="0" zoomScaleNormal="100" zoomScaleSheetLayoutView="100" workbookViewId="0">
      <selection activeCell="C12" sqref="C1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">
        <v>284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'Formato Resumen 23'!C11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30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/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/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/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/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/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/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/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/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/>
      <c r="E25" s="74">
        <v>0</v>
      </c>
      <c r="F25" s="15"/>
    </row>
    <row r="26" spans="1:8" ht="15" x14ac:dyDescent="0.3">
      <c r="A26" s="32"/>
      <c r="B26" s="30" t="s">
        <v>25</v>
      </c>
      <c r="C26" s="17">
        <v>4000000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4000000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8000000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/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FD85-A207-4F0A-ACF9-7BD0273AED99}">
  <sheetPr>
    <tabColor rgb="FF00B050"/>
    <pageSetUpPr fitToPage="1"/>
  </sheetPr>
  <dimension ref="A1:AG62"/>
  <sheetViews>
    <sheetView showGridLines="0" zoomScaleNormal="100" workbookViewId="0">
      <pane xSplit="4" ySplit="10" topLeftCell="V53" activePane="bottomRight" state="frozen"/>
      <selection activeCell="E6" sqref="E6:AB7"/>
      <selection pane="topRight" activeCell="E6" sqref="E6:AB7"/>
      <selection pane="bottomLeft" activeCell="E6" sqref="E6:AB7"/>
      <selection pane="bottomRight" activeCell="E6" sqref="E6:AB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2024'!C8</f>
        <v>CP-EXEC2024-002-PROD01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2024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1-2024</v>
      </c>
      <c r="B11" s="139">
        <f>'P1_AÑO 2024'!C16</f>
        <v>0</v>
      </c>
      <c r="C11" s="59" t="s">
        <v>40</v>
      </c>
      <c r="D11" s="60">
        <f>VLOOKUP(A11&amp;C11,calendario!I:L,4,0)</f>
        <v>23</v>
      </c>
      <c r="E11" s="77">
        <f>$B11/24/$D14</f>
        <v>0</v>
      </c>
      <c r="F11" s="77">
        <f>$B11/24/$D14</f>
        <v>0</v>
      </c>
      <c r="G11" s="77">
        <f t="shared" ref="G11:AB11" si="0">((78%*$B11)/$D11)*G$7</f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0</v>
      </c>
      <c r="N11" s="77">
        <f t="shared" si="0"/>
        <v>0</v>
      </c>
      <c r="O11" s="77">
        <f t="shared" si="0"/>
        <v>0</v>
      </c>
      <c r="P11" s="77">
        <f t="shared" si="0"/>
        <v>0</v>
      </c>
      <c r="Q11" s="77">
        <f t="shared" si="0"/>
        <v>0</v>
      </c>
      <c r="R11" s="77">
        <f t="shared" si="0"/>
        <v>0</v>
      </c>
      <c r="S11" s="77">
        <f t="shared" si="0"/>
        <v>0</v>
      </c>
      <c r="T11" s="77">
        <f t="shared" si="0"/>
        <v>0</v>
      </c>
      <c r="U11" s="77">
        <f t="shared" si="0"/>
        <v>0</v>
      </c>
      <c r="V11" s="77">
        <f t="shared" si="0"/>
        <v>0</v>
      </c>
      <c r="W11" s="77">
        <f t="shared" si="0"/>
        <v>0</v>
      </c>
      <c r="X11" s="77">
        <f t="shared" si="0"/>
        <v>0</v>
      </c>
      <c r="Y11" s="77">
        <f t="shared" si="0"/>
        <v>0</v>
      </c>
      <c r="Z11" s="77">
        <f t="shared" si="0"/>
        <v>0</v>
      </c>
      <c r="AA11" s="77">
        <f t="shared" si="0"/>
        <v>0</v>
      </c>
      <c r="AB11" s="78">
        <f t="shared" si="0"/>
        <v>0</v>
      </c>
      <c r="AC11" s="89">
        <f>+SUM(E11:AB11)*D11</f>
        <v>0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1">((13%*$B11)/$D12)*G$8</f>
        <v>0</v>
      </c>
      <c r="H12" s="79">
        <f t="shared" si="1"/>
        <v>0</v>
      </c>
      <c r="I12" s="79">
        <f t="shared" si="1"/>
        <v>0</v>
      </c>
      <c r="J12" s="79">
        <f t="shared" si="1"/>
        <v>0</v>
      </c>
      <c r="K12" s="79">
        <f t="shared" si="1"/>
        <v>0</v>
      </c>
      <c r="L12" s="79">
        <f t="shared" si="1"/>
        <v>0</v>
      </c>
      <c r="M12" s="79">
        <f t="shared" si="1"/>
        <v>0</v>
      </c>
      <c r="N12" s="79">
        <f t="shared" si="1"/>
        <v>0</v>
      </c>
      <c r="O12" s="79">
        <f t="shared" si="1"/>
        <v>0</v>
      </c>
      <c r="P12" s="79">
        <f t="shared" si="1"/>
        <v>0</v>
      </c>
      <c r="Q12" s="79">
        <f t="shared" si="1"/>
        <v>0</v>
      </c>
      <c r="R12" s="79">
        <f t="shared" si="1"/>
        <v>0</v>
      </c>
      <c r="S12" s="79">
        <f t="shared" si="1"/>
        <v>0</v>
      </c>
      <c r="T12" s="79">
        <f t="shared" si="1"/>
        <v>0</v>
      </c>
      <c r="U12" s="79">
        <f t="shared" si="1"/>
        <v>0</v>
      </c>
      <c r="V12" s="79">
        <f t="shared" si="1"/>
        <v>0</v>
      </c>
      <c r="W12" s="79">
        <f t="shared" si="1"/>
        <v>0</v>
      </c>
      <c r="X12" s="79">
        <f t="shared" si="1"/>
        <v>0</v>
      </c>
      <c r="Y12" s="79">
        <f t="shared" si="1"/>
        <v>0</v>
      </c>
      <c r="Z12" s="79">
        <f t="shared" si="1"/>
        <v>0</v>
      </c>
      <c r="AA12" s="79">
        <f t="shared" si="1"/>
        <v>0</v>
      </c>
      <c r="AB12" s="80">
        <f t="shared" si="1"/>
        <v>0</v>
      </c>
      <c r="AC12" s="90">
        <f t="shared" ref="AC12:AC13" si="2">+SUM(E12:AB12)*D12</f>
        <v>0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$B11/24/$D14</f>
        <v>0</v>
      </c>
      <c r="F13" s="82">
        <f>$B11/24/$D14</f>
        <v>0</v>
      </c>
      <c r="G13" s="82">
        <f t="shared" ref="G13:AB13" si="3">((9%*$B11)/$D13)*G$9</f>
        <v>0</v>
      </c>
      <c r="H13" s="82">
        <f t="shared" si="3"/>
        <v>0</v>
      </c>
      <c r="I13" s="82">
        <f t="shared" si="3"/>
        <v>0</v>
      </c>
      <c r="J13" s="82">
        <f t="shared" si="3"/>
        <v>0</v>
      </c>
      <c r="K13" s="82">
        <f t="shared" si="3"/>
        <v>0</v>
      </c>
      <c r="L13" s="82">
        <f t="shared" si="3"/>
        <v>0</v>
      </c>
      <c r="M13" s="82">
        <f t="shared" si="3"/>
        <v>0</v>
      </c>
      <c r="N13" s="82">
        <f t="shared" si="3"/>
        <v>0</v>
      </c>
      <c r="O13" s="82">
        <f t="shared" si="3"/>
        <v>0</v>
      </c>
      <c r="P13" s="82">
        <f t="shared" si="3"/>
        <v>0</v>
      </c>
      <c r="Q13" s="82">
        <f t="shared" si="3"/>
        <v>0</v>
      </c>
      <c r="R13" s="82">
        <f t="shared" si="3"/>
        <v>0</v>
      </c>
      <c r="S13" s="82">
        <f t="shared" si="3"/>
        <v>0</v>
      </c>
      <c r="T13" s="82">
        <f t="shared" si="3"/>
        <v>0</v>
      </c>
      <c r="U13" s="82">
        <f t="shared" si="3"/>
        <v>0</v>
      </c>
      <c r="V13" s="82">
        <f t="shared" si="3"/>
        <v>0</v>
      </c>
      <c r="W13" s="82">
        <f t="shared" si="3"/>
        <v>0</v>
      </c>
      <c r="X13" s="82">
        <f t="shared" si="3"/>
        <v>0</v>
      </c>
      <c r="Y13" s="82">
        <f t="shared" si="3"/>
        <v>0</v>
      </c>
      <c r="Z13" s="82">
        <f t="shared" si="3"/>
        <v>0</v>
      </c>
      <c r="AA13" s="82">
        <f t="shared" si="3"/>
        <v>0</v>
      </c>
      <c r="AB13" s="83">
        <f t="shared" si="3"/>
        <v>0</v>
      </c>
      <c r="AC13" s="91">
        <f t="shared" si="2"/>
        <v>0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2-2024</v>
      </c>
      <c r="B15" s="139">
        <f>'P1_AÑO 2024'!C17</f>
        <v>0</v>
      </c>
      <c r="C15" s="59" t="s">
        <v>40</v>
      </c>
      <c r="D15" s="60">
        <f>VLOOKUP(A15&amp;C15,calendario!I:L,4,0)</f>
        <v>21</v>
      </c>
      <c r="E15" s="77">
        <f>$B15/24/$D18</f>
        <v>0</v>
      </c>
      <c r="F15" s="77">
        <f t="shared" ref="F15:AB15" si="4">$B15/24/$D18</f>
        <v>0</v>
      </c>
      <c r="G15" s="77">
        <f t="shared" si="4"/>
        <v>0</v>
      </c>
      <c r="H15" s="77">
        <f t="shared" si="4"/>
        <v>0</v>
      </c>
      <c r="I15" s="77">
        <f t="shared" si="4"/>
        <v>0</v>
      </c>
      <c r="J15" s="77">
        <f t="shared" si="4"/>
        <v>0</v>
      </c>
      <c r="K15" s="77">
        <f t="shared" si="4"/>
        <v>0</v>
      </c>
      <c r="L15" s="77">
        <f t="shared" si="4"/>
        <v>0</v>
      </c>
      <c r="M15" s="77">
        <f t="shared" si="4"/>
        <v>0</v>
      </c>
      <c r="N15" s="77">
        <f t="shared" si="4"/>
        <v>0</v>
      </c>
      <c r="O15" s="77">
        <f t="shared" si="4"/>
        <v>0</v>
      </c>
      <c r="P15" s="77">
        <f t="shared" si="4"/>
        <v>0</v>
      </c>
      <c r="Q15" s="77">
        <f t="shared" si="4"/>
        <v>0</v>
      </c>
      <c r="R15" s="77">
        <f t="shared" si="4"/>
        <v>0</v>
      </c>
      <c r="S15" s="77">
        <f t="shared" si="4"/>
        <v>0</v>
      </c>
      <c r="T15" s="77">
        <f t="shared" si="4"/>
        <v>0</v>
      </c>
      <c r="U15" s="77">
        <f t="shared" si="4"/>
        <v>0</v>
      </c>
      <c r="V15" s="77">
        <f t="shared" si="4"/>
        <v>0</v>
      </c>
      <c r="W15" s="77">
        <f t="shared" si="4"/>
        <v>0</v>
      </c>
      <c r="X15" s="77">
        <f t="shared" si="4"/>
        <v>0</v>
      </c>
      <c r="Y15" s="77">
        <f t="shared" si="4"/>
        <v>0</v>
      </c>
      <c r="Z15" s="77">
        <f t="shared" si="4"/>
        <v>0</v>
      </c>
      <c r="AA15" s="77">
        <f t="shared" si="4"/>
        <v>0</v>
      </c>
      <c r="AB15" s="77">
        <f t="shared" si="4"/>
        <v>0</v>
      </c>
      <c r="AC15" s="89">
        <f t="shared" ref="AC15" si="5">+SUM(E15:AB15)*D15</f>
        <v>0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>$B15/24/$D18</f>
        <v>0</v>
      </c>
      <c r="F16" s="79">
        <f t="shared" ref="F16:AB16" si="6">$B15/24/$D18</f>
        <v>0</v>
      </c>
      <c r="G16" s="79">
        <f t="shared" si="6"/>
        <v>0</v>
      </c>
      <c r="H16" s="79">
        <f t="shared" si="6"/>
        <v>0</v>
      </c>
      <c r="I16" s="79">
        <f t="shared" si="6"/>
        <v>0</v>
      </c>
      <c r="J16" s="79">
        <f t="shared" si="6"/>
        <v>0</v>
      </c>
      <c r="K16" s="79">
        <f t="shared" si="6"/>
        <v>0</v>
      </c>
      <c r="L16" s="79">
        <f t="shared" si="6"/>
        <v>0</v>
      </c>
      <c r="M16" s="79">
        <f t="shared" si="6"/>
        <v>0</v>
      </c>
      <c r="N16" s="79">
        <f t="shared" si="6"/>
        <v>0</v>
      </c>
      <c r="O16" s="79">
        <f t="shared" si="6"/>
        <v>0</v>
      </c>
      <c r="P16" s="79">
        <f t="shared" si="6"/>
        <v>0</v>
      </c>
      <c r="Q16" s="79">
        <f t="shared" si="6"/>
        <v>0</v>
      </c>
      <c r="R16" s="79">
        <f t="shared" si="6"/>
        <v>0</v>
      </c>
      <c r="S16" s="79">
        <f t="shared" si="6"/>
        <v>0</v>
      </c>
      <c r="T16" s="79">
        <f t="shared" si="6"/>
        <v>0</v>
      </c>
      <c r="U16" s="79">
        <f t="shared" si="6"/>
        <v>0</v>
      </c>
      <c r="V16" s="79">
        <f t="shared" si="6"/>
        <v>0</v>
      </c>
      <c r="W16" s="79">
        <f t="shared" si="6"/>
        <v>0</v>
      </c>
      <c r="X16" s="79">
        <f t="shared" si="6"/>
        <v>0</v>
      </c>
      <c r="Y16" s="79">
        <f t="shared" si="6"/>
        <v>0</v>
      </c>
      <c r="Z16" s="79">
        <f t="shared" si="6"/>
        <v>0</v>
      </c>
      <c r="AA16" s="79">
        <f t="shared" si="6"/>
        <v>0</v>
      </c>
      <c r="AB16" s="79">
        <f t="shared" si="6"/>
        <v>0</v>
      </c>
      <c r="AC16" s="90">
        <f t="shared" ref="AC16:AC17" si="7">+SUM(E16:AB16)*D16</f>
        <v>0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>$B15/24/$D18</f>
        <v>0</v>
      </c>
      <c r="F17" s="82">
        <f t="shared" ref="F17:AB17" si="8">$B15/24/$D18</f>
        <v>0</v>
      </c>
      <c r="G17" s="82">
        <f t="shared" si="8"/>
        <v>0</v>
      </c>
      <c r="H17" s="82">
        <f t="shared" si="8"/>
        <v>0</v>
      </c>
      <c r="I17" s="82">
        <f t="shared" si="8"/>
        <v>0</v>
      </c>
      <c r="J17" s="82">
        <f t="shared" si="8"/>
        <v>0</v>
      </c>
      <c r="K17" s="82">
        <f t="shared" si="8"/>
        <v>0</v>
      </c>
      <c r="L17" s="82">
        <f t="shared" si="8"/>
        <v>0</v>
      </c>
      <c r="M17" s="82">
        <f t="shared" si="8"/>
        <v>0</v>
      </c>
      <c r="N17" s="82">
        <f t="shared" si="8"/>
        <v>0</v>
      </c>
      <c r="O17" s="82">
        <f t="shared" si="8"/>
        <v>0</v>
      </c>
      <c r="P17" s="82">
        <f t="shared" si="8"/>
        <v>0</v>
      </c>
      <c r="Q17" s="82">
        <f t="shared" si="8"/>
        <v>0</v>
      </c>
      <c r="R17" s="82">
        <f t="shared" si="8"/>
        <v>0</v>
      </c>
      <c r="S17" s="82">
        <f t="shared" si="8"/>
        <v>0</v>
      </c>
      <c r="T17" s="82">
        <f t="shared" si="8"/>
        <v>0</v>
      </c>
      <c r="U17" s="82">
        <f t="shared" si="8"/>
        <v>0</v>
      </c>
      <c r="V17" s="82">
        <f t="shared" si="8"/>
        <v>0</v>
      </c>
      <c r="W17" s="82">
        <f t="shared" si="8"/>
        <v>0</v>
      </c>
      <c r="X17" s="82">
        <f t="shared" si="8"/>
        <v>0</v>
      </c>
      <c r="Y17" s="82">
        <f t="shared" si="8"/>
        <v>0</v>
      </c>
      <c r="Z17" s="82">
        <f t="shared" si="8"/>
        <v>0</v>
      </c>
      <c r="AA17" s="82">
        <f t="shared" si="8"/>
        <v>0</v>
      </c>
      <c r="AB17" s="82">
        <f t="shared" si="8"/>
        <v>0</v>
      </c>
      <c r="AC17" s="91">
        <f t="shared" si="7"/>
        <v>0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3-2024</v>
      </c>
      <c r="B19" s="141">
        <f>'P1_AÑO 2024'!C18</f>
        <v>0</v>
      </c>
      <c r="C19" s="59" t="s">
        <v>40</v>
      </c>
      <c r="D19" s="60">
        <f>VLOOKUP(A19&amp;C19,calendario!I:L,4,0)</f>
        <v>21</v>
      </c>
      <c r="E19" s="77">
        <f>$B19/24/$D22</f>
        <v>0</v>
      </c>
      <c r="F19" s="77">
        <f t="shared" ref="F19:AB19" si="11">$B19/24/$D22</f>
        <v>0</v>
      </c>
      <c r="G19" s="77">
        <f t="shared" si="11"/>
        <v>0</v>
      </c>
      <c r="H19" s="77">
        <f t="shared" si="11"/>
        <v>0</v>
      </c>
      <c r="I19" s="77">
        <f t="shared" si="11"/>
        <v>0</v>
      </c>
      <c r="J19" s="77">
        <f t="shared" si="11"/>
        <v>0</v>
      </c>
      <c r="K19" s="77">
        <f t="shared" si="11"/>
        <v>0</v>
      </c>
      <c r="L19" s="77">
        <f t="shared" si="11"/>
        <v>0</v>
      </c>
      <c r="M19" s="77">
        <f t="shared" si="11"/>
        <v>0</v>
      </c>
      <c r="N19" s="77">
        <f t="shared" si="11"/>
        <v>0</v>
      </c>
      <c r="O19" s="77">
        <f t="shared" si="11"/>
        <v>0</v>
      </c>
      <c r="P19" s="77">
        <f t="shared" si="11"/>
        <v>0</v>
      </c>
      <c r="Q19" s="77">
        <f t="shared" si="11"/>
        <v>0</v>
      </c>
      <c r="R19" s="77">
        <f t="shared" si="11"/>
        <v>0</v>
      </c>
      <c r="S19" s="77">
        <f t="shared" si="11"/>
        <v>0</v>
      </c>
      <c r="T19" s="77">
        <f t="shared" si="11"/>
        <v>0</v>
      </c>
      <c r="U19" s="77">
        <f t="shared" si="11"/>
        <v>0</v>
      </c>
      <c r="V19" s="77">
        <f t="shared" si="11"/>
        <v>0</v>
      </c>
      <c r="W19" s="77">
        <f t="shared" si="11"/>
        <v>0</v>
      </c>
      <c r="X19" s="77">
        <f t="shared" si="11"/>
        <v>0</v>
      </c>
      <c r="Y19" s="77">
        <f t="shared" si="11"/>
        <v>0</v>
      </c>
      <c r="Z19" s="77">
        <f t="shared" si="11"/>
        <v>0</v>
      </c>
      <c r="AA19" s="77">
        <f t="shared" si="11"/>
        <v>0</v>
      </c>
      <c r="AB19" s="77">
        <f t="shared" si="11"/>
        <v>0</v>
      </c>
      <c r="AC19" s="89">
        <f t="shared" ref="AC19" si="12">+SUM(E19:AB19)*D19</f>
        <v>0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>$B19/24/$D22</f>
        <v>0</v>
      </c>
      <c r="F20" s="79">
        <f t="shared" ref="F20:AB20" si="13">$B19/24/$D22</f>
        <v>0</v>
      </c>
      <c r="G20" s="79">
        <f t="shared" si="13"/>
        <v>0</v>
      </c>
      <c r="H20" s="79">
        <f t="shared" si="13"/>
        <v>0</v>
      </c>
      <c r="I20" s="79">
        <f t="shared" si="13"/>
        <v>0</v>
      </c>
      <c r="J20" s="79">
        <f t="shared" si="13"/>
        <v>0</v>
      </c>
      <c r="K20" s="79">
        <f t="shared" si="13"/>
        <v>0</v>
      </c>
      <c r="L20" s="79">
        <f t="shared" si="13"/>
        <v>0</v>
      </c>
      <c r="M20" s="79">
        <f t="shared" si="13"/>
        <v>0</v>
      </c>
      <c r="N20" s="79">
        <f t="shared" si="13"/>
        <v>0</v>
      </c>
      <c r="O20" s="79">
        <f t="shared" si="13"/>
        <v>0</v>
      </c>
      <c r="P20" s="79">
        <f t="shared" si="13"/>
        <v>0</v>
      </c>
      <c r="Q20" s="79">
        <f t="shared" si="13"/>
        <v>0</v>
      </c>
      <c r="R20" s="79">
        <f t="shared" si="13"/>
        <v>0</v>
      </c>
      <c r="S20" s="79">
        <f t="shared" si="13"/>
        <v>0</v>
      </c>
      <c r="T20" s="79">
        <f t="shared" si="13"/>
        <v>0</v>
      </c>
      <c r="U20" s="79">
        <f t="shared" si="13"/>
        <v>0</v>
      </c>
      <c r="V20" s="79">
        <f t="shared" si="13"/>
        <v>0</v>
      </c>
      <c r="W20" s="79">
        <f t="shared" si="13"/>
        <v>0</v>
      </c>
      <c r="X20" s="79">
        <f t="shared" si="13"/>
        <v>0</v>
      </c>
      <c r="Y20" s="79">
        <f t="shared" si="13"/>
        <v>0</v>
      </c>
      <c r="Z20" s="79">
        <f t="shared" si="13"/>
        <v>0</v>
      </c>
      <c r="AA20" s="79">
        <f t="shared" si="13"/>
        <v>0</v>
      </c>
      <c r="AB20" s="79">
        <f t="shared" si="13"/>
        <v>0</v>
      </c>
      <c r="AC20" s="90">
        <f t="shared" ref="AC20:AC21" si="14">+SUM(E20:AB20)*D20</f>
        <v>0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>$B19/24/$D22</f>
        <v>0</v>
      </c>
      <c r="F21" s="82">
        <f t="shared" ref="F21:AB21" si="15">$B19/24/$D22</f>
        <v>0</v>
      </c>
      <c r="G21" s="82">
        <f t="shared" si="15"/>
        <v>0</v>
      </c>
      <c r="H21" s="82">
        <f t="shared" si="15"/>
        <v>0</v>
      </c>
      <c r="I21" s="82">
        <f t="shared" si="15"/>
        <v>0</v>
      </c>
      <c r="J21" s="82">
        <f t="shared" si="15"/>
        <v>0</v>
      </c>
      <c r="K21" s="82">
        <f t="shared" si="15"/>
        <v>0</v>
      </c>
      <c r="L21" s="82">
        <f t="shared" si="15"/>
        <v>0</v>
      </c>
      <c r="M21" s="82">
        <f t="shared" si="15"/>
        <v>0</v>
      </c>
      <c r="N21" s="82">
        <f t="shared" si="15"/>
        <v>0</v>
      </c>
      <c r="O21" s="82">
        <f t="shared" si="15"/>
        <v>0</v>
      </c>
      <c r="P21" s="82">
        <f t="shared" si="15"/>
        <v>0</v>
      </c>
      <c r="Q21" s="82">
        <f t="shared" si="15"/>
        <v>0</v>
      </c>
      <c r="R21" s="82">
        <f t="shared" si="15"/>
        <v>0</v>
      </c>
      <c r="S21" s="82">
        <f t="shared" si="15"/>
        <v>0</v>
      </c>
      <c r="T21" s="82">
        <f t="shared" si="15"/>
        <v>0</v>
      </c>
      <c r="U21" s="82">
        <f t="shared" si="15"/>
        <v>0</v>
      </c>
      <c r="V21" s="82">
        <f t="shared" si="15"/>
        <v>0</v>
      </c>
      <c r="W21" s="82">
        <f t="shared" si="15"/>
        <v>0</v>
      </c>
      <c r="X21" s="82">
        <f t="shared" si="15"/>
        <v>0</v>
      </c>
      <c r="Y21" s="82">
        <f t="shared" si="15"/>
        <v>0</v>
      </c>
      <c r="Z21" s="82">
        <f t="shared" si="15"/>
        <v>0</v>
      </c>
      <c r="AA21" s="82">
        <f t="shared" si="15"/>
        <v>0</v>
      </c>
      <c r="AB21" s="82">
        <f t="shared" si="15"/>
        <v>0</v>
      </c>
      <c r="AC21" s="91">
        <f t="shared" si="14"/>
        <v>0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0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4-2024</v>
      </c>
      <c r="B23" s="139">
        <f>'P1_AÑO 2024'!C19</f>
        <v>0</v>
      </c>
      <c r="C23" s="59" t="s">
        <v>40</v>
      </c>
      <c r="D23" s="60">
        <f>VLOOKUP(A23&amp;C23,calendario!I:L,4,0)</f>
        <v>22</v>
      </c>
      <c r="E23" s="77">
        <f>$B23/24/$D26</f>
        <v>0</v>
      </c>
      <c r="F23" s="77">
        <f t="shared" ref="F23:AB23" si="18">$B23/24/$D26</f>
        <v>0</v>
      </c>
      <c r="G23" s="77">
        <f t="shared" si="18"/>
        <v>0</v>
      </c>
      <c r="H23" s="77">
        <f t="shared" si="18"/>
        <v>0</v>
      </c>
      <c r="I23" s="77">
        <f t="shared" si="18"/>
        <v>0</v>
      </c>
      <c r="J23" s="77">
        <f t="shared" si="18"/>
        <v>0</v>
      </c>
      <c r="K23" s="77">
        <f t="shared" si="18"/>
        <v>0</v>
      </c>
      <c r="L23" s="77">
        <f t="shared" si="18"/>
        <v>0</v>
      </c>
      <c r="M23" s="77">
        <f t="shared" si="18"/>
        <v>0</v>
      </c>
      <c r="N23" s="77">
        <f t="shared" si="18"/>
        <v>0</v>
      </c>
      <c r="O23" s="77">
        <f t="shared" si="18"/>
        <v>0</v>
      </c>
      <c r="P23" s="77">
        <f t="shared" si="18"/>
        <v>0</v>
      </c>
      <c r="Q23" s="77">
        <f t="shared" si="18"/>
        <v>0</v>
      </c>
      <c r="R23" s="77">
        <f t="shared" si="18"/>
        <v>0</v>
      </c>
      <c r="S23" s="77">
        <f t="shared" si="18"/>
        <v>0</v>
      </c>
      <c r="T23" s="77">
        <f t="shared" si="18"/>
        <v>0</v>
      </c>
      <c r="U23" s="77">
        <f t="shared" si="18"/>
        <v>0</v>
      </c>
      <c r="V23" s="77">
        <f t="shared" si="18"/>
        <v>0</v>
      </c>
      <c r="W23" s="77">
        <f t="shared" si="18"/>
        <v>0</v>
      </c>
      <c r="X23" s="77">
        <f t="shared" si="18"/>
        <v>0</v>
      </c>
      <c r="Y23" s="77">
        <f t="shared" si="18"/>
        <v>0</v>
      </c>
      <c r="Z23" s="77">
        <f t="shared" si="18"/>
        <v>0</v>
      </c>
      <c r="AA23" s="77">
        <f t="shared" si="18"/>
        <v>0</v>
      </c>
      <c r="AB23" s="77">
        <f t="shared" si="18"/>
        <v>0</v>
      </c>
      <c r="AC23" s="89">
        <f t="shared" ref="AC23" si="19">+SUM(E23:AB23)*D23</f>
        <v>0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>$B23/24/$D26</f>
        <v>0</v>
      </c>
      <c r="F24" s="79">
        <f t="shared" ref="F24:AB24" si="20">$B23/24/$D26</f>
        <v>0</v>
      </c>
      <c r="G24" s="79">
        <f t="shared" si="20"/>
        <v>0</v>
      </c>
      <c r="H24" s="79">
        <f t="shared" si="20"/>
        <v>0</v>
      </c>
      <c r="I24" s="79">
        <f t="shared" si="20"/>
        <v>0</v>
      </c>
      <c r="J24" s="79">
        <f t="shared" si="20"/>
        <v>0</v>
      </c>
      <c r="K24" s="79">
        <f t="shared" si="20"/>
        <v>0</v>
      </c>
      <c r="L24" s="79">
        <f t="shared" si="20"/>
        <v>0</v>
      </c>
      <c r="M24" s="79">
        <f t="shared" si="20"/>
        <v>0</v>
      </c>
      <c r="N24" s="79">
        <f t="shared" si="20"/>
        <v>0</v>
      </c>
      <c r="O24" s="79">
        <f t="shared" si="20"/>
        <v>0</v>
      </c>
      <c r="P24" s="79">
        <f t="shared" si="20"/>
        <v>0</v>
      </c>
      <c r="Q24" s="79">
        <f t="shared" si="20"/>
        <v>0</v>
      </c>
      <c r="R24" s="79">
        <f t="shared" si="20"/>
        <v>0</v>
      </c>
      <c r="S24" s="79">
        <f t="shared" si="20"/>
        <v>0</v>
      </c>
      <c r="T24" s="79">
        <f t="shared" si="20"/>
        <v>0</v>
      </c>
      <c r="U24" s="79">
        <f t="shared" si="20"/>
        <v>0</v>
      </c>
      <c r="V24" s="79">
        <f t="shared" si="20"/>
        <v>0</v>
      </c>
      <c r="W24" s="79">
        <f t="shared" si="20"/>
        <v>0</v>
      </c>
      <c r="X24" s="79">
        <f t="shared" si="20"/>
        <v>0</v>
      </c>
      <c r="Y24" s="79">
        <f t="shared" si="20"/>
        <v>0</v>
      </c>
      <c r="Z24" s="79">
        <f t="shared" si="20"/>
        <v>0</v>
      </c>
      <c r="AA24" s="79">
        <f t="shared" si="20"/>
        <v>0</v>
      </c>
      <c r="AB24" s="79">
        <f t="shared" si="20"/>
        <v>0</v>
      </c>
      <c r="AC24" s="90">
        <f t="shared" ref="AC24:AC25" si="21">+SUM(E24:AB24)*D24</f>
        <v>0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>$B23/24/$D26</f>
        <v>0</v>
      </c>
      <c r="F25" s="82">
        <f t="shared" ref="F25:AB25" si="22">$B23/24/$D26</f>
        <v>0</v>
      </c>
      <c r="G25" s="82">
        <f t="shared" si="22"/>
        <v>0</v>
      </c>
      <c r="H25" s="82">
        <f t="shared" si="22"/>
        <v>0</v>
      </c>
      <c r="I25" s="82">
        <f t="shared" si="22"/>
        <v>0</v>
      </c>
      <c r="J25" s="82">
        <f t="shared" si="22"/>
        <v>0</v>
      </c>
      <c r="K25" s="82">
        <f t="shared" si="22"/>
        <v>0</v>
      </c>
      <c r="L25" s="82">
        <f t="shared" si="22"/>
        <v>0</v>
      </c>
      <c r="M25" s="82">
        <f t="shared" si="22"/>
        <v>0</v>
      </c>
      <c r="N25" s="82">
        <f t="shared" si="22"/>
        <v>0</v>
      </c>
      <c r="O25" s="82">
        <f t="shared" si="22"/>
        <v>0</v>
      </c>
      <c r="P25" s="82">
        <f t="shared" si="22"/>
        <v>0</v>
      </c>
      <c r="Q25" s="82">
        <f t="shared" si="22"/>
        <v>0</v>
      </c>
      <c r="R25" s="82">
        <f t="shared" si="22"/>
        <v>0</v>
      </c>
      <c r="S25" s="82">
        <f t="shared" si="22"/>
        <v>0</v>
      </c>
      <c r="T25" s="82">
        <f t="shared" si="22"/>
        <v>0</v>
      </c>
      <c r="U25" s="82">
        <f t="shared" si="22"/>
        <v>0</v>
      </c>
      <c r="V25" s="82">
        <f t="shared" si="22"/>
        <v>0</v>
      </c>
      <c r="W25" s="82">
        <f t="shared" si="22"/>
        <v>0</v>
      </c>
      <c r="X25" s="82">
        <f t="shared" si="22"/>
        <v>0</v>
      </c>
      <c r="Y25" s="82">
        <f t="shared" si="22"/>
        <v>0</v>
      </c>
      <c r="Z25" s="82">
        <f t="shared" si="22"/>
        <v>0</v>
      </c>
      <c r="AA25" s="82">
        <f t="shared" si="22"/>
        <v>0</v>
      </c>
      <c r="AB25" s="82">
        <f t="shared" si="22"/>
        <v>0</v>
      </c>
      <c r="AC25" s="91">
        <f t="shared" si="21"/>
        <v>0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0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5-2024</v>
      </c>
      <c r="B27" s="139">
        <f>'P1_AÑO 2024'!C20</f>
        <v>0</v>
      </c>
      <c r="C27" s="59" t="s">
        <v>40</v>
      </c>
      <c r="D27" s="60">
        <f>VLOOKUP(A27&amp;C27,calendario!I:L,4,0)</f>
        <v>23</v>
      </c>
      <c r="E27" s="77">
        <f>$B27/24/$D30</f>
        <v>0</v>
      </c>
      <c r="F27" s="77">
        <f t="shared" ref="F27:AB27" si="25">$B27/24/$D30</f>
        <v>0</v>
      </c>
      <c r="G27" s="77">
        <f t="shared" si="25"/>
        <v>0</v>
      </c>
      <c r="H27" s="77">
        <f t="shared" si="25"/>
        <v>0</v>
      </c>
      <c r="I27" s="77">
        <f t="shared" si="25"/>
        <v>0</v>
      </c>
      <c r="J27" s="77">
        <f t="shared" si="25"/>
        <v>0</v>
      </c>
      <c r="K27" s="77">
        <f t="shared" si="25"/>
        <v>0</v>
      </c>
      <c r="L27" s="77">
        <f t="shared" si="25"/>
        <v>0</v>
      </c>
      <c r="M27" s="77">
        <f t="shared" si="25"/>
        <v>0</v>
      </c>
      <c r="N27" s="77">
        <f t="shared" si="25"/>
        <v>0</v>
      </c>
      <c r="O27" s="77">
        <f t="shared" si="25"/>
        <v>0</v>
      </c>
      <c r="P27" s="77">
        <f t="shared" si="25"/>
        <v>0</v>
      </c>
      <c r="Q27" s="77">
        <f t="shared" si="25"/>
        <v>0</v>
      </c>
      <c r="R27" s="77">
        <f t="shared" si="25"/>
        <v>0</v>
      </c>
      <c r="S27" s="77">
        <f t="shared" si="25"/>
        <v>0</v>
      </c>
      <c r="T27" s="77">
        <f t="shared" si="25"/>
        <v>0</v>
      </c>
      <c r="U27" s="77">
        <f t="shared" si="25"/>
        <v>0</v>
      </c>
      <c r="V27" s="77">
        <f t="shared" si="25"/>
        <v>0</v>
      </c>
      <c r="W27" s="77">
        <f t="shared" si="25"/>
        <v>0</v>
      </c>
      <c r="X27" s="77">
        <f t="shared" si="25"/>
        <v>0</v>
      </c>
      <c r="Y27" s="77">
        <f t="shared" si="25"/>
        <v>0</v>
      </c>
      <c r="Z27" s="77">
        <f t="shared" si="25"/>
        <v>0</v>
      </c>
      <c r="AA27" s="77">
        <f t="shared" si="25"/>
        <v>0</v>
      </c>
      <c r="AB27" s="77">
        <f t="shared" si="25"/>
        <v>0</v>
      </c>
      <c r="AC27" s="89">
        <f t="shared" ref="AC27" si="26">+SUM(E27:AB27)*D27</f>
        <v>0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>$B27/24/$D30</f>
        <v>0</v>
      </c>
      <c r="F28" s="79">
        <f t="shared" ref="F28:AB28" si="27">$B27/24/$D30</f>
        <v>0</v>
      </c>
      <c r="G28" s="79">
        <f t="shared" si="27"/>
        <v>0</v>
      </c>
      <c r="H28" s="79">
        <f t="shared" si="27"/>
        <v>0</v>
      </c>
      <c r="I28" s="79">
        <f t="shared" si="27"/>
        <v>0</v>
      </c>
      <c r="J28" s="79">
        <f t="shared" si="27"/>
        <v>0</v>
      </c>
      <c r="K28" s="79">
        <f t="shared" si="27"/>
        <v>0</v>
      </c>
      <c r="L28" s="79">
        <f t="shared" si="27"/>
        <v>0</v>
      </c>
      <c r="M28" s="79">
        <f t="shared" si="27"/>
        <v>0</v>
      </c>
      <c r="N28" s="79">
        <f t="shared" si="27"/>
        <v>0</v>
      </c>
      <c r="O28" s="79">
        <f t="shared" si="27"/>
        <v>0</v>
      </c>
      <c r="P28" s="79">
        <f t="shared" si="27"/>
        <v>0</v>
      </c>
      <c r="Q28" s="79">
        <f t="shared" si="27"/>
        <v>0</v>
      </c>
      <c r="R28" s="79">
        <f t="shared" si="27"/>
        <v>0</v>
      </c>
      <c r="S28" s="79">
        <f t="shared" si="27"/>
        <v>0</v>
      </c>
      <c r="T28" s="79">
        <f t="shared" si="27"/>
        <v>0</v>
      </c>
      <c r="U28" s="79">
        <f t="shared" si="27"/>
        <v>0</v>
      </c>
      <c r="V28" s="79">
        <f t="shared" si="27"/>
        <v>0</v>
      </c>
      <c r="W28" s="79">
        <f t="shared" si="27"/>
        <v>0</v>
      </c>
      <c r="X28" s="79">
        <f t="shared" si="27"/>
        <v>0</v>
      </c>
      <c r="Y28" s="79">
        <f t="shared" si="27"/>
        <v>0</v>
      </c>
      <c r="Z28" s="79">
        <f t="shared" si="27"/>
        <v>0</v>
      </c>
      <c r="AA28" s="79">
        <f t="shared" si="27"/>
        <v>0</v>
      </c>
      <c r="AB28" s="79">
        <f t="shared" si="27"/>
        <v>0</v>
      </c>
      <c r="AC28" s="90">
        <f t="shared" ref="AC28:AC29" si="28">+SUM(E28:AB28)*D28</f>
        <v>0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>$B27/24/$D30</f>
        <v>0</v>
      </c>
      <c r="F29" s="82">
        <f t="shared" ref="F29:AB29" si="29">$B27/24/$D30</f>
        <v>0</v>
      </c>
      <c r="G29" s="82">
        <f t="shared" si="29"/>
        <v>0</v>
      </c>
      <c r="H29" s="82">
        <f t="shared" si="29"/>
        <v>0</v>
      </c>
      <c r="I29" s="82">
        <f t="shared" si="29"/>
        <v>0</v>
      </c>
      <c r="J29" s="82">
        <f t="shared" si="29"/>
        <v>0</v>
      </c>
      <c r="K29" s="82">
        <f t="shared" si="29"/>
        <v>0</v>
      </c>
      <c r="L29" s="82">
        <f t="shared" si="29"/>
        <v>0</v>
      </c>
      <c r="M29" s="82">
        <f t="shared" si="29"/>
        <v>0</v>
      </c>
      <c r="N29" s="82">
        <f t="shared" si="29"/>
        <v>0</v>
      </c>
      <c r="O29" s="82">
        <f t="shared" si="29"/>
        <v>0</v>
      </c>
      <c r="P29" s="82">
        <f t="shared" si="29"/>
        <v>0</v>
      </c>
      <c r="Q29" s="82">
        <f t="shared" si="29"/>
        <v>0</v>
      </c>
      <c r="R29" s="82">
        <f t="shared" si="29"/>
        <v>0</v>
      </c>
      <c r="S29" s="82">
        <f t="shared" si="29"/>
        <v>0</v>
      </c>
      <c r="T29" s="82">
        <f t="shared" si="29"/>
        <v>0</v>
      </c>
      <c r="U29" s="82">
        <f t="shared" si="29"/>
        <v>0</v>
      </c>
      <c r="V29" s="82">
        <f t="shared" si="29"/>
        <v>0</v>
      </c>
      <c r="W29" s="82">
        <f t="shared" si="29"/>
        <v>0</v>
      </c>
      <c r="X29" s="82">
        <f t="shared" si="29"/>
        <v>0</v>
      </c>
      <c r="Y29" s="82">
        <f t="shared" si="29"/>
        <v>0</v>
      </c>
      <c r="Z29" s="82">
        <f t="shared" si="29"/>
        <v>0</v>
      </c>
      <c r="AA29" s="82">
        <f t="shared" si="29"/>
        <v>0</v>
      </c>
      <c r="AB29" s="82">
        <f t="shared" si="29"/>
        <v>0</v>
      </c>
      <c r="AC29" s="91">
        <f t="shared" si="28"/>
        <v>0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6-2024</v>
      </c>
      <c r="B31" s="139">
        <f>'P1_AÑO 2024'!C21</f>
        <v>0</v>
      </c>
      <c r="C31" s="59" t="s">
        <v>40</v>
      </c>
      <c r="D31" s="60">
        <f>VLOOKUP(A31&amp;C31,calendario!I:L,4,0)</f>
        <v>20</v>
      </c>
      <c r="E31" s="77">
        <f>$B31/24/$D34</f>
        <v>0</v>
      </c>
      <c r="F31" s="77">
        <f t="shared" ref="F31:AB31" si="32">$B31/24/$D34</f>
        <v>0</v>
      </c>
      <c r="G31" s="77">
        <f t="shared" si="32"/>
        <v>0</v>
      </c>
      <c r="H31" s="77">
        <f t="shared" si="32"/>
        <v>0</v>
      </c>
      <c r="I31" s="77">
        <f t="shared" si="32"/>
        <v>0</v>
      </c>
      <c r="J31" s="77">
        <f t="shared" si="32"/>
        <v>0</v>
      </c>
      <c r="K31" s="77">
        <f t="shared" si="32"/>
        <v>0</v>
      </c>
      <c r="L31" s="77">
        <f t="shared" si="32"/>
        <v>0</v>
      </c>
      <c r="M31" s="77">
        <f t="shared" si="32"/>
        <v>0</v>
      </c>
      <c r="N31" s="77">
        <f t="shared" si="32"/>
        <v>0</v>
      </c>
      <c r="O31" s="77">
        <f t="shared" si="32"/>
        <v>0</v>
      </c>
      <c r="P31" s="77">
        <f t="shared" si="32"/>
        <v>0</v>
      </c>
      <c r="Q31" s="77">
        <f t="shared" si="32"/>
        <v>0</v>
      </c>
      <c r="R31" s="77">
        <f t="shared" si="32"/>
        <v>0</v>
      </c>
      <c r="S31" s="77">
        <f t="shared" si="32"/>
        <v>0</v>
      </c>
      <c r="T31" s="77">
        <f t="shared" si="32"/>
        <v>0</v>
      </c>
      <c r="U31" s="77">
        <f t="shared" si="32"/>
        <v>0</v>
      </c>
      <c r="V31" s="77">
        <f t="shared" si="32"/>
        <v>0</v>
      </c>
      <c r="W31" s="77">
        <f t="shared" si="32"/>
        <v>0</v>
      </c>
      <c r="X31" s="77">
        <f t="shared" si="32"/>
        <v>0</v>
      </c>
      <c r="Y31" s="77">
        <f t="shared" si="32"/>
        <v>0</v>
      </c>
      <c r="Z31" s="77">
        <f t="shared" si="32"/>
        <v>0</v>
      </c>
      <c r="AA31" s="77">
        <f t="shared" si="32"/>
        <v>0</v>
      </c>
      <c r="AB31" s="77">
        <f t="shared" si="32"/>
        <v>0</v>
      </c>
      <c r="AC31" s="89">
        <f t="shared" ref="AC31" si="33">+SUM(E31:AB31)*D31</f>
        <v>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>$B31/24/$D34</f>
        <v>0</v>
      </c>
      <c r="F32" s="79">
        <f t="shared" ref="F32:AB32" si="34">$B31/24/$D34</f>
        <v>0</v>
      </c>
      <c r="G32" s="79">
        <f t="shared" si="34"/>
        <v>0</v>
      </c>
      <c r="H32" s="79">
        <f t="shared" si="34"/>
        <v>0</v>
      </c>
      <c r="I32" s="79">
        <f t="shared" si="34"/>
        <v>0</v>
      </c>
      <c r="J32" s="79">
        <f t="shared" si="34"/>
        <v>0</v>
      </c>
      <c r="K32" s="79">
        <f t="shared" si="34"/>
        <v>0</v>
      </c>
      <c r="L32" s="79">
        <f t="shared" si="34"/>
        <v>0</v>
      </c>
      <c r="M32" s="79">
        <f t="shared" si="34"/>
        <v>0</v>
      </c>
      <c r="N32" s="79">
        <f t="shared" si="34"/>
        <v>0</v>
      </c>
      <c r="O32" s="79">
        <f t="shared" si="34"/>
        <v>0</v>
      </c>
      <c r="P32" s="79">
        <f t="shared" si="34"/>
        <v>0</v>
      </c>
      <c r="Q32" s="79">
        <f t="shared" si="34"/>
        <v>0</v>
      </c>
      <c r="R32" s="79">
        <f t="shared" si="34"/>
        <v>0</v>
      </c>
      <c r="S32" s="79">
        <f t="shared" si="34"/>
        <v>0</v>
      </c>
      <c r="T32" s="79">
        <f t="shared" si="34"/>
        <v>0</v>
      </c>
      <c r="U32" s="79">
        <f t="shared" si="34"/>
        <v>0</v>
      </c>
      <c r="V32" s="79">
        <f t="shared" si="34"/>
        <v>0</v>
      </c>
      <c r="W32" s="79">
        <f t="shared" si="34"/>
        <v>0</v>
      </c>
      <c r="X32" s="79">
        <f t="shared" si="34"/>
        <v>0</v>
      </c>
      <c r="Y32" s="79">
        <f t="shared" si="34"/>
        <v>0</v>
      </c>
      <c r="Z32" s="79">
        <f t="shared" si="34"/>
        <v>0</v>
      </c>
      <c r="AA32" s="79">
        <f t="shared" si="34"/>
        <v>0</v>
      </c>
      <c r="AB32" s="79">
        <f t="shared" si="34"/>
        <v>0</v>
      </c>
      <c r="AC32" s="90">
        <f t="shared" ref="AC32:AC33" si="35">+SUM(E32:AB32)*D32</f>
        <v>0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>$B31/24/$D34</f>
        <v>0</v>
      </c>
      <c r="F33" s="82">
        <f t="shared" ref="F33:AB33" si="36">$B31/24/$D34</f>
        <v>0</v>
      </c>
      <c r="G33" s="82">
        <f t="shared" si="36"/>
        <v>0</v>
      </c>
      <c r="H33" s="82">
        <f t="shared" si="36"/>
        <v>0</v>
      </c>
      <c r="I33" s="82">
        <f t="shared" si="36"/>
        <v>0</v>
      </c>
      <c r="J33" s="82">
        <f t="shared" si="36"/>
        <v>0</v>
      </c>
      <c r="K33" s="82">
        <f t="shared" si="36"/>
        <v>0</v>
      </c>
      <c r="L33" s="82">
        <f t="shared" si="36"/>
        <v>0</v>
      </c>
      <c r="M33" s="82">
        <f t="shared" si="36"/>
        <v>0</v>
      </c>
      <c r="N33" s="82">
        <f t="shared" si="36"/>
        <v>0</v>
      </c>
      <c r="O33" s="82">
        <f t="shared" si="36"/>
        <v>0</v>
      </c>
      <c r="P33" s="82">
        <f t="shared" si="36"/>
        <v>0</v>
      </c>
      <c r="Q33" s="82">
        <f t="shared" si="36"/>
        <v>0</v>
      </c>
      <c r="R33" s="82">
        <f t="shared" si="36"/>
        <v>0</v>
      </c>
      <c r="S33" s="82">
        <f t="shared" si="36"/>
        <v>0</v>
      </c>
      <c r="T33" s="82">
        <f t="shared" si="36"/>
        <v>0</v>
      </c>
      <c r="U33" s="82">
        <f t="shared" si="36"/>
        <v>0</v>
      </c>
      <c r="V33" s="82">
        <f t="shared" si="36"/>
        <v>0</v>
      </c>
      <c r="W33" s="82">
        <f t="shared" si="36"/>
        <v>0</v>
      </c>
      <c r="X33" s="82">
        <f t="shared" si="36"/>
        <v>0</v>
      </c>
      <c r="Y33" s="82">
        <f t="shared" si="36"/>
        <v>0</v>
      </c>
      <c r="Z33" s="82">
        <f t="shared" si="36"/>
        <v>0</v>
      </c>
      <c r="AA33" s="82">
        <f t="shared" si="36"/>
        <v>0</v>
      </c>
      <c r="AB33" s="82">
        <f t="shared" si="36"/>
        <v>0</v>
      </c>
      <c r="AC33" s="91">
        <f t="shared" si="35"/>
        <v>0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7-2024</v>
      </c>
      <c r="B35" s="139">
        <f>'P1_AÑO 2024'!C22</f>
        <v>0</v>
      </c>
      <c r="C35" s="59" t="s">
        <v>40</v>
      </c>
      <c r="D35" s="60">
        <f>VLOOKUP(A35&amp;C35,calendario!I:L,4,0)</f>
        <v>23</v>
      </c>
      <c r="E35" s="77">
        <f>$B35/24/$D38</f>
        <v>0</v>
      </c>
      <c r="F35" s="77">
        <f t="shared" ref="F35:AB35" si="39">$B35/24/$D38</f>
        <v>0</v>
      </c>
      <c r="G35" s="77">
        <f t="shared" si="39"/>
        <v>0</v>
      </c>
      <c r="H35" s="77">
        <f t="shared" si="39"/>
        <v>0</v>
      </c>
      <c r="I35" s="77">
        <f t="shared" si="39"/>
        <v>0</v>
      </c>
      <c r="J35" s="77">
        <f t="shared" si="39"/>
        <v>0</v>
      </c>
      <c r="K35" s="77">
        <f t="shared" si="39"/>
        <v>0</v>
      </c>
      <c r="L35" s="77">
        <f t="shared" si="39"/>
        <v>0</v>
      </c>
      <c r="M35" s="77">
        <f t="shared" si="39"/>
        <v>0</v>
      </c>
      <c r="N35" s="77">
        <f t="shared" si="39"/>
        <v>0</v>
      </c>
      <c r="O35" s="77">
        <f t="shared" si="39"/>
        <v>0</v>
      </c>
      <c r="P35" s="77">
        <f t="shared" si="39"/>
        <v>0</v>
      </c>
      <c r="Q35" s="77">
        <f t="shared" si="39"/>
        <v>0</v>
      </c>
      <c r="R35" s="77">
        <f t="shared" si="39"/>
        <v>0</v>
      </c>
      <c r="S35" s="77">
        <f t="shared" si="39"/>
        <v>0</v>
      </c>
      <c r="T35" s="77">
        <f t="shared" si="39"/>
        <v>0</v>
      </c>
      <c r="U35" s="77">
        <f t="shared" si="39"/>
        <v>0</v>
      </c>
      <c r="V35" s="77">
        <f t="shared" si="39"/>
        <v>0</v>
      </c>
      <c r="W35" s="77">
        <f t="shared" si="39"/>
        <v>0</v>
      </c>
      <c r="X35" s="77">
        <f t="shared" si="39"/>
        <v>0</v>
      </c>
      <c r="Y35" s="77">
        <f t="shared" si="39"/>
        <v>0</v>
      </c>
      <c r="Z35" s="77">
        <f t="shared" si="39"/>
        <v>0</v>
      </c>
      <c r="AA35" s="77">
        <f t="shared" si="39"/>
        <v>0</v>
      </c>
      <c r="AB35" s="77">
        <f t="shared" si="39"/>
        <v>0</v>
      </c>
      <c r="AC35" s="89">
        <f t="shared" ref="AC35" si="40">+SUM(E35:AB35)*D35</f>
        <v>0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>$B35/24/$D38</f>
        <v>0</v>
      </c>
      <c r="F36" s="79">
        <f t="shared" ref="F36:AB36" si="41">$B35/24/$D38</f>
        <v>0</v>
      </c>
      <c r="G36" s="79">
        <f t="shared" si="41"/>
        <v>0</v>
      </c>
      <c r="H36" s="79">
        <f t="shared" si="41"/>
        <v>0</v>
      </c>
      <c r="I36" s="79">
        <f t="shared" si="41"/>
        <v>0</v>
      </c>
      <c r="J36" s="79">
        <f t="shared" si="41"/>
        <v>0</v>
      </c>
      <c r="K36" s="79">
        <f t="shared" si="41"/>
        <v>0</v>
      </c>
      <c r="L36" s="79">
        <f t="shared" si="41"/>
        <v>0</v>
      </c>
      <c r="M36" s="79">
        <f t="shared" si="41"/>
        <v>0</v>
      </c>
      <c r="N36" s="79">
        <f t="shared" si="41"/>
        <v>0</v>
      </c>
      <c r="O36" s="79">
        <f t="shared" si="41"/>
        <v>0</v>
      </c>
      <c r="P36" s="79">
        <f t="shared" si="41"/>
        <v>0</v>
      </c>
      <c r="Q36" s="79">
        <f t="shared" si="41"/>
        <v>0</v>
      </c>
      <c r="R36" s="79">
        <f t="shared" si="41"/>
        <v>0</v>
      </c>
      <c r="S36" s="79">
        <f t="shared" si="41"/>
        <v>0</v>
      </c>
      <c r="T36" s="79">
        <f t="shared" si="41"/>
        <v>0</v>
      </c>
      <c r="U36" s="79">
        <f t="shared" si="41"/>
        <v>0</v>
      </c>
      <c r="V36" s="79">
        <f t="shared" si="41"/>
        <v>0</v>
      </c>
      <c r="W36" s="79">
        <f t="shared" si="41"/>
        <v>0</v>
      </c>
      <c r="X36" s="79">
        <f t="shared" si="41"/>
        <v>0</v>
      </c>
      <c r="Y36" s="79">
        <f t="shared" si="41"/>
        <v>0</v>
      </c>
      <c r="Z36" s="79">
        <f t="shared" si="41"/>
        <v>0</v>
      </c>
      <c r="AA36" s="79">
        <f t="shared" si="41"/>
        <v>0</v>
      </c>
      <c r="AB36" s="79">
        <f t="shared" si="41"/>
        <v>0</v>
      </c>
      <c r="AC36" s="90">
        <f t="shared" ref="AC36:AC37" si="42">+SUM(E36:AB36)*D36</f>
        <v>0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>$B35/24/$D38</f>
        <v>0</v>
      </c>
      <c r="F37" s="82">
        <f t="shared" ref="F37:AB37" si="43">$B35/24/$D38</f>
        <v>0</v>
      </c>
      <c r="G37" s="82">
        <f t="shared" si="43"/>
        <v>0</v>
      </c>
      <c r="H37" s="82">
        <f t="shared" si="43"/>
        <v>0</v>
      </c>
      <c r="I37" s="82">
        <f t="shared" si="43"/>
        <v>0</v>
      </c>
      <c r="J37" s="82">
        <f t="shared" si="43"/>
        <v>0</v>
      </c>
      <c r="K37" s="82">
        <f t="shared" si="43"/>
        <v>0</v>
      </c>
      <c r="L37" s="82">
        <f t="shared" si="43"/>
        <v>0</v>
      </c>
      <c r="M37" s="82">
        <f t="shared" si="43"/>
        <v>0</v>
      </c>
      <c r="N37" s="82">
        <f t="shared" si="43"/>
        <v>0</v>
      </c>
      <c r="O37" s="82">
        <f t="shared" si="43"/>
        <v>0</v>
      </c>
      <c r="P37" s="82">
        <f t="shared" si="43"/>
        <v>0</v>
      </c>
      <c r="Q37" s="82">
        <f t="shared" si="43"/>
        <v>0</v>
      </c>
      <c r="R37" s="82">
        <f t="shared" si="43"/>
        <v>0</v>
      </c>
      <c r="S37" s="82">
        <f t="shared" si="43"/>
        <v>0</v>
      </c>
      <c r="T37" s="82">
        <f t="shared" si="43"/>
        <v>0</v>
      </c>
      <c r="U37" s="82">
        <f t="shared" si="43"/>
        <v>0</v>
      </c>
      <c r="V37" s="82">
        <f t="shared" si="43"/>
        <v>0</v>
      </c>
      <c r="W37" s="82">
        <f t="shared" si="43"/>
        <v>0</v>
      </c>
      <c r="X37" s="82">
        <f t="shared" si="43"/>
        <v>0</v>
      </c>
      <c r="Y37" s="82">
        <f t="shared" si="43"/>
        <v>0</v>
      </c>
      <c r="Z37" s="82">
        <f t="shared" si="43"/>
        <v>0</v>
      </c>
      <c r="AA37" s="82">
        <f t="shared" si="43"/>
        <v>0</v>
      </c>
      <c r="AB37" s="82">
        <f t="shared" si="43"/>
        <v>0</v>
      </c>
      <c r="AC37" s="91">
        <f t="shared" si="42"/>
        <v>0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0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8-2024</v>
      </c>
      <c r="B39" s="139">
        <f>'P1_AÑO 2024'!C23</f>
        <v>0</v>
      </c>
      <c r="C39" s="59" t="s">
        <v>40</v>
      </c>
      <c r="D39" s="60">
        <f>VLOOKUP(A39&amp;C39,calendario!I:L,4,0)</f>
        <v>22</v>
      </c>
      <c r="E39" s="77">
        <f>$B39/24/$D42</f>
        <v>0</v>
      </c>
      <c r="F39" s="77">
        <f t="shared" ref="F39:AB39" si="46">$B39/24/$D42</f>
        <v>0</v>
      </c>
      <c r="G39" s="77">
        <f t="shared" si="46"/>
        <v>0</v>
      </c>
      <c r="H39" s="77">
        <f t="shared" si="46"/>
        <v>0</v>
      </c>
      <c r="I39" s="77">
        <f t="shared" si="46"/>
        <v>0</v>
      </c>
      <c r="J39" s="77">
        <f t="shared" si="46"/>
        <v>0</v>
      </c>
      <c r="K39" s="77">
        <f t="shared" si="46"/>
        <v>0</v>
      </c>
      <c r="L39" s="77">
        <f t="shared" si="46"/>
        <v>0</v>
      </c>
      <c r="M39" s="77">
        <f t="shared" si="46"/>
        <v>0</v>
      </c>
      <c r="N39" s="77">
        <f t="shared" si="46"/>
        <v>0</v>
      </c>
      <c r="O39" s="77">
        <f t="shared" si="46"/>
        <v>0</v>
      </c>
      <c r="P39" s="77">
        <f t="shared" si="46"/>
        <v>0</v>
      </c>
      <c r="Q39" s="77">
        <f t="shared" si="46"/>
        <v>0</v>
      </c>
      <c r="R39" s="77">
        <f t="shared" si="46"/>
        <v>0</v>
      </c>
      <c r="S39" s="77">
        <f t="shared" si="46"/>
        <v>0</v>
      </c>
      <c r="T39" s="77">
        <f t="shared" si="46"/>
        <v>0</v>
      </c>
      <c r="U39" s="77">
        <f t="shared" si="46"/>
        <v>0</v>
      </c>
      <c r="V39" s="77">
        <f t="shared" si="46"/>
        <v>0</v>
      </c>
      <c r="W39" s="77">
        <f t="shared" si="46"/>
        <v>0</v>
      </c>
      <c r="X39" s="77">
        <f t="shared" si="46"/>
        <v>0</v>
      </c>
      <c r="Y39" s="77">
        <f t="shared" si="46"/>
        <v>0</v>
      </c>
      <c r="Z39" s="77">
        <f t="shared" si="46"/>
        <v>0</v>
      </c>
      <c r="AA39" s="77">
        <f t="shared" si="46"/>
        <v>0</v>
      </c>
      <c r="AB39" s="77">
        <f t="shared" si="46"/>
        <v>0</v>
      </c>
      <c r="AC39" s="89">
        <f t="shared" ref="AC39" si="47">+SUM(E39:AB39)*D39</f>
        <v>0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>$B39/24/$D42</f>
        <v>0</v>
      </c>
      <c r="F40" s="79">
        <f t="shared" ref="F40:AB40" si="48">$B39/24/$D42</f>
        <v>0</v>
      </c>
      <c r="G40" s="79">
        <f t="shared" si="48"/>
        <v>0</v>
      </c>
      <c r="H40" s="79">
        <f t="shared" si="48"/>
        <v>0</v>
      </c>
      <c r="I40" s="79">
        <f t="shared" si="48"/>
        <v>0</v>
      </c>
      <c r="J40" s="79">
        <f t="shared" si="48"/>
        <v>0</v>
      </c>
      <c r="K40" s="79">
        <f t="shared" si="48"/>
        <v>0</v>
      </c>
      <c r="L40" s="79">
        <f t="shared" si="48"/>
        <v>0</v>
      </c>
      <c r="M40" s="79">
        <f t="shared" si="48"/>
        <v>0</v>
      </c>
      <c r="N40" s="79">
        <f t="shared" si="48"/>
        <v>0</v>
      </c>
      <c r="O40" s="79">
        <f t="shared" si="48"/>
        <v>0</v>
      </c>
      <c r="P40" s="79">
        <f t="shared" si="48"/>
        <v>0</v>
      </c>
      <c r="Q40" s="79">
        <f t="shared" si="48"/>
        <v>0</v>
      </c>
      <c r="R40" s="79">
        <f t="shared" si="48"/>
        <v>0</v>
      </c>
      <c r="S40" s="79">
        <f t="shared" si="48"/>
        <v>0</v>
      </c>
      <c r="T40" s="79">
        <f t="shared" si="48"/>
        <v>0</v>
      </c>
      <c r="U40" s="79">
        <f t="shared" si="48"/>
        <v>0</v>
      </c>
      <c r="V40" s="79">
        <f t="shared" si="48"/>
        <v>0</v>
      </c>
      <c r="W40" s="79">
        <f t="shared" si="48"/>
        <v>0</v>
      </c>
      <c r="X40" s="79">
        <f t="shared" si="48"/>
        <v>0</v>
      </c>
      <c r="Y40" s="79">
        <f t="shared" si="48"/>
        <v>0</v>
      </c>
      <c r="Z40" s="79">
        <f t="shared" si="48"/>
        <v>0</v>
      </c>
      <c r="AA40" s="79">
        <f t="shared" si="48"/>
        <v>0</v>
      </c>
      <c r="AB40" s="79">
        <f t="shared" si="48"/>
        <v>0</v>
      </c>
      <c r="AC40" s="90">
        <f t="shared" ref="AC40:AC41" si="49">+SUM(E40:AB40)*D40</f>
        <v>0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>$B39/24/$D42</f>
        <v>0</v>
      </c>
      <c r="F41" s="82">
        <f t="shared" ref="F41:AB41" si="50">$B39/24/$D42</f>
        <v>0</v>
      </c>
      <c r="G41" s="82">
        <f t="shared" si="50"/>
        <v>0</v>
      </c>
      <c r="H41" s="82">
        <f t="shared" si="50"/>
        <v>0</v>
      </c>
      <c r="I41" s="82">
        <f t="shared" si="50"/>
        <v>0</v>
      </c>
      <c r="J41" s="82">
        <f t="shared" si="50"/>
        <v>0</v>
      </c>
      <c r="K41" s="82">
        <f t="shared" si="50"/>
        <v>0</v>
      </c>
      <c r="L41" s="82">
        <f t="shared" si="50"/>
        <v>0</v>
      </c>
      <c r="M41" s="82">
        <f t="shared" si="50"/>
        <v>0</v>
      </c>
      <c r="N41" s="82">
        <f t="shared" si="50"/>
        <v>0</v>
      </c>
      <c r="O41" s="82">
        <f t="shared" si="50"/>
        <v>0</v>
      </c>
      <c r="P41" s="82">
        <f t="shared" si="50"/>
        <v>0</v>
      </c>
      <c r="Q41" s="82">
        <f t="shared" si="50"/>
        <v>0</v>
      </c>
      <c r="R41" s="82">
        <f t="shared" si="50"/>
        <v>0</v>
      </c>
      <c r="S41" s="82">
        <f t="shared" si="50"/>
        <v>0</v>
      </c>
      <c r="T41" s="82">
        <f t="shared" si="50"/>
        <v>0</v>
      </c>
      <c r="U41" s="82">
        <f t="shared" si="50"/>
        <v>0</v>
      </c>
      <c r="V41" s="82">
        <f t="shared" si="50"/>
        <v>0</v>
      </c>
      <c r="W41" s="82">
        <f t="shared" si="50"/>
        <v>0</v>
      </c>
      <c r="X41" s="82">
        <f t="shared" si="50"/>
        <v>0</v>
      </c>
      <c r="Y41" s="82">
        <f t="shared" si="50"/>
        <v>0</v>
      </c>
      <c r="Z41" s="82">
        <f t="shared" si="50"/>
        <v>0</v>
      </c>
      <c r="AA41" s="82">
        <f t="shared" si="50"/>
        <v>0</v>
      </c>
      <c r="AB41" s="82">
        <f t="shared" si="50"/>
        <v>0</v>
      </c>
      <c r="AC41" s="91">
        <f t="shared" si="49"/>
        <v>0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0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9-2024</v>
      </c>
      <c r="B43" s="139">
        <f>'P1_AÑO 2024'!C24</f>
        <v>0</v>
      </c>
      <c r="C43" s="59" t="s">
        <v>40</v>
      </c>
      <c r="D43" s="60">
        <f>VLOOKUP(A43&amp;C43,calendario!I:L,4,0)</f>
        <v>21</v>
      </c>
      <c r="E43" s="77">
        <f>$B43/24/$D46</f>
        <v>0</v>
      </c>
      <c r="F43" s="77">
        <f t="shared" ref="F43:AB43" si="53">$B43/24/$D46</f>
        <v>0</v>
      </c>
      <c r="G43" s="77">
        <f t="shared" si="53"/>
        <v>0</v>
      </c>
      <c r="H43" s="77">
        <f t="shared" si="53"/>
        <v>0</v>
      </c>
      <c r="I43" s="77">
        <f t="shared" si="53"/>
        <v>0</v>
      </c>
      <c r="J43" s="77">
        <f t="shared" si="53"/>
        <v>0</v>
      </c>
      <c r="K43" s="77">
        <f t="shared" si="53"/>
        <v>0</v>
      </c>
      <c r="L43" s="77">
        <f t="shared" si="53"/>
        <v>0</v>
      </c>
      <c r="M43" s="77">
        <f t="shared" si="53"/>
        <v>0</v>
      </c>
      <c r="N43" s="77">
        <f t="shared" si="53"/>
        <v>0</v>
      </c>
      <c r="O43" s="77">
        <f t="shared" si="53"/>
        <v>0</v>
      </c>
      <c r="P43" s="77">
        <f t="shared" si="53"/>
        <v>0</v>
      </c>
      <c r="Q43" s="77">
        <f t="shared" si="53"/>
        <v>0</v>
      </c>
      <c r="R43" s="77">
        <f t="shared" si="53"/>
        <v>0</v>
      </c>
      <c r="S43" s="77">
        <f t="shared" si="53"/>
        <v>0</v>
      </c>
      <c r="T43" s="77">
        <f t="shared" si="53"/>
        <v>0</v>
      </c>
      <c r="U43" s="77">
        <f t="shared" si="53"/>
        <v>0</v>
      </c>
      <c r="V43" s="77">
        <f t="shared" si="53"/>
        <v>0</v>
      </c>
      <c r="W43" s="77">
        <f t="shared" si="53"/>
        <v>0</v>
      </c>
      <c r="X43" s="77">
        <f t="shared" si="53"/>
        <v>0</v>
      </c>
      <c r="Y43" s="77">
        <f t="shared" si="53"/>
        <v>0</v>
      </c>
      <c r="Z43" s="77">
        <f t="shared" si="53"/>
        <v>0</v>
      </c>
      <c r="AA43" s="77">
        <f t="shared" si="53"/>
        <v>0</v>
      </c>
      <c r="AB43" s="77">
        <f t="shared" si="53"/>
        <v>0</v>
      </c>
      <c r="AC43" s="89">
        <f t="shared" ref="AC43" si="54">+SUM(E43:AB43)*D43</f>
        <v>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>$B43/24/$D46</f>
        <v>0</v>
      </c>
      <c r="F44" s="79">
        <f t="shared" ref="F44:AB44" si="55">$B43/24/$D46</f>
        <v>0</v>
      </c>
      <c r="G44" s="79">
        <f t="shared" si="55"/>
        <v>0</v>
      </c>
      <c r="H44" s="79">
        <f t="shared" si="55"/>
        <v>0</v>
      </c>
      <c r="I44" s="79">
        <f t="shared" si="55"/>
        <v>0</v>
      </c>
      <c r="J44" s="79">
        <f t="shared" si="55"/>
        <v>0</v>
      </c>
      <c r="K44" s="79">
        <f t="shared" si="55"/>
        <v>0</v>
      </c>
      <c r="L44" s="79">
        <f t="shared" si="55"/>
        <v>0</v>
      </c>
      <c r="M44" s="79">
        <f t="shared" si="55"/>
        <v>0</v>
      </c>
      <c r="N44" s="79">
        <f t="shared" si="55"/>
        <v>0</v>
      </c>
      <c r="O44" s="79">
        <f t="shared" si="55"/>
        <v>0</v>
      </c>
      <c r="P44" s="79">
        <f t="shared" si="55"/>
        <v>0</v>
      </c>
      <c r="Q44" s="79">
        <f t="shared" si="55"/>
        <v>0</v>
      </c>
      <c r="R44" s="79">
        <f t="shared" si="55"/>
        <v>0</v>
      </c>
      <c r="S44" s="79">
        <f t="shared" si="55"/>
        <v>0</v>
      </c>
      <c r="T44" s="79">
        <f t="shared" si="55"/>
        <v>0</v>
      </c>
      <c r="U44" s="79">
        <f t="shared" si="55"/>
        <v>0</v>
      </c>
      <c r="V44" s="79">
        <f t="shared" si="55"/>
        <v>0</v>
      </c>
      <c r="W44" s="79">
        <f t="shared" si="55"/>
        <v>0</v>
      </c>
      <c r="X44" s="79">
        <f t="shared" si="55"/>
        <v>0</v>
      </c>
      <c r="Y44" s="79">
        <f t="shared" si="55"/>
        <v>0</v>
      </c>
      <c r="Z44" s="79">
        <f t="shared" si="55"/>
        <v>0</v>
      </c>
      <c r="AA44" s="79">
        <f t="shared" si="55"/>
        <v>0</v>
      </c>
      <c r="AB44" s="79">
        <f t="shared" si="55"/>
        <v>0</v>
      </c>
      <c r="AC44" s="90">
        <f t="shared" ref="AC44:AC45" si="56">+SUM(E44:AB44)*D44</f>
        <v>0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>$B43/24/$D46</f>
        <v>0</v>
      </c>
      <c r="F45" s="82">
        <f t="shared" ref="F45:AB45" si="57">$B43/24/$D46</f>
        <v>0</v>
      </c>
      <c r="G45" s="82">
        <f t="shared" si="57"/>
        <v>0</v>
      </c>
      <c r="H45" s="82">
        <f t="shared" si="57"/>
        <v>0</v>
      </c>
      <c r="I45" s="82">
        <f t="shared" si="57"/>
        <v>0</v>
      </c>
      <c r="J45" s="82">
        <f t="shared" si="57"/>
        <v>0</v>
      </c>
      <c r="K45" s="82">
        <f t="shared" si="57"/>
        <v>0</v>
      </c>
      <c r="L45" s="82">
        <f t="shared" si="57"/>
        <v>0</v>
      </c>
      <c r="M45" s="82">
        <f t="shared" si="57"/>
        <v>0</v>
      </c>
      <c r="N45" s="82">
        <f t="shared" si="57"/>
        <v>0</v>
      </c>
      <c r="O45" s="82">
        <f t="shared" si="57"/>
        <v>0</v>
      </c>
      <c r="P45" s="82">
        <f t="shared" si="57"/>
        <v>0</v>
      </c>
      <c r="Q45" s="82">
        <f t="shared" si="57"/>
        <v>0</v>
      </c>
      <c r="R45" s="82">
        <f t="shared" si="57"/>
        <v>0</v>
      </c>
      <c r="S45" s="82">
        <f t="shared" si="57"/>
        <v>0</v>
      </c>
      <c r="T45" s="82">
        <f t="shared" si="57"/>
        <v>0</v>
      </c>
      <c r="U45" s="82">
        <f t="shared" si="57"/>
        <v>0</v>
      </c>
      <c r="V45" s="82">
        <f t="shared" si="57"/>
        <v>0</v>
      </c>
      <c r="W45" s="82">
        <f t="shared" si="57"/>
        <v>0</v>
      </c>
      <c r="X45" s="82">
        <f t="shared" si="57"/>
        <v>0</v>
      </c>
      <c r="Y45" s="82">
        <f t="shared" si="57"/>
        <v>0</v>
      </c>
      <c r="Z45" s="82">
        <f t="shared" si="57"/>
        <v>0</v>
      </c>
      <c r="AA45" s="82">
        <f t="shared" si="57"/>
        <v>0</v>
      </c>
      <c r="AB45" s="82">
        <f t="shared" si="57"/>
        <v>0</v>
      </c>
      <c r="AC45" s="91">
        <f t="shared" si="56"/>
        <v>0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0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10-2024</v>
      </c>
      <c r="B47" s="139">
        <f>'P1_AÑO 2024'!C25</f>
        <v>0</v>
      </c>
      <c r="C47" s="59" t="s">
        <v>40</v>
      </c>
      <c r="D47" s="60">
        <f>VLOOKUP(A47&amp;C47,calendario!I:L,4,0)</f>
        <v>23</v>
      </c>
      <c r="E47" s="77">
        <f>$B47/24/$D50</f>
        <v>0</v>
      </c>
      <c r="F47" s="77">
        <f t="shared" ref="F47:AB47" si="60">$B47/24/$D50</f>
        <v>0</v>
      </c>
      <c r="G47" s="77">
        <f t="shared" si="60"/>
        <v>0</v>
      </c>
      <c r="H47" s="77">
        <f t="shared" si="60"/>
        <v>0</v>
      </c>
      <c r="I47" s="77">
        <f t="shared" si="60"/>
        <v>0</v>
      </c>
      <c r="J47" s="77">
        <f t="shared" si="60"/>
        <v>0</v>
      </c>
      <c r="K47" s="77">
        <f t="shared" si="60"/>
        <v>0</v>
      </c>
      <c r="L47" s="77">
        <f t="shared" si="60"/>
        <v>0</v>
      </c>
      <c r="M47" s="77">
        <f t="shared" si="60"/>
        <v>0</v>
      </c>
      <c r="N47" s="77">
        <f t="shared" si="60"/>
        <v>0</v>
      </c>
      <c r="O47" s="77">
        <f t="shared" si="60"/>
        <v>0</v>
      </c>
      <c r="P47" s="77">
        <f t="shared" si="60"/>
        <v>0</v>
      </c>
      <c r="Q47" s="77">
        <f t="shared" si="60"/>
        <v>0</v>
      </c>
      <c r="R47" s="77">
        <f t="shared" si="60"/>
        <v>0</v>
      </c>
      <c r="S47" s="77">
        <f t="shared" si="60"/>
        <v>0</v>
      </c>
      <c r="T47" s="77">
        <f t="shared" si="60"/>
        <v>0</v>
      </c>
      <c r="U47" s="77">
        <f t="shared" si="60"/>
        <v>0</v>
      </c>
      <c r="V47" s="77">
        <f t="shared" si="60"/>
        <v>0</v>
      </c>
      <c r="W47" s="77">
        <f t="shared" si="60"/>
        <v>0</v>
      </c>
      <c r="X47" s="77">
        <f t="shared" si="60"/>
        <v>0</v>
      </c>
      <c r="Y47" s="77">
        <f t="shared" si="60"/>
        <v>0</v>
      </c>
      <c r="Z47" s="77">
        <f t="shared" si="60"/>
        <v>0</v>
      </c>
      <c r="AA47" s="77">
        <f t="shared" si="60"/>
        <v>0</v>
      </c>
      <c r="AB47" s="77">
        <f t="shared" si="60"/>
        <v>0</v>
      </c>
      <c r="AC47" s="89">
        <f t="shared" ref="AC47" si="61">+SUM(E47:AB47)*D47</f>
        <v>0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>$B47/24/$D50</f>
        <v>0</v>
      </c>
      <c r="F48" s="79">
        <f t="shared" ref="F48:AB48" si="62">$B47/24/$D50</f>
        <v>0</v>
      </c>
      <c r="G48" s="79">
        <f t="shared" si="62"/>
        <v>0</v>
      </c>
      <c r="H48" s="79">
        <f t="shared" si="62"/>
        <v>0</v>
      </c>
      <c r="I48" s="79">
        <f t="shared" si="62"/>
        <v>0</v>
      </c>
      <c r="J48" s="79">
        <f t="shared" si="62"/>
        <v>0</v>
      </c>
      <c r="K48" s="79">
        <f t="shared" si="62"/>
        <v>0</v>
      </c>
      <c r="L48" s="79">
        <f t="shared" si="62"/>
        <v>0</v>
      </c>
      <c r="M48" s="79">
        <f t="shared" si="62"/>
        <v>0</v>
      </c>
      <c r="N48" s="79">
        <f t="shared" si="62"/>
        <v>0</v>
      </c>
      <c r="O48" s="79">
        <f t="shared" si="62"/>
        <v>0</v>
      </c>
      <c r="P48" s="79">
        <f t="shared" si="62"/>
        <v>0</v>
      </c>
      <c r="Q48" s="79">
        <f t="shared" si="62"/>
        <v>0</v>
      </c>
      <c r="R48" s="79">
        <f t="shared" si="62"/>
        <v>0</v>
      </c>
      <c r="S48" s="79">
        <f t="shared" si="62"/>
        <v>0</v>
      </c>
      <c r="T48" s="79">
        <f t="shared" si="62"/>
        <v>0</v>
      </c>
      <c r="U48" s="79">
        <f t="shared" si="62"/>
        <v>0</v>
      </c>
      <c r="V48" s="79">
        <f t="shared" si="62"/>
        <v>0</v>
      </c>
      <c r="W48" s="79">
        <f t="shared" si="62"/>
        <v>0</v>
      </c>
      <c r="X48" s="79">
        <f t="shared" si="62"/>
        <v>0</v>
      </c>
      <c r="Y48" s="79">
        <f t="shared" si="62"/>
        <v>0</v>
      </c>
      <c r="Z48" s="79">
        <f t="shared" si="62"/>
        <v>0</v>
      </c>
      <c r="AA48" s="79">
        <f t="shared" si="62"/>
        <v>0</v>
      </c>
      <c r="AB48" s="79">
        <f t="shared" si="62"/>
        <v>0</v>
      </c>
      <c r="AC48" s="90">
        <f t="shared" ref="AC48:AC49" si="63">+SUM(E48:AB48)*D48</f>
        <v>0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>$B47/24/$D50</f>
        <v>0</v>
      </c>
      <c r="F49" s="82">
        <f t="shared" ref="F49:AB49" si="64">$B47/24/$D50</f>
        <v>0</v>
      </c>
      <c r="G49" s="82">
        <f t="shared" si="64"/>
        <v>0</v>
      </c>
      <c r="H49" s="82">
        <f t="shared" si="64"/>
        <v>0</v>
      </c>
      <c r="I49" s="82">
        <f t="shared" si="64"/>
        <v>0</v>
      </c>
      <c r="J49" s="82">
        <f t="shared" si="64"/>
        <v>0</v>
      </c>
      <c r="K49" s="82">
        <f t="shared" si="64"/>
        <v>0</v>
      </c>
      <c r="L49" s="82">
        <f t="shared" si="64"/>
        <v>0</v>
      </c>
      <c r="M49" s="82">
        <f t="shared" si="64"/>
        <v>0</v>
      </c>
      <c r="N49" s="82">
        <f t="shared" si="64"/>
        <v>0</v>
      </c>
      <c r="O49" s="82">
        <f t="shared" si="64"/>
        <v>0</v>
      </c>
      <c r="P49" s="82">
        <f t="shared" si="64"/>
        <v>0</v>
      </c>
      <c r="Q49" s="82">
        <f t="shared" si="64"/>
        <v>0</v>
      </c>
      <c r="R49" s="82">
        <f t="shared" si="64"/>
        <v>0</v>
      </c>
      <c r="S49" s="82">
        <f t="shared" si="64"/>
        <v>0</v>
      </c>
      <c r="T49" s="82">
        <f t="shared" si="64"/>
        <v>0</v>
      </c>
      <c r="U49" s="82">
        <f t="shared" si="64"/>
        <v>0</v>
      </c>
      <c r="V49" s="82">
        <f t="shared" si="64"/>
        <v>0</v>
      </c>
      <c r="W49" s="82">
        <f t="shared" si="64"/>
        <v>0</v>
      </c>
      <c r="X49" s="82">
        <f t="shared" si="64"/>
        <v>0</v>
      </c>
      <c r="Y49" s="82">
        <f t="shared" si="64"/>
        <v>0</v>
      </c>
      <c r="Z49" s="82">
        <f t="shared" si="64"/>
        <v>0</v>
      </c>
      <c r="AA49" s="82">
        <f t="shared" si="64"/>
        <v>0</v>
      </c>
      <c r="AB49" s="82">
        <f t="shared" si="64"/>
        <v>0</v>
      </c>
      <c r="AC49" s="91">
        <f t="shared" si="63"/>
        <v>0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0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11-2024</v>
      </c>
      <c r="B51" s="139">
        <f>'P1_AÑO 2024'!C26</f>
        <v>4000000</v>
      </c>
      <c r="C51" s="59" t="s">
        <v>40</v>
      </c>
      <c r="D51" s="60">
        <f>VLOOKUP(A51&amp;C51,calendario!I:L,4,0)</f>
        <v>21</v>
      </c>
      <c r="E51" s="77">
        <f>($B51/$D54)*E$6</f>
        <v>4225.7282408492483</v>
      </c>
      <c r="F51" s="77">
        <f t="shared" ref="F51:AB51" si="67">($B51/$D54)*F$6</f>
        <v>4102.575589904317</v>
      </c>
      <c r="G51" s="77">
        <f t="shared" si="67"/>
        <v>3987.7865798793782</v>
      </c>
      <c r="H51" s="77">
        <f t="shared" si="67"/>
        <v>3950.6231233186536</v>
      </c>
      <c r="I51" s="77">
        <f t="shared" si="67"/>
        <v>4007.2872213605033</v>
      </c>
      <c r="J51" s="77">
        <f t="shared" si="67"/>
        <v>4232.4678415516919</v>
      </c>
      <c r="K51" s="77">
        <f t="shared" si="67"/>
        <v>4937.9402052512814</v>
      </c>
      <c r="L51" s="77">
        <f t="shared" si="67"/>
        <v>5754.870398346452</v>
      </c>
      <c r="M51" s="77">
        <f t="shared" si="67"/>
        <v>6137.511365999002</v>
      </c>
      <c r="N51" s="77">
        <f t="shared" si="67"/>
        <v>6394.1314138962407</v>
      </c>
      <c r="O51" s="77">
        <f t="shared" si="67"/>
        <v>6614.6360298932386</v>
      </c>
      <c r="P51" s="77">
        <f t="shared" si="67"/>
        <v>6816.8453071214708</v>
      </c>
      <c r="Q51" s="77">
        <f t="shared" si="67"/>
        <v>6773.9355158644576</v>
      </c>
      <c r="R51" s="77">
        <f t="shared" si="67"/>
        <v>6755.32133477139</v>
      </c>
      <c r="S51" s="77">
        <f t="shared" si="67"/>
        <v>6796.4322255073448</v>
      </c>
      <c r="T51" s="77">
        <f t="shared" si="67"/>
        <v>6777.4791705694661</v>
      </c>
      <c r="U51" s="77">
        <f t="shared" si="67"/>
        <v>6519.1735008370315</v>
      </c>
      <c r="V51" s="77">
        <f t="shared" si="67"/>
        <v>6261.9428851966841</v>
      </c>
      <c r="W51" s="77">
        <f t="shared" si="67"/>
        <v>6226.2672720088085</v>
      </c>
      <c r="X51" s="77">
        <f t="shared" si="67"/>
        <v>6147.1258835273629</v>
      </c>
      <c r="Y51" s="77">
        <f t="shared" si="67"/>
        <v>5754.0371220827237</v>
      </c>
      <c r="Z51" s="77">
        <f t="shared" si="67"/>
        <v>5143.1940111756121</v>
      </c>
      <c r="AA51" s="77">
        <f t="shared" si="67"/>
        <v>4631.7266612094636</v>
      </c>
      <c r="AB51" s="77">
        <f t="shared" si="67"/>
        <v>4384.2944332115176</v>
      </c>
      <c r="AC51" s="89">
        <f t="shared" ref="AC51" si="68">+SUM(E51:AB51)*D51</f>
        <v>2800000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>E51</f>
        <v>4225.7282408492483</v>
      </c>
      <c r="F52" s="79">
        <f t="shared" ref="F52:AB53" si="69">F51</f>
        <v>4102.575589904317</v>
      </c>
      <c r="G52" s="79">
        <f t="shared" si="69"/>
        <v>3987.7865798793782</v>
      </c>
      <c r="H52" s="79">
        <f t="shared" si="69"/>
        <v>3950.6231233186536</v>
      </c>
      <c r="I52" s="79">
        <f t="shared" si="69"/>
        <v>4007.2872213605033</v>
      </c>
      <c r="J52" s="79">
        <f t="shared" si="69"/>
        <v>4232.4678415516919</v>
      </c>
      <c r="K52" s="79">
        <f t="shared" si="69"/>
        <v>4937.9402052512814</v>
      </c>
      <c r="L52" s="79">
        <f t="shared" si="69"/>
        <v>5754.870398346452</v>
      </c>
      <c r="M52" s="79">
        <f t="shared" si="69"/>
        <v>6137.511365999002</v>
      </c>
      <c r="N52" s="79">
        <f t="shared" si="69"/>
        <v>6394.1314138962407</v>
      </c>
      <c r="O52" s="79">
        <f t="shared" si="69"/>
        <v>6614.6360298932386</v>
      </c>
      <c r="P52" s="79">
        <f t="shared" si="69"/>
        <v>6816.8453071214708</v>
      </c>
      <c r="Q52" s="79">
        <f t="shared" si="69"/>
        <v>6773.9355158644576</v>
      </c>
      <c r="R52" s="79">
        <f t="shared" si="69"/>
        <v>6755.32133477139</v>
      </c>
      <c r="S52" s="79">
        <f t="shared" si="69"/>
        <v>6796.4322255073448</v>
      </c>
      <c r="T52" s="79">
        <f t="shared" si="69"/>
        <v>6777.4791705694661</v>
      </c>
      <c r="U52" s="79">
        <f t="shared" si="69"/>
        <v>6519.1735008370315</v>
      </c>
      <c r="V52" s="79">
        <f t="shared" si="69"/>
        <v>6261.9428851966841</v>
      </c>
      <c r="W52" s="79">
        <f t="shared" si="69"/>
        <v>6226.2672720088085</v>
      </c>
      <c r="X52" s="79">
        <f t="shared" si="69"/>
        <v>6147.1258835273629</v>
      </c>
      <c r="Y52" s="79">
        <f t="shared" si="69"/>
        <v>5754.0371220827237</v>
      </c>
      <c r="Z52" s="79">
        <f t="shared" si="69"/>
        <v>5143.1940111756121</v>
      </c>
      <c r="AA52" s="79">
        <f t="shared" si="69"/>
        <v>4631.7266612094636</v>
      </c>
      <c r="AB52" s="79">
        <f t="shared" si="69"/>
        <v>4384.2944332115176</v>
      </c>
      <c r="AC52" s="90">
        <f t="shared" ref="AC52:AC53" si="70">+SUM(E52:AB52)*D52</f>
        <v>666666.66666666674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>E52</f>
        <v>4225.7282408492483</v>
      </c>
      <c r="F53" s="82">
        <f t="shared" si="69"/>
        <v>4102.575589904317</v>
      </c>
      <c r="G53" s="82">
        <f t="shared" si="69"/>
        <v>3987.7865798793782</v>
      </c>
      <c r="H53" s="82">
        <f t="shared" si="69"/>
        <v>3950.6231233186536</v>
      </c>
      <c r="I53" s="82">
        <f t="shared" si="69"/>
        <v>4007.2872213605033</v>
      </c>
      <c r="J53" s="82">
        <f t="shared" si="69"/>
        <v>4232.4678415516919</v>
      </c>
      <c r="K53" s="82">
        <f t="shared" si="69"/>
        <v>4937.9402052512814</v>
      </c>
      <c r="L53" s="82">
        <f t="shared" si="69"/>
        <v>5754.870398346452</v>
      </c>
      <c r="M53" s="82">
        <f t="shared" si="69"/>
        <v>6137.511365999002</v>
      </c>
      <c r="N53" s="82">
        <f t="shared" si="69"/>
        <v>6394.1314138962407</v>
      </c>
      <c r="O53" s="82">
        <f t="shared" si="69"/>
        <v>6614.6360298932386</v>
      </c>
      <c r="P53" s="82">
        <f t="shared" si="69"/>
        <v>6816.8453071214708</v>
      </c>
      <c r="Q53" s="82">
        <f t="shared" si="69"/>
        <v>6773.9355158644576</v>
      </c>
      <c r="R53" s="82">
        <f t="shared" si="69"/>
        <v>6755.32133477139</v>
      </c>
      <c r="S53" s="82">
        <f t="shared" si="69"/>
        <v>6796.4322255073448</v>
      </c>
      <c r="T53" s="82">
        <f t="shared" si="69"/>
        <v>6777.4791705694661</v>
      </c>
      <c r="U53" s="82">
        <f t="shared" si="69"/>
        <v>6519.1735008370315</v>
      </c>
      <c r="V53" s="82">
        <f t="shared" si="69"/>
        <v>6261.9428851966841</v>
      </c>
      <c r="W53" s="82">
        <f t="shared" si="69"/>
        <v>6226.2672720088085</v>
      </c>
      <c r="X53" s="82">
        <f t="shared" si="69"/>
        <v>6147.1258835273629</v>
      </c>
      <c r="Y53" s="82">
        <f t="shared" si="69"/>
        <v>5754.0371220827237</v>
      </c>
      <c r="Z53" s="82">
        <f t="shared" si="69"/>
        <v>5143.1940111756121</v>
      </c>
      <c r="AA53" s="82">
        <f t="shared" si="69"/>
        <v>4631.7266612094636</v>
      </c>
      <c r="AB53" s="82">
        <f t="shared" si="69"/>
        <v>4384.2944332115176</v>
      </c>
      <c r="AC53" s="91">
        <f t="shared" si="70"/>
        <v>533333.33333333337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1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2">+SUM(AC51:AC53)</f>
        <v>4000000.0000000005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12-2024</v>
      </c>
      <c r="B55" s="141">
        <f>'P1_AÑO 2024'!C27</f>
        <v>4000000</v>
      </c>
      <c r="C55" s="59" t="s">
        <v>40</v>
      </c>
      <c r="D55" s="60">
        <f>VLOOKUP(A55&amp;C55,calendario!I:L,4,0)</f>
        <v>22</v>
      </c>
      <c r="E55" s="77">
        <f>($B55/$D58)*E$6</f>
        <v>4089.4144266283047</v>
      </c>
      <c r="F55" s="77">
        <f t="shared" ref="F55:AB55" si="73">($B55/$D58)*F$6</f>
        <v>3970.234441842887</v>
      </c>
      <c r="G55" s="77">
        <f t="shared" si="73"/>
        <v>3859.1483031090756</v>
      </c>
      <c r="H55" s="77">
        <f t="shared" si="73"/>
        <v>3823.1836677277292</v>
      </c>
      <c r="I55" s="77">
        <f t="shared" si="73"/>
        <v>3878.0198916391969</v>
      </c>
      <c r="J55" s="77">
        <f t="shared" si="73"/>
        <v>4095.9366208564757</v>
      </c>
      <c r="K55" s="77">
        <f t="shared" si="73"/>
        <v>4778.6518115334975</v>
      </c>
      <c r="L55" s="77">
        <f t="shared" si="73"/>
        <v>5569.229417754631</v>
      </c>
      <c r="M55" s="77">
        <f t="shared" si="73"/>
        <v>5939.5271283861312</v>
      </c>
      <c r="N55" s="77">
        <f t="shared" si="73"/>
        <v>6187.8691102221683</v>
      </c>
      <c r="O55" s="77">
        <f t="shared" si="73"/>
        <v>6401.2606740902311</v>
      </c>
      <c r="P55" s="77">
        <f t="shared" si="73"/>
        <v>6596.9470714078743</v>
      </c>
      <c r="Q55" s="77">
        <f t="shared" si="73"/>
        <v>6555.4214669656039</v>
      </c>
      <c r="R55" s="77">
        <f t="shared" si="73"/>
        <v>6537.4077433271514</v>
      </c>
      <c r="S55" s="77">
        <f t="shared" si="73"/>
        <v>6577.1924762974304</v>
      </c>
      <c r="T55" s="77">
        <f t="shared" si="73"/>
        <v>6558.850810228515</v>
      </c>
      <c r="U55" s="77">
        <f t="shared" si="73"/>
        <v>6308.8775814551918</v>
      </c>
      <c r="V55" s="77">
        <f t="shared" si="73"/>
        <v>6059.9447276096944</v>
      </c>
      <c r="W55" s="77">
        <f t="shared" si="73"/>
        <v>6025.4199406536854</v>
      </c>
      <c r="X55" s="77">
        <f t="shared" si="73"/>
        <v>5948.8315001877709</v>
      </c>
      <c r="Y55" s="77">
        <f t="shared" si="73"/>
        <v>5568.4230213703777</v>
      </c>
      <c r="Z55" s="77">
        <f t="shared" si="73"/>
        <v>4977.2845269441405</v>
      </c>
      <c r="AA55" s="77">
        <f t="shared" si="73"/>
        <v>4482.3161237510931</v>
      </c>
      <c r="AB55" s="77">
        <f t="shared" si="73"/>
        <v>4242.8655805272747</v>
      </c>
      <c r="AC55" s="89">
        <f t="shared" ref="AC55" si="74">+SUM(E55:AB55)*D55</f>
        <v>2838709.6774193551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>E55</f>
        <v>4089.4144266283047</v>
      </c>
      <c r="F56" s="79">
        <f t="shared" ref="F56:F57" si="75">F55</f>
        <v>3970.234441842887</v>
      </c>
      <c r="G56" s="79">
        <f t="shared" ref="G56:G57" si="76">G55</f>
        <v>3859.1483031090756</v>
      </c>
      <c r="H56" s="79">
        <f t="shared" ref="H56:H57" si="77">H55</f>
        <v>3823.1836677277292</v>
      </c>
      <c r="I56" s="79">
        <f t="shared" ref="I56:I57" si="78">I55</f>
        <v>3878.0198916391969</v>
      </c>
      <c r="J56" s="79">
        <f t="shared" ref="J56:J57" si="79">J55</f>
        <v>4095.9366208564757</v>
      </c>
      <c r="K56" s="79">
        <f t="shared" ref="K56:K57" si="80">K55</f>
        <v>4778.6518115334975</v>
      </c>
      <c r="L56" s="79">
        <f t="shared" ref="L56:L57" si="81">L55</f>
        <v>5569.229417754631</v>
      </c>
      <c r="M56" s="79">
        <f t="shared" ref="M56:M57" si="82">M55</f>
        <v>5939.5271283861312</v>
      </c>
      <c r="N56" s="79">
        <f t="shared" ref="N56:N57" si="83">N55</f>
        <v>6187.8691102221683</v>
      </c>
      <c r="O56" s="79">
        <f t="shared" ref="O56:O57" si="84">O55</f>
        <v>6401.2606740902311</v>
      </c>
      <c r="P56" s="79">
        <f t="shared" ref="P56:P57" si="85">P55</f>
        <v>6596.9470714078743</v>
      </c>
      <c r="Q56" s="79">
        <f t="shared" ref="Q56:Q57" si="86">Q55</f>
        <v>6555.4214669656039</v>
      </c>
      <c r="R56" s="79">
        <f t="shared" ref="R56:R57" si="87">R55</f>
        <v>6537.4077433271514</v>
      </c>
      <c r="S56" s="79">
        <f t="shared" ref="S56:S57" si="88">S55</f>
        <v>6577.1924762974304</v>
      </c>
      <c r="T56" s="79">
        <f t="shared" ref="T56:T57" si="89">T55</f>
        <v>6558.850810228515</v>
      </c>
      <c r="U56" s="79">
        <f t="shared" ref="U56:U57" si="90">U55</f>
        <v>6308.8775814551918</v>
      </c>
      <c r="V56" s="79">
        <f t="shared" ref="V56:V57" si="91">V55</f>
        <v>6059.9447276096944</v>
      </c>
      <c r="W56" s="79">
        <f t="shared" ref="W56:W57" si="92">W55</f>
        <v>6025.4199406536854</v>
      </c>
      <c r="X56" s="79">
        <f t="shared" ref="X56:X57" si="93">X55</f>
        <v>5948.8315001877709</v>
      </c>
      <c r="Y56" s="79">
        <f t="shared" ref="Y56:Y57" si="94">Y55</f>
        <v>5568.4230213703777</v>
      </c>
      <c r="Z56" s="79">
        <f t="shared" ref="Z56:Z57" si="95">Z55</f>
        <v>4977.2845269441405</v>
      </c>
      <c r="AA56" s="79">
        <f t="shared" ref="AA56:AA57" si="96">AA55</f>
        <v>4482.3161237510931</v>
      </c>
      <c r="AB56" s="79">
        <f t="shared" ref="AB56:AB57" si="97">AB55</f>
        <v>4242.8655805272747</v>
      </c>
      <c r="AC56" s="90">
        <f t="shared" ref="AC56:AC57" si="98">+SUM(E56:AB56)*D56</f>
        <v>516129.03225806454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>E56</f>
        <v>4089.4144266283047</v>
      </c>
      <c r="F57" s="82">
        <f t="shared" si="75"/>
        <v>3970.234441842887</v>
      </c>
      <c r="G57" s="82">
        <f t="shared" si="76"/>
        <v>3859.1483031090756</v>
      </c>
      <c r="H57" s="82">
        <f t="shared" si="77"/>
        <v>3823.1836677277292</v>
      </c>
      <c r="I57" s="82">
        <f t="shared" si="78"/>
        <v>3878.0198916391969</v>
      </c>
      <c r="J57" s="82">
        <f t="shared" si="79"/>
        <v>4095.9366208564757</v>
      </c>
      <c r="K57" s="82">
        <f t="shared" si="80"/>
        <v>4778.6518115334975</v>
      </c>
      <c r="L57" s="82">
        <f t="shared" si="81"/>
        <v>5569.229417754631</v>
      </c>
      <c r="M57" s="82">
        <f t="shared" si="82"/>
        <v>5939.5271283861312</v>
      </c>
      <c r="N57" s="82">
        <f t="shared" si="83"/>
        <v>6187.8691102221683</v>
      </c>
      <c r="O57" s="82">
        <f t="shared" si="84"/>
        <v>6401.2606740902311</v>
      </c>
      <c r="P57" s="82">
        <f t="shared" si="85"/>
        <v>6596.9470714078743</v>
      </c>
      <c r="Q57" s="82">
        <f t="shared" si="86"/>
        <v>6555.4214669656039</v>
      </c>
      <c r="R57" s="82">
        <f t="shared" si="87"/>
        <v>6537.4077433271514</v>
      </c>
      <c r="S57" s="82">
        <f t="shared" si="88"/>
        <v>6577.1924762974304</v>
      </c>
      <c r="T57" s="82">
        <f t="shared" si="89"/>
        <v>6558.850810228515</v>
      </c>
      <c r="U57" s="82">
        <f t="shared" si="90"/>
        <v>6308.8775814551918</v>
      </c>
      <c r="V57" s="82">
        <f t="shared" si="91"/>
        <v>6059.9447276096944</v>
      </c>
      <c r="W57" s="82">
        <f t="shared" si="92"/>
        <v>6025.4199406536854</v>
      </c>
      <c r="X57" s="82">
        <f t="shared" si="93"/>
        <v>5948.8315001877709</v>
      </c>
      <c r="Y57" s="82">
        <f t="shared" si="94"/>
        <v>5568.4230213703777</v>
      </c>
      <c r="Z57" s="82">
        <f t="shared" si="95"/>
        <v>4977.2845269441405</v>
      </c>
      <c r="AA57" s="82">
        <f t="shared" si="96"/>
        <v>4482.3161237510931</v>
      </c>
      <c r="AB57" s="82">
        <f t="shared" si="97"/>
        <v>4242.8655805272747</v>
      </c>
      <c r="AC57" s="91">
        <f t="shared" si="98"/>
        <v>645161.29032258072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9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100">+SUM(AC55:AC57)</f>
        <v>4000000.0000000005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40F-51A5-4B0D-B0B7-2AB591D2F5F4}">
  <sheetPr>
    <tabColor theme="8"/>
    <pageSetUpPr fitToPage="1"/>
  </sheetPr>
  <dimension ref="A1:H48"/>
  <sheetViews>
    <sheetView showGridLines="0" zoomScaleNormal="100" zoomScaleSheetLayoutView="100" workbookViewId="0">
      <selection activeCell="C8" sqref="C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31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4000000</v>
      </c>
      <c r="D16" s="31">
        <v>1</v>
      </c>
      <c r="E16" s="112">
        <f>C16</f>
        <v>4000000</v>
      </c>
      <c r="F16" s="15">
        <v>450</v>
      </c>
    </row>
    <row r="17" spans="1:8" ht="15" x14ac:dyDescent="0.3">
      <c r="A17" s="32"/>
      <c r="B17" s="30" t="s">
        <v>16</v>
      </c>
      <c r="C17" s="17">
        <v>4000000</v>
      </c>
      <c r="D17" s="31">
        <v>1</v>
      </c>
      <c r="E17" s="112">
        <f t="shared" ref="E17:E27" si="0">C17</f>
        <v>4000000</v>
      </c>
      <c r="F17" s="15">
        <v>450</v>
      </c>
    </row>
    <row r="18" spans="1:8" ht="15" x14ac:dyDescent="0.3">
      <c r="A18" s="32"/>
      <c r="B18" s="30" t="s">
        <v>17</v>
      </c>
      <c r="C18" s="17">
        <v>4000000</v>
      </c>
      <c r="D18" s="31">
        <v>1</v>
      </c>
      <c r="E18" s="112">
        <f t="shared" si="0"/>
        <v>4000000</v>
      </c>
      <c r="F18" s="15">
        <v>450</v>
      </c>
    </row>
    <row r="19" spans="1:8" ht="15" x14ac:dyDescent="0.3">
      <c r="A19" s="32"/>
      <c r="B19" s="30" t="s">
        <v>18</v>
      </c>
      <c r="C19" s="17">
        <v>4000000</v>
      </c>
      <c r="D19" s="31">
        <v>1</v>
      </c>
      <c r="E19" s="112">
        <f t="shared" si="0"/>
        <v>4000000</v>
      </c>
      <c r="F19" s="15">
        <v>430</v>
      </c>
    </row>
    <row r="20" spans="1:8" ht="15" x14ac:dyDescent="0.3">
      <c r="A20" s="32"/>
      <c r="B20" s="30" t="s">
        <v>19</v>
      </c>
      <c r="C20" s="17">
        <v>4000000</v>
      </c>
      <c r="D20" s="31">
        <v>1</v>
      </c>
      <c r="E20" s="112">
        <f t="shared" si="0"/>
        <v>4000000</v>
      </c>
      <c r="F20" s="15">
        <v>430</v>
      </c>
    </row>
    <row r="21" spans="1:8" ht="15" x14ac:dyDescent="0.3">
      <c r="A21" s="32"/>
      <c r="B21" s="30" t="s">
        <v>20</v>
      </c>
      <c r="C21" s="17">
        <v>5000000</v>
      </c>
      <c r="D21" s="31">
        <v>1</v>
      </c>
      <c r="E21" s="112">
        <f t="shared" si="0"/>
        <v>5000000</v>
      </c>
      <c r="F21" s="15">
        <v>450</v>
      </c>
    </row>
    <row r="22" spans="1:8" ht="15" x14ac:dyDescent="0.3">
      <c r="A22" s="32"/>
      <c r="B22" s="30" t="s">
        <v>21</v>
      </c>
      <c r="C22" s="17">
        <v>5000000</v>
      </c>
      <c r="D22" s="31">
        <v>1</v>
      </c>
      <c r="E22" s="112">
        <f t="shared" si="0"/>
        <v>5000000</v>
      </c>
      <c r="F22" s="15">
        <v>450</v>
      </c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112">
        <f t="shared" si="0"/>
        <v>6000000</v>
      </c>
      <c r="F23" s="15">
        <v>430</v>
      </c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112">
        <f>C24</f>
        <v>6000000</v>
      </c>
      <c r="F24" s="15">
        <v>430</v>
      </c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112">
        <f t="shared" si="0"/>
        <v>6000000</v>
      </c>
      <c r="F25" s="15">
        <v>430</v>
      </c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112">
        <f t="shared" si="0"/>
        <v>6000000</v>
      </c>
      <c r="F26" s="15">
        <v>430</v>
      </c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112">
        <f t="shared" si="0"/>
        <v>6000000</v>
      </c>
      <c r="F27" s="15">
        <v>450</v>
      </c>
      <c r="G27" s="113">
        <f>SUMPRODUCT(E16:E27,F16:F27)/SUM(E16:E27)</f>
        <v>439.33333333333331</v>
      </c>
    </row>
    <row r="28" spans="1:8" ht="14" x14ac:dyDescent="0.3">
      <c r="B28" s="33" t="s">
        <v>27</v>
      </c>
      <c r="C28" s="34">
        <f>SUM(C16:C27)</f>
        <v>60000000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162-B803-4B90-B099-A7064484AC33}">
  <sheetPr>
    <tabColor theme="8"/>
    <pageSetUpPr fitToPage="1"/>
  </sheetPr>
  <dimension ref="A1:AG62"/>
  <sheetViews>
    <sheetView showGridLines="0" zoomScale="90" workbookViewId="0">
      <pane xSplit="4" ySplit="10" topLeftCell="E13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2025'!C8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2025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2025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1-2025</v>
      </c>
      <c r="B11" s="139">
        <f>'P1_AÑO 2025'!C16</f>
        <v>4000000</v>
      </c>
      <c r="C11" s="59" t="s">
        <v>40</v>
      </c>
      <c r="D11" s="60">
        <f>VLOOKUP(A11&amp;C11,calendario!I:L,4,0)</f>
        <v>23</v>
      </c>
      <c r="E11" s="77">
        <f>(($B11)/$D14)*E$6</f>
        <v>4089.4144266283047</v>
      </c>
      <c r="F11" s="77">
        <f t="shared" ref="F11:AA11" si="0">(($B11)/$D14)*F$6</f>
        <v>3970.234441842887</v>
      </c>
      <c r="G11" s="77">
        <f t="shared" si="0"/>
        <v>3859.1483031090756</v>
      </c>
      <c r="H11" s="77">
        <f t="shared" si="0"/>
        <v>3823.1836677277292</v>
      </c>
      <c r="I11" s="77">
        <f t="shared" si="0"/>
        <v>3878.0198916391969</v>
      </c>
      <c r="J11" s="77">
        <f t="shared" si="0"/>
        <v>4095.9366208564757</v>
      </c>
      <c r="K11" s="77">
        <f t="shared" si="0"/>
        <v>4778.6518115334975</v>
      </c>
      <c r="L11" s="77">
        <f t="shared" si="0"/>
        <v>5569.229417754631</v>
      </c>
      <c r="M11" s="77">
        <f t="shared" si="0"/>
        <v>5939.5271283861312</v>
      </c>
      <c r="N11" s="77">
        <f t="shared" si="0"/>
        <v>6187.8691102221683</v>
      </c>
      <c r="O11" s="77">
        <f t="shared" si="0"/>
        <v>6401.2606740902311</v>
      </c>
      <c r="P11" s="77">
        <f t="shared" si="0"/>
        <v>6596.9470714078743</v>
      </c>
      <c r="Q11" s="77">
        <f t="shared" si="0"/>
        <v>6555.4214669656039</v>
      </c>
      <c r="R11" s="77">
        <f t="shared" si="0"/>
        <v>6537.4077433271514</v>
      </c>
      <c r="S11" s="77">
        <f t="shared" si="0"/>
        <v>6577.1924762974304</v>
      </c>
      <c r="T11" s="77">
        <f t="shared" si="0"/>
        <v>6558.850810228515</v>
      </c>
      <c r="U11" s="77">
        <f t="shared" si="0"/>
        <v>6308.8775814551918</v>
      </c>
      <c r="V11" s="77">
        <f t="shared" si="0"/>
        <v>6059.9447276096944</v>
      </c>
      <c r="W11" s="77">
        <f t="shared" si="0"/>
        <v>6025.4199406536854</v>
      </c>
      <c r="X11" s="77">
        <f t="shared" si="0"/>
        <v>5948.8315001877709</v>
      </c>
      <c r="Y11" s="77">
        <f t="shared" si="0"/>
        <v>5568.4230213703777</v>
      </c>
      <c r="Z11" s="77">
        <f t="shared" si="0"/>
        <v>4977.2845269441405</v>
      </c>
      <c r="AA11" s="77">
        <f t="shared" si="0"/>
        <v>4482.3161237510931</v>
      </c>
      <c r="AB11" s="77">
        <f>(($B11)/$D14)*AB$6</f>
        <v>4242.8655805272747</v>
      </c>
      <c r="AC11" s="89">
        <f>+SUM(E11:AB11)*D11</f>
        <v>2967741.935483871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(($B11)/$D14)*E$6</f>
        <v>4089.4144266283047</v>
      </c>
      <c r="F12" s="79">
        <f t="shared" ref="F12:AB12" si="1">(($B11)/$D14)*F$6</f>
        <v>3970.234441842887</v>
      </c>
      <c r="G12" s="79">
        <f t="shared" si="1"/>
        <v>3859.1483031090756</v>
      </c>
      <c r="H12" s="79">
        <f t="shared" si="1"/>
        <v>3823.1836677277292</v>
      </c>
      <c r="I12" s="79">
        <f t="shared" si="1"/>
        <v>3878.0198916391969</v>
      </c>
      <c r="J12" s="79">
        <f t="shared" si="1"/>
        <v>4095.9366208564757</v>
      </c>
      <c r="K12" s="79">
        <f t="shared" si="1"/>
        <v>4778.6518115334975</v>
      </c>
      <c r="L12" s="79">
        <f t="shared" si="1"/>
        <v>5569.229417754631</v>
      </c>
      <c r="M12" s="79">
        <f t="shared" si="1"/>
        <v>5939.5271283861312</v>
      </c>
      <c r="N12" s="79">
        <f t="shared" si="1"/>
        <v>6187.8691102221683</v>
      </c>
      <c r="O12" s="79">
        <f t="shared" si="1"/>
        <v>6401.2606740902311</v>
      </c>
      <c r="P12" s="79">
        <f t="shared" si="1"/>
        <v>6596.9470714078743</v>
      </c>
      <c r="Q12" s="79">
        <f t="shared" si="1"/>
        <v>6555.4214669656039</v>
      </c>
      <c r="R12" s="79">
        <f t="shared" si="1"/>
        <v>6537.4077433271514</v>
      </c>
      <c r="S12" s="79">
        <f t="shared" si="1"/>
        <v>6577.1924762974304</v>
      </c>
      <c r="T12" s="79">
        <f t="shared" si="1"/>
        <v>6558.850810228515</v>
      </c>
      <c r="U12" s="79">
        <f t="shared" si="1"/>
        <v>6308.8775814551918</v>
      </c>
      <c r="V12" s="79">
        <f t="shared" si="1"/>
        <v>6059.9447276096944</v>
      </c>
      <c r="W12" s="79">
        <f t="shared" si="1"/>
        <v>6025.4199406536854</v>
      </c>
      <c r="X12" s="79">
        <f t="shared" si="1"/>
        <v>5948.8315001877709</v>
      </c>
      <c r="Y12" s="79">
        <f t="shared" si="1"/>
        <v>5568.4230213703777</v>
      </c>
      <c r="Z12" s="79">
        <f t="shared" si="1"/>
        <v>4977.2845269441405</v>
      </c>
      <c r="AA12" s="79">
        <f t="shared" si="1"/>
        <v>4482.3161237510931</v>
      </c>
      <c r="AB12" s="79">
        <f t="shared" si="1"/>
        <v>4242.8655805272747</v>
      </c>
      <c r="AC12" s="90">
        <f t="shared" ref="AC12:AC13" si="2">+SUM(E12:AB12)*D12</f>
        <v>516129.03225806454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(($B11)/$D14)*E$6</f>
        <v>4089.4144266283047</v>
      </c>
      <c r="F13" s="82">
        <f t="shared" ref="F13:AB13" si="3">(($B11)/$D14)*F$6</f>
        <v>3970.234441842887</v>
      </c>
      <c r="G13" s="82">
        <f t="shared" si="3"/>
        <v>3859.1483031090756</v>
      </c>
      <c r="H13" s="82">
        <f t="shared" si="3"/>
        <v>3823.1836677277292</v>
      </c>
      <c r="I13" s="82">
        <f t="shared" si="3"/>
        <v>3878.0198916391969</v>
      </c>
      <c r="J13" s="82">
        <f t="shared" si="3"/>
        <v>4095.9366208564757</v>
      </c>
      <c r="K13" s="82">
        <f t="shared" si="3"/>
        <v>4778.6518115334975</v>
      </c>
      <c r="L13" s="82">
        <f t="shared" si="3"/>
        <v>5569.229417754631</v>
      </c>
      <c r="M13" s="82">
        <f t="shared" si="3"/>
        <v>5939.5271283861312</v>
      </c>
      <c r="N13" s="82">
        <f t="shared" si="3"/>
        <v>6187.8691102221683</v>
      </c>
      <c r="O13" s="82">
        <f t="shared" si="3"/>
        <v>6401.2606740902311</v>
      </c>
      <c r="P13" s="82">
        <f t="shared" si="3"/>
        <v>6596.9470714078743</v>
      </c>
      <c r="Q13" s="82">
        <f t="shared" si="3"/>
        <v>6555.4214669656039</v>
      </c>
      <c r="R13" s="82">
        <f t="shared" si="3"/>
        <v>6537.4077433271514</v>
      </c>
      <c r="S13" s="82">
        <f t="shared" si="3"/>
        <v>6577.1924762974304</v>
      </c>
      <c r="T13" s="82">
        <f t="shared" si="3"/>
        <v>6558.850810228515</v>
      </c>
      <c r="U13" s="82">
        <f t="shared" si="3"/>
        <v>6308.8775814551918</v>
      </c>
      <c r="V13" s="82">
        <f t="shared" si="3"/>
        <v>6059.9447276096944</v>
      </c>
      <c r="W13" s="82">
        <f t="shared" si="3"/>
        <v>6025.4199406536854</v>
      </c>
      <c r="X13" s="82">
        <f t="shared" si="3"/>
        <v>5948.8315001877709</v>
      </c>
      <c r="Y13" s="82">
        <f t="shared" si="3"/>
        <v>5568.4230213703777</v>
      </c>
      <c r="Z13" s="82">
        <f t="shared" si="3"/>
        <v>4977.2845269441405</v>
      </c>
      <c r="AA13" s="82">
        <f t="shared" si="3"/>
        <v>4482.3161237510931</v>
      </c>
      <c r="AB13" s="82">
        <f t="shared" si="3"/>
        <v>4242.8655805272747</v>
      </c>
      <c r="AC13" s="91">
        <f t="shared" si="2"/>
        <v>516129.03225806454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4000000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2-2025</v>
      </c>
      <c r="B15" s="139">
        <f>'P1_AÑO 2025'!C17</f>
        <v>4000000</v>
      </c>
      <c r="C15" s="59" t="s">
        <v>40</v>
      </c>
      <c r="D15" s="60">
        <f>VLOOKUP(A15&amp;C15,calendario!I:L,4,0)</f>
        <v>20</v>
      </c>
      <c r="E15" s="77">
        <f>(($B15)/$D18)*E$6</f>
        <v>4527.5659723384806</v>
      </c>
      <c r="F15" s="77">
        <f t="shared" ref="F15:AB15" si="4">(($B15)/$D18)*F$6</f>
        <v>4395.6167034689106</v>
      </c>
      <c r="G15" s="77">
        <f t="shared" si="4"/>
        <v>4272.6284784421914</v>
      </c>
      <c r="H15" s="77">
        <f t="shared" si="4"/>
        <v>4232.8104892699857</v>
      </c>
      <c r="I15" s="77">
        <f t="shared" si="4"/>
        <v>4293.5220228862536</v>
      </c>
      <c r="J15" s="77">
        <f t="shared" si="4"/>
        <v>4534.7869730910979</v>
      </c>
      <c r="K15" s="77">
        <f t="shared" si="4"/>
        <v>5290.6502199120869</v>
      </c>
      <c r="L15" s="77">
        <f t="shared" si="4"/>
        <v>6165.9325696569131</v>
      </c>
      <c r="M15" s="77">
        <f t="shared" si="4"/>
        <v>6575.9050349989311</v>
      </c>
      <c r="N15" s="77">
        <f t="shared" si="4"/>
        <v>6850.8550863174014</v>
      </c>
      <c r="O15" s="77">
        <f t="shared" si="4"/>
        <v>7087.1100320284704</v>
      </c>
      <c r="P15" s="77">
        <f t="shared" si="4"/>
        <v>7303.7628290587181</v>
      </c>
      <c r="Q15" s="77">
        <f t="shared" si="4"/>
        <v>7257.7880527119187</v>
      </c>
      <c r="R15" s="77">
        <f t="shared" si="4"/>
        <v>7237.8442872550613</v>
      </c>
      <c r="S15" s="77">
        <f t="shared" si="4"/>
        <v>7281.8916701864409</v>
      </c>
      <c r="T15" s="77">
        <f t="shared" si="4"/>
        <v>7261.5848256101417</v>
      </c>
      <c r="U15" s="77">
        <f t="shared" si="4"/>
        <v>6984.8287508968197</v>
      </c>
      <c r="V15" s="77">
        <f t="shared" si="4"/>
        <v>6709.2245198535902</v>
      </c>
      <c r="W15" s="77">
        <f t="shared" si="4"/>
        <v>6671.0006485808663</v>
      </c>
      <c r="X15" s="77">
        <f t="shared" si="4"/>
        <v>6586.2063037793178</v>
      </c>
      <c r="Y15" s="77">
        <f t="shared" si="4"/>
        <v>6165.0397736600617</v>
      </c>
      <c r="Z15" s="77">
        <f t="shared" si="4"/>
        <v>5510.5650119738702</v>
      </c>
      <c r="AA15" s="77">
        <f t="shared" si="4"/>
        <v>4962.5642798672825</v>
      </c>
      <c r="AB15" s="77">
        <f t="shared" si="4"/>
        <v>4697.4583212980542</v>
      </c>
      <c r="AC15" s="89">
        <f t="shared" ref="AC15" si="5">+SUM(E15:AB15)*D15</f>
        <v>2857142.8571428573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>(($B15)/$D18)*E$6</f>
        <v>4527.5659723384806</v>
      </c>
      <c r="F16" s="79">
        <f t="shared" ref="F16:AB16" si="6">(($B15)/$D18)*F$6</f>
        <v>4395.6167034689106</v>
      </c>
      <c r="G16" s="79">
        <f t="shared" si="6"/>
        <v>4272.6284784421914</v>
      </c>
      <c r="H16" s="79">
        <f t="shared" si="6"/>
        <v>4232.8104892699857</v>
      </c>
      <c r="I16" s="79">
        <f t="shared" si="6"/>
        <v>4293.5220228862536</v>
      </c>
      <c r="J16" s="79">
        <f t="shared" si="6"/>
        <v>4534.7869730910979</v>
      </c>
      <c r="K16" s="79">
        <f t="shared" si="6"/>
        <v>5290.6502199120869</v>
      </c>
      <c r="L16" s="79">
        <f t="shared" si="6"/>
        <v>6165.9325696569131</v>
      </c>
      <c r="M16" s="79">
        <f t="shared" si="6"/>
        <v>6575.9050349989311</v>
      </c>
      <c r="N16" s="79">
        <f t="shared" si="6"/>
        <v>6850.8550863174014</v>
      </c>
      <c r="O16" s="79">
        <f t="shared" si="6"/>
        <v>7087.1100320284704</v>
      </c>
      <c r="P16" s="79">
        <f t="shared" si="6"/>
        <v>7303.7628290587181</v>
      </c>
      <c r="Q16" s="79">
        <f t="shared" si="6"/>
        <v>7257.7880527119187</v>
      </c>
      <c r="R16" s="79">
        <f t="shared" si="6"/>
        <v>7237.8442872550613</v>
      </c>
      <c r="S16" s="79">
        <f t="shared" si="6"/>
        <v>7281.8916701864409</v>
      </c>
      <c r="T16" s="79">
        <f t="shared" si="6"/>
        <v>7261.5848256101417</v>
      </c>
      <c r="U16" s="79">
        <f t="shared" si="6"/>
        <v>6984.8287508968197</v>
      </c>
      <c r="V16" s="79">
        <f t="shared" si="6"/>
        <v>6709.2245198535902</v>
      </c>
      <c r="W16" s="79">
        <f t="shared" si="6"/>
        <v>6671.0006485808663</v>
      </c>
      <c r="X16" s="79">
        <f t="shared" si="6"/>
        <v>6586.2063037793178</v>
      </c>
      <c r="Y16" s="79">
        <f t="shared" si="6"/>
        <v>6165.0397736600617</v>
      </c>
      <c r="Z16" s="79">
        <f t="shared" si="6"/>
        <v>5510.5650119738702</v>
      </c>
      <c r="AA16" s="79">
        <f t="shared" si="6"/>
        <v>4962.5642798672825</v>
      </c>
      <c r="AB16" s="79">
        <f t="shared" si="6"/>
        <v>4697.4583212980542</v>
      </c>
      <c r="AC16" s="90">
        <f t="shared" ref="AC16:AC17" si="7">+SUM(E16:AB16)*D16</f>
        <v>571428.57142857148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>(($B15)/$D18)*E$6</f>
        <v>4527.5659723384806</v>
      </c>
      <c r="F17" s="82">
        <f t="shared" ref="F17:AB17" si="8">(($B15)/$D18)*F$6</f>
        <v>4395.6167034689106</v>
      </c>
      <c r="G17" s="82">
        <f t="shared" si="8"/>
        <v>4272.6284784421914</v>
      </c>
      <c r="H17" s="82">
        <f t="shared" si="8"/>
        <v>4232.8104892699857</v>
      </c>
      <c r="I17" s="82">
        <f t="shared" si="8"/>
        <v>4293.5220228862536</v>
      </c>
      <c r="J17" s="82">
        <f t="shared" si="8"/>
        <v>4534.7869730910979</v>
      </c>
      <c r="K17" s="82">
        <f t="shared" si="8"/>
        <v>5290.6502199120869</v>
      </c>
      <c r="L17" s="82">
        <f t="shared" si="8"/>
        <v>6165.9325696569131</v>
      </c>
      <c r="M17" s="82">
        <f t="shared" si="8"/>
        <v>6575.9050349989311</v>
      </c>
      <c r="N17" s="82">
        <f t="shared" si="8"/>
        <v>6850.8550863174014</v>
      </c>
      <c r="O17" s="82">
        <f t="shared" si="8"/>
        <v>7087.1100320284704</v>
      </c>
      <c r="P17" s="82">
        <f t="shared" si="8"/>
        <v>7303.7628290587181</v>
      </c>
      <c r="Q17" s="82">
        <f t="shared" si="8"/>
        <v>7257.7880527119187</v>
      </c>
      <c r="R17" s="82">
        <f t="shared" si="8"/>
        <v>7237.8442872550613</v>
      </c>
      <c r="S17" s="82">
        <f t="shared" si="8"/>
        <v>7281.8916701864409</v>
      </c>
      <c r="T17" s="82">
        <f t="shared" si="8"/>
        <v>7261.5848256101417</v>
      </c>
      <c r="U17" s="82">
        <f t="shared" si="8"/>
        <v>6984.8287508968197</v>
      </c>
      <c r="V17" s="82">
        <f t="shared" si="8"/>
        <v>6709.2245198535902</v>
      </c>
      <c r="W17" s="82">
        <f t="shared" si="8"/>
        <v>6671.0006485808663</v>
      </c>
      <c r="X17" s="82">
        <f t="shared" si="8"/>
        <v>6586.2063037793178</v>
      </c>
      <c r="Y17" s="82">
        <f t="shared" si="8"/>
        <v>6165.0397736600617</v>
      </c>
      <c r="Z17" s="82">
        <f t="shared" si="8"/>
        <v>5510.5650119738702</v>
      </c>
      <c r="AA17" s="82">
        <f t="shared" si="8"/>
        <v>4962.5642798672825</v>
      </c>
      <c r="AB17" s="82">
        <f t="shared" si="8"/>
        <v>4697.4583212980542</v>
      </c>
      <c r="AC17" s="91">
        <f t="shared" si="7"/>
        <v>571428.57142857148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4000000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3-2025</v>
      </c>
      <c r="B19" s="141">
        <f>'P1_AÑO 2025'!C18</f>
        <v>4000000</v>
      </c>
      <c r="C19" s="59" t="s">
        <v>40</v>
      </c>
      <c r="D19" s="60">
        <f>VLOOKUP(A19&amp;C19,calendario!I:L,4,0)</f>
        <v>21</v>
      </c>
      <c r="E19" s="77">
        <f>(($B19)/$D22)*E$6</f>
        <v>4089.4144266283047</v>
      </c>
      <c r="F19" s="77">
        <f t="shared" ref="F19:AB19" si="11">(($B19)/$D22)*F$6</f>
        <v>3970.234441842887</v>
      </c>
      <c r="G19" s="77">
        <f t="shared" si="11"/>
        <v>3859.1483031090756</v>
      </c>
      <c r="H19" s="77">
        <f t="shared" si="11"/>
        <v>3823.1836677277292</v>
      </c>
      <c r="I19" s="77">
        <f t="shared" si="11"/>
        <v>3878.0198916391969</v>
      </c>
      <c r="J19" s="77">
        <f t="shared" si="11"/>
        <v>4095.9366208564757</v>
      </c>
      <c r="K19" s="77">
        <f t="shared" si="11"/>
        <v>4778.6518115334975</v>
      </c>
      <c r="L19" s="77">
        <f t="shared" si="11"/>
        <v>5569.229417754631</v>
      </c>
      <c r="M19" s="77">
        <f t="shared" si="11"/>
        <v>5939.5271283861312</v>
      </c>
      <c r="N19" s="77">
        <f t="shared" si="11"/>
        <v>6187.8691102221683</v>
      </c>
      <c r="O19" s="77">
        <f t="shared" si="11"/>
        <v>6401.2606740902311</v>
      </c>
      <c r="P19" s="77">
        <f t="shared" si="11"/>
        <v>6596.9470714078743</v>
      </c>
      <c r="Q19" s="77">
        <f t="shared" si="11"/>
        <v>6555.4214669656039</v>
      </c>
      <c r="R19" s="77">
        <f t="shared" si="11"/>
        <v>6537.4077433271514</v>
      </c>
      <c r="S19" s="77">
        <f t="shared" si="11"/>
        <v>6577.1924762974304</v>
      </c>
      <c r="T19" s="77">
        <f t="shared" si="11"/>
        <v>6558.850810228515</v>
      </c>
      <c r="U19" s="77">
        <f t="shared" si="11"/>
        <v>6308.8775814551918</v>
      </c>
      <c r="V19" s="77">
        <f t="shared" si="11"/>
        <v>6059.9447276096944</v>
      </c>
      <c r="W19" s="77">
        <f t="shared" si="11"/>
        <v>6025.4199406536854</v>
      </c>
      <c r="X19" s="77">
        <f t="shared" si="11"/>
        <v>5948.8315001877709</v>
      </c>
      <c r="Y19" s="77">
        <f t="shared" si="11"/>
        <v>5568.4230213703777</v>
      </c>
      <c r="Z19" s="77">
        <f t="shared" si="11"/>
        <v>4977.2845269441405</v>
      </c>
      <c r="AA19" s="77">
        <f t="shared" si="11"/>
        <v>4482.3161237510931</v>
      </c>
      <c r="AB19" s="77">
        <f t="shared" si="11"/>
        <v>4242.8655805272747</v>
      </c>
      <c r="AC19" s="89">
        <f t="shared" ref="AC19" si="12">+SUM(E19:AB19)*D19</f>
        <v>2709677.4193548388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>(($B19)/$D22)*E$6</f>
        <v>4089.4144266283047</v>
      </c>
      <c r="F20" s="79">
        <f t="shared" ref="F20:AB20" si="13">(($B19)/$D22)*F$6</f>
        <v>3970.234441842887</v>
      </c>
      <c r="G20" s="79">
        <f t="shared" si="13"/>
        <v>3859.1483031090756</v>
      </c>
      <c r="H20" s="79">
        <f t="shared" si="13"/>
        <v>3823.1836677277292</v>
      </c>
      <c r="I20" s="79">
        <f t="shared" si="13"/>
        <v>3878.0198916391969</v>
      </c>
      <c r="J20" s="79">
        <f t="shared" si="13"/>
        <v>4095.9366208564757</v>
      </c>
      <c r="K20" s="79">
        <f t="shared" si="13"/>
        <v>4778.6518115334975</v>
      </c>
      <c r="L20" s="79">
        <f t="shared" si="13"/>
        <v>5569.229417754631</v>
      </c>
      <c r="M20" s="79">
        <f t="shared" si="13"/>
        <v>5939.5271283861312</v>
      </c>
      <c r="N20" s="79">
        <f t="shared" si="13"/>
        <v>6187.8691102221683</v>
      </c>
      <c r="O20" s="79">
        <f t="shared" si="13"/>
        <v>6401.2606740902311</v>
      </c>
      <c r="P20" s="79">
        <f t="shared" si="13"/>
        <v>6596.9470714078743</v>
      </c>
      <c r="Q20" s="79">
        <f t="shared" si="13"/>
        <v>6555.4214669656039</v>
      </c>
      <c r="R20" s="79">
        <f t="shared" si="13"/>
        <v>6537.4077433271514</v>
      </c>
      <c r="S20" s="79">
        <f t="shared" si="13"/>
        <v>6577.1924762974304</v>
      </c>
      <c r="T20" s="79">
        <f t="shared" si="13"/>
        <v>6558.850810228515</v>
      </c>
      <c r="U20" s="79">
        <f t="shared" si="13"/>
        <v>6308.8775814551918</v>
      </c>
      <c r="V20" s="79">
        <f t="shared" si="13"/>
        <v>6059.9447276096944</v>
      </c>
      <c r="W20" s="79">
        <f t="shared" si="13"/>
        <v>6025.4199406536854</v>
      </c>
      <c r="X20" s="79">
        <f t="shared" si="13"/>
        <v>5948.8315001877709</v>
      </c>
      <c r="Y20" s="79">
        <f t="shared" si="13"/>
        <v>5568.4230213703777</v>
      </c>
      <c r="Z20" s="79">
        <f t="shared" si="13"/>
        <v>4977.2845269441405</v>
      </c>
      <c r="AA20" s="79">
        <f t="shared" si="13"/>
        <v>4482.3161237510931</v>
      </c>
      <c r="AB20" s="79">
        <f t="shared" si="13"/>
        <v>4242.8655805272747</v>
      </c>
      <c r="AC20" s="90">
        <f t="shared" ref="AC20:AC21" si="14">+SUM(E20:AB20)*D20</f>
        <v>645161.29032258072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>(($B19)/$D22)*E$6</f>
        <v>4089.4144266283047</v>
      </c>
      <c r="F21" s="82">
        <f t="shared" ref="F21:AB21" si="15">(($B19)/$D22)*F$6</f>
        <v>3970.234441842887</v>
      </c>
      <c r="G21" s="82">
        <f t="shared" si="15"/>
        <v>3859.1483031090756</v>
      </c>
      <c r="H21" s="82">
        <f t="shared" si="15"/>
        <v>3823.1836677277292</v>
      </c>
      <c r="I21" s="82">
        <f t="shared" si="15"/>
        <v>3878.0198916391969</v>
      </c>
      <c r="J21" s="82">
        <f t="shared" si="15"/>
        <v>4095.9366208564757</v>
      </c>
      <c r="K21" s="82">
        <f t="shared" si="15"/>
        <v>4778.6518115334975</v>
      </c>
      <c r="L21" s="82">
        <f t="shared" si="15"/>
        <v>5569.229417754631</v>
      </c>
      <c r="M21" s="82">
        <f t="shared" si="15"/>
        <v>5939.5271283861312</v>
      </c>
      <c r="N21" s="82">
        <f t="shared" si="15"/>
        <v>6187.8691102221683</v>
      </c>
      <c r="O21" s="82">
        <f t="shared" si="15"/>
        <v>6401.2606740902311</v>
      </c>
      <c r="P21" s="82">
        <f t="shared" si="15"/>
        <v>6596.9470714078743</v>
      </c>
      <c r="Q21" s="82">
        <f t="shared" si="15"/>
        <v>6555.4214669656039</v>
      </c>
      <c r="R21" s="82">
        <f t="shared" si="15"/>
        <v>6537.4077433271514</v>
      </c>
      <c r="S21" s="82">
        <f t="shared" si="15"/>
        <v>6577.1924762974304</v>
      </c>
      <c r="T21" s="82">
        <f t="shared" si="15"/>
        <v>6558.850810228515</v>
      </c>
      <c r="U21" s="82">
        <f t="shared" si="15"/>
        <v>6308.8775814551918</v>
      </c>
      <c r="V21" s="82">
        <f t="shared" si="15"/>
        <v>6059.9447276096944</v>
      </c>
      <c r="W21" s="82">
        <f t="shared" si="15"/>
        <v>6025.4199406536854</v>
      </c>
      <c r="X21" s="82">
        <f t="shared" si="15"/>
        <v>5948.8315001877709</v>
      </c>
      <c r="Y21" s="82">
        <f t="shared" si="15"/>
        <v>5568.4230213703777</v>
      </c>
      <c r="Z21" s="82">
        <f t="shared" si="15"/>
        <v>4977.2845269441405</v>
      </c>
      <c r="AA21" s="82">
        <f t="shared" si="15"/>
        <v>4482.3161237510931</v>
      </c>
      <c r="AB21" s="82">
        <f t="shared" si="15"/>
        <v>4242.8655805272747</v>
      </c>
      <c r="AC21" s="91">
        <f t="shared" si="14"/>
        <v>645161.29032258072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4000000.0000000005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4-2025</v>
      </c>
      <c r="B23" s="139">
        <f>'P1_AÑO 2025'!C19</f>
        <v>4000000</v>
      </c>
      <c r="C23" s="59" t="s">
        <v>40</v>
      </c>
      <c r="D23" s="60">
        <f>VLOOKUP(A23&amp;C23,calendario!I:L,4,0)</f>
        <v>22</v>
      </c>
      <c r="E23" s="77">
        <f>(($B23)/$D26)*E$6</f>
        <v>4225.7282408492483</v>
      </c>
      <c r="F23" s="77">
        <f t="shared" ref="F23:AB23" si="18">(($B23)/$D26)*F$6</f>
        <v>4102.575589904317</v>
      </c>
      <c r="G23" s="77">
        <f t="shared" si="18"/>
        <v>3987.7865798793782</v>
      </c>
      <c r="H23" s="77">
        <f t="shared" si="18"/>
        <v>3950.6231233186536</v>
      </c>
      <c r="I23" s="77">
        <f t="shared" si="18"/>
        <v>4007.2872213605033</v>
      </c>
      <c r="J23" s="77">
        <f t="shared" si="18"/>
        <v>4232.4678415516919</v>
      </c>
      <c r="K23" s="77">
        <f t="shared" si="18"/>
        <v>4937.9402052512814</v>
      </c>
      <c r="L23" s="77">
        <f t="shared" si="18"/>
        <v>5754.870398346452</v>
      </c>
      <c r="M23" s="77">
        <f t="shared" si="18"/>
        <v>6137.511365999002</v>
      </c>
      <c r="N23" s="77">
        <f t="shared" si="18"/>
        <v>6394.1314138962407</v>
      </c>
      <c r="O23" s="77">
        <f t="shared" si="18"/>
        <v>6614.6360298932386</v>
      </c>
      <c r="P23" s="77">
        <f t="shared" si="18"/>
        <v>6816.8453071214708</v>
      </c>
      <c r="Q23" s="77">
        <f t="shared" si="18"/>
        <v>6773.9355158644576</v>
      </c>
      <c r="R23" s="77">
        <f t="shared" si="18"/>
        <v>6755.32133477139</v>
      </c>
      <c r="S23" s="77">
        <f t="shared" si="18"/>
        <v>6796.4322255073448</v>
      </c>
      <c r="T23" s="77">
        <f t="shared" si="18"/>
        <v>6777.4791705694661</v>
      </c>
      <c r="U23" s="77">
        <f t="shared" si="18"/>
        <v>6519.1735008370315</v>
      </c>
      <c r="V23" s="77">
        <f t="shared" si="18"/>
        <v>6261.9428851966841</v>
      </c>
      <c r="W23" s="77">
        <f t="shared" si="18"/>
        <v>6226.2672720088085</v>
      </c>
      <c r="X23" s="77">
        <f t="shared" si="18"/>
        <v>6147.1258835273629</v>
      </c>
      <c r="Y23" s="77">
        <f t="shared" si="18"/>
        <v>5754.0371220827237</v>
      </c>
      <c r="Z23" s="77">
        <f t="shared" si="18"/>
        <v>5143.1940111756121</v>
      </c>
      <c r="AA23" s="77">
        <f t="shared" si="18"/>
        <v>4631.7266612094636</v>
      </c>
      <c r="AB23" s="77">
        <f t="shared" si="18"/>
        <v>4384.2944332115176</v>
      </c>
      <c r="AC23" s="89">
        <f t="shared" ref="AC23" si="19">+SUM(E23:AB23)*D23</f>
        <v>2933333.3333333335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>(($B23)/$D26)*E$6</f>
        <v>4225.7282408492483</v>
      </c>
      <c r="F24" s="79">
        <f t="shared" ref="F24:AB24" si="20">(($B23)/$D26)*F$6</f>
        <v>4102.575589904317</v>
      </c>
      <c r="G24" s="79">
        <f t="shared" si="20"/>
        <v>3987.7865798793782</v>
      </c>
      <c r="H24" s="79">
        <f t="shared" si="20"/>
        <v>3950.6231233186536</v>
      </c>
      <c r="I24" s="79">
        <f t="shared" si="20"/>
        <v>4007.2872213605033</v>
      </c>
      <c r="J24" s="79">
        <f t="shared" si="20"/>
        <v>4232.4678415516919</v>
      </c>
      <c r="K24" s="79">
        <f t="shared" si="20"/>
        <v>4937.9402052512814</v>
      </c>
      <c r="L24" s="79">
        <f t="shared" si="20"/>
        <v>5754.870398346452</v>
      </c>
      <c r="M24" s="79">
        <f t="shared" si="20"/>
        <v>6137.511365999002</v>
      </c>
      <c r="N24" s="79">
        <f t="shared" si="20"/>
        <v>6394.1314138962407</v>
      </c>
      <c r="O24" s="79">
        <f t="shared" si="20"/>
        <v>6614.6360298932386</v>
      </c>
      <c r="P24" s="79">
        <f t="shared" si="20"/>
        <v>6816.8453071214708</v>
      </c>
      <c r="Q24" s="79">
        <f t="shared" si="20"/>
        <v>6773.9355158644576</v>
      </c>
      <c r="R24" s="79">
        <f t="shared" si="20"/>
        <v>6755.32133477139</v>
      </c>
      <c r="S24" s="79">
        <f t="shared" si="20"/>
        <v>6796.4322255073448</v>
      </c>
      <c r="T24" s="79">
        <f t="shared" si="20"/>
        <v>6777.4791705694661</v>
      </c>
      <c r="U24" s="79">
        <f t="shared" si="20"/>
        <v>6519.1735008370315</v>
      </c>
      <c r="V24" s="79">
        <f t="shared" si="20"/>
        <v>6261.9428851966841</v>
      </c>
      <c r="W24" s="79">
        <f t="shared" si="20"/>
        <v>6226.2672720088085</v>
      </c>
      <c r="X24" s="79">
        <f t="shared" si="20"/>
        <v>6147.1258835273629</v>
      </c>
      <c r="Y24" s="79">
        <f t="shared" si="20"/>
        <v>5754.0371220827237</v>
      </c>
      <c r="Z24" s="79">
        <f t="shared" si="20"/>
        <v>5143.1940111756121</v>
      </c>
      <c r="AA24" s="79">
        <f t="shared" si="20"/>
        <v>4631.7266612094636</v>
      </c>
      <c r="AB24" s="79">
        <f t="shared" si="20"/>
        <v>4384.2944332115176</v>
      </c>
      <c r="AC24" s="90">
        <f t="shared" ref="AC24:AC25" si="21">+SUM(E24:AB24)*D24</f>
        <v>533333.33333333337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>(($B23)/$D26)*E$6</f>
        <v>4225.7282408492483</v>
      </c>
      <c r="F25" s="82">
        <f t="shared" ref="F25:AB25" si="22">(($B23)/$D26)*F$6</f>
        <v>4102.575589904317</v>
      </c>
      <c r="G25" s="82">
        <f t="shared" si="22"/>
        <v>3987.7865798793782</v>
      </c>
      <c r="H25" s="82">
        <f t="shared" si="22"/>
        <v>3950.6231233186536</v>
      </c>
      <c r="I25" s="82">
        <f t="shared" si="22"/>
        <v>4007.2872213605033</v>
      </c>
      <c r="J25" s="82">
        <f t="shared" si="22"/>
        <v>4232.4678415516919</v>
      </c>
      <c r="K25" s="82">
        <f t="shared" si="22"/>
        <v>4937.9402052512814</v>
      </c>
      <c r="L25" s="82">
        <f t="shared" si="22"/>
        <v>5754.870398346452</v>
      </c>
      <c r="M25" s="82">
        <f t="shared" si="22"/>
        <v>6137.511365999002</v>
      </c>
      <c r="N25" s="82">
        <f t="shared" si="22"/>
        <v>6394.1314138962407</v>
      </c>
      <c r="O25" s="82">
        <f t="shared" si="22"/>
        <v>6614.6360298932386</v>
      </c>
      <c r="P25" s="82">
        <f t="shared" si="22"/>
        <v>6816.8453071214708</v>
      </c>
      <c r="Q25" s="82">
        <f t="shared" si="22"/>
        <v>6773.9355158644576</v>
      </c>
      <c r="R25" s="82">
        <f t="shared" si="22"/>
        <v>6755.32133477139</v>
      </c>
      <c r="S25" s="82">
        <f t="shared" si="22"/>
        <v>6796.4322255073448</v>
      </c>
      <c r="T25" s="82">
        <f t="shared" si="22"/>
        <v>6777.4791705694661</v>
      </c>
      <c r="U25" s="82">
        <f t="shared" si="22"/>
        <v>6519.1735008370315</v>
      </c>
      <c r="V25" s="82">
        <f t="shared" si="22"/>
        <v>6261.9428851966841</v>
      </c>
      <c r="W25" s="82">
        <f t="shared" si="22"/>
        <v>6226.2672720088085</v>
      </c>
      <c r="X25" s="82">
        <f t="shared" si="22"/>
        <v>6147.1258835273629</v>
      </c>
      <c r="Y25" s="82">
        <f t="shared" si="22"/>
        <v>5754.0371220827237</v>
      </c>
      <c r="Z25" s="82">
        <f t="shared" si="22"/>
        <v>5143.1940111756121</v>
      </c>
      <c r="AA25" s="82">
        <f t="shared" si="22"/>
        <v>4631.7266612094636</v>
      </c>
      <c r="AB25" s="82">
        <f t="shared" si="22"/>
        <v>4384.2944332115176</v>
      </c>
      <c r="AC25" s="91">
        <f t="shared" si="21"/>
        <v>533333.33333333337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4000000.0000000005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5-2025</v>
      </c>
      <c r="B27" s="139">
        <f>'P1_AÑO 2025'!C20</f>
        <v>4000000</v>
      </c>
      <c r="C27" s="59" t="s">
        <v>40</v>
      </c>
      <c r="D27" s="60">
        <f>VLOOKUP(A27&amp;C27,calendario!I:L,4,0)</f>
        <v>22</v>
      </c>
      <c r="E27" s="77">
        <f>(($B27)/$D30)*E$6</f>
        <v>4089.4144266283047</v>
      </c>
      <c r="F27" s="77">
        <f t="shared" ref="F27:AB27" si="25">(($B27)/$D30)*F$6</f>
        <v>3970.234441842887</v>
      </c>
      <c r="G27" s="77">
        <f t="shared" si="25"/>
        <v>3859.1483031090756</v>
      </c>
      <c r="H27" s="77">
        <f t="shared" si="25"/>
        <v>3823.1836677277292</v>
      </c>
      <c r="I27" s="77">
        <f t="shared" si="25"/>
        <v>3878.0198916391969</v>
      </c>
      <c r="J27" s="77">
        <f t="shared" si="25"/>
        <v>4095.9366208564757</v>
      </c>
      <c r="K27" s="77">
        <f t="shared" si="25"/>
        <v>4778.6518115334975</v>
      </c>
      <c r="L27" s="77">
        <f t="shared" si="25"/>
        <v>5569.229417754631</v>
      </c>
      <c r="M27" s="77">
        <f t="shared" si="25"/>
        <v>5939.5271283861312</v>
      </c>
      <c r="N27" s="77">
        <f t="shared" si="25"/>
        <v>6187.8691102221683</v>
      </c>
      <c r="O27" s="77">
        <f t="shared" si="25"/>
        <v>6401.2606740902311</v>
      </c>
      <c r="P27" s="77">
        <f t="shared" si="25"/>
        <v>6596.9470714078743</v>
      </c>
      <c r="Q27" s="77">
        <f t="shared" si="25"/>
        <v>6555.4214669656039</v>
      </c>
      <c r="R27" s="77">
        <f t="shared" si="25"/>
        <v>6537.4077433271514</v>
      </c>
      <c r="S27" s="77">
        <f t="shared" si="25"/>
        <v>6577.1924762974304</v>
      </c>
      <c r="T27" s="77">
        <f t="shared" si="25"/>
        <v>6558.850810228515</v>
      </c>
      <c r="U27" s="77">
        <f t="shared" si="25"/>
        <v>6308.8775814551918</v>
      </c>
      <c r="V27" s="77">
        <f t="shared" si="25"/>
        <v>6059.9447276096944</v>
      </c>
      <c r="W27" s="77">
        <f t="shared" si="25"/>
        <v>6025.4199406536854</v>
      </c>
      <c r="X27" s="77">
        <f t="shared" si="25"/>
        <v>5948.8315001877709</v>
      </c>
      <c r="Y27" s="77">
        <f t="shared" si="25"/>
        <v>5568.4230213703777</v>
      </c>
      <c r="Z27" s="77">
        <f t="shared" si="25"/>
        <v>4977.2845269441405</v>
      </c>
      <c r="AA27" s="77">
        <f t="shared" si="25"/>
        <v>4482.3161237510931</v>
      </c>
      <c r="AB27" s="77">
        <f t="shared" si="25"/>
        <v>4242.8655805272747</v>
      </c>
      <c r="AC27" s="89">
        <f t="shared" ref="AC27" si="26">+SUM(E27:AB27)*D27</f>
        <v>2838709.6774193551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>(($B27)/$D30)*E$6</f>
        <v>4089.4144266283047</v>
      </c>
      <c r="F28" s="79">
        <f t="shared" ref="F28:AB28" si="27">(($B27)/$D30)*F$6</f>
        <v>3970.234441842887</v>
      </c>
      <c r="G28" s="79">
        <f t="shared" si="27"/>
        <v>3859.1483031090756</v>
      </c>
      <c r="H28" s="79">
        <f t="shared" si="27"/>
        <v>3823.1836677277292</v>
      </c>
      <c r="I28" s="79">
        <f t="shared" si="27"/>
        <v>3878.0198916391969</v>
      </c>
      <c r="J28" s="79">
        <f t="shared" si="27"/>
        <v>4095.9366208564757</v>
      </c>
      <c r="K28" s="79">
        <f t="shared" si="27"/>
        <v>4778.6518115334975</v>
      </c>
      <c r="L28" s="79">
        <f t="shared" si="27"/>
        <v>5569.229417754631</v>
      </c>
      <c r="M28" s="79">
        <f t="shared" si="27"/>
        <v>5939.5271283861312</v>
      </c>
      <c r="N28" s="79">
        <f t="shared" si="27"/>
        <v>6187.8691102221683</v>
      </c>
      <c r="O28" s="79">
        <f t="shared" si="27"/>
        <v>6401.2606740902311</v>
      </c>
      <c r="P28" s="79">
        <f t="shared" si="27"/>
        <v>6596.9470714078743</v>
      </c>
      <c r="Q28" s="79">
        <f t="shared" si="27"/>
        <v>6555.4214669656039</v>
      </c>
      <c r="R28" s="79">
        <f t="shared" si="27"/>
        <v>6537.4077433271514</v>
      </c>
      <c r="S28" s="79">
        <f t="shared" si="27"/>
        <v>6577.1924762974304</v>
      </c>
      <c r="T28" s="79">
        <f t="shared" si="27"/>
        <v>6558.850810228515</v>
      </c>
      <c r="U28" s="79">
        <f t="shared" si="27"/>
        <v>6308.8775814551918</v>
      </c>
      <c r="V28" s="79">
        <f t="shared" si="27"/>
        <v>6059.9447276096944</v>
      </c>
      <c r="W28" s="79">
        <f t="shared" si="27"/>
        <v>6025.4199406536854</v>
      </c>
      <c r="X28" s="79">
        <f t="shared" si="27"/>
        <v>5948.8315001877709</v>
      </c>
      <c r="Y28" s="79">
        <f t="shared" si="27"/>
        <v>5568.4230213703777</v>
      </c>
      <c r="Z28" s="79">
        <f t="shared" si="27"/>
        <v>4977.2845269441405</v>
      </c>
      <c r="AA28" s="79">
        <f t="shared" si="27"/>
        <v>4482.3161237510931</v>
      </c>
      <c r="AB28" s="79">
        <f t="shared" si="27"/>
        <v>4242.8655805272747</v>
      </c>
      <c r="AC28" s="90">
        <f t="shared" ref="AC28:AC29" si="28">+SUM(E28:AB28)*D28</f>
        <v>645161.29032258072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>(($B27)/$D30)*E$6</f>
        <v>4089.4144266283047</v>
      </c>
      <c r="F29" s="82">
        <f t="shared" ref="F29:AB29" si="29">(($B27)/$D30)*F$6</f>
        <v>3970.234441842887</v>
      </c>
      <c r="G29" s="82">
        <f t="shared" si="29"/>
        <v>3859.1483031090756</v>
      </c>
      <c r="H29" s="82">
        <f t="shared" si="29"/>
        <v>3823.1836677277292</v>
      </c>
      <c r="I29" s="82">
        <f t="shared" si="29"/>
        <v>3878.0198916391969</v>
      </c>
      <c r="J29" s="82">
        <f t="shared" si="29"/>
        <v>4095.9366208564757</v>
      </c>
      <c r="K29" s="82">
        <f t="shared" si="29"/>
        <v>4778.6518115334975</v>
      </c>
      <c r="L29" s="82">
        <f t="shared" si="29"/>
        <v>5569.229417754631</v>
      </c>
      <c r="M29" s="82">
        <f t="shared" si="29"/>
        <v>5939.5271283861312</v>
      </c>
      <c r="N29" s="82">
        <f t="shared" si="29"/>
        <v>6187.8691102221683</v>
      </c>
      <c r="O29" s="82">
        <f t="shared" si="29"/>
        <v>6401.2606740902311</v>
      </c>
      <c r="P29" s="82">
        <f t="shared" si="29"/>
        <v>6596.9470714078743</v>
      </c>
      <c r="Q29" s="82">
        <f t="shared" si="29"/>
        <v>6555.4214669656039</v>
      </c>
      <c r="R29" s="82">
        <f t="shared" si="29"/>
        <v>6537.4077433271514</v>
      </c>
      <c r="S29" s="82">
        <f t="shared" si="29"/>
        <v>6577.1924762974304</v>
      </c>
      <c r="T29" s="82">
        <f t="shared" si="29"/>
        <v>6558.850810228515</v>
      </c>
      <c r="U29" s="82">
        <f t="shared" si="29"/>
        <v>6308.8775814551918</v>
      </c>
      <c r="V29" s="82">
        <f t="shared" si="29"/>
        <v>6059.9447276096944</v>
      </c>
      <c r="W29" s="82">
        <f t="shared" si="29"/>
        <v>6025.4199406536854</v>
      </c>
      <c r="X29" s="82">
        <f t="shared" si="29"/>
        <v>5948.8315001877709</v>
      </c>
      <c r="Y29" s="82">
        <f t="shared" si="29"/>
        <v>5568.4230213703777</v>
      </c>
      <c r="Z29" s="82">
        <f t="shared" si="29"/>
        <v>4977.2845269441405</v>
      </c>
      <c r="AA29" s="82">
        <f t="shared" si="29"/>
        <v>4482.3161237510931</v>
      </c>
      <c r="AB29" s="82">
        <f t="shared" si="29"/>
        <v>4242.8655805272747</v>
      </c>
      <c r="AC29" s="91">
        <f t="shared" si="28"/>
        <v>516129.03225806454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4000000.0000000005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6-2025</v>
      </c>
      <c r="B31" s="139">
        <f>'P1_AÑO 2025'!C21</f>
        <v>5000000</v>
      </c>
      <c r="C31" s="59" t="s">
        <v>40</v>
      </c>
      <c r="D31" s="60">
        <f>VLOOKUP(A31&amp;C31,calendario!I:L,4,0)</f>
        <v>21</v>
      </c>
      <c r="E31" s="77">
        <f>(($B31)/$D34)*E$6</f>
        <v>5282.1603010615599</v>
      </c>
      <c r="F31" s="77">
        <f t="shared" ref="F31:AB31" si="32">(($B31)/$D34)*F$6</f>
        <v>5128.2194873803955</v>
      </c>
      <c r="G31" s="77">
        <f t="shared" si="32"/>
        <v>4984.7332248492221</v>
      </c>
      <c r="H31" s="77">
        <f t="shared" si="32"/>
        <v>4938.2789041483165</v>
      </c>
      <c r="I31" s="77">
        <f t="shared" si="32"/>
        <v>5009.1090267006284</v>
      </c>
      <c r="J31" s="77">
        <f t="shared" si="32"/>
        <v>5290.5848019396135</v>
      </c>
      <c r="K31" s="77">
        <f t="shared" si="32"/>
        <v>6172.4252565641009</v>
      </c>
      <c r="L31" s="77">
        <f t="shared" si="32"/>
        <v>7193.5879979330648</v>
      </c>
      <c r="M31" s="77">
        <f t="shared" si="32"/>
        <v>7671.8892074987516</v>
      </c>
      <c r="N31" s="77">
        <f t="shared" si="32"/>
        <v>7992.6642673703</v>
      </c>
      <c r="O31" s="77">
        <f t="shared" si="32"/>
        <v>8268.2950373665481</v>
      </c>
      <c r="P31" s="77">
        <f t="shared" si="32"/>
        <v>8521.0566339018369</v>
      </c>
      <c r="Q31" s="77">
        <f t="shared" si="32"/>
        <v>8467.419394830571</v>
      </c>
      <c r="R31" s="77">
        <f t="shared" si="32"/>
        <v>8444.1516684642356</v>
      </c>
      <c r="S31" s="77">
        <f t="shared" si="32"/>
        <v>8495.5402818841812</v>
      </c>
      <c r="T31" s="77">
        <f t="shared" si="32"/>
        <v>8471.8489632118308</v>
      </c>
      <c r="U31" s="77">
        <f t="shared" si="32"/>
        <v>8148.9668760462891</v>
      </c>
      <c r="V31" s="77">
        <f t="shared" si="32"/>
        <v>7827.4286064958542</v>
      </c>
      <c r="W31" s="77">
        <f t="shared" si="32"/>
        <v>7782.8340900110097</v>
      </c>
      <c r="X31" s="77">
        <f t="shared" si="32"/>
        <v>7683.9073544092034</v>
      </c>
      <c r="Y31" s="77">
        <f t="shared" si="32"/>
        <v>7192.5464026034042</v>
      </c>
      <c r="Z31" s="77">
        <f t="shared" si="32"/>
        <v>6428.9925139695142</v>
      </c>
      <c r="AA31" s="77">
        <f t="shared" si="32"/>
        <v>5789.6583265118288</v>
      </c>
      <c r="AB31" s="77">
        <f t="shared" si="32"/>
        <v>5480.3680415143963</v>
      </c>
      <c r="AC31" s="89">
        <f t="shared" ref="AC31" si="33">+SUM(E31:AB31)*D31</f>
        <v>3500000.0000000005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>(($B31)/$D34)*E$6</f>
        <v>5282.1603010615599</v>
      </c>
      <c r="F32" s="79">
        <f t="shared" ref="F32:AB32" si="34">(($B31)/$D34)*F$6</f>
        <v>5128.2194873803955</v>
      </c>
      <c r="G32" s="79">
        <f t="shared" si="34"/>
        <v>4984.7332248492221</v>
      </c>
      <c r="H32" s="79">
        <f t="shared" si="34"/>
        <v>4938.2789041483165</v>
      </c>
      <c r="I32" s="79">
        <f t="shared" si="34"/>
        <v>5009.1090267006284</v>
      </c>
      <c r="J32" s="79">
        <f t="shared" si="34"/>
        <v>5290.5848019396135</v>
      </c>
      <c r="K32" s="79">
        <f t="shared" si="34"/>
        <v>6172.4252565641009</v>
      </c>
      <c r="L32" s="79">
        <f t="shared" si="34"/>
        <v>7193.5879979330648</v>
      </c>
      <c r="M32" s="79">
        <f t="shared" si="34"/>
        <v>7671.8892074987516</v>
      </c>
      <c r="N32" s="79">
        <f t="shared" si="34"/>
        <v>7992.6642673703</v>
      </c>
      <c r="O32" s="79">
        <f t="shared" si="34"/>
        <v>8268.2950373665481</v>
      </c>
      <c r="P32" s="79">
        <f t="shared" si="34"/>
        <v>8521.0566339018369</v>
      </c>
      <c r="Q32" s="79">
        <f t="shared" si="34"/>
        <v>8467.419394830571</v>
      </c>
      <c r="R32" s="79">
        <f t="shared" si="34"/>
        <v>8444.1516684642356</v>
      </c>
      <c r="S32" s="79">
        <f t="shared" si="34"/>
        <v>8495.5402818841812</v>
      </c>
      <c r="T32" s="79">
        <f t="shared" si="34"/>
        <v>8471.8489632118308</v>
      </c>
      <c r="U32" s="79">
        <f t="shared" si="34"/>
        <v>8148.9668760462891</v>
      </c>
      <c r="V32" s="79">
        <f t="shared" si="34"/>
        <v>7827.4286064958542</v>
      </c>
      <c r="W32" s="79">
        <f t="shared" si="34"/>
        <v>7782.8340900110097</v>
      </c>
      <c r="X32" s="79">
        <f t="shared" si="34"/>
        <v>7683.9073544092034</v>
      </c>
      <c r="Y32" s="79">
        <f t="shared" si="34"/>
        <v>7192.5464026034042</v>
      </c>
      <c r="Z32" s="79">
        <f t="shared" si="34"/>
        <v>6428.9925139695142</v>
      </c>
      <c r="AA32" s="79">
        <f t="shared" si="34"/>
        <v>5789.6583265118288</v>
      </c>
      <c r="AB32" s="79">
        <f t="shared" si="34"/>
        <v>5480.3680415143963</v>
      </c>
      <c r="AC32" s="90">
        <f t="shared" ref="AC32:AC33" si="35">+SUM(E32:AB32)*D32</f>
        <v>666666.66666666674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>(($B31)/$D34)*E$6</f>
        <v>5282.1603010615599</v>
      </c>
      <c r="F33" s="82">
        <f t="shared" ref="F33:AB33" si="36">(($B31)/$D34)*F$6</f>
        <v>5128.2194873803955</v>
      </c>
      <c r="G33" s="82">
        <f t="shared" si="36"/>
        <v>4984.7332248492221</v>
      </c>
      <c r="H33" s="82">
        <f t="shared" si="36"/>
        <v>4938.2789041483165</v>
      </c>
      <c r="I33" s="82">
        <f t="shared" si="36"/>
        <v>5009.1090267006284</v>
      </c>
      <c r="J33" s="82">
        <f t="shared" si="36"/>
        <v>5290.5848019396135</v>
      </c>
      <c r="K33" s="82">
        <f t="shared" si="36"/>
        <v>6172.4252565641009</v>
      </c>
      <c r="L33" s="82">
        <f t="shared" si="36"/>
        <v>7193.5879979330648</v>
      </c>
      <c r="M33" s="82">
        <f t="shared" si="36"/>
        <v>7671.8892074987516</v>
      </c>
      <c r="N33" s="82">
        <f t="shared" si="36"/>
        <v>7992.6642673703</v>
      </c>
      <c r="O33" s="82">
        <f t="shared" si="36"/>
        <v>8268.2950373665481</v>
      </c>
      <c r="P33" s="82">
        <f t="shared" si="36"/>
        <v>8521.0566339018369</v>
      </c>
      <c r="Q33" s="82">
        <f t="shared" si="36"/>
        <v>8467.419394830571</v>
      </c>
      <c r="R33" s="82">
        <f t="shared" si="36"/>
        <v>8444.1516684642356</v>
      </c>
      <c r="S33" s="82">
        <f t="shared" si="36"/>
        <v>8495.5402818841812</v>
      </c>
      <c r="T33" s="82">
        <f t="shared" si="36"/>
        <v>8471.8489632118308</v>
      </c>
      <c r="U33" s="82">
        <f t="shared" si="36"/>
        <v>8148.9668760462891</v>
      </c>
      <c r="V33" s="82">
        <f t="shared" si="36"/>
        <v>7827.4286064958542</v>
      </c>
      <c r="W33" s="82">
        <f t="shared" si="36"/>
        <v>7782.8340900110097</v>
      </c>
      <c r="X33" s="82">
        <f t="shared" si="36"/>
        <v>7683.9073544092034</v>
      </c>
      <c r="Y33" s="82">
        <f t="shared" si="36"/>
        <v>7192.5464026034042</v>
      </c>
      <c r="Z33" s="82">
        <f t="shared" si="36"/>
        <v>6428.9925139695142</v>
      </c>
      <c r="AA33" s="82">
        <f t="shared" si="36"/>
        <v>5789.6583265118288</v>
      </c>
      <c r="AB33" s="82">
        <f t="shared" si="36"/>
        <v>5480.3680415143963</v>
      </c>
      <c r="AC33" s="91">
        <f t="shared" si="35"/>
        <v>833333.33333333349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5000000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7-2025</v>
      </c>
      <c r="B35" s="139">
        <f>'P1_AÑO 2025'!C22</f>
        <v>5000000</v>
      </c>
      <c r="C35" s="59" t="s">
        <v>40</v>
      </c>
      <c r="D35" s="60">
        <f>VLOOKUP(A35&amp;C35,calendario!I:L,4,0)</f>
        <v>23</v>
      </c>
      <c r="E35" s="77">
        <f>(($B35)/$D38)*E$6</f>
        <v>5111.7680332853797</v>
      </c>
      <c r="F35" s="77">
        <f t="shared" ref="F35:AB35" si="39">(($B35)/$D38)*F$6</f>
        <v>4962.7930523036084</v>
      </c>
      <c r="G35" s="77">
        <f t="shared" si="39"/>
        <v>4823.9353788863436</v>
      </c>
      <c r="H35" s="77">
        <f t="shared" si="39"/>
        <v>4778.9795846596608</v>
      </c>
      <c r="I35" s="77">
        <f t="shared" si="39"/>
        <v>4847.5248645489955</v>
      </c>
      <c r="J35" s="77">
        <f t="shared" si="39"/>
        <v>5119.920776070594</v>
      </c>
      <c r="K35" s="77">
        <f t="shared" si="39"/>
        <v>5973.3147644168712</v>
      </c>
      <c r="L35" s="77">
        <f t="shared" si="39"/>
        <v>6961.536772193288</v>
      </c>
      <c r="M35" s="77">
        <f t="shared" si="39"/>
        <v>7424.4089104826626</v>
      </c>
      <c r="N35" s="77">
        <f t="shared" si="39"/>
        <v>7734.8363877777101</v>
      </c>
      <c r="O35" s="77">
        <f t="shared" si="39"/>
        <v>8001.5758426127877</v>
      </c>
      <c r="P35" s="77">
        <f t="shared" si="39"/>
        <v>8246.183839259842</v>
      </c>
      <c r="Q35" s="77">
        <f t="shared" si="39"/>
        <v>8194.2768337070047</v>
      </c>
      <c r="R35" s="77">
        <f t="shared" si="39"/>
        <v>8171.7596791589385</v>
      </c>
      <c r="S35" s="77">
        <f t="shared" si="39"/>
        <v>8221.490595371788</v>
      </c>
      <c r="T35" s="77">
        <f t="shared" si="39"/>
        <v>8198.5635127856422</v>
      </c>
      <c r="U35" s="77">
        <f t="shared" si="39"/>
        <v>7886.0969768189889</v>
      </c>
      <c r="V35" s="77">
        <f t="shared" si="39"/>
        <v>7574.9309095121171</v>
      </c>
      <c r="W35" s="77">
        <f t="shared" si="39"/>
        <v>7531.7749258171061</v>
      </c>
      <c r="X35" s="77">
        <f t="shared" si="39"/>
        <v>7436.0393752347127</v>
      </c>
      <c r="Y35" s="77">
        <f t="shared" si="39"/>
        <v>6960.5287767129712</v>
      </c>
      <c r="Z35" s="77">
        <f t="shared" si="39"/>
        <v>6221.6056586801751</v>
      </c>
      <c r="AA35" s="77">
        <f t="shared" si="39"/>
        <v>5602.8951546888666</v>
      </c>
      <c r="AB35" s="77">
        <f t="shared" si="39"/>
        <v>5303.5819756590936</v>
      </c>
      <c r="AC35" s="89">
        <f t="shared" ref="AC35" si="40">+SUM(E35:AB35)*D35</f>
        <v>3709677.4193548374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>(($B35)/$D38)*E$6</f>
        <v>5111.7680332853797</v>
      </c>
      <c r="F36" s="79">
        <f t="shared" ref="F36:AB36" si="41">(($B35)/$D38)*F$6</f>
        <v>4962.7930523036084</v>
      </c>
      <c r="G36" s="79">
        <f t="shared" si="41"/>
        <v>4823.9353788863436</v>
      </c>
      <c r="H36" s="79">
        <f t="shared" si="41"/>
        <v>4778.9795846596608</v>
      </c>
      <c r="I36" s="79">
        <f t="shared" si="41"/>
        <v>4847.5248645489955</v>
      </c>
      <c r="J36" s="79">
        <f t="shared" si="41"/>
        <v>5119.920776070594</v>
      </c>
      <c r="K36" s="79">
        <f t="shared" si="41"/>
        <v>5973.3147644168712</v>
      </c>
      <c r="L36" s="79">
        <f t="shared" si="41"/>
        <v>6961.536772193288</v>
      </c>
      <c r="M36" s="79">
        <f t="shared" si="41"/>
        <v>7424.4089104826626</v>
      </c>
      <c r="N36" s="79">
        <f t="shared" si="41"/>
        <v>7734.8363877777101</v>
      </c>
      <c r="O36" s="79">
        <f t="shared" si="41"/>
        <v>8001.5758426127877</v>
      </c>
      <c r="P36" s="79">
        <f t="shared" si="41"/>
        <v>8246.183839259842</v>
      </c>
      <c r="Q36" s="79">
        <f t="shared" si="41"/>
        <v>8194.2768337070047</v>
      </c>
      <c r="R36" s="79">
        <f t="shared" si="41"/>
        <v>8171.7596791589385</v>
      </c>
      <c r="S36" s="79">
        <f t="shared" si="41"/>
        <v>8221.490595371788</v>
      </c>
      <c r="T36" s="79">
        <f t="shared" si="41"/>
        <v>8198.5635127856422</v>
      </c>
      <c r="U36" s="79">
        <f t="shared" si="41"/>
        <v>7886.0969768189889</v>
      </c>
      <c r="V36" s="79">
        <f t="shared" si="41"/>
        <v>7574.9309095121171</v>
      </c>
      <c r="W36" s="79">
        <f t="shared" si="41"/>
        <v>7531.7749258171061</v>
      </c>
      <c r="X36" s="79">
        <f t="shared" si="41"/>
        <v>7436.0393752347127</v>
      </c>
      <c r="Y36" s="79">
        <f t="shared" si="41"/>
        <v>6960.5287767129712</v>
      </c>
      <c r="Z36" s="79">
        <f t="shared" si="41"/>
        <v>6221.6056586801751</v>
      </c>
      <c r="AA36" s="79">
        <f t="shared" si="41"/>
        <v>5602.8951546888666</v>
      </c>
      <c r="AB36" s="79">
        <f t="shared" si="41"/>
        <v>5303.5819756590936</v>
      </c>
      <c r="AC36" s="90">
        <f t="shared" ref="AC36:AC37" si="42">+SUM(E36:AB36)*D36</f>
        <v>645161.29032258037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>(($B35)/$D38)*E$6</f>
        <v>5111.7680332853797</v>
      </c>
      <c r="F37" s="82">
        <f t="shared" ref="F37:AB37" si="43">(($B35)/$D38)*F$6</f>
        <v>4962.7930523036084</v>
      </c>
      <c r="G37" s="82">
        <f t="shared" si="43"/>
        <v>4823.9353788863436</v>
      </c>
      <c r="H37" s="82">
        <f t="shared" si="43"/>
        <v>4778.9795846596608</v>
      </c>
      <c r="I37" s="82">
        <f t="shared" si="43"/>
        <v>4847.5248645489955</v>
      </c>
      <c r="J37" s="82">
        <f t="shared" si="43"/>
        <v>5119.920776070594</v>
      </c>
      <c r="K37" s="82">
        <f t="shared" si="43"/>
        <v>5973.3147644168712</v>
      </c>
      <c r="L37" s="82">
        <f t="shared" si="43"/>
        <v>6961.536772193288</v>
      </c>
      <c r="M37" s="82">
        <f t="shared" si="43"/>
        <v>7424.4089104826626</v>
      </c>
      <c r="N37" s="82">
        <f t="shared" si="43"/>
        <v>7734.8363877777101</v>
      </c>
      <c r="O37" s="82">
        <f t="shared" si="43"/>
        <v>8001.5758426127877</v>
      </c>
      <c r="P37" s="82">
        <f t="shared" si="43"/>
        <v>8246.183839259842</v>
      </c>
      <c r="Q37" s="82">
        <f t="shared" si="43"/>
        <v>8194.2768337070047</v>
      </c>
      <c r="R37" s="82">
        <f t="shared" si="43"/>
        <v>8171.7596791589385</v>
      </c>
      <c r="S37" s="82">
        <f t="shared" si="43"/>
        <v>8221.490595371788</v>
      </c>
      <c r="T37" s="82">
        <f t="shared" si="43"/>
        <v>8198.5635127856422</v>
      </c>
      <c r="U37" s="82">
        <f t="shared" si="43"/>
        <v>7886.0969768189889</v>
      </c>
      <c r="V37" s="82">
        <f t="shared" si="43"/>
        <v>7574.9309095121171</v>
      </c>
      <c r="W37" s="82">
        <f t="shared" si="43"/>
        <v>7531.7749258171061</v>
      </c>
      <c r="X37" s="82">
        <f t="shared" si="43"/>
        <v>7436.0393752347127</v>
      </c>
      <c r="Y37" s="82">
        <f t="shared" si="43"/>
        <v>6960.5287767129712</v>
      </c>
      <c r="Z37" s="82">
        <f t="shared" si="43"/>
        <v>6221.6056586801751</v>
      </c>
      <c r="AA37" s="82">
        <f t="shared" si="43"/>
        <v>5602.8951546888666</v>
      </c>
      <c r="AB37" s="82">
        <f t="shared" si="43"/>
        <v>5303.5819756590936</v>
      </c>
      <c r="AC37" s="91">
        <f t="shared" si="42"/>
        <v>645161.29032258037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4999999.9999999981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8-2025</v>
      </c>
      <c r="B39" s="139">
        <f>'P1_AÑO 2025'!C23</f>
        <v>6000000</v>
      </c>
      <c r="C39" s="59" t="s">
        <v>40</v>
      </c>
      <c r="D39" s="60">
        <f>VLOOKUP(A39&amp;C39,calendario!I:L,4,0)</f>
        <v>21</v>
      </c>
      <c r="E39" s="77">
        <f>(($B39)/$D42)*E$6</f>
        <v>6134.1216399424566</v>
      </c>
      <c r="F39" s="77">
        <f t="shared" ref="F39:AB39" si="46">(($B39)/$D42)*F$6</f>
        <v>5955.3516627643303</v>
      </c>
      <c r="G39" s="77">
        <f t="shared" si="46"/>
        <v>5788.7224546636126</v>
      </c>
      <c r="H39" s="77">
        <f t="shared" si="46"/>
        <v>5734.7755015915927</v>
      </c>
      <c r="I39" s="77">
        <f t="shared" si="46"/>
        <v>5817.0298374587946</v>
      </c>
      <c r="J39" s="77">
        <f t="shared" si="46"/>
        <v>6143.9049312847128</v>
      </c>
      <c r="K39" s="77">
        <f t="shared" si="46"/>
        <v>7167.9777173002458</v>
      </c>
      <c r="L39" s="77">
        <f t="shared" si="46"/>
        <v>8353.844126631946</v>
      </c>
      <c r="M39" s="77">
        <f t="shared" si="46"/>
        <v>8909.2906925791958</v>
      </c>
      <c r="N39" s="77">
        <f t="shared" si="46"/>
        <v>9281.803665333251</v>
      </c>
      <c r="O39" s="77">
        <f t="shared" si="46"/>
        <v>9601.8910111353453</v>
      </c>
      <c r="P39" s="77">
        <f t="shared" si="46"/>
        <v>9895.4206071118115</v>
      </c>
      <c r="Q39" s="77">
        <f t="shared" si="46"/>
        <v>9833.1322004484045</v>
      </c>
      <c r="R39" s="77">
        <f t="shared" si="46"/>
        <v>9806.1116149907266</v>
      </c>
      <c r="S39" s="77">
        <f t="shared" si="46"/>
        <v>9865.7887144461456</v>
      </c>
      <c r="T39" s="77">
        <f t="shared" si="46"/>
        <v>9838.276215342772</v>
      </c>
      <c r="U39" s="77">
        <f t="shared" si="46"/>
        <v>9463.3163721827877</v>
      </c>
      <c r="V39" s="77">
        <f t="shared" si="46"/>
        <v>9089.9170914145398</v>
      </c>
      <c r="W39" s="77">
        <f t="shared" si="46"/>
        <v>9038.1299109805277</v>
      </c>
      <c r="X39" s="77">
        <f t="shared" si="46"/>
        <v>8923.2472502816545</v>
      </c>
      <c r="Y39" s="77">
        <f t="shared" si="46"/>
        <v>8352.6345320555665</v>
      </c>
      <c r="Z39" s="77">
        <f t="shared" si="46"/>
        <v>7465.9267904162098</v>
      </c>
      <c r="AA39" s="77">
        <f t="shared" si="46"/>
        <v>6723.4741856266392</v>
      </c>
      <c r="AB39" s="77">
        <f t="shared" si="46"/>
        <v>6364.2983707909116</v>
      </c>
      <c r="AC39" s="89">
        <f t="shared" ref="AC39" si="47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>(($B39)/$D42)*E$6</f>
        <v>6134.1216399424566</v>
      </c>
      <c r="F40" s="79">
        <f t="shared" ref="F40:AB40" si="48">(($B39)/$D42)*F$6</f>
        <v>5955.3516627643303</v>
      </c>
      <c r="G40" s="79">
        <f t="shared" si="48"/>
        <v>5788.7224546636126</v>
      </c>
      <c r="H40" s="79">
        <f t="shared" si="48"/>
        <v>5734.7755015915927</v>
      </c>
      <c r="I40" s="79">
        <f t="shared" si="48"/>
        <v>5817.0298374587946</v>
      </c>
      <c r="J40" s="79">
        <f t="shared" si="48"/>
        <v>6143.9049312847128</v>
      </c>
      <c r="K40" s="79">
        <f t="shared" si="48"/>
        <v>7167.9777173002458</v>
      </c>
      <c r="L40" s="79">
        <f t="shared" si="48"/>
        <v>8353.844126631946</v>
      </c>
      <c r="M40" s="79">
        <f t="shared" si="48"/>
        <v>8909.2906925791958</v>
      </c>
      <c r="N40" s="79">
        <f t="shared" si="48"/>
        <v>9281.803665333251</v>
      </c>
      <c r="O40" s="79">
        <f t="shared" si="48"/>
        <v>9601.8910111353453</v>
      </c>
      <c r="P40" s="79">
        <f t="shared" si="48"/>
        <v>9895.4206071118115</v>
      </c>
      <c r="Q40" s="79">
        <f t="shared" si="48"/>
        <v>9833.1322004484045</v>
      </c>
      <c r="R40" s="79">
        <f t="shared" si="48"/>
        <v>9806.1116149907266</v>
      </c>
      <c r="S40" s="79">
        <f t="shared" si="48"/>
        <v>9865.7887144461456</v>
      </c>
      <c r="T40" s="79">
        <f t="shared" si="48"/>
        <v>9838.276215342772</v>
      </c>
      <c r="U40" s="79">
        <f t="shared" si="48"/>
        <v>9463.3163721827877</v>
      </c>
      <c r="V40" s="79">
        <f t="shared" si="48"/>
        <v>9089.9170914145398</v>
      </c>
      <c r="W40" s="79">
        <f t="shared" si="48"/>
        <v>9038.1299109805277</v>
      </c>
      <c r="X40" s="79">
        <f t="shared" si="48"/>
        <v>8923.2472502816545</v>
      </c>
      <c r="Y40" s="79">
        <f t="shared" si="48"/>
        <v>8352.6345320555665</v>
      </c>
      <c r="Z40" s="79">
        <f t="shared" si="48"/>
        <v>7465.9267904162098</v>
      </c>
      <c r="AA40" s="79">
        <f t="shared" si="48"/>
        <v>6723.4741856266392</v>
      </c>
      <c r="AB40" s="79">
        <f t="shared" si="48"/>
        <v>6364.2983707909116</v>
      </c>
      <c r="AC40" s="90">
        <f t="shared" ref="AC40:AC41" si="49">+SUM(E40:AB40)*D40</f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>(($B39)/$D42)*E$6</f>
        <v>6134.1216399424566</v>
      </c>
      <c r="F41" s="82">
        <f t="shared" ref="F41:AB41" si="50">(($B39)/$D42)*F$6</f>
        <v>5955.3516627643303</v>
      </c>
      <c r="G41" s="82">
        <f t="shared" si="50"/>
        <v>5788.7224546636126</v>
      </c>
      <c r="H41" s="82">
        <f t="shared" si="50"/>
        <v>5734.7755015915927</v>
      </c>
      <c r="I41" s="82">
        <f t="shared" si="50"/>
        <v>5817.0298374587946</v>
      </c>
      <c r="J41" s="82">
        <f t="shared" si="50"/>
        <v>6143.9049312847128</v>
      </c>
      <c r="K41" s="82">
        <f t="shared" si="50"/>
        <v>7167.9777173002458</v>
      </c>
      <c r="L41" s="82">
        <f t="shared" si="50"/>
        <v>8353.844126631946</v>
      </c>
      <c r="M41" s="82">
        <f t="shared" si="50"/>
        <v>8909.2906925791958</v>
      </c>
      <c r="N41" s="82">
        <f t="shared" si="50"/>
        <v>9281.803665333251</v>
      </c>
      <c r="O41" s="82">
        <f t="shared" si="50"/>
        <v>9601.8910111353453</v>
      </c>
      <c r="P41" s="82">
        <f t="shared" si="50"/>
        <v>9895.4206071118115</v>
      </c>
      <c r="Q41" s="82">
        <f t="shared" si="50"/>
        <v>9833.1322004484045</v>
      </c>
      <c r="R41" s="82">
        <f t="shared" si="50"/>
        <v>9806.1116149907266</v>
      </c>
      <c r="S41" s="82">
        <f t="shared" si="50"/>
        <v>9865.7887144461456</v>
      </c>
      <c r="T41" s="82">
        <f t="shared" si="50"/>
        <v>9838.276215342772</v>
      </c>
      <c r="U41" s="82">
        <f t="shared" si="50"/>
        <v>9463.3163721827877</v>
      </c>
      <c r="V41" s="82">
        <f t="shared" si="50"/>
        <v>9089.9170914145398</v>
      </c>
      <c r="W41" s="82">
        <f t="shared" si="50"/>
        <v>9038.1299109805277</v>
      </c>
      <c r="X41" s="82">
        <f t="shared" si="50"/>
        <v>8923.2472502816545</v>
      </c>
      <c r="Y41" s="82">
        <f t="shared" si="50"/>
        <v>8352.6345320555665</v>
      </c>
      <c r="Z41" s="82">
        <f t="shared" si="50"/>
        <v>7465.9267904162098</v>
      </c>
      <c r="AA41" s="82">
        <f t="shared" si="50"/>
        <v>6723.4741856266392</v>
      </c>
      <c r="AB41" s="82">
        <f t="shared" si="50"/>
        <v>6364.2983707909116</v>
      </c>
      <c r="AC41" s="91">
        <f t="shared" si="49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9-2025</v>
      </c>
      <c r="B43" s="139">
        <f>'P1_AÑO 2025'!C24</f>
        <v>6000000</v>
      </c>
      <c r="C43" s="59" t="s">
        <v>40</v>
      </c>
      <c r="D43" s="60">
        <f>VLOOKUP(A43&amp;C43,calendario!I:L,4,0)</f>
        <v>22</v>
      </c>
      <c r="E43" s="77">
        <f>(($B43)/$D46)*E$6</f>
        <v>6338.5923612738716</v>
      </c>
      <c r="F43" s="77">
        <f t="shared" ref="F43:AB43" si="53">(($B43)/$D46)*F$6</f>
        <v>6153.863384856475</v>
      </c>
      <c r="G43" s="77">
        <f t="shared" si="53"/>
        <v>5981.6798698190669</v>
      </c>
      <c r="H43" s="77">
        <f t="shared" si="53"/>
        <v>5925.9346849779804</v>
      </c>
      <c r="I43" s="77">
        <f t="shared" si="53"/>
        <v>6010.9308320407545</v>
      </c>
      <c r="J43" s="77">
        <f t="shared" si="53"/>
        <v>6348.7017623275369</v>
      </c>
      <c r="K43" s="77">
        <f t="shared" si="53"/>
        <v>7406.9103078769213</v>
      </c>
      <c r="L43" s="77">
        <f t="shared" si="53"/>
        <v>8632.3055975196785</v>
      </c>
      <c r="M43" s="77">
        <f t="shared" si="53"/>
        <v>9206.267048998503</v>
      </c>
      <c r="N43" s="77">
        <f t="shared" si="53"/>
        <v>9591.1971208443611</v>
      </c>
      <c r="O43" s="77">
        <f t="shared" si="53"/>
        <v>9921.9540448398584</v>
      </c>
      <c r="P43" s="77">
        <f t="shared" si="53"/>
        <v>10225.267960682206</v>
      </c>
      <c r="Q43" s="77">
        <f t="shared" si="53"/>
        <v>10160.903273796686</v>
      </c>
      <c r="R43" s="77">
        <f t="shared" si="53"/>
        <v>10132.982002157085</v>
      </c>
      <c r="S43" s="77">
        <f t="shared" si="53"/>
        <v>10194.648338261017</v>
      </c>
      <c r="T43" s="77">
        <f t="shared" si="53"/>
        <v>10166.218755854197</v>
      </c>
      <c r="U43" s="77">
        <f t="shared" si="53"/>
        <v>9778.7602512555477</v>
      </c>
      <c r="V43" s="77">
        <f t="shared" si="53"/>
        <v>9392.9143277950261</v>
      </c>
      <c r="W43" s="77">
        <f t="shared" si="53"/>
        <v>9339.4009080132128</v>
      </c>
      <c r="X43" s="77">
        <f t="shared" si="53"/>
        <v>9220.6888252910449</v>
      </c>
      <c r="Y43" s="77">
        <f t="shared" si="53"/>
        <v>8631.0556831240847</v>
      </c>
      <c r="Z43" s="77">
        <f t="shared" si="53"/>
        <v>7714.7910167634172</v>
      </c>
      <c r="AA43" s="77">
        <f t="shared" si="53"/>
        <v>6947.5899918141949</v>
      </c>
      <c r="AB43" s="77">
        <f t="shared" si="53"/>
        <v>6576.4416498172759</v>
      </c>
      <c r="AC43" s="89">
        <f t="shared" ref="AC43" si="54">+SUM(E43:AB43)*D43</f>
        <v>4400000.0000000009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>(($B43)/$D46)*E$6</f>
        <v>6338.5923612738716</v>
      </c>
      <c r="F44" s="79">
        <f t="shared" ref="F44:AB44" si="55">(($B43)/$D46)*F$6</f>
        <v>6153.863384856475</v>
      </c>
      <c r="G44" s="79">
        <f t="shared" si="55"/>
        <v>5981.6798698190669</v>
      </c>
      <c r="H44" s="79">
        <f t="shared" si="55"/>
        <v>5925.9346849779804</v>
      </c>
      <c r="I44" s="79">
        <f t="shared" si="55"/>
        <v>6010.9308320407545</v>
      </c>
      <c r="J44" s="79">
        <f t="shared" si="55"/>
        <v>6348.7017623275369</v>
      </c>
      <c r="K44" s="79">
        <f t="shared" si="55"/>
        <v>7406.9103078769213</v>
      </c>
      <c r="L44" s="79">
        <f t="shared" si="55"/>
        <v>8632.3055975196785</v>
      </c>
      <c r="M44" s="79">
        <f t="shared" si="55"/>
        <v>9206.267048998503</v>
      </c>
      <c r="N44" s="79">
        <f t="shared" si="55"/>
        <v>9591.1971208443611</v>
      </c>
      <c r="O44" s="79">
        <f t="shared" si="55"/>
        <v>9921.9540448398584</v>
      </c>
      <c r="P44" s="79">
        <f t="shared" si="55"/>
        <v>10225.267960682206</v>
      </c>
      <c r="Q44" s="79">
        <f t="shared" si="55"/>
        <v>10160.903273796686</v>
      </c>
      <c r="R44" s="79">
        <f t="shared" si="55"/>
        <v>10132.982002157085</v>
      </c>
      <c r="S44" s="79">
        <f t="shared" si="55"/>
        <v>10194.648338261017</v>
      </c>
      <c r="T44" s="79">
        <f t="shared" si="55"/>
        <v>10166.218755854197</v>
      </c>
      <c r="U44" s="79">
        <f t="shared" si="55"/>
        <v>9778.7602512555477</v>
      </c>
      <c r="V44" s="79">
        <f t="shared" si="55"/>
        <v>9392.9143277950261</v>
      </c>
      <c r="W44" s="79">
        <f t="shared" si="55"/>
        <v>9339.4009080132128</v>
      </c>
      <c r="X44" s="79">
        <f t="shared" si="55"/>
        <v>9220.6888252910449</v>
      </c>
      <c r="Y44" s="79">
        <f t="shared" si="55"/>
        <v>8631.0556831240847</v>
      </c>
      <c r="Z44" s="79">
        <f t="shared" si="55"/>
        <v>7714.7910167634172</v>
      </c>
      <c r="AA44" s="79">
        <f t="shared" si="55"/>
        <v>6947.5899918141949</v>
      </c>
      <c r="AB44" s="79">
        <f t="shared" si="55"/>
        <v>6576.4416498172759</v>
      </c>
      <c r="AC44" s="90">
        <f t="shared" ref="AC44:AC45" si="56">+SUM(E44:AB44)*D44</f>
        <v>800000.00000000023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>(($B43)/$D46)*E$6</f>
        <v>6338.5923612738716</v>
      </c>
      <c r="F45" s="82">
        <f t="shared" ref="F45:AB45" si="57">(($B43)/$D46)*F$6</f>
        <v>6153.863384856475</v>
      </c>
      <c r="G45" s="82">
        <f t="shared" si="57"/>
        <v>5981.6798698190669</v>
      </c>
      <c r="H45" s="82">
        <f t="shared" si="57"/>
        <v>5925.9346849779804</v>
      </c>
      <c r="I45" s="82">
        <f t="shared" si="57"/>
        <v>6010.9308320407545</v>
      </c>
      <c r="J45" s="82">
        <f t="shared" si="57"/>
        <v>6348.7017623275369</v>
      </c>
      <c r="K45" s="82">
        <f t="shared" si="57"/>
        <v>7406.9103078769213</v>
      </c>
      <c r="L45" s="82">
        <f t="shared" si="57"/>
        <v>8632.3055975196785</v>
      </c>
      <c r="M45" s="82">
        <f t="shared" si="57"/>
        <v>9206.267048998503</v>
      </c>
      <c r="N45" s="82">
        <f t="shared" si="57"/>
        <v>9591.1971208443611</v>
      </c>
      <c r="O45" s="82">
        <f t="shared" si="57"/>
        <v>9921.9540448398584</v>
      </c>
      <c r="P45" s="82">
        <f t="shared" si="57"/>
        <v>10225.267960682206</v>
      </c>
      <c r="Q45" s="82">
        <f t="shared" si="57"/>
        <v>10160.903273796686</v>
      </c>
      <c r="R45" s="82">
        <f t="shared" si="57"/>
        <v>10132.982002157085</v>
      </c>
      <c r="S45" s="82">
        <f t="shared" si="57"/>
        <v>10194.648338261017</v>
      </c>
      <c r="T45" s="82">
        <f t="shared" si="57"/>
        <v>10166.218755854197</v>
      </c>
      <c r="U45" s="82">
        <f t="shared" si="57"/>
        <v>9778.7602512555477</v>
      </c>
      <c r="V45" s="82">
        <f t="shared" si="57"/>
        <v>9392.9143277950261</v>
      </c>
      <c r="W45" s="82">
        <f t="shared" si="57"/>
        <v>9339.4009080132128</v>
      </c>
      <c r="X45" s="82">
        <f t="shared" si="57"/>
        <v>9220.6888252910449</v>
      </c>
      <c r="Y45" s="82">
        <f t="shared" si="57"/>
        <v>8631.0556831240847</v>
      </c>
      <c r="Z45" s="82">
        <f t="shared" si="57"/>
        <v>7714.7910167634172</v>
      </c>
      <c r="AA45" s="82">
        <f t="shared" si="57"/>
        <v>6947.5899918141949</v>
      </c>
      <c r="AB45" s="82">
        <f t="shared" si="57"/>
        <v>6576.4416498172759</v>
      </c>
      <c r="AC45" s="91">
        <f t="shared" si="56"/>
        <v>800000.00000000023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6000000.0000000009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10-2025</v>
      </c>
      <c r="B47" s="139">
        <f>'P1_AÑO 2025'!C25</f>
        <v>6000000</v>
      </c>
      <c r="C47" s="59" t="s">
        <v>40</v>
      </c>
      <c r="D47" s="60">
        <f>VLOOKUP(A47&amp;C47,calendario!I:L,4,0)</f>
        <v>23</v>
      </c>
      <c r="E47" s="77">
        <f>(($B47)/$D50)*E$6</f>
        <v>6134.1216399424566</v>
      </c>
      <c r="F47" s="77">
        <f t="shared" ref="F47:AB47" si="60">(($B47)/$D50)*F$6</f>
        <v>5955.3516627643303</v>
      </c>
      <c r="G47" s="77">
        <f t="shared" si="60"/>
        <v>5788.7224546636126</v>
      </c>
      <c r="H47" s="77">
        <f t="shared" si="60"/>
        <v>5734.7755015915927</v>
      </c>
      <c r="I47" s="77">
        <f t="shared" si="60"/>
        <v>5817.0298374587946</v>
      </c>
      <c r="J47" s="77">
        <f t="shared" si="60"/>
        <v>6143.9049312847128</v>
      </c>
      <c r="K47" s="77">
        <f t="shared" si="60"/>
        <v>7167.9777173002458</v>
      </c>
      <c r="L47" s="77">
        <f t="shared" si="60"/>
        <v>8353.844126631946</v>
      </c>
      <c r="M47" s="77">
        <f t="shared" si="60"/>
        <v>8909.2906925791958</v>
      </c>
      <c r="N47" s="77">
        <f t="shared" si="60"/>
        <v>9281.803665333251</v>
      </c>
      <c r="O47" s="77">
        <f t="shared" si="60"/>
        <v>9601.8910111353453</v>
      </c>
      <c r="P47" s="77">
        <f t="shared" si="60"/>
        <v>9895.4206071118115</v>
      </c>
      <c r="Q47" s="77">
        <f t="shared" si="60"/>
        <v>9833.1322004484045</v>
      </c>
      <c r="R47" s="77">
        <f t="shared" si="60"/>
        <v>9806.1116149907266</v>
      </c>
      <c r="S47" s="77">
        <f t="shared" si="60"/>
        <v>9865.7887144461456</v>
      </c>
      <c r="T47" s="77">
        <f t="shared" si="60"/>
        <v>9838.276215342772</v>
      </c>
      <c r="U47" s="77">
        <f t="shared" si="60"/>
        <v>9463.3163721827877</v>
      </c>
      <c r="V47" s="77">
        <f t="shared" si="60"/>
        <v>9089.9170914145398</v>
      </c>
      <c r="W47" s="77">
        <f t="shared" si="60"/>
        <v>9038.1299109805277</v>
      </c>
      <c r="X47" s="77">
        <f t="shared" si="60"/>
        <v>8923.2472502816545</v>
      </c>
      <c r="Y47" s="77">
        <f t="shared" si="60"/>
        <v>8352.6345320555665</v>
      </c>
      <c r="Z47" s="77">
        <f t="shared" si="60"/>
        <v>7465.9267904162098</v>
      </c>
      <c r="AA47" s="77">
        <f t="shared" si="60"/>
        <v>6723.4741856266392</v>
      </c>
      <c r="AB47" s="77">
        <f t="shared" si="60"/>
        <v>6364.2983707909116</v>
      </c>
      <c r="AC47" s="89">
        <f t="shared" ref="AC47" si="61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>(($B47)/$D50)*E$6</f>
        <v>6134.1216399424566</v>
      </c>
      <c r="F48" s="79">
        <f t="shared" ref="F48:AB48" si="62">(($B47)/$D50)*F$6</f>
        <v>5955.3516627643303</v>
      </c>
      <c r="G48" s="79">
        <f t="shared" si="62"/>
        <v>5788.7224546636126</v>
      </c>
      <c r="H48" s="79">
        <f t="shared" si="62"/>
        <v>5734.7755015915927</v>
      </c>
      <c r="I48" s="79">
        <f t="shared" si="62"/>
        <v>5817.0298374587946</v>
      </c>
      <c r="J48" s="79">
        <f t="shared" si="62"/>
        <v>6143.9049312847128</v>
      </c>
      <c r="K48" s="79">
        <f t="shared" si="62"/>
        <v>7167.9777173002458</v>
      </c>
      <c r="L48" s="79">
        <f t="shared" si="62"/>
        <v>8353.844126631946</v>
      </c>
      <c r="M48" s="79">
        <f t="shared" si="62"/>
        <v>8909.2906925791958</v>
      </c>
      <c r="N48" s="79">
        <f t="shared" si="62"/>
        <v>9281.803665333251</v>
      </c>
      <c r="O48" s="79">
        <f t="shared" si="62"/>
        <v>9601.8910111353453</v>
      </c>
      <c r="P48" s="79">
        <f t="shared" si="62"/>
        <v>9895.4206071118115</v>
      </c>
      <c r="Q48" s="79">
        <f t="shared" si="62"/>
        <v>9833.1322004484045</v>
      </c>
      <c r="R48" s="79">
        <f t="shared" si="62"/>
        <v>9806.1116149907266</v>
      </c>
      <c r="S48" s="79">
        <f t="shared" si="62"/>
        <v>9865.7887144461456</v>
      </c>
      <c r="T48" s="79">
        <f t="shared" si="62"/>
        <v>9838.276215342772</v>
      </c>
      <c r="U48" s="79">
        <f t="shared" si="62"/>
        <v>9463.3163721827877</v>
      </c>
      <c r="V48" s="79">
        <f t="shared" si="62"/>
        <v>9089.9170914145398</v>
      </c>
      <c r="W48" s="79">
        <f t="shared" si="62"/>
        <v>9038.1299109805277</v>
      </c>
      <c r="X48" s="79">
        <f t="shared" si="62"/>
        <v>8923.2472502816545</v>
      </c>
      <c r="Y48" s="79">
        <f t="shared" si="62"/>
        <v>8352.6345320555665</v>
      </c>
      <c r="Z48" s="79">
        <f t="shared" si="62"/>
        <v>7465.9267904162098</v>
      </c>
      <c r="AA48" s="79">
        <f t="shared" si="62"/>
        <v>6723.4741856266392</v>
      </c>
      <c r="AB48" s="79">
        <f t="shared" si="62"/>
        <v>6364.2983707909116</v>
      </c>
      <c r="AC48" s="90">
        <f t="shared" ref="AC48:AC49" si="63">+SUM(E48:AB48)*D48</f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>(($B47)/$D50)*E$6</f>
        <v>6134.1216399424566</v>
      </c>
      <c r="F49" s="82">
        <f t="shared" ref="F49:AB49" si="64">(($B47)/$D50)*F$6</f>
        <v>5955.3516627643303</v>
      </c>
      <c r="G49" s="82">
        <f t="shared" si="64"/>
        <v>5788.7224546636126</v>
      </c>
      <c r="H49" s="82">
        <f t="shared" si="64"/>
        <v>5734.7755015915927</v>
      </c>
      <c r="I49" s="82">
        <f t="shared" si="64"/>
        <v>5817.0298374587946</v>
      </c>
      <c r="J49" s="82">
        <f t="shared" si="64"/>
        <v>6143.9049312847128</v>
      </c>
      <c r="K49" s="82">
        <f t="shared" si="64"/>
        <v>7167.9777173002458</v>
      </c>
      <c r="L49" s="82">
        <f t="shared" si="64"/>
        <v>8353.844126631946</v>
      </c>
      <c r="M49" s="82">
        <f t="shared" si="64"/>
        <v>8909.2906925791958</v>
      </c>
      <c r="N49" s="82">
        <f t="shared" si="64"/>
        <v>9281.803665333251</v>
      </c>
      <c r="O49" s="82">
        <f t="shared" si="64"/>
        <v>9601.8910111353453</v>
      </c>
      <c r="P49" s="82">
        <f t="shared" si="64"/>
        <v>9895.4206071118115</v>
      </c>
      <c r="Q49" s="82">
        <f t="shared" si="64"/>
        <v>9833.1322004484045</v>
      </c>
      <c r="R49" s="82">
        <f t="shared" si="64"/>
        <v>9806.1116149907266</v>
      </c>
      <c r="S49" s="82">
        <f t="shared" si="64"/>
        <v>9865.7887144461456</v>
      </c>
      <c r="T49" s="82">
        <f t="shared" si="64"/>
        <v>9838.276215342772</v>
      </c>
      <c r="U49" s="82">
        <f t="shared" si="64"/>
        <v>9463.3163721827877</v>
      </c>
      <c r="V49" s="82">
        <f t="shared" si="64"/>
        <v>9089.9170914145398</v>
      </c>
      <c r="W49" s="82">
        <f t="shared" si="64"/>
        <v>9038.1299109805277</v>
      </c>
      <c r="X49" s="82">
        <f t="shared" si="64"/>
        <v>8923.2472502816545</v>
      </c>
      <c r="Y49" s="82">
        <f t="shared" si="64"/>
        <v>8352.6345320555665</v>
      </c>
      <c r="Z49" s="82">
        <f t="shared" si="64"/>
        <v>7465.9267904162098</v>
      </c>
      <c r="AA49" s="82">
        <f t="shared" si="64"/>
        <v>6723.4741856266392</v>
      </c>
      <c r="AB49" s="82">
        <f t="shared" si="64"/>
        <v>6364.2983707909116</v>
      </c>
      <c r="AC49" s="91">
        <f t="shared" si="6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11-2025</v>
      </c>
      <c r="B51" s="139">
        <f>'P1_AÑO 2025'!C26</f>
        <v>6000000</v>
      </c>
      <c r="C51" s="59" t="s">
        <v>40</v>
      </c>
      <c r="D51" s="60">
        <f>VLOOKUP(A51&amp;C51,calendario!I:L,4,0)</f>
        <v>20</v>
      </c>
      <c r="E51" s="77">
        <f>(($B51)/$D54)*E$6</f>
        <v>6338.5923612738716</v>
      </c>
      <c r="F51" s="77">
        <f t="shared" ref="F51:AB51" si="67">(($B51)/$D54)*F$6</f>
        <v>6153.863384856475</v>
      </c>
      <c r="G51" s="77">
        <f t="shared" si="67"/>
        <v>5981.6798698190669</v>
      </c>
      <c r="H51" s="77">
        <f t="shared" si="67"/>
        <v>5925.9346849779804</v>
      </c>
      <c r="I51" s="77">
        <f t="shared" si="67"/>
        <v>6010.9308320407545</v>
      </c>
      <c r="J51" s="77">
        <f t="shared" si="67"/>
        <v>6348.7017623275369</v>
      </c>
      <c r="K51" s="77">
        <f t="shared" si="67"/>
        <v>7406.9103078769213</v>
      </c>
      <c r="L51" s="77">
        <f t="shared" si="67"/>
        <v>8632.3055975196785</v>
      </c>
      <c r="M51" s="77">
        <f t="shared" si="67"/>
        <v>9206.267048998503</v>
      </c>
      <c r="N51" s="77">
        <f t="shared" si="67"/>
        <v>9591.1971208443611</v>
      </c>
      <c r="O51" s="77">
        <f t="shared" si="67"/>
        <v>9921.9540448398584</v>
      </c>
      <c r="P51" s="77">
        <f t="shared" si="67"/>
        <v>10225.267960682206</v>
      </c>
      <c r="Q51" s="77">
        <f t="shared" si="67"/>
        <v>10160.903273796686</v>
      </c>
      <c r="R51" s="77">
        <f t="shared" si="67"/>
        <v>10132.982002157085</v>
      </c>
      <c r="S51" s="77">
        <f t="shared" si="67"/>
        <v>10194.648338261017</v>
      </c>
      <c r="T51" s="77">
        <f t="shared" si="67"/>
        <v>10166.218755854197</v>
      </c>
      <c r="U51" s="77">
        <f t="shared" si="67"/>
        <v>9778.7602512555477</v>
      </c>
      <c r="V51" s="77">
        <f t="shared" si="67"/>
        <v>9392.9143277950261</v>
      </c>
      <c r="W51" s="77">
        <f t="shared" si="67"/>
        <v>9339.4009080132128</v>
      </c>
      <c r="X51" s="77">
        <f t="shared" si="67"/>
        <v>9220.6888252910449</v>
      </c>
      <c r="Y51" s="77">
        <f t="shared" si="67"/>
        <v>8631.0556831240847</v>
      </c>
      <c r="Z51" s="77">
        <f t="shared" si="67"/>
        <v>7714.7910167634172</v>
      </c>
      <c r="AA51" s="77">
        <f t="shared" si="67"/>
        <v>6947.5899918141949</v>
      </c>
      <c r="AB51" s="77">
        <f t="shared" si="67"/>
        <v>6576.4416498172759</v>
      </c>
      <c r="AC51" s="89">
        <f t="shared" ref="AC51" si="68">+SUM(E51:AB51)*D51</f>
        <v>4000000.0000000009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>(($B51)/$D54)*E$6</f>
        <v>6338.5923612738716</v>
      </c>
      <c r="F52" s="79">
        <f t="shared" ref="F52:AB52" si="69">(($B51)/$D54)*F$6</f>
        <v>6153.863384856475</v>
      </c>
      <c r="G52" s="79">
        <f t="shared" si="69"/>
        <v>5981.6798698190669</v>
      </c>
      <c r="H52" s="79">
        <f t="shared" si="69"/>
        <v>5925.9346849779804</v>
      </c>
      <c r="I52" s="79">
        <f t="shared" si="69"/>
        <v>6010.9308320407545</v>
      </c>
      <c r="J52" s="79">
        <f t="shared" si="69"/>
        <v>6348.7017623275369</v>
      </c>
      <c r="K52" s="79">
        <f t="shared" si="69"/>
        <v>7406.9103078769213</v>
      </c>
      <c r="L52" s="79">
        <f t="shared" si="69"/>
        <v>8632.3055975196785</v>
      </c>
      <c r="M52" s="79">
        <f t="shared" si="69"/>
        <v>9206.267048998503</v>
      </c>
      <c r="N52" s="79">
        <f t="shared" si="69"/>
        <v>9591.1971208443611</v>
      </c>
      <c r="O52" s="79">
        <f t="shared" si="69"/>
        <v>9921.9540448398584</v>
      </c>
      <c r="P52" s="79">
        <f t="shared" si="69"/>
        <v>10225.267960682206</v>
      </c>
      <c r="Q52" s="79">
        <f t="shared" si="69"/>
        <v>10160.903273796686</v>
      </c>
      <c r="R52" s="79">
        <f t="shared" si="69"/>
        <v>10132.982002157085</v>
      </c>
      <c r="S52" s="79">
        <f t="shared" si="69"/>
        <v>10194.648338261017</v>
      </c>
      <c r="T52" s="79">
        <f t="shared" si="69"/>
        <v>10166.218755854197</v>
      </c>
      <c r="U52" s="79">
        <f t="shared" si="69"/>
        <v>9778.7602512555477</v>
      </c>
      <c r="V52" s="79">
        <f t="shared" si="69"/>
        <v>9392.9143277950261</v>
      </c>
      <c r="W52" s="79">
        <f t="shared" si="69"/>
        <v>9339.4009080132128</v>
      </c>
      <c r="X52" s="79">
        <f t="shared" si="69"/>
        <v>9220.6888252910449</v>
      </c>
      <c r="Y52" s="79">
        <f t="shared" si="69"/>
        <v>8631.0556831240847</v>
      </c>
      <c r="Z52" s="79">
        <f t="shared" si="69"/>
        <v>7714.7910167634172</v>
      </c>
      <c r="AA52" s="79">
        <f t="shared" si="69"/>
        <v>6947.5899918141949</v>
      </c>
      <c r="AB52" s="79">
        <f t="shared" si="69"/>
        <v>6576.4416498172759</v>
      </c>
      <c r="AC52" s="90">
        <f t="shared" ref="AC52:AC53" si="70">+SUM(E52:AB52)*D52</f>
        <v>1000000.0000000002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>(($B51)/$D54)*E$6</f>
        <v>6338.5923612738716</v>
      </c>
      <c r="F53" s="82">
        <f t="shared" ref="F53:AB53" si="71">(($B51)/$D54)*F$6</f>
        <v>6153.863384856475</v>
      </c>
      <c r="G53" s="82">
        <f t="shared" si="71"/>
        <v>5981.6798698190669</v>
      </c>
      <c r="H53" s="82">
        <f t="shared" si="71"/>
        <v>5925.9346849779804</v>
      </c>
      <c r="I53" s="82">
        <f t="shared" si="71"/>
        <v>6010.9308320407545</v>
      </c>
      <c r="J53" s="82">
        <f t="shared" si="71"/>
        <v>6348.7017623275369</v>
      </c>
      <c r="K53" s="82">
        <f t="shared" si="71"/>
        <v>7406.9103078769213</v>
      </c>
      <c r="L53" s="82">
        <f t="shared" si="71"/>
        <v>8632.3055975196785</v>
      </c>
      <c r="M53" s="82">
        <f t="shared" si="71"/>
        <v>9206.267048998503</v>
      </c>
      <c r="N53" s="82">
        <f t="shared" si="71"/>
        <v>9591.1971208443611</v>
      </c>
      <c r="O53" s="82">
        <f t="shared" si="71"/>
        <v>9921.9540448398584</v>
      </c>
      <c r="P53" s="82">
        <f t="shared" si="71"/>
        <v>10225.267960682206</v>
      </c>
      <c r="Q53" s="82">
        <f t="shared" si="71"/>
        <v>10160.903273796686</v>
      </c>
      <c r="R53" s="82">
        <f t="shared" si="71"/>
        <v>10132.982002157085</v>
      </c>
      <c r="S53" s="82">
        <f t="shared" si="71"/>
        <v>10194.648338261017</v>
      </c>
      <c r="T53" s="82">
        <f t="shared" si="71"/>
        <v>10166.218755854197</v>
      </c>
      <c r="U53" s="82">
        <f t="shared" si="71"/>
        <v>9778.7602512555477</v>
      </c>
      <c r="V53" s="82">
        <f t="shared" si="71"/>
        <v>9392.9143277950261</v>
      </c>
      <c r="W53" s="82">
        <f t="shared" si="71"/>
        <v>9339.4009080132128</v>
      </c>
      <c r="X53" s="82">
        <f t="shared" si="71"/>
        <v>9220.6888252910449</v>
      </c>
      <c r="Y53" s="82">
        <f t="shared" si="71"/>
        <v>8631.0556831240847</v>
      </c>
      <c r="Z53" s="82">
        <f t="shared" si="71"/>
        <v>7714.7910167634172</v>
      </c>
      <c r="AA53" s="82">
        <f t="shared" si="71"/>
        <v>6947.5899918141949</v>
      </c>
      <c r="AB53" s="82">
        <f t="shared" si="71"/>
        <v>6576.4416498172759</v>
      </c>
      <c r="AC53" s="91">
        <f t="shared" si="70"/>
        <v>1000000.0000000002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6000000.0000000009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12-2025</v>
      </c>
      <c r="B55" s="141">
        <f>'P1_AÑO 2025'!C27</f>
        <v>6000000</v>
      </c>
      <c r="C55" s="59" t="s">
        <v>40</v>
      </c>
      <c r="D55" s="60">
        <f>VLOOKUP(A55&amp;C55,calendario!I:L,4,0)</f>
        <v>23</v>
      </c>
      <c r="E55" s="77">
        <f>(($B55)/$D58)*E$6</f>
        <v>6134.1216399424566</v>
      </c>
      <c r="F55" s="77">
        <f t="shared" ref="F55:AB55" si="74">(($B55)/$D58)*F$6</f>
        <v>5955.3516627643303</v>
      </c>
      <c r="G55" s="77">
        <f t="shared" si="74"/>
        <v>5788.7224546636126</v>
      </c>
      <c r="H55" s="77">
        <f t="shared" si="74"/>
        <v>5734.7755015915927</v>
      </c>
      <c r="I55" s="77">
        <f t="shared" si="74"/>
        <v>5817.0298374587946</v>
      </c>
      <c r="J55" s="77">
        <f t="shared" si="74"/>
        <v>6143.9049312847128</v>
      </c>
      <c r="K55" s="77">
        <f t="shared" si="74"/>
        <v>7167.9777173002458</v>
      </c>
      <c r="L55" s="77">
        <f t="shared" si="74"/>
        <v>8353.844126631946</v>
      </c>
      <c r="M55" s="77">
        <f t="shared" si="74"/>
        <v>8909.2906925791958</v>
      </c>
      <c r="N55" s="77">
        <f t="shared" si="74"/>
        <v>9281.803665333251</v>
      </c>
      <c r="O55" s="77">
        <f t="shared" si="74"/>
        <v>9601.8910111353453</v>
      </c>
      <c r="P55" s="77">
        <f t="shared" si="74"/>
        <v>9895.4206071118115</v>
      </c>
      <c r="Q55" s="77">
        <f t="shared" si="74"/>
        <v>9833.1322004484045</v>
      </c>
      <c r="R55" s="77">
        <f t="shared" si="74"/>
        <v>9806.1116149907266</v>
      </c>
      <c r="S55" s="77">
        <f t="shared" si="74"/>
        <v>9865.7887144461456</v>
      </c>
      <c r="T55" s="77">
        <f t="shared" si="74"/>
        <v>9838.276215342772</v>
      </c>
      <c r="U55" s="77">
        <f t="shared" si="74"/>
        <v>9463.3163721827877</v>
      </c>
      <c r="V55" s="77">
        <f t="shared" si="74"/>
        <v>9089.9170914145398</v>
      </c>
      <c r="W55" s="77">
        <f t="shared" si="74"/>
        <v>9038.1299109805277</v>
      </c>
      <c r="X55" s="77">
        <f t="shared" si="74"/>
        <v>8923.2472502816545</v>
      </c>
      <c r="Y55" s="77">
        <f t="shared" si="74"/>
        <v>8352.6345320555665</v>
      </c>
      <c r="Z55" s="77">
        <f t="shared" si="74"/>
        <v>7465.9267904162098</v>
      </c>
      <c r="AA55" s="77">
        <f t="shared" si="74"/>
        <v>6723.4741856266392</v>
      </c>
      <c r="AB55" s="77">
        <f t="shared" si="74"/>
        <v>6364.2983707909116</v>
      </c>
      <c r="AC55" s="89">
        <f t="shared" ref="AC55" si="7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>(($B55)/$D58)*E$6</f>
        <v>6134.1216399424566</v>
      </c>
      <c r="F56" s="79">
        <f t="shared" ref="F56:AB56" si="76">(($B55)/$D58)*F$6</f>
        <v>5955.3516627643303</v>
      </c>
      <c r="G56" s="79">
        <f t="shared" si="76"/>
        <v>5788.7224546636126</v>
      </c>
      <c r="H56" s="79">
        <f t="shared" si="76"/>
        <v>5734.7755015915927</v>
      </c>
      <c r="I56" s="79">
        <f t="shared" si="76"/>
        <v>5817.0298374587946</v>
      </c>
      <c r="J56" s="79">
        <f t="shared" si="76"/>
        <v>6143.9049312847128</v>
      </c>
      <c r="K56" s="79">
        <f t="shared" si="76"/>
        <v>7167.9777173002458</v>
      </c>
      <c r="L56" s="79">
        <f t="shared" si="76"/>
        <v>8353.844126631946</v>
      </c>
      <c r="M56" s="79">
        <f t="shared" si="76"/>
        <v>8909.2906925791958</v>
      </c>
      <c r="N56" s="79">
        <f t="shared" si="76"/>
        <v>9281.803665333251</v>
      </c>
      <c r="O56" s="79">
        <f t="shared" si="76"/>
        <v>9601.8910111353453</v>
      </c>
      <c r="P56" s="79">
        <f t="shared" si="76"/>
        <v>9895.4206071118115</v>
      </c>
      <c r="Q56" s="79">
        <f t="shared" si="76"/>
        <v>9833.1322004484045</v>
      </c>
      <c r="R56" s="79">
        <f t="shared" si="76"/>
        <v>9806.1116149907266</v>
      </c>
      <c r="S56" s="79">
        <f t="shared" si="76"/>
        <v>9865.7887144461456</v>
      </c>
      <c r="T56" s="79">
        <f t="shared" si="76"/>
        <v>9838.276215342772</v>
      </c>
      <c r="U56" s="79">
        <f t="shared" si="76"/>
        <v>9463.3163721827877</v>
      </c>
      <c r="V56" s="79">
        <f t="shared" si="76"/>
        <v>9089.9170914145398</v>
      </c>
      <c r="W56" s="79">
        <f t="shared" si="76"/>
        <v>9038.1299109805277</v>
      </c>
      <c r="X56" s="79">
        <f t="shared" si="76"/>
        <v>8923.2472502816545</v>
      </c>
      <c r="Y56" s="79">
        <f t="shared" si="76"/>
        <v>8352.6345320555665</v>
      </c>
      <c r="Z56" s="79">
        <f t="shared" si="76"/>
        <v>7465.9267904162098</v>
      </c>
      <c r="AA56" s="79">
        <f t="shared" si="76"/>
        <v>6723.4741856266392</v>
      </c>
      <c r="AB56" s="79">
        <f t="shared" si="76"/>
        <v>6364.2983707909116</v>
      </c>
      <c r="AC56" s="90">
        <f t="shared" ref="AC56:AC57" si="77">+SUM(E56:AB56)*D56</f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>(($B55)/$D58)*E$6</f>
        <v>6134.1216399424566</v>
      </c>
      <c r="F57" s="82">
        <f t="shared" ref="F57:AB57" si="78">(($B55)/$D58)*F$6</f>
        <v>5955.3516627643303</v>
      </c>
      <c r="G57" s="82">
        <f t="shared" si="78"/>
        <v>5788.7224546636126</v>
      </c>
      <c r="H57" s="82">
        <f t="shared" si="78"/>
        <v>5734.7755015915927</v>
      </c>
      <c r="I57" s="82">
        <f t="shared" si="78"/>
        <v>5817.0298374587946</v>
      </c>
      <c r="J57" s="82">
        <f t="shared" si="78"/>
        <v>6143.9049312847128</v>
      </c>
      <c r="K57" s="82">
        <f t="shared" si="78"/>
        <v>7167.9777173002458</v>
      </c>
      <c r="L57" s="82">
        <f t="shared" si="78"/>
        <v>8353.844126631946</v>
      </c>
      <c r="M57" s="82">
        <f t="shared" si="78"/>
        <v>8909.2906925791958</v>
      </c>
      <c r="N57" s="82">
        <f t="shared" si="78"/>
        <v>9281.803665333251</v>
      </c>
      <c r="O57" s="82">
        <f t="shared" si="78"/>
        <v>9601.8910111353453</v>
      </c>
      <c r="P57" s="82">
        <f t="shared" si="78"/>
        <v>9895.4206071118115</v>
      </c>
      <c r="Q57" s="82">
        <f t="shared" si="78"/>
        <v>9833.1322004484045</v>
      </c>
      <c r="R57" s="82">
        <f t="shared" si="78"/>
        <v>9806.1116149907266</v>
      </c>
      <c r="S57" s="82">
        <f t="shared" si="78"/>
        <v>9865.7887144461456</v>
      </c>
      <c r="T57" s="82">
        <f t="shared" si="78"/>
        <v>9838.276215342772</v>
      </c>
      <c r="U57" s="82">
        <f t="shared" si="78"/>
        <v>9463.3163721827877</v>
      </c>
      <c r="V57" s="82">
        <f t="shared" si="78"/>
        <v>9089.9170914145398</v>
      </c>
      <c r="W57" s="82">
        <f t="shared" si="78"/>
        <v>9038.1299109805277</v>
      </c>
      <c r="X57" s="82">
        <f t="shared" si="78"/>
        <v>8923.2472502816545</v>
      </c>
      <c r="Y57" s="82">
        <f t="shared" si="78"/>
        <v>8352.6345320555665</v>
      </c>
      <c r="Z57" s="82">
        <f t="shared" si="78"/>
        <v>7465.9267904162098</v>
      </c>
      <c r="AA57" s="82">
        <f t="shared" si="78"/>
        <v>6723.4741856266392</v>
      </c>
      <c r="AB57" s="82">
        <f t="shared" si="78"/>
        <v>6364.2983707909116</v>
      </c>
      <c r="AC57" s="91">
        <f t="shared" si="77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92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4"/>
      <c r="AC58" s="95">
        <f t="shared" ref="AC58" si="80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07C-0084-43BC-8B84-78DCA1A07C3F}">
  <sheetPr>
    <tabColor theme="3" tint="0.59999389629810485"/>
    <pageSetUpPr fitToPage="1"/>
  </sheetPr>
  <dimension ref="A1:H48"/>
  <sheetViews>
    <sheetView showGridLines="0" topLeftCell="A11" zoomScale="69" zoomScaleNormal="69" zoomScaleSheetLayoutView="100" workbookViewId="0">
      <selection activeCell="E16" sqref="E16:E2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32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120"/>
      <c r="F16" s="124"/>
      <c r="G16" s="118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120"/>
      <c r="F17" s="124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120"/>
      <c r="F18" s="124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120"/>
      <c r="F19" s="124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120"/>
      <c r="F20" s="124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120"/>
      <c r="F21" s="124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120"/>
      <c r="F22" s="124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120"/>
      <c r="F23" s="124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120"/>
      <c r="F24" s="124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120"/>
      <c r="F25" s="124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120"/>
      <c r="F26" s="124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120"/>
      <c r="F27" s="124"/>
    </row>
    <row r="28" spans="1:8" ht="14" x14ac:dyDescent="0.3">
      <c r="B28" s="33" t="s">
        <v>27</v>
      </c>
      <c r="C28" s="34">
        <f>SUM(C16:C27)</f>
        <v>72000000</v>
      </c>
      <c r="D28" s="35"/>
      <c r="E28" s="125"/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4D41-60A9-4435-9D95-0339A069A27C}">
  <sheetPr>
    <tabColor theme="3" tint="0.59999389629810485"/>
    <pageSetUpPr fitToPage="1"/>
  </sheetPr>
  <dimension ref="A1:XFD62"/>
  <sheetViews>
    <sheetView showGridLines="0" zoomScale="70" zoomScaleNormal="70" workbookViewId="0">
      <pane xSplit="4" ySplit="10" topLeftCell="J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L11" sqref="L11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6.72656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3" width="3.453125" style="1" hidden="1"/>
    <col min="16384" max="16384" width="4.7265625" style="1" customWidth="1"/>
  </cols>
  <sheetData>
    <row r="1" spans="1:33 16384:16384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 16384:16384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 16384:16384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 16384:16384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 16384:16384" ht="16.5" x14ac:dyDescent="0.25">
      <c r="A5" s="49" t="s">
        <v>4</v>
      </c>
      <c r="B5" s="98"/>
      <c r="C5" s="50"/>
      <c r="D5" s="2" t="str">
        <f>'AÑO 2026'!C8</f>
        <v>CP-EXEC2025-001 -PROD01</v>
      </c>
      <c r="E5" s="51"/>
      <c r="F5" s="51"/>
      <c r="G5" s="98"/>
      <c r="H5" s="98"/>
      <c r="I5" s="98"/>
      <c r="J5" s="114"/>
      <c r="K5" s="123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 16384:16384" ht="16.5" x14ac:dyDescent="0.25">
      <c r="A6" s="49" t="s">
        <v>38</v>
      </c>
      <c r="B6" s="98"/>
      <c r="C6" s="50"/>
      <c r="D6" s="71">
        <v>2026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 16384:16384" ht="16.5" x14ac:dyDescent="0.25">
      <c r="A7" s="49" t="s">
        <v>6</v>
      </c>
      <c r="B7" s="98"/>
      <c r="C7" s="50"/>
      <c r="D7" s="73" t="s">
        <v>39</v>
      </c>
      <c r="E7" s="119">
        <v>3.0195224555899271E-2</v>
      </c>
      <c r="F7" s="119">
        <v>2.961129293384035E-2</v>
      </c>
      <c r="G7" s="119">
        <v>2.8832820965525082E-2</v>
      </c>
      <c r="H7" s="119">
        <v>2.8478694848585031E-2</v>
      </c>
      <c r="I7" s="119">
        <v>2.8563321965802812E-2</v>
      </c>
      <c r="J7" s="119">
        <v>3.0749703024177642E-2</v>
      </c>
      <c r="K7" s="119">
        <v>3.6409241403295642E-2</v>
      </c>
      <c r="L7" s="119">
        <v>4.249362803046805E-2</v>
      </c>
      <c r="M7" s="119">
        <v>4.5730746801713046E-2</v>
      </c>
      <c r="N7" s="119">
        <v>4.7701345517123447E-2</v>
      </c>
      <c r="O7" s="119">
        <v>4.9721526509054585E-2</v>
      </c>
      <c r="P7" s="119">
        <v>5.1064571793342978E-2</v>
      </c>
      <c r="Q7" s="119">
        <v>5.0757726192251579E-2</v>
      </c>
      <c r="R7" s="119">
        <v>5.1097168192540794E-2</v>
      </c>
      <c r="S7" s="119">
        <v>5.1615706888921704E-2</v>
      </c>
      <c r="T7" s="119">
        <v>5.2079942205236193E-2</v>
      </c>
      <c r="U7" s="119">
        <v>5.080510113017115E-2</v>
      </c>
      <c r="V7" s="119">
        <v>4.848135614949995E-2</v>
      </c>
      <c r="W7" s="119">
        <v>4.8303685879913509E-2</v>
      </c>
      <c r="X7" s="119">
        <v>4.7680750222523743E-2</v>
      </c>
      <c r="Y7" s="119">
        <v>4.4083060285686933E-2</v>
      </c>
      <c r="Z7" s="119">
        <v>3.8689068244001874E-2</v>
      </c>
      <c r="AA7" s="119">
        <v>3.4525595913604698E-2</v>
      </c>
      <c r="AB7" s="119">
        <v>3.2328720346819891E-2</v>
      </c>
      <c r="AC7" s="97" t="s">
        <v>40</v>
      </c>
      <c r="AD7" s="98"/>
      <c r="AE7" s="98"/>
      <c r="AF7" s="98"/>
      <c r="AG7" s="98"/>
    </row>
    <row r="8" spans="1:33 16384:16384" ht="13.5" customHeight="1" thickBot="1" x14ac:dyDescent="0.45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 16384:16384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77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 16384:16384" s="58" customFormat="1" ht="31.5" thickBot="1" x14ac:dyDescent="0.3">
      <c r="A10" s="3" t="str">
        <f>"AÑO: "&amp;D6</f>
        <v>AÑO: 2026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 16384:16384" ht="14" x14ac:dyDescent="0.25">
      <c r="A11" s="137" t="str">
        <f>1&amp;"-"&amp;$D$6</f>
        <v>1-2026</v>
      </c>
      <c r="B11" s="139">
        <f>'AÑO 2026'!C16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4258064.5161290318</v>
      </c>
      <c r="AD11" s="106"/>
      <c r="AE11" s="98"/>
      <c r="AF11" s="98"/>
      <c r="AG11" s="98"/>
      <c r="XFD11" s="107"/>
    </row>
    <row r="12" spans="1:33 16384:16384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 16384:16384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 16384:16384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 16384:16384" ht="14" x14ac:dyDescent="0.25">
      <c r="A15" s="137" t="str">
        <f>2&amp;"-"&amp;$D$6</f>
        <v>2-2026</v>
      </c>
      <c r="B15" s="139">
        <f>'AÑO 2026'!C17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 16384:16384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" si="6">(($B15)/$D18)*E$7</f>
        <v>6470.4052619784152</v>
      </c>
      <c r="F16" s="79">
        <f t="shared" ref="F16" si="7">(($B15)/$D18)*F$7</f>
        <v>6345.2770572515037</v>
      </c>
      <c r="G16" s="79">
        <f t="shared" ref="G16" si="8">(($B15)/$D18)*G$7</f>
        <v>6178.4616354696609</v>
      </c>
      <c r="H16" s="79">
        <f t="shared" ref="H16" si="9">(($B15)/$D18)*H$7</f>
        <v>6102.5774675539351</v>
      </c>
      <c r="I16" s="79">
        <f t="shared" ref="I16" si="10">(($B15)/$D18)*I$7</f>
        <v>6120.7118498148884</v>
      </c>
      <c r="J16" s="79">
        <f t="shared" ref="J16" si="11">(($B15)/$D18)*J$7</f>
        <v>6589.2220766094952</v>
      </c>
      <c r="K16" s="79">
        <f t="shared" ref="K16" si="12">(($B15)/$D18)*K$7</f>
        <v>7801.9803007062092</v>
      </c>
      <c r="L16" s="79">
        <f t="shared" ref="L16" si="13">(($B15)/$D18)*L$7</f>
        <v>9105.7774351002972</v>
      </c>
      <c r="M16" s="79">
        <f t="shared" ref="M16" si="14">(($B15)/$D18)*M$7</f>
        <v>9799.4457432242234</v>
      </c>
      <c r="N16" s="79">
        <f t="shared" ref="N16" si="15">(($B15)/$D18)*N$7</f>
        <v>10221.716896526454</v>
      </c>
      <c r="O16" s="79">
        <f t="shared" ref="O16" si="16">(($B15)/$D18)*O$7</f>
        <v>10654.61282336884</v>
      </c>
      <c r="P16" s="79">
        <f t="shared" ref="P16" si="17">(($B15)/$D18)*P$7</f>
        <v>10942.408241430638</v>
      </c>
      <c r="Q16" s="79">
        <f t="shared" ref="Q16" si="18">(($B15)/$D18)*Q$7</f>
        <v>10876.655612625338</v>
      </c>
      <c r="R16" s="79">
        <f t="shared" ref="R16" si="19">(($B15)/$D18)*R$7</f>
        <v>10949.393184115885</v>
      </c>
      <c r="S16" s="79">
        <f t="shared" ref="S16" si="20">(($B15)/$D18)*S$7</f>
        <v>11060.508619054652</v>
      </c>
      <c r="T16" s="79">
        <f t="shared" ref="T16" si="21">(($B15)/$D18)*T$7</f>
        <v>11159.987615407756</v>
      </c>
      <c r="U16" s="79">
        <f t="shared" ref="U16" si="22">(($B15)/$D18)*U$7</f>
        <v>10886.807385036675</v>
      </c>
      <c r="V16" s="79">
        <f t="shared" ref="V16" si="23">(($B15)/$D18)*V$7</f>
        <v>10388.862032035704</v>
      </c>
      <c r="W16" s="79">
        <f t="shared" ref="W16" si="24">(($B15)/$D18)*W$7</f>
        <v>10350.789831410038</v>
      </c>
      <c r="X16" s="79">
        <f t="shared" ref="X16" si="25">(($B15)/$D18)*X$7</f>
        <v>10217.30361911223</v>
      </c>
      <c r="Y16" s="79">
        <f t="shared" ref="Y16" si="26">(($B15)/$D18)*Y$7</f>
        <v>9446.3700612186294</v>
      </c>
      <c r="Z16" s="79">
        <f t="shared" ref="Z16" si="27">(($B15)/$D18)*Z$7</f>
        <v>8290.5146237146873</v>
      </c>
      <c r="AA16" s="79">
        <f t="shared" ref="AA16" si="28">(($B15)/$D18)*AA$7</f>
        <v>7398.3419814867211</v>
      </c>
      <c r="AB16" s="79">
        <f t="shared" ref="AB16" si="29">(($B15)/$D18)*AB$7</f>
        <v>6927.5829314614057</v>
      </c>
      <c r="AC16" s="90">
        <f t="shared" ref="AC16:AC17" si="30">+SUM(E16:AB16)*D16</f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" si="31">(($B15)/$D18)*E$7</f>
        <v>6470.4052619784152</v>
      </c>
      <c r="F17" s="82">
        <f t="shared" ref="F17" si="32">(($B15)/$D18)*F$7</f>
        <v>6345.2770572515037</v>
      </c>
      <c r="G17" s="82">
        <f t="shared" ref="G17" si="33">(($B15)/$D18)*G$7</f>
        <v>6178.4616354696609</v>
      </c>
      <c r="H17" s="82">
        <f t="shared" ref="H17" si="34">(($B15)/$D18)*H$7</f>
        <v>6102.5774675539351</v>
      </c>
      <c r="I17" s="82">
        <f t="shared" ref="I17" si="35">(($B15)/$D18)*I$7</f>
        <v>6120.7118498148884</v>
      </c>
      <c r="J17" s="82">
        <f t="shared" ref="J17" si="36">(($B15)/$D18)*J$7</f>
        <v>6589.2220766094952</v>
      </c>
      <c r="K17" s="82">
        <f t="shared" ref="K17" si="37">(($B15)/$D18)*K$7</f>
        <v>7801.9803007062092</v>
      </c>
      <c r="L17" s="82">
        <f t="shared" ref="L17" si="38">(($B15)/$D18)*L$7</f>
        <v>9105.7774351002972</v>
      </c>
      <c r="M17" s="82">
        <f t="shared" ref="M17" si="39">(($B15)/$D18)*M$7</f>
        <v>9799.4457432242234</v>
      </c>
      <c r="N17" s="82">
        <f t="shared" ref="N17" si="40">(($B15)/$D18)*N$7</f>
        <v>10221.716896526454</v>
      </c>
      <c r="O17" s="82">
        <f t="shared" ref="O17" si="41">(($B15)/$D18)*O$7</f>
        <v>10654.61282336884</v>
      </c>
      <c r="P17" s="82">
        <f t="shared" ref="P17" si="42">(($B15)/$D18)*P$7</f>
        <v>10942.408241430638</v>
      </c>
      <c r="Q17" s="82">
        <f t="shared" ref="Q17" si="43">(($B15)/$D18)*Q$7</f>
        <v>10876.655612625338</v>
      </c>
      <c r="R17" s="82">
        <f t="shared" ref="R17" si="44">(($B15)/$D18)*R$7</f>
        <v>10949.393184115885</v>
      </c>
      <c r="S17" s="82">
        <f t="shared" ref="S17" si="45">(($B15)/$D18)*S$7</f>
        <v>11060.508619054652</v>
      </c>
      <c r="T17" s="82">
        <f t="shared" ref="T17" si="46">(($B15)/$D18)*T$7</f>
        <v>11159.987615407756</v>
      </c>
      <c r="U17" s="82">
        <f t="shared" ref="U17" si="47">(($B15)/$D18)*U$7</f>
        <v>10886.807385036675</v>
      </c>
      <c r="V17" s="82">
        <f t="shared" ref="V17" si="48">(($B15)/$D18)*V$7</f>
        <v>10388.862032035704</v>
      </c>
      <c r="W17" s="82">
        <f t="shared" ref="W17" si="49">(($B15)/$D18)*W$7</f>
        <v>10350.789831410038</v>
      </c>
      <c r="X17" s="82">
        <f t="shared" ref="X17" si="50">(($B15)/$D18)*X$7</f>
        <v>10217.30361911223</v>
      </c>
      <c r="Y17" s="82">
        <f t="shared" ref="Y17" si="51">(($B15)/$D18)*Y$7</f>
        <v>9446.3700612186294</v>
      </c>
      <c r="Z17" s="82">
        <f t="shared" ref="Z17" si="52">(($B15)/$D18)*Z$7</f>
        <v>8290.5146237146873</v>
      </c>
      <c r="AA17" s="82">
        <f t="shared" ref="AA17" si="53">(($B15)/$D18)*AA$7</f>
        <v>7398.3419814867211</v>
      </c>
      <c r="AB17" s="82">
        <f t="shared" ref="AB17" si="54">(($B15)/$D18)*AB$7</f>
        <v>6927.5829314614057</v>
      </c>
      <c r="AC17" s="91">
        <f t="shared" si="30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55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56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3-2026</v>
      </c>
      <c r="B19" s="141">
        <f>'AÑO 2026'!C18</f>
        <v>6000000</v>
      </c>
      <c r="C19" s="59" t="s">
        <v>40</v>
      </c>
      <c r="D19" s="60">
        <f>VLOOKUP(A19&amp;C19,calendario!I:L,4,0)</f>
        <v>22</v>
      </c>
      <c r="E19" s="77">
        <f t="shared" ref="E19:AB19" si="57">(($B19)/$D22)*E$7</f>
        <v>5844.2370108192135</v>
      </c>
      <c r="F19" s="77">
        <f t="shared" si="57"/>
        <v>5731.2179871949056</v>
      </c>
      <c r="G19" s="77">
        <f t="shared" si="57"/>
        <v>5580.5459933274351</v>
      </c>
      <c r="H19" s="77">
        <f t="shared" si="57"/>
        <v>5512.0054545648445</v>
      </c>
      <c r="I19" s="77">
        <f t="shared" si="57"/>
        <v>5528.3848966069954</v>
      </c>
      <c r="J19" s="77">
        <f t="shared" si="57"/>
        <v>5951.5554240343818</v>
      </c>
      <c r="K19" s="77">
        <f t="shared" si="57"/>
        <v>7046.9499490249627</v>
      </c>
      <c r="L19" s="77">
        <f t="shared" si="57"/>
        <v>8224.5731671873637</v>
      </c>
      <c r="M19" s="77">
        <f t="shared" si="57"/>
        <v>8851.1122842025252</v>
      </c>
      <c r="N19" s="77">
        <f t="shared" si="57"/>
        <v>9232.5184871851834</v>
      </c>
      <c r="O19" s="77">
        <f t="shared" si="57"/>
        <v>9623.5212598170165</v>
      </c>
      <c r="P19" s="77">
        <f t="shared" si="57"/>
        <v>9883.4655083889629</v>
      </c>
      <c r="Q19" s="77">
        <f t="shared" si="57"/>
        <v>9824.076037209983</v>
      </c>
      <c r="R19" s="77">
        <f t="shared" si="57"/>
        <v>9889.774488878862</v>
      </c>
      <c r="S19" s="77">
        <f t="shared" si="57"/>
        <v>9990.1368172106522</v>
      </c>
      <c r="T19" s="77">
        <f t="shared" si="57"/>
        <v>10079.988813916681</v>
      </c>
      <c r="U19" s="77">
        <f t="shared" si="57"/>
        <v>9833.2453800331259</v>
      </c>
      <c r="V19" s="77">
        <f t="shared" si="57"/>
        <v>9383.4882869999892</v>
      </c>
      <c r="W19" s="77">
        <f t="shared" si="57"/>
        <v>9349.1004928864859</v>
      </c>
      <c r="X19" s="77">
        <f t="shared" si="57"/>
        <v>9228.5323011336277</v>
      </c>
      <c r="Y19" s="77">
        <f t="shared" si="57"/>
        <v>8532.2052165845671</v>
      </c>
      <c r="Z19" s="77">
        <f t="shared" si="57"/>
        <v>7488.206756903588</v>
      </c>
      <c r="AA19" s="77">
        <f t="shared" si="57"/>
        <v>6682.3734026331667</v>
      </c>
      <c r="AB19" s="77">
        <f t="shared" si="57"/>
        <v>6257.1716800296563</v>
      </c>
      <c r="AC19" s="89">
        <f t="shared" ref="AC19" si="58">+SUM(E19:AB19)*D19</f>
        <v>4258064.5161290318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" si="59">(($B19)/$D22)*E$7</f>
        <v>5844.2370108192135</v>
      </c>
      <c r="F20" s="79">
        <f t="shared" ref="F20" si="60">(($B19)/$D22)*F$7</f>
        <v>5731.2179871949056</v>
      </c>
      <c r="G20" s="79">
        <f t="shared" ref="G20" si="61">(($B19)/$D22)*G$7</f>
        <v>5580.5459933274351</v>
      </c>
      <c r="H20" s="79">
        <f t="shared" ref="H20" si="62">(($B19)/$D22)*H$7</f>
        <v>5512.0054545648445</v>
      </c>
      <c r="I20" s="79">
        <f t="shared" ref="I20" si="63">(($B19)/$D22)*I$7</f>
        <v>5528.3848966069954</v>
      </c>
      <c r="J20" s="79">
        <f t="shared" ref="J20" si="64">(($B19)/$D22)*J$7</f>
        <v>5951.5554240343818</v>
      </c>
      <c r="K20" s="79">
        <f t="shared" ref="K20" si="65">(($B19)/$D22)*K$7</f>
        <v>7046.9499490249627</v>
      </c>
      <c r="L20" s="79">
        <f t="shared" ref="L20" si="66">(($B19)/$D22)*L$7</f>
        <v>8224.5731671873637</v>
      </c>
      <c r="M20" s="79">
        <f t="shared" ref="M20" si="67">(($B19)/$D22)*M$7</f>
        <v>8851.1122842025252</v>
      </c>
      <c r="N20" s="79">
        <f t="shared" ref="N20" si="68">(($B19)/$D22)*N$7</f>
        <v>9232.5184871851834</v>
      </c>
      <c r="O20" s="79">
        <f t="shared" ref="O20" si="69">(($B19)/$D22)*O$7</f>
        <v>9623.5212598170165</v>
      </c>
      <c r="P20" s="79">
        <f t="shared" ref="P20" si="70">(($B19)/$D22)*P$7</f>
        <v>9883.4655083889629</v>
      </c>
      <c r="Q20" s="79">
        <f t="shared" ref="Q20" si="71">(($B19)/$D22)*Q$7</f>
        <v>9824.076037209983</v>
      </c>
      <c r="R20" s="79">
        <f t="shared" ref="R20" si="72">(($B19)/$D22)*R$7</f>
        <v>9889.774488878862</v>
      </c>
      <c r="S20" s="79">
        <f t="shared" ref="S20" si="73">(($B19)/$D22)*S$7</f>
        <v>9990.1368172106522</v>
      </c>
      <c r="T20" s="79">
        <f t="shared" ref="T20" si="74">(($B19)/$D22)*T$7</f>
        <v>10079.988813916681</v>
      </c>
      <c r="U20" s="79">
        <f t="shared" ref="U20" si="75">(($B19)/$D22)*U$7</f>
        <v>9833.2453800331259</v>
      </c>
      <c r="V20" s="79">
        <f t="shared" ref="V20" si="76">(($B19)/$D22)*V$7</f>
        <v>9383.4882869999892</v>
      </c>
      <c r="W20" s="79">
        <f t="shared" ref="W20" si="77">(($B19)/$D22)*W$7</f>
        <v>9349.1004928864859</v>
      </c>
      <c r="X20" s="79">
        <f t="shared" ref="X20" si="78">(($B19)/$D22)*X$7</f>
        <v>9228.5323011336277</v>
      </c>
      <c r="Y20" s="79">
        <f t="shared" ref="Y20" si="79">(($B19)/$D22)*Y$7</f>
        <v>8532.2052165845671</v>
      </c>
      <c r="Z20" s="79">
        <f t="shared" ref="Z20" si="80">(($B19)/$D22)*Z$7</f>
        <v>7488.206756903588</v>
      </c>
      <c r="AA20" s="79">
        <f t="shared" ref="AA20" si="81">(($B19)/$D22)*AA$7</f>
        <v>6682.3734026331667</v>
      </c>
      <c r="AB20" s="79">
        <f t="shared" ref="AB20" si="82">(($B19)/$D22)*AB$7</f>
        <v>6257.1716800296563</v>
      </c>
      <c r="AC20" s="90">
        <f t="shared" ref="AC20:AC21" si="83">+SUM(E20:AB20)*D20</f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" si="84">(($B19)/$D22)*E$7</f>
        <v>5844.2370108192135</v>
      </c>
      <c r="F21" s="82">
        <f t="shared" ref="F21" si="85">(($B19)/$D22)*F$7</f>
        <v>5731.2179871949056</v>
      </c>
      <c r="G21" s="82">
        <f t="shared" ref="G21" si="86">(($B19)/$D22)*G$7</f>
        <v>5580.5459933274351</v>
      </c>
      <c r="H21" s="82">
        <f t="shared" ref="H21" si="87">(($B19)/$D22)*H$7</f>
        <v>5512.0054545648445</v>
      </c>
      <c r="I21" s="82">
        <f t="shared" ref="I21" si="88">(($B19)/$D22)*I$7</f>
        <v>5528.3848966069954</v>
      </c>
      <c r="J21" s="82">
        <f t="shared" ref="J21" si="89">(($B19)/$D22)*J$7</f>
        <v>5951.5554240343818</v>
      </c>
      <c r="K21" s="82">
        <f t="shared" ref="K21" si="90">(($B19)/$D22)*K$7</f>
        <v>7046.9499490249627</v>
      </c>
      <c r="L21" s="82">
        <f t="shared" ref="L21" si="91">(($B19)/$D22)*L$7</f>
        <v>8224.5731671873637</v>
      </c>
      <c r="M21" s="82">
        <f t="shared" ref="M21" si="92">(($B19)/$D22)*M$7</f>
        <v>8851.1122842025252</v>
      </c>
      <c r="N21" s="82">
        <f t="shared" ref="N21" si="93">(($B19)/$D22)*N$7</f>
        <v>9232.5184871851834</v>
      </c>
      <c r="O21" s="82">
        <f t="shared" ref="O21" si="94">(($B19)/$D22)*O$7</f>
        <v>9623.5212598170165</v>
      </c>
      <c r="P21" s="82">
        <f t="shared" ref="P21" si="95">(($B19)/$D22)*P$7</f>
        <v>9883.4655083889629</v>
      </c>
      <c r="Q21" s="82">
        <f t="shared" ref="Q21" si="96">(($B19)/$D22)*Q$7</f>
        <v>9824.076037209983</v>
      </c>
      <c r="R21" s="82">
        <f t="shared" ref="R21" si="97">(($B19)/$D22)*R$7</f>
        <v>9889.774488878862</v>
      </c>
      <c r="S21" s="82">
        <f t="shared" ref="S21" si="98">(($B19)/$D22)*S$7</f>
        <v>9990.1368172106522</v>
      </c>
      <c r="T21" s="82">
        <f t="shared" ref="T21" si="99">(($B19)/$D22)*T$7</f>
        <v>10079.988813916681</v>
      </c>
      <c r="U21" s="82">
        <f t="shared" ref="U21" si="100">(($B19)/$D22)*U$7</f>
        <v>9833.2453800331259</v>
      </c>
      <c r="V21" s="82">
        <f t="shared" ref="V21" si="101">(($B19)/$D22)*V$7</f>
        <v>9383.4882869999892</v>
      </c>
      <c r="W21" s="82">
        <f t="shared" ref="W21" si="102">(($B19)/$D22)*W$7</f>
        <v>9349.1004928864859</v>
      </c>
      <c r="X21" s="82">
        <f t="shared" ref="X21" si="103">(($B19)/$D22)*X$7</f>
        <v>9228.5323011336277</v>
      </c>
      <c r="Y21" s="82">
        <f t="shared" ref="Y21" si="104">(($B19)/$D22)*Y$7</f>
        <v>8532.2052165845671</v>
      </c>
      <c r="Z21" s="82">
        <f t="shared" ref="Z21" si="105">(($B19)/$D22)*Z$7</f>
        <v>7488.206756903588</v>
      </c>
      <c r="AA21" s="82">
        <f t="shared" ref="AA21" si="106">(($B19)/$D22)*AA$7</f>
        <v>6682.3734026331667</v>
      </c>
      <c r="AB21" s="82">
        <f t="shared" ref="AB21" si="107">(($B19)/$D22)*AB$7</f>
        <v>6257.1716800296563</v>
      </c>
      <c r="AC21" s="91">
        <f t="shared" si="83"/>
        <v>967741.93548387079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08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09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4-2026</v>
      </c>
      <c r="B23" s="139">
        <f>'AÑO 2026'!C19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10">(($B23)/$D26)*E$7</f>
        <v>6039.0449111798544</v>
      </c>
      <c r="F23" s="77">
        <f t="shared" si="110"/>
        <v>5922.25858676807</v>
      </c>
      <c r="G23" s="77">
        <f t="shared" si="110"/>
        <v>5766.5641931050168</v>
      </c>
      <c r="H23" s="77">
        <f t="shared" si="110"/>
        <v>5695.7389697170065</v>
      </c>
      <c r="I23" s="77">
        <f t="shared" si="110"/>
        <v>5712.6643931605622</v>
      </c>
      <c r="J23" s="77">
        <f t="shared" si="110"/>
        <v>6149.9406048355286</v>
      </c>
      <c r="K23" s="77">
        <f t="shared" si="110"/>
        <v>7281.8482806591282</v>
      </c>
      <c r="L23" s="77">
        <f t="shared" si="110"/>
        <v>8498.7256060936106</v>
      </c>
      <c r="M23" s="77">
        <f t="shared" si="110"/>
        <v>9146.1493603426097</v>
      </c>
      <c r="N23" s="77">
        <f t="shared" si="110"/>
        <v>9540.2691034246891</v>
      </c>
      <c r="O23" s="77">
        <f t="shared" si="110"/>
        <v>9944.3053018109167</v>
      </c>
      <c r="P23" s="77">
        <f t="shared" si="110"/>
        <v>10212.914358668595</v>
      </c>
      <c r="Q23" s="77">
        <f t="shared" si="110"/>
        <v>10151.545238450315</v>
      </c>
      <c r="R23" s="77">
        <f t="shared" si="110"/>
        <v>10219.433638508159</v>
      </c>
      <c r="S23" s="77">
        <f t="shared" si="110"/>
        <v>10323.141377784341</v>
      </c>
      <c r="T23" s="77">
        <f t="shared" si="110"/>
        <v>10415.988441047239</v>
      </c>
      <c r="U23" s="77">
        <f t="shared" si="110"/>
        <v>10161.02022603423</v>
      </c>
      <c r="V23" s="77">
        <f t="shared" si="110"/>
        <v>9696.2712298999904</v>
      </c>
      <c r="W23" s="77">
        <f t="shared" si="110"/>
        <v>9660.737175982702</v>
      </c>
      <c r="X23" s="77">
        <f t="shared" si="110"/>
        <v>9536.1500445047495</v>
      </c>
      <c r="Y23" s="77">
        <f t="shared" si="110"/>
        <v>8816.6120571373867</v>
      </c>
      <c r="Z23" s="77">
        <f t="shared" si="110"/>
        <v>7737.8136488003747</v>
      </c>
      <c r="AA23" s="77">
        <f t="shared" si="110"/>
        <v>6905.1191827209395</v>
      </c>
      <c r="AB23" s="77">
        <f t="shared" si="110"/>
        <v>6465.7440693639783</v>
      </c>
      <c r="AC23" s="89">
        <f t="shared" ref="AC23" si="111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" si="112">(($B23)/$D26)*E$7</f>
        <v>6039.0449111798544</v>
      </c>
      <c r="F24" s="79">
        <f t="shared" ref="F24" si="113">(($B23)/$D26)*F$7</f>
        <v>5922.25858676807</v>
      </c>
      <c r="G24" s="79">
        <f t="shared" ref="G24" si="114">(($B23)/$D26)*G$7</f>
        <v>5766.5641931050168</v>
      </c>
      <c r="H24" s="79">
        <f t="shared" ref="H24" si="115">(($B23)/$D26)*H$7</f>
        <v>5695.7389697170065</v>
      </c>
      <c r="I24" s="79">
        <f t="shared" ref="I24" si="116">(($B23)/$D26)*I$7</f>
        <v>5712.6643931605622</v>
      </c>
      <c r="J24" s="79">
        <f t="shared" ref="J24" si="117">(($B23)/$D26)*J$7</f>
        <v>6149.9406048355286</v>
      </c>
      <c r="K24" s="79">
        <f t="shared" ref="K24" si="118">(($B23)/$D26)*K$7</f>
        <v>7281.8482806591282</v>
      </c>
      <c r="L24" s="79">
        <f t="shared" ref="L24" si="119">(($B23)/$D26)*L$7</f>
        <v>8498.7256060936106</v>
      </c>
      <c r="M24" s="79">
        <f t="shared" ref="M24" si="120">(($B23)/$D26)*M$7</f>
        <v>9146.1493603426097</v>
      </c>
      <c r="N24" s="79">
        <f t="shared" ref="N24" si="121">(($B23)/$D26)*N$7</f>
        <v>9540.2691034246891</v>
      </c>
      <c r="O24" s="79">
        <f t="shared" ref="O24" si="122">(($B23)/$D26)*O$7</f>
        <v>9944.3053018109167</v>
      </c>
      <c r="P24" s="79">
        <f t="shared" ref="P24" si="123">(($B23)/$D26)*P$7</f>
        <v>10212.914358668595</v>
      </c>
      <c r="Q24" s="79">
        <f t="shared" ref="Q24" si="124">(($B23)/$D26)*Q$7</f>
        <v>10151.545238450315</v>
      </c>
      <c r="R24" s="79">
        <f t="shared" ref="R24" si="125">(($B23)/$D26)*R$7</f>
        <v>10219.433638508159</v>
      </c>
      <c r="S24" s="79">
        <f t="shared" ref="S24" si="126">(($B23)/$D26)*S$7</f>
        <v>10323.141377784341</v>
      </c>
      <c r="T24" s="79">
        <f t="shared" ref="T24" si="127">(($B23)/$D26)*T$7</f>
        <v>10415.988441047239</v>
      </c>
      <c r="U24" s="79">
        <f t="shared" ref="U24" si="128">(($B23)/$D26)*U$7</f>
        <v>10161.02022603423</v>
      </c>
      <c r="V24" s="79">
        <f t="shared" ref="V24" si="129">(($B23)/$D26)*V$7</f>
        <v>9696.2712298999904</v>
      </c>
      <c r="W24" s="79">
        <f t="shared" ref="W24" si="130">(($B23)/$D26)*W$7</f>
        <v>9660.737175982702</v>
      </c>
      <c r="X24" s="79">
        <f t="shared" ref="X24" si="131">(($B23)/$D26)*X$7</f>
        <v>9536.1500445047495</v>
      </c>
      <c r="Y24" s="79">
        <f t="shared" ref="Y24" si="132">(($B23)/$D26)*Y$7</f>
        <v>8816.6120571373867</v>
      </c>
      <c r="Z24" s="79">
        <f t="shared" ref="Z24" si="133">(($B23)/$D26)*Z$7</f>
        <v>7737.8136488003747</v>
      </c>
      <c r="AA24" s="79">
        <f t="shared" ref="AA24" si="134">(($B23)/$D26)*AA$7</f>
        <v>6905.1191827209395</v>
      </c>
      <c r="AB24" s="79">
        <f t="shared" ref="AB24" si="135">(($B23)/$D26)*AB$7</f>
        <v>6465.7440693639783</v>
      </c>
      <c r="AC24" s="90">
        <f t="shared" ref="AC24:AC25" si="136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" si="137">(($B23)/$D26)*E$7</f>
        <v>6039.0449111798544</v>
      </c>
      <c r="F25" s="82">
        <f t="shared" ref="F25" si="138">(($B23)/$D26)*F$7</f>
        <v>5922.25858676807</v>
      </c>
      <c r="G25" s="82">
        <f t="shared" ref="G25" si="139">(($B23)/$D26)*G$7</f>
        <v>5766.5641931050168</v>
      </c>
      <c r="H25" s="82">
        <f t="shared" ref="H25" si="140">(($B23)/$D26)*H$7</f>
        <v>5695.7389697170065</v>
      </c>
      <c r="I25" s="82">
        <f t="shared" ref="I25" si="141">(($B23)/$D26)*I$7</f>
        <v>5712.6643931605622</v>
      </c>
      <c r="J25" s="82">
        <f t="shared" ref="J25" si="142">(($B23)/$D26)*J$7</f>
        <v>6149.9406048355286</v>
      </c>
      <c r="K25" s="82">
        <f t="shared" ref="K25" si="143">(($B23)/$D26)*K$7</f>
        <v>7281.8482806591282</v>
      </c>
      <c r="L25" s="82">
        <f t="shared" ref="L25" si="144">(($B23)/$D26)*L$7</f>
        <v>8498.7256060936106</v>
      </c>
      <c r="M25" s="82">
        <f t="shared" ref="M25" si="145">(($B23)/$D26)*M$7</f>
        <v>9146.1493603426097</v>
      </c>
      <c r="N25" s="82">
        <f t="shared" ref="N25" si="146">(($B23)/$D26)*N$7</f>
        <v>9540.2691034246891</v>
      </c>
      <c r="O25" s="82">
        <f t="shared" ref="O25" si="147">(($B23)/$D26)*O$7</f>
        <v>9944.3053018109167</v>
      </c>
      <c r="P25" s="82">
        <f t="shared" ref="P25" si="148">(($B23)/$D26)*P$7</f>
        <v>10212.914358668595</v>
      </c>
      <c r="Q25" s="82">
        <f t="shared" ref="Q25" si="149">(($B23)/$D26)*Q$7</f>
        <v>10151.545238450315</v>
      </c>
      <c r="R25" s="82">
        <f t="shared" ref="R25" si="150">(($B23)/$D26)*R$7</f>
        <v>10219.433638508159</v>
      </c>
      <c r="S25" s="82">
        <f t="shared" ref="S25" si="151">(($B23)/$D26)*S$7</f>
        <v>10323.141377784341</v>
      </c>
      <c r="T25" s="82">
        <f t="shared" ref="T25" si="152">(($B23)/$D26)*T$7</f>
        <v>10415.988441047239</v>
      </c>
      <c r="U25" s="82">
        <f t="shared" ref="U25" si="153">(($B23)/$D26)*U$7</f>
        <v>10161.02022603423</v>
      </c>
      <c r="V25" s="82">
        <f t="shared" ref="V25" si="154">(($B23)/$D26)*V$7</f>
        <v>9696.2712298999904</v>
      </c>
      <c r="W25" s="82">
        <f t="shared" ref="W25" si="155">(($B23)/$D26)*W$7</f>
        <v>9660.737175982702</v>
      </c>
      <c r="X25" s="82">
        <f t="shared" ref="X25" si="156">(($B23)/$D26)*X$7</f>
        <v>9536.1500445047495</v>
      </c>
      <c r="Y25" s="82">
        <f t="shared" ref="Y25" si="157">(($B23)/$D26)*Y$7</f>
        <v>8816.6120571373867</v>
      </c>
      <c r="Z25" s="82">
        <f t="shared" ref="Z25" si="158">(($B23)/$D26)*Z$7</f>
        <v>7737.8136488003747</v>
      </c>
      <c r="AA25" s="82">
        <f t="shared" ref="AA25" si="159">(($B23)/$D26)*AA$7</f>
        <v>6905.1191827209395</v>
      </c>
      <c r="AB25" s="82">
        <f t="shared" ref="AB25" si="160">(($B23)/$D26)*AB$7</f>
        <v>6465.7440693639783</v>
      </c>
      <c r="AC25" s="91">
        <f t="shared" si="136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161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162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5-2026</v>
      </c>
      <c r="B27" s="139">
        <f>'AÑO 2026'!C20</f>
        <v>6000000</v>
      </c>
      <c r="C27" s="59" t="s">
        <v>40</v>
      </c>
      <c r="D27" s="60">
        <f>VLOOKUP(A27&amp;C27,calendario!I:L,4,0)</f>
        <v>21</v>
      </c>
      <c r="E27" s="77">
        <f t="shared" ref="E27:AB27" si="163">(($B27)/$D30)*E$7</f>
        <v>5844.2370108192135</v>
      </c>
      <c r="F27" s="77">
        <f t="shared" si="163"/>
        <v>5731.2179871949056</v>
      </c>
      <c r="G27" s="77">
        <f t="shared" si="163"/>
        <v>5580.5459933274351</v>
      </c>
      <c r="H27" s="77">
        <f t="shared" si="163"/>
        <v>5512.0054545648445</v>
      </c>
      <c r="I27" s="77">
        <f t="shared" si="163"/>
        <v>5528.3848966069954</v>
      </c>
      <c r="J27" s="77">
        <f t="shared" si="163"/>
        <v>5951.5554240343818</v>
      </c>
      <c r="K27" s="77">
        <f t="shared" si="163"/>
        <v>7046.9499490249627</v>
      </c>
      <c r="L27" s="77">
        <f t="shared" si="163"/>
        <v>8224.5731671873637</v>
      </c>
      <c r="M27" s="77">
        <f t="shared" si="163"/>
        <v>8851.1122842025252</v>
      </c>
      <c r="N27" s="77">
        <f t="shared" si="163"/>
        <v>9232.5184871851834</v>
      </c>
      <c r="O27" s="77">
        <f t="shared" si="163"/>
        <v>9623.5212598170165</v>
      </c>
      <c r="P27" s="77">
        <f t="shared" si="163"/>
        <v>9883.4655083889629</v>
      </c>
      <c r="Q27" s="77">
        <f t="shared" si="163"/>
        <v>9824.076037209983</v>
      </c>
      <c r="R27" s="77">
        <f t="shared" si="163"/>
        <v>9889.774488878862</v>
      </c>
      <c r="S27" s="77">
        <f t="shared" si="163"/>
        <v>9990.1368172106522</v>
      </c>
      <c r="T27" s="77">
        <f t="shared" si="163"/>
        <v>10079.988813916681</v>
      </c>
      <c r="U27" s="77">
        <f t="shared" si="163"/>
        <v>9833.2453800331259</v>
      </c>
      <c r="V27" s="77">
        <f t="shared" si="163"/>
        <v>9383.4882869999892</v>
      </c>
      <c r="W27" s="77">
        <f t="shared" si="163"/>
        <v>9349.1004928864859</v>
      </c>
      <c r="X27" s="77">
        <f t="shared" si="163"/>
        <v>9228.5323011336277</v>
      </c>
      <c r="Y27" s="77">
        <f t="shared" si="163"/>
        <v>8532.2052165845671</v>
      </c>
      <c r="Z27" s="77">
        <f t="shared" si="163"/>
        <v>7488.206756903588</v>
      </c>
      <c r="AA27" s="77">
        <f t="shared" si="163"/>
        <v>6682.3734026331667</v>
      </c>
      <c r="AB27" s="77">
        <f t="shared" si="163"/>
        <v>6257.1716800296563</v>
      </c>
      <c r="AC27" s="89">
        <f t="shared" ref="AC27" si="164">+SUM(E27:AB27)*D27</f>
        <v>4064516.129032257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" si="165">(($B27)/$D30)*E$7</f>
        <v>5844.2370108192135</v>
      </c>
      <c r="F28" s="79">
        <f t="shared" ref="F28" si="166">(($B27)/$D30)*F$7</f>
        <v>5731.2179871949056</v>
      </c>
      <c r="G28" s="79">
        <f t="shared" ref="G28" si="167">(($B27)/$D30)*G$7</f>
        <v>5580.5459933274351</v>
      </c>
      <c r="H28" s="79">
        <f t="shared" ref="H28" si="168">(($B27)/$D30)*H$7</f>
        <v>5512.0054545648445</v>
      </c>
      <c r="I28" s="79">
        <f t="shared" ref="I28" si="169">(($B27)/$D30)*I$7</f>
        <v>5528.3848966069954</v>
      </c>
      <c r="J28" s="79">
        <f t="shared" ref="J28" si="170">(($B27)/$D30)*J$7</f>
        <v>5951.5554240343818</v>
      </c>
      <c r="K28" s="79">
        <f t="shared" ref="K28" si="171">(($B27)/$D30)*K$7</f>
        <v>7046.9499490249627</v>
      </c>
      <c r="L28" s="79">
        <f t="shared" ref="L28" si="172">(($B27)/$D30)*L$7</f>
        <v>8224.5731671873637</v>
      </c>
      <c r="M28" s="79">
        <f t="shared" ref="M28" si="173">(($B27)/$D30)*M$7</f>
        <v>8851.1122842025252</v>
      </c>
      <c r="N28" s="79">
        <f t="shared" ref="N28" si="174">(($B27)/$D30)*N$7</f>
        <v>9232.5184871851834</v>
      </c>
      <c r="O28" s="79">
        <f t="shared" ref="O28" si="175">(($B27)/$D30)*O$7</f>
        <v>9623.5212598170165</v>
      </c>
      <c r="P28" s="79">
        <f t="shared" ref="P28" si="176">(($B27)/$D30)*P$7</f>
        <v>9883.4655083889629</v>
      </c>
      <c r="Q28" s="79">
        <f t="shared" ref="Q28" si="177">(($B27)/$D30)*Q$7</f>
        <v>9824.076037209983</v>
      </c>
      <c r="R28" s="79">
        <f t="shared" ref="R28" si="178">(($B27)/$D30)*R$7</f>
        <v>9889.774488878862</v>
      </c>
      <c r="S28" s="79">
        <f t="shared" ref="S28" si="179">(($B27)/$D30)*S$7</f>
        <v>9990.1368172106522</v>
      </c>
      <c r="T28" s="79">
        <f t="shared" ref="T28" si="180">(($B27)/$D30)*T$7</f>
        <v>10079.988813916681</v>
      </c>
      <c r="U28" s="79">
        <f t="shared" ref="U28" si="181">(($B27)/$D30)*U$7</f>
        <v>9833.2453800331259</v>
      </c>
      <c r="V28" s="79">
        <f t="shared" ref="V28" si="182">(($B27)/$D30)*V$7</f>
        <v>9383.4882869999892</v>
      </c>
      <c r="W28" s="79">
        <f t="shared" ref="W28" si="183">(($B27)/$D30)*W$7</f>
        <v>9349.1004928864859</v>
      </c>
      <c r="X28" s="79">
        <f t="shared" ref="X28" si="184">(($B27)/$D30)*X$7</f>
        <v>9228.5323011336277</v>
      </c>
      <c r="Y28" s="79">
        <f t="shared" ref="Y28" si="185">(($B27)/$D30)*Y$7</f>
        <v>8532.2052165845671</v>
      </c>
      <c r="Z28" s="79">
        <f t="shared" ref="Z28" si="186">(($B27)/$D30)*Z$7</f>
        <v>7488.206756903588</v>
      </c>
      <c r="AA28" s="79">
        <f t="shared" ref="AA28" si="187">(($B27)/$D30)*AA$7</f>
        <v>6682.3734026331667</v>
      </c>
      <c r="AB28" s="79">
        <f t="shared" ref="AB28" si="188">(($B27)/$D30)*AB$7</f>
        <v>6257.1716800296563</v>
      </c>
      <c r="AC28" s="90">
        <f t="shared" ref="AC28:AC29" si="189">+SUM(E28:AB28)*D28</f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" si="190">(($B27)/$D30)*E$7</f>
        <v>5844.2370108192135</v>
      </c>
      <c r="F29" s="82">
        <f t="shared" ref="F29" si="191">(($B27)/$D30)*F$7</f>
        <v>5731.2179871949056</v>
      </c>
      <c r="G29" s="82">
        <f t="shared" ref="G29" si="192">(($B27)/$D30)*G$7</f>
        <v>5580.5459933274351</v>
      </c>
      <c r="H29" s="82">
        <f t="shared" ref="H29" si="193">(($B27)/$D30)*H$7</f>
        <v>5512.0054545648445</v>
      </c>
      <c r="I29" s="82">
        <f t="shared" ref="I29" si="194">(($B27)/$D30)*I$7</f>
        <v>5528.3848966069954</v>
      </c>
      <c r="J29" s="82">
        <f t="shared" ref="J29" si="195">(($B27)/$D30)*J$7</f>
        <v>5951.5554240343818</v>
      </c>
      <c r="K29" s="82">
        <f t="shared" ref="K29" si="196">(($B27)/$D30)*K$7</f>
        <v>7046.9499490249627</v>
      </c>
      <c r="L29" s="82">
        <f t="shared" ref="L29" si="197">(($B27)/$D30)*L$7</f>
        <v>8224.5731671873637</v>
      </c>
      <c r="M29" s="82">
        <f t="shared" ref="M29" si="198">(($B27)/$D30)*M$7</f>
        <v>8851.1122842025252</v>
      </c>
      <c r="N29" s="82">
        <f t="shared" ref="N29" si="199">(($B27)/$D30)*N$7</f>
        <v>9232.5184871851834</v>
      </c>
      <c r="O29" s="82">
        <f t="shared" ref="O29" si="200">(($B27)/$D30)*O$7</f>
        <v>9623.5212598170165</v>
      </c>
      <c r="P29" s="82">
        <f t="shared" ref="P29" si="201">(($B27)/$D30)*P$7</f>
        <v>9883.4655083889629</v>
      </c>
      <c r="Q29" s="82">
        <f t="shared" ref="Q29" si="202">(($B27)/$D30)*Q$7</f>
        <v>9824.076037209983</v>
      </c>
      <c r="R29" s="82">
        <f t="shared" ref="R29" si="203">(($B27)/$D30)*R$7</f>
        <v>9889.774488878862</v>
      </c>
      <c r="S29" s="82">
        <f t="shared" ref="S29" si="204">(($B27)/$D30)*S$7</f>
        <v>9990.1368172106522</v>
      </c>
      <c r="T29" s="82">
        <f t="shared" ref="T29" si="205">(($B27)/$D30)*T$7</f>
        <v>10079.988813916681</v>
      </c>
      <c r="U29" s="82">
        <f t="shared" ref="U29" si="206">(($B27)/$D30)*U$7</f>
        <v>9833.2453800331259</v>
      </c>
      <c r="V29" s="82">
        <f t="shared" ref="V29" si="207">(($B27)/$D30)*V$7</f>
        <v>9383.4882869999892</v>
      </c>
      <c r="W29" s="82">
        <f t="shared" ref="W29" si="208">(($B27)/$D30)*W$7</f>
        <v>9349.1004928864859</v>
      </c>
      <c r="X29" s="82">
        <f t="shared" ref="X29" si="209">(($B27)/$D30)*X$7</f>
        <v>9228.5323011336277</v>
      </c>
      <c r="Y29" s="82">
        <f t="shared" ref="Y29" si="210">(($B27)/$D30)*Y$7</f>
        <v>8532.2052165845671</v>
      </c>
      <c r="Z29" s="82">
        <f t="shared" ref="Z29" si="211">(($B27)/$D30)*Z$7</f>
        <v>7488.206756903588</v>
      </c>
      <c r="AA29" s="82">
        <f t="shared" ref="AA29" si="212">(($B27)/$D30)*AA$7</f>
        <v>6682.3734026331667</v>
      </c>
      <c r="AB29" s="82">
        <f t="shared" ref="AB29" si="213">(($B27)/$D30)*AB$7</f>
        <v>6257.1716800296563</v>
      </c>
      <c r="AC29" s="91">
        <f t="shared" si="189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14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15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6-2026</v>
      </c>
      <c r="B31" s="139">
        <f>'AÑO 2026'!C21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16">(($B31)/$D34)*E$7</f>
        <v>6039.0449111798544</v>
      </c>
      <c r="F31" s="77">
        <f t="shared" si="216"/>
        <v>5922.25858676807</v>
      </c>
      <c r="G31" s="77">
        <f t="shared" si="216"/>
        <v>5766.5641931050168</v>
      </c>
      <c r="H31" s="77">
        <f t="shared" si="216"/>
        <v>5695.7389697170065</v>
      </c>
      <c r="I31" s="77">
        <f t="shared" si="216"/>
        <v>5712.6643931605622</v>
      </c>
      <c r="J31" s="77">
        <f t="shared" si="216"/>
        <v>6149.9406048355286</v>
      </c>
      <c r="K31" s="77">
        <f t="shared" si="216"/>
        <v>7281.8482806591282</v>
      </c>
      <c r="L31" s="77">
        <f t="shared" si="216"/>
        <v>8498.7256060936106</v>
      </c>
      <c r="M31" s="77">
        <f t="shared" si="216"/>
        <v>9146.1493603426097</v>
      </c>
      <c r="N31" s="77">
        <f t="shared" si="216"/>
        <v>9540.2691034246891</v>
      </c>
      <c r="O31" s="77">
        <f t="shared" si="216"/>
        <v>9944.3053018109167</v>
      </c>
      <c r="P31" s="77">
        <f t="shared" si="216"/>
        <v>10212.914358668595</v>
      </c>
      <c r="Q31" s="77">
        <f t="shared" si="216"/>
        <v>10151.545238450315</v>
      </c>
      <c r="R31" s="77">
        <f t="shared" si="216"/>
        <v>10219.433638508159</v>
      </c>
      <c r="S31" s="77">
        <f t="shared" si="216"/>
        <v>10323.141377784341</v>
      </c>
      <c r="T31" s="77">
        <f t="shared" si="216"/>
        <v>10415.988441047239</v>
      </c>
      <c r="U31" s="77">
        <f t="shared" si="216"/>
        <v>10161.02022603423</v>
      </c>
      <c r="V31" s="77">
        <f t="shared" si="216"/>
        <v>9696.2712298999904</v>
      </c>
      <c r="W31" s="77">
        <f t="shared" si="216"/>
        <v>9660.737175982702</v>
      </c>
      <c r="X31" s="77">
        <f t="shared" si="216"/>
        <v>9536.1500445047495</v>
      </c>
      <c r="Y31" s="77">
        <f t="shared" si="216"/>
        <v>8816.6120571373867</v>
      </c>
      <c r="Z31" s="77">
        <f t="shared" si="216"/>
        <v>7737.8136488003747</v>
      </c>
      <c r="AA31" s="77">
        <f t="shared" si="216"/>
        <v>6905.1191827209395</v>
      </c>
      <c r="AB31" s="77">
        <f t="shared" si="216"/>
        <v>6465.7440693639783</v>
      </c>
      <c r="AC31" s="89">
        <f t="shared" ref="AC31" si="217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" si="218">(($B31)/$D34)*E$7</f>
        <v>6039.0449111798544</v>
      </c>
      <c r="F32" s="79">
        <f t="shared" ref="F32" si="219">(($B31)/$D34)*F$7</f>
        <v>5922.25858676807</v>
      </c>
      <c r="G32" s="79">
        <f t="shared" ref="G32" si="220">(($B31)/$D34)*G$7</f>
        <v>5766.5641931050168</v>
      </c>
      <c r="H32" s="79">
        <f t="shared" ref="H32" si="221">(($B31)/$D34)*H$7</f>
        <v>5695.7389697170065</v>
      </c>
      <c r="I32" s="79">
        <f t="shared" ref="I32" si="222">(($B31)/$D34)*I$7</f>
        <v>5712.6643931605622</v>
      </c>
      <c r="J32" s="79">
        <f t="shared" ref="J32" si="223">(($B31)/$D34)*J$7</f>
        <v>6149.9406048355286</v>
      </c>
      <c r="K32" s="79">
        <f t="shared" ref="K32" si="224">(($B31)/$D34)*K$7</f>
        <v>7281.8482806591282</v>
      </c>
      <c r="L32" s="79">
        <f t="shared" ref="L32" si="225">(($B31)/$D34)*L$7</f>
        <v>8498.7256060936106</v>
      </c>
      <c r="M32" s="79">
        <f t="shared" ref="M32" si="226">(($B31)/$D34)*M$7</f>
        <v>9146.1493603426097</v>
      </c>
      <c r="N32" s="79">
        <f t="shared" ref="N32" si="227">(($B31)/$D34)*N$7</f>
        <v>9540.2691034246891</v>
      </c>
      <c r="O32" s="79">
        <f t="shared" ref="O32" si="228">(($B31)/$D34)*O$7</f>
        <v>9944.3053018109167</v>
      </c>
      <c r="P32" s="79">
        <f t="shared" ref="P32" si="229">(($B31)/$D34)*P$7</f>
        <v>10212.914358668595</v>
      </c>
      <c r="Q32" s="79">
        <f t="shared" ref="Q32" si="230">(($B31)/$D34)*Q$7</f>
        <v>10151.545238450315</v>
      </c>
      <c r="R32" s="79">
        <f t="shared" ref="R32" si="231">(($B31)/$D34)*R$7</f>
        <v>10219.433638508159</v>
      </c>
      <c r="S32" s="79">
        <f t="shared" ref="S32" si="232">(($B31)/$D34)*S$7</f>
        <v>10323.141377784341</v>
      </c>
      <c r="T32" s="79">
        <f t="shared" ref="T32" si="233">(($B31)/$D34)*T$7</f>
        <v>10415.988441047239</v>
      </c>
      <c r="U32" s="79">
        <f t="shared" ref="U32" si="234">(($B31)/$D34)*U$7</f>
        <v>10161.02022603423</v>
      </c>
      <c r="V32" s="79">
        <f t="shared" ref="V32" si="235">(($B31)/$D34)*V$7</f>
        <v>9696.2712298999904</v>
      </c>
      <c r="W32" s="79">
        <f t="shared" ref="W32" si="236">(($B31)/$D34)*W$7</f>
        <v>9660.737175982702</v>
      </c>
      <c r="X32" s="79">
        <f t="shared" ref="X32" si="237">(($B31)/$D34)*X$7</f>
        <v>9536.1500445047495</v>
      </c>
      <c r="Y32" s="79">
        <f t="shared" ref="Y32" si="238">(($B31)/$D34)*Y$7</f>
        <v>8816.6120571373867</v>
      </c>
      <c r="Z32" s="79">
        <f t="shared" ref="Z32" si="239">(($B31)/$D34)*Z$7</f>
        <v>7737.8136488003747</v>
      </c>
      <c r="AA32" s="79">
        <f t="shared" ref="AA32" si="240">(($B31)/$D34)*AA$7</f>
        <v>6905.1191827209395</v>
      </c>
      <c r="AB32" s="79">
        <f t="shared" ref="AB32" si="241">(($B31)/$D34)*AB$7</f>
        <v>6465.7440693639783</v>
      </c>
      <c r="AC32" s="90">
        <f t="shared" ref="AC32:AC33" si="242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" si="243">(($B31)/$D34)*E$7</f>
        <v>6039.0449111798544</v>
      </c>
      <c r="F33" s="82">
        <f t="shared" ref="F33" si="244">(($B31)/$D34)*F$7</f>
        <v>5922.25858676807</v>
      </c>
      <c r="G33" s="82">
        <f t="shared" ref="G33" si="245">(($B31)/$D34)*G$7</f>
        <v>5766.5641931050168</v>
      </c>
      <c r="H33" s="82">
        <f t="shared" ref="H33" si="246">(($B31)/$D34)*H$7</f>
        <v>5695.7389697170065</v>
      </c>
      <c r="I33" s="82">
        <f t="shared" ref="I33" si="247">(($B31)/$D34)*I$7</f>
        <v>5712.6643931605622</v>
      </c>
      <c r="J33" s="82">
        <f t="shared" ref="J33" si="248">(($B31)/$D34)*J$7</f>
        <v>6149.9406048355286</v>
      </c>
      <c r="K33" s="82">
        <f t="shared" ref="K33" si="249">(($B31)/$D34)*K$7</f>
        <v>7281.8482806591282</v>
      </c>
      <c r="L33" s="82">
        <f t="shared" ref="L33" si="250">(($B31)/$D34)*L$7</f>
        <v>8498.7256060936106</v>
      </c>
      <c r="M33" s="82">
        <f t="shared" ref="M33" si="251">(($B31)/$D34)*M$7</f>
        <v>9146.1493603426097</v>
      </c>
      <c r="N33" s="82">
        <f t="shared" ref="N33" si="252">(($B31)/$D34)*N$7</f>
        <v>9540.2691034246891</v>
      </c>
      <c r="O33" s="82">
        <f t="shared" ref="O33" si="253">(($B31)/$D34)*O$7</f>
        <v>9944.3053018109167</v>
      </c>
      <c r="P33" s="82">
        <f t="shared" ref="P33" si="254">(($B31)/$D34)*P$7</f>
        <v>10212.914358668595</v>
      </c>
      <c r="Q33" s="82">
        <f t="shared" ref="Q33" si="255">(($B31)/$D34)*Q$7</f>
        <v>10151.545238450315</v>
      </c>
      <c r="R33" s="82">
        <f t="shared" ref="R33" si="256">(($B31)/$D34)*R$7</f>
        <v>10219.433638508159</v>
      </c>
      <c r="S33" s="82">
        <f t="shared" ref="S33" si="257">(($B31)/$D34)*S$7</f>
        <v>10323.141377784341</v>
      </c>
      <c r="T33" s="82">
        <f t="shared" ref="T33" si="258">(($B31)/$D34)*T$7</f>
        <v>10415.988441047239</v>
      </c>
      <c r="U33" s="82">
        <f t="shared" ref="U33" si="259">(($B31)/$D34)*U$7</f>
        <v>10161.02022603423</v>
      </c>
      <c r="V33" s="82">
        <f t="shared" ref="V33" si="260">(($B31)/$D34)*V$7</f>
        <v>9696.2712298999904</v>
      </c>
      <c r="W33" s="82">
        <f t="shared" ref="W33" si="261">(($B31)/$D34)*W$7</f>
        <v>9660.737175982702</v>
      </c>
      <c r="X33" s="82">
        <f t="shared" ref="X33" si="262">(($B31)/$D34)*X$7</f>
        <v>9536.1500445047495</v>
      </c>
      <c r="Y33" s="82">
        <f t="shared" ref="Y33" si="263">(($B31)/$D34)*Y$7</f>
        <v>8816.6120571373867</v>
      </c>
      <c r="Z33" s="82">
        <f t="shared" ref="Z33" si="264">(($B31)/$D34)*Z$7</f>
        <v>7737.8136488003747</v>
      </c>
      <c r="AA33" s="82">
        <f t="shared" ref="AA33" si="265">(($B31)/$D34)*AA$7</f>
        <v>6905.1191827209395</v>
      </c>
      <c r="AB33" s="82">
        <f t="shared" ref="AB33" si="266">(($B31)/$D34)*AB$7</f>
        <v>6465.7440693639783</v>
      </c>
      <c r="AC33" s="91">
        <f t="shared" si="242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26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268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7-2026</v>
      </c>
      <c r="B35" s="139">
        <f>'AÑO 2026'!C22</f>
        <v>6000000</v>
      </c>
      <c r="C35" s="59" t="s">
        <v>40</v>
      </c>
      <c r="D35" s="60">
        <f>VLOOKUP(A35&amp;C35,calendario!I:L,4,0)</f>
        <v>23</v>
      </c>
      <c r="E35" s="77">
        <f t="shared" ref="E35:AB35" si="269">(($B35)/$D38)*E$7</f>
        <v>5844.2370108192135</v>
      </c>
      <c r="F35" s="77">
        <f t="shared" si="269"/>
        <v>5731.2179871949056</v>
      </c>
      <c r="G35" s="77">
        <f t="shared" si="269"/>
        <v>5580.5459933274351</v>
      </c>
      <c r="H35" s="77">
        <f t="shared" si="269"/>
        <v>5512.0054545648445</v>
      </c>
      <c r="I35" s="77">
        <f t="shared" si="269"/>
        <v>5528.3848966069954</v>
      </c>
      <c r="J35" s="77">
        <f t="shared" si="269"/>
        <v>5951.5554240343818</v>
      </c>
      <c r="K35" s="77">
        <f t="shared" si="269"/>
        <v>7046.9499490249627</v>
      </c>
      <c r="L35" s="77">
        <f t="shared" si="269"/>
        <v>8224.5731671873637</v>
      </c>
      <c r="M35" s="77">
        <f t="shared" si="269"/>
        <v>8851.1122842025252</v>
      </c>
      <c r="N35" s="77">
        <f t="shared" si="269"/>
        <v>9232.5184871851834</v>
      </c>
      <c r="O35" s="77">
        <f t="shared" si="269"/>
        <v>9623.5212598170165</v>
      </c>
      <c r="P35" s="77">
        <f t="shared" si="269"/>
        <v>9883.4655083889629</v>
      </c>
      <c r="Q35" s="77">
        <f t="shared" si="269"/>
        <v>9824.076037209983</v>
      </c>
      <c r="R35" s="77">
        <f t="shared" si="269"/>
        <v>9889.774488878862</v>
      </c>
      <c r="S35" s="77">
        <f t="shared" si="269"/>
        <v>9990.1368172106522</v>
      </c>
      <c r="T35" s="77">
        <f t="shared" si="269"/>
        <v>10079.988813916681</v>
      </c>
      <c r="U35" s="77">
        <f t="shared" si="269"/>
        <v>9833.2453800331259</v>
      </c>
      <c r="V35" s="77">
        <f t="shared" si="269"/>
        <v>9383.4882869999892</v>
      </c>
      <c r="W35" s="77">
        <f t="shared" si="269"/>
        <v>9349.1004928864859</v>
      </c>
      <c r="X35" s="77">
        <f t="shared" si="269"/>
        <v>9228.5323011336277</v>
      </c>
      <c r="Y35" s="77">
        <f t="shared" si="269"/>
        <v>8532.2052165845671</v>
      </c>
      <c r="Z35" s="77">
        <f t="shared" si="269"/>
        <v>7488.206756903588</v>
      </c>
      <c r="AA35" s="77">
        <f t="shared" si="269"/>
        <v>6682.3734026331667</v>
      </c>
      <c r="AB35" s="77">
        <f t="shared" si="269"/>
        <v>6257.1716800296563</v>
      </c>
      <c r="AC35" s="89">
        <f t="shared" ref="AC35" si="270">+SUM(E35:AB35)*D35</f>
        <v>4451612.9032258056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" si="271">(($B35)/$D38)*E$7</f>
        <v>5844.2370108192135</v>
      </c>
      <c r="F36" s="79">
        <f t="shared" ref="F36" si="272">(($B35)/$D38)*F$7</f>
        <v>5731.2179871949056</v>
      </c>
      <c r="G36" s="79">
        <f t="shared" ref="G36" si="273">(($B35)/$D38)*G$7</f>
        <v>5580.5459933274351</v>
      </c>
      <c r="H36" s="79">
        <f t="shared" ref="H36" si="274">(($B35)/$D38)*H$7</f>
        <v>5512.0054545648445</v>
      </c>
      <c r="I36" s="79">
        <f t="shared" ref="I36" si="275">(($B35)/$D38)*I$7</f>
        <v>5528.3848966069954</v>
      </c>
      <c r="J36" s="79">
        <f t="shared" ref="J36" si="276">(($B35)/$D38)*J$7</f>
        <v>5951.5554240343818</v>
      </c>
      <c r="K36" s="79">
        <f t="shared" ref="K36" si="277">(($B35)/$D38)*K$7</f>
        <v>7046.9499490249627</v>
      </c>
      <c r="L36" s="79">
        <f t="shared" ref="L36" si="278">(($B35)/$D38)*L$7</f>
        <v>8224.5731671873637</v>
      </c>
      <c r="M36" s="79">
        <f t="shared" ref="M36" si="279">(($B35)/$D38)*M$7</f>
        <v>8851.1122842025252</v>
      </c>
      <c r="N36" s="79">
        <f t="shared" ref="N36" si="280">(($B35)/$D38)*N$7</f>
        <v>9232.5184871851834</v>
      </c>
      <c r="O36" s="79">
        <f t="shared" ref="O36" si="281">(($B35)/$D38)*O$7</f>
        <v>9623.5212598170165</v>
      </c>
      <c r="P36" s="79">
        <f t="shared" ref="P36" si="282">(($B35)/$D38)*P$7</f>
        <v>9883.4655083889629</v>
      </c>
      <c r="Q36" s="79">
        <f t="shared" ref="Q36" si="283">(($B35)/$D38)*Q$7</f>
        <v>9824.076037209983</v>
      </c>
      <c r="R36" s="79">
        <f t="shared" ref="R36" si="284">(($B35)/$D38)*R$7</f>
        <v>9889.774488878862</v>
      </c>
      <c r="S36" s="79">
        <f t="shared" ref="S36" si="285">(($B35)/$D38)*S$7</f>
        <v>9990.1368172106522</v>
      </c>
      <c r="T36" s="79">
        <f t="shared" ref="T36" si="286">(($B35)/$D38)*T$7</f>
        <v>10079.988813916681</v>
      </c>
      <c r="U36" s="79">
        <f t="shared" ref="U36" si="287">(($B35)/$D38)*U$7</f>
        <v>9833.2453800331259</v>
      </c>
      <c r="V36" s="79">
        <f t="shared" ref="V36" si="288">(($B35)/$D38)*V$7</f>
        <v>9383.4882869999892</v>
      </c>
      <c r="W36" s="79">
        <f t="shared" ref="W36" si="289">(($B35)/$D38)*W$7</f>
        <v>9349.1004928864859</v>
      </c>
      <c r="X36" s="79">
        <f t="shared" ref="X36" si="290">(($B35)/$D38)*X$7</f>
        <v>9228.5323011336277</v>
      </c>
      <c r="Y36" s="79">
        <f t="shared" ref="Y36" si="291">(($B35)/$D38)*Y$7</f>
        <v>8532.2052165845671</v>
      </c>
      <c r="Z36" s="79">
        <f t="shared" ref="Z36" si="292">(($B35)/$D38)*Z$7</f>
        <v>7488.206756903588</v>
      </c>
      <c r="AA36" s="79">
        <f t="shared" ref="AA36" si="293">(($B35)/$D38)*AA$7</f>
        <v>6682.3734026331667</v>
      </c>
      <c r="AB36" s="79">
        <f t="shared" ref="AB36" si="294">(($B35)/$D38)*AB$7</f>
        <v>6257.1716800296563</v>
      </c>
      <c r="AC36" s="90">
        <f t="shared" ref="AC36:AC37" si="295">+SUM(E36:AB36)*D36</f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" si="296">(($B35)/$D38)*E$7</f>
        <v>5844.2370108192135</v>
      </c>
      <c r="F37" s="82">
        <f t="shared" ref="F37" si="297">(($B35)/$D38)*F$7</f>
        <v>5731.2179871949056</v>
      </c>
      <c r="G37" s="82">
        <f t="shared" ref="G37" si="298">(($B35)/$D38)*G$7</f>
        <v>5580.5459933274351</v>
      </c>
      <c r="H37" s="82">
        <f t="shared" ref="H37" si="299">(($B35)/$D38)*H$7</f>
        <v>5512.0054545648445</v>
      </c>
      <c r="I37" s="82">
        <f t="shared" ref="I37" si="300">(($B35)/$D38)*I$7</f>
        <v>5528.3848966069954</v>
      </c>
      <c r="J37" s="82">
        <f t="shared" ref="J37" si="301">(($B35)/$D38)*J$7</f>
        <v>5951.5554240343818</v>
      </c>
      <c r="K37" s="82">
        <f t="shared" ref="K37" si="302">(($B35)/$D38)*K$7</f>
        <v>7046.9499490249627</v>
      </c>
      <c r="L37" s="82">
        <f t="shared" ref="L37" si="303">(($B35)/$D38)*L$7</f>
        <v>8224.5731671873637</v>
      </c>
      <c r="M37" s="82">
        <f t="shared" ref="M37" si="304">(($B35)/$D38)*M$7</f>
        <v>8851.1122842025252</v>
      </c>
      <c r="N37" s="82">
        <f t="shared" ref="N37" si="305">(($B35)/$D38)*N$7</f>
        <v>9232.5184871851834</v>
      </c>
      <c r="O37" s="82">
        <f t="shared" ref="O37" si="306">(($B35)/$D38)*O$7</f>
        <v>9623.5212598170165</v>
      </c>
      <c r="P37" s="82">
        <f t="shared" ref="P37" si="307">(($B35)/$D38)*P$7</f>
        <v>9883.4655083889629</v>
      </c>
      <c r="Q37" s="82">
        <f t="shared" ref="Q37" si="308">(($B35)/$D38)*Q$7</f>
        <v>9824.076037209983</v>
      </c>
      <c r="R37" s="82">
        <f t="shared" ref="R37" si="309">(($B35)/$D38)*R$7</f>
        <v>9889.774488878862</v>
      </c>
      <c r="S37" s="82">
        <f t="shared" ref="S37" si="310">(($B35)/$D38)*S$7</f>
        <v>9990.1368172106522</v>
      </c>
      <c r="T37" s="82">
        <f t="shared" ref="T37" si="311">(($B35)/$D38)*T$7</f>
        <v>10079.988813916681</v>
      </c>
      <c r="U37" s="82">
        <f t="shared" ref="U37" si="312">(($B35)/$D38)*U$7</f>
        <v>9833.2453800331259</v>
      </c>
      <c r="V37" s="82">
        <f t="shared" ref="V37" si="313">(($B35)/$D38)*V$7</f>
        <v>9383.4882869999892</v>
      </c>
      <c r="W37" s="82">
        <f t="shared" ref="W37" si="314">(($B35)/$D38)*W$7</f>
        <v>9349.1004928864859</v>
      </c>
      <c r="X37" s="82">
        <f t="shared" ref="X37" si="315">(($B35)/$D38)*X$7</f>
        <v>9228.5323011336277</v>
      </c>
      <c r="Y37" s="82">
        <f t="shared" ref="Y37" si="316">(($B35)/$D38)*Y$7</f>
        <v>8532.2052165845671</v>
      </c>
      <c r="Z37" s="82">
        <f t="shared" ref="Z37" si="317">(($B35)/$D38)*Z$7</f>
        <v>7488.206756903588</v>
      </c>
      <c r="AA37" s="82">
        <f t="shared" ref="AA37" si="318">(($B35)/$D38)*AA$7</f>
        <v>6682.3734026331667</v>
      </c>
      <c r="AB37" s="82">
        <f t="shared" ref="AB37" si="319">(($B35)/$D38)*AB$7</f>
        <v>6257.1716800296563</v>
      </c>
      <c r="AC37" s="91">
        <f t="shared" si="29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20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21">+SUM(AC35:AC37)</f>
        <v>5999999.9999999981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8-2026</v>
      </c>
      <c r="B39" s="139">
        <f>'AÑO 2026'!C23</f>
        <v>6000000</v>
      </c>
      <c r="C39" s="59" t="s">
        <v>40</v>
      </c>
      <c r="D39" s="60">
        <f>VLOOKUP(A39&amp;C39,calendario!I:L,4,0)</f>
        <v>21</v>
      </c>
      <c r="E39" s="77">
        <f t="shared" ref="E39:AB39" si="322">(($B39)/$D42)*E$7</f>
        <v>5844.2370108192135</v>
      </c>
      <c r="F39" s="77">
        <f t="shared" si="322"/>
        <v>5731.2179871949056</v>
      </c>
      <c r="G39" s="77">
        <f t="shared" si="322"/>
        <v>5580.5459933274351</v>
      </c>
      <c r="H39" s="77">
        <f t="shared" si="322"/>
        <v>5512.0054545648445</v>
      </c>
      <c r="I39" s="77">
        <f t="shared" si="322"/>
        <v>5528.3848966069954</v>
      </c>
      <c r="J39" s="77">
        <f t="shared" si="322"/>
        <v>5951.5554240343818</v>
      </c>
      <c r="K39" s="77">
        <f t="shared" si="322"/>
        <v>7046.9499490249627</v>
      </c>
      <c r="L39" s="77">
        <f t="shared" si="322"/>
        <v>8224.5731671873637</v>
      </c>
      <c r="M39" s="77">
        <f t="shared" si="322"/>
        <v>8851.1122842025252</v>
      </c>
      <c r="N39" s="77">
        <f t="shared" si="322"/>
        <v>9232.5184871851834</v>
      </c>
      <c r="O39" s="77">
        <f t="shared" si="322"/>
        <v>9623.5212598170165</v>
      </c>
      <c r="P39" s="77">
        <f t="shared" si="322"/>
        <v>9883.4655083889629</v>
      </c>
      <c r="Q39" s="77">
        <f t="shared" si="322"/>
        <v>9824.076037209983</v>
      </c>
      <c r="R39" s="77">
        <f t="shared" si="322"/>
        <v>9889.774488878862</v>
      </c>
      <c r="S39" s="77">
        <f t="shared" si="322"/>
        <v>9990.1368172106522</v>
      </c>
      <c r="T39" s="77">
        <f t="shared" si="322"/>
        <v>10079.988813916681</v>
      </c>
      <c r="U39" s="77">
        <f t="shared" si="322"/>
        <v>9833.2453800331259</v>
      </c>
      <c r="V39" s="77">
        <f t="shared" si="322"/>
        <v>9383.4882869999892</v>
      </c>
      <c r="W39" s="77">
        <f t="shared" si="322"/>
        <v>9349.1004928864859</v>
      </c>
      <c r="X39" s="77">
        <f t="shared" si="322"/>
        <v>9228.5323011336277</v>
      </c>
      <c r="Y39" s="77">
        <f t="shared" si="322"/>
        <v>8532.2052165845671</v>
      </c>
      <c r="Z39" s="77">
        <f t="shared" si="322"/>
        <v>7488.206756903588</v>
      </c>
      <c r="AA39" s="77">
        <f t="shared" si="322"/>
        <v>6682.3734026331667</v>
      </c>
      <c r="AB39" s="77">
        <f t="shared" si="322"/>
        <v>6257.1716800296563</v>
      </c>
      <c r="AC39" s="89">
        <f t="shared" ref="AC39" si="323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" si="324">(($B39)/$D42)*E$7</f>
        <v>5844.2370108192135</v>
      </c>
      <c r="F40" s="79">
        <f t="shared" ref="F40" si="325">(($B39)/$D42)*F$7</f>
        <v>5731.2179871949056</v>
      </c>
      <c r="G40" s="79">
        <f t="shared" ref="G40" si="326">(($B39)/$D42)*G$7</f>
        <v>5580.5459933274351</v>
      </c>
      <c r="H40" s="79">
        <f t="shared" ref="H40" si="327">(($B39)/$D42)*H$7</f>
        <v>5512.0054545648445</v>
      </c>
      <c r="I40" s="79">
        <f t="shared" ref="I40" si="328">(($B39)/$D42)*I$7</f>
        <v>5528.3848966069954</v>
      </c>
      <c r="J40" s="79">
        <f t="shared" ref="J40" si="329">(($B39)/$D42)*J$7</f>
        <v>5951.5554240343818</v>
      </c>
      <c r="K40" s="79">
        <f t="shared" ref="K40" si="330">(($B39)/$D42)*K$7</f>
        <v>7046.9499490249627</v>
      </c>
      <c r="L40" s="79">
        <f t="shared" ref="L40" si="331">(($B39)/$D42)*L$7</f>
        <v>8224.5731671873637</v>
      </c>
      <c r="M40" s="79">
        <f t="shared" ref="M40" si="332">(($B39)/$D42)*M$7</f>
        <v>8851.1122842025252</v>
      </c>
      <c r="N40" s="79">
        <f t="shared" ref="N40" si="333">(($B39)/$D42)*N$7</f>
        <v>9232.5184871851834</v>
      </c>
      <c r="O40" s="79">
        <f t="shared" ref="O40" si="334">(($B39)/$D42)*O$7</f>
        <v>9623.5212598170165</v>
      </c>
      <c r="P40" s="79">
        <f t="shared" ref="P40" si="335">(($B39)/$D42)*P$7</f>
        <v>9883.4655083889629</v>
      </c>
      <c r="Q40" s="79">
        <f t="shared" ref="Q40" si="336">(($B39)/$D42)*Q$7</f>
        <v>9824.076037209983</v>
      </c>
      <c r="R40" s="79">
        <f t="shared" ref="R40" si="337">(($B39)/$D42)*R$7</f>
        <v>9889.774488878862</v>
      </c>
      <c r="S40" s="79">
        <f t="shared" ref="S40" si="338">(($B39)/$D42)*S$7</f>
        <v>9990.1368172106522</v>
      </c>
      <c r="T40" s="79">
        <f t="shared" ref="T40" si="339">(($B39)/$D42)*T$7</f>
        <v>10079.988813916681</v>
      </c>
      <c r="U40" s="79">
        <f t="shared" ref="U40" si="340">(($B39)/$D42)*U$7</f>
        <v>9833.2453800331259</v>
      </c>
      <c r="V40" s="79">
        <f t="shared" ref="V40" si="341">(($B39)/$D42)*V$7</f>
        <v>9383.4882869999892</v>
      </c>
      <c r="W40" s="79">
        <f t="shared" ref="W40" si="342">(($B39)/$D42)*W$7</f>
        <v>9349.1004928864859</v>
      </c>
      <c r="X40" s="79">
        <f t="shared" ref="X40" si="343">(($B39)/$D42)*X$7</f>
        <v>9228.5323011336277</v>
      </c>
      <c r="Y40" s="79">
        <f t="shared" ref="Y40" si="344">(($B39)/$D42)*Y$7</f>
        <v>8532.2052165845671</v>
      </c>
      <c r="Z40" s="79">
        <f t="shared" ref="Z40" si="345">(($B39)/$D42)*Z$7</f>
        <v>7488.206756903588</v>
      </c>
      <c r="AA40" s="79">
        <f t="shared" ref="AA40" si="346">(($B39)/$D42)*AA$7</f>
        <v>6682.3734026331667</v>
      </c>
      <c r="AB40" s="79">
        <f t="shared" ref="AB40" si="347">(($B39)/$D42)*AB$7</f>
        <v>6257.1716800296563</v>
      </c>
      <c r="AC40" s="90">
        <f t="shared" ref="AC40:AC41" si="348">+SUM(E40:AB40)*D40</f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" si="349">(($B39)/$D42)*E$7</f>
        <v>5844.2370108192135</v>
      </c>
      <c r="F41" s="82">
        <f t="shared" ref="F41" si="350">(($B39)/$D42)*F$7</f>
        <v>5731.2179871949056</v>
      </c>
      <c r="G41" s="82">
        <f t="shared" ref="G41" si="351">(($B39)/$D42)*G$7</f>
        <v>5580.5459933274351</v>
      </c>
      <c r="H41" s="82">
        <f t="shared" ref="H41" si="352">(($B39)/$D42)*H$7</f>
        <v>5512.0054545648445</v>
      </c>
      <c r="I41" s="82">
        <f t="shared" ref="I41" si="353">(($B39)/$D42)*I$7</f>
        <v>5528.3848966069954</v>
      </c>
      <c r="J41" s="82">
        <f t="shared" ref="J41" si="354">(($B39)/$D42)*J$7</f>
        <v>5951.5554240343818</v>
      </c>
      <c r="K41" s="82">
        <f t="shared" ref="K41" si="355">(($B39)/$D42)*K$7</f>
        <v>7046.9499490249627</v>
      </c>
      <c r="L41" s="82">
        <f t="shared" ref="L41" si="356">(($B39)/$D42)*L$7</f>
        <v>8224.5731671873637</v>
      </c>
      <c r="M41" s="82">
        <f t="shared" ref="M41" si="357">(($B39)/$D42)*M$7</f>
        <v>8851.1122842025252</v>
      </c>
      <c r="N41" s="82">
        <f t="shared" ref="N41" si="358">(($B39)/$D42)*N$7</f>
        <v>9232.5184871851834</v>
      </c>
      <c r="O41" s="82">
        <f t="shared" ref="O41" si="359">(($B39)/$D42)*O$7</f>
        <v>9623.5212598170165</v>
      </c>
      <c r="P41" s="82">
        <f t="shared" ref="P41" si="360">(($B39)/$D42)*P$7</f>
        <v>9883.4655083889629</v>
      </c>
      <c r="Q41" s="82">
        <f t="shared" ref="Q41" si="361">(($B39)/$D42)*Q$7</f>
        <v>9824.076037209983</v>
      </c>
      <c r="R41" s="82">
        <f t="shared" ref="R41" si="362">(($B39)/$D42)*R$7</f>
        <v>9889.774488878862</v>
      </c>
      <c r="S41" s="82">
        <f t="shared" ref="S41" si="363">(($B39)/$D42)*S$7</f>
        <v>9990.1368172106522</v>
      </c>
      <c r="T41" s="82">
        <f t="shared" ref="T41" si="364">(($B39)/$D42)*T$7</f>
        <v>10079.988813916681</v>
      </c>
      <c r="U41" s="82">
        <f t="shared" ref="U41" si="365">(($B39)/$D42)*U$7</f>
        <v>9833.2453800331259</v>
      </c>
      <c r="V41" s="82">
        <f t="shared" ref="V41" si="366">(($B39)/$D42)*V$7</f>
        <v>9383.4882869999892</v>
      </c>
      <c r="W41" s="82">
        <f t="shared" ref="W41" si="367">(($B39)/$D42)*W$7</f>
        <v>9349.1004928864859</v>
      </c>
      <c r="X41" s="82">
        <f t="shared" ref="X41" si="368">(($B39)/$D42)*X$7</f>
        <v>9228.5323011336277</v>
      </c>
      <c r="Y41" s="82">
        <f t="shared" ref="Y41" si="369">(($B39)/$D42)*Y$7</f>
        <v>8532.2052165845671</v>
      </c>
      <c r="Z41" s="82">
        <f t="shared" ref="Z41" si="370">(($B39)/$D42)*Z$7</f>
        <v>7488.206756903588</v>
      </c>
      <c r="AA41" s="82">
        <f t="shared" ref="AA41" si="371">(($B39)/$D42)*AA$7</f>
        <v>6682.3734026331667</v>
      </c>
      <c r="AB41" s="82">
        <f t="shared" ref="AB41" si="372">(($B39)/$D42)*AB$7</f>
        <v>6257.1716800296563</v>
      </c>
      <c r="AC41" s="91">
        <f t="shared" si="348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373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374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9-2026</v>
      </c>
      <c r="B43" s="139">
        <f>'AÑO 2026'!C24</f>
        <v>6000000</v>
      </c>
      <c r="C43" s="59" t="s">
        <v>40</v>
      </c>
      <c r="D43" s="60">
        <f>VLOOKUP(A43&amp;C43,calendario!I:L,4,0)</f>
        <v>22</v>
      </c>
      <c r="E43" s="77">
        <f t="shared" ref="E43:AB43" si="375">(($B43)/$D46)*E$7</f>
        <v>6039.0449111798544</v>
      </c>
      <c r="F43" s="77">
        <f t="shared" si="375"/>
        <v>5922.25858676807</v>
      </c>
      <c r="G43" s="77">
        <f t="shared" si="375"/>
        <v>5766.5641931050168</v>
      </c>
      <c r="H43" s="77">
        <f t="shared" si="375"/>
        <v>5695.7389697170065</v>
      </c>
      <c r="I43" s="77">
        <f t="shared" si="375"/>
        <v>5712.6643931605622</v>
      </c>
      <c r="J43" s="77">
        <f t="shared" si="375"/>
        <v>6149.9406048355286</v>
      </c>
      <c r="K43" s="77">
        <f t="shared" si="375"/>
        <v>7281.8482806591282</v>
      </c>
      <c r="L43" s="77">
        <f t="shared" si="375"/>
        <v>8498.7256060936106</v>
      </c>
      <c r="M43" s="77">
        <f t="shared" si="375"/>
        <v>9146.1493603426097</v>
      </c>
      <c r="N43" s="77">
        <f t="shared" si="375"/>
        <v>9540.2691034246891</v>
      </c>
      <c r="O43" s="77">
        <f t="shared" si="375"/>
        <v>9944.3053018109167</v>
      </c>
      <c r="P43" s="77">
        <f t="shared" si="375"/>
        <v>10212.914358668595</v>
      </c>
      <c r="Q43" s="77">
        <f t="shared" si="375"/>
        <v>10151.545238450315</v>
      </c>
      <c r="R43" s="77">
        <f t="shared" si="375"/>
        <v>10219.433638508159</v>
      </c>
      <c r="S43" s="77">
        <f t="shared" si="375"/>
        <v>10323.141377784341</v>
      </c>
      <c r="T43" s="77">
        <f t="shared" si="375"/>
        <v>10415.988441047239</v>
      </c>
      <c r="U43" s="77">
        <f t="shared" si="375"/>
        <v>10161.02022603423</v>
      </c>
      <c r="V43" s="77">
        <f t="shared" si="375"/>
        <v>9696.2712298999904</v>
      </c>
      <c r="W43" s="77">
        <f t="shared" si="375"/>
        <v>9660.737175982702</v>
      </c>
      <c r="X43" s="77">
        <f t="shared" si="375"/>
        <v>9536.1500445047495</v>
      </c>
      <c r="Y43" s="77">
        <f t="shared" si="375"/>
        <v>8816.6120571373867</v>
      </c>
      <c r="Z43" s="77">
        <f t="shared" si="375"/>
        <v>7737.8136488003747</v>
      </c>
      <c r="AA43" s="77">
        <f t="shared" si="375"/>
        <v>6905.1191827209395</v>
      </c>
      <c r="AB43" s="77">
        <f t="shared" si="375"/>
        <v>6465.7440693639783</v>
      </c>
      <c r="AC43" s="89">
        <f t="shared" ref="AC43" si="376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" si="377">(($B43)/$D46)*E$7</f>
        <v>6039.0449111798544</v>
      </c>
      <c r="F44" s="79">
        <f t="shared" ref="F44" si="378">(($B43)/$D46)*F$7</f>
        <v>5922.25858676807</v>
      </c>
      <c r="G44" s="79">
        <f t="shared" ref="G44" si="379">(($B43)/$D46)*G$7</f>
        <v>5766.5641931050168</v>
      </c>
      <c r="H44" s="79">
        <f t="shared" ref="H44" si="380">(($B43)/$D46)*H$7</f>
        <v>5695.7389697170065</v>
      </c>
      <c r="I44" s="79">
        <f t="shared" ref="I44" si="381">(($B43)/$D46)*I$7</f>
        <v>5712.6643931605622</v>
      </c>
      <c r="J44" s="79">
        <f t="shared" ref="J44" si="382">(($B43)/$D46)*J$7</f>
        <v>6149.9406048355286</v>
      </c>
      <c r="K44" s="79">
        <f t="shared" ref="K44" si="383">(($B43)/$D46)*K$7</f>
        <v>7281.8482806591282</v>
      </c>
      <c r="L44" s="79">
        <f t="shared" ref="L44" si="384">(($B43)/$D46)*L$7</f>
        <v>8498.7256060936106</v>
      </c>
      <c r="M44" s="79">
        <f t="shared" ref="M44" si="385">(($B43)/$D46)*M$7</f>
        <v>9146.1493603426097</v>
      </c>
      <c r="N44" s="79">
        <f t="shared" ref="N44" si="386">(($B43)/$D46)*N$7</f>
        <v>9540.2691034246891</v>
      </c>
      <c r="O44" s="79">
        <f t="shared" ref="O44" si="387">(($B43)/$D46)*O$7</f>
        <v>9944.3053018109167</v>
      </c>
      <c r="P44" s="79">
        <f t="shared" ref="P44" si="388">(($B43)/$D46)*P$7</f>
        <v>10212.914358668595</v>
      </c>
      <c r="Q44" s="79">
        <f t="shared" ref="Q44" si="389">(($B43)/$D46)*Q$7</f>
        <v>10151.545238450315</v>
      </c>
      <c r="R44" s="79">
        <f t="shared" ref="R44" si="390">(($B43)/$D46)*R$7</f>
        <v>10219.433638508159</v>
      </c>
      <c r="S44" s="79">
        <f t="shared" ref="S44" si="391">(($B43)/$D46)*S$7</f>
        <v>10323.141377784341</v>
      </c>
      <c r="T44" s="79">
        <f t="shared" ref="T44" si="392">(($B43)/$D46)*T$7</f>
        <v>10415.988441047239</v>
      </c>
      <c r="U44" s="79">
        <f t="shared" ref="U44" si="393">(($B43)/$D46)*U$7</f>
        <v>10161.02022603423</v>
      </c>
      <c r="V44" s="79">
        <f t="shared" ref="V44" si="394">(($B43)/$D46)*V$7</f>
        <v>9696.2712298999904</v>
      </c>
      <c r="W44" s="79">
        <f t="shared" ref="W44" si="395">(($B43)/$D46)*W$7</f>
        <v>9660.737175982702</v>
      </c>
      <c r="X44" s="79">
        <f t="shared" ref="X44" si="396">(($B43)/$D46)*X$7</f>
        <v>9536.1500445047495</v>
      </c>
      <c r="Y44" s="79">
        <f t="shared" ref="Y44" si="397">(($B43)/$D46)*Y$7</f>
        <v>8816.6120571373867</v>
      </c>
      <c r="Z44" s="79">
        <f t="shared" ref="Z44" si="398">(($B43)/$D46)*Z$7</f>
        <v>7737.8136488003747</v>
      </c>
      <c r="AA44" s="79">
        <f t="shared" ref="AA44" si="399">(($B43)/$D46)*AA$7</f>
        <v>6905.1191827209395</v>
      </c>
      <c r="AB44" s="79">
        <f t="shared" ref="AB44" si="400">(($B43)/$D46)*AB$7</f>
        <v>6465.7440693639783</v>
      </c>
      <c r="AC44" s="90">
        <f t="shared" ref="AC44:AC45" si="401">+SUM(E44:AB44)*D44</f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" si="402">(($B43)/$D46)*E$7</f>
        <v>6039.0449111798544</v>
      </c>
      <c r="F45" s="82">
        <f t="shared" ref="F45" si="403">(($B43)/$D46)*F$7</f>
        <v>5922.25858676807</v>
      </c>
      <c r="G45" s="82">
        <f t="shared" ref="G45" si="404">(($B43)/$D46)*G$7</f>
        <v>5766.5641931050168</v>
      </c>
      <c r="H45" s="82">
        <f t="shared" ref="H45" si="405">(($B43)/$D46)*H$7</f>
        <v>5695.7389697170065</v>
      </c>
      <c r="I45" s="82">
        <f t="shared" ref="I45" si="406">(($B43)/$D46)*I$7</f>
        <v>5712.6643931605622</v>
      </c>
      <c r="J45" s="82">
        <f t="shared" ref="J45" si="407">(($B43)/$D46)*J$7</f>
        <v>6149.9406048355286</v>
      </c>
      <c r="K45" s="82">
        <f t="shared" ref="K45" si="408">(($B43)/$D46)*K$7</f>
        <v>7281.8482806591282</v>
      </c>
      <c r="L45" s="82">
        <f t="shared" ref="L45" si="409">(($B43)/$D46)*L$7</f>
        <v>8498.7256060936106</v>
      </c>
      <c r="M45" s="82">
        <f t="shared" ref="M45" si="410">(($B43)/$D46)*M$7</f>
        <v>9146.1493603426097</v>
      </c>
      <c r="N45" s="82">
        <f t="shared" ref="N45" si="411">(($B43)/$D46)*N$7</f>
        <v>9540.2691034246891</v>
      </c>
      <c r="O45" s="82">
        <f t="shared" ref="O45" si="412">(($B43)/$D46)*O$7</f>
        <v>9944.3053018109167</v>
      </c>
      <c r="P45" s="82">
        <f t="shared" ref="P45" si="413">(($B43)/$D46)*P$7</f>
        <v>10212.914358668595</v>
      </c>
      <c r="Q45" s="82">
        <f t="shared" ref="Q45" si="414">(($B43)/$D46)*Q$7</f>
        <v>10151.545238450315</v>
      </c>
      <c r="R45" s="82">
        <f t="shared" ref="R45" si="415">(($B43)/$D46)*R$7</f>
        <v>10219.433638508159</v>
      </c>
      <c r="S45" s="82">
        <f t="shared" ref="S45" si="416">(($B43)/$D46)*S$7</f>
        <v>10323.141377784341</v>
      </c>
      <c r="T45" s="82">
        <f t="shared" ref="T45" si="417">(($B43)/$D46)*T$7</f>
        <v>10415.988441047239</v>
      </c>
      <c r="U45" s="82">
        <f t="shared" ref="U45" si="418">(($B43)/$D46)*U$7</f>
        <v>10161.02022603423</v>
      </c>
      <c r="V45" s="82">
        <f t="shared" ref="V45" si="419">(($B43)/$D46)*V$7</f>
        <v>9696.2712298999904</v>
      </c>
      <c r="W45" s="82">
        <f t="shared" ref="W45" si="420">(($B43)/$D46)*W$7</f>
        <v>9660.737175982702</v>
      </c>
      <c r="X45" s="82">
        <f t="shared" ref="X45" si="421">(($B43)/$D46)*X$7</f>
        <v>9536.1500445047495</v>
      </c>
      <c r="Y45" s="82">
        <f t="shared" ref="Y45" si="422">(($B43)/$D46)*Y$7</f>
        <v>8816.6120571373867</v>
      </c>
      <c r="Z45" s="82">
        <f t="shared" ref="Z45" si="423">(($B43)/$D46)*Z$7</f>
        <v>7737.8136488003747</v>
      </c>
      <c r="AA45" s="82">
        <f t="shared" ref="AA45" si="424">(($B43)/$D46)*AA$7</f>
        <v>6905.1191827209395</v>
      </c>
      <c r="AB45" s="82">
        <f t="shared" ref="AB45" si="425">(($B43)/$D46)*AB$7</f>
        <v>6465.7440693639783</v>
      </c>
      <c r="AC45" s="91">
        <f t="shared" si="401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426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427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10-2026</v>
      </c>
      <c r="B47" s="139">
        <f>'AÑO 2026'!C25</f>
        <v>6000000</v>
      </c>
      <c r="C47" s="59" t="s">
        <v>40</v>
      </c>
      <c r="D47" s="60">
        <f>VLOOKUP(A47&amp;C47,calendario!I:L,4,0)</f>
        <v>22</v>
      </c>
      <c r="E47" s="77">
        <f t="shared" ref="E47:AB47" si="428">(($B47)/$D50)*E$7</f>
        <v>5844.2370108192135</v>
      </c>
      <c r="F47" s="77">
        <f t="shared" si="428"/>
        <v>5731.2179871949056</v>
      </c>
      <c r="G47" s="77">
        <f t="shared" si="428"/>
        <v>5580.5459933274351</v>
      </c>
      <c r="H47" s="77">
        <f t="shared" si="428"/>
        <v>5512.0054545648445</v>
      </c>
      <c r="I47" s="77">
        <f t="shared" si="428"/>
        <v>5528.3848966069954</v>
      </c>
      <c r="J47" s="77">
        <f t="shared" si="428"/>
        <v>5951.5554240343818</v>
      </c>
      <c r="K47" s="77">
        <f t="shared" si="428"/>
        <v>7046.9499490249627</v>
      </c>
      <c r="L47" s="77">
        <f t="shared" si="428"/>
        <v>8224.5731671873637</v>
      </c>
      <c r="M47" s="77">
        <f t="shared" si="428"/>
        <v>8851.1122842025252</v>
      </c>
      <c r="N47" s="77">
        <f t="shared" si="428"/>
        <v>9232.5184871851834</v>
      </c>
      <c r="O47" s="77">
        <f t="shared" si="428"/>
        <v>9623.5212598170165</v>
      </c>
      <c r="P47" s="77">
        <f t="shared" si="428"/>
        <v>9883.4655083889629</v>
      </c>
      <c r="Q47" s="77">
        <f t="shared" si="428"/>
        <v>9824.076037209983</v>
      </c>
      <c r="R47" s="77">
        <f t="shared" si="428"/>
        <v>9889.774488878862</v>
      </c>
      <c r="S47" s="77">
        <f t="shared" si="428"/>
        <v>9990.1368172106522</v>
      </c>
      <c r="T47" s="77">
        <f t="shared" si="428"/>
        <v>10079.988813916681</v>
      </c>
      <c r="U47" s="77">
        <f t="shared" si="428"/>
        <v>9833.2453800331259</v>
      </c>
      <c r="V47" s="77">
        <f t="shared" si="428"/>
        <v>9383.4882869999892</v>
      </c>
      <c r="W47" s="77">
        <f t="shared" si="428"/>
        <v>9349.1004928864859</v>
      </c>
      <c r="X47" s="77">
        <f t="shared" si="428"/>
        <v>9228.5323011336277</v>
      </c>
      <c r="Y47" s="77">
        <f t="shared" si="428"/>
        <v>8532.2052165845671</v>
      </c>
      <c r="Z47" s="77">
        <f t="shared" si="428"/>
        <v>7488.206756903588</v>
      </c>
      <c r="AA47" s="77">
        <f t="shared" si="428"/>
        <v>6682.3734026331667</v>
      </c>
      <c r="AB47" s="77">
        <f t="shared" si="428"/>
        <v>6257.1716800296563</v>
      </c>
      <c r="AC47" s="89">
        <f t="shared" ref="AC47" si="429">+SUM(E47:AB47)*D47</f>
        <v>4258064.5161290318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" si="430">(($B47)/$D50)*E$7</f>
        <v>5844.2370108192135</v>
      </c>
      <c r="F48" s="79">
        <f t="shared" ref="F48" si="431">(($B47)/$D50)*F$7</f>
        <v>5731.2179871949056</v>
      </c>
      <c r="G48" s="79">
        <f t="shared" ref="G48" si="432">(($B47)/$D50)*G$7</f>
        <v>5580.5459933274351</v>
      </c>
      <c r="H48" s="79">
        <f t="shared" ref="H48" si="433">(($B47)/$D50)*H$7</f>
        <v>5512.0054545648445</v>
      </c>
      <c r="I48" s="79">
        <f t="shared" ref="I48" si="434">(($B47)/$D50)*I$7</f>
        <v>5528.3848966069954</v>
      </c>
      <c r="J48" s="79">
        <f t="shared" ref="J48" si="435">(($B47)/$D50)*J$7</f>
        <v>5951.5554240343818</v>
      </c>
      <c r="K48" s="79">
        <f t="shared" ref="K48" si="436">(($B47)/$D50)*K$7</f>
        <v>7046.9499490249627</v>
      </c>
      <c r="L48" s="79">
        <f t="shared" ref="L48" si="437">(($B47)/$D50)*L$7</f>
        <v>8224.5731671873637</v>
      </c>
      <c r="M48" s="79">
        <f t="shared" ref="M48" si="438">(($B47)/$D50)*M$7</f>
        <v>8851.1122842025252</v>
      </c>
      <c r="N48" s="79">
        <f t="shared" ref="N48" si="439">(($B47)/$D50)*N$7</f>
        <v>9232.5184871851834</v>
      </c>
      <c r="O48" s="79">
        <f t="shared" ref="O48" si="440">(($B47)/$D50)*O$7</f>
        <v>9623.5212598170165</v>
      </c>
      <c r="P48" s="79">
        <f t="shared" ref="P48" si="441">(($B47)/$D50)*P$7</f>
        <v>9883.4655083889629</v>
      </c>
      <c r="Q48" s="79">
        <f t="shared" ref="Q48" si="442">(($B47)/$D50)*Q$7</f>
        <v>9824.076037209983</v>
      </c>
      <c r="R48" s="79">
        <f t="shared" ref="R48" si="443">(($B47)/$D50)*R$7</f>
        <v>9889.774488878862</v>
      </c>
      <c r="S48" s="79">
        <f t="shared" ref="S48" si="444">(($B47)/$D50)*S$7</f>
        <v>9990.1368172106522</v>
      </c>
      <c r="T48" s="79">
        <f t="shared" ref="T48" si="445">(($B47)/$D50)*T$7</f>
        <v>10079.988813916681</v>
      </c>
      <c r="U48" s="79">
        <f t="shared" ref="U48" si="446">(($B47)/$D50)*U$7</f>
        <v>9833.2453800331259</v>
      </c>
      <c r="V48" s="79">
        <f t="shared" ref="V48" si="447">(($B47)/$D50)*V$7</f>
        <v>9383.4882869999892</v>
      </c>
      <c r="W48" s="79">
        <f t="shared" ref="W48" si="448">(($B47)/$D50)*W$7</f>
        <v>9349.1004928864859</v>
      </c>
      <c r="X48" s="79">
        <f t="shared" ref="X48" si="449">(($B47)/$D50)*X$7</f>
        <v>9228.5323011336277</v>
      </c>
      <c r="Y48" s="79">
        <f t="shared" ref="Y48" si="450">(($B47)/$D50)*Y$7</f>
        <v>8532.2052165845671</v>
      </c>
      <c r="Z48" s="79">
        <f t="shared" ref="Z48" si="451">(($B47)/$D50)*Z$7</f>
        <v>7488.206756903588</v>
      </c>
      <c r="AA48" s="79">
        <f t="shared" ref="AA48" si="452">(($B47)/$D50)*AA$7</f>
        <v>6682.3734026331667</v>
      </c>
      <c r="AB48" s="79">
        <f t="shared" ref="AB48" si="453">(($B47)/$D50)*AB$7</f>
        <v>6257.1716800296563</v>
      </c>
      <c r="AC48" s="90">
        <f t="shared" ref="AC48:AC49" si="454">+SUM(E48:AB48)*D48</f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" si="455">(($B47)/$D50)*E$7</f>
        <v>5844.2370108192135</v>
      </c>
      <c r="F49" s="82">
        <f t="shared" ref="F49" si="456">(($B47)/$D50)*F$7</f>
        <v>5731.2179871949056</v>
      </c>
      <c r="G49" s="82">
        <f t="shared" ref="G49" si="457">(($B47)/$D50)*G$7</f>
        <v>5580.5459933274351</v>
      </c>
      <c r="H49" s="82">
        <f t="shared" ref="H49" si="458">(($B47)/$D50)*H$7</f>
        <v>5512.0054545648445</v>
      </c>
      <c r="I49" s="82">
        <f t="shared" ref="I49" si="459">(($B47)/$D50)*I$7</f>
        <v>5528.3848966069954</v>
      </c>
      <c r="J49" s="82">
        <f t="shared" ref="J49" si="460">(($B47)/$D50)*J$7</f>
        <v>5951.5554240343818</v>
      </c>
      <c r="K49" s="82">
        <f t="shared" ref="K49" si="461">(($B47)/$D50)*K$7</f>
        <v>7046.9499490249627</v>
      </c>
      <c r="L49" s="82">
        <f t="shared" ref="L49" si="462">(($B47)/$D50)*L$7</f>
        <v>8224.5731671873637</v>
      </c>
      <c r="M49" s="82">
        <f t="shared" ref="M49" si="463">(($B47)/$D50)*M$7</f>
        <v>8851.1122842025252</v>
      </c>
      <c r="N49" s="82">
        <f t="shared" ref="N49" si="464">(($B47)/$D50)*N$7</f>
        <v>9232.5184871851834</v>
      </c>
      <c r="O49" s="82">
        <f t="shared" ref="O49" si="465">(($B47)/$D50)*O$7</f>
        <v>9623.5212598170165</v>
      </c>
      <c r="P49" s="82">
        <f t="shared" ref="P49" si="466">(($B47)/$D50)*P$7</f>
        <v>9883.4655083889629</v>
      </c>
      <c r="Q49" s="82">
        <f t="shared" ref="Q49" si="467">(($B47)/$D50)*Q$7</f>
        <v>9824.076037209983</v>
      </c>
      <c r="R49" s="82">
        <f t="shared" ref="R49" si="468">(($B47)/$D50)*R$7</f>
        <v>9889.774488878862</v>
      </c>
      <c r="S49" s="82">
        <f t="shared" ref="S49" si="469">(($B47)/$D50)*S$7</f>
        <v>9990.1368172106522</v>
      </c>
      <c r="T49" s="82">
        <f t="shared" ref="T49" si="470">(($B47)/$D50)*T$7</f>
        <v>10079.988813916681</v>
      </c>
      <c r="U49" s="82">
        <f t="shared" ref="U49" si="471">(($B47)/$D50)*U$7</f>
        <v>9833.2453800331259</v>
      </c>
      <c r="V49" s="82">
        <f t="shared" ref="V49" si="472">(($B47)/$D50)*V$7</f>
        <v>9383.4882869999892</v>
      </c>
      <c r="W49" s="82">
        <f t="shared" ref="W49" si="473">(($B47)/$D50)*W$7</f>
        <v>9349.1004928864859</v>
      </c>
      <c r="X49" s="82">
        <f t="shared" ref="X49" si="474">(($B47)/$D50)*X$7</f>
        <v>9228.5323011336277</v>
      </c>
      <c r="Y49" s="82">
        <f t="shared" ref="Y49" si="475">(($B47)/$D50)*Y$7</f>
        <v>8532.2052165845671</v>
      </c>
      <c r="Z49" s="82">
        <f t="shared" ref="Z49" si="476">(($B47)/$D50)*Z$7</f>
        <v>7488.206756903588</v>
      </c>
      <c r="AA49" s="82">
        <f t="shared" ref="AA49" si="477">(($B47)/$D50)*AA$7</f>
        <v>6682.3734026331667</v>
      </c>
      <c r="AB49" s="82">
        <f t="shared" ref="AB49" si="478">(($B47)/$D50)*AB$7</f>
        <v>6257.1716800296563</v>
      </c>
      <c r="AC49" s="91">
        <f t="shared" si="454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479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480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11-2026</v>
      </c>
      <c r="B51" s="139">
        <f>'AÑO 2026'!C26</f>
        <v>6000000</v>
      </c>
      <c r="C51" s="59" t="s">
        <v>40</v>
      </c>
      <c r="D51" s="60">
        <f>VLOOKUP(A51&amp;C51,calendario!I:L,4,0)</f>
        <v>21</v>
      </c>
      <c r="E51" s="77">
        <f t="shared" ref="E51:AB51" si="481">(($B51)/$D54)*E$7</f>
        <v>6039.0449111798544</v>
      </c>
      <c r="F51" s="77">
        <f t="shared" si="481"/>
        <v>5922.25858676807</v>
      </c>
      <c r="G51" s="77">
        <f t="shared" si="481"/>
        <v>5766.5641931050168</v>
      </c>
      <c r="H51" s="77">
        <f t="shared" si="481"/>
        <v>5695.7389697170065</v>
      </c>
      <c r="I51" s="77">
        <f t="shared" si="481"/>
        <v>5712.6643931605622</v>
      </c>
      <c r="J51" s="77">
        <f t="shared" si="481"/>
        <v>6149.9406048355286</v>
      </c>
      <c r="K51" s="77">
        <f t="shared" si="481"/>
        <v>7281.8482806591282</v>
      </c>
      <c r="L51" s="77">
        <f t="shared" si="481"/>
        <v>8498.7256060936106</v>
      </c>
      <c r="M51" s="77">
        <f t="shared" si="481"/>
        <v>9146.1493603426097</v>
      </c>
      <c r="N51" s="77">
        <f t="shared" si="481"/>
        <v>9540.2691034246891</v>
      </c>
      <c r="O51" s="77">
        <f t="shared" si="481"/>
        <v>9944.3053018109167</v>
      </c>
      <c r="P51" s="77">
        <f t="shared" si="481"/>
        <v>10212.914358668595</v>
      </c>
      <c r="Q51" s="77">
        <f t="shared" si="481"/>
        <v>10151.545238450315</v>
      </c>
      <c r="R51" s="77">
        <f t="shared" si="481"/>
        <v>10219.433638508159</v>
      </c>
      <c r="S51" s="77">
        <f t="shared" si="481"/>
        <v>10323.141377784341</v>
      </c>
      <c r="T51" s="77">
        <f t="shared" si="481"/>
        <v>10415.988441047239</v>
      </c>
      <c r="U51" s="77">
        <f t="shared" si="481"/>
        <v>10161.02022603423</v>
      </c>
      <c r="V51" s="77">
        <f t="shared" si="481"/>
        <v>9696.2712298999904</v>
      </c>
      <c r="W51" s="77">
        <f t="shared" si="481"/>
        <v>9660.737175982702</v>
      </c>
      <c r="X51" s="77">
        <f t="shared" si="481"/>
        <v>9536.1500445047495</v>
      </c>
      <c r="Y51" s="77">
        <f t="shared" si="481"/>
        <v>8816.6120571373867</v>
      </c>
      <c r="Z51" s="77">
        <f t="shared" si="481"/>
        <v>7737.8136488003747</v>
      </c>
      <c r="AA51" s="77">
        <f t="shared" si="481"/>
        <v>6905.1191827209395</v>
      </c>
      <c r="AB51" s="77">
        <f t="shared" si="481"/>
        <v>6465.7440693639783</v>
      </c>
      <c r="AC51" s="89">
        <f t="shared" ref="AC51" si="482">+SUM(E51:AB51)*D51</f>
        <v>4199999.9999999991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" si="483">(($B51)/$D54)*E$7</f>
        <v>6039.0449111798544</v>
      </c>
      <c r="F52" s="79">
        <f t="shared" ref="F52" si="484">(($B51)/$D54)*F$7</f>
        <v>5922.25858676807</v>
      </c>
      <c r="G52" s="79">
        <f t="shared" ref="G52" si="485">(($B51)/$D54)*G$7</f>
        <v>5766.5641931050168</v>
      </c>
      <c r="H52" s="79">
        <f t="shared" ref="H52" si="486">(($B51)/$D54)*H$7</f>
        <v>5695.7389697170065</v>
      </c>
      <c r="I52" s="79">
        <f t="shared" ref="I52" si="487">(($B51)/$D54)*I$7</f>
        <v>5712.6643931605622</v>
      </c>
      <c r="J52" s="79">
        <f t="shared" ref="J52" si="488">(($B51)/$D54)*J$7</f>
        <v>6149.9406048355286</v>
      </c>
      <c r="K52" s="79">
        <f t="shared" ref="K52" si="489">(($B51)/$D54)*K$7</f>
        <v>7281.8482806591282</v>
      </c>
      <c r="L52" s="79">
        <f t="shared" ref="L52" si="490">(($B51)/$D54)*L$7</f>
        <v>8498.7256060936106</v>
      </c>
      <c r="M52" s="79">
        <f t="shared" ref="M52" si="491">(($B51)/$D54)*M$7</f>
        <v>9146.1493603426097</v>
      </c>
      <c r="N52" s="79">
        <f t="shared" ref="N52" si="492">(($B51)/$D54)*N$7</f>
        <v>9540.2691034246891</v>
      </c>
      <c r="O52" s="79">
        <f t="shared" ref="O52" si="493">(($B51)/$D54)*O$7</f>
        <v>9944.3053018109167</v>
      </c>
      <c r="P52" s="79">
        <f t="shared" ref="P52" si="494">(($B51)/$D54)*P$7</f>
        <v>10212.914358668595</v>
      </c>
      <c r="Q52" s="79">
        <f t="shared" ref="Q52" si="495">(($B51)/$D54)*Q$7</f>
        <v>10151.545238450315</v>
      </c>
      <c r="R52" s="79">
        <f t="shared" ref="R52" si="496">(($B51)/$D54)*R$7</f>
        <v>10219.433638508159</v>
      </c>
      <c r="S52" s="79">
        <f t="shared" ref="S52" si="497">(($B51)/$D54)*S$7</f>
        <v>10323.141377784341</v>
      </c>
      <c r="T52" s="79">
        <f t="shared" ref="T52" si="498">(($B51)/$D54)*T$7</f>
        <v>10415.988441047239</v>
      </c>
      <c r="U52" s="79">
        <f t="shared" ref="U52" si="499">(($B51)/$D54)*U$7</f>
        <v>10161.02022603423</v>
      </c>
      <c r="V52" s="79">
        <f t="shared" ref="V52" si="500">(($B51)/$D54)*V$7</f>
        <v>9696.2712298999904</v>
      </c>
      <c r="W52" s="79">
        <f t="shared" ref="W52" si="501">(($B51)/$D54)*W$7</f>
        <v>9660.737175982702</v>
      </c>
      <c r="X52" s="79">
        <f t="shared" ref="X52" si="502">(($B51)/$D54)*X$7</f>
        <v>9536.1500445047495</v>
      </c>
      <c r="Y52" s="79">
        <f t="shared" ref="Y52" si="503">(($B51)/$D54)*Y$7</f>
        <v>8816.6120571373867</v>
      </c>
      <c r="Z52" s="79">
        <f t="shared" ref="Z52" si="504">(($B51)/$D54)*Z$7</f>
        <v>7737.8136488003747</v>
      </c>
      <c r="AA52" s="79">
        <f t="shared" ref="AA52" si="505">(($B51)/$D54)*AA$7</f>
        <v>6905.1191827209395</v>
      </c>
      <c r="AB52" s="79">
        <f t="shared" ref="AB52" si="506">(($B51)/$D54)*AB$7</f>
        <v>6465.7440693639783</v>
      </c>
      <c r="AC52" s="90">
        <f t="shared" ref="AC52:AC53" si="507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 t="shared" ref="E53" si="508">(($B51)/$D54)*E$7</f>
        <v>6039.0449111798544</v>
      </c>
      <c r="F53" s="82">
        <f t="shared" ref="F53" si="509">(($B51)/$D54)*F$7</f>
        <v>5922.25858676807</v>
      </c>
      <c r="G53" s="82">
        <f t="shared" ref="G53" si="510">(($B51)/$D54)*G$7</f>
        <v>5766.5641931050168</v>
      </c>
      <c r="H53" s="82">
        <f t="shared" ref="H53" si="511">(($B51)/$D54)*H$7</f>
        <v>5695.7389697170065</v>
      </c>
      <c r="I53" s="82">
        <f t="shared" ref="I53" si="512">(($B51)/$D54)*I$7</f>
        <v>5712.6643931605622</v>
      </c>
      <c r="J53" s="82">
        <f t="shared" ref="J53" si="513">(($B51)/$D54)*J$7</f>
        <v>6149.9406048355286</v>
      </c>
      <c r="K53" s="82">
        <f t="shared" ref="K53" si="514">(($B51)/$D54)*K$7</f>
        <v>7281.8482806591282</v>
      </c>
      <c r="L53" s="82">
        <f t="shared" ref="L53" si="515">(($B51)/$D54)*L$7</f>
        <v>8498.7256060936106</v>
      </c>
      <c r="M53" s="82">
        <f t="shared" ref="M53" si="516">(($B51)/$D54)*M$7</f>
        <v>9146.1493603426097</v>
      </c>
      <c r="N53" s="82">
        <f t="shared" ref="N53" si="517">(($B51)/$D54)*N$7</f>
        <v>9540.2691034246891</v>
      </c>
      <c r="O53" s="82">
        <f t="shared" ref="O53" si="518">(($B51)/$D54)*O$7</f>
        <v>9944.3053018109167</v>
      </c>
      <c r="P53" s="82">
        <f t="shared" ref="P53" si="519">(($B51)/$D54)*P$7</f>
        <v>10212.914358668595</v>
      </c>
      <c r="Q53" s="82">
        <f t="shared" ref="Q53" si="520">(($B51)/$D54)*Q$7</f>
        <v>10151.545238450315</v>
      </c>
      <c r="R53" s="82">
        <f t="shared" ref="R53" si="521">(($B51)/$D54)*R$7</f>
        <v>10219.433638508159</v>
      </c>
      <c r="S53" s="82">
        <f t="shared" ref="S53" si="522">(($B51)/$D54)*S$7</f>
        <v>10323.141377784341</v>
      </c>
      <c r="T53" s="82">
        <f t="shared" ref="T53" si="523">(($B51)/$D54)*T$7</f>
        <v>10415.988441047239</v>
      </c>
      <c r="U53" s="82">
        <f t="shared" ref="U53" si="524">(($B51)/$D54)*U$7</f>
        <v>10161.02022603423</v>
      </c>
      <c r="V53" s="82">
        <f t="shared" ref="V53" si="525">(($B51)/$D54)*V$7</f>
        <v>9696.2712298999904</v>
      </c>
      <c r="W53" s="82">
        <f t="shared" ref="W53" si="526">(($B51)/$D54)*W$7</f>
        <v>9660.737175982702</v>
      </c>
      <c r="X53" s="82">
        <f t="shared" ref="X53" si="527">(($B51)/$D54)*X$7</f>
        <v>9536.1500445047495</v>
      </c>
      <c r="Y53" s="82">
        <f t="shared" ref="Y53" si="528">(($B51)/$D54)*Y$7</f>
        <v>8816.6120571373867</v>
      </c>
      <c r="Z53" s="82">
        <f t="shared" ref="Z53" si="529">(($B51)/$D54)*Z$7</f>
        <v>7737.8136488003747</v>
      </c>
      <c r="AA53" s="82">
        <f t="shared" ref="AA53" si="530">(($B51)/$D54)*AA$7</f>
        <v>6905.1191827209395</v>
      </c>
      <c r="AB53" s="82">
        <f t="shared" ref="AB53" si="531">(($B51)/$D54)*AB$7</f>
        <v>6465.7440693639783</v>
      </c>
      <c r="AC53" s="91">
        <f t="shared" si="507"/>
        <v>999999.99999999988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53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53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12-2026</v>
      </c>
      <c r="B55" s="141">
        <f>'AÑO 2026'!C27</f>
        <v>6000000</v>
      </c>
      <c r="C55" s="59" t="s">
        <v>40</v>
      </c>
      <c r="D55" s="60">
        <f>VLOOKUP(A55&amp;C55,calendario!I:L,4,0)</f>
        <v>23</v>
      </c>
      <c r="E55" s="77">
        <f t="shared" ref="E55:AB55" si="534">(($B55)/$D58)*E$7</f>
        <v>5844.2370108192135</v>
      </c>
      <c r="F55" s="77">
        <f t="shared" si="534"/>
        <v>5731.2179871949056</v>
      </c>
      <c r="G55" s="77">
        <f t="shared" si="534"/>
        <v>5580.5459933274351</v>
      </c>
      <c r="H55" s="77">
        <f t="shared" si="534"/>
        <v>5512.0054545648445</v>
      </c>
      <c r="I55" s="77">
        <f t="shared" si="534"/>
        <v>5528.3848966069954</v>
      </c>
      <c r="J55" s="77">
        <f t="shared" si="534"/>
        <v>5951.5554240343818</v>
      </c>
      <c r="K55" s="77">
        <f t="shared" si="534"/>
        <v>7046.9499490249627</v>
      </c>
      <c r="L55" s="77">
        <f t="shared" si="534"/>
        <v>8224.5731671873637</v>
      </c>
      <c r="M55" s="77">
        <f t="shared" si="534"/>
        <v>8851.1122842025252</v>
      </c>
      <c r="N55" s="77">
        <f t="shared" si="534"/>
        <v>9232.5184871851834</v>
      </c>
      <c r="O55" s="77">
        <f t="shared" si="534"/>
        <v>9623.5212598170165</v>
      </c>
      <c r="P55" s="77">
        <f t="shared" si="534"/>
        <v>9883.4655083889629</v>
      </c>
      <c r="Q55" s="77">
        <f t="shared" si="534"/>
        <v>9824.076037209983</v>
      </c>
      <c r="R55" s="77">
        <f t="shared" si="534"/>
        <v>9889.774488878862</v>
      </c>
      <c r="S55" s="77">
        <f t="shared" si="534"/>
        <v>9990.1368172106522</v>
      </c>
      <c r="T55" s="77">
        <f t="shared" si="534"/>
        <v>10079.988813916681</v>
      </c>
      <c r="U55" s="77">
        <f t="shared" si="534"/>
        <v>9833.2453800331259</v>
      </c>
      <c r="V55" s="77">
        <f t="shared" si="534"/>
        <v>9383.4882869999892</v>
      </c>
      <c r="W55" s="77">
        <f t="shared" si="534"/>
        <v>9349.1004928864859</v>
      </c>
      <c r="X55" s="77">
        <f t="shared" si="534"/>
        <v>9228.5323011336277</v>
      </c>
      <c r="Y55" s="77">
        <f t="shared" si="534"/>
        <v>8532.2052165845671</v>
      </c>
      <c r="Z55" s="77">
        <f t="shared" si="534"/>
        <v>7488.206756903588</v>
      </c>
      <c r="AA55" s="77">
        <f t="shared" si="534"/>
        <v>6682.3734026331667</v>
      </c>
      <c r="AB55" s="77">
        <f t="shared" si="534"/>
        <v>6257.1716800296563</v>
      </c>
      <c r="AC55" s="89">
        <f t="shared" ref="AC55" si="53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" si="536">(($B55)/$D58)*E$7</f>
        <v>5844.2370108192135</v>
      </c>
      <c r="F56" s="79">
        <f t="shared" ref="F56" si="537">(($B55)/$D58)*F$7</f>
        <v>5731.2179871949056</v>
      </c>
      <c r="G56" s="79">
        <f t="shared" ref="G56" si="538">(($B55)/$D58)*G$7</f>
        <v>5580.5459933274351</v>
      </c>
      <c r="H56" s="79">
        <f t="shared" ref="H56" si="539">(($B55)/$D58)*H$7</f>
        <v>5512.0054545648445</v>
      </c>
      <c r="I56" s="79">
        <f t="shared" ref="I56" si="540">(($B55)/$D58)*I$7</f>
        <v>5528.3848966069954</v>
      </c>
      <c r="J56" s="79">
        <f t="shared" ref="J56" si="541">(($B55)/$D58)*J$7</f>
        <v>5951.5554240343818</v>
      </c>
      <c r="K56" s="79">
        <f t="shared" ref="K56" si="542">(($B55)/$D58)*K$7</f>
        <v>7046.9499490249627</v>
      </c>
      <c r="L56" s="79">
        <f t="shared" ref="L56" si="543">(($B55)/$D58)*L$7</f>
        <v>8224.5731671873637</v>
      </c>
      <c r="M56" s="79">
        <f t="shared" ref="M56" si="544">(($B55)/$D58)*M$7</f>
        <v>8851.1122842025252</v>
      </c>
      <c r="N56" s="79">
        <f t="shared" ref="N56" si="545">(($B55)/$D58)*N$7</f>
        <v>9232.5184871851834</v>
      </c>
      <c r="O56" s="79">
        <f t="shared" ref="O56" si="546">(($B55)/$D58)*O$7</f>
        <v>9623.5212598170165</v>
      </c>
      <c r="P56" s="79">
        <f t="shared" ref="P56" si="547">(($B55)/$D58)*P$7</f>
        <v>9883.4655083889629</v>
      </c>
      <c r="Q56" s="79">
        <f t="shared" ref="Q56" si="548">(($B55)/$D58)*Q$7</f>
        <v>9824.076037209983</v>
      </c>
      <c r="R56" s="79">
        <f t="shared" ref="R56" si="549">(($B55)/$D58)*R$7</f>
        <v>9889.774488878862</v>
      </c>
      <c r="S56" s="79">
        <f t="shared" ref="S56" si="550">(($B55)/$D58)*S$7</f>
        <v>9990.1368172106522</v>
      </c>
      <c r="T56" s="79">
        <f t="shared" ref="T56" si="551">(($B55)/$D58)*T$7</f>
        <v>10079.988813916681</v>
      </c>
      <c r="U56" s="79">
        <f t="shared" ref="U56" si="552">(($B55)/$D58)*U$7</f>
        <v>9833.2453800331259</v>
      </c>
      <c r="V56" s="79">
        <f t="shared" ref="V56" si="553">(($B55)/$D58)*V$7</f>
        <v>9383.4882869999892</v>
      </c>
      <c r="W56" s="79">
        <f t="shared" ref="W56" si="554">(($B55)/$D58)*W$7</f>
        <v>9349.1004928864859</v>
      </c>
      <c r="X56" s="79">
        <f t="shared" ref="X56" si="555">(($B55)/$D58)*X$7</f>
        <v>9228.5323011336277</v>
      </c>
      <c r="Y56" s="79">
        <f t="shared" ref="Y56" si="556">(($B55)/$D58)*Y$7</f>
        <v>8532.2052165845671</v>
      </c>
      <c r="Z56" s="79">
        <f t="shared" ref="Z56" si="557">(($B55)/$D58)*Z$7</f>
        <v>7488.206756903588</v>
      </c>
      <c r="AA56" s="79">
        <f t="shared" ref="AA56" si="558">(($B55)/$D58)*AA$7</f>
        <v>6682.3734026331667</v>
      </c>
      <c r="AB56" s="79">
        <f t="shared" ref="AB56" si="559">(($B55)/$D58)*AB$7</f>
        <v>6257.1716800296563</v>
      </c>
      <c r="AC56" s="90">
        <f t="shared" ref="AC56:AC57" si="560">+SUM(E56:AB56)*D56</f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" si="561">(($B55)/$D58)*E$7</f>
        <v>5844.2370108192135</v>
      </c>
      <c r="F57" s="82">
        <f t="shared" ref="F57" si="562">(($B55)/$D58)*F$7</f>
        <v>5731.2179871949056</v>
      </c>
      <c r="G57" s="82">
        <f t="shared" ref="G57" si="563">(($B55)/$D58)*G$7</f>
        <v>5580.5459933274351</v>
      </c>
      <c r="H57" s="82">
        <f t="shared" ref="H57" si="564">(($B55)/$D58)*H$7</f>
        <v>5512.0054545648445</v>
      </c>
      <c r="I57" s="82">
        <f t="shared" ref="I57" si="565">(($B55)/$D58)*I$7</f>
        <v>5528.3848966069954</v>
      </c>
      <c r="J57" s="82">
        <f t="shared" ref="J57" si="566">(($B55)/$D58)*J$7</f>
        <v>5951.5554240343818</v>
      </c>
      <c r="K57" s="82">
        <f t="shared" ref="K57" si="567">(($B55)/$D58)*K$7</f>
        <v>7046.9499490249627</v>
      </c>
      <c r="L57" s="82">
        <f t="shared" ref="L57" si="568">(($B55)/$D58)*L$7</f>
        <v>8224.5731671873637</v>
      </c>
      <c r="M57" s="82">
        <f t="shared" ref="M57" si="569">(($B55)/$D58)*M$7</f>
        <v>8851.1122842025252</v>
      </c>
      <c r="N57" s="82">
        <f t="shared" ref="N57" si="570">(($B55)/$D58)*N$7</f>
        <v>9232.5184871851834</v>
      </c>
      <c r="O57" s="82">
        <f t="shared" ref="O57" si="571">(($B55)/$D58)*O$7</f>
        <v>9623.5212598170165</v>
      </c>
      <c r="P57" s="82">
        <f t="shared" ref="P57" si="572">(($B55)/$D58)*P$7</f>
        <v>9883.4655083889629</v>
      </c>
      <c r="Q57" s="82">
        <f t="shared" ref="Q57" si="573">(($B55)/$D58)*Q$7</f>
        <v>9824.076037209983</v>
      </c>
      <c r="R57" s="82">
        <f t="shared" ref="R57" si="574">(($B55)/$D58)*R$7</f>
        <v>9889.774488878862</v>
      </c>
      <c r="S57" s="82">
        <f t="shared" ref="S57" si="575">(($B55)/$D58)*S$7</f>
        <v>9990.1368172106522</v>
      </c>
      <c r="T57" s="82">
        <f t="shared" ref="T57" si="576">(($B55)/$D58)*T$7</f>
        <v>10079.988813916681</v>
      </c>
      <c r="U57" s="82">
        <f t="shared" ref="U57" si="577">(($B55)/$D58)*U$7</f>
        <v>9833.2453800331259</v>
      </c>
      <c r="V57" s="82">
        <f t="shared" ref="V57" si="578">(($B55)/$D58)*V$7</f>
        <v>9383.4882869999892</v>
      </c>
      <c r="W57" s="82">
        <f t="shared" ref="W57" si="579">(($B55)/$D58)*W$7</f>
        <v>9349.1004928864859</v>
      </c>
      <c r="X57" s="82">
        <f t="shared" ref="X57" si="580">(($B55)/$D58)*X$7</f>
        <v>9228.5323011336277</v>
      </c>
      <c r="Y57" s="82">
        <f t="shared" ref="Y57" si="581">(($B55)/$D58)*Y$7</f>
        <v>8532.2052165845671</v>
      </c>
      <c r="Z57" s="82">
        <f t="shared" ref="Z57" si="582">(($B55)/$D58)*Z$7</f>
        <v>7488.206756903588</v>
      </c>
      <c r="AA57" s="82">
        <f t="shared" ref="AA57" si="583">(($B55)/$D58)*AA$7</f>
        <v>6682.3734026331667</v>
      </c>
      <c r="AB57" s="82">
        <f t="shared" ref="AB57" si="584">(($B55)/$D58)*AB$7</f>
        <v>6257.1716800296563</v>
      </c>
      <c r="AC57" s="91">
        <f t="shared" si="560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585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586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8280-426D-4CDA-AE90-37DBEBC7610B}">
  <sheetPr>
    <tabColor theme="3" tint="0.59999389629810485"/>
    <pageSetUpPr fitToPage="1"/>
  </sheetPr>
  <dimension ref="A1:H48"/>
  <sheetViews>
    <sheetView showGridLines="0" topLeftCell="A11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33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2FF-2D99-43F5-8966-5F0259ED78A7}">
  <sheetPr>
    <tabColor theme="3" tint="0.59999389629810485"/>
    <pageSetUpPr fitToPage="1"/>
  </sheetPr>
  <dimension ref="A1:AG62"/>
  <sheetViews>
    <sheetView showGridLines="0" tabSelected="1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2027'!C8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2027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2027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1-2027</v>
      </c>
      <c r="B11" s="139">
        <f>'AÑO 2027'!C16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4064516.129032257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967741.93548387079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2-2027</v>
      </c>
      <c r="B15" s="139">
        <f>'AÑO 2027'!C17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ref="AC16:AC17" si="7">+SUM(E16:AB16)*D16</f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8">(($B15)/$D18)*E$7</f>
        <v>6470.4052619784152</v>
      </c>
      <c r="F17" s="82">
        <f t="shared" si="8"/>
        <v>6345.2770572515037</v>
      </c>
      <c r="G17" s="82">
        <f t="shared" si="8"/>
        <v>6178.4616354696609</v>
      </c>
      <c r="H17" s="82">
        <f t="shared" si="8"/>
        <v>6102.5774675539351</v>
      </c>
      <c r="I17" s="82">
        <f t="shared" si="8"/>
        <v>6120.7118498148884</v>
      </c>
      <c r="J17" s="82">
        <f t="shared" si="8"/>
        <v>6589.2220766094952</v>
      </c>
      <c r="K17" s="82">
        <f t="shared" si="8"/>
        <v>7801.9803007062092</v>
      </c>
      <c r="L17" s="82">
        <f t="shared" si="8"/>
        <v>9105.7774351002972</v>
      </c>
      <c r="M17" s="82">
        <f t="shared" si="8"/>
        <v>9799.4457432242234</v>
      </c>
      <c r="N17" s="82">
        <f t="shared" si="8"/>
        <v>10221.716896526454</v>
      </c>
      <c r="O17" s="82">
        <f t="shared" si="8"/>
        <v>10654.61282336884</v>
      </c>
      <c r="P17" s="82">
        <f t="shared" si="8"/>
        <v>10942.408241430638</v>
      </c>
      <c r="Q17" s="82">
        <f t="shared" si="8"/>
        <v>10876.655612625338</v>
      </c>
      <c r="R17" s="82">
        <f t="shared" si="8"/>
        <v>10949.393184115885</v>
      </c>
      <c r="S17" s="82">
        <f t="shared" si="8"/>
        <v>11060.508619054652</v>
      </c>
      <c r="T17" s="82">
        <f t="shared" si="8"/>
        <v>11159.987615407756</v>
      </c>
      <c r="U17" s="82">
        <f t="shared" si="8"/>
        <v>10886.807385036675</v>
      </c>
      <c r="V17" s="82">
        <f t="shared" si="8"/>
        <v>10388.862032035704</v>
      </c>
      <c r="W17" s="82">
        <f t="shared" si="8"/>
        <v>10350.789831410038</v>
      </c>
      <c r="X17" s="82">
        <f t="shared" si="8"/>
        <v>10217.30361911223</v>
      </c>
      <c r="Y17" s="82">
        <f t="shared" si="8"/>
        <v>9446.3700612186294</v>
      </c>
      <c r="Z17" s="82">
        <f t="shared" si="8"/>
        <v>8290.5146237146873</v>
      </c>
      <c r="AA17" s="82">
        <f t="shared" si="8"/>
        <v>7398.3419814867211</v>
      </c>
      <c r="AB17" s="82">
        <f t="shared" si="8"/>
        <v>6927.5829314614057</v>
      </c>
      <c r="AC17" s="91">
        <f t="shared" si="7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3-2027</v>
      </c>
      <c r="B19" s="141">
        <f>'AÑO 2027'!C18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1">(($B19)/$D22)*E$7</f>
        <v>5844.2370108192135</v>
      </c>
      <c r="F19" s="77">
        <f t="shared" si="11"/>
        <v>5731.2179871949056</v>
      </c>
      <c r="G19" s="77">
        <f t="shared" si="11"/>
        <v>5580.5459933274351</v>
      </c>
      <c r="H19" s="77">
        <f t="shared" si="11"/>
        <v>5512.0054545648445</v>
      </c>
      <c r="I19" s="77">
        <f t="shared" si="11"/>
        <v>5528.3848966069954</v>
      </c>
      <c r="J19" s="77">
        <f t="shared" si="11"/>
        <v>5951.5554240343818</v>
      </c>
      <c r="K19" s="77">
        <f t="shared" si="11"/>
        <v>7046.9499490249627</v>
      </c>
      <c r="L19" s="77">
        <f t="shared" si="11"/>
        <v>8224.5731671873637</v>
      </c>
      <c r="M19" s="77">
        <f t="shared" si="11"/>
        <v>8851.1122842025252</v>
      </c>
      <c r="N19" s="77">
        <f t="shared" si="11"/>
        <v>9232.5184871851834</v>
      </c>
      <c r="O19" s="77">
        <f t="shared" si="11"/>
        <v>9623.5212598170165</v>
      </c>
      <c r="P19" s="77">
        <f t="shared" si="11"/>
        <v>9883.4655083889629</v>
      </c>
      <c r="Q19" s="77">
        <f t="shared" si="11"/>
        <v>9824.076037209983</v>
      </c>
      <c r="R19" s="77">
        <f t="shared" si="11"/>
        <v>9889.774488878862</v>
      </c>
      <c r="S19" s="77">
        <f t="shared" si="11"/>
        <v>9990.1368172106522</v>
      </c>
      <c r="T19" s="77">
        <f t="shared" si="11"/>
        <v>10079.988813916681</v>
      </c>
      <c r="U19" s="77">
        <f t="shared" si="11"/>
        <v>9833.2453800331259</v>
      </c>
      <c r="V19" s="77">
        <f t="shared" si="11"/>
        <v>9383.4882869999892</v>
      </c>
      <c r="W19" s="77">
        <f t="shared" si="11"/>
        <v>9349.1004928864859</v>
      </c>
      <c r="X19" s="77">
        <f t="shared" si="11"/>
        <v>9228.5323011336277</v>
      </c>
      <c r="Y19" s="77">
        <f t="shared" si="11"/>
        <v>8532.2052165845671</v>
      </c>
      <c r="Z19" s="77">
        <f t="shared" si="11"/>
        <v>7488.206756903588</v>
      </c>
      <c r="AA19" s="77">
        <f t="shared" si="11"/>
        <v>6682.3734026331667</v>
      </c>
      <c r="AB19" s="77">
        <f t="shared" si="11"/>
        <v>6257.1716800296563</v>
      </c>
      <c r="AC19" s="89">
        <f t="shared" ref="AC19" si="12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3">(($B19)/$D22)*E$7</f>
        <v>5844.2370108192135</v>
      </c>
      <c r="F20" s="79">
        <f t="shared" si="13"/>
        <v>5731.2179871949056</v>
      </c>
      <c r="G20" s="79">
        <f t="shared" si="13"/>
        <v>5580.5459933274351</v>
      </c>
      <c r="H20" s="79">
        <f t="shared" si="13"/>
        <v>5512.0054545648445</v>
      </c>
      <c r="I20" s="79">
        <f t="shared" si="13"/>
        <v>5528.3848966069954</v>
      </c>
      <c r="J20" s="79">
        <f t="shared" si="13"/>
        <v>5951.5554240343818</v>
      </c>
      <c r="K20" s="79">
        <f t="shared" si="13"/>
        <v>7046.9499490249627</v>
      </c>
      <c r="L20" s="79">
        <f t="shared" si="13"/>
        <v>8224.5731671873637</v>
      </c>
      <c r="M20" s="79">
        <f t="shared" si="13"/>
        <v>8851.1122842025252</v>
      </c>
      <c r="N20" s="79">
        <f t="shared" si="13"/>
        <v>9232.5184871851834</v>
      </c>
      <c r="O20" s="79">
        <f t="shared" si="13"/>
        <v>9623.5212598170165</v>
      </c>
      <c r="P20" s="79">
        <f t="shared" si="13"/>
        <v>9883.4655083889629</v>
      </c>
      <c r="Q20" s="79">
        <f t="shared" si="13"/>
        <v>9824.076037209983</v>
      </c>
      <c r="R20" s="79">
        <f t="shared" si="13"/>
        <v>9889.774488878862</v>
      </c>
      <c r="S20" s="79">
        <f t="shared" si="13"/>
        <v>9990.1368172106522</v>
      </c>
      <c r="T20" s="79">
        <f t="shared" si="13"/>
        <v>10079.988813916681</v>
      </c>
      <c r="U20" s="79">
        <f t="shared" si="13"/>
        <v>9833.2453800331259</v>
      </c>
      <c r="V20" s="79">
        <f t="shared" si="13"/>
        <v>9383.4882869999892</v>
      </c>
      <c r="W20" s="79">
        <f t="shared" si="13"/>
        <v>9349.1004928864859</v>
      </c>
      <c r="X20" s="79">
        <f t="shared" si="13"/>
        <v>9228.5323011336277</v>
      </c>
      <c r="Y20" s="79">
        <f t="shared" si="13"/>
        <v>8532.2052165845671</v>
      </c>
      <c r="Z20" s="79">
        <f t="shared" si="13"/>
        <v>7488.206756903588</v>
      </c>
      <c r="AA20" s="79">
        <f t="shared" si="13"/>
        <v>6682.3734026331667</v>
      </c>
      <c r="AB20" s="79">
        <f t="shared" si="13"/>
        <v>6257.1716800296563</v>
      </c>
      <c r="AC20" s="90">
        <f t="shared" ref="AC20:AC21" si="14">+SUM(E20:AB20)*D20</f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5">(($B19)/$D22)*E$7</f>
        <v>5844.2370108192135</v>
      </c>
      <c r="F21" s="82">
        <f t="shared" si="15"/>
        <v>5731.2179871949056</v>
      </c>
      <c r="G21" s="82">
        <f t="shared" si="15"/>
        <v>5580.5459933274351</v>
      </c>
      <c r="H21" s="82">
        <f t="shared" si="15"/>
        <v>5512.0054545648445</v>
      </c>
      <c r="I21" s="82">
        <f t="shared" si="15"/>
        <v>5528.3848966069954</v>
      </c>
      <c r="J21" s="82">
        <f t="shared" si="15"/>
        <v>5951.5554240343818</v>
      </c>
      <c r="K21" s="82">
        <f t="shared" si="15"/>
        <v>7046.9499490249627</v>
      </c>
      <c r="L21" s="82">
        <f t="shared" si="15"/>
        <v>8224.5731671873637</v>
      </c>
      <c r="M21" s="82">
        <f t="shared" si="15"/>
        <v>8851.1122842025252</v>
      </c>
      <c r="N21" s="82">
        <f t="shared" si="15"/>
        <v>9232.5184871851834</v>
      </c>
      <c r="O21" s="82">
        <f t="shared" si="15"/>
        <v>9623.5212598170165</v>
      </c>
      <c r="P21" s="82">
        <f t="shared" si="15"/>
        <v>9883.4655083889629</v>
      </c>
      <c r="Q21" s="82">
        <f t="shared" si="15"/>
        <v>9824.076037209983</v>
      </c>
      <c r="R21" s="82">
        <f t="shared" si="15"/>
        <v>9889.774488878862</v>
      </c>
      <c r="S21" s="82">
        <f t="shared" si="15"/>
        <v>9990.1368172106522</v>
      </c>
      <c r="T21" s="82">
        <f t="shared" si="15"/>
        <v>10079.988813916681</v>
      </c>
      <c r="U21" s="82">
        <f t="shared" si="15"/>
        <v>9833.2453800331259</v>
      </c>
      <c r="V21" s="82">
        <f t="shared" si="15"/>
        <v>9383.4882869999892</v>
      </c>
      <c r="W21" s="82">
        <f t="shared" si="15"/>
        <v>9349.1004928864859</v>
      </c>
      <c r="X21" s="82">
        <f t="shared" si="15"/>
        <v>9228.5323011336277</v>
      </c>
      <c r="Y21" s="82">
        <f t="shared" si="15"/>
        <v>8532.2052165845671</v>
      </c>
      <c r="Z21" s="82">
        <f t="shared" si="15"/>
        <v>7488.206756903588</v>
      </c>
      <c r="AA21" s="82">
        <f t="shared" si="15"/>
        <v>6682.3734026331667</v>
      </c>
      <c r="AB21" s="82">
        <f t="shared" si="15"/>
        <v>6257.1716800296563</v>
      </c>
      <c r="AC21" s="91">
        <f t="shared" si="14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4-2027</v>
      </c>
      <c r="B23" s="139">
        <f>'AÑO 2027'!C19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8">(($B23)/$D26)*E$7</f>
        <v>6039.0449111798544</v>
      </c>
      <c r="F23" s="77">
        <f t="shared" si="18"/>
        <v>5922.25858676807</v>
      </c>
      <c r="G23" s="77">
        <f t="shared" si="18"/>
        <v>5766.5641931050168</v>
      </c>
      <c r="H23" s="77">
        <f t="shared" si="18"/>
        <v>5695.7389697170065</v>
      </c>
      <c r="I23" s="77">
        <f t="shared" si="18"/>
        <v>5712.6643931605622</v>
      </c>
      <c r="J23" s="77">
        <f t="shared" si="18"/>
        <v>6149.9406048355286</v>
      </c>
      <c r="K23" s="77">
        <f t="shared" si="18"/>
        <v>7281.8482806591282</v>
      </c>
      <c r="L23" s="77">
        <f t="shared" si="18"/>
        <v>8498.7256060936106</v>
      </c>
      <c r="M23" s="77">
        <f t="shared" si="18"/>
        <v>9146.1493603426097</v>
      </c>
      <c r="N23" s="77">
        <f t="shared" si="18"/>
        <v>9540.2691034246891</v>
      </c>
      <c r="O23" s="77">
        <f t="shared" si="18"/>
        <v>9944.3053018109167</v>
      </c>
      <c r="P23" s="77">
        <f t="shared" si="18"/>
        <v>10212.914358668595</v>
      </c>
      <c r="Q23" s="77">
        <f t="shared" si="18"/>
        <v>10151.545238450315</v>
      </c>
      <c r="R23" s="77">
        <f t="shared" si="18"/>
        <v>10219.433638508159</v>
      </c>
      <c r="S23" s="77">
        <f t="shared" si="18"/>
        <v>10323.141377784341</v>
      </c>
      <c r="T23" s="77">
        <f t="shared" si="18"/>
        <v>10415.988441047239</v>
      </c>
      <c r="U23" s="77">
        <f t="shared" si="18"/>
        <v>10161.02022603423</v>
      </c>
      <c r="V23" s="77">
        <f t="shared" si="18"/>
        <v>9696.2712298999904</v>
      </c>
      <c r="W23" s="77">
        <f t="shared" si="18"/>
        <v>9660.737175982702</v>
      </c>
      <c r="X23" s="77">
        <f t="shared" si="18"/>
        <v>9536.1500445047495</v>
      </c>
      <c r="Y23" s="77">
        <f t="shared" si="18"/>
        <v>8816.6120571373867</v>
      </c>
      <c r="Z23" s="77">
        <f t="shared" si="18"/>
        <v>7737.8136488003747</v>
      </c>
      <c r="AA23" s="77">
        <f t="shared" si="18"/>
        <v>6905.1191827209395</v>
      </c>
      <c r="AB23" s="77">
        <f t="shared" si="18"/>
        <v>6465.7440693639783</v>
      </c>
      <c r="AC23" s="89">
        <f t="shared" ref="AC23" si="19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20">(($B23)/$D26)*E$7</f>
        <v>6039.0449111798544</v>
      </c>
      <c r="F24" s="79">
        <f t="shared" si="20"/>
        <v>5922.25858676807</v>
      </c>
      <c r="G24" s="79">
        <f t="shared" si="20"/>
        <v>5766.5641931050168</v>
      </c>
      <c r="H24" s="79">
        <f t="shared" si="20"/>
        <v>5695.7389697170065</v>
      </c>
      <c r="I24" s="79">
        <f t="shared" si="20"/>
        <v>5712.6643931605622</v>
      </c>
      <c r="J24" s="79">
        <f t="shared" si="20"/>
        <v>6149.9406048355286</v>
      </c>
      <c r="K24" s="79">
        <f t="shared" si="20"/>
        <v>7281.8482806591282</v>
      </c>
      <c r="L24" s="79">
        <f t="shared" si="20"/>
        <v>8498.7256060936106</v>
      </c>
      <c r="M24" s="79">
        <f t="shared" si="20"/>
        <v>9146.1493603426097</v>
      </c>
      <c r="N24" s="79">
        <f t="shared" si="20"/>
        <v>9540.2691034246891</v>
      </c>
      <c r="O24" s="79">
        <f t="shared" si="20"/>
        <v>9944.3053018109167</v>
      </c>
      <c r="P24" s="79">
        <f t="shared" si="20"/>
        <v>10212.914358668595</v>
      </c>
      <c r="Q24" s="79">
        <f t="shared" si="20"/>
        <v>10151.545238450315</v>
      </c>
      <c r="R24" s="79">
        <f t="shared" si="20"/>
        <v>10219.433638508159</v>
      </c>
      <c r="S24" s="79">
        <f t="shared" si="20"/>
        <v>10323.141377784341</v>
      </c>
      <c r="T24" s="79">
        <f t="shared" si="20"/>
        <v>10415.988441047239</v>
      </c>
      <c r="U24" s="79">
        <f t="shared" si="20"/>
        <v>10161.02022603423</v>
      </c>
      <c r="V24" s="79">
        <f t="shared" si="20"/>
        <v>9696.2712298999904</v>
      </c>
      <c r="W24" s="79">
        <f t="shared" si="20"/>
        <v>9660.737175982702</v>
      </c>
      <c r="X24" s="79">
        <f t="shared" si="20"/>
        <v>9536.1500445047495</v>
      </c>
      <c r="Y24" s="79">
        <f t="shared" si="20"/>
        <v>8816.6120571373867</v>
      </c>
      <c r="Z24" s="79">
        <f t="shared" si="20"/>
        <v>7737.8136488003747</v>
      </c>
      <c r="AA24" s="79">
        <f t="shared" si="20"/>
        <v>6905.1191827209395</v>
      </c>
      <c r="AB24" s="79">
        <f t="shared" si="20"/>
        <v>6465.7440693639783</v>
      </c>
      <c r="AC24" s="90">
        <f t="shared" ref="AC24:AC25" si="21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22">(($B23)/$D26)*E$7</f>
        <v>6039.0449111798544</v>
      </c>
      <c r="F25" s="82">
        <f t="shared" si="22"/>
        <v>5922.25858676807</v>
      </c>
      <c r="G25" s="82">
        <f t="shared" si="22"/>
        <v>5766.5641931050168</v>
      </c>
      <c r="H25" s="82">
        <f t="shared" si="22"/>
        <v>5695.7389697170065</v>
      </c>
      <c r="I25" s="82">
        <f t="shared" si="22"/>
        <v>5712.6643931605622</v>
      </c>
      <c r="J25" s="82">
        <f t="shared" si="22"/>
        <v>6149.9406048355286</v>
      </c>
      <c r="K25" s="82">
        <f t="shared" si="22"/>
        <v>7281.8482806591282</v>
      </c>
      <c r="L25" s="82">
        <f t="shared" si="22"/>
        <v>8498.7256060936106</v>
      </c>
      <c r="M25" s="82">
        <f t="shared" si="22"/>
        <v>9146.1493603426097</v>
      </c>
      <c r="N25" s="82">
        <f t="shared" si="22"/>
        <v>9540.2691034246891</v>
      </c>
      <c r="O25" s="82">
        <f t="shared" si="22"/>
        <v>9944.3053018109167</v>
      </c>
      <c r="P25" s="82">
        <f t="shared" si="22"/>
        <v>10212.914358668595</v>
      </c>
      <c r="Q25" s="82">
        <f t="shared" si="22"/>
        <v>10151.545238450315</v>
      </c>
      <c r="R25" s="82">
        <f t="shared" si="22"/>
        <v>10219.433638508159</v>
      </c>
      <c r="S25" s="82">
        <f t="shared" si="22"/>
        <v>10323.141377784341</v>
      </c>
      <c r="T25" s="82">
        <f t="shared" si="22"/>
        <v>10415.988441047239</v>
      </c>
      <c r="U25" s="82">
        <f t="shared" si="22"/>
        <v>10161.02022603423</v>
      </c>
      <c r="V25" s="82">
        <f t="shared" si="22"/>
        <v>9696.2712298999904</v>
      </c>
      <c r="W25" s="82">
        <f t="shared" si="22"/>
        <v>9660.737175982702</v>
      </c>
      <c r="X25" s="82">
        <f t="shared" si="22"/>
        <v>9536.1500445047495</v>
      </c>
      <c r="Y25" s="82">
        <f t="shared" si="22"/>
        <v>8816.6120571373867</v>
      </c>
      <c r="Z25" s="82">
        <f t="shared" si="22"/>
        <v>7737.8136488003747</v>
      </c>
      <c r="AA25" s="82">
        <f t="shared" si="22"/>
        <v>6905.1191827209395</v>
      </c>
      <c r="AB25" s="82">
        <f t="shared" si="22"/>
        <v>6465.7440693639783</v>
      </c>
      <c r="AC25" s="91">
        <f t="shared" si="21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5-2027</v>
      </c>
      <c r="B27" s="139">
        <f>'AÑO 2027'!C20</f>
        <v>6000000</v>
      </c>
      <c r="C27" s="59" t="s">
        <v>40</v>
      </c>
      <c r="D27" s="60">
        <f>VLOOKUP(A27&amp;C27,calendario!I:L,4,0)</f>
        <v>21</v>
      </c>
      <c r="E27" s="77">
        <f t="shared" ref="E27:AB27" si="25">(($B27)/$D30)*E$7</f>
        <v>5844.2370108192135</v>
      </c>
      <c r="F27" s="77">
        <f t="shared" si="25"/>
        <v>5731.2179871949056</v>
      </c>
      <c r="G27" s="77">
        <f t="shared" si="25"/>
        <v>5580.5459933274351</v>
      </c>
      <c r="H27" s="77">
        <f t="shared" si="25"/>
        <v>5512.0054545648445</v>
      </c>
      <c r="I27" s="77">
        <f t="shared" si="25"/>
        <v>5528.3848966069954</v>
      </c>
      <c r="J27" s="77">
        <f t="shared" si="25"/>
        <v>5951.5554240343818</v>
      </c>
      <c r="K27" s="77">
        <f t="shared" si="25"/>
        <v>7046.9499490249627</v>
      </c>
      <c r="L27" s="77">
        <f t="shared" si="25"/>
        <v>8224.5731671873637</v>
      </c>
      <c r="M27" s="77">
        <f t="shared" si="25"/>
        <v>8851.1122842025252</v>
      </c>
      <c r="N27" s="77">
        <f t="shared" si="25"/>
        <v>9232.5184871851834</v>
      </c>
      <c r="O27" s="77">
        <f t="shared" si="25"/>
        <v>9623.5212598170165</v>
      </c>
      <c r="P27" s="77">
        <f t="shared" si="25"/>
        <v>9883.4655083889629</v>
      </c>
      <c r="Q27" s="77">
        <f t="shared" si="25"/>
        <v>9824.076037209983</v>
      </c>
      <c r="R27" s="77">
        <f t="shared" si="25"/>
        <v>9889.774488878862</v>
      </c>
      <c r="S27" s="77">
        <f t="shared" si="25"/>
        <v>9990.1368172106522</v>
      </c>
      <c r="T27" s="77">
        <f t="shared" si="25"/>
        <v>10079.988813916681</v>
      </c>
      <c r="U27" s="77">
        <f t="shared" si="25"/>
        <v>9833.2453800331259</v>
      </c>
      <c r="V27" s="77">
        <f t="shared" si="25"/>
        <v>9383.4882869999892</v>
      </c>
      <c r="W27" s="77">
        <f t="shared" si="25"/>
        <v>9349.1004928864859</v>
      </c>
      <c r="X27" s="77">
        <f t="shared" si="25"/>
        <v>9228.5323011336277</v>
      </c>
      <c r="Y27" s="77">
        <f t="shared" si="25"/>
        <v>8532.2052165845671</v>
      </c>
      <c r="Z27" s="77">
        <f t="shared" si="25"/>
        <v>7488.206756903588</v>
      </c>
      <c r="AA27" s="77">
        <f t="shared" si="25"/>
        <v>6682.3734026331667</v>
      </c>
      <c r="AB27" s="77">
        <f t="shared" si="25"/>
        <v>6257.1716800296563</v>
      </c>
      <c r="AC27" s="89">
        <f t="shared" ref="AC27" si="26">+SUM(E27:AB27)*D27</f>
        <v>4064516.129032257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7">(($B27)/$D30)*E$7</f>
        <v>5844.2370108192135</v>
      </c>
      <c r="F28" s="79">
        <f t="shared" si="27"/>
        <v>5731.2179871949056</v>
      </c>
      <c r="G28" s="79">
        <f t="shared" si="27"/>
        <v>5580.5459933274351</v>
      </c>
      <c r="H28" s="79">
        <f t="shared" si="27"/>
        <v>5512.0054545648445</v>
      </c>
      <c r="I28" s="79">
        <f t="shared" si="27"/>
        <v>5528.3848966069954</v>
      </c>
      <c r="J28" s="79">
        <f t="shared" si="27"/>
        <v>5951.5554240343818</v>
      </c>
      <c r="K28" s="79">
        <f t="shared" si="27"/>
        <v>7046.9499490249627</v>
      </c>
      <c r="L28" s="79">
        <f t="shared" si="27"/>
        <v>8224.5731671873637</v>
      </c>
      <c r="M28" s="79">
        <f t="shared" si="27"/>
        <v>8851.1122842025252</v>
      </c>
      <c r="N28" s="79">
        <f t="shared" si="27"/>
        <v>9232.5184871851834</v>
      </c>
      <c r="O28" s="79">
        <f t="shared" si="27"/>
        <v>9623.5212598170165</v>
      </c>
      <c r="P28" s="79">
        <f t="shared" si="27"/>
        <v>9883.4655083889629</v>
      </c>
      <c r="Q28" s="79">
        <f t="shared" si="27"/>
        <v>9824.076037209983</v>
      </c>
      <c r="R28" s="79">
        <f t="shared" si="27"/>
        <v>9889.774488878862</v>
      </c>
      <c r="S28" s="79">
        <f t="shared" si="27"/>
        <v>9990.1368172106522</v>
      </c>
      <c r="T28" s="79">
        <f t="shared" si="27"/>
        <v>10079.988813916681</v>
      </c>
      <c r="U28" s="79">
        <f t="shared" si="27"/>
        <v>9833.2453800331259</v>
      </c>
      <c r="V28" s="79">
        <f t="shared" si="27"/>
        <v>9383.4882869999892</v>
      </c>
      <c r="W28" s="79">
        <f t="shared" si="27"/>
        <v>9349.1004928864859</v>
      </c>
      <c r="X28" s="79">
        <f t="shared" si="27"/>
        <v>9228.5323011336277</v>
      </c>
      <c r="Y28" s="79">
        <f t="shared" si="27"/>
        <v>8532.2052165845671</v>
      </c>
      <c r="Z28" s="79">
        <f t="shared" si="27"/>
        <v>7488.206756903588</v>
      </c>
      <c r="AA28" s="79">
        <f t="shared" si="27"/>
        <v>6682.3734026331667</v>
      </c>
      <c r="AB28" s="79">
        <f t="shared" si="27"/>
        <v>6257.1716800296563</v>
      </c>
      <c r="AC28" s="90">
        <f t="shared" ref="AC28:AC29" si="28">+SUM(E28:AB28)*D28</f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:AB29" si="29">(($B27)/$D30)*E$7</f>
        <v>5844.2370108192135</v>
      </c>
      <c r="F29" s="82">
        <f t="shared" si="29"/>
        <v>5731.2179871949056</v>
      </c>
      <c r="G29" s="82">
        <f t="shared" si="29"/>
        <v>5580.5459933274351</v>
      </c>
      <c r="H29" s="82">
        <f t="shared" si="29"/>
        <v>5512.0054545648445</v>
      </c>
      <c r="I29" s="82">
        <f t="shared" si="29"/>
        <v>5528.3848966069954</v>
      </c>
      <c r="J29" s="82">
        <f t="shared" si="29"/>
        <v>5951.5554240343818</v>
      </c>
      <c r="K29" s="82">
        <f t="shared" si="29"/>
        <v>7046.9499490249627</v>
      </c>
      <c r="L29" s="82">
        <f t="shared" si="29"/>
        <v>8224.5731671873637</v>
      </c>
      <c r="M29" s="82">
        <f t="shared" si="29"/>
        <v>8851.1122842025252</v>
      </c>
      <c r="N29" s="82">
        <f t="shared" si="29"/>
        <v>9232.5184871851834</v>
      </c>
      <c r="O29" s="82">
        <f t="shared" si="29"/>
        <v>9623.5212598170165</v>
      </c>
      <c r="P29" s="82">
        <f t="shared" si="29"/>
        <v>9883.4655083889629</v>
      </c>
      <c r="Q29" s="82">
        <f t="shared" si="29"/>
        <v>9824.076037209983</v>
      </c>
      <c r="R29" s="82">
        <f t="shared" si="29"/>
        <v>9889.774488878862</v>
      </c>
      <c r="S29" s="82">
        <f t="shared" si="29"/>
        <v>9990.1368172106522</v>
      </c>
      <c r="T29" s="82">
        <f t="shared" si="29"/>
        <v>10079.988813916681</v>
      </c>
      <c r="U29" s="82">
        <f t="shared" si="29"/>
        <v>9833.2453800331259</v>
      </c>
      <c r="V29" s="82">
        <f t="shared" si="29"/>
        <v>9383.4882869999892</v>
      </c>
      <c r="W29" s="82">
        <f t="shared" si="29"/>
        <v>9349.1004928864859</v>
      </c>
      <c r="X29" s="82">
        <f t="shared" si="29"/>
        <v>9228.5323011336277</v>
      </c>
      <c r="Y29" s="82">
        <f t="shared" si="29"/>
        <v>8532.2052165845671</v>
      </c>
      <c r="Z29" s="82">
        <f t="shared" si="29"/>
        <v>7488.206756903588</v>
      </c>
      <c r="AA29" s="82">
        <f t="shared" si="29"/>
        <v>6682.3734026331667</v>
      </c>
      <c r="AB29" s="82">
        <f t="shared" si="29"/>
        <v>6257.1716800296563</v>
      </c>
      <c r="AC29" s="91">
        <f t="shared" si="28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6-2027</v>
      </c>
      <c r="B31" s="139">
        <f>'AÑO 2027'!C21</f>
        <v>6000000</v>
      </c>
      <c r="C31" s="59" t="s">
        <v>40</v>
      </c>
      <c r="D31" s="60">
        <f>VLOOKUP(A31&amp;C31,calendario!I:L,4,0)</f>
        <v>22</v>
      </c>
      <c r="E31" s="77">
        <f t="shared" ref="E31:AB31" si="32">(($B31)/$D34)*E$7</f>
        <v>6039.0449111798544</v>
      </c>
      <c r="F31" s="77">
        <f t="shared" si="32"/>
        <v>5922.25858676807</v>
      </c>
      <c r="G31" s="77">
        <f t="shared" si="32"/>
        <v>5766.5641931050168</v>
      </c>
      <c r="H31" s="77">
        <f t="shared" si="32"/>
        <v>5695.7389697170065</v>
      </c>
      <c r="I31" s="77">
        <f t="shared" si="32"/>
        <v>5712.6643931605622</v>
      </c>
      <c r="J31" s="77">
        <f t="shared" si="32"/>
        <v>6149.9406048355286</v>
      </c>
      <c r="K31" s="77">
        <f t="shared" si="32"/>
        <v>7281.8482806591282</v>
      </c>
      <c r="L31" s="77">
        <f t="shared" si="32"/>
        <v>8498.7256060936106</v>
      </c>
      <c r="M31" s="77">
        <f t="shared" si="32"/>
        <v>9146.1493603426097</v>
      </c>
      <c r="N31" s="77">
        <f t="shared" si="32"/>
        <v>9540.2691034246891</v>
      </c>
      <c r="O31" s="77">
        <f t="shared" si="32"/>
        <v>9944.3053018109167</v>
      </c>
      <c r="P31" s="77">
        <f t="shared" si="32"/>
        <v>10212.914358668595</v>
      </c>
      <c r="Q31" s="77">
        <f t="shared" si="32"/>
        <v>10151.545238450315</v>
      </c>
      <c r="R31" s="77">
        <f t="shared" si="32"/>
        <v>10219.433638508159</v>
      </c>
      <c r="S31" s="77">
        <f t="shared" si="32"/>
        <v>10323.141377784341</v>
      </c>
      <c r="T31" s="77">
        <f t="shared" si="32"/>
        <v>10415.988441047239</v>
      </c>
      <c r="U31" s="77">
        <f t="shared" si="32"/>
        <v>10161.02022603423</v>
      </c>
      <c r="V31" s="77">
        <f t="shared" si="32"/>
        <v>9696.2712298999904</v>
      </c>
      <c r="W31" s="77">
        <f t="shared" si="32"/>
        <v>9660.737175982702</v>
      </c>
      <c r="X31" s="77">
        <f t="shared" si="32"/>
        <v>9536.1500445047495</v>
      </c>
      <c r="Y31" s="77">
        <f t="shared" si="32"/>
        <v>8816.6120571373867</v>
      </c>
      <c r="Z31" s="77">
        <f t="shared" si="32"/>
        <v>7737.8136488003747</v>
      </c>
      <c r="AA31" s="77">
        <f t="shared" si="32"/>
        <v>6905.1191827209395</v>
      </c>
      <c r="AB31" s="77">
        <f t="shared" si="32"/>
        <v>6465.7440693639783</v>
      </c>
      <c r="AC31" s="89">
        <f t="shared" ref="AC31" si="33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4">(($B31)/$D34)*E$7</f>
        <v>6039.0449111798544</v>
      </c>
      <c r="F32" s="79">
        <f t="shared" si="34"/>
        <v>5922.25858676807</v>
      </c>
      <c r="G32" s="79">
        <f t="shared" si="34"/>
        <v>5766.5641931050168</v>
      </c>
      <c r="H32" s="79">
        <f t="shared" si="34"/>
        <v>5695.7389697170065</v>
      </c>
      <c r="I32" s="79">
        <f t="shared" si="34"/>
        <v>5712.6643931605622</v>
      </c>
      <c r="J32" s="79">
        <f t="shared" si="34"/>
        <v>6149.9406048355286</v>
      </c>
      <c r="K32" s="79">
        <f t="shared" si="34"/>
        <v>7281.8482806591282</v>
      </c>
      <c r="L32" s="79">
        <f t="shared" si="34"/>
        <v>8498.7256060936106</v>
      </c>
      <c r="M32" s="79">
        <f t="shared" si="34"/>
        <v>9146.1493603426097</v>
      </c>
      <c r="N32" s="79">
        <f t="shared" si="34"/>
        <v>9540.2691034246891</v>
      </c>
      <c r="O32" s="79">
        <f t="shared" si="34"/>
        <v>9944.3053018109167</v>
      </c>
      <c r="P32" s="79">
        <f t="shared" si="34"/>
        <v>10212.914358668595</v>
      </c>
      <c r="Q32" s="79">
        <f t="shared" si="34"/>
        <v>10151.545238450315</v>
      </c>
      <c r="R32" s="79">
        <f t="shared" si="34"/>
        <v>10219.433638508159</v>
      </c>
      <c r="S32" s="79">
        <f t="shared" si="34"/>
        <v>10323.141377784341</v>
      </c>
      <c r="T32" s="79">
        <f t="shared" si="34"/>
        <v>10415.988441047239</v>
      </c>
      <c r="U32" s="79">
        <f t="shared" si="34"/>
        <v>10161.02022603423</v>
      </c>
      <c r="V32" s="79">
        <f t="shared" si="34"/>
        <v>9696.2712298999904</v>
      </c>
      <c r="W32" s="79">
        <f t="shared" si="34"/>
        <v>9660.737175982702</v>
      </c>
      <c r="X32" s="79">
        <f t="shared" si="34"/>
        <v>9536.1500445047495</v>
      </c>
      <c r="Y32" s="79">
        <f t="shared" si="34"/>
        <v>8816.6120571373867</v>
      </c>
      <c r="Z32" s="79">
        <f t="shared" si="34"/>
        <v>7737.8136488003747</v>
      </c>
      <c r="AA32" s="79">
        <f t="shared" si="34"/>
        <v>6905.1191827209395</v>
      </c>
      <c r="AB32" s="79">
        <f t="shared" si="34"/>
        <v>6465.7440693639783</v>
      </c>
      <c r="AC32" s="90">
        <f t="shared" ref="AC32:AC33" si="35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6">(($B31)/$D34)*E$7</f>
        <v>6039.0449111798544</v>
      </c>
      <c r="F33" s="82">
        <f t="shared" si="36"/>
        <v>5922.25858676807</v>
      </c>
      <c r="G33" s="82">
        <f t="shared" si="36"/>
        <v>5766.5641931050168</v>
      </c>
      <c r="H33" s="82">
        <f t="shared" si="36"/>
        <v>5695.7389697170065</v>
      </c>
      <c r="I33" s="82">
        <f t="shared" si="36"/>
        <v>5712.6643931605622</v>
      </c>
      <c r="J33" s="82">
        <f t="shared" si="36"/>
        <v>6149.9406048355286</v>
      </c>
      <c r="K33" s="82">
        <f t="shared" si="36"/>
        <v>7281.8482806591282</v>
      </c>
      <c r="L33" s="82">
        <f t="shared" si="36"/>
        <v>8498.7256060936106</v>
      </c>
      <c r="M33" s="82">
        <f t="shared" si="36"/>
        <v>9146.1493603426097</v>
      </c>
      <c r="N33" s="82">
        <f t="shared" si="36"/>
        <v>9540.2691034246891</v>
      </c>
      <c r="O33" s="82">
        <f t="shared" si="36"/>
        <v>9944.3053018109167</v>
      </c>
      <c r="P33" s="82">
        <f t="shared" si="36"/>
        <v>10212.914358668595</v>
      </c>
      <c r="Q33" s="82">
        <f t="shared" si="36"/>
        <v>10151.545238450315</v>
      </c>
      <c r="R33" s="82">
        <f t="shared" si="36"/>
        <v>10219.433638508159</v>
      </c>
      <c r="S33" s="82">
        <f t="shared" si="36"/>
        <v>10323.141377784341</v>
      </c>
      <c r="T33" s="82">
        <f t="shared" si="36"/>
        <v>10415.988441047239</v>
      </c>
      <c r="U33" s="82">
        <f t="shared" si="36"/>
        <v>10161.02022603423</v>
      </c>
      <c r="V33" s="82">
        <f t="shared" si="36"/>
        <v>9696.2712298999904</v>
      </c>
      <c r="W33" s="82">
        <f t="shared" si="36"/>
        <v>9660.737175982702</v>
      </c>
      <c r="X33" s="82">
        <f t="shared" si="36"/>
        <v>9536.1500445047495</v>
      </c>
      <c r="Y33" s="82">
        <f t="shared" si="36"/>
        <v>8816.6120571373867</v>
      </c>
      <c r="Z33" s="82">
        <f t="shared" si="36"/>
        <v>7737.8136488003747</v>
      </c>
      <c r="AA33" s="82">
        <f t="shared" si="36"/>
        <v>6905.1191827209395</v>
      </c>
      <c r="AB33" s="82">
        <f t="shared" si="36"/>
        <v>6465.7440693639783</v>
      </c>
      <c r="AC33" s="91">
        <f t="shared" si="35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7-2027</v>
      </c>
      <c r="B35" s="139">
        <f>'AÑO 2027'!C22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9">(($B35)/$D38)*E$7</f>
        <v>5844.2370108192135</v>
      </c>
      <c r="F35" s="77">
        <f t="shared" si="39"/>
        <v>5731.2179871949056</v>
      </c>
      <c r="G35" s="77">
        <f t="shared" si="39"/>
        <v>5580.5459933274351</v>
      </c>
      <c r="H35" s="77">
        <f t="shared" si="39"/>
        <v>5512.0054545648445</v>
      </c>
      <c r="I35" s="77">
        <f t="shared" si="39"/>
        <v>5528.3848966069954</v>
      </c>
      <c r="J35" s="77">
        <f t="shared" si="39"/>
        <v>5951.5554240343818</v>
      </c>
      <c r="K35" s="77">
        <f t="shared" si="39"/>
        <v>7046.9499490249627</v>
      </c>
      <c r="L35" s="77">
        <f t="shared" si="39"/>
        <v>8224.5731671873637</v>
      </c>
      <c r="M35" s="77">
        <f t="shared" si="39"/>
        <v>8851.1122842025252</v>
      </c>
      <c r="N35" s="77">
        <f t="shared" si="39"/>
        <v>9232.5184871851834</v>
      </c>
      <c r="O35" s="77">
        <f t="shared" si="39"/>
        <v>9623.5212598170165</v>
      </c>
      <c r="P35" s="77">
        <f t="shared" si="39"/>
        <v>9883.4655083889629</v>
      </c>
      <c r="Q35" s="77">
        <f t="shared" si="39"/>
        <v>9824.076037209983</v>
      </c>
      <c r="R35" s="77">
        <f t="shared" si="39"/>
        <v>9889.774488878862</v>
      </c>
      <c r="S35" s="77">
        <f t="shared" si="39"/>
        <v>9990.1368172106522</v>
      </c>
      <c r="T35" s="77">
        <f t="shared" si="39"/>
        <v>10079.988813916681</v>
      </c>
      <c r="U35" s="77">
        <f t="shared" si="39"/>
        <v>9833.2453800331259</v>
      </c>
      <c r="V35" s="77">
        <f t="shared" si="39"/>
        <v>9383.4882869999892</v>
      </c>
      <c r="W35" s="77">
        <f t="shared" si="39"/>
        <v>9349.1004928864859</v>
      </c>
      <c r="X35" s="77">
        <f t="shared" si="39"/>
        <v>9228.5323011336277</v>
      </c>
      <c r="Y35" s="77">
        <f t="shared" si="39"/>
        <v>8532.2052165845671</v>
      </c>
      <c r="Z35" s="77">
        <f t="shared" si="39"/>
        <v>7488.206756903588</v>
      </c>
      <c r="AA35" s="77">
        <f t="shared" si="39"/>
        <v>6682.3734026331667</v>
      </c>
      <c r="AB35" s="77">
        <f t="shared" si="39"/>
        <v>6257.1716800296563</v>
      </c>
      <c r="AC35" s="89">
        <f t="shared" ref="AC35" si="40">+SUM(E35:AB35)*D35</f>
        <v>4258064.5161290318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41">(($B35)/$D38)*E$7</f>
        <v>5844.2370108192135</v>
      </c>
      <c r="F36" s="79">
        <f t="shared" si="41"/>
        <v>5731.2179871949056</v>
      </c>
      <c r="G36" s="79">
        <f t="shared" si="41"/>
        <v>5580.5459933274351</v>
      </c>
      <c r="H36" s="79">
        <f t="shared" si="41"/>
        <v>5512.0054545648445</v>
      </c>
      <c r="I36" s="79">
        <f t="shared" si="41"/>
        <v>5528.3848966069954</v>
      </c>
      <c r="J36" s="79">
        <f t="shared" si="41"/>
        <v>5951.5554240343818</v>
      </c>
      <c r="K36" s="79">
        <f t="shared" si="41"/>
        <v>7046.9499490249627</v>
      </c>
      <c r="L36" s="79">
        <f t="shared" si="41"/>
        <v>8224.5731671873637</v>
      </c>
      <c r="M36" s="79">
        <f t="shared" si="41"/>
        <v>8851.1122842025252</v>
      </c>
      <c r="N36" s="79">
        <f t="shared" si="41"/>
        <v>9232.5184871851834</v>
      </c>
      <c r="O36" s="79">
        <f t="shared" si="41"/>
        <v>9623.5212598170165</v>
      </c>
      <c r="P36" s="79">
        <f t="shared" si="41"/>
        <v>9883.4655083889629</v>
      </c>
      <c r="Q36" s="79">
        <f t="shared" si="41"/>
        <v>9824.076037209983</v>
      </c>
      <c r="R36" s="79">
        <f t="shared" si="41"/>
        <v>9889.774488878862</v>
      </c>
      <c r="S36" s="79">
        <f t="shared" si="41"/>
        <v>9990.1368172106522</v>
      </c>
      <c r="T36" s="79">
        <f t="shared" si="41"/>
        <v>10079.988813916681</v>
      </c>
      <c r="U36" s="79">
        <f t="shared" si="41"/>
        <v>9833.2453800331259</v>
      </c>
      <c r="V36" s="79">
        <f t="shared" si="41"/>
        <v>9383.4882869999892</v>
      </c>
      <c r="W36" s="79">
        <f t="shared" si="41"/>
        <v>9349.1004928864859</v>
      </c>
      <c r="X36" s="79">
        <f t="shared" si="41"/>
        <v>9228.5323011336277</v>
      </c>
      <c r="Y36" s="79">
        <f t="shared" si="41"/>
        <v>8532.2052165845671</v>
      </c>
      <c r="Z36" s="79">
        <f t="shared" si="41"/>
        <v>7488.206756903588</v>
      </c>
      <c r="AA36" s="79">
        <f t="shared" si="41"/>
        <v>6682.3734026331667</v>
      </c>
      <c r="AB36" s="79">
        <f t="shared" si="41"/>
        <v>6257.1716800296563</v>
      </c>
      <c r="AC36" s="90">
        <f t="shared" ref="AC36:AC37" si="42">+SUM(E36:AB36)*D36</f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43">(($B35)/$D38)*E$7</f>
        <v>5844.2370108192135</v>
      </c>
      <c r="F37" s="82">
        <f t="shared" si="43"/>
        <v>5731.2179871949056</v>
      </c>
      <c r="G37" s="82">
        <f t="shared" si="43"/>
        <v>5580.5459933274351</v>
      </c>
      <c r="H37" s="82">
        <f t="shared" si="43"/>
        <v>5512.0054545648445</v>
      </c>
      <c r="I37" s="82">
        <f t="shared" si="43"/>
        <v>5528.3848966069954</v>
      </c>
      <c r="J37" s="82">
        <f t="shared" si="43"/>
        <v>5951.5554240343818</v>
      </c>
      <c r="K37" s="82">
        <f t="shared" si="43"/>
        <v>7046.9499490249627</v>
      </c>
      <c r="L37" s="82">
        <f t="shared" si="43"/>
        <v>8224.5731671873637</v>
      </c>
      <c r="M37" s="82">
        <f t="shared" si="43"/>
        <v>8851.1122842025252</v>
      </c>
      <c r="N37" s="82">
        <f t="shared" si="43"/>
        <v>9232.5184871851834</v>
      </c>
      <c r="O37" s="82">
        <f t="shared" si="43"/>
        <v>9623.5212598170165</v>
      </c>
      <c r="P37" s="82">
        <f t="shared" si="43"/>
        <v>9883.4655083889629</v>
      </c>
      <c r="Q37" s="82">
        <f t="shared" si="43"/>
        <v>9824.076037209983</v>
      </c>
      <c r="R37" s="82">
        <f t="shared" si="43"/>
        <v>9889.774488878862</v>
      </c>
      <c r="S37" s="82">
        <f t="shared" si="43"/>
        <v>9990.1368172106522</v>
      </c>
      <c r="T37" s="82">
        <f t="shared" si="43"/>
        <v>10079.988813916681</v>
      </c>
      <c r="U37" s="82">
        <f t="shared" si="43"/>
        <v>9833.2453800331259</v>
      </c>
      <c r="V37" s="82">
        <f t="shared" si="43"/>
        <v>9383.4882869999892</v>
      </c>
      <c r="W37" s="82">
        <f t="shared" si="43"/>
        <v>9349.1004928864859</v>
      </c>
      <c r="X37" s="82">
        <f t="shared" si="43"/>
        <v>9228.5323011336277</v>
      </c>
      <c r="Y37" s="82">
        <f t="shared" si="43"/>
        <v>8532.2052165845671</v>
      </c>
      <c r="Z37" s="82">
        <f t="shared" si="43"/>
        <v>7488.206756903588</v>
      </c>
      <c r="AA37" s="82">
        <f t="shared" si="43"/>
        <v>6682.3734026331667</v>
      </c>
      <c r="AB37" s="82">
        <f t="shared" si="43"/>
        <v>6257.1716800296563</v>
      </c>
      <c r="AC37" s="91">
        <f t="shared" si="42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8-2027</v>
      </c>
      <c r="B39" s="139">
        <f>'AÑO 2027'!C23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6">(($B39)/$D42)*E$7</f>
        <v>5844.2370108192135</v>
      </c>
      <c r="F39" s="77">
        <f t="shared" si="46"/>
        <v>5731.2179871949056</v>
      </c>
      <c r="G39" s="77">
        <f t="shared" si="46"/>
        <v>5580.5459933274351</v>
      </c>
      <c r="H39" s="77">
        <f t="shared" si="46"/>
        <v>5512.0054545648445</v>
      </c>
      <c r="I39" s="77">
        <f t="shared" si="46"/>
        <v>5528.3848966069954</v>
      </c>
      <c r="J39" s="77">
        <f t="shared" si="46"/>
        <v>5951.5554240343818</v>
      </c>
      <c r="K39" s="77">
        <f t="shared" si="46"/>
        <v>7046.9499490249627</v>
      </c>
      <c r="L39" s="77">
        <f t="shared" si="46"/>
        <v>8224.5731671873637</v>
      </c>
      <c r="M39" s="77">
        <f t="shared" si="46"/>
        <v>8851.1122842025252</v>
      </c>
      <c r="N39" s="77">
        <f t="shared" si="46"/>
        <v>9232.5184871851834</v>
      </c>
      <c r="O39" s="77">
        <f t="shared" si="46"/>
        <v>9623.5212598170165</v>
      </c>
      <c r="P39" s="77">
        <f t="shared" si="46"/>
        <v>9883.4655083889629</v>
      </c>
      <c r="Q39" s="77">
        <f t="shared" si="46"/>
        <v>9824.076037209983</v>
      </c>
      <c r="R39" s="77">
        <f t="shared" si="46"/>
        <v>9889.774488878862</v>
      </c>
      <c r="S39" s="77">
        <f t="shared" si="46"/>
        <v>9990.1368172106522</v>
      </c>
      <c r="T39" s="77">
        <f t="shared" si="46"/>
        <v>10079.988813916681</v>
      </c>
      <c r="U39" s="77">
        <f t="shared" si="46"/>
        <v>9833.2453800331259</v>
      </c>
      <c r="V39" s="77">
        <f t="shared" si="46"/>
        <v>9383.4882869999892</v>
      </c>
      <c r="W39" s="77">
        <f t="shared" si="46"/>
        <v>9349.1004928864859</v>
      </c>
      <c r="X39" s="77">
        <f t="shared" si="46"/>
        <v>9228.5323011336277</v>
      </c>
      <c r="Y39" s="77">
        <f t="shared" si="46"/>
        <v>8532.2052165845671</v>
      </c>
      <c r="Z39" s="77">
        <f t="shared" si="46"/>
        <v>7488.206756903588</v>
      </c>
      <c r="AA39" s="77">
        <f t="shared" si="46"/>
        <v>6682.3734026331667</v>
      </c>
      <c r="AB39" s="77">
        <f t="shared" si="46"/>
        <v>6257.1716800296563</v>
      </c>
      <c r="AC39" s="89">
        <f t="shared" ref="AC39" si="47">+SUM(E39:AB39)*D39</f>
        <v>4258064.5161290318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8">(($B39)/$D42)*E$7</f>
        <v>5844.2370108192135</v>
      </c>
      <c r="F40" s="79">
        <f t="shared" si="48"/>
        <v>5731.2179871949056</v>
      </c>
      <c r="G40" s="79">
        <f t="shared" si="48"/>
        <v>5580.5459933274351</v>
      </c>
      <c r="H40" s="79">
        <f t="shared" si="48"/>
        <v>5512.0054545648445</v>
      </c>
      <c r="I40" s="79">
        <f t="shared" si="48"/>
        <v>5528.3848966069954</v>
      </c>
      <c r="J40" s="79">
        <f t="shared" si="48"/>
        <v>5951.5554240343818</v>
      </c>
      <c r="K40" s="79">
        <f t="shared" si="48"/>
        <v>7046.9499490249627</v>
      </c>
      <c r="L40" s="79">
        <f t="shared" si="48"/>
        <v>8224.5731671873637</v>
      </c>
      <c r="M40" s="79">
        <f t="shared" si="48"/>
        <v>8851.1122842025252</v>
      </c>
      <c r="N40" s="79">
        <f t="shared" si="48"/>
        <v>9232.5184871851834</v>
      </c>
      <c r="O40" s="79">
        <f t="shared" si="48"/>
        <v>9623.5212598170165</v>
      </c>
      <c r="P40" s="79">
        <f t="shared" si="48"/>
        <v>9883.4655083889629</v>
      </c>
      <c r="Q40" s="79">
        <f t="shared" si="48"/>
        <v>9824.076037209983</v>
      </c>
      <c r="R40" s="79">
        <f t="shared" si="48"/>
        <v>9889.774488878862</v>
      </c>
      <c r="S40" s="79">
        <f t="shared" si="48"/>
        <v>9990.1368172106522</v>
      </c>
      <c r="T40" s="79">
        <f t="shared" si="48"/>
        <v>10079.988813916681</v>
      </c>
      <c r="U40" s="79">
        <f t="shared" si="48"/>
        <v>9833.2453800331259</v>
      </c>
      <c r="V40" s="79">
        <f t="shared" si="48"/>
        <v>9383.4882869999892</v>
      </c>
      <c r="W40" s="79">
        <f t="shared" si="48"/>
        <v>9349.1004928864859</v>
      </c>
      <c r="X40" s="79">
        <f t="shared" si="48"/>
        <v>9228.5323011336277</v>
      </c>
      <c r="Y40" s="79">
        <f t="shared" si="48"/>
        <v>8532.2052165845671</v>
      </c>
      <c r="Z40" s="79">
        <f t="shared" si="48"/>
        <v>7488.206756903588</v>
      </c>
      <c r="AA40" s="79">
        <f t="shared" si="48"/>
        <v>6682.3734026331667</v>
      </c>
      <c r="AB40" s="79">
        <f t="shared" si="48"/>
        <v>6257.1716800296563</v>
      </c>
      <c r="AC40" s="90">
        <f t="shared" ref="AC40:AC41" si="49">+SUM(E40:AB40)*D40</f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50">(($B39)/$D42)*E$7</f>
        <v>5844.2370108192135</v>
      </c>
      <c r="F41" s="82">
        <f t="shared" si="50"/>
        <v>5731.2179871949056</v>
      </c>
      <c r="G41" s="82">
        <f t="shared" si="50"/>
        <v>5580.5459933274351</v>
      </c>
      <c r="H41" s="82">
        <f t="shared" si="50"/>
        <v>5512.0054545648445</v>
      </c>
      <c r="I41" s="82">
        <f t="shared" si="50"/>
        <v>5528.3848966069954</v>
      </c>
      <c r="J41" s="82">
        <f t="shared" si="50"/>
        <v>5951.5554240343818</v>
      </c>
      <c r="K41" s="82">
        <f t="shared" si="50"/>
        <v>7046.9499490249627</v>
      </c>
      <c r="L41" s="82">
        <f t="shared" si="50"/>
        <v>8224.5731671873637</v>
      </c>
      <c r="M41" s="82">
        <f t="shared" si="50"/>
        <v>8851.1122842025252</v>
      </c>
      <c r="N41" s="82">
        <f t="shared" si="50"/>
        <v>9232.5184871851834</v>
      </c>
      <c r="O41" s="82">
        <f t="shared" si="50"/>
        <v>9623.5212598170165</v>
      </c>
      <c r="P41" s="82">
        <f t="shared" si="50"/>
        <v>9883.4655083889629</v>
      </c>
      <c r="Q41" s="82">
        <f t="shared" si="50"/>
        <v>9824.076037209983</v>
      </c>
      <c r="R41" s="82">
        <f t="shared" si="50"/>
        <v>9889.774488878862</v>
      </c>
      <c r="S41" s="82">
        <f t="shared" si="50"/>
        <v>9990.1368172106522</v>
      </c>
      <c r="T41" s="82">
        <f t="shared" si="50"/>
        <v>10079.988813916681</v>
      </c>
      <c r="U41" s="82">
        <f t="shared" si="50"/>
        <v>9833.2453800331259</v>
      </c>
      <c r="V41" s="82">
        <f t="shared" si="50"/>
        <v>9383.4882869999892</v>
      </c>
      <c r="W41" s="82">
        <f t="shared" si="50"/>
        <v>9349.1004928864859</v>
      </c>
      <c r="X41" s="82">
        <f t="shared" si="50"/>
        <v>9228.5323011336277</v>
      </c>
      <c r="Y41" s="82">
        <f t="shared" si="50"/>
        <v>8532.2052165845671</v>
      </c>
      <c r="Z41" s="82">
        <f t="shared" si="50"/>
        <v>7488.206756903588</v>
      </c>
      <c r="AA41" s="82">
        <f t="shared" si="50"/>
        <v>6682.3734026331667</v>
      </c>
      <c r="AB41" s="82">
        <f t="shared" si="50"/>
        <v>6257.1716800296563</v>
      </c>
      <c r="AC41" s="91">
        <f t="shared" si="49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9-2027</v>
      </c>
      <c r="B43" s="139">
        <f>'AÑO 2027'!C24</f>
        <v>6000000</v>
      </c>
      <c r="C43" s="59" t="s">
        <v>40</v>
      </c>
      <c r="D43" s="60">
        <f>VLOOKUP(A43&amp;C43,calendario!I:L,4,0)</f>
        <v>22</v>
      </c>
      <c r="E43" s="77">
        <f t="shared" ref="E43:AB43" si="53">(($B43)/$D46)*E$7</f>
        <v>6039.0449111798544</v>
      </c>
      <c r="F43" s="77">
        <f t="shared" si="53"/>
        <v>5922.25858676807</v>
      </c>
      <c r="G43" s="77">
        <f t="shared" si="53"/>
        <v>5766.5641931050168</v>
      </c>
      <c r="H43" s="77">
        <f t="shared" si="53"/>
        <v>5695.7389697170065</v>
      </c>
      <c r="I43" s="77">
        <f t="shared" si="53"/>
        <v>5712.6643931605622</v>
      </c>
      <c r="J43" s="77">
        <f t="shared" si="53"/>
        <v>6149.9406048355286</v>
      </c>
      <c r="K43" s="77">
        <f t="shared" si="53"/>
        <v>7281.8482806591282</v>
      </c>
      <c r="L43" s="77">
        <f t="shared" si="53"/>
        <v>8498.7256060936106</v>
      </c>
      <c r="M43" s="77">
        <f t="shared" si="53"/>
        <v>9146.1493603426097</v>
      </c>
      <c r="N43" s="77">
        <f t="shared" si="53"/>
        <v>9540.2691034246891</v>
      </c>
      <c r="O43" s="77">
        <f t="shared" si="53"/>
        <v>9944.3053018109167</v>
      </c>
      <c r="P43" s="77">
        <f t="shared" si="53"/>
        <v>10212.914358668595</v>
      </c>
      <c r="Q43" s="77">
        <f t="shared" si="53"/>
        <v>10151.545238450315</v>
      </c>
      <c r="R43" s="77">
        <f t="shared" si="53"/>
        <v>10219.433638508159</v>
      </c>
      <c r="S43" s="77">
        <f t="shared" si="53"/>
        <v>10323.141377784341</v>
      </c>
      <c r="T43" s="77">
        <f t="shared" si="53"/>
        <v>10415.988441047239</v>
      </c>
      <c r="U43" s="77">
        <f t="shared" si="53"/>
        <v>10161.02022603423</v>
      </c>
      <c r="V43" s="77">
        <f t="shared" si="53"/>
        <v>9696.2712298999904</v>
      </c>
      <c r="W43" s="77">
        <f t="shared" si="53"/>
        <v>9660.737175982702</v>
      </c>
      <c r="X43" s="77">
        <f t="shared" si="53"/>
        <v>9536.1500445047495</v>
      </c>
      <c r="Y43" s="77">
        <f t="shared" si="53"/>
        <v>8816.6120571373867</v>
      </c>
      <c r="Z43" s="77">
        <f t="shared" si="53"/>
        <v>7737.8136488003747</v>
      </c>
      <c r="AA43" s="77">
        <f t="shared" si="53"/>
        <v>6905.1191827209395</v>
      </c>
      <c r="AB43" s="77">
        <f t="shared" si="53"/>
        <v>6465.7440693639783</v>
      </c>
      <c r="AC43" s="89">
        <f t="shared" ref="AC43" si="54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55">(($B43)/$D46)*E$7</f>
        <v>6039.0449111798544</v>
      </c>
      <c r="F44" s="79">
        <f t="shared" si="55"/>
        <v>5922.25858676807</v>
      </c>
      <c r="G44" s="79">
        <f t="shared" si="55"/>
        <v>5766.5641931050168</v>
      </c>
      <c r="H44" s="79">
        <f t="shared" si="55"/>
        <v>5695.7389697170065</v>
      </c>
      <c r="I44" s="79">
        <f t="shared" si="55"/>
        <v>5712.6643931605622</v>
      </c>
      <c r="J44" s="79">
        <f t="shared" si="55"/>
        <v>6149.9406048355286</v>
      </c>
      <c r="K44" s="79">
        <f t="shared" si="55"/>
        <v>7281.8482806591282</v>
      </c>
      <c r="L44" s="79">
        <f t="shared" si="55"/>
        <v>8498.7256060936106</v>
      </c>
      <c r="M44" s="79">
        <f t="shared" si="55"/>
        <v>9146.1493603426097</v>
      </c>
      <c r="N44" s="79">
        <f t="shared" si="55"/>
        <v>9540.2691034246891</v>
      </c>
      <c r="O44" s="79">
        <f t="shared" si="55"/>
        <v>9944.3053018109167</v>
      </c>
      <c r="P44" s="79">
        <f t="shared" si="55"/>
        <v>10212.914358668595</v>
      </c>
      <c r="Q44" s="79">
        <f t="shared" si="55"/>
        <v>10151.545238450315</v>
      </c>
      <c r="R44" s="79">
        <f t="shared" si="55"/>
        <v>10219.433638508159</v>
      </c>
      <c r="S44" s="79">
        <f t="shared" si="55"/>
        <v>10323.141377784341</v>
      </c>
      <c r="T44" s="79">
        <f t="shared" si="55"/>
        <v>10415.988441047239</v>
      </c>
      <c r="U44" s="79">
        <f t="shared" si="55"/>
        <v>10161.02022603423</v>
      </c>
      <c r="V44" s="79">
        <f t="shared" si="55"/>
        <v>9696.2712298999904</v>
      </c>
      <c r="W44" s="79">
        <f t="shared" si="55"/>
        <v>9660.737175982702</v>
      </c>
      <c r="X44" s="79">
        <f t="shared" si="55"/>
        <v>9536.1500445047495</v>
      </c>
      <c r="Y44" s="79">
        <f t="shared" si="55"/>
        <v>8816.6120571373867</v>
      </c>
      <c r="Z44" s="79">
        <f t="shared" si="55"/>
        <v>7737.8136488003747</v>
      </c>
      <c r="AA44" s="79">
        <f t="shared" si="55"/>
        <v>6905.1191827209395</v>
      </c>
      <c r="AB44" s="79">
        <f t="shared" si="55"/>
        <v>6465.7440693639783</v>
      </c>
      <c r="AC44" s="90">
        <f t="shared" ref="AC44:AC45" si="56">+SUM(E44:AB44)*D44</f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57">(($B43)/$D46)*E$7</f>
        <v>6039.0449111798544</v>
      </c>
      <c r="F45" s="82">
        <f t="shared" si="57"/>
        <v>5922.25858676807</v>
      </c>
      <c r="G45" s="82">
        <f t="shared" si="57"/>
        <v>5766.5641931050168</v>
      </c>
      <c r="H45" s="82">
        <f t="shared" si="57"/>
        <v>5695.7389697170065</v>
      </c>
      <c r="I45" s="82">
        <f t="shared" si="57"/>
        <v>5712.6643931605622</v>
      </c>
      <c r="J45" s="82">
        <f t="shared" si="57"/>
        <v>6149.9406048355286</v>
      </c>
      <c r="K45" s="82">
        <f t="shared" si="57"/>
        <v>7281.8482806591282</v>
      </c>
      <c r="L45" s="82">
        <f t="shared" si="57"/>
        <v>8498.7256060936106</v>
      </c>
      <c r="M45" s="82">
        <f t="shared" si="57"/>
        <v>9146.1493603426097</v>
      </c>
      <c r="N45" s="82">
        <f t="shared" si="57"/>
        <v>9540.2691034246891</v>
      </c>
      <c r="O45" s="82">
        <f t="shared" si="57"/>
        <v>9944.3053018109167</v>
      </c>
      <c r="P45" s="82">
        <f t="shared" si="57"/>
        <v>10212.914358668595</v>
      </c>
      <c r="Q45" s="82">
        <f t="shared" si="57"/>
        <v>10151.545238450315</v>
      </c>
      <c r="R45" s="82">
        <f t="shared" si="57"/>
        <v>10219.433638508159</v>
      </c>
      <c r="S45" s="82">
        <f t="shared" si="57"/>
        <v>10323.141377784341</v>
      </c>
      <c r="T45" s="82">
        <f t="shared" si="57"/>
        <v>10415.988441047239</v>
      </c>
      <c r="U45" s="82">
        <f t="shared" si="57"/>
        <v>10161.02022603423</v>
      </c>
      <c r="V45" s="82">
        <f t="shared" si="57"/>
        <v>9696.2712298999904</v>
      </c>
      <c r="W45" s="82">
        <f t="shared" si="57"/>
        <v>9660.737175982702</v>
      </c>
      <c r="X45" s="82">
        <f t="shared" si="57"/>
        <v>9536.1500445047495</v>
      </c>
      <c r="Y45" s="82">
        <f t="shared" si="57"/>
        <v>8816.6120571373867</v>
      </c>
      <c r="Z45" s="82">
        <f t="shared" si="57"/>
        <v>7737.8136488003747</v>
      </c>
      <c r="AA45" s="82">
        <f t="shared" si="57"/>
        <v>6905.1191827209395</v>
      </c>
      <c r="AB45" s="82">
        <f t="shared" si="57"/>
        <v>6465.7440693639783</v>
      </c>
      <c r="AC45" s="91">
        <f t="shared" si="56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10-2027</v>
      </c>
      <c r="B47" s="139">
        <f>'AÑO 2027'!C25</f>
        <v>6000000</v>
      </c>
      <c r="C47" s="59" t="s">
        <v>40</v>
      </c>
      <c r="D47" s="60">
        <f>VLOOKUP(A47&amp;C47,calendario!I:L,4,0)</f>
        <v>21</v>
      </c>
      <c r="E47" s="77">
        <f t="shared" ref="E47:AB47" si="60">(($B47)/$D50)*E$7</f>
        <v>5844.2370108192135</v>
      </c>
      <c r="F47" s="77">
        <f t="shared" si="60"/>
        <v>5731.2179871949056</v>
      </c>
      <c r="G47" s="77">
        <f t="shared" si="60"/>
        <v>5580.5459933274351</v>
      </c>
      <c r="H47" s="77">
        <f t="shared" si="60"/>
        <v>5512.0054545648445</v>
      </c>
      <c r="I47" s="77">
        <f t="shared" si="60"/>
        <v>5528.3848966069954</v>
      </c>
      <c r="J47" s="77">
        <f t="shared" si="60"/>
        <v>5951.5554240343818</v>
      </c>
      <c r="K47" s="77">
        <f t="shared" si="60"/>
        <v>7046.9499490249627</v>
      </c>
      <c r="L47" s="77">
        <f t="shared" si="60"/>
        <v>8224.5731671873637</v>
      </c>
      <c r="M47" s="77">
        <f t="shared" si="60"/>
        <v>8851.1122842025252</v>
      </c>
      <c r="N47" s="77">
        <f t="shared" si="60"/>
        <v>9232.5184871851834</v>
      </c>
      <c r="O47" s="77">
        <f t="shared" si="60"/>
        <v>9623.5212598170165</v>
      </c>
      <c r="P47" s="77">
        <f t="shared" si="60"/>
        <v>9883.4655083889629</v>
      </c>
      <c r="Q47" s="77">
        <f t="shared" si="60"/>
        <v>9824.076037209983</v>
      </c>
      <c r="R47" s="77">
        <f t="shared" si="60"/>
        <v>9889.774488878862</v>
      </c>
      <c r="S47" s="77">
        <f t="shared" si="60"/>
        <v>9990.1368172106522</v>
      </c>
      <c r="T47" s="77">
        <f t="shared" si="60"/>
        <v>10079.988813916681</v>
      </c>
      <c r="U47" s="77">
        <f t="shared" si="60"/>
        <v>9833.2453800331259</v>
      </c>
      <c r="V47" s="77">
        <f t="shared" si="60"/>
        <v>9383.4882869999892</v>
      </c>
      <c r="W47" s="77">
        <f t="shared" si="60"/>
        <v>9349.1004928864859</v>
      </c>
      <c r="X47" s="77">
        <f t="shared" si="60"/>
        <v>9228.5323011336277</v>
      </c>
      <c r="Y47" s="77">
        <f t="shared" si="60"/>
        <v>8532.2052165845671</v>
      </c>
      <c r="Z47" s="77">
        <f t="shared" si="60"/>
        <v>7488.206756903588</v>
      </c>
      <c r="AA47" s="77">
        <f t="shared" si="60"/>
        <v>6682.3734026331667</v>
      </c>
      <c r="AB47" s="77">
        <f t="shared" si="60"/>
        <v>6257.1716800296563</v>
      </c>
      <c r="AC47" s="89">
        <f t="shared" ref="AC47" si="61">+SUM(E47:AB47)*D47</f>
        <v>4064516.129032257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:AB48" si="62">(($B47)/$D50)*E$7</f>
        <v>5844.2370108192135</v>
      </c>
      <c r="F48" s="79">
        <f t="shared" si="62"/>
        <v>5731.2179871949056</v>
      </c>
      <c r="G48" s="79">
        <f t="shared" si="62"/>
        <v>5580.5459933274351</v>
      </c>
      <c r="H48" s="79">
        <f t="shared" si="62"/>
        <v>5512.0054545648445</v>
      </c>
      <c r="I48" s="79">
        <f t="shared" si="62"/>
        <v>5528.3848966069954</v>
      </c>
      <c r="J48" s="79">
        <f t="shared" si="62"/>
        <v>5951.5554240343818</v>
      </c>
      <c r="K48" s="79">
        <f t="shared" si="62"/>
        <v>7046.9499490249627</v>
      </c>
      <c r="L48" s="79">
        <f t="shared" si="62"/>
        <v>8224.5731671873637</v>
      </c>
      <c r="M48" s="79">
        <f t="shared" si="62"/>
        <v>8851.1122842025252</v>
      </c>
      <c r="N48" s="79">
        <f t="shared" si="62"/>
        <v>9232.5184871851834</v>
      </c>
      <c r="O48" s="79">
        <f t="shared" si="62"/>
        <v>9623.5212598170165</v>
      </c>
      <c r="P48" s="79">
        <f t="shared" si="62"/>
        <v>9883.4655083889629</v>
      </c>
      <c r="Q48" s="79">
        <f t="shared" si="62"/>
        <v>9824.076037209983</v>
      </c>
      <c r="R48" s="79">
        <f t="shared" si="62"/>
        <v>9889.774488878862</v>
      </c>
      <c r="S48" s="79">
        <f t="shared" si="62"/>
        <v>9990.1368172106522</v>
      </c>
      <c r="T48" s="79">
        <f t="shared" si="62"/>
        <v>10079.988813916681</v>
      </c>
      <c r="U48" s="79">
        <f t="shared" si="62"/>
        <v>9833.2453800331259</v>
      </c>
      <c r="V48" s="79">
        <f t="shared" si="62"/>
        <v>9383.4882869999892</v>
      </c>
      <c r="W48" s="79">
        <f t="shared" si="62"/>
        <v>9349.1004928864859</v>
      </c>
      <c r="X48" s="79">
        <f t="shared" si="62"/>
        <v>9228.5323011336277</v>
      </c>
      <c r="Y48" s="79">
        <f t="shared" si="62"/>
        <v>8532.2052165845671</v>
      </c>
      <c r="Z48" s="79">
        <f t="shared" si="62"/>
        <v>7488.206756903588</v>
      </c>
      <c r="AA48" s="79">
        <f t="shared" si="62"/>
        <v>6682.3734026331667</v>
      </c>
      <c r="AB48" s="79">
        <f t="shared" si="62"/>
        <v>6257.1716800296563</v>
      </c>
      <c r="AC48" s="90">
        <f t="shared" ref="AC48:AC49" si="63">+SUM(E48:AB48)*D48</f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64">(($B47)/$D50)*E$7</f>
        <v>5844.2370108192135</v>
      </c>
      <c r="F49" s="82">
        <f t="shared" si="64"/>
        <v>5731.2179871949056</v>
      </c>
      <c r="G49" s="82">
        <f t="shared" si="64"/>
        <v>5580.5459933274351</v>
      </c>
      <c r="H49" s="82">
        <f t="shared" si="64"/>
        <v>5512.0054545648445</v>
      </c>
      <c r="I49" s="82">
        <f t="shared" si="64"/>
        <v>5528.3848966069954</v>
      </c>
      <c r="J49" s="82">
        <f t="shared" si="64"/>
        <v>5951.5554240343818</v>
      </c>
      <c r="K49" s="82">
        <f t="shared" si="64"/>
        <v>7046.9499490249627</v>
      </c>
      <c r="L49" s="82">
        <f t="shared" si="64"/>
        <v>8224.5731671873637</v>
      </c>
      <c r="M49" s="82">
        <f t="shared" si="64"/>
        <v>8851.1122842025252</v>
      </c>
      <c r="N49" s="82">
        <f t="shared" si="64"/>
        <v>9232.5184871851834</v>
      </c>
      <c r="O49" s="82">
        <f t="shared" si="64"/>
        <v>9623.5212598170165</v>
      </c>
      <c r="P49" s="82">
        <f t="shared" si="64"/>
        <v>9883.4655083889629</v>
      </c>
      <c r="Q49" s="82">
        <f t="shared" si="64"/>
        <v>9824.076037209983</v>
      </c>
      <c r="R49" s="82">
        <f t="shared" si="64"/>
        <v>9889.774488878862</v>
      </c>
      <c r="S49" s="82">
        <f t="shared" si="64"/>
        <v>9990.1368172106522</v>
      </c>
      <c r="T49" s="82">
        <f t="shared" si="64"/>
        <v>10079.988813916681</v>
      </c>
      <c r="U49" s="82">
        <f t="shared" si="64"/>
        <v>9833.2453800331259</v>
      </c>
      <c r="V49" s="82">
        <f t="shared" si="64"/>
        <v>9383.4882869999892</v>
      </c>
      <c r="W49" s="82">
        <f t="shared" si="64"/>
        <v>9349.1004928864859</v>
      </c>
      <c r="X49" s="82">
        <f t="shared" si="64"/>
        <v>9228.5323011336277</v>
      </c>
      <c r="Y49" s="82">
        <f t="shared" si="64"/>
        <v>8532.2052165845671</v>
      </c>
      <c r="Z49" s="82">
        <f t="shared" si="64"/>
        <v>7488.206756903588</v>
      </c>
      <c r="AA49" s="82">
        <f t="shared" si="64"/>
        <v>6682.3734026331667</v>
      </c>
      <c r="AB49" s="82">
        <f t="shared" si="64"/>
        <v>6257.1716800296563</v>
      </c>
      <c r="AC49" s="91">
        <f t="shared" si="6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11-2027</v>
      </c>
      <c r="B51" s="139">
        <f>'AÑO 2027'!C26</f>
        <v>6000000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6039.0449111798544</v>
      </c>
      <c r="F51" s="77">
        <f t="shared" si="67"/>
        <v>5922.25858676807</v>
      </c>
      <c r="G51" s="77">
        <f t="shared" si="67"/>
        <v>5766.5641931050168</v>
      </c>
      <c r="H51" s="77">
        <f t="shared" si="67"/>
        <v>5695.7389697170065</v>
      </c>
      <c r="I51" s="77">
        <f t="shared" si="67"/>
        <v>5712.6643931605622</v>
      </c>
      <c r="J51" s="77">
        <f t="shared" si="67"/>
        <v>6149.9406048355286</v>
      </c>
      <c r="K51" s="77">
        <f t="shared" si="67"/>
        <v>7281.8482806591282</v>
      </c>
      <c r="L51" s="77">
        <f t="shared" si="67"/>
        <v>8498.7256060936106</v>
      </c>
      <c r="M51" s="77">
        <f t="shared" si="67"/>
        <v>9146.1493603426097</v>
      </c>
      <c r="N51" s="77">
        <f t="shared" si="67"/>
        <v>9540.2691034246891</v>
      </c>
      <c r="O51" s="77">
        <f t="shared" si="67"/>
        <v>9944.3053018109167</v>
      </c>
      <c r="P51" s="77">
        <f t="shared" si="67"/>
        <v>10212.914358668595</v>
      </c>
      <c r="Q51" s="77">
        <f t="shared" si="67"/>
        <v>10151.545238450315</v>
      </c>
      <c r="R51" s="77">
        <f t="shared" si="67"/>
        <v>10219.433638508159</v>
      </c>
      <c r="S51" s="77">
        <f t="shared" si="67"/>
        <v>10323.141377784341</v>
      </c>
      <c r="T51" s="77">
        <f t="shared" si="67"/>
        <v>10415.988441047239</v>
      </c>
      <c r="U51" s="77">
        <f t="shared" si="67"/>
        <v>10161.02022603423</v>
      </c>
      <c r="V51" s="77">
        <f t="shared" si="67"/>
        <v>9696.2712298999904</v>
      </c>
      <c r="W51" s="77">
        <f t="shared" si="67"/>
        <v>9660.737175982702</v>
      </c>
      <c r="X51" s="77">
        <f t="shared" si="67"/>
        <v>9536.1500445047495</v>
      </c>
      <c r="Y51" s="77">
        <f t="shared" si="67"/>
        <v>8816.6120571373867</v>
      </c>
      <c r="Z51" s="77">
        <f t="shared" si="67"/>
        <v>7737.8136488003747</v>
      </c>
      <c r="AA51" s="77">
        <f t="shared" si="67"/>
        <v>6905.1191827209395</v>
      </c>
      <c r="AB51" s="77">
        <f t="shared" si="67"/>
        <v>6465.7440693639783</v>
      </c>
      <c r="AC51" s="89">
        <f t="shared" ref="AC51" si="68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9">(($B51)/$D54)*E$7</f>
        <v>6039.0449111798544</v>
      </c>
      <c r="F52" s="79">
        <f t="shared" si="69"/>
        <v>5922.25858676807</v>
      </c>
      <c r="G52" s="79">
        <f t="shared" si="69"/>
        <v>5766.5641931050168</v>
      </c>
      <c r="H52" s="79">
        <f t="shared" si="69"/>
        <v>5695.7389697170065</v>
      </c>
      <c r="I52" s="79">
        <f t="shared" si="69"/>
        <v>5712.6643931605622</v>
      </c>
      <c r="J52" s="79">
        <f t="shared" si="69"/>
        <v>6149.9406048355286</v>
      </c>
      <c r="K52" s="79">
        <f t="shared" si="69"/>
        <v>7281.8482806591282</v>
      </c>
      <c r="L52" s="79">
        <f t="shared" si="69"/>
        <v>8498.7256060936106</v>
      </c>
      <c r="M52" s="79">
        <f t="shared" si="69"/>
        <v>9146.1493603426097</v>
      </c>
      <c r="N52" s="79">
        <f t="shared" si="69"/>
        <v>9540.2691034246891</v>
      </c>
      <c r="O52" s="79">
        <f t="shared" si="69"/>
        <v>9944.3053018109167</v>
      </c>
      <c r="P52" s="79">
        <f t="shared" si="69"/>
        <v>10212.914358668595</v>
      </c>
      <c r="Q52" s="79">
        <f t="shared" si="69"/>
        <v>10151.545238450315</v>
      </c>
      <c r="R52" s="79">
        <f t="shared" si="69"/>
        <v>10219.433638508159</v>
      </c>
      <c r="S52" s="79">
        <f t="shared" si="69"/>
        <v>10323.141377784341</v>
      </c>
      <c r="T52" s="79">
        <f t="shared" si="69"/>
        <v>10415.988441047239</v>
      </c>
      <c r="U52" s="79">
        <f t="shared" si="69"/>
        <v>10161.02022603423</v>
      </c>
      <c r="V52" s="79">
        <f t="shared" si="69"/>
        <v>9696.2712298999904</v>
      </c>
      <c r="W52" s="79">
        <f t="shared" si="69"/>
        <v>9660.737175982702</v>
      </c>
      <c r="X52" s="79">
        <f t="shared" si="69"/>
        <v>9536.1500445047495</v>
      </c>
      <c r="Y52" s="79">
        <f t="shared" si="69"/>
        <v>8816.6120571373867</v>
      </c>
      <c r="Z52" s="79">
        <f t="shared" si="69"/>
        <v>7737.8136488003747</v>
      </c>
      <c r="AA52" s="79">
        <f t="shared" si="69"/>
        <v>6905.1191827209395</v>
      </c>
      <c r="AB52" s="79">
        <f t="shared" si="69"/>
        <v>6465.7440693639783</v>
      </c>
      <c r="AC52" s="90">
        <f t="shared" ref="AC52:AC53" si="70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71">(($B51)/$D54)*E$7</f>
        <v>6039.0449111798544</v>
      </c>
      <c r="F53" s="82">
        <f t="shared" si="71"/>
        <v>5922.25858676807</v>
      </c>
      <c r="G53" s="82">
        <f t="shared" si="71"/>
        <v>5766.5641931050168</v>
      </c>
      <c r="H53" s="82">
        <f t="shared" si="71"/>
        <v>5695.7389697170065</v>
      </c>
      <c r="I53" s="82">
        <f t="shared" si="71"/>
        <v>5712.6643931605622</v>
      </c>
      <c r="J53" s="82">
        <f t="shared" si="71"/>
        <v>6149.9406048355286</v>
      </c>
      <c r="K53" s="82">
        <f t="shared" si="71"/>
        <v>7281.8482806591282</v>
      </c>
      <c r="L53" s="82">
        <f t="shared" si="71"/>
        <v>8498.7256060936106</v>
      </c>
      <c r="M53" s="82">
        <f t="shared" si="71"/>
        <v>9146.1493603426097</v>
      </c>
      <c r="N53" s="82">
        <f t="shared" si="71"/>
        <v>9540.2691034246891</v>
      </c>
      <c r="O53" s="82">
        <f t="shared" si="71"/>
        <v>9944.3053018109167</v>
      </c>
      <c r="P53" s="82">
        <f t="shared" si="71"/>
        <v>10212.914358668595</v>
      </c>
      <c r="Q53" s="82">
        <f t="shared" si="71"/>
        <v>10151.545238450315</v>
      </c>
      <c r="R53" s="82">
        <f t="shared" si="71"/>
        <v>10219.433638508159</v>
      </c>
      <c r="S53" s="82">
        <f t="shared" si="71"/>
        <v>10323.141377784341</v>
      </c>
      <c r="T53" s="82">
        <f t="shared" si="71"/>
        <v>10415.988441047239</v>
      </c>
      <c r="U53" s="82">
        <f t="shared" si="71"/>
        <v>10161.02022603423</v>
      </c>
      <c r="V53" s="82">
        <f t="shared" si="71"/>
        <v>9696.2712298999904</v>
      </c>
      <c r="W53" s="82">
        <f t="shared" si="71"/>
        <v>9660.737175982702</v>
      </c>
      <c r="X53" s="82">
        <f t="shared" si="71"/>
        <v>9536.1500445047495</v>
      </c>
      <c r="Y53" s="82">
        <f t="shared" si="71"/>
        <v>8816.6120571373867</v>
      </c>
      <c r="Z53" s="82">
        <f t="shared" si="71"/>
        <v>7737.8136488003747</v>
      </c>
      <c r="AA53" s="82">
        <f t="shared" si="71"/>
        <v>6905.1191827209395</v>
      </c>
      <c r="AB53" s="82">
        <f t="shared" si="71"/>
        <v>6465.7440693639783</v>
      </c>
      <c r="AC53" s="91">
        <f t="shared" si="70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12-2027</v>
      </c>
      <c r="B55" s="141">
        <f>'AÑO 2027'!C27</f>
        <v>6000000</v>
      </c>
      <c r="C55" s="59" t="s">
        <v>40</v>
      </c>
      <c r="D55" s="60">
        <f>VLOOKUP(A55&amp;C55,calendario!I:L,4,0)</f>
        <v>23</v>
      </c>
      <c r="E55" s="77">
        <f t="shared" ref="E55:AB55" si="74">(($B55)/$D58)*E$7</f>
        <v>5844.2370108192135</v>
      </c>
      <c r="F55" s="77">
        <f t="shared" si="74"/>
        <v>5731.2179871949056</v>
      </c>
      <c r="G55" s="77">
        <f t="shared" si="74"/>
        <v>5580.5459933274351</v>
      </c>
      <c r="H55" s="77">
        <f t="shared" si="74"/>
        <v>5512.0054545648445</v>
      </c>
      <c r="I55" s="77">
        <f t="shared" si="74"/>
        <v>5528.3848966069954</v>
      </c>
      <c r="J55" s="77">
        <f t="shared" si="74"/>
        <v>5951.5554240343818</v>
      </c>
      <c r="K55" s="77">
        <f t="shared" si="74"/>
        <v>7046.9499490249627</v>
      </c>
      <c r="L55" s="77">
        <f t="shared" si="74"/>
        <v>8224.5731671873637</v>
      </c>
      <c r="M55" s="77">
        <f t="shared" si="74"/>
        <v>8851.1122842025252</v>
      </c>
      <c r="N55" s="77">
        <f t="shared" si="74"/>
        <v>9232.5184871851834</v>
      </c>
      <c r="O55" s="77">
        <f t="shared" si="74"/>
        <v>9623.5212598170165</v>
      </c>
      <c r="P55" s="77">
        <f t="shared" si="74"/>
        <v>9883.4655083889629</v>
      </c>
      <c r="Q55" s="77">
        <f t="shared" si="74"/>
        <v>9824.076037209983</v>
      </c>
      <c r="R55" s="77">
        <f t="shared" si="74"/>
        <v>9889.774488878862</v>
      </c>
      <c r="S55" s="77">
        <f t="shared" si="74"/>
        <v>9990.1368172106522</v>
      </c>
      <c r="T55" s="77">
        <f t="shared" si="74"/>
        <v>10079.988813916681</v>
      </c>
      <c r="U55" s="77">
        <f t="shared" si="74"/>
        <v>9833.2453800331259</v>
      </c>
      <c r="V55" s="77">
        <f t="shared" si="74"/>
        <v>9383.4882869999892</v>
      </c>
      <c r="W55" s="77">
        <f t="shared" si="74"/>
        <v>9349.1004928864859</v>
      </c>
      <c r="X55" s="77">
        <f t="shared" si="74"/>
        <v>9228.5323011336277</v>
      </c>
      <c r="Y55" s="77">
        <f t="shared" si="74"/>
        <v>8532.2052165845671</v>
      </c>
      <c r="Z55" s="77">
        <f t="shared" si="74"/>
        <v>7488.206756903588</v>
      </c>
      <c r="AA55" s="77">
        <f t="shared" si="74"/>
        <v>6682.3734026331667</v>
      </c>
      <c r="AB55" s="77">
        <f t="shared" si="74"/>
        <v>6257.1716800296563</v>
      </c>
      <c r="AC55" s="89">
        <f t="shared" ref="AC55" si="7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76">(($B55)/$D58)*E$7</f>
        <v>5844.2370108192135</v>
      </c>
      <c r="F56" s="79">
        <f t="shared" si="76"/>
        <v>5731.2179871949056</v>
      </c>
      <c r="G56" s="79">
        <f t="shared" si="76"/>
        <v>5580.5459933274351</v>
      </c>
      <c r="H56" s="79">
        <f t="shared" si="76"/>
        <v>5512.0054545648445</v>
      </c>
      <c r="I56" s="79">
        <f t="shared" si="76"/>
        <v>5528.3848966069954</v>
      </c>
      <c r="J56" s="79">
        <f t="shared" si="76"/>
        <v>5951.5554240343818</v>
      </c>
      <c r="K56" s="79">
        <f t="shared" si="76"/>
        <v>7046.9499490249627</v>
      </c>
      <c r="L56" s="79">
        <f t="shared" si="76"/>
        <v>8224.5731671873637</v>
      </c>
      <c r="M56" s="79">
        <f t="shared" si="76"/>
        <v>8851.1122842025252</v>
      </c>
      <c r="N56" s="79">
        <f t="shared" si="76"/>
        <v>9232.5184871851834</v>
      </c>
      <c r="O56" s="79">
        <f t="shared" si="76"/>
        <v>9623.5212598170165</v>
      </c>
      <c r="P56" s="79">
        <f t="shared" si="76"/>
        <v>9883.4655083889629</v>
      </c>
      <c r="Q56" s="79">
        <f t="shared" si="76"/>
        <v>9824.076037209983</v>
      </c>
      <c r="R56" s="79">
        <f t="shared" si="76"/>
        <v>9889.774488878862</v>
      </c>
      <c r="S56" s="79">
        <f t="shared" si="76"/>
        <v>9990.1368172106522</v>
      </c>
      <c r="T56" s="79">
        <f t="shared" si="76"/>
        <v>10079.988813916681</v>
      </c>
      <c r="U56" s="79">
        <f t="shared" si="76"/>
        <v>9833.2453800331259</v>
      </c>
      <c r="V56" s="79">
        <f t="shared" si="76"/>
        <v>9383.4882869999892</v>
      </c>
      <c r="W56" s="79">
        <f t="shared" si="76"/>
        <v>9349.1004928864859</v>
      </c>
      <c r="X56" s="79">
        <f t="shared" si="76"/>
        <v>9228.5323011336277</v>
      </c>
      <c r="Y56" s="79">
        <f t="shared" si="76"/>
        <v>8532.2052165845671</v>
      </c>
      <c r="Z56" s="79">
        <f t="shared" si="76"/>
        <v>7488.206756903588</v>
      </c>
      <c r="AA56" s="79">
        <f t="shared" si="76"/>
        <v>6682.3734026331667</v>
      </c>
      <c r="AB56" s="79">
        <f t="shared" si="76"/>
        <v>6257.1716800296563</v>
      </c>
      <c r="AC56" s="90">
        <f t="shared" ref="AC56:AC57" si="77">+SUM(E56:AB56)*D56</f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78">(($B55)/$D58)*E$7</f>
        <v>5844.2370108192135</v>
      </c>
      <c r="F57" s="82">
        <f t="shared" si="78"/>
        <v>5731.2179871949056</v>
      </c>
      <c r="G57" s="82">
        <f t="shared" si="78"/>
        <v>5580.5459933274351</v>
      </c>
      <c r="H57" s="82">
        <f t="shared" si="78"/>
        <v>5512.0054545648445</v>
      </c>
      <c r="I57" s="82">
        <f t="shared" si="78"/>
        <v>5528.3848966069954</v>
      </c>
      <c r="J57" s="82">
        <f t="shared" si="78"/>
        <v>5951.5554240343818</v>
      </c>
      <c r="K57" s="82">
        <f t="shared" si="78"/>
        <v>7046.9499490249627</v>
      </c>
      <c r="L57" s="82">
        <f t="shared" si="78"/>
        <v>8224.5731671873637</v>
      </c>
      <c r="M57" s="82">
        <f t="shared" si="78"/>
        <v>8851.1122842025252</v>
      </c>
      <c r="N57" s="82">
        <f t="shared" si="78"/>
        <v>9232.5184871851834</v>
      </c>
      <c r="O57" s="82">
        <f t="shared" si="78"/>
        <v>9623.5212598170165</v>
      </c>
      <c r="P57" s="82">
        <f t="shared" si="78"/>
        <v>9883.4655083889629</v>
      </c>
      <c r="Q57" s="82">
        <f t="shared" si="78"/>
        <v>9824.076037209983</v>
      </c>
      <c r="R57" s="82">
        <f t="shared" si="78"/>
        <v>9889.774488878862</v>
      </c>
      <c r="S57" s="82">
        <f t="shared" si="78"/>
        <v>9990.1368172106522</v>
      </c>
      <c r="T57" s="82">
        <f t="shared" si="78"/>
        <v>10079.988813916681</v>
      </c>
      <c r="U57" s="82">
        <f t="shared" si="78"/>
        <v>9833.2453800331259</v>
      </c>
      <c r="V57" s="82">
        <f t="shared" si="78"/>
        <v>9383.4882869999892</v>
      </c>
      <c r="W57" s="82">
        <f t="shared" si="78"/>
        <v>9349.1004928864859</v>
      </c>
      <c r="X57" s="82">
        <f t="shared" si="78"/>
        <v>9228.5323011336277</v>
      </c>
      <c r="Y57" s="82">
        <f t="shared" si="78"/>
        <v>8532.2052165845671</v>
      </c>
      <c r="Z57" s="82">
        <f t="shared" si="78"/>
        <v>7488.206756903588</v>
      </c>
      <c r="AA57" s="82">
        <f t="shared" si="78"/>
        <v>6682.3734026331667</v>
      </c>
      <c r="AB57" s="82">
        <f t="shared" si="78"/>
        <v>6257.1716800296563</v>
      </c>
      <c r="AC57" s="91">
        <f t="shared" si="77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FAFB-EED5-47CF-BCC6-BF20C16689C7}">
  <sheetPr>
    <tabColor theme="3" tint="0.59999389629810485"/>
    <pageSetUpPr fitToPage="1"/>
  </sheetPr>
  <dimension ref="A1:H48"/>
  <sheetViews>
    <sheetView showGridLines="0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34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372D-710F-43DE-A329-9F57A06C1CCE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2028'!C8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2028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2028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1-2028</v>
      </c>
      <c r="B11" s="139">
        <f>'AÑO 2028'!C16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4064516.129032257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967741.93548387079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2-2028</v>
      </c>
      <c r="B15" s="139">
        <f>'AÑO 2028'!C17</f>
        <v>6000000</v>
      </c>
      <c r="C15" s="59" t="s">
        <v>40</v>
      </c>
      <c r="D15" s="60">
        <f>VLOOKUP(A15&amp;C15,calendario!I:L,4,0)</f>
        <v>21</v>
      </c>
      <c r="E15" s="77">
        <f t="shared" ref="E15:AB15" si="4">(($B15)/$D18)*E$7</f>
        <v>6247.2878391515733</v>
      </c>
      <c r="F15" s="77">
        <f t="shared" si="4"/>
        <v>6126.4744001049003</v>
      </c>
      <c r="G15" s="77">
        <f t="shared" si="4"/>
        <v>5965.4112342465687</v>
      </c>
      <c r="H15" s="77">
        <f t="shared" si="4"/>
        <v>5892.143761776214</v>
      </c>
      <c r="I15" s="77">
        <f t="shared" si="4"/>
        <v>5909.6528205109271</v>
      </c>
      <c r="J15" s="77">
        <f t="shared" si="4"/>
        <v>6362.0075222436508</v>
      </c>
      <c r="K15" s="77">
        <f t="shared" si="4"/>
        <v>7532.9464972335818</v>
      </c>
      <c r="L15" s="77">
        <f t="shared" si="4"/>
        <v>8791.7851097520106</v>
      </c>
      <c r="M15" s="77">
        <f t="shared" si="4"/>
        <v>9461.5338210440786</v>
      </c>
      <c r="N15" s="77">
        <f t="shared" si="4"/>
        <v>9869.2439000945069</v>
      </c>
      <c r="O15" s="77">
        <f t="shared" si="4"/>
        <v>10287.212381183708</v>
      </c>
      <c r="P15" s="77">
        <f t="shared" si="4"/>
        <v>10565.08381931234</v>
      </c>
      <c r="Q15" s="77">
        <f t="shared" si="4"/>
        <v>10501.59852253481</v>
      </c>
      <c r="R15" s="77">
        <f t="shared" si="4"/>
        <v>10571.827901904993</v>
      </c>
      <c r="S15" s="77">
        <f t="shared" si="4"/>
        <v>10679.111770121732</v>
      </c>
      <c r="T15" s="77">
        <f t="shared" si="4"/>
        <v>10775.160456255764</v>
      </c>
      <c r="U15" s="77">
        <f t="shared" si="4"/>
        <v>10511.400233828514</v>
      </c>
      <c r="V15" s="77">
        <f t="shared" si="4"/>
        <v>10030.62541024137</v>
      </c>
      <c r="W15" s="77">
        <f t="shared" si="4"/>
        <v>9993.8660441200373</v>
      </c>
      <c r="X15" s="77">
        <f t="shared" si="4"/>
        <v>9864.9828046600851</v>
      </c>
      <c r="Y15" s="77">
        <f t="shared" si="4"/>
        <v>9120.6331625559178</v>
      </c>
      <c r="Z15" s="77">
        <f t="shared" si="4"/>
        <v>8004.6348091038362</v>
      </c>
      <c r="AA15" s="77">
        <f t="shared" si="4"/>
        <v>7143.2267407458003</v>
      </c>
      <c r="AB15" s="77">
        <f t="shared" si="4"/>
        <v>6688.7007614110125</v>
      </c>
      <c r="AC15" s="89">
        <f t="shared" ref="AC15" si="5">+SUM(E15:AB15)*D15</f>
        <v>4344827.5862068972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6247.2878391515733</v>
      </c>
      <c r="F16" s="79">
        <f t="shared" si="6"/>
        <v>6126.4744001049003</v>
      </c>
      <c r="G16" s="79">
        <f t="shared" si="6"/>
        <v>5965.4112342465687</v>
      </c>
      <c r="H16" s="79">
        <f t="shared" si="6"/>
        <v>5892.143761776214</v>
      </c>
      <c r="I16" s="79">
        <f t="shared" si="6"/>
        <v>5909.6528205109271</v>
      </c>
      <c r="J16" s="79">
        <f t="shared" si="6"/>
        <v>6362.0075222436508</v>
      </c>
      <c r="K16" s="79">
        <f t="shared" si="6"/>
        <v>7532.9464972335818</v>
      </c>
      <c r="L16" s="79">
        <f t="shared" si="6"/>
        <v>8791.7851097520106</v>
      </c>
      <c r="M16" s="79">
        <f t="shared" si="6"/>
        <v>9461.5338210440786</v>
      </c>
      <c r="N16" s="79">
        <f t="shared" si="6"/>
        <v>9869.2439000945069</v>
      </c>
      <c r="O16" s="79">
        <f t="shared" si="6"/>
        <v>10287.212381183708</v>
      </c>
      <c r="P16" s="79">
        <f t="shared" si="6"/>
        <v>10565.08381931234</v>
      </c>
      <c r="Q16" s="79">
        <f t="shared" si="6"/>
        <v>10501.59852253481</v>
      </c>
      <c r="R16" s="79">
        <f t="shared" si="6"/>
        <v>10571.827901904993</v>
      </c>
      <c r="S16" s="79">
        <f t="shared" si="6"/>
        <v>10679.111770121732</v>
      </c>
      <c r="T16" s="79">
        <f t="shared" si="6"/>
        <v>10775.160456255764</v>
      </c>
      <c r="U16" s="79">
        <f t="shared" si="6"/>
        <v>10511.400233828514</v>
      </c>
      <c r="V16" s="79">
        <f t="shared" si="6"/>
        <v>10030.62541024137</v>
      </c>
      <c r="W16" s="79">
        <f t="shared" si="6"/>
        <v>9993.8660441200373</v>
      </c>
      <c r="X16" s="79">
        <f t="shared" si="6"/>
        <v>9864.9828046600851</v>
      </c>
      <c r="Y16" s="79">
        <f t="shared" si="6"/>
        <v>9120.6331625559178</v>
      </c>
      <c r="Z16" s="79">
        <f t="shared" si="6"/>
        <v>8004.6348091038362</v>
      </c>
      <c r="AA16" s="79">
        <f t="shared" si="6"/>
        <v>7143.2267407458003</v>
      </c>
      <c r="AB16" s="79">
        <f t="shared" si="6"/>
        <v>6688.7007614110125</v>
      </c>
      <c r="AC16" s="90">
        <f t="shared" ref="AC16:AC17" si="7">+SUM(E16:AB16)*D16</f>
        <v>827586.20689655177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8">(($B15)/$D18)*E$7</f>
        <v>6247.2878391515733</v>
      </c>
      <c r="F17" s="82">
        <f t="shared" si="8"/>
        <v>6126.4744001049003</v>
      </c>
      <c r="G17" s="82">
        <f t="shared" si="8"/>
        <v>5965.4112342465687</v>
      </c>
      <c r="H17" s="82">
        <f t="shared" si="8"/>
        <v>5892.143761776214</v>
      </c>
      <c r="I17" s="82">
        <f t="shared" si="8"/>
        <v>5909.6528205109271</v>
      </c>
      <c r="J17" s="82">
        <f t="shared" si="8"/>
        <v>6362.0075222436508</v>
      </c>
      <c r="K17" s="82">
        <f t="shared" si="8"/>
        <v>7532.9464972335818</v>
      </c>
      <c r="L17" s="82">
        <f t="shared" si="8"/>
        <v>8791.7851097520106</v>
      </c>
      <c r="M17" s="82">
        <f t="shared" si="8"/>
        <v>9461.5338210440786</v>
      </c>
      <c r="N17" s="82">
        <f t="shared" si="8"/>
        <v>9869.2439000945069</v>
      </c>
      <c r="O17" s="82">
        <f t="shared" si="8"/>
        <v>10287.212381183708</v>
      </c>
      <c r="P17" s="82">
        <f t="shared" si="8"/>
        <v>10565.08381931234</v>
      </c>
      <c r="Q17" s="82">
        <f t="shared" si="8"/>
        <v>10501.59852253481</v>
      </c>
      <c r="R17" s="82">
        <f t="shared" si="8"/>
        <v>10571.827901904993</v>
      </c>
      <c r="S17" s="82">
        <f t="shared" si="8"/>
        <v>10679.111770121732</v>
      </c>
      <c r="T17" s="82">
        <f t="shared" si="8"/>
        <v>10775.160456255764</v>
      </c>
      <c r="U17" s="82">
        <f t="shared" si="8"/>
        <v>10511.400233828514</v>
      </c>
      <c r="V17" s="82">
        <f t="shared" si="8"/>
        <v>10030.62541024137</v>
      </c>
      <c r="W17" s="82">
        <f t="shared" si="8"/>
        <v>9993.8660441200373</v>
      </c>
      <c r="X17" s="82">
        <f t="shared" si="8"/>
        <v>9864.9828046600851</v>
      </c>
      <c r="Y17" s="82">
        <f t="shared" si="8"/>
        <v>9120.6331625559178</v>
      </c>
      <c r="Z17" s="82">
        <f t="shared" si="8"/>
        <v>8004.6348091038362</v>
      </c>
      <c r="AA17" s="82">
        <f t="shared" si="8"/>
        <v>7143.2267407458003</v>
      </c>
      <c r="AB17" s="82">
        <f t="shared" si="8"/>
        <v>6688.7007614110125</v>
      </c>
      <c r="AC17" s="91">
        <f t="shared" si="7"/>
        <v>827586.20689655177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6000000.0000000009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3-2028</v>
      </c>
      <c r="B19" s="141">
        <f>'AÑO 2028'!C18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1">(($B19)/$D22)*E$7</f>
        <v>5844.2370108192135</v>
      </c>
      <c r="F19" s="77">
        <f t="shared" si="11"/>
        <v>5731.2179871949056</v>
      </c>
      <c r="G19" s="77">
        <f t="shared" si="11"/>
        <v>5580.5459933274351</v>
      </c>
      <c r="H19" s="77">
        <f t="shared" si="11"/>
        <v>5512.0054545648445</v>
      </c>
      <c r="I19" s="77">
        <f t="shared" si="11"/>
        <v>5528.3848966069954</v>
      </c>
      <c r="J19" s="77">
        <f t="shared" si="11"/>
        <v>5951.5554240343818</v>
      </c>
      <c r="K19" s="77">
        <f t="shared" si="11"/>
        <v>7046.9499490249627</v>
      </c>
      <c r="L19" s="77">
        <f t="shared" si="11"/>
        <v>8224.5731671873637</v>
      </c>
      <c r="M19" s="77">
        <f t="shared" si="11"/>
        <v>8851.1122842025252</v>
      </c>
      <c r="N19" s="77">
        <f t="shared" si="11"/>
        <v>9232.5184871851834</v>
      </c>
      <c r="O19" s="77">
        <f t="shared" si="11"/>
        <v>9623.5212598170165</v>
      </c>
      <c r="P19" s="77">
        <f t="shared" si="11"/>
        <v>9883.4655083889629</v>
      </c>
      <c r="Q19" s="77">
        <f t="shared" si="11"/>
        <v>9824.076037209983</v>
      </c>
      <c r="R19" s="77">
        <f t="shared" si="11"/>
        <v>9889.774488878862</v>
      </c>
      <c r="S19" s="77">
        <f t="shared" si="11"/>
        <v>9990.1368172106522</v>
      </c>
      <c r="T19" s="77">
        <f t="shared" si="11"/>
        <v>10079.988813916681</v>
      </c>
      <c r="U19" s="77">
        <f t="shared" si="11"/>
        <v>9833.2453800331259</v>
      </c>
      <c r="V19" s="77">
        <f t="shared" si="11"/>
        <v>9383.4882869999892</v>
      </c>
      <c r="W19" s="77">
        <f t="shared" si="11"/>
        <v>9349.1004928864859</v>
      </c>
      <c r="X19" s="77">
        <f t="shared" si="11"/>
        <v>9228.5323011336277</v>
      </c>
      <c r="Y19" s="77">
        <f t="shared" si="11"/>
        <v>8532.2052165845671</v>
      </c>
      <c r="Z19" s="77">
        <f t="shared" si="11"/>
        <v>7488.206756903588</v>
      </c>
      <c r="AA19" s="77">
        <f t="shared" si="11"/>
        <v>6682.3734026331667</v>
      </c>
      <c r="AB19" s="77">
        <f t="shared" si="11"/>
        <v>6257.1716800296563</v>
      </c>
      <c r="AC19" s="89">
        <f t="shared" ref="AC19" si="12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3">(($B19)/$D22)*E$7</f>
        <v>5844.2370108192135</v>
      </c>
      <c r="F20" s="79">
        <f t="shared" si="13"/>
        <v>5731.2179871949056</v>
      </c>
      <c r="G20" s="79">
        <f t="shared" si="13"/>
        <v>5580.5459933274351</v>
      </c>
      <c r="H20" s="79">
        <f t="shared" si="13"/>
        <v>5512.0054545648445</v>
      </c>
      <c r="I20" s="79">
        <f t="shared" si="13"/>
        <v>5528.3848966069954</v>
      </c>
      <c r="J20" s="79">
        <f t="shared" si="13"/>
        <v>5951.5554240343818</v>
      </c>
      <c r="K20" s="79">
        <f t="shared" si="13"/>
        <v>7046.9499490249627</v>
      </c>
      <c r="L20" s="79">
        <f t="shared" si="13"/>
        <v>8224.5731671873637</v>
      </c>
      <c r="M20" s="79">
        <f t="shared" si="13"/>
        <v>8851.1122842025252</v>
      </c>
      <c r="N20" s="79">
        <f t="shared" si="13"/>
        <v>9232.5184871851834</v>
      </c>
      <c r="O20" s="79">
        <f t="shared" si="13"/>
        <v>9623.5212598170165</v>
      </c>
      <c r="P20" s="79">
        <f t="shared" si="13"/>
        <v>9883.4655083889629</v>
      </c>
      <c r="Q20" s="79">
        <f t="shared" si="13"/>
        <v>9824.076037209983</v>
      </c>
      <c r="R20" s="79">
        <f t="shared" si="13"/>
        <v>9889.774488878862</v>
      </c>
      <c r="S20" s="79">
        <f t="shared" si="13"/>
        <v>9990.1368172106522</v>
      </c>
      <c r="T20" s="79">
        <f t="shared" si="13"/>
        <v>10079.988813916681</v>
      </c>
      <c r="U20" s="79">
        <f t="shared" si="13"/>
        <v>9833.2453800331259</v>
      </c>
      <c r="V20" s="79">
        <f t="shared" si="13"/>
        <v>9383.4882869999892</v>
      </c>
      <c r="W20" s="79">
        <f t="shared" si="13"/>
        <v>9349.1004928864859</v>
      </c>
      <c r="X20" s="79">
        <f t="shared" si="13"/>
        <v>9228.5323011336277</v>
      </c>
      <c r="Y20" s="79">
        <f t="shared" si="13"/>
        <v>8532.2052165845671</v>
      </c>
      <c r="Z20" s="79">
        <f t="shared" si="13"/>
        <v>7488.206756903588</v>
      </c>
      <c r="AA20" s="79">
        <f t="shared" si="13"/>
        <v>6682.3734026331667</v>
      </c>
      <c r="AB20" s="79">
        <f t="shared" si="13"/>
        <v>6257.1716800296563</v>
      </c>
      <c r="AC20" s="90">
        <f t="shared" ref="AC20:AC21" si="14">+SUM(E20:AB20)*D20</f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5">(($B19)/$D22)*E$7</f>
        <v>5844.2370108192135</v>
      </c>
      <c r="F21" s="82">
        <f t="shared" si="15"/>
        <v>5731.2179871949056</v>
      </c>
      <c r="G21" s="82">
        <f t="shared" si="15"/>
        <v>5580.5459933274351</v>
      </c>
      <c r="H21" s="82">
        <f t="shared" si="15"/>
        <v>5512.0054545648445</v>
      </c>
      <c r="I21" s="82">
        <f t="shared" si="15"/>
        <v>5528.3848966069954</v>
      </c>
      <c r="J21" s="82">
        <f t="shared" si="15"/>
        <v>5951.5554240343818</v>
      </c>
      <c r="K21" s="82">
        <f t="shared" si="15"/>
        <v>7046.9499490249627</v>
      </c>
      <c r="L21" s="82">
        <f t="shared" si="15"/>
        <v>8224.5731671873637</v>
      </c>
      <c r="M21" s="82">
        <f t="shared" si="15"/>
        <v>8851.1122842025252</v>
      </c>
      <c r="N21" s="82">
        <f t="shared" si="15"/>
        <v>9232.5184871851834</v>
      </c>
      <c r="O21" s="82">
        <f t="shared" si="15"/>
        <v>9623.5212598170165</v>
      </c>
      <c r="P21" s="82">
        <f t="shared" si="15"/>
        <v>9883.4655083889629</v>
      </c>
      <c r="Q21" s="82">
        <f t="shared" si="15"/>
        <v>9824.076037209983</v>
      </c>
      <c r="R21" s="82">
        <f t="shared" si="15"/>
        <v>9889.774488878862</v>
      </c>
      <c r="S21" s="82">
        <f t="shared" si="15"/>
        <v>9990.1368172106522</v>
      </c>
      <c r="T21" s="82">
        <f t="shared" si="15"/>
        <v>10079.988813916681</v>
      </c>
      <c r="U21" s="82">
        <f t="shared" si="15"/>
        <v>9833.2453800331259</v>
      </c>
      <c r="V21" s="82">
        <f t="shared" si="15"/>
        <v>9383.4882869999892</v>
      </c>
      <c r="W21" s="82">
        <f t="shared" si="15"/>
        <v>9349.1004928864859</v>
      </c>
      <c r="X21" s="82">
        <f t="shared" si="15"/>
        <v>9228.5323011336277</v>
      </c>
      <c r="Y21" s="82">
        <f t="shared" si="15"/>
        <v>8532.2052165845671</v>
      </c>
      <c r="Z21" s="82">
        <f t="shared" si="15"/>
        <v>7488.206756903588</v>
      </c>
      <c r="AA21" s="82">
        <f t="shared" si="15"/>
        <v>6682.3734026331667</v>
      </c>
      <c r="AB21" s="82">
        <f t="shared" si="15"/>
        <v>6257.1716800296563</v>
      </c>
      <c r="AC21" s="91">
        <f t="shared" si="14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4-2028</v>
      </c>
      <c r="B23" s="139">
        <f>'AÑO 2028'!C19</f>
        <v>6000000</v>
      </c>
      <c r="C23" s="59" t="s">
        <v>40</v>
      </c>
      <c r="D23" s="60">
        <f>VLOOKUP(A23&amp;C23,calendario!I:L,4,0)</f>
        <v>20</v>
      </c>
      <c r="E23" s="77">
        <f t="shared" ref="E23:AB23" si="18">(($B23)/$D26)*E$7</f>
        <v>6039.0449111798544</v>
      </c>
      <c r="F23" s="77">
        <f t="shared" si="18"/>
        <v>5922.25858676807</v>
      </c>
      <c r="G23" s="77">
        <f t="shared" si="18"/>
        <v>5766.5641931050168</v>
      </c>
      <c r="H23" s="77">
        <f t="shared" si="18"/>
        <v>5695.7389697170065</v>
      </c>
      <c r="I23" s="77">
        <f t="shared" si="18"/>
        <v>5712.6643931605622</v>
      </c>
      <c r="J23" s="77">
        <f t="shared" si="18"/>
        <v>6149.9406048355286</v>
      </c>
      <c r="K23" s="77">
        <f t="shared" si="18"/>
        <v>7281.8482806591282</v>
      </c>
      <c r="L23" s="77">
        <f t="shared" si="18"/>
        <v>8498.7256060936106</v>
      </c>
      <c r="M23" s="77">
        <f t="shared" si="18"/>
        <v>9146.1493603426097</v>
      </c>
      <c r="N23" s="77">
        <f t="shared" si="18"/>
        <v>9540.2691034246891</v>
      </c>
      <c r="O23" s="77">
        <f t="shared" si="18"/>
        <v>9944.3053018109167</v>
      </c>
      <c r="P23" s="77">
        <f t="shared" si="18"/>
        <v>10212.914358668595</v>
      </c>
      <c r="Q23" s="77">
        <f t="shared" si="18"/>
        <v>10151.545238450315</v>
      </c>
      <c r="R23" s="77">
        <f t="shared" si="18"/>
        <v>10219.433638508159</v>
      </c>
      <c r="S23" s="77">
        <f t="shared" si="18"/>
        <v>10323.141377784341</v>
      </c>
      <c r="T23" s="77">
        <f t="shared" si="18"/>
        <v>10415.988441047239</v>
      </c>
      <c r="U23" s="77">
        <f t="shared" si="18"/>
        <v>10161.02022603423</v>
      </c>
      <c r="V23" s="77">
        <f t="shared" si="18"/>
        <v>9696.2712298999904</v>
      </c>
      <c r="W23" s="77">
        <f t="shared" si="18"/>
        <v>9660.737175982702</v>
      </c>
      <c r="X23" s="77">
        <f t="shared" si="18"/>
        <v>9536.1500445047495</v>
      </c>
      <c r="Y23" s="77">
        <f t="shared" si="18"/>
        <v>8816.6120571373867</v>
      </c>
      <c r="Z23" s="77">
        <f t="shared" si="18"/>
        <v>7737.8136488003747</v>
      </c>
      <c r="AA23" s="77">
        <f t="shared" si="18"/>
        <v>6905.1191827209395</v>
      </c>
      <c r="AB23" s="77">
        <f t="shared" si="18"/>
        <v>6465.7440693639783</v>
      </c>
      <c r="AC23" s="89">
        <f t="shared" ref="AC23" si="19">+SUM(E23:AB23)*D23</f>
        <v>3999999.9999999995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 t="shared" ref="E24:AB24" si="20">(($B23)/$D26)*E$7</f>
        <v>6039.0449111798544</v>
      </c>
      <c r="F24" s="79">
        <f t="shared" si="20"/>
        <v>5922.25858676807</v>
      </c>
      <c r="G24" s="79">
        <f t="shared" si="20"/>
        <v>5766.5641931050168</v>
      </c>
      <c r="H24" s="79">
        <f t="shared" si="20"/>
        <v>5695.7389697170065</v>
      </c>
      <c r="I24" s="79">
        <f t="shared" si="20"/>
        <v>5712.6643931605622</v>
      </c>
      <c r="J24" s="79">
        <f t="shared" si="20"/>
        <v>6149.9406048355286</v>
      </c>
      <c r="K24" s="79">
        <f t="shared" si="20"/>
        <v>7281.8482806591282</v>
      </c>
      <c r="L24" s="79">
        <f t="shared" si="20"/>
        <v>8498.7256060936106</v>
      </c>
      <c r="M24" s="79">
        <f t="shared" si="20"/>
        <v>9146.1493603426097</v>
      </c>
      <c r="N24" s="79">
        <f t="shared" si="20"/>
        <v>9540.2691034246891</v>
      </c>
      <c r="O24" s="79">
        <f t="shared" si="20"/>
        <v>9944.3053018109167</v>
      </c>
      <c r="P24" s="79">
        <f t="shared" si="20"/>
        <v>10212.914358668595</v>
      </c>
      <c r="Q24" s="79">
        <f t="shared" si="20"/>
        <v>10151.545238450315</v>
      </c>
      <c r="R24" s="79">
        <f t="shared" si="20"/>
        <v>10219.433638508159</v>
      </c>
      <c r="S24" s="79">
        <f t="shared" si="20"/>
        <v>10323.141377784341</v>
      </c>
      <c r="T24" s="79">
        <f t="shared" si="20"/>
        <v>10415.988441047239</v>
      </c>
      <c r="U24" s="79">
        <f t="shared" si="20"/>
        <v>10161.02022603423</v>
      </c>
      <c r="V24" s="79">
        <f t="shared" si="20"/>
        <v>9696.2712298999904</v>
      </c>
      <c r="W24" s="79">
        <f t="shared" si="20"/>
        <v>9660.737175982702</v>
      </c>
      <c r="X24" s="79">
        <f t="shared" si="20"/>
        <v>9536.1500445047495</v>
      </c>
      <c r="Y24" s="79">
        <f t="shared" si="20"/>
        <v>8816.6120571373867</v>
      </c>
      <c r="Z24" s="79">
        <f t="shared" si="20"/>
        <v>7737.8136488003747</v>
      </c>
      <c r="AA24" s="79">
        <f t="shared" si="20"/>
        <v>6905.1191827209395</v>
      </c>
      <c r="AB24" s="79">
        <f t="shared" si="20"/>
        <v>6465.7440693639783</v>
      </c>
      <c r="AC24" s="90">
        <f t="shared" ref="AC24:AC25" si="21">+SUM(E24:AB24)*D24</f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22">(($B23)/$D26)*E$7</f>
        <v>6039.0449111798544</v>
      </c>
      <c r="F25" s="82">
        <f t="shared" si="22"/>
        <v>5922.25858676807</v>
      </c>
      <c r="G25" s="82">
        <f t="shared" si="22"/>
        <v>5766.5641931050168</v>
      </c>
      <c r="H25" s="82">
        <f t="shared" si="22"/>
        <v>5695.7389697170065</v>
      </c>
      <c r="I25" s="82">
        <f t="shared" si="22"/>
        <v>5712.6643931605622</v>
      </c>
      <c r="J25" s="82">
        <f t="shared" si="22"/>
        <v>6149.9406048355286</v>
      </c>
      <c r="K25" s="82">
        <f t="shared" si="22"/>
        <v>7281.8482806591282</v>
      </c>
      <c r="L25" s="82">
        <f t="shared" si="22"/>
        <v>8498.7256060936106</v>
      </c>
      <c r="M25" s="82">
        <f t="shared" si="22"/>
        <v>9146.1493603426097</v>
      </c>
      <c r="N25" s="82">
        <f t="shared" si="22"/>
        <v>9540.2691034246891</v>
      </c>
      <c r="O25" s="82">
        <f t="shared" si="22"/>
        <v>9944.3053018109167</v>
      </c>
      <c r="P25" s="82">
        <f t="shared" si="22"/>
        <v>10212.914358668595</v>
      </c>
      <c r="Q25" s="82">
        <f t="shared" si="22"/>
        <v>10151.545238450315</v>
      </c>
      <c r="R25" s="82">
        <f t="shared" si="22"/>
        <v>10219.433638508159</v>
      </c>
      <c r="S25" s="82">
        <f t="shared" si="22"/>
        <v>10323.141377784341</v>
      </c>
      <c r="T25" s="82">
        <f t="shared" si="22"/>
        <v>10415.988441047239</v>
      </c>
      <c r="U25" s="82">
        <f t="shared" si="22"/>
        <v>10161.02022603423</v>
      </c>
      <c r="V25" s="82">
        <f t="shared" si="22"/>
        <v>9696.2712298999904</v>
      </c>
      <c r="W25" s="82">
        <f t="shared" si="22"/>
        <v>9660.737175982702</v>
      </c>
      <c r="X25" s="82">
        <f t="shared" si="22"/>
        <v>9536.1500445047495</v>
      </c>
      <c r="Y25" s="82">
        <f t="shared" si="22"/>
        <v>8816.6120571373867</v>
      </c>
      <c r="Z25" s="82">
        <f t="shared" si="22"/>
        <v>7737.8136488003747</v>
      </c>
      <c r="AA25" s="82">
        <f t="shared" si="22"/>
        <v>6905.1191827209395</v>
      </c>
      <c r="AB25" s="82">
        <f t="shared" si="22"/>
        <v>6465.7440693639783</v>
      </c>
      <c r="AC25" s="91">
        <f t="shared" si="21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5-2028</v>
      </c>
      <c r="B27" s="139">
        <f>'AÑO 2028'!C20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5">(($B27)/$D30)*E$7</f>
        <v>5844.2370108192135</v>
      </c>
      <c r="F27" s="77">
        <f t="shared" si="25"/>
        <v>5731.2179871949056</v>
      </c>
      <c r="G27" s="77">
        <f t="shared" si="25"/>
        <v>5580.5459933274351</v>
      </c>
      <c r="H27" s="77">
        <f t="shared" si="25"/>
        <v>5512.0054545648445</v>
      </c>
      <c r="I27" s="77">
        <f t="shared" si="25"/>
        <v>5528.3848966069954</v>
      </c>
      <c r="J27" s="77">
        <f t="shared" si="25"/>
        <v>5951.5554240343818</v>
      </c>
      <c r="K27" s="77">
        <f t="shared" si="25"/>
        <v>7046.9499490249627</v>
      </c>
      <c r="L27" s="77">
        <f t="shared" si="25"/>
        <v>8224.5731671873637</v>
      </c>
      <c r="M27" s="77">
        <f t="shared" si="25"/>
        <v>8851.1122842025252</v>
      </c>
      <c r="N27" s="77">
        <f t="shared" si="25"/>
        <v>9232.5184871851834</v>
      </c>
      <c r="O27" s="77">
        <f t="shared" si="25"/>
        <v>9623.5212598170165</v>
      </c>
      <c r="P27" s="77">
        <f t="shared" si="25"/>
        <v>9883.4655083889629</v>
      </c>
      <c r="Q27" s="77">
        <f t="shared" si="25"/>
        <v>9824.076037209983</v>
      </c>
      <c r="R27" s="77">
        <f t="shared" si="25"/>
        <v>9889.774488878862</v>
      </c>
      <c r="S27" s="77">
        <f t="shared" si="25"/>
        <v>9990.1368172106522</v>
      </c>
      <c r="T27" s="77">
        <f t="shared" si="25"/>
        <v>10079.988813916681</v>
      </c>
      <c r="U27" s="77">
        <f t="shared" si="25"/>
        <v>9833.2453800331259</v>
      </c>
      <c r="V27" s="77">
        <f t="shared" si="25"/>
        <v>9383.4882869999892</v>
      </c>
      <c r="W27" s="77">
        <f t="shared" si="25"/>
        <v>9349.1004928864859</v>
      </c>
      <c r="X27" s="77">
        <f t="shared" si="25"/>
        <v>9228.5323011336277</v>
      </c>
      <c r="Y27" s="77">
        <f t="shared" si="25"/>
        <v>8532.2052165845671</v>
      </c>
      <c r="Z27" s="77">
        <f t="shared" si="25"/>
        <v>7488.206756903588</v>
      </c>
      <c r="AA27" s="77">
        <f t="shared" si="25"/>
        <v>6682.3734026331667</v>
      </c>
      <c r="AB27" s="77">
        <f t="shared" si="25"/>
        <v>6257.1716800296563</v>
      </c>
      <c r="AC27" s="89">
        <f t="shared" ref="AC27" si="26">+SUM(E27:AB27)*D27</f>
        <v>4451612.9032258056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7">(($B27)/$D30)*E$7</f>
        <v>5844.2370108192135</v>
      </c>
      <c r="F28" s="79">
        <f t="shared" si="27"/>
        <v>5731.2179871949056</v>
      </c>
      <c r="G28" s="79">
        <f t="shared" si="27"/>
        <v>5580.5459933274351</v>
      </c>
      <c r="H28" s="79">
        <f t="shared" si="27"/>
        <v>5512.0054545648445</v>
      </c>
      <c r="I28" s="79">
        <f t="shared" si="27"/>
        <v>5528.3848966069954</v>
      </c>
      <c r="J28" s="79">
        <f t="shared" si="27"/>
        <v>5951.5554240343818</v>
      </c>
      <c r="K28" s="79">
        <f t="shared" si="27"/>
        <v>7046.9499490249627</v>
      </c>
      <c r="L28" s="79">
        <f t="shared" si="27"/>
        <v>8224.5731671873637</v>
      </c>
      <c r="M28" s="79">
        <f t="shared" si="27"/>
        <v>8851.1122842025252</v>
      </c>
      <c r="N28" s="79">
        <f t="shared" si="27"/>
        <v>9232.5184871851834</v>
      </c>
      <c r="O28" s="79">
        <f t="shared" si="27"/>
        <v>9623.5212598170165</v>
      </c>
      <c r="P28" s="79">
        <f t="shared" si="27"/>
        <v>9883.4655083889629</v>
      </c>
      <c r="Q28" s="79">
        <f t="shared" si="27"/>
        <v>9824.076037209983</v>
      </c>
      <c r="R28" s="79">
        <f t="shared" si="27"/>
        <v>9889.774488878862</v>
      </c>
      <c r="S28" s="79">
        <f t="shared" si="27"/>
        <v>9990.1368172106522</v>
      </c>
      <c r="T28" s="79">
        <f t="shared" si="27"/>
        <v>10079.988813916681</v>
      </c>
      <c r="U28" s="79">
        <f t="shared" si="27"/>
        <v>9833.2453800331259</v>
      </c>
      <c r="V28" s="79">
        <f t="shared" si="27"/>
        <v>9383.4882869999892</v>
      </c>
      <c r="W28" s="79">
        <f t="shared" si="27"/>
        <v>9349.1004928864859</v>
      </c>
      <c r="X28" s="79">
        <f t="shared" si="27"/>
        <v>9228.5323011336277</v>
      </c>
      <c r="Y28" s="79">
        <f t="shared" si="27"/>
        <v>8532.2052165845671</v>
      </c>
      <c r="Z28" s="79">
        <f t="shared" si="27"/>
        <v>7488.206756903588</v>
      </c>
      <c r="AA28" s="79">
        <f t="shared" si="27"/>
        <v>6682.3734026331667</v>
      </c>
      <c r="AB28" s="79">
        <f t="shared" si="27"/>
        <v>6257.1716800296563</v>
      </c>
      <c r="AC28" s="90">
        <f t="shared" ref="AC28:AC29" si="28">+SUM(E28:AB28)*D28</f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9">(($B27)/$D30)*E$7</f>
        <v>5844.2370108192135</v>
      </c>
      <c r="F29" s="82">
        <f t="shared" si="29"/>
        <v>5731.2179871949056</v>
      </c>
      <c r="G29" s="82">
        <f t="shared" si="29"/>
        <v>5580.5459933274351</v>
      </c>
      <c r="H29" s="82">
        <f t="shared" si="29"/>
        <v>5512.0054545648445</v>
      </c>
      <c r="I29" s="82">
        <f t="shared" si="29"/>
        <v>5528.3848966069954</v>
      </c>
      <c r="J29" s="82">
        <f t="shared" si="29"/>
        <v>5951.5554240343818</v>
      </c>
      <c r="K29" s="82">
        <f t="shared" si="29"/>
        <v>7046.9499490249627</v>
      </c>
      <c r="L29" s="82">
        <f t="shared" si="29"/>
        <v>8224.5731671873637</v>
      </c>
      <c r="M29" s="82">
        <f t="shared" si="29"/>
        <v>8851.1122842025252</v>
      </c>
      <c r="N29" s="82">
        <f t="shared" si="29"/>
        <v>9232.5184871851834</v>
      </c>
      <c r="O29" s="82">
        <f t="shared" si="29"/>
        <v>9623.5212598170165</v>
      </c>
      <c r="P29" s="82">
        <f t="shared" si="29"/>
        <v>9883.4655083889629</v>
      </c>
      <c r="Q29" s="82">
        <f t="shared" si="29"/>
        <v>9824.076037209983</v>
      </c>
      <c r="R29" s="82">
        <f t="shared" si="29"/>
        <v>9889.774488878862</v>
      </c>
      <c r="S29" s="82">
        <f t="shared" si="29"/>
        <v>9990.1368172106522</v>
      </c>
      <c r="T29" s="82">
        <f t="shared" si="29"/>
        <v>10079.988813916681</v>
      </c>
      <c r="U29" s="82">
        <f t="shared" si="29"/>
        <v>9833.2453800331259</v>
      </c>
      <c r="V29" s="82">
        <f t="shared" si="29"/>
        <v>9383.4882869999892</v>
      </c>
      <c r="W29" s="82">
        <f t="shared" si="29"/>
        <v>9349.1004928864859</v>
      </c>
      <c r="X29" s="82">
        <f t="shared" si="29"/>
        <v>9228.5323011336277</v>
      </c>
      <c r="Y29" s="82">
        <f t="shared" si="29"/>
        <v>8532.2052165845671</v>
      </c>
      <c r="Z29" s="82">
        <f t="shared" si="29"/>
        <v>7488.206756903588</v>
      </c>
      <c r="AA29" s="82">
        <f t="shared" si="29"/>
        <v>6682.3734026331667</v>
      </c>
      <c r="AB29" s="82">
        <f t="shared" si="29"/>
        <v>6257.1716800296563</v>
      </c>
      <c r="AC29" s="91">
        <f t="shared" si="28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5999999.9999999981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6-2028</v>
      </c>
      <c r="B31" s="139">
        <f>'AÑO 2028'!C21</f>
        <v>6000000</v>
      </c>
      <c r="C31" s="59" t="s">
        <v>40</v>
      </c>
      <c r="D31" s="60">
        <f>VLOOKUP(A31&amp;C31,calendario!I:L,4,0)</f>
        <v>22</v>
      </c>
      <c r="E31" s="77">
        <f t="shared" ref="E31:AB31" si="32">(($B31)/$D34)*E$7</f>
        <v>6039.0449111798544</v>
      </c>
      <c r="F31" s="77">
        <f t="shared" si="32"/>
        <v>5922.25858676807</v>
      </c>
      <c r="G31" s="77">
        <f t="shared" si="32"/>
        <v>5766.5641931050168</v>
      </c>
      <c r="H31" s="77">
        <f t="shared" si="32"/>
        <v>5695.7389697170065</v>
      </c>
      <c r="I31" s="77">
        <f t="shared" si="32"/>
        <v>5712.6643931605622</v>
      </c>
      <c r="J31" s="77">
        <f t="shared" si="32"/>
        <v>6149.9406048355286</v>
      </c>
      <c r="K31" s="77">
        <f t="shared" si="32"/>
        <v>7281.8482806591282</v>
      </c>
      <c r="L31" s="77">
        <f t="shared" si="32"/>
        <v>8498.7256060936106</v>
      </c>
      <c r="M31" s="77">
        <f t="shared" si="32"/>
        <v>9146.1493603426097</v>
      </c>
      <c r="N31" s="77">
        <f t="shared" si="32"/>
        <v>9540.2691034246891</v>
      </c>
      <c r="O31" s="77">
        <f t="shared" si="32"/>
        <v>9944.3053018109167</v>
      </c>
      <c r="P31" s="77">
        <f t="shared" si="32"/>
        <v>10212.914358668595</v>
      </c>
      <c r="Q31" s="77">
        <f t="shared" si="32"/>
        <v>10151.545238450315</v>
      </c>
      <c r="R31" s="77">
        <f t="shared" si="32"/>
        <v>10219.433638508159</v>
      </c>
      <c r="S31" s="77">
        <f t="shared" si="32"/>
        <v>10323.141377784341</v>
      </c>
      <c r="T31" s="77">
        <f t="shared" si="32"/>
        <v>10415.988441047239</v>
      </c>
      <c r="U31" s="77">
        <f t="shared" si="32"/>
        <v>10161.02022603423</v>
      </c>
      <c r="V31" s="77">
        <f t="shared" si="32"/>
        <v>9696.2712298999904</v>
      </c>
      <c r="W31" s="77">
        <f t="shared" si="32"/>
        <v>9660.737175982702</v>
      </c>
      <c r="X31" s="77">
        <f t="shared" si="32"/>
        <v>9536.1500445047495</v>
      </c>
      <c r="Y31" s="77">
        <f t="shared" si="32"/>
        <v>8816.6120571373867</v>
      </c>
      <c r="Z31" s="77">
        <f t="shared" si="32"/>
        <v>7737.8136488003747</v>
      </c>
      <c r="AA31" s="77">
        <f t="shared" si="32"/>
        <v>6905.1191827209395</v>
      </c>
      <c r="AB31" s="77">
        <f t="shared" si="32"/>
        <v>6465.7440693639783</v>
      </c>
      <c r="AC31" s="89">
        <f t="shared" ref="AC31" si="33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4">(($B31)/$D34)*E$7</f>
        <v>6039.0449111798544</v>
      </c>
      <c r="F32" s="79">
        <f t="shared" si="34"/>
        <v>5922.25858676807</v>
      </c>
      <c r="G32" s="79">
        <f t="shared" si="34"/>
        <v>5766.5641931050168</v>
      </c>
      <c r="H32" s="79">
        <f t="shared" si="34"/>
        <v>5695.7389697170065</v>
      </c>
      <c r="I32" s="79">
        <f t="shared" si="34"/>
        <v>5712.6643931605622</v>
      </c>
      <c r="J32" s="79">
        <f t="shared" si="34"/>
        <v>6149.9406048355286</v>
      </c>
      <c r="K32" s="79">
        <f t="shared" si="34"/>
        <v>7281.8482806591282</v>
      </c>
      <c r="L32" s="79">
        <f t="shared" si="34"/>
        <v>8498.7256060936106</v>
      </c>
      <c r="M32" s="79">
        <f t="shared" si="34"/>
        <v>9146.1493603426097</v>
      </c>
      <c r="N32" s="79">
        <f t="shared" si="34"/>
        <v>9540.2691034246891</v>
      </c>
      <c r="O32" s="79">
        <f t="shared" si="34"/>
        <v>9944.3053018109167</v>
      </c>
      <c r="P32" s="79">
        <f t="shared" si="34"/>
        <v>10212.914358668595</v>
      </c>
      <c r="Q32" s="79">
        <f t="shared" si="34"/>
        <v>10151.545238450315</v>
      </c>
      <c r="R32" s="79">
        <f t="shared" si="34"/>
        <v>10219.433638508159</v>
      </c>
      <c r="S32" s="79">
        <f t="shared" si="34"/>
        <v>10323.141377784341</v>
      </c>
      <c r="T32" s="79">
        <f t="shared" si="34"/>
        <v>10415.988441047239</v>
      </c>
      <c r="U32" s="79">
        <f t="shared" si="34"/>
        <v>10161.02022603423</v>
      </c>
      <c r="V32" s="79">
        <f t="shared" si="34"/>
        <v>9696.2712298999904</v>
      </c>
      <c r="W32" s="79">
        <f t="shared" si="34"/>
        <v>9660.737175982702</v>
      </c>
      <c r="X32" s="79">
        <f t="shared" si="34"/>
        <v>9536.1500445047495</v>
      </c>
      <c r="Y32" s="79">
        <f t="shared" si="34"/>
        <v>8816.6120571373867</v>
      </c>
      <c r="Z32" s="79">
        <f t="shared" si="34"/>
        <v>7737.8136488003747</v>
      </c>
      <c r="AA32" s="79">
        <f t="shared" si="34"/>
        <v>6905.1191827209395</v>
      </c>
      <c r="AB32" s="79">
        <f t="shared" si="34"/>
        <v>6465.7440693639783</v>
      </c>
      <c r="AC32" s="90">
        <f t="shared" ref="AC32:AC33" si="35">+SUM(E32:AB32)*D32</f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6">(($B31)/$D34)*E$7</f>
        <v>6039.0449111798544</v>
      </c>
      <c r="F33" s="82">
        <f t="shared" si="36"/>
        <v>5922.25858676807</v>
      </c>
      <c r="G33" s="82">
        <f t="shared" si="36"/>
        <v>5766.5641931050168</v>
      </c>
      <c r="H33" s="82">
        <f t="shared" si="36"/>
        <v>5695.7389697170065</v>
      </c>
      <c r="I33" s="82">
        <f t="shared" si="36"/>
        <v>5712.6643931605622</v>
      </c>
      <c r="J33" s="82">
        <f t="shared" si="36"/>
        <v>6149.9406048355286</v>
      </c>
      <c r="K33" s="82">
        <f t="shared" si="36"/>
        <v>7281.8482806591282</v>
      </c>
      <c r="L33" s="82">
        <f t="shared" si="36"/>
        <v>8498.7256060936106</v>
      </c>
      <c r="M33" s="82">
        <f t="shared" si="36"/>
        <v>9146.1493603426097</v>
      </c>
      <c r="N33" s="82">
        <f t="shared" si="36"/>
        <v>9540.2691034246891</v>
      </c>
      <c r="O33" s="82">
        <f t="shared" si="36"/>
        <v>9944.3053018109167</v>
      </c>
      <c r="P33" s="82">
        <f t="shared" si="36"/>
        <v>10212.914358668595</v>
      </c>
      <c r="Q33" s="82">
        <f t="shared" si="36"/>
        <v>10151.545238450315</v>
      </c>
      <c r="R33" s="82">
        <f t="shared" si="36"/>
        <v>10219.433638508159</v>
      </c>
      <c r="S33" s="82">
        <f t="shared" si="36"/>
        <v>10323.141377784341</v>
      </c>
      <c r="T33" s="82">
        <f t="shared" si="36"/>
        <v>10415.988441047239</v>
      </c>
      <c r="U33" s="82">
        <f t="shared" si="36"/>
        <v>10161.02022603423</v>
      </c>
      <c r="V33" s="82">
        <f t="shared" si="36"/>
        <v>9696.2712298999904</v>
      </c>
      <c r="W33" s="82">
        <f t="shared" si="36"/>
        <v>9660.737175982702</v>
      </c>
      <c r="X33" s="82">
        <f t="shared" si="36"/>
        <v>9536.1500445047495</v>
      </c>
      <c r="Y33" s="82">
        <f t="shared" si="36"/>
        <v>8816.6120571373867</v>
      </c>
      <c r="Z33" s="82">
        <f t="shared" si="36"/>
        <v>7737.8136488003747</v>
      </c>
      <c r="AA33" s="82">
        <f t="shared" si="36"/>
        <v>6905.1191827209395</v>
      </c>
      <c r="AB33" s="82">
        <f t="shared" si="36"/>
        <v>6465.7440693639783</v>
      </c>
      <c r="AC33" s="91">
        <f t="shared" si="35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7-2028</v>
      </c>
      <c r="B35" s="139">
        <f>'AÑO 2028'!C22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9">(($B35)/$D38)*E$7</f>
        <v>5844.2370108192135</v>
      </c>
      <c r="F35" s="77">
        <f t="shared" si="39"/>
        <v>5731.2179871949056</v>
      </c>
      <c r="G35" s="77">
        <f t="shared" si="39"/>
        <v>5580.5459933274351</v>
      </c>
      <c r="H35" s="77">
        <f t="shared" si="39"/>
        <v>5512.0054545648445</v>
      </c>
      <c r="I35" s="77">
        <f t="shared" si="39"/>
        <v>5528.3848966069954</v>
      </c>
      <c r="J35" s="77">
        <f t="shared" si="39"/>
        <v>5951.5554240343818</v>
      </c>
      <c r="K35" s="77">
        <f t="shared" si="39"/>
        <v>7046.9499490249627</v>
      </c>
      <c r="L35" s="77">
        <f t="shared" si="39"/>
        <v>8224.5731671873637</v>
      </c>
      <c r="M35" s="77">
        <f t="shared" si="39"/>
        <v>8851.1122842025252</v>
      </c>
      <c r="N35" s="77">
        <f t="shared" si="39"/>
        <v>9232.5184871851834</v>
      </c>
      <c r="O35" s="77">
        <f t="shared" si="39"/>
        <v>9623.5212598170165</v>
      </c>
      <c r="P35" s="77">
        <f t="shared" si="39"/>
        <v>9883.4655083889629</v>
      </c>
      <c r="Q35" s="77">
        <f t="shared" si="39"/>
        <v>9824.076037209983</v>
      </c>
      <c r="R35" s="77">
        <f t="shared" si="39"/>
        <v>9889.774488878862</v>
      </c>
      <c r="S35" s="77">
        <f t="shared" si="39"/>
        <v>9990.1368172106522</v>
      </c>
      <c r="T35" s="77">
        <f t="shared" si="39"/>
        <v>10079.988813916681</v>
      </c>
      <c r="U35" s="77">
        <f t="shared" si="39"/>
        <v>9833.2453800331259</v>
      </c>
      <c r="V35" s="77">
        <f t="shared" si="39"/>
        <v>9383.4882869999892</v>
      </c>
      <c r="W35" s="77">
        <f t="shared" si="39"/>
        <v>9349.1004928864859</v>
      </c>
      <c r="X35" s="77">
        <f t="shared" si="39"/>
        <v>9228.5323011336277</v>
      </c>
      <c r="Y35" s="77">
        <f t="shared" si="39"/>
        <v>8532.2052165845671</v>
      </c>
      <c r="Z35" s="77">
        <f t="shared" si="39"/>
        <v>7488.206756903588</v>
      </c>
      <c r="AA35" s="77">
        <f t="shared" si="39"/>
        <v>6682.3734026331667</v>
      </c>
      <c r="AB35" s="77">
        <f t="shared" si="39"/>
        <v>6257.1716800296563</v>
      </c>
      <c r="AC35" s="89">
        <f t="shared" ref="AC35" si="40">+SUM(E35:AB35)*D35</f>
        <v>4064516.129032257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41">(($B35)/$D38)*E$7</f>
        <v>5844.2370108192135</v>
      </c>
      <c r="F36" s="79">
        <f t="shared" si="41"/>
        <v>5731.2179871949056</v>
      </c>
      <c r="G36" s="79">
        <f t="shared" si="41"/>
        <v>5580.5459933274351</v>
      </c>
      <c r="H36" s="79">
        <f t="shared" si="41"/>
        <v>5512.0054545648445</v>
      </c>
      <c r="I36" s="79">
        <f t="shared" si="41"/>
        <v>5528.3848966069954</v>
      </c>
      <c r="J36" s="79">
        <f t="shared" si="41"/>
        <v>5951.5554240343818</v>
      </c>
      <c r="K36" s="79">
        <f t="shared" si="41"/>
        <v>7046.9499490249627</v>
      </c>
      <c r="L36" s="79">
        <f t="shared" si="41"/>
        <v>8224.5731671873637</v>
      </c>
      <c r="M36" s="79">
        <f t="shared" si="41"/>
        <v>8851.1122842025252</v>
      </c>
      <c r="N36" s="79">
        <f t="shared" si="41"/>
        <v>9232.5184871851834</v>
      </c>
      <c r="O36" s="79">
        <f t="shared" si="41"/>
        <v>9623.5212598170165</v>
      </c>
      <c r="P36" s="79">
        <f t="shared" si="41"/>
        <v>9883.4655083889629</v>
      </c>
      <c r="Q36" s="79">
        <f t="shared" si="41"/>
        <v>9824.076037209983</v>
      </c>
      <c r="R36" s="79">
        <f t="shared" si="41"/>
        <v>9889.774488878862</v>
      </c>
      <c r="S36" s="79">
        <f t="shared" si="41"/>
        <v>9990.1368172106522</v>
      </c>
      <c r="T36" s="79">
        <f t="shared" si="41"/>
        <v>10079.988813916681</v>
      </c>
      <c r="U36" s="79">
        <f t="shared" si="41"/>
        <v>9833.2453800331259</v>
      </c>
      <c r="V36" s="79">
        <f t="shared" si="41"/>
        <v>9383.4882869999892</v>
      </c>
      <c r="W36" s="79">
        <f t="shared" si="41"/>
        <v>9349.1004928864859</v>
      </c>
      <c r="X36" s="79">
        <f t="shared" si="41"/>
        <v>9228.5323011336277</v>
      </c>
      <c r="Y36" s="79">
        <f t="shared" si="41"/>
        <v>8532.2052165845671</v>
      </c>
      <c r="Z36" s="79">
        <f t="shared" si="41"/>
        <v>7488.206756903588</v>
      </c>
      <c r="AA36" s="79">
        <f t="shared" si="41"/>
        <v>6682.3734026331667</v>
      </c>
      <c r="AB36" s="79">
        <f t="shared" si="41"/>
        <v>6257.1716800296563</v>
      </c>
      <c r="AC36" s="90">
        <f t="shared" ref="AC36:AC37" si="42">+SUM(E36:AB36)*D36</f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43">(($B35)/$D38)*E$7</f>
        <v>5844.2370108192135</v>
      </c>
      <c r="F37" s="82">
        <f t="shared" si="43"/>
        <v>5731.2179871949056</v>
      </c>
      <c r="G37" s="82">
        <f t="shared" si="43"/>
        <v>5580.5459933274351</v>
      </c>
      <c r="H37" s="82">
        <f t="shared" si="43"/>
        <v>5512.0054545648445</v>
      </c>
      <c r="I37" s="82">
        <f t="shared" si="43"/>
        <v>5528.3848966069954</v>
      </c>
      <c r="J37" s="82">
        <f t="shared" si="43"/>
        <v>5951.5554240343818</v>
      </c>
      <c r="K37" s="82">
        <f t="shared" si="43"/>
        <v>7046.9499490249627</v>
      </c>
      <c r="L37" s="82">
        <f t="shared" si="43"/>
        <v>8224.5731671873637</v>
      </c>
      <c r="M37" s="82">
        <f t="shared" si="43"/>
        <v>8851.1122842025252</v>
      </c>
      <c r="N37" s="82">
        <f t="shared" si="43"/>
        <v>9232.5184871851834</v>
      </c>
      <c r="O37" s="82">
        <f t="shared" si="43"/>
        <v>9623.5212598170165</v>
      </c>
      <c r="P37" s="82">
        <f t="shared" si="43"/>
        <v>9883.4655083889629</v>
      </c>
      <c r="Q37" s="82">
        <f t="shared" si="43"/>
        <v>9824.076037209983</v>
      </c>
      <c r="R37" s="82">
        <f t="shared" si="43"/>
        <v>9889.774488878862</v>
      </c>
      <c r="S37" s="82">
        <f t="shared" si="43"/>
        <v>9990.1368172106522</v>
      </c>
      <c r="T37" s="82">
        <f t="shared" si="43"/>
        <v>10079.988813916681</v>
      </c>
      <c r="U37" s="82">
        <f t="shared" si="43"/>
        <v>9833.2453800331259</v>
      </c>
      <c r="V37" s="82">
        <f t="shared" si="43"/>
        <v>9383.4882869999892</v>
      </c>
      <c r="W37" s="82">
        <f t="shared" si="43"/>
        <v>9349.1004928864859</v>
      </c>
      <c r="X37" s="82">
        <f t="shared" si="43"/>
        <v>9228.5323011336277</v>
      </c>
      <c r="Y37" s="82">
        <f t="shared" si="43"/>
        <v>8532.2052165845671</v>
      </c>
      <c r="Z37" s="82">
        <f t="shared" si="43"/>
        <v>7488.206756903588</v>
      </c>
      <c r="AA37" s="82">
        <f t="shared" si="43"/>
        <v>6682.3734026331667</v>
      </c>
      <c r="AB37" s="82">
        <f t="shared" si="43"/>
        <v>6257.1716800296563</v>
      </c>
      <c r="AC37" s="91">
        <f t="shared" si="42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8-2028</v>
      </c>
      <c r="B39" s="139">
        <f>'AÑO 2028'!C23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6">(($B39)/$D42)*E$7</f>
        <v>5844.2370108192135</v>
      </c>
      <c r="F39" s="77">
        <f t="shared" si="46"/>
        <v>5731.2179871949056</v>
      </c>
      <c r="G39" s="77">
        <f t="shared" si="46"/>
        <v>5580.5459933274351</v>
      </c>
      <c r="H39" s="77">
        <f t="shared" si="46"/>
        <v>5512.0054545648445</v>
      </c>
      <c r="I39" s="77">
        <f t="shared" si="46"/>
        <v>5528.3848966069954</v>
      </c>
      <c r="J39" s="77">
        <f t="shared" si="46"/>
        <v>5951.5554240343818</v>
      </c>
      <c r="K39" s="77">
        <f t="shared" si="46"/>
        <v>7046.9499490249627</v>
      </c>
      <c r="L39" s="77">
        <f t="shared" si="46"/>
        <v>8224.5731671873637</v>
      </c>
      <c r="M39" s="77">
        <f t="shared" si="46"/>
        <v>8851.1122842025252</v>
      </c>
      <c r="N39" s="77">
        <f t="shared" si="46"/>
        <v>9232.5184871851834</v>
      </c>
      <c r="O39" s="77">
        <f t="shared" si="46"/>
        <v>9623.5212598170165</v>
      </c>
      <c r="P39" s="77">
        <f t="shared" si="46"/>
        <v>9883.4655083889629</v>
      </c>
      <c r="Q39" s="77">
        <f t="shared" si="46"/>
        <v>9824.076037209983</v>
      </c>
      <c r="R39" s="77">
        <f t="shared" si="46"/>
        <v>9889.774488878862</v>
      </c>
      <c r="S39" s="77">
        <f t="shared" si="46"/>
        <v>9990.1368172106522</v>
      </c>
      <c r="T39" s="77">
        <f t="shared" si="46"/>
        <v>10079.988813916681</v>
      </c>
      <c r="U39" s="77">
        <f t="shared" si="46"/>
        <v>9833.2453800331259</v>
      </c>
      <c r="V39" s="77">
        <f t="shared" si="46"/>
        <v>9383.4882869999892</v>
      </c>
      <c r="W39" s="77">
        <f t="shared" si="46"/>
        <v>9349.1004928864859</v>
      </c>
      <c r="X39" s="77">
        <f t="shared" si="46"/>
        <v>9228.5323011336277</v>
      </c>
      <c r="Y39" s="77">
        <f t="shared" si="46"/>
        <v>8532.2052165845671</v>
      </c>
      <c r="Z39" s="77">
        <f t="shared" si="46"/>
        <v>7488.206756903588</v>
      </c>
      <c r="AA39" s="77">
        <f t="shared" si="46"/>
        <v>6682.3734026331667</v>
      </c>
      <c r="AB39" s="77">
        <f t="shared" si="46"/>
        <v>6257.1716800296563</v>
      </c>
      <c r="AC39" s="89">
        <f t="shared" ref="AC39" si="47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8">(($B39)/$D42)*E$7</f>
        <v>5844.2370108192135</v>
      </c>
      <c r="F40" s="79">
        <f t="shared" si="48"/>
        <v>5731.2179871949056</v>
      </c>
      <c r="G40" s="79">
        <f t="shared" si="48"/>
        <v>5580.5459933274351</v>
      </c>
      <c r="H40" s="79">
        <f t="shared" si="48"/>
        <v>5512.0054545648445</v>
      </c>
      <c r="I40" s="79">
        <f t="shared" si="48"/>
        <v>5528.3848966069954</v>
      </c>
      <c r="J40" s="79">
        <f t="shared" si="48"/>
        <v>5951.5554240343818</v>
      </c>
      <c r="K40" s="79">
        <f t="shared" si="48"/>
        <v>7046.9499490249627</v>
      </c>
      <c r="L40" s="79">
        <f t="shared" si="48"/>
        <v>8224.5731671873637</v>
      </c>
      <c r="M40" s="79">
        <f t="shared" si="48"/>
        <v>8851.1122842025252</v>
      </c>
      <c r="N40" s="79">
        <f t="shared" si="48"/>
        <v>9232.5184871851834</v>
      </c>
      <c r="O40" s="79">
        <f t="shared" si="48"/>
        <v>9623.5212598170165</v>
      </c>
      <c r="P40" s="79">
        <f t="shared" si="48"/>
        <v>9883.4655083889629</v>
      </c>
      <c r="Q40" s="79">
        <f t="shared" si="48"/>
        <v>9824.076037209983</v>
      </c>
      <c r="R40" s="79">
        <f t="shared" si="48"/>
        <v>9889.774488878862</v>
      </c>
      <c r="S40" s="79">
        <f t="shared" si="48"/>
        <v>9990.1368172106522</v>
      </c>
      <c r="T40" s="79">
        <f t="shared" si="48"/>
        <v>10079.988813916681</v>
      </c>
      <c r="U40" s="79">
        <f t="shared" si="48"/>
        <v>9833.2453800331259</v>
      </c>
      <c r="V40" s="79">
        <f t="shared" si="48"/>
        <v>9383.4882869999892</v>
      </c>
      <c r="W40" s="79">
        <f t="shared" si="48"/>
        <v>9349.1004928864859</v>
      </c>
      <c r="X40" s="79">
        <f t="shared" si="48"/>
        <v>9228.5323011336277</v>
      </c>
      <c r="Y40" s="79">
        <f t="shared" si="48"/>
        <v>8532.2052165845671</v>
      </c>
      <c r="Z40" s="79">
        <f t="shared" si="48"/>
        <v>7488.206756903588</v>
      </c>
      <c r="AA40" s="79">
        <f t="shared" si="48"/>
        <v>6682.3734026331667</v>
      </c>
      <c r="AB40" s="79">
        <f t="shared" si="48"/>
        <v>6257.1716800296563</v>
      </c>
      <c r="AC40" s="90">
        <f t="shared" ref="AC40:AC41" si="49">+SUM(E40:AB40)*D40</f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50">(($B39)/$D42)*E$7</f>
        <v>5844.2370108192135</v>
      </c>
      <c r="F41" s="82">
        <f t="shared" si="50"/>
        <v>5731.2179871949056</v>
      </c>
      <c r="G41" s="82">
        <f t="shared" si="50"/>
        <v>5580.5459933274351</v>
      </c>
      <c r="H41" s="82">
        <f t="shared" si="50"/>
        <v>5512.0054545648445</v>
      </c>
      <c r="I41" s="82">
        <f t="shared" si="50"/>
        <v>5528.3848966069954</v>
      </c>
      <c r="J41" s="82">
        <f t="shared" si="50"/>
        <v>5951.5554240343818</v>
      </c>
      <c r="K41" s="82">
        <f t="shared" si="50"/>
        <v>7046.9499490249627</v>
      </c>
      <c r="L41" s="82">
        <f t="shared" si="50"/>
        <v>8224.5731671873637</v>
      </c>
      <c r="M41" s="82">
        <f t="shared" si="50"/>
        <v>8851.1122842025252</v>
      </c>
      <c r="N41" s="82">
        <f t="shared" si="50"/>
        <v>9232.5184871851834</v>
      </c>
      <c r="O41" s="82">
        <f t="shared" si="50"/>
        <v>9623.5212598170165</v>
      </c>
      <c r="P41" s="82">
        <f t="shared" si="50"/>
        <v>9883.4655083889629</v>
      </c>
      <c r="Q41" s="82">
        <f t="shared" si="50"/>
        <v>9824.076037209983</v>
      </c>
      <c r="R41" s="82">
        <f t="shared" si="50"/>
        <v>9889.774488878862</v>
      </c>
      <c r="S41" s="82">
        <f t="shared" si="50"/>
        <v>9990.1368172106522</v>
      </c>
      <c r="T41" s="82">
        <f t="shared" si="50"/>
        <v>10079.988813916681</v>
      </c>
      <c r="U41" s="82">
        <f t="shared" si="50"/>
        <v>9833.2453800331259</v>
      </c>
      <c r="V41" s="82">
        <f t="shared" si="50"/>
        <v>9383.4882869999892</v>
      </c>
      <c r="W41" s="82">
        <f t="shared" si="50"/>
        <v>9349.1004928864859</v>
      </c>
      <c r="X41" s="82">
        <f t="shared" si="50"/>
        <v>9228.5323011336277</v>
      </c>
      <c r="Y41" s="82">
        <f t="shared" si="50"/>
        <v>8532.2052165845671</v>
      </c>
      <c r="Z41" s="82">
        <f t="shared" si="50"/>
        <v>7488.206756903588</v>
      </c>
      <c r="AA41" s="82">
        <f t="shared" si="50"/>
        <v>6682.3734026331667</v>
      </c>
      <c r="AB41" s="82">
        <f t="shared" si="50"/>
        <v>6257.1716800296563</v>
      </c>
      <c r="AC41" s="91">
        <f t="shared" si="49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9-2028</v>
      </c>
      <c r="B43" s="139">
        <f>'AÑO 2028'!C24</f>
        <v>6000000</v>
      </c>
      <c r="C43" s="59" t="s">
        <v>40</v>
      </c>
      <c r="D43" s="60">
        <f>VLOOKUP(A43&amp;C43,calendario!I:L,4,0)</f>
        <v>21</v>
      </c>
      <c r="E43" s="77">
        <f t="shared" ref="E43:AB43" si="53">(($B43)/$D46)*E$7</f>
        <v>6039.0449111798544</v>
      </c>
      <c r="F43" s="77">
        <f t="shared" si="53"/>
        <v>5922.25858676807</v>
      </c>
      <c r="G43" s="77">
        <f t="shared" si="53"/>
        <v>5766.5641931050168</v>
      </c>
      <c r="H43" s="77">
        <f t="shared" si="53"/>
        <v>5695.7389697170065</v>
      </c>
      <c r="I43" s="77">
        <f t="shared" si="53"/>
        <v>5712.6643931605622</v>
      </c>
      <c r="J43" s="77">
        <f t="shared" si="53"/>
        <v>6149.9406048355286</v>
      </c>
      <c r="K43" s="77">
        <f t="shared" si="53"/>
        <v>7281.8482806591282</v>
      </c>
      <c r="L43" s="77">
        <f t="shared" si="53"/>
        <v>8498.7256060936106</v>
      </c>
      <c r="M43" s="77">
        <f t="shared" si="53"/>
        <v>9146.1493603426097</v>
      </c>
      <c r="N43" s="77">
        <f t="shared" si="53"/>
        <v>9540.2691034246891</v>
      </c>
      <c r="O43" s="77">
        <f t="shared" si="53"/>
        <v>9944.3053018109167</v>
      </c>
      <c r="P43" s="77">
        <f t="shared" si="53"/>
        <v>10212.914358668595</v>
      </c>
      <c r="Q43" s="77">
        <f t="shared" si="53"/>
        <v>10151.545238450315</v>
      </c>
      <c r="R43" s="77">
        <f t="shared" si="53"/>
        <v>10219.433638508159</v>
      </c>
      <c r="S43" s="77">
        <f t="shared" si="53"/>
        <v>10323.141377784341</v>
      </c>
      <c r="T43" s="77">
        <f t="shared" si="53"/>
        <v>10415.988441047239</v>
      </c>
      <c r="U43" s="77">
        <f t="shared" si="53"/>
        <v>10161.02022603423</v>
      </c>
      <c r="V43" s="77">
        <f t="shared" si="53"/>
        <v>9696.2712298999904</v>
      </c>
      <c r="W43" s="77">
        <f t="shared" si="53"/>
        <v>9660.737175982702</v>
      </c>
      <c r="X43" s="77">
        <f t="shared" si="53"/>
        <v>9536.1500445047495</v>
      </c>
      <c r="Y43" s="77">
        <f t="shared" si="53"/>
        <v>8816.6120571373867</v>
      </c>
      <c r="Z43" s="77">
        <f t="shared" si="53"/>
        <v>7737.8136488003747</v>
      </c>
      <c r="AA43" s="77">
        <f t="shared" si="53"/>
        <v>6905.1191827209395</v>
      </c>
      <c r="AB43" s="77">
        <f t="shared" si="53"/>
        <v>6465.7440693639783</v>
      </c>
      <c r="AC43" s="89">
        <f t="shared" ref="AC43" si="54">+SUM(E43:AB43)*D43</f>
        <v>4199999.9999999991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55">(($B43)/$D46)*E$7</f>
        <v>6039.0449111798544</v>
      </c>
      <c r="F44" s="79">
        <f t="shared" si="55"/>
        <v>5922.25858676807</v>
      </c>
      <c r="G44" s="79">
        <f t="shared" si="55"/>
        <v>5766.5641931050168</v>
      </c>
      <c r="H44" s="79">
        <f t="shared" si="55"/>
        <v>5695.7389697170065</v>
      </c>
      <c r="I44" s="79">
        <f t="shared" si="55"/>
        <v>5712.6643931605622</v>
      </c>
      <c r="J44" s="79">
        <f t="shared" si="55"/>
        <v>6149.9406048355286</v>
      </c>
      <c r="K44" s="79">
        <f t="shared" si="55"/>
        <v>7281.8482806591282</v>
      </c>
      <c r="L44" s="79">
        <f t="shared" si="55"/>
        <v>8498.7256060936106</v>
      </c>
      <c r="M44" s="79">
        <f t="shared" si="55"/>
        <v>9146.1493603426097</v>
      </c>
      <c r="N44" s="79">
        <f t="shared" si="55"/>
        <v>9540.2691034246891</v>
      </c>
      <c r="O44" s="79">
        <f t="shared" si="55"/>
        <v>9944.3053018109167</v>
      </c>
      <c r="P44" s="79">
        <f t="shared" si="55"/>
        <v>10212.914358668595</v>
      </c>
      <c r="Q44" s="79">
        <f t="shared" si="55"/>
        <v>10151.545238450315</v>
      </c>
      <c r="R44" s="79">
        <f t="shared" si="55"/>
        <v>10219.433638508159</v>
      </c>
      <c r="S44" s="79">
        <f t="shared" si="55"/>
        <v>10323.141377784341</v>
      </c>
      <c r="T44" s="79">
        <f t="shared" si="55"/>
        <v>10415.988441047239</v>
      </c>
      <c r="U44" s="79">
        <f t="shared" si="55"/>
        <v>10161.02022603423</v>
      </c>
      <c r="V44" s="79">
        <f t="shared" si="55"/>
        <v>9696.2712298999904</v>
      </c>
      <c r="W44" s="79">
        <f t="shared" si="55"/>
        <v>9660.737175982702</v>
      </c>
      <c r="X44" s="79">
        <f t="shared" si="55"/>
        <v>9536.1500445047495</v>
      </c>
      <c r="Y44" s="79">
        <f t="shared" si="55"/>
        <v>8816.6120571373867</v>
      </c>
      <c r="Z44" s="79">
        <f t="shared" si="55"/>
        <v>7737.8136488003747</v>
      </c>
      <c r="AA44" s="79">
        <f t="shared" si="55"/>
        <v>6905.1191827209395</v>
      </c>
      <c r="AB44" s="79">
        <f t="shared" si="55"/>
        <v>6465.7440693639783</v>
      </c>
      <c r="AC44" s="90">
        <f t="shared" ref="AC44:AC45" si="56">+SUM(E44:AB44)*D44</f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57">(($B43)/$D46)*E$7</f>
        <v>6039.0449111798544</v>
      </c>
      <c r="F45" s="82">
        <f t="shared" si="57"/>
        <v>5922.25858676807</v>
      </c>
      <c r="G45" s="82">
        <f t="shared" si="57"/>
        <v>5766.5641931050168</v>
      </c>
      <c r="H45" s="82">
        <f t="shared" si="57"/>
        <v>5695.7389697170065</v>
      </c>
      <c r="I45" s="82">
        <f t="shared" si="57"/>
        <v>5712.6643931605622</v>
      </c>
      <c r="J45" s="82">
        <f t="shared" si="57"/>
        <v>6149.9406048355286</v>
      </c>
      <c r="K45" s="82">
        <f t="shared" si="57"/>
        <v>7281.8482806591282</v>
      </c>
      <c r="L45" s="82">
        <f t="shared" si="57"/>
        <v>8498.7256060936106</v>
      </c>
      <c r="M45" s="82">
        <f t="shared" si="57"/>
        <v>9146.1493603426097</v>
      </c>
      <c r="N45" s="82">
        <f t="shared" si="57"/>
        <v>9540.2691034246891</v>
      </c>
      <c r="O45" s="82">
        <f t="shared" si="57"/>
        <v>9944.3053018109167</v>
      </c>
      <c r="P45" s="82">
        <f t="shared" si="57"/>
        <v>10212.914358668595</v>
      </c>
      <c r="Q45" s="82">
        <f t="shared" si="57"/>
        <v>10151.545238450315</v>
      </c>
      <c r="R45" s="82">
        <f t="shared" si="57"/>
        <v>10219.433638508159</v>
      </c>
      <c r="S45" s="82">
        <f t="shared" si="57"/>
        <v>10323.141377784341</v>
      </c>
      <c r="T45" s="82">
        <f t="shared" si="57"/>
        <v>10415.988441047239</v>
      </c>
      <c r="U45" s="82">
        <f t="shared" si="57"/>
        <v>10161.02022603423</v>
      </c>
      <c r="V45" s="82">
        <f t="shared" si="57"/>
        <v>9696.2712298999904</v>
      </c>
      <c r="W45" s="82">
        <f t="shared" si="57"/>
        <v>9660.737175982702</v>
      </c>
      <c r="X45" s="82">
        <f t="shared" si="57"/>
        <v>9536.1500445047495</v>
      </c>
      <c r="Y45" s="82">
        <f t="shared" si="57"/>
        <v>8816.6120571373867</v>
      </c>
      <c r="Z45" s="82">
        <f t="shared" si="57"/>
        <v>7737.8136488003747</v>
      </c>
      <c r="AA45" s="82">
        <f t="shared" si="57"/>
        <v>6905.1191827209395</v>
      </c>
      <c r="AB45" s="82">
        <f t="shared" si="57"/>
        <v>6465.7440693639783</v>
      </c>
      <c r="AC45" s="91">
        <f t="shared" si="56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10-2028</v>
      </c>
      <c r="B47" s="139">
        <f>'AÑO 2028'!C25</f>
        <v>6000000</v>
      </c>
      <c r="C47" s="59" t="s">
        <v>40</v>
      </c>
      <c r="D47" s="60">
        <f>VLOOKUP(A47&amp;C47,calendario!I:L,4,0)</f>
        <v>22</v>
      </c>
      <c r="E47" s="77">
        <f t="shared" ref="E47:AB47" si="60">(($B47)/$D50)*E$7</f>
        <v>5844.2370108192135</v>
      </c>
      <c r="F47" s="77">
        <f t="shared" si="60"/>
        <v>5731.2179871949056</v>
      </c>
      <c r="G47" s="77">
        <f t="shared" si="60"/>
        <v>5580.5459933274351</v>
      </c>
      <c r="H47" s="77">
        <f t="shared" si="60"/>
        <v>5512.0054545648445</v>
      </c>
      <c r="I47" s="77">
        <f t="shared" si="60"/>
        <v>5528.3848966069954</v>
      </c>
      <c r="J47" s="77">
        <f t="shared" si="60"/>
        <v>5951.5554240343818</v>
      </c>
      <c r="K47" s="77">
        <f t="shared" si="60"/>
        <v>7046.9499490249627</v>
      </c>
      <c r="L47" s="77">
        <f t="shared" si="60"/>
        <v>8224.5731671873637</v>
      </c>
      <c r="M47" s="77">
        <f t="shared" si="60"/>
        <v>8851.1122842025252</v>
      </c>
      <c r="N47" s="77">
        <f t="shared" si="60"/>
        <v>9232.5184871851834</v>
      </c>
      <c r="O47" s="77">
        <f t="shared" si="60"/>
        <v>9623.5212598170165</v>
      </c>
      <c r="P47" s="77">
        <f t="shared" si="60"/>
        <v>9883.4655083889629</v>
      </c>
      <c r="Q47" s="77">
        <f t="shared" si="60"/>
        <v>9824.076037209983</v>
      </c>
      <c r="R47" s="77">
        <f t="shared" si="60"/>
        <v>9889.774488878862</v>
      </c>
      <c r="S47" s="77">
        <f t="shared" si="60"/>
        <v>9990.1368172106522</v>
      </c>
      <c r="T47" s="77">
        <f t="shared" si="60"/>
        <v>10079.988813916681</v>
      </c>
      <c r="U47" s="77">
        <f t="shared" si="60"/>
        <v>9833.2453800331259</v>
      </c>
      <c r="V47" s="77">
        <f t="shared" si="60"/>
        <v>9383.4882869999892</v>
      </c>
      <c r="W47" s="77">
        <f t="shared" si="60"/>
        <v>9349.1004928864859</v>
      </c>
      <c r="X47" s="77">
        <f t="shared" si="60"/>
        <v>9228.5323011336277</v>
      </c>
      <c r="Y47" s="77">
        <f t="shared" si="60"/>
        <v>8532.2052165845671</v>
      </c>
      <c r="Z47" s="77">
        <f t="shared" si="60"/>
        <v>7488.206756903588</v>
      </c>
      <c r="AA47" s="77">
        <f t="shared" si="60"/>
        <v>6682.3734026331667</v>
      </c>
      <c r="AB47" s="77">
        <f t="shared" si="60"/>
        <v>6257.1716800296563</v>
      </c>
      <c r="AC47" s="89">
        <f t="shared" ref="AC47" si="61">+SUM(E47:AB47)*D47</f>
        <v>4258064.5161290318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62">(($B47)/$D50)*E$7</f>
        <v>5844.2370108192135</v>
      </c>
      <c r="F48" s="79">
        <f t="shared" si="62"/>
        <v>5731.2179871949056</v>
      </c>
      <c r="G48" s="79">
        <f t="shared" si="62"/>
        <v>5580.5459933274351</v>
      </c>
      <c r="H48" s="79">
        <f t="shared" si="62"/>
        <v>5512.0054545648445</v>
      </c>
      <c r="I48" s="79">
        <f t="shared" si="62"/>
        <v>5528.3848966069954</v>
      </c>
      <c r="J48" s="79">
        <f t="shared" si="62"/>
        <v>5951.5554240343818</v>
      </c>
      <c r="K48" s="79">
        <f t="shared" si="62"/>
        <v>7046.9499490249627</v>
      </c>
      <c r="L48" s="79">
        <f t="shared" si="62"/>
        <v>8224.5731671873637</v>
      </c>
      <c r="M48" s="79">
        <f t="shared" si="62"/>
        <v>8851.1122842025252</v>
      </c>
      <c r="N48" s="79">
        <f t="shared" si="62"/>
        <v>9232.5184871851834</v>
      </c>
      <c r="O48" s="79">
        <f t="shared" si="62"/>
        <v>9623.5212598170165</v>
      </c>
      <c r="P48" s="79">
        <f t="shared" si="62"/>
        <v>9883.4655083889629</v>
      </c>
      <c r="Q48" s="79">
        <f t="shared" si="62"/>
        <v>9824.076037209983</v>
      </c>
      <c r="R48" s="79">
        <f t="shared" si="62"/>
        <v>9889.774488878862</v>
      </c>
      <c r="S48" s="79">
        <f t="shared" si="62"/>
        <v>9990.1368172106522</v>
      </c>
      <c r="T48" s="79">
        <f t="shared" si="62"/>
        <v>10079.988813916681</v>
      </c>
      <c r="U48" s="79">
        <f t="shared" si="62"/>
        <v>9833.2453800331259</v>
      </c>
      <c r="V48" s="79">
        <f t="shared" si="62"/>
        <v>9383.4882869999892</v>
      </c>
      <c r="W48" s="79">
        <f t="shared" si="62"/>
        <v>9349.1004928864859</v>
      </c>
      <c r="X48" s="79">
        <f t="shared" si="62"/>
        <v>9228.5323011336277</v>
      </c>
      <c r="Y48" s="79">
        <f t="shared" si="62"/>
        <v>8532.2052165845671</v>
      </c>
      <c r="Z48" s="79">
        <f t="shared" si="62"/>
        <v>7488.206756903588</v>
      </c>
      <c r="AA48" s="79">
        <f t="shared" si="62"/>
        <v>6682.3734026331667</v>
      </c>
      <c r="AB48" s="79">
        <f t="shared" si="62"/>
        <v>6257.1716800296563</v>
      </c>
      <c r="AC48" s="90">
        <f t="shared" ref="AC48:AC49" si="63">+SUM(E48:AB48)*D48</f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64">(($B47)/$D50)*E$7</f>
        <v>5844.2370108192135</v>
      </c>
      <c r="F49" s="82">
        <f t="shared" si="64"/>
        <v>5731.2179871949056</v>
      </c>
      <c r="G49" s="82">
        <f t="shared" si="64"/>
        <v>5580.5459933274351</v>
      </c>
      <c r="H49" s="82">
        <f t="shared" si="64"/>
        <v>5512.0054545648445</v>
      </c>
      <c r="I49" s="82">
        <f t="shared" si="64"/>
        <v>5528.3848966069954</v>
      </c>
      <c r="J49" s="82">
        <f t="shared" si="64"/>
        <v>5951.5554240343818</v>
      </c>
      <c r="K49" s="82">
        <f t="shared" si="64"/>
        <v>7046.9499490249627</v>
      </c>
      <c r="L49" s="82">
        <f t="shared" si="64"/>
        <v>8224.5731671873637</v>
      </c>
      <c r="M49" s="82">
        <f t="shared" si="64"/>
        <v>8851.1122842025252</v>
      </c>
      <c r="N49" s="82">
        <f t="shared" si="64"/>
        <v>9232.5184871851834</v>
      </c>
      <c r="O49" s="82">
        <f t="shared" si="64"/>
        <v>9623.5212598170165</v>
      </c>
      <c r="P49" s="82">
        <f t="shared" si="64"/>
        <v>9883.4655083889629</v>
      </c>
      <c r="Q49" s="82">
        <f t="shared" si="64"/>
        <v>9824.076037209983</v>
      </c>
      <c r="R49" s="82">
        <f t="shared" si="64"/>
        <v>9889.774488878862</v>
      </c>
      <c r="S49" s="82">
        <f t="shared" si="64"/>
        <v>9990.1368172106522</v>
      </c>
      <c r="T49" s="82">
        <f t="shared" si="64"/>
        <v>10079.988813916681</v>
      </c>
      <c r="U49" s="82">
        <f t="shared" si="64"/>
        <v>9833.2453800331259</v>
      </c>
      <c r="V49" s="82">
        <f t="shared" si="64"/>
        <v>9383.4882869999892</v>
      </c>
      <c r="W49" s="82">
        <f t="shared" si="64"/>
        <v>9349.1004928864859</v>
      </c>
      <c r="X49" s="82">
        <f t="shared" si="64"/>
        <v>9228.5323011336277</v>
      </c>
      <c r="Y49" s="82">
        <f t="shared" si="64"/>
        <v>8532.2052165845671</v>
      </c>
      <c r="Z49" s="82">
        <f t="shared" si="64"/>
        <v>7488.206756903588</v>
      </c>
      <c r="AA49" s="82">
        <f t="shared" si="64"/>
        <v>6682.3734026331667</v>
      </c>
      <c r="AB49" s="82">
        <f t="shared" si="64"/>
        <v>6257.1716800296563</v>
      </c>
      <c r="AC49" s="91">
        <f t="shared" si="6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11-2028</v>
      </c>
      <c r="B51" s="139">
        <f>'AÑO 2028'!C26</f>
        <v>6000000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6039.0449111798544</v>
      </c>
      <c r="F51" s="77">
        <f t="shared" si="67"/>
        <v>5922.25858676807</v>
      </c>
      <c r="G51" s="77">
        <f t="shared" si="67"/>
        <v>5766.5641931050168</v>
      </c>
      <c r="H51" s="77">
        <f t="shared" si="67"/>
        <v>5695.7389697170065</v>
      </c>
      <c r="I51" s="77">
        <f t="shared" si="67"/>
        <v>5712.6643931605622</v>
      </c>
      <c r="J51" s="77">
        <f t="shared" si="67"/>
        <v>6149.9406048355286</v>
      </c>
      <c r="K51" s="77">
        <f t="shared" si="67"/>
        <v>7281.8482806591282</v>
      </c>
      <c r="L51" s="77">
        <f t="shared" si="67"/>
        <v>8498.7256060936106</v>
      </c>
      <c r="M51" s="77">
        <f t="shared" si="67"/>
        <v>9146.1493603426097</v>
      </c>
      <c r="N51" s="77">
        <f t="shared" si="67"/>
        <v>9540.2691034246891</v>
      </c>
      <c r="O51" s="77">
        <f t="shared" si="67"/>
        <v>9944.3053018109167</v>
      </c>
      <c r="P51" s="77">
        <f t="shared" si="67"/>
        <v>10212.914358668595</v>
      </c>
      <c r="Q51" s="77">
        <f t="shared" si="67"/>
        <v>10151.545238450315</v>
      </c>
      <c r="R51" s="77">
        <f t="shared" si="67"/>
        <v>10219.433638508159</v>
      </c>
      <c r="S51" s="77">
        <f t="shared" si="67"/>
        <v>10323.141377784341</v>
      </c>
      <c r="T51" s="77">
        <f t="shared" si="67"/>
        <v>10415.988441047239</v>
      </c>
      <c r="U51" s="77">
        <f t="shared" si="67"/>
        <v>10161.02022603423</v>
      </c>
      <c r="V51" s="77">
        <f t="shared" si="67"/>
        <v>9696.2712298999904</v>
      </c>
      <c r="W51" s="77">
        <f t="shared" si="67"/>
        <v>9660.737175982702</v>
      </c>
      <c r="X51" s="77">
        <f t="shared" si="67"/>
        <v>9536.1500445047495</v>
      </c>
      <c r="Y51" s="77">
        <f t="shared" si="67"/>
        <v>8816.6120571373867</v>
      </c>
      <c r="Z51" s="77">
        <f t="shared" si="67"/>
        <v>7737.8136488003747</v>
      </c>
      <c r="AA51" s="77">
        <f t="shared" si="67"/>
        <v>6905.1191827209395</v>
      </c>
      <c r="AB51" s="77">
        <f t="shared" si="67"/>
        <v>6465.7440693639783</v>
      </c>
      <c r="AC51" s="89">
        <f t="shared" ref="AC51" si="68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9">(($B51)/$D54)*E$7</f>
        <v>6039.0449111798544</v>
      </c>
      <c r="F52" s="79">
        <f t="shared" si="69"/>
        <v>5922.25858676807</v>
      </c>
      <c r="G52" s="79">
        <f t="shared" si="69"/>
        <v>5766.5641931050168</v>
      </c>
      <c r="H52" s="79">
        <f t="shared" si="69"/>
        <v>5695.7389697170065</v>
      </c>
      <c r="I52" s="79">
        <f t="shared" si="69"/>
        <v>5712.6643931605622</v>
      </c>
      <c r="J52" s="79">
        <f t="shared" si="69"/>
        <v>6149.9406048355286</v>
      </c>
      <c r="K52" s="79">
        <f t="shared" si="69"/>
        <v>7281.8482806591282</v>
      </c>
      <c r="L52" s="79">
        <f t="shared" si="69"/>
        <v>8498.7256060936106</v>
      </c>
      <c r="M52" s="79">
        <f t="shared" si="69"/>
        <v>9146.1493603426097</v>
      </c>
      <c r="N52" s="79">
        <f t="shared" si="69"/>
        <v>9540.2691034246891</v>
      </c>
      <c r="O52" s="79">
        <f t="shared" si="69"/>
        <v>9944.3053018109167</v>
      </c>
      <c r="P52" s="79">
        <f t="shared" si="69"/>
        <v>10212.914358668595</v>
      </c>
      <c r="Q52" s="79">
        <f t="shared" si="69"/>
        <v>10151.545238450315</v>
      </c>
      <c r="R52" s="79">
        <f t="shared" si="69"/>
        <v>10219.433638508159</v>
      </c>
      <c r="S52" s="79">
        <f t="shared" si="69"/>
        <v>10323.141377784341</v>
      </c>
      <c r="T52" s="79">
        <f t="shared" si="69"/>
        <v>10415.988441047239</v>
      </c>
      <c r="U52" s="79">
        <f t="shared" si="69"/>
        <v>10161.02022603423</v>
      </c>
      <c r="V52" s="79">
        <f t="shared" si="69"/>
        <v>9696.2712298999904</v>
      </c>
      <c r="W52" s="79">
        <f t="shared" si="69"/>
        <v>9660.737175982702</v>
      </c>
      <c r="X52" s="79">
        <f t="shared" si="69"/>
        <v>9536.1500445047495</v>
      </c>
      <c r="Y52" s="79">
        <f t="shared" si="69"/>
        <v>8816.6120571373867</v>
      </c>
      <c r="Z52" s="79">
        <f t="shared" si="69"/>
        <v>7737.8136488003747</v>
      </c>
      <c r="AA52" s="79">
        <f t="shared" si="69"/>
        <v>6905.1191827209395</v>
      </c>
      <c r="AB52" s="79">
        <f t="shared" si="69"/>
        <v>6465.7440693639783</v>
      </c>
      <c r="AC52" s="90">
        <f t="shared" ref="AC52:AC53" si="70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71">(($B51)/$D54)*E$7</f>
        <v>6039.0449111798544</v>
      </c>
      <c r="F53" s="82">
        <f t="shared" si="71"/>
        <v>5922.25858676807</v>
      </c>
      <c r="G53" s="82">
        <f t="shared" si="71"/>
        <v>5766.5641931050168</v>
      </c>
      <c r="H53" s="82">
        <f t="shared" si="71"/>
        <v>5695.7389697170065</v>
      </c>
      <c r="I53" s="82">
        <f t="shared" si="71"/>
        <v>5712.6643931605622</v>
      </c>
      <c r="J53" s="82">
        <f t="shared" si="71"/>
        <v>6149.9406048355286</v>
      </c>
      <c r="K53" s="82">
        <f t="shared" si="71"/>
        <v>7281.8482806591282</v>
      </c>
      <c r="L53" s="82">
        <f t="shared" si="71"/>
        <v>8498.7256060936106</v>
      </c>
      <c r="M53" s="82">
        <f t="shared" si="71"/>
        <v>9146.1493603426097</v>
      </c>
      <c r="N53" s="82">
        <f t="shared" si="71"/>
        <v>9540.2691034246891</v>
      </c>
      <c r="O53" s="82">
        <f t="shared" si="71"/>
        <v>9944.3053018109167</v>
      </c>
      <c r="P53" s="82">
        <f t="shared" si="71"/>
        <v>10212.914358668595</v>
      </c>
      <c r="Q53" s="82">
        <f t="shared" si="71"/>
        <v>10151.545238450315</v>
      </c>
      <c r="R53" s="82">
        <f t="shared" si="71"/>
        <v>10219.433638508159</v>
      </c>
      <c r="S53" s="82">
        <f t="shared" si="71"/>
        <v>10323.141377784341</v>
      </c>
      <c r="T53" s="82">
        <f t="shared" si="71"/>
        <v>10415.988441047239</v>
      </c>
      <c r="U53" s="82">
        <f t="shared" si="71"/>
        <v>10161.02022603423</v>
      </c>
      <c r="V53" s="82">
        <f t="shared" si="71"/>
        <v>9696.2712298999904</v>
      </c>
      <c r="W53" s="82">
        <f t="shared" si="71"/>
        <v>9660.737175982702</v>
      </c>
      <c r="X53" s="82">
        <f t="shared" si="71"/>
        <v>9536.1500445047495</v>
      </c>
      <c r="Y53" s="82">
        <f t="shared" si="71"/>
        <v>8816.6120571373867</v>
      </c>
      <c r="Z53" s="82">
        <f t="shared" si="71"/>
        <v>7737.8136488003747</v>
      </c>
      <c r="AA53" s="82">
        <f t="shared" si="71"/>
        <v>6905.1191827209395</v>
      </c>
      <c r="AB53" s="82">
        <f t="shared" si="71"/>
        <v>6465.7440693639783</v>
      </c>
      <c r="AC53" s="91">
        <f t="shared" si="70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12-2028</v>
      </c>
      <c r="B55" s="141">
        <f>'AÑO 2028'!C27</f>
        <v>6000000</v>
      </c>
      <c r="C55" s="59" t="s">
        <v>40</v>
      </c>
      <c r="D55" s="60">
        <f>VLOOKUP(A55&amp;C55,calendario!I:L,4,0)</f>
        <v>21</v>
      </c>
      <c r="E55" s="77">
        <f t="shared" ref="E55:AB55" si="74">(($B55)/$D58)*E$7</f>
        <v>5844.2370108192135</v>
      </c>
      <c r="F55" s="77">
        <f t="shared" si="74"/>
        <v>5731.2179871949056</v>
      </c>
      <c r="G55" s="77">
        <f t="shared" si="74"/>
        <v>5580.5459933274351</v>
      </c>
      <c r="H55" s="77">
        <f t="shared" si="74"/>
        <v>5512.0054545648445</v>
      </c>
      <c r="I55" s="77">
        <f t="shared" si="74"/>
        <v>5528.3848966069954</v>
      </c>
      <c r="J55" s="77">
        <f t="shared" si="74"/>
        <v>5951.5554240343818</v>
      </c>
      <c r="K55" s="77">
        <f t="shared" si="74"/>
        <v>7046.9499490249627</v>
      </c>
      <c r="L55" s="77">
        <f t="shared" si="74"/>
        <v>8224.5731671873637</v>
      </c>
      <c r="M55" s="77">
        <f t="shared" si="74"/>
        <v>8851.1122842025252</v>
      </c>
      <c r="N55" s="77">
        <f t="shared" si="74"/>
        <v>9232.5184871851834</v>
      </c>
      <c r="O55" s="77">
        <f t="shared" si="74"/>
        <v>9623.5212598170165</v>
      </c>
      <c r="P55" s="77">
        <f t="shared" si="74"/>
        <v>9883.4655083889629</v>
      </c>
      <c r="Q55" s="77">
        <f t="shared" si="74"/>
        <v>9824.076037209983</v>
      </c>
      <c r="R55" s="77">
        <f t="shared" si="74"/>
        <v>9889.774488878862</v>
      </c>
      <c r="S55" s="77">
        <f t="shared" si="74"/>
        <v>9990.1368172106522</v>
      </c>
      <c r="T55" s="77">
        <f t="shared" si="74"/>
        <v>10079.988813916681</v>
      </c>
      <c r="U55" s="77">
        <f t="shared" si="74"/>
        <v>9833.2453800331259</v>
      </c>
      <c r="V55" s="77">
        <f t="shared" si="74"/>
        <v>9383.4882869999892</v>
      </c>
      <c r="W55" s="77">
        <f t="shared" si="74"/>
        <v>9349.1004928864859</v>
      </c>
      <c r="X55" s="77">
        <f t="shared" si="74"/>
        <v>9228.5323011336277</v>
      </c>
      <c r="Y55" s="77">
        <f t="shared" si="74"/>
        <v>8532.2052165845671</v>
      </c>
      <c r="Z55" s="77">
        <f t="shared" si="74"/>
        <v>7488.206756903588</v>
      </c>
      <c r="AA55" s="77">
        <f t="shared" si="74"/>
        <v>6682.3734026331667</v>
      </c>
      <c r="AB55" s="77">
        <f t="shared" si="74"/>
        <v>6257.1716800296563</v>
      </c>
      <c r="AC55" s="89">
        <f t="shared" ref="AC55" si="75">+SUM(E55:AB55)*D55</f>
        <v>4064516.129032257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76">(($B55)/$D58)*E$7</f>
        <v>5844.2370108192135</v>
      </c>
      <c r="F56" s="79">
        <f t="shared" si="76"/>
        <v>5731.2179871949056</v>
      </c>
      <c r="G56" s="79">
        <f t="shared" si="76"/>
        <v>5580.5459933274351</v>
      </c>
      <c r="H56" s="79">
        <f t="shared" si="76"/>
        <v>5512.0054545648445</v>
      </c>
      <c r="I56" s="79">
        <f t="shared" si="76"/>
        <v>5528.3848966069954</v>
      </c>
      <c r="J56" s="79">
        <f t="shared" si="76"/>
        <v>5951.5554240343818</v>
      </c>
      <c r="K56" s="79">
        <f t="shared" si="76"/>
        <v>7046.9499490249627</v>
      </c>
      <c r="L56" s="79">
        <f t="shared" si="76"/>
        <v>8224.5731671873637</v>
      </c>
      <c r="M56" s="79">
        <f t="shared" si="76"/>
        <v>8851.1122842025252</v>
      </c>
      <c r="N56" s="79">
        <f t="shared" si="76"/>
        <v>9232.5184871851834</v>
      </c>
      <c r="O56" s="79">
        <f t="shared" si="76"/>
        <v>9623.5212598170165</v>
      </c>
      <c r="P56" s="79">
        <f t="shared" si="76"/>
        <v>9883.4655083889629</v>
      </c>
      <c r="Q56" s="79">
        <f t="shared" si="76"/>
        <v>9824.076037209983</v>
      </c>
      <c r="R56" s="79">
        <f t="shared" si="76"/>
        <v>9889.774488878862</v>
      </c>
      <c r="S56" s="79">
        <f t="shared" si="76"/>
        <v>9990.1368172106522</v>
      </c>
      <c r="T56" s="79">
        <f t="shared" si="76"/>
        <v>10079.988813916681</v>
      </c>
      <c r="U56" s="79">
        <f t="shared" si="76"/>
        <v>9833.2453800331259</v>
      </c>
      <c r="V56" s="79">
        <f t="shared" si="76"/>
        <v>9383.4882869999892</v>
      </c>
      <c r="W56" s="79">
        <f t="shared" si="76"/>
        <v>9349.1004928864859</v>
      </c>
      <c r="X56" s="79">
        <f t="shared" si="76"/>
        <v>9228.5323011336277</v>
      </c>
      <c r="Y56" s="79">
        <f t="shared" si="76"/>
        <v>8532.2052165845671</v>
      </c>
      <c r="Z56" s="79">
        <f t="shared" si="76"/>
        <v>7488.206756903588</v>
      </c>
      <c r="AA56" s="79">
        <f t="shared" si="76"/>
        <v>6682.3734026331667</v>
      </c>
      <c r="AB56" s="79">
        <f t="shared" si="76"/>
        <v>6257.1716800296563</v>
      </c>
      <c r="AC56" s="90">
        <f t="shared" ref="AC56:AC57" si="77">+SUM(E56:AB56)*D56</f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78">(($B55)/$D58)*E$7</f>
        <v>5844.2370108192135</v>
      </c>
      <c r="F57" s="82">
        <f t="shared" si="78"/>
        <v>5731.2179871949056</v>
      </c>
      <c r="G57" s="82">
        <f t="shared" si="78"/>
        <v>5580.5459933274351</v>
      </c>
      <c r="H57" s="82">
        <f t="shared" si="78"/>
        <v>5512.0054545648445</v>
      </c>
      <c r="I57" s="82">
        <f t="shared" si="78"/>
        <v>5528.3848966069954</v>
      </c>
      <c r="J57" s="82">
        <f t="shared" si="78"/>
        <v>5951.5554240343818</v>
      </c>
      <c r="K57" s="82">
        <f t="shared" si="78"/>
        <v>7046.9499490249627</v>
      </c>
      <c r="L57" s="82">
        <f t="shared" si="78"/>
        <v>8224.5731671873637</v>
      </c>
      <c r="M57" s="82">
        <f t="shared" si="78"/>
        <v>8851.1122842025252</v>
      </c>
      <c r="N57" s="82">
        <f t="shared" si="78"/>
        <v>9232.5184871851834</v>
      </c>
      <c r="O57" s="82">
        <f t="shared" si="78"/>
        <v>9623.5212598170165</v>
      </c>
      <c r="P57" s="82">
        <f t="shared" si="78"/>
        <v>9883.4655083889629</v>
      </c>
      <c r="Q57" s="82">
        <f t="shared" si="78"/>
        <v>9824.076037209983</v>
      </c>
      <c r="R57" s="82">
        <f t="shared" si="78"/>
        <v>9889.774488878862</v>
      </c>
      <c r="S57" s="82">
        <f t="shared" si="78"/>
        <v>9990.1368172106522</v>
      </c>
      <c r="T57" s="82">
        <f t="shared" si="78"/>
        <v>10079.988813916681</v>
      </c>
      <c r="U57" s="82">
        <f t="shared" si="78"/>
        <v>9833.2453800331259</v>
      </c>
      <c r="V57" s="82">
        <f t="shared" si="78"/>
        <v>9383.4882869999892</v>
      </c>
      <c r="W57" s="82">
        <f t="shared" si="78"/>
        <v>9349.1004928864859</v>
      </c>
      <c r="X57" s="82">
        <f t="shared" si="78"/>
        <v>9228.5323011336277</v>
      </c>
      <c r="Y57" s="82">
        <f t="shared" si="78"/>
        <v>8532.2052165845671</v>
      </c>
      <c r="Z57" s="82">
        <f t="shared" si="78"/>
        <v>7488.206756903588</v>
      </c>
      <c r="AA57" s="82">
        <f t="shared" si="78"/>
        <v>6682.3734026331667</v>
      </c>
      <c r="AB57" s="82">
        <f t="shared" si="78"/>
        <v>6257.1716800296563</v>
      </c>
      <c r="AC57" s="91">
        <f t="shared" si="77"/>
        <v>967741.93548387079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848D-82C6-4D1A-80BB-7AD1A71478BD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35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8C2A-5D78-43C2-BD3F-7C57C83735D6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2029'!C8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2029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2029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1-2029</v>
      </c>
      <c r="B11" s="139">
        <f>'AÑO 2029'!C16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4451612.9032258056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5999999.9999999981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2-2029</v>
      </c>
      <c r="B15" s="139">
        <f>'AÑO 2029'!C17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ref="AC16:AC17" si="7">+SUM(E16:AB16)*D16</f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8">(($B15)/$D18)*E$7</f>
        <v>6470.4052619784152</v>
      </c>
      <c r="F17" s="82">
        <f t="shared" si="8"/>
        <v>6345.2770572515037</v>
      </c>
      <c r="G17" s="82">
        <f t="shared" si="8"/>
        <v>6178.4616354696609</v>
      </c>
      <c r="H17" s="82">
        <f t="shared" si="8"/>
        <v>6102.5774675539351</v>
      </c>
      <c r="I17" s="82">
        <f t="shared" si="8"/>
        <v>6120.7118498148884</v>
      </c>
      <c r="J17" s="82">
        <f t="shared" si="8"/>
        <v>6589.2220766094952</v>
      </c>
      <c r="K17" s="82">
        <f t="shared" si="8"/>
        <v>7801.9803007062092</v>
      </c>
      <c r="L17" s="82">
        <f t="shared" si="8"/>
        <v>9105.7774351002972</v>
      </c>
      <c r="M17" s="82">
        <f t="shared" si="8"/>
        <v>9799.4457432242234</v>
      </c>
      <c r="N17" s="82">
        <f t="shared" si="8"/>
        <v>10221.716896526454</v>
      </c>
      <c r="O17" s="82">
        <f t="shared" si="8"/>
        <v>10654.61282336884</v>
      </c>
      <c r="P17" s="82">
        <f t="shared" si="8"/>
        <v>10942.408241430638</v>
      </c>
      <c r="Q17" s="82">
        <f t="shared" si="8"/>
        <v>10876.655612625338</v>
      </c>
      <c r="R17" s="82">
        <f t="shared" si="8"/>
        <v>10949.393184115885</v>
      </c>
      <c r="S17" s="82">
        <f t="shared" si="8"/>
        <v>11060.508619054652</v>
      </c>
      <c r="T17" s="82">
        <f t="shared" si="8"/>
        <v>11159.987615407756</v>
      </c>
      <c r="U17" s="82">
        <f t="shared" si="8"/>
        <v>10886.807385036675</v>
      </c>
      <c r="V17" s="82">
        <f t="shared" si="8"/>
        <v>10388.862032035704</v>
      </c>
      <c r="W17" s="82">
        <f t="shared" si="8"/>
        <v>10350.789831410038</v>
      </c>
      <c r="X17" s="82">
        <f t="shared" si="8"/>
        <v>10217.30361911223</v>
      </c>
      <c r="Y17" s="82">
        <f t="shared" si="8"/>
        <v>9446.3700612186294</v>
      </c>
      <c r="Z17" s="82">
        <f t="shared" si="8"/>
        <v>8290.5146237146873</v>
      </c>
      <c r="AA17" s="82">
        <f t="shared" si="8"/>
        <v>7398.3419814867211</v>
      </c>
      <c r="AB17" s="82">
        <f t="shared" si="8"/>
        <v>6927.5829314614057</v>
      </c>
      <c r="AC17" s="91">
        <f t="shared" si="7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3-2029</v>
      </c>
      <c r="B19" s="141">
        <f>'AÑO 2029'!C18</f>
        <v>6000000</v>
      </c>
      <c r="C19" s="59" t="s">
        <v>40</v>
      </c>
      <c r="D19" s="60">
        <f>VLOOKUP(A19&amp;C19,calendario!I:L,4,0)</f>
        <v>22</v>
      </c>
      <c r="E19" s="77">
        <f t="shared" ref="E19:AB19" si="11">(($B19)/$D22)*E$7</f>
        <v>5844.2370108192135</v>
      </c>
      <c r="F19" s="77">
        <f t="shared" si="11"/>
        <v>5731.2179871949056</v>
      </c>
      <c r="G19" s="77">
        <f t="shared" si="11"/>
        <v>5580.5459933274351</v>
      </c>
      <c r="H19" s="77">
        <f t="shared" si="11"/>
        <v>5512.0054545648445</v>
      </c>
      <c r="I19" s="77">
        <f t="shared" si="11"/>
        <v>5528.3848966069954</v>
      </c>
      <c r="J19" s="77">
        <f t="shared" si="11"/>
        <v>5951.5554240343818</v>
      </c>
      <c r="K19" s="77">
        <f t="shared" si="11"/>
        <v>7046.9499490249627</v>
      </c>
      <c r="L19" s="77">
        <f t="shared" si="11"/>
        <v>8224.5731671873637</v>
      </c>
      <c r="M19" s="77">
        <f t="shared" si="11"/>
        <v>8851.1122842025252</v>
      </c>
      <c r="N19" s="77">
        <f t="shared" si="11"/>
        <v>9232.5184871851834</v>
      </c>
      <c r="O19" s="77">
        <f t="shared" si="11"/>
        <v>9623.5212598170165</v>
      </c>
      <c r="P19" s="77">
        <f t="shared" si="11"/>
        <v>9883.4655083889629</v>
      </c>
      <c r="Q19" s="77">
        <f t="shared" si="11"/>
        <v>9824.076037209983</v>
      </c>
      <c r="R19" s="77">
        <f t="shared" si="11"/>
        <v>9889.774488878862</v>
      </c>
      <c r="S19" s="77">
        <f t="shared" si="11"/>
        <v>9990.1368172106522</v>
      </c>
      <c r="T19" s="77">
        <f t="shared" si="11"/>
        <v>10079.988813916681</v>
      </c>
      <c r="U19" s="77">
        <f t="shared" si="11"/>
        <v>9833.2453800331259</v>
      </c>
      <c r="V19" s="77">
        <f t="shared" si="11"/>
        <v>9383.4882869999892</v>
      </c>
      <c r="W19" s="77">
        <f t="shared" si="11"/>
        <v>9349.1004928864859</v>
      </c>
      <c r="X19" s="77">
        <f t="shared" si="11"/>
        <v>9228.5323011336277</v>
      </c>
      <c r="Y19" s="77">
        <f t="shared" si="11"/>
        <v>8532.2052165845671</v>
      </c>
      <c r="Z19" s="77">
        <f t="shared" si="11"/>
        <v>7488.206756903588</v>
      </c>
      <c r="AA19" s="77">
        <f t="shared" si="11"/>
        <v>6682.3734026331667</v>
      </c>
      <c r="AB19" s="77">
        <f t="shared" si="11"/>
        <v>6257.1716800296563</v>
      </c>
      <c r="AC19" s="89">
        <f t="shared" ref="AC19" si="12">+SUM(E19:AB19)*D19</f>
        <v>4258064.5161290318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3">(($B19)/$D22)*E$7</f>
        <v>5844.2370108192135</v>
      </c>
      <c r="F20" s="79">
        <f t="shared" si="13"/>
        <v>5731.2179871949056</v>
      </c>
      <c r="G20" s="79">
        <f t="shared" si="13"/>
        <v>5580.5459933274351</v>
      </c>
      <c r="H20" s="79">
        <f t="shared" si="13"/>
        <v>5512.0054545648445</v>
      </c>
      <c r="I20" s="79">
        <f t="shared" si="13"/>
        <v>5528.3848966069954</v>
      </c>
      <c r="J20" s="79">
        <f t="shared" si="13"/>
        <v>5951.5554240343818</v>
      </c>
      <c r="K20" s="79">
        <f t="shared" si="13"/>
        <v>7046.9499490249627</v>
      </c>
      <c r="L20" s="79">
        <f t="shared" si="13"/>
        <v>8224.5731671873637</v>
      </c>
      <c r="M20" s="79">
        <f t="shared" si="13"/>
        <v>8851.1122842025252</v>
      </c>
      <c r="N20" s="79">
        <f t="shared" si="13"/>
        <v>9232.5184871851834</v>
      </c>
      <c r="O20" s="79">
        <f t="shared" si="13"/>
        <v>9623.5212598170165</v>
      </c>
      <c r="P20" s="79">
        <f t="shared" si="13"/>
        <v>9883.4655083889629</v>
      </c>
      <c r="Q20" s="79">
        <f t="shared" si="13"/>
        <v>9824.076037209983</v>
      </c>
      <c r="R20" s="79">
        <f t="shared" si="13"/>
        <v>9889.774488878862</v>
      </c>
      <c r="S20" s="79">
        <f t="shared" si="13"/>
        <v>9990.1368172106522</v>
      </c>
      <c r="T20" s="79">
        <f t="shared" si="13"/>
        <v>10079.988813916681</v>
      </c>
      <c r="U20" s="79">
        <f t="shared" si="13"/>
        <v>9833.2453800331259</v>
      </c>
      <c r="V20" s="79">
        <f t="shared" si="13"/>
        <v>9383.4882869999892</v>
      </c>
      <c r="W20" s="79">
        <f t="shared" si="13"/>
        <v>9349.1004928864859</v>
      </c>
      <c r="X20" s="79">
        <f t="shared" si="13"/>
        <v>9228.5323011336277</v>
      </c>
      <c r="Y20" s="79">
        <f t="shared" si="13"/>
        <v>8532.2052165845671</v>
      </c>
      <c r="Z20" s="79">
        <f t="shared" si="13"/>
        <v>7488.206756903588</v>
      </c>
      <c r="AA20" s="79">
        <f t="shared" si="13"/>
        <v>6682.3734026331667</v>
      </c>
      <c r="AB20" s="79">
        <f t="shared" si="13"/>
        <v>6257.1716800296563</v>
      </c>
      <c r="AC20" s="90">
        <f t="shared" ref="AC20:AC21" si="14">+SUM(E20:AB20)*D20</f>
        <v>967741.93548387079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5">(($B19)/$D22)*E$7</f>
        <v>5844.2370108192135</v>
      </c>
      <c r="F21" s="82">
        <f t="shared" si="15"/>
        <v>5731.2179871949056</v>
      </c>
      <c r="G21" s="82">
        <f t="shared" si="15"/>
        <v>5580.5459933274351</v>
      </c>
      <c r="H21" s="82">
        <f t="shared" si="15"/>
        <v>5512.0054545648445</v>
      </c>
      <c r="I21" s="82">
        <f t="shared" si="15"/>
        <v>5528.3848966069954</v>
      </c>
      <c r="J21" s="82">
        <f t="shared" si="15"/>
        <v>5951.5554240343818</v>
      </c>
      <c r="K21" s="82">
        <f t="shared" si="15"/>
        <v>7046.9499490249627</v>
      </c>
      <c r="L21" s="82">
        <f t="shared" si="15"/>
        <v>8224.5731671873637</v>
      </c>
      <c r="M21" s="82">
        <f t="shared" si="15"/>
        <v>8851.1122842025252</v>
      </c>
      <c r="N21" s="82">
        <f t="shared" si="15"/>
        <v>9232.5184871851834</v>
      </c>
      <c r="O21" s="82">
        <f t="shared" si="15"/>
        <v>9623.5212598170165</v>
      </c>
      <c r="P21" s="82">
        <f t="shared" si="15"/>
        <v>9883.4655083889629</v>
      </c>
      <c r="Q21" s="82">
        <f t="shared" si="15"/>
        <v>9824.076037209983</v>
      </c>
      <c r="R21" s="82">
        <f t="shared" si="15"/>
        <v>9889.774488878862</v>
      </c>
      <c r="S21" s="82">
        <f t="shared" si="15"/>
        <v>9990.1368172106522</v>
      </c>
      <c r="T21" s="82">
        <f t="shared" si="15"/>
        <v>10079.988813916681</v>
      </c>
      <c r="U21" s="82">
        <f t="shared" si="15"/>
        <v>9833.2453800331259</v>
      </c>
      <c r="V21" s="82">
        <f t="shared" si="15"/>
        <v>9383.4882869999892</v>
      </c>
      <c r="W21" s="82">
        <f t="shared" si="15"/>
        <v>9349.1004928864859</v>
      </c>
      <c r="X21" s="82">
        <f t="shared" si="15"/>
        <v>9228.5323011336277</v>
      </c>
      <c r="Y21" s="82">
        <f t="shared" si="15"/>
        <v>8532.2052165845671</v>
      </c>
      <c r="Z21" s="82">
        <f t="shared" si="15"/>
        <v>7488.206756903588</v>
      </c>
      <c r="AA21" s="82">
        <f t="shared" si="15"/>
        <v>6682.3734026331667</v>
      </c>
      <c r="AB21" s="82">
        <f t="shared" si="15"/>
        <v>6257.1716800296563</v>
      </c>
      <c r="AC21" s="91">
        <f t="shared" si="14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4-2029</v>
      </c>
      <c r="B23" s="139">
        <f>'AÑO 2029'!C19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8">(($B23)/$D26)*E$7</f>
        <v>6039.0449111798544</v>
      </c>
      <c r="F23" s="77">
        <f t="shared" si="18"/>
        <v>5922.25858676807</v>
      </c>
      <c r="G23" s="77">
        <f t="shared" si="18"/>
        <v>5766.5641931050168</v>
      </c>
      <c r="H23" s="77">
        <f t="shared" si="18"/>
        <v>5695.7389697170065</v>
      </c>
      <c r="I23" s="77">
        <f t="shared" si="18"/>
        <v>5712.6643931605622</v>
      </c>
      <c r="J23" s="77">
        <f t="shared" si="18"/>
        <v>6149.9406048355286</v>
      </c>
      <c r="K23" s="77">
        <f t="shared" si="18"/>
        <v>7281.8482806591282</v>
      </c>
      <c r="L23" s="77">
        <f t="shared" si="18"/>
        <v>8498.7256060936106</v>
      </c>
      <c r="M23" s="77">
        <f t="shared" si="18"/>
        <v>9146.1493603426097</v>
      </c>
      <c r="N23" s="77">
        <f t="shared" si="18"/>
        <v>9540.2691034246891</v>
      </c>
      <c r="O23" s="77">
        <f t="shared" si="18"/>
        <v>9944.3053018109167</v>
      </c>
      <c r="P23" s="77">
        <f t="shared" si="18"/>
        <v>10212.914358668595</v>
      </c>
      <c r="Q23" s="77">
        <f t="shared" si="18"/>
        <v>10151.545238450315</v>
      </c>
      <c r="R23" s="77">
        <f t="shared" si="18"/>
        <v>10219.433638508159</v>
      </c>
      <c r="S23" s="77">
        <f t="shared" si="18"/>
        <v>10323.141377784341</v>
      </c>
      <c r="T23" s="77">
        <f t="shared" si="18"/>
        <v>10415.988441047239</v>
      </c>
      <c r="U23" s="77">
        <f t="shared" si="18"/>
        <v>10161.02022603423</v>
      </c>
      <c r="V23" s="77">
        <f t="shared" si="18"/>
        <v>9696.2712298999904</v>
      </c>
      <c r="W23" s="77">
        <f t="shared" si="18"/>
        <v>9660.737175982702</v>
      </c>
      <c r="X23" s="77">
        <f t="shared" si="18"/>
        <v>9536.1500445047495</v>
      </c>
      <c r="Y23" s="77">
        <f t="shared" si="18"/>
        <v>8816.6120571373867</v>
      </c>
      <c r="Z23" s="77">
        <f t="shared" si="18"/>
        <v>7737.8136488003747</v>
      </c>
      <c r="AA23" s="77">
        <f t="shared" si="18"/>
        <v>6905.1191827209395</v>
      </c>
      <c r="AB23" s="77">
        <f t="shared" si="18"/>
        <v>6465.7440693639783</v>
      </c>
      <c r="AC23" s="89">
        <f t="shared" ref="AC23" si="19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20">(($B23)/$D26)*E$7</f>
        <v>6039.0449111798544</v>
      </c>
      <c r="F24" s="79">
        <f t="shared" si="20"/>
        <v>5922.25858676807</v>
      </c>
      <c r="G24" s="79">
        <f t="shared" si="20"/>
        <v>5766.5641931050168</v>
      </c>
      <c r="H24" s="79">
        <f t="shared" si="20"/>
        <v>5695.7389697170065</v>
      </c>
      <c r="I24" s="79">
        <f t="shared" si="20"/>
        <v>5712.6643931605622</v>
      </c>
      <c r="J24" s="79">
        <f t="shared" si="20"/>
        <v>6149.9406048355286</v>
      </c>
      <c r="K24" s="79">
        <f t="shared" si="20"/>
        <v>7281.8482806591282</v>
      </c>
      <c r="L24" s="79">
        <f t="shared" si="20"/>
        <v>8498.7256060936106</v>
      </c>
      <c r="M24" s="79">
        <f t="shared" si="20"/>
        <v>9146.1493603426097</v>
      </c>
      <c r="N24" s="79">
        <f t="shared" si="20"/>
        <v>9540.2691034246891</v>
      </c>
      <c r="O24" s="79">
        <f t="shared" si="20"/>
        <v>9944.3053018109167</v>
      </c>
      <c r="P24" s="79">
        <f t="shared" si="20"/>
        <v>10212.914358668595</v>
      </c>
      <c r="Q24" s="79">
        <f t="shared" si="20"/>
        <v>10151.545238450315</v>
      </c>
      <c r="R24" s="79">
        <f t="shared" si="20"/>
        <v>10219.433638508159</v>
      </c>
      <c r="S24" s="79">
        <f t="shared" si="20"/>
        <v>10323.141377784341</v>
      </c>
      <c r="T24" s="79">
        <f t="shared" si="20"/>
        <v>10415.988441047239</v>
      </c>
      <c r="U24" s="79">
        <f t="shared" si="20"/>
        <v>10161.02022603423</v>
      </c>
      <c r="V24" s="79">
        <f t="shared" si="20"/>
        <v>9696.2712298999904</v>
      </c>
      <c r="W24" s="79">
        <f t="shared" si="20"/>
        <v>9660.737175982702</v>
      </c>
      <c r="X24" s="79">
        <f t="shared" si="20"/>
        <v>9536.1500445047495</v>
      </c>
      <c r="Y24" s="79">
        <f t="shared" si="20"/>
        <v>8816.6120571373867</v>
      </c>
      <c r="Z24" s="79">
        <f t="shared" si="20"/>
        <v>7737.8136488003747</v>
      </c>
      <c r="AA24" s="79">
        <f t="shared" si="20"/>
        <v>6905.1191827209395</v>
      </c>
      <c r="AB24" s="79">
        <f t="shared" si="20"/>
        <v>6465.7440693639783</v>
      </c>
      <c r="AC24" s="90">
        <f t="shared" ref="AC24:AC25" si="21">+SUM(E24:AB24)*D24</f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22">(($B23)/$D26)*E$7</f>
        <v>6039.0449111798544</v>
      </c>
      <c r="F25" s="82">
        <f t="shared" si="22"/>
        <v>5922.25858676807</v>
      </c>
      <c r="G25" s="82">
        <f t="shared" si="22"/>
        <v>5766.5641931050168</v>
      </c>
      <c r="H25" s="82">
        <f t="shared" si="22"/>
        <v>5695.7389697170065</v>
      </c>
      <c r="I25" s="82">
        <f t="shared" si="22"/>
        <v>5712.6643931605622</v>
      </c>
      <c r="J25" s="82">
        <f t="shared" si="22"/>
        <v>6149.9406048355286</v>
      </c>
      <c r="K25" s="82">
        <f t="shared" si="22"/>
        <v>7281.8482806591282</v>
      </c>
      <c r="L25" s="82">
        <f t="shared" si="22"/>
        <v>8498.7256060936106</v>
      </c>
      <c r="M25" s="82">
        <f t="shared" si="22"/>
        <v>9146.1493603426097</v>
      </c>
      <c r="N25" s="82">
        <f t="shared" si="22"/>
        <v>9540.2691034246891</v>
      </c>
      <c r="O25" s="82">
        <f t="shared" si="22"/>
        <v>9944.3053018109167</v>
      </c>
      <c r="P25" s="82">
        <f t="shared" si="22"/>
        <v>10212.914358668595</v>
      </c>
      <c r="Q25" s="82">
        <f t="shared" si="22"/>
        <v>10151.545238450315</v>
      </c>
      <c r="R25" s="82">
        <f t="shared" si="22"/>
        <v>10219.433638508159</v>
      </c>
      <c r="S25" s="82">
        <f t="shared" si="22"/>
        <v>10323.141377784341</v>
      </c>
      <c r="T25" s="82">
        <f t="shared" si="22"/>
        <v>10415.988441047239</v>
      </c>
      <c r="U25" s="82">
        <f t="shared" si="22"/>
        <v>10161.02022603423</v>
      </c>
      <c r="V25" s="82">
        <f t="shared" si="22"/>
        <v>9696.2712298999904</v>
      </c>
      <c r="W25" s="82">
        <f t="shared" si="22"/>
        <v>9660.737175982702</v>
      </c>
      <c r="X25" s="82">
        <f t="shared" si="22"/>
        <v>9536.1500445047495</v>
      </c>
      <c r="Y25" s="82">
        <f t="shared" si="22"/>
        <v>8816.6120571373867</v>
      </c>
      <c r="Z25" s="82">
        <f t="shared" si="22"/>
        <v>7737.8136488003747</v>
      </c>
      <c r="AA25" s="82">
        <f t="shared" si="22"/>
        <v>6905.1191827209395</v>
      </c>
      <c r="AB25" s="82">
        <f t="shared" si="22"/>
        <v>6465.7440693639783</v>
      </c>
      <c r="AC25" s="91">
        <f t="shared" si="21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5-2029</v>
      </c>
      <c r="B27" s="139">
        <f>'AÑO 2029'!C20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5">(($B27)/$D30)*E$7</f>
        <v>5844.2370108192135</v>
      </c>
      <c r="F27" s="77">
        <f t="shared" si="25"/>
        <v>5731.2179871949056</v>
      </c>
      <c r="G27" s="77">
        <f t="shared" si="25"/>
        <v>5580.5459933274351</v>
      </c>
      <c r="H27" s="77">
        <f t="shared" si="25"/>
        <v>5512.0054545648445</v>
      </c>
      <c r="I27" s="77">
        <f t="shared" si="25"/>
        <v>5528.3848966069954</v>
      </c>
      <c r="J27" s="77">
        <f t="shared" si="25"/>
        <v>5951.5554240343818</v>
      </c>
      <c r="K27" s="77">
        <f t="shared" si="25"/>
        <v>7046.9499490249627</v>
      </c>
      <c r="L27" s="77">
        <f t="shared" si="25"/>
        <v>8224.5731671873637</v>
      </c>
      <c r="M27" s="77">
        <f t="shared" si="25"/>
        <v>8851.1122842025252</v>
      </c>
      <c r="N27" s="77">
        <f t="shared" si="25"/>
        <v>9232.5184871851834</v>
      </c>
      <c r="O27" s="77">
        <f t="shared" si="25"/>
        <v>9623.5212598170165</v>
      </c>
      <c r="P27" s="77">
        <f t="shared" si="25"/>
        <v>9883.4655083889629</v>
      </c>
      <c r="Q27" s="77">
        <f t="shared" si="25"/>
        <v>9824.076037209983</v>
      </c>
      <c r="R27" s="77">
        <f t="shared" si="25"/>
        <v>9889.774488878862</v>
      </c>
      <c r="S27" s="77">
        <f t="shared" si="25"/>
        <v>9990.1368172106522</v>
      </c>
      <c r="T27" s="77">
        <f t="shared" si="25"/>
        <v>10079.988813916681</v>
      </c>
      <c r="U27" s="77">
        <f t="shared" si="25"/>
        <v>9833.2453800331259</v>
      </c>
      <c r="V27" s="77">
        <f t="shared" si="25"/>
        <v>9383.4882869999892</v>
      </c>
      <c r="W27" s="77">
        <f t="shared" si="25"/>
        <v>9349.1004928864859</v>
      </c>
      <c r="X27" s="77">
        <f t="shared" si="25"/>
        <v>9228.5323011336277</v>
      </c>
      <c r="Y27" s="77">
        <f t="shared" si="25"/>
        <v>8532.2052165845671</v>
      </c>
      <c r="Z27" s="77">
        <f t="shared" si="25"/>
        <v>7488.206756903588</v>
      </c>
      <c r="AA27" s="77">
        <f t="shared" si="25"/>
        <v>6682.3734026331667</v>
      </c>
      <c r="AB27" s="77">
        <f t="shared" si="25"/>
        <v>6257.1716800296563</v>
      </c>
      <c r="AC27" s="89">
        <f t="shared" ref="AC27" si="26">+SUM(E27:AB27)*D27</f>
        <v>4451612.9032258056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7">(($B27)/$D30)*E$7</f>
        <v>5844.2370108192135</v>
      </c>
      <c r="F28" s="79">
        <f t="shared" si="27"/>
        <v>5731.2179871949056</v>
      </c>
      <c r="G28" s="79">
        <f t="shared" si="27"/>
        <v>5580.5459933274351</v>
      </c>
      <c r="H28" s="79">
        <f t="shared" si="27"/>
        <v>5512.0054545648445</v>
      </c>
      <c r="I28" s="79">
        <f t="shared" si="27"/>
        <v>5528.3848966069954</v>
      </c>
      <c r="J28" s="79">
        <f t="shared" si="27"/>
        <v>5951.5554240343818</v>
      </c>
      <c r="K28" s="79">
        <f t="shared" si="27"/>
        <v>7046.9499490249627</v>
      </c>
      <c r="L28" s="79">
        <f t="shared" si="27"/>
        <v>8224.5731671873637</v>
      </c>
      <c r="M28" s="79">
        <f t="shared" si="27"/>
        <v>8851.1122842025252</v>
      </c>
      <c r="N28" s="79">
        <f t="shared" si="27"/>
        <v>9232.5184871851834</v>
      </c>
      <c r="O28" s="79">
        <f t="shared" si="27"/>
        <v>9623.5212598170165</v>
      </c>
      <c r="P28" s="79">
        <f t="shared" si="27"/>
        <v>9883.4655083889629</v>
      </c>
      <c r="Q28" s="79">
        <f t="shared" si="27"/>
        <v>9824.076037209983</v>
      </c>
      <c r="R28" s="79">
        <f t="shared" si="27"/>
        <v>9889.774488878862</v>
      </c>
      <c r="S28" s="79">
        <f t="shared" si="27"/>
        <v>9990.1368172106522</v>
      </c>
      <c r="T28" s="79">
        <f t="shared" si="27"/>
        <v>10079.988813916681</v>
      </c>
      <c r="U28" s="79">
        <f t="shared" si="27"/>
        <v>9833.2453800331259</v>
      </c>
      <c r="V28" s="79">
        <f t="shared" si="27"/>
        <v>9383.4882869999892</v>
      </c>
      <c r="W28" s="79">
        <f t="shared" si="27"/>
        <v>9349.1004928864859</v>
      </c>
      <c r="X28" s="79">
        <f t="shared" si="27"/>
        <v>9228.5323011336277</v>
      </c>
      <c r="Y28" s="79">
        <f t="shared" si="27"/>
        <v>8532.2052165845671</v>
      </c>
      <c r="Z28" s="79">
        <f t="shared" si="27"/>
        <v>7488.206756903588</v>
      </c>
      <c r="AA28" s="79">
        <f t="shared" si="27"/>
        <v>6682.3734026331667</v>
      </c>
      <c r="AB28" s="79">
        <f t="shared" si="27"/>
        <v>6257.1716800296563</v>
      </c>
      <c r="AC28" s="90">
        <f t="shared" ref="AC28:AC29" si="28">+SUM(E28:AB28)*D28</f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9">(($B27)/$D30)*E$7</f>
        <v>5844.2370108192135</v>
      </c>
      <c r="F29" s="82">
        <f t="shared" si="29"/>
        <v>5731.2179871949056</v>
      </c>
      <c r="G29" s="82">
        <f t="shared" si="29"/>
        <v>5580.5459933274351</v>
      </c>
      <c r="H29" s="82">
        <f t="shared" si="29"/>
        <v>5512.0054545648445</v>
      </c>
      <c r="I29" s="82">
        <f t="shared" si="29"/>
        <v>5528.3848966069954</v>
      </c>
      <c r="J29" s="82">
        <f t="shared" si="29"/>
        <v>5951.5554240343818</v>
      </c>
      <c r="K29" s="82">
        <f t="shared" si="29"/>
        <v>7046.9499490249627</v>
      </c>
      <c r="L29" s="82">
        <f t="shared" si="29"/>
        <v>8224.5731671873637</v>
      </c>
      <c r="M29" s="82">
        <f t="shared" si="29"/>
        <v>8851.1122842025252</v>
      </c>
      <c r="N29" s="82">
        <f t="shared" si="29"/>
        <v>9232.5184871851834</v>
      </c>
      <c r="O29" s="82">
        <f t="shared" si="29"/>
        <v>9623.5212598170165</v>
      </c>
      <c r="P29" s="82">
        <f t="shared" si="29"/>
        <v>9883.4655083889629</v>
      </c>
      <c r="Q29" s="82">
        <f t="shared" si="29"/>
        <v>9824.076037209983</v>
      </c>
      <c r="R29" s="82">
        <f t="shared" si="29"/>
        <v>9889.774488878862</v>
      </c>
      <c r="S29" s="82">
        <f t="shared" si="29"/>
        <v>9990.1368172106522</v>
      </c>
      <c r="T29" s="82">
        <f t="shared" si="29"/>
        <v>10079.988813916681</v>
      </c>
      <c r="U29" s="82">
        <f t="shared" si="29"/>
        <v>9833.2453800331259</v>
      </c>
      <c r="V29" s="82">
        <f t="shared" si="29"/>
        <v>9383.4882869999892</v>
      </c>
      <c r="W29" s="82">
        <f t="shared" si="29"/>
        <v>9349.1004928864859</v>
      </c>
      <c r="X29" s="82">
        <f t="shared" si="29"/>
        <v>9228.5323011336277</v>
      </c>
      <c r="Y29" s="82">
        <f t="shared" si="29"/>
        <v>8532.2052165845671</v>
      </c>
      <c r="Z29" s="82">
        <f t="shared" si="29"/>
        <v>7488.206756903588</v>
      </c>
      <c r="AA29" s="82">
        <f t="shared" si="29"/>
        <v>6682.3734026331667</v>
      </c>
      <c r="AB29" s="82">
        <f t="shared" si="29"/>
        <v>6257.1716800296563</v>
      </c>
      <c r="AC29" s="91">
        <f t="shared" si="28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5999999.9999999981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6-2029</v>
      </c>
      <c r="B31" s="139">
        <f>'AÑO 2029'!C21</f>
        <v>6000000</v>
      </c>
      <c r="C31" s="59" t="s">
        <v>40</v>
      </c>
      <c r="D31" s="60">
        <f>VLOOKUP(A31&amp;C31,calendario!I:L,4,0)</f>
        <v>21</v>
      </c>
      <c r="E31" s="77">
        <f t="shared" ref="E31:AB31" si="32">(($B31)/$D34)*E$7</f>
        <v>6039.0449111798544</v>
      </c>
      <c r="F31" s="77">
        <f t="shared" si="32"/>
        <v>5922.25858676807</v>
      </c>
      <c r="G31" s="77">
        <f t="shared" si="32"/>
        <v>5766.5641931050168</v>
      </c>
      <c r="H31" s="77">
        <f t="shared" si="32"/>
        <v>5695.7389697170065</v>
      </c>
      <c r="I31" s="77">
        <f t="shared" si="32"/>
        <v>5712.6643931605622</v>
      </c>
      <c r="J31" s="77">
        <f t="shared" si="32"/>
        <v>6149.9406048355286</v>
      </c>
      <c r="K31" s="77">
        <f t="shared" si="32"/>
        <v>7281.8482806591282</v>
      </c>
      <c r="L31" s="77">
        <f t="shared" si="32"/>
        <v>8498.7256060936106</v>
      </c>
      <c r="M31" s="77">
        <f t="shared" si="32"/>
        <v>9146.1493603426097</v>
      </c>
      <c r="N31" s="77">
        <f t="shared" si="32"/>
        <v>9540.2691034246891</v>
      </c>
      <c r="O31" s="77">
        <f t="shared" si="32"/>
        <v>9944.3053018109167</v>
      </c>
      <c r="P31" s="77">
        <f t="shared" si="32"/>
        <v>10212.914358668595</v>
      </c>
      <c r="Q31" s="77">
        <f t="shared" si="32"/>
        <v>10151.545238450315</v>
      </c>
      <c r="R31" s="77">
        <f t="shared" si="32"/>
        <v>10219.433638508159</v>
      </c>
      <c r="S31" s="77">
        <f t="shared" si="32"/>
        <v>10323.141377784341</v>
      </c>
      <c r="T31" s="77">
        <f t="shared" si="32"/>
        <v>10415.988441047239</v>
      </c>
      <c r="U31" s="77">
        <f t="shared" si="32"/>
        <v>10161.02022603423</v>
      </c>
      <c r="V31" s="77">
        <f t="shared" si="32"/>
        <v>9696.2712298999904</v>
      </c>
      <c r="W31" s="77">
        <f t="shared" si="32"/>
        <v>9660.737175982702</v>
      </c>
      <c r="X31" s="77">
        <f t="shared" si="32"/>
        <v>9536.1500445047495</v>
      </c>
      <c r="Y31" s="77">
        <f t="shared" si="32"/>
        <v>8816.6120571373867</v>
      </c>
      <c r="Z31" s="77">
        <f t="shared" si="32"/>
        <v>7737.8136488003747</v>
      </c>
      <c r="AA31" s="77">
        <f t="shared" si="32"/>
        <v>6905.1191827209395</v>
      </c>
      <c r="AB31" s="77">
        <f t="shared" si="32"/>
        <v>6465.7440693639783</v>
      </c>
      <c r="AC31" s="89">
        <f t="shared" ref="AC31" si="33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 t="shared" ref="E32:AB32" si="34">(($B31)/$D34)*E$7</f>
        <v>6039.0449111798544</v>
      </c>
      <c r="F32" s="79">
        <f t="shared" si="34"/>
        <v>5922.25858676807</v>
      </c>
      <c r="G32" s="79">
        <f t="shared" si="34"/>
        <v>5766.5641931050168</v>
      </c>
      <c r="H32" s="79">
        <f t="shared" si="34"/>
        <v>5695.7389697170065</v>
      </c>
      <c r="I32" s="79">
        <f t="shared" si="34"/>
        <v>5712.6643931605622</v>
      </c>
      <c r="J32" s="79">
        <f t="shared" si="34"/>
        <v>6149.9406048355286</v>
      </c>
      <c r="K32" s="79">
        <f t="shared" si="34"/>
        <v>7281.8482806591282</v>
      </c>
      <c r="L32" s="79">
        <f t="shared" si="34"/>
        <v>8498.7256060936106</v>
      </c>
      <c r="M32" s="79">
        <f t="shared" si="34"/>
        <v>9146.1493603426097</v>
      </c>
      <c r="N32" s="79">
        <f t="shared" si="34"/>
        <v>9540.2691034246891</v>
      </c>
      <c r="O32" s="79">
        <f t="shared" si="34"/>
        <v>9944.3053018109167</v>
      </c>
      <c r="P32" s="79">
        <f t="shared" si="34"/>
        <v>10212.914358668595</v>
      </c>
      <c r="Q32" s="79">
        <f t="shared" si="34"/>
        <v>10151.545238450315</v>
      </c>
      <c r="R32" s="79">
        <f t="shared" si="34"/>
        <v>10219.433638508159</v>
      </c>
      <c r="S32" s="79">
        <f t="shared" si="34"/>
        <v>10323.141377784341</v>
      </c>
      <c r="T32" s="79">
        <f t="shared" si="34"/>
        <v>10415.988441047239</v>
      </c>
      <c r="U32" s="79">
        <f t="shared" si="34"/>
        <v>10161.02022603423</v>
      </c>
      <c r="V32" s="79">
        <f t="shared" si="34"/>
        <v>9696.2712298999904</v>
      </c>
      <c r="W32" s="79">
        <f t="shared" si="34"/>
        <v>9660.737175982702</v>
      </c>
      <c r="X32" s="79">
        <f t="shared" si="34"/>
        <v>9536.1500445047495</v>
      </c>
      <c r="Y32" s="79">
        <f t="shared" si="34"/>
        <v>8816.6120571373867</v>
      </c>
      <c r="Z32" s="79">
        <f t="shared" si="34"/>
        <v>7737.8136488003747</v>
      </c>
      <c r="AA32" s="79">
        <f t="shared" si="34"/>
        <v>6905.1191827209395</v>
      </c>
      <c r="AB32" s="79">
        <f t="shared" si="34"/>
        <v>6465.7440693639783</v>
      </c>
      <c r="AC32" s="90">
        <f t="shared" ref="AC32:AC33" si="35">+SUM(E32:AB32)*D32</f>
        <v>999999.99999999988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6">(($B31)/$D34)*E$7</f>
        <v>6039.0449111798544</v>
      </c>
      <c r="F33" s="82">
        <f t="shared" si="36"/>
        <v>5922.25858676807</v>
      </c>
      <c r="G33" s="82">
        <f t="shared" si="36"/>
        <v>5766.5641931050168</v>
      </c>
      <c r="H33" s="82">
        <f t="shared" si="36"/>
        <v>5695.7389697170065</v>
      </c>
      <c r="I33" s="82">
        <f t="shared" si="36"/>
        <v>5712.6643931605622</v>
      </c>
      <c r="J33" s="82">
        <f t="shared" si="36"/>
        <v>6149.9406048355286</v>
      </c>
      <c r="K33" s="82">
        <f t="shared" si="36"/>
        <v>7281.8482806591282</v>
      </c>
      <c r="L33" s="82">
        <f t="shared" si="36"/>
        <v>8498.7256060936106</v>
      </c>
      <c r="M33" s="82">
        <f t="shared" si="36"/>
        <v>9146.1493603426097</v>
      </c>
      <c r="N33" s="82">
        <f t="shared" si="36"/>
        <v>9540.2691034246891</v>
      </c>
      <c r="O33" s="82">
        <f t="shared" si="36"/>
        <v>9944.3053018109167</v>
      </c>
      <c r="P33" s="82">
        <f t="shared" si="36"/>
        <v>10212.914358668595</v>
      </c>
      <c r="Q33" s="82">
        <f t="shared" si="36"/>
        <v>10151.545238450315</v>
      </c>
      <c r="R33" s="82">
        <f t="shared" si="36"/>
        <v>10219.433638508159</v>
      </c>
      <c r="S33" s="82">
        <f t="shared" si="36"/>
        <v>10323.141377784341</v>
      </c>
      <c r="T33" s="82">
        <f t="shared" si="36"/>
        <v>10415.988441047239</v>
      </c>
      <c r="U33" s="82">
        <f t="shared" si="36"/>
        <v>10161.02022603423</v>
      </c>
      <c r="V33" s="82">
        <f t="shared" si="36"/>
        <v>9696.2712298999904</v>
      </c>
      <c r="W33" s="82">
        <f t="shared" si="36"/>
        <v>9660.737175982702</v>
      </c>
      <c r="X33" s="82">
        <f t="shared" si="36"/>
        <v>9536.1500445047495</v>
      </c>
      <c r="Y33" s="82">
        <f t="shared" si="36"/>
        <v>8816.6120571373867</v>
      </c>
      <c r="Z33" s="82">
        <f t="shared" si="36"/>
        <v>7737.8136488003747</v>
      </c>
      <c r="AA33" s="82">
        <f t="shared" si="36"/>
        <v>6905.1191827209395</v>
      </c>
      <c r="AB33" s="82">
        <f t="shared" si="36"/>
        <v>6465.7440693639783</v>
      </c>
      <c r="AC33" s="91">
        <f t="shared" si="35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7-2029</v>
      </c>
      <c r="B35" s="139">
        <f>'AÑO 2029'!C22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9">(($B35)/$D38)*E$7</f>
        <v>5844.2370108192135</v>
      </c>
      <c r="F35" s="77">
        <f t="shared" si="39"/>
        <v>5731.2179871949056</v>
      </c>
      <c r="G35" s="77">
        <f t="shared" si="39"/>
        <v>5580.5459933274351</v>
      </c>
      <c r="H35" s="77">
        <f t="shared" si="39"/>
        <v>5512.0054545648445</v>
      </c>
      <c r="I35" s="77">
        <f t="shared" si="39"/>
        <v>5528.3848966069954</v>
      </c>
      <c r="J35" s="77">
        <f t="shared" si="39"/>
        <v>5951.5554240343818</v>
      </c>
      <c r="K35" s="77">
        <f t="shared" si="39"/>
        <v>7046.9499490249627</v>
      </c>
      <c r="L35" s="77">
        <f t="shared" si="39"/>
        <v>8224.5731671873637</v>
      </c>
      <c r="M35" s="77">
        <f t="shared" si="39"/>
        <v>8851.1122842025252</v>
      </c>
      <c r="N35" s="77">
        <f t="shared" si="39"/>
        <v>9232.5184871851834</v>
      </c>
      <c r="O35" s="77">
        <f t="shared" si="39"/>
        <v>9623.5212598170165</v>
      </c>
      <c r="P35" s="77">
        <f t="shared" si="39"/>
        <v>9883.4655083889629</v>
      </c>
      <c r="Q35" s="77">
        <f t="shared" si="39"/>
        <v>9824.076037209983</v>
      </c>
      <c r="R35" s="77">
        <f t="shared" si="39"/>
        <v>9889.774488878862</v>
      </c>
      <c r="S35" s="77">
        <f t="shared" si="39"/>
        <v>9990.1368172106522</v>
      </c>
      <c r="T35" s="77">
        <f t="shared" si="39"/>
        <v>10079.988813916681</v>
      </c>
      <c r="U35" s="77">
        <f t="shared" si="39"/>
        <v>9833.2453800331259</v>
      </c>
      <c r="V35" s="77">
        <f t="shared" si="39"/>
        <v>9383.4882869999892</v>
      </c>
      <c r="W35" s="77">
        <f t="shared" si="39"/>
        <v>9349.1004928864859</v>
      </c>
      <c r="X35" s="77">
        <f t="shared" si="39"/>
        <v>9228.5323011336277</v>
      </c>
      <c r="Y35" s="77">
        <f t="shared" si="39"/>
        <v>8532.2052165845671</v>
      </c>
      <c r="Z35" s="77">
        <f t="shared" si="39"/>
        <v>7488.206756903588</v>
      </c>
      <c r="AA35" s="77">
        <f t="shared" si="39"/>
        <v>6682.3734026331667</v>
      </c>
      <c r="AB35" s="77">
        <f t="shared" si="39"/>
        <v>6257.1716800296563</v>
      </c>
      <c r="AC35" s="89">
        <f t="shared" ref="AC35" si="40">+SUM(E35:AB35)*D35</f>
        <v>4258064.5161290318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41">(($B35)/$D38)*E$7</f>
        <v>5844.2370108192135</v>
      </c>
      <c r="F36" s="79">
        <f t="shared" si="41"/>
        <v>5731.2179871949056</v>
      </c>
      <c r="G36" s="79">
        <f t="shared" si="41"/>
        <v>5580.5459933274351</v>
      </c>
      <c r="H36" s="79">
        <f t="shared" si="41"/>
        <v>5512.0054545648445</v>
      </c>
      <c r="I36" s="79">
        <f t="shared" si="41"/>
        <v>5528.3848966069954</v>
      </c>
      <c r="J36" s="79">
        <f t="shared" si="41"/>
        <v>5951.5554240343818</v>
      </c>
      <c r="K36" s="79">
        <f t="shared" si="41"/>
        <v>7046.9499490249627</v>
      </c>
      <c r="L36" s="79">
        <f t="shared" si="41"/>
        <v>8224.5731671873637</v>
      </c>
      <c r="M36" s="79">
        <f t="shared" si="41"/>
        <v>8851.1122842025252</v>
      </c>
      <c r="N36" s="79">
        <f t="shared" si="41"/>
        <v>9232.5184871851834</v>
      </c>
      <c r="O36" s="79">
        <f t="shared" si="41"/>
        <v>9623.5212598170165</v>
      </c>
      <c r="P36" s="79">
        <f t="shared" si="41"/>
        <v>9883.4655083889629</v>
      </c>
      <c r="Q36" s="79">
        <f t="shared" si="41"/>
        <v>9824.076037209983</v>
      </c>
      <c r="R36" s="79">
        <f t="shared" si="41"/>
        <v>9889.774488878862</v>
      </c>
      <c r="S36" s="79">
        <f t="shared" si="41"/>
        <v>9990.1368172106522</v>
      </c>
      <c r="T36" s="79">
        <f t="shared" si="41"/>
        <v>10079.988813916681</v>
      </c>
      <c r="U36" s="79">
        <f t="shared" si="41"/>
        <v>9833.2453800331259</v>
      </c>
      <c r="V36" s="79">
        <f t="shared" si="41"/>
        <v>9383.4882869999892</v>
      </c>
      <c r="W36" s="79">
        <f t="shared" si="41"/>
        <v>9349.1004928864859</v>
      </c>
      <c r="X36" s="79">
        <f t="shared" si="41"/>
        <v>9228.5323011336277</v>
      </c>
      <c r="Y36" s="79">
        <f t="shared" si="41"/>
        <v>8532.2052165845671</v>
      </c>
      <c r="Z36" s="79">
        <f t="shared" si="41"/>
        <v>7488.206756903588</v>
      </c>
      <c r="AA36" s="79">
        <f t="shared" si="41"/>
        <v>6682.3734026331667</v>
      </c>
      <c r="AB36" s="79">
        <f t="shared" si="41"/>
        <v>6257.1716800296563</v>
      </c>
      <c r="AC36" s="90">
        <f t="shared" ref="AC36:AC37" si="42">+SUM(E36:AB36)*D36</f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43">(($B35)/$D38)*E$7</f>
        <v>5844.2370108192135</v>
      </c>
      <c r="F37" s="82">
        <f t="shared" si="43"/>
        <v>5731.2179871949056</v>
      </c>
      <c r="G37" s="82">
        <f t="shared" si="43"/>
        <v>5580.5459933274351</v>
      </c>
      <c r="H37" s="82">
        <f t="shared" si="43"/>
        <v>5512.0054545648445</v>
      </c>
      <c r="I37" s="82">
        <f t="shared" si="43"/>
        <v>5528.3848966069954</v>
      </c>
      <c r="J37" s="82">
        <f t="shared" si="43"/>
        <v>5951.5554240343818</v>
      </c>
      <c r="K37" s="82">
        <f t="shared" si="43"/>
        <v>7046.9499490249627</v>
      </c>
      <c r="L37" s="82">
        <f t="shared" si="43"/>
        <v>8224.5731671873637</v>
      </c>
      <c r="M37" s="82">
        <f t="shared" si="43"/>
        <v>8851.1122842025252</v>
      </c>
      <c r="N37" s="82">
        <f t="shared" si="43"/>
        <v>9232.5184871851834</v>
      </c>
      <c r="O37" s="82">
        <f t="shared" si="43"/>
        <v>9623.5212598170165</v>
      </c>
      <c r="P37" s="82">
        <f t="shared" si="43"/>
        <v>9883.4655083889629</v>
      </c>
      <c r="Q37" s="82">
        <f t="shared" si="43"/>
        <v>9824.076037209983</v>
      </c>
      <c r="R37" s="82">
        <f t="shared" si="43"/>
        <v>9889.774488878862</v>
      </c>
      <c r="S37" s="82">
        <f t="shared" si="43"/>
        <v>9990.1368172106522</v>
      </c>
      <c r="T37" s="82">
        <f t="shared" si="43"/>
        <v>10079.988813916681</v>
      </c>
      <c r="U37" s="82">
        <f t="shared" si="43"/>
        <v>9833.2453800331259</v>
      </c>
      <c r="V37" s="82">
        <f t="shared" si="43"/>
        <v>9383.4882869999892</v>
      </c>
      <c r="W37" s="82">
        <f t="shared" si="43"/>
        <v>9349.1004928864859</v>
      </c>
      <c r="X37" s="82">
        <f t="shared" si="43"/>
        <v>9228.5323011336277</v>
      </c>
      <c r="Y37" s="82">
        <f t="shared" si="43"/>
        <v>8532.2052165845671</v>
      </c>
      <c r="Z37" s="82">
        <f t="shared" si="43"/>
        <v>7488.206756903588</v>
      </c>
      <c r="AA37" s="82">
        <f t="shared" si="43"/>
        <v>6682.3734026331667</v>
      </c>
      <c r="AB37" s="82">
        <f t="shared" si="43"/>
        <v>6257.1716800296563</v>
      </c>
      <c r="AC37" s="91">
        <f t="shared" si="42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8-2029</v>
      </c>
      <c r="B39" s="139">
        <f>'AÑO 2029'!C23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6">(($B39)/$D42)*E$7</f>
        <v>5844.2370108192135</v>
      </c>
      <c r="F39" s="77">
        <f t="shared" si="46"/>
        <v>5731.2179871949056</v>
      </c>
      <c r="G39" s="77">
        <f t="shared" si="46"/>
        <v>5580.5459933274351</v>
      </c>
      <c r="H39" s="77">
        <f t="shared" si="46"/>
        <v>5512.0054545648445</v>
      </c>
      <c r="I39" s="77">
        <f t="shared" si="46"/>
        <v>5528.3848966069954</v>
      </c>
      <c r="J39" s="77">
        <f t="shared" si="46"/>
        <v>5951.5554240343818</v>
      </c>
      <c r="K39" s="77">
        <f t="shared" si="46"/>
        <v>7046.9499490249627</v>
      </c>
      <c r="L39" s="77">
        <f t="shared" si="46"/>
        <v>8224.5731671873637</v>
      </c>
      <c r="M39" s="77">
        <f t="shared" si="46"/>
        <v>8851.1122842025252</v>
      </c>
      <c r="N39" s="77">
        <f t="shared" si="46"/>
        <v>9232.5184871851834</v>
      </c>
      <c r="O39" s="77">
        <f t="shared" si="46"/>
        <v>9623.5212598170165</v>
      </c>
      <c r="P39" s="77">
        <f t="shared" si="46"/>
        <v>9883.4655083889629</v>
      </c>
      <c r="Q39" s="77">
        <f t="shared" si="46"/>
        <v>9824.076037209983</v>
      </c>
      <c r="R39" s="77">
        <f t="shared" si="46"/>
        <v>9889.774488878862</v>
      </c>
      <c r="S39" s="77">
        <f t="shared" si="46"/>
        <v>9990.1368172106522</v>
      </c>
      <c r="T39" s="77">
        <f t="shared" si="46"/>
        <v>10079.988813916681</v>
      </c>
      <c r="U39" s="77">
        <f t="shared" si="46"/>
        <v>9833.2453800331259</v>
      </c>
      <c r="V39" s="77">
        <f t="shared" si="46"/>
        <v>9383.4882869999892</v>
      </c>
      <c r="W39" s="77">
        <f t="shared" si="46"/>
        <v>9349.1004928864859</v>
      </c>
      <c r="X39" s="77">
        <f t="shared" si="46"/>
        <v>9228.5323011336277</v>
      </c>
      <c r="Y39" s="77">
        <f t="shared" si="46"/>
        <v>8532.2052165845671</v>
      </c>
      <c r="Z39" s="77">
        <f t="shared" si="46"/>
        <v>7488.206756903588</v>
      </c>
      <c r="AA39" s="77">
        <f t="shared" si="46"/>
        <v>6682.3734026331667</v>
      </c>
      <c r="AB39" s="77">
        <f t="shared" si="46"/>
        <v>6257.1716800296563</v>
      </c>
      <c r="AC39" s="89">
        <f t="shared" ref="AC39" si="47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8">(($B39)/$D42)*E$7</f>
        <v>5844.2370108192135</v>
      </c>
      <c r="F40" s="79">
        <f t="shared" si="48"/>
        <v>5731.2179871949056</v>
      </c>
      <c r="G40" s="79">
        <f t="shared" si="48"/>
        <v>5580.5459933274351</v>
      </c>
      <c r="H40" s="79">
        <f t="shared" si="48"/>
        <v>5512.0054545648445</v>
      </c>
      <c r="I40" s="79">
        <f t="shared" si="48"/>
        <v>5528.3848966069954</v>
      </c>
      <c r="J40" s="79">
        <f t="shared" si="48"/>
        <v>5951.5554240343818</v>
      </c>
      <c r="K40" s="79">
        <f t="shared" si="48"/>
        <v>7046.9499490249627</v>
      </c>
      <c r="L40" s="79">
        <f t="shared" si="48"/>
        <v>8224.5731671873637</v>
      </c>
      <c r="M40" s="79">
        <f t="shared" si="48"/>
        <v>8851.1122842025252</v>
      </c>
      <c r="N40" s="79">
        <f t="shared" si="48"/>
        <v>9232.5184871851834</v>
      </c>
      <c r="O40" s="79">
        <f t="shared" si="48"/>
        <v>9623.5212598170165</v>
      </c>
      <c r="P40" s="79">
        <f t="shared" si="48"/>
        <v>9883.4655083889629</v>
      </c>
      <c r="Q40" s="79">
        <f t="shared" si="48"/>
        <v>9824.076037209983</v>
      </c>
      <c r="R40" s="79">
        <f t="shared" si="48"/>
        <v>9889.774488878862</v>
      </c>
      <c r="S40" s="79">
        <f t="shared" si="48"/>
        <v>9990.1368172106522</v>
      </c>
      <c r="T40" s="79">
        <f t="shared" si="48"/>
        <v>10079.988813916681</v>
      </c>
      <c r="U40" s="79">
        <f t="shared" si="48"/>
        <v>9833.2453800331259</v>
      </c>
      <c r="V40" s="79">
        <f t="shared" si="48"/>
        <v>9383.4882869999892</v>
      </c>
      <c r="W40" s="79">
        <f t="shared" si="48"/>
        <v>9349.1004928864859</v>
      </c>
      <c r="X40" s="79">
        <f t="shared" si="48"/>
        <v>9228.5323011336277</v>
      </c>
      <c r="Y40" s="79">
        <f t="shared" si="48"/>
        <v>8532.2052165845671</v>
      </c>
      <c r="Z40" s="79">
        <f t="shared" si="48"/>
        <v>7488.206756903588</v>
      </c>
      <c r="AA40" s="79">
        <f t="shared" si="48"/>
        <v>6682.3734026331667</v>
      </c>
      <c r="AB40" s="79">
        <f t="shared" si="48"/>
        <v>6257.1716800296563</v>
      </c>
      <c r="AC40" s="90">
        <f t="shared" ref="AC40:AC41" si="49">+SUM(E40:AB40)*D40</f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50">(($B39)/$D42)*E$7</f>
        <v>5844.2370108192135</v>
      </c>
      <c r="F41" s="82">
        <f t="shared" si="50"/>
        <v>5731.2179871949056</v>
      </c>
      <c r="G41" s="82">
        <f t="shared" si="50"/>
        <v>5580.5459933274351</v>
      </c>
      <c r="H41" s="82">
        <f t="shared" si="50"/>
        <v>5512.0054545648445</v>
      </c>
      <c r="I41" s="82">
        <f t="shared" si="50"/>
        <v>5528.3848966069954</v>
      </c>
      <c r="J41" s="82">
        <f t="shared" si="50"/>
        <v>5951.5554240343818</v>
      </c>
      <c r="K41" s="82">
        <f t="shared" si="50"/>
        <v>7046.9499490249627</v>
      </c>
      <c r="L41" s="82">
        <f t="shared" si="50"/>
        <v>8224.5731671873637</v>
      </c>
      <c r="M41" s="82">
        <f t="shared" si="50"/>
        <v>8851.1122842025252</v>
      </c>
      <c r="N41" s="82">
        <f t="shared" si="50"/>
        <v>9232.5184871851834</v>
      </c>
      <c r="O41" s="82">
        <f t="shared" si="50"/>
        <v>9623.5212598170165</v>
      </c>
      <c r="P41" s="82">
        <f t="shared" si="50"/>
        <v>9883.4655083889629</v>
      </c>
      <c r="Q41" s="82">
        <f t="shared" si="50"/>
        <v>9824.076037209983</v>
      </c>
      <c r="R41" s="82">
        <f t="shared" si="50"/>
        <v>9889.774488878862</v>
      </c>
      <c r="S41" s="82">
        <f t="shared" si="50"/>
        <v>9990.1368172106522</v>
      </c>
      <c r="T41" s="82">
        <f t="shared" si="50"/>
        <v>10079.988813916681</v>
      </c>
      <c r="U41" s="82">
        <f t="shared" si="50"/>
        <v>9833.2453800331259</v>
      </c>
      <c r="V41" s="82">
        <f t="shared" si="50"/>
        <v>9383.4882869999892</v>
      </c>
      <c r="W41" s="82">
        <f t="shared" si="50"/>
        <v>9349.1004928864859</v>
      </c>
      <c r="X41" s="82">
        <f t="shared" si="50"/>
        <v>9228.5323011336277</v>
      </c>
      <c r="Y41" s="82">
        <f t="shared" si="50"/>
        <v>8532.2052165845671</v>
      </c>
      <c r="Z41" s="82">
        <f t="shared" si="50"/>
        <v>7488.206756903588</v>
      </c>
      <c r="AA41" s="82">
        <f t="shared" si="50"/>
        <v>6682.3734026331667</v>
      </c>
      <c r="AB41" s="82">
        <f t="shared" si="50"/>
        <v>6257.1716800296563</v>
      </c>
      <c r="AC41" s="91">
        <f t="shared" si="49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9-2029</v>
      </c>
      <c r="B43" s="139">
        <f>'AÑO 2029'!C24</f>
        <v>6000000</v>
      </c>
      <c r="C43" s="59" t="s">
        <v>40</v>
      </c>
      <c r="D43" s="60">
        <f>VLOOKUP(A43&amp;C43,calendario!I:L,4,0)</f>
        <v>20</v>
      </c>
      <c r="E43" s="77">
        <f t="shared" ref="E43:AB43" si="53">(($B43)/$D46)*E$7</f>
        <v>6039.0449111798544</v>
      </c>
      <c r="F43" s="77">
        <f t="shared" si="53"/>
        <v>5922.25858676807</v>
      </c>
      <c r="G43" s="77">
        <f t="shared" si="53"/>
        <v>5766.5641931050168</v>
      </c>
      <c r="H43" s="77">
        <f t="shared" si="53"/>
        <v>5695.7389697170065</v>
      </c>
      <c r="I43" s="77">
        <f t="shared" si="53"/>
        <v>5712.6643931605622</v>
      </c>
      <c r="J43" s="77">
        <f t="shared" si="53"/>
        <v>6149.9406048355286</v>
      </c>
      <c r="K43" s="77">
        <f t="shared" si="53"/>
        <v>7281.8482806591282</v>
      </c>
      <c r="L43" s="77">
        <f t="shared" si="53"/>
        <v>8498.7256060936106</v>
      </c>
      <c r="M43" s="77">
        <f t="shared" si="53"/>
        <v>9146.1493603426097</v>
      </c>
      <c r="N43" s="77">
        <f t="shared" si="53"/>
        <v>9540.2691034246891</v>
      </c>
      <c r="O43" s="77">
        <f t="shared" si="53"/>
        <v>9944.3053018109167</v>
      </c>
      <c r="P43" s="77">
        <f t="shared" si="53"/>
        <v>10212.914358668595</v>
      </c>
      <c r="Q43" s="77">
        <f t="shared" si="53"/>
        <v>10151.545238450315</v>
      </c>
      <c r="R43" s="77">
        <f t="shared" si="53"/>
        <v>10219.433638508159</v>
      </c>
      <c r="S43" s="77">
        <f t="shared" si="53"/>
        <v>10323.141377784341</v>
      </c>
      <c r="T43" s="77">
        <f t="shared" si="53"/>
        <v>10415.988441047239</v>
      </c>
      <c r="U43" s="77">
        <f t="shared" si="53"/>
        <v>10161.02022603423</v>
      </c>
      <c r="V43" s="77">
        <f t="shared" si="53"/>
        <v>9696.2712298999904</v>
      </c>
      <c r="W43" s="77">
        <f t="shared" si="53"/>
        <v>9660.737175982702</v>
      </c>
      <c r="X43" s="77">
        <f t="shared" si="53"/>
        <v>9536.1500445047495</v>
      </c>
      <c r="Y43" s="77">
        <f t="shared" si="53"/>
        <v>8816.6120571373867</v>
      </c>
      <c r="Z43" s="77">
        <f t="shared" si="53"/>
        <v>7737.8136488003747</v>
      </c>
      <c r="AA43" s="77">
        <f t="shared" si="53"/>
        <v>6905.1191827209395</v>
      </c>
      <c r="AB43" s="77">
        <f t="shared" si="53"/>
        <v>6465.7440693639783</v>
      </c>
      <c r="AC43" s="89">
        <f t="shared" ref="AC43" si="54">+SUM(E43:AB43)*D43</f>
        <v>3999999.9999999995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55">(($B43)/$D46)*E$7</f>
        <v>6039.0449111798544</v>
      </c>
      <c r="F44" s="79">
        <f t="shared" si="55"/>
        <v>5922.25858676807</v>
      </c>
      <c r="G44" s="79">
        <f t="shared" si="55"/>
        <v>5766.5641931050168</v>
      </c>
      <c r="H44" s="79">
        <f t="shared" si="55"/>
        <v>5695.7389697170065</v>
      </c>
      <c r="I44" s="79">
        <f t="shared" si="55"/>
        <v>5712.6643931605622</v>
      </c>
      <c r="J44" s="79">
        <f t="shared" si="55"/>
        <v>6149.9406048355286</v>
      </c>
      <c r="K44" s="79">
        <f t="shared" si="55"/>
        <v>7281.8482806591282</v>
      </c>
      <c r="L44" s="79">
        <f t="shared" si="55"/>
        <v>8498.7256060936106</v>
      </c>
      <c r="M44" s="79">
        <f t="shared" si="55"/>
        <v>9146.1493603426097</v>
      </c>
      <c r="N44" s="79">
        <f t="shared" si="55"/>
        <v>9540.2691034246891</v>
      </c>
      <c r="O44" s="79">
        <f t="shared" si="55"/>
        <v>9944.3053018109167</v>
      </c>
      <c r="P44" s="79">
        <f t="shared" si="55"/>
        <v>10212.914358668595</v>
      </c>
      <c r="Q44" s="79">
        <f t="shared" si="55"/>
        <v>10151.545238450315</v>
      </c>
      <c r="R44" s="79">
        <f t="shared" si="55"/>
        <v>10219.433638508159</v>
      </c>
      <c r="S44" s="79">
        <f t="shared" si="55"/>
        <v>10323.141377784341</v>
      </c>
      <c r="T44" s="79">
        <f t="shared" si="55"/>
        <v>10415.988441047239</v>
      </c>
      <c r="U44" s="79">
        <f t="shared" si="55"/>
        <v>10161.02022603423</v>
      </c>
      <c r="V44" s="79">
        <f t="shared" si="55"/>
        <v>9696.2712298999904</v>
      </c>
      <c r="W44" s="79">
        <f t="shared" si="55"/>
        <v>9660.737175982702</v>
      </c>
      <c r="X44" s="79">
        <f t="shared" si="55"/>
        <v>9536.1500445047495</v>
      </c>
      <c r="Y44" s="79">
        <f t="shared" si="55"/>
        <v>8816.6120571373867</v>
      </c>
      <c r="Z44" s="79">
        <f t="shared" si="55"/>
        <v>7737.8136488003747</v>
      </c>
      <c r="AA44" s="79">
        <f t="shared" si="55"/>
        <v>6905.1191827209395</v>
      </c>
      <c r="AB44" s="79">
        <f t="shared" si="55"/>
        <v>6465.7440693639783</v>
      </c>
      <c r="AC44" s="90">
        <f t="shared" ref="AC44:AC45" si="56">+SUM(E44:AB44)*D44</f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 t="shared" ref="E45:AB45" si="57">(($B43)/$D46)*E$7</f>
        <v>6039.0449111798544</v>
      </c>
      <c r="F45" s="82">
        <f t="shared" si="57"/>
        <v>5922.25858676807</v>
      </c>
      <c r="G45" s="82">
        <f t="shared" si="57"/>
        <v>5766.5641931050168</v>
      </c>
      <c r="H45" s="82">
        <f t="shared" si="57"/>
        <v>5695.7389697170065</v>
      </c>
      <c r="I45" s="82">
        <f t="shared" si="57"/>
        <v>5712.6643931605622</v>
      </c>
      <c r="J45" s="82">
        <f t="shared" si="57"/>
        <v>6149.9406048355286</v>
      </c>
      <c r="K45" s="82">
        <f t="shared" si="57"/>
        <v>7281.8482806591282</v>
      </c>
      <c r="L45" s="82">
        <f t="shared" si="57"/>
        <v>8498.7256060936106</v>
      </c>
      <c r="M45" s="82">
        <f t="shared" si="57"/>
        <v>9146.1493603426097</v>
      </c>
      <c r="N45" s="82">
        <f t="shared" si="57"/>
        <v>9540.2691034246891</v>
      </c>
      <c r="O45" s="82">
        <f t="shared" si="57"/>
        <v>9944.3053018109167</v>
      </c>
      <c r="P45" s="82">
        <f t="shared" si="57"/>
        <v>10212.914358668595</v>
      </c>
      <c r="Q45" s="82">
        <f t="shared" si="57"/>
        <v>10151.545238450315</v>
      </c>
      <c r="R45" s="82">
        <f t="shared" si="57"/>
        <v>10219.433638508159</v>
      </c>
      <c r="S45" s="82">
        <f t="shared" si="57"/>
        <v>10323.141377784341</v>
      </c>
      <c r="T45" s="82">
        <f t="shared" si="57"/>
        <v>10415.988441047239</v>
      </c>
      <c r="U45" s="82">
        <f t="shared" si="57"/>
        <v>10161.02022603423</v>
      </c>
      <c r="V45" s="82">
        <f t="shared" si="57"/>
        <v>9696.2712298999904</v>
      </c>
      <c r="W45" s="82">
        <f t="shared" si="57"/>
        <v>9660.737175982702</v>
      </c>
      <c r="X45" s="82">
        <f t="shared" si="57"/>
        <v>9536.1500445047495</v>
      </c>
      <c r="Y45" s="82">
        <f t="shared" si="57"/>
        <v>8816.6120571373867</v>
      </c>
      <c r="Z45" s="82">
        <f t="shared" si="57"/>
        <v>7737.8136488003747</v>
      </c>
      <c r="AA45" s="82">
        <f t="shared" si="57"/>
        <v>6905.1191827209395</v>
      </c>
      <c r="AB45" s="82">
        <f t="shared" si="57"/>
        <v>6465.7440693639783</v>
      </c>
      <c r="AC45" s="91">
        <f t="shared" si="56"/>
        <v>999999.99999999988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10-2029</v>
      </c>
      <c r="B47" s="139">
        <f>'AÑO 2029'!C25</f>
        <v>6000000</v>
      </c>
      <c r="C47" s="59" t="s">
        <v>40</v>
      </c>
      <c r="D47" s="60">
        <f>VLOOKUP(A47&amp;C47,calendario!I:L,4,0)</f>
        <v>23</v>
      </c>
      <c r="E47" s="77">
        <f t="shared" ref="E47:AB47" si="60">(($B47)/$D50)*E$7</f>
        <v>5844.2370108192135</v>
      </c>
      <c r="F47" s="77">
        <f t="shared" si="60"/>
        <v>5731.2179871949056</v>
      </c>
      <c r="G47" s="77">
        <f t="shared" si="60"/>
        <v>5580.5459933274351</v>
      </c>
      <c r="H47" s="77">
        <f t="shared" si="60"/>
        <v>5512.0054545648445</v>
      </c>
      <c r="I47" s="77">
        <f t="shared" si="60"/>
        <v>5528.3848966069954</v>
      </c>
      <c r="J47" s="77">
        <f t="shared" si="60"/>
        <v>5951.5554240343818</v>
      </c>
      <c r="K47" s="77">
        <f t="shared" si="60"/>
        <v>7046.9499490249627</v>
      </c>
      <c r="L47" s="77">
        <f t="shared" si="60"/>
        <v>8224.5731671873637</v>
      </c>
      <c r="M47" s="77">
        <f t="shared" si="60"/>
        <v>8851.1122842025252</v>
      </c>
      <c r="N47" s="77">
        <f t="shared" si="60"/>
        <v>9232.5184871851834</v>
      </c>
      <c r="O47" s="77">
        <f t="shared" si="60"/>
        <v>9623.5212598170165</v>
      </c>
      <c r="P47" s="77">
        <f t="shared" si="60"/>
        <v>9883.4655083889629</v>
      </c>
      <c r="Q47" s="77">
        <f t="shared" si="60"/>
        <v>9824.076037209983</v>
      </c>
      <c r="R47" s="77">
        <f t="shared" si="60"/>
        <v>9889.774488878862</v>
      </c>
      <c r="S47" s="77">
        <f t="shared" si="60"/>
        <v>9990.1368172106522</v>
      </c>
      <c r="T47" s="77">
        <f t="shared" si="60"/>
        <v>10079.988813916681</v>
      </c>
      <c r="U47" s="77">
        <f t="shared" si="60"/>
        <v>9833.2453800331259</v>
      </c>
      <c r="V47" s="77">
        <f t="shared" si="60"/>
        <v>9383.4882869999892</v>
      </c>
      <c r="W47" s="77">
        <f t="shared" si="60"/>
        <v>9349.1004928864859</v>
      </c>
      <c r="X47" s="77">
        <f t="shared" si="60"/>
        <v>9228.5323011336277</v>
      </c>
      <c r="Y47" s="77">
        <f t="shared" si="60"/>
        <v>8532.2052165845671</v>
      </c>
      <c r="Z47" s="77">
        <f t="shared" si="60"/>
        <v>7488.206756903588</v>
      </c>
      <c r="AA47" s="77">
        <f t="shared" si="60"/>
        <v>6682.3734026331667</v>
      </c>
      <c r="AB47" s="77">
        <f t="shared" si="60"/>
        <v>6257.1716800296563</v>
      </c>
      <c r="AC47" s="89">
        <f t="shared" ref="AC47" si="61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62">(($B47)/$D50)*E$7</f>
        <v>5844.2370108192135</v>
      </c>
      <c r="F48" s="79">
        <f t="shared" si="62"/>
        <v>5731.2179871949056</v>
      </c>
      <c r="G48" s="79">
        <f t="shared" si="62"/>
        <v>5580.5459933274351</v>
      </c>
      <c r="H48" s="79">
        <f t="shared" si="62"/>
        <v>5512.0054545648445</v>
      </c>
      <c r="I48" s="79">
        <f t="shared" si="62"/>
        <v>5528.3848966069954</v>
      </c>
      <c r="J48" s="79">
        <f t="shared" si="62"/>
        <v>5951.5554240343818</v>
      </c>
      <c r="K48" s="79">
        <f t="shared" si="62"/>
        <v>7046.9499490249627</v>
      </c>
      <c r="L48" s="79">
        <f t="shared" si="62"/>
        <v>8224.5731671873637</v>
      </c>
      <c r="M48" s="79">
        <f t="shared" si="62"/>
        <v>8851.1122842025252</v>
      </c>
      <c r="N48" s="79">
        <f t="shared" si="62"/>
        <v>9232.5184871851834</v>
      </c>
      <c r="O48" s="79">
        <f t="shared" si="62"/>
        <v>9623.5212598170165</v>
      </c>
      <c r="P48" s="79">
        <f t="shared" si="62"/>
        <v>9883.4655083889629</v>
      </c>
      <c r="Q48" s="79">
        <f t="shared" si="62"/>
        <v>9824.076037209983</v>
      </c>
      <c r="R48" s="79">
        <f t="shared" si="62"/>
        <v>9889.774488878862</v>
      </c>
      <c r="S48" s="79">
        <f t="shared" si="62"/>
        <v>9990.1368172106522</v>
      </c>
      <c r="T48" s="79">
        <f t="shared" si="62"/>
        <v>10079.988813916681</v>
      </c>
      <c r="U48" s="79">
        <f t="shared" si="62"/>
        <v>9833.2453800331259</v>
      </c>
      <c r="V48" s="79">
        <f t="shared" si="62"/>
        <v>9383.4882869999892</v>
      </c>
      <c r="W48" s="79">
        <f t="shared" si="62"/>
        <v>9349.1004928864859</v>
      </c>
      <c r="X48" s="79">
        <f t="shared" si="62"/>
        <v>9228.5323011336277</v>
      </c>
      <c r="Y48" s="79">
        <f t="shared" si="62"/>
        <v>8532.2052165845671</v>
      </c>
      <c r="Z48" s="79">
        <f t="shared" si="62"/>
        <v>7488.206756903588</v>
      </c>
      <c r="AA48" s="79">
        <f t="shared" si="62"/>
        <v>6682.3734026331667</v>
      </c>
      <c r="AB48" s="79">
        <f t="shared" si="62"/>
        <v>6257.1716800296563</v>
      </c>
      <c r="AC48" s="90">
        <f t="shared" ref="AC48:AC49" si="63">+SUM(E48:AB48)*D48</f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64">(($B47)/$D50)*E$7</f>
        <v>5844.2370108192135</v>
      </c>
      <c r="F49" s="82">
        <f t="shared" si="64"/>
        <v>5731.2179871949056</v>
      </c>
      <c r="G49" s="82">
        <f t="shared" si="64"/>
        <v>5580.5459933274351</v>
      </c>
      <c r="H49" s="82">
        <f t="shared" si="64"/>
        <v>5512.0054545648445</v>
      </c>
      <c r="I49" s="82">
        <f t="shared" si="64"/>
        <v>5528.3848966069954</v>
      </c>
      <c r="J49" s="82">
        <f t="shared" si="64"/>
        <v>5951.5554240343818</v>
      </c>
      <c r="K49" s="82">
        <f t="shared" si="64"/>
        <v>7046.9499490249627</v>
      </c>
      <c r="L49" s="82">
        <f t="shared" si="64"/>
        <v>8224.5731671873637</v>
      </c>
      <c r="M49" s="82">
        <f t="shared" si="64"/>
        <v>8851.1122842025252</v>
      </c>
      <c r="N49" s="82">
        <f t="shared" si="64"/>
        <v>9232.5184871851834</v>
      </c>
      <c r="O49" s="82">
        <f t="shared" si="64"/>
        <v>9623.5212598170165</v>
      </c>
      <c r="P49" s="82">
        <f t="shared" si="64"/>
        <v>9883.4655083889629</v>
      </c>
      <c r="Q49" s="82">
        <f t="shared" si="64"/>
        <v>9824.076037209983</v>
      </c>
      <c r="R49" s="82">
        <f t="shared" si="64"/>
        <v>9889.774488878862</v>
      </c>
      <c r="S49" s="82">
        <f t="shared" si="64"/>
        <v>9990.1368172106522</v>
      </c>
      <c r="T49" s="82">
        <f t="shared" si="64"/>
        <v>10079.988813916681</v>
      </c>
      <c r="U49" s="82">
        <f t="shared" si="64"/>
        <v>9833.2453800331259</v>
      </c>
      <c r="V49" s="82">
        <f t="shared" si="64"/>
        <v>9383.4882869999892</v>
      </c>
      <c r="W49" s="82">
        <f t="shared" si="64"/>
        <v>9349.1004928864859</v>
      </c>
      <c r="X49" s="82">
        <f t="shared" si="64"/>
        <v>9228.5323011336277</v>
      </c>
      <c r="Y49" s="82">
        <f t="shared" si="64"/>
        <v>8532.2052165845671</v>
      </c>
      <c r="Z49" s="82">
        <f t="shared" si="64"/>
        <v>7488.206756903588</v>
      </c>
      <c r="AA49" s="82">
        <f t="shared" si="64"/>
        <v>6682.3734026331667</v>
      </c>
      <c r="AB49" s="82">
        <f t="shared" si="64"/>
        <v>6257.1716800296563</v>
      </c>
      <c r="AC49" s="91">
        <f t="shared" si="6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11-2029</v>
      </c>
      <c r="B51" s="139">
        <f>'AÑO 2029'!C26</f>
        <v>6000000</v>
      </c>
      <c r="C51" s="59" t="s">
        <v>40</v>
      </c>
      <c r="D51" s="60">
        <f>VLOOKUP(A51&amp;C51,calendario!I:L,4,0)</f>
        <v>22</v>
      </c>
      <c r="E51" s="77">
        <f t="shared" ref="E51:AB51" si="67">(($B51)/$D54)*E$7</f>
        <v>6039.0449111798544</v>
      </c>
      <c r="F51" s="77">
        <f t="shared" si="67"/>
        <v>5922.25858676807</v>
      </c>
      <c r="G51" s="77">
        <f t="shared" si="67"/>
        <v>5766.5641931050168</v>
      </c>
      <c r="H51" s="77">
        <f t="shared" si="67"/>
        <v>5695.7389697170065</v>
      </c>
      <c r="I51" s="77">
        <f t="shared" si="67"/>
        <v>5712.6643931605622</v>
      </c>
      <c r="J51" s="77">
        <f t="shared" si="67"/>
        <v>6149.9406048355286</v>
      </c>
      <c r="K51" s="77">
        <f t="shared" si="67"/>
        <v>7281.8482806591282</v>
      </c>
      <c r="L51" s="77">
        <f t="shared" si="67"/>
        <v>8498.7256060936106</v>
      </c>
      <c r="M51" s="77">
        <f t="shared" si="67"/>
        <v>9146.1493603426097</v>
      </c>
      <c r="N51" s="77">
        <f t="shared" si="67"/>
        <v>9540.2691034246891</v>
      </c>
      <c r="O51" s="77">
        <f t="shared" si="67"/>
        <v>9944.3053018109167</v>
      </c>
      <c r="P51" s="77">
        <f t="shared" si="67"/>
        <v>10212.914358668595</v>
      </c>
      <c r="Q51" s="77">
        <f t="shared" si="67"/>
        <v>10151.545238450315</v>
      </c>
      <c r="R51" s="77">
        <f t="shared" si="67"/>
        <v>10219.433638508159</v>
      </c>
      <c r="S51" s="77">
        <f t="shared" si="67"/>
        <v>10323.141377784341</v>
      </c>
      <c r="T51" s="77">
        <f t="shared" si="67"/>
        <v>10415.988441047239</v>
      </c>
      <c r="U51" s="77">
        <f t="shared" si="67"/>
        <v>10161.02022603423</v>
      </c>
      <c r="V51" s="77">
        <f t="shared" si="67"/>
        <v>9696.2712298999904</v>
      </c>
      <c r="W51" s="77">
        <f t="shared" si="67"/>
        <v>9660.737175982702</v>
      </c>
      <c r="X51" s="77">
        <f t="shared" si="67"/>
        <v>9536.1500445047495</v>
      </c>
      <c r="Y51" s="77">
        <f t="shared" si="67"/>
        <v>8816.6120571373867</v>
      </c>
      <c r="Z51" s="77">
        <f t="shared" si="67"/>
        <v>7737.8136488003747</v>
      </c>
      <c r="AA51" s="77">
        <f t="shared" si="67"/>
        <v>6905.1191827209395</v>
      </c>
      <c r="AB51" s="77">
        <f t="shared" si="67"/>
        <v>6465.7440693639783</v>
      </c>
      <c r="AC51" s="89">
        <f t="shared" ref="AC51" si="68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9">(($B51)/$D54)*E$7</f>
        <v>6039.0449111798544</v>
      </c>
      <c r="F52" s="79">
        <f t="shared" si="69"/>
        <v>5922.25858676807</v>
      </c>
      <c r="G52" s="79">
        <f t="shared" si="69"/>
        <v>5766.5641931050168</v>
      </c>
      <c r="H52" s="79">
        <f t="shared" si="69"/>
        <v>5695.7389697170065</v>
      </c>
      <c r="I52" s="79">
        <f t="shared" si="69"/>
        <v>5712.6643931605622</v>
      </c>
      <c r="J52" s="79">
        <f t="shared" si="69"/>
        <v>6149.9406048355286</v>
      </c>
      <c r="K52" s="79">
        <f t="shared" si="69"/>
        <v>7281.8482806591282</v>
      </c>
      <c r="L52" s="79">
        <f t="shared" si="69"/>
        <v>8498.7256060936106</v>
      </c>
      <c r="M52" s="79">
        <f t="shared" si="69"/>
        <v>9146.1493603426097</v>
      </c>
      <c r="N52" s="79">
        <f t="shared" si="69"/>
        <v>9540.2691034246891</v>
      </c>
      <c r="O52" s="79">
        <f t="shared" si="69"/>
        <v>9944.3053018109167</v>
      </c>
      <c r="P52" s="79">
        <f t="shared" si="69"/>
        <v>10212.914358668595</v>
      </c>
      <c r="Q52" s="79">
        <f t="shared" si="69"/>
        <v>10151.545238450315</v>
      </c>
      <c r="R52" s="79">
        <f t="shared" si="69"/>
        <v>10219.433638508159</v>
      </c>
      <c r="S52" s="79">
        <f t="shared" si="69"/>
        <v>10323.141377784341</v>
      </c>
      <c r="T52" s="79">
        <f t="shared" si="69"/>
        <v>10415.988441047239</v>
      </c>
      <c r="U52" s="79">
        <f t="shared" si="69"/>
        <v>10161.02022603423</v>
      </c>
      <c r="V52" s="79">
        <f t="shared" si="69"/>
        <v>9696.2712298999904</v>
      </c>
      <c r="W52" s="79">
        <f t="shared" si="69"/>
        <v>9660.737175982702</v>
      </c>
      <c r="X52" s="79">
        <f t="shared" si="69"/>
        <v>9536.1500445047495</v>
      </c>
      <c r="Y52" s="79">
        <f t="shared" si="69"/>
        <v>8816.6120571373867</v>
      </c>
      <c r="Z52" s="79">
        <f t="shared" si="69"/>
        <v>7737.8136488003747</v>
      </c>
      <c r="AA52" s="79">
        <f t="shared" si="69"/>
        <v>6905.1191827209395</v>
      </c>
      <c r="AB52" s="79">
        <f t="shared" si="69"/>
        <v>6465.7440693639783</v>
      </c>
      <c r="AC52" s="90">
        <f t="shared" ref="AC52:AC53" si="70">+SUM(E52:AB52)*D52</f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71">(($B51)/$D54)*E$7</f>
        <v>6039.0449111798544</v>
      </c>
      <c r="F53" s="82">
        <f t="shared" si="71"/>
        <v>5922.25858676807</v>
      </c>
      <c r="G53" s="82">
        <f t="shared" si="71"/>
        <v>5766.5641931050168</v>
      </c>
      <c r="H53" s="82">
        <f t="shared" si="71"/>
        <v>5695.7389697170065</v>
      </c>
      <c r="I53" s="82">
        <f t="shared" si="71"/>
        <v>5712.6643931605622</v>
      </c>
      <c r="J53" s="82">
        <f t="shared" si="71"/>
        <v>6149.9406048355286</v>
      </c>
      <c r="K53" s="82">
        <f t="shared" si="71"/>
        <v>7281.8482806591282</v>
      </c>
      <c r="L53" s="82">
        <f t="shared" si="71"/>
        <v>8498.7256060936106</v>
      </c>
      <c r="M53" s="82">
        <f t="shared" si="71"/>
        <v>9146.1493603426097</v>
      </c>
      <c r="N53" s="82">
        <f t="shared" si="71"/>
        <v>9540.2691034246891</v>
      </c>
      <c r="O53" s="82">
        <f t="shared" si="71"/>
        <v>9944.3053018109167</v>
      </c>
      <c r="P53" s="82">
        <f t="shared" si="71"/>
        <v>10212.914358668595</v>
      </c>
      <c r="Q53" s="82">
        <f t="shared" si="71"/>
        <v>10151.545238450315</v>
      </c>
      <c r="R53" s="82">
        <f t="shared" si="71"/>
        <v>10219.433638508159</v>
      </c>
      <c r="S53" s="82">
        <f t="shared" si="71"/>
        <v>10323.141377784341</v>
      </c>
      <c r="T53" s="82">
        <f t="shared" si="71"/>
        <v>10415.988441047239</v>
      </c>
      <c r="U53" s="82">
        <f t="shared" si="71"/>
        <v>10161.02022603423</v>
      </c>
      <c r="V53" s="82">
        <f t="shared" si="71"/>
        <v>9696.2712298999904</v>
      </c>
      <c r="W53" s="82">
        <f t="shared" si="71"/>
        <v>9660.737175982702</v>
      </c>
      <c r="X53" s="82">
        <f t="shared" si="71"/>
        <v>9536.1500445047495</v>
      </c>
      <c r="Y53" s="82">
        <f t="shared" si="71"/>
        <v>8816.6120571373867</v>
      </c>
      <c r="Z53" s="82">
        <f t="shared" si="71"/>
        <v>7737.8136488003747</v>
      </c>
      <c r="AA53" s="82">
        <f t="shared" si="71"/>
        <v>6905.1191827209395</v>
      </c>
      <c r="AB53" s="82">
        <f t="shared" si="71"/>
        <v>6465.7440693639783</v>
      </c>
      <c r="AC53" s="91">
        <f t="shared" si="70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12-2029</v>
      </c>
      <c r="B55" s="141">
        <f>'AÑO 2029'!C27</f>
        <v>6000000</v>
      </c>
      <c r="C55" s="59" t="s">
        <v>40</v>
      </c>
      <c r="D55" s="60">
        <f>VLOOKUP(A55&amp;C55,calendario!I:L,4,0)</f>
        <v>21</v>
      </c>
      <c r="E55" s="77">
        <f t="shared" ref="E55:AB55" si="74">(($B55)/$D58)*E$7</f>
        <v>5844.2370108192135</v>
      </c>
      <c r="F55" s="77">
        <f t="shared" si="74"/>
        <v>5731.2179871949056</v>
      </c>
      <c r="G55" s="77">
        <f t="shared" si="74"/>
        <v>5580.5459933274351</v>
      </c>
      <c r="H55" s="77">
        <f t="shared" si="74"/>
        <v>5512.0054545648445</v>
      </c>
      <c r="I55" s="77">
        <f t="shared" si="74"/>
        <v>5528.3848966069954</v>
      </c>
      <c r="J55" s="77">
        <f t="shared" si="74"/>
        <v>5951.5554240343818</v>
      </c>
      <c r="K55" s="77">
        <f t="shared" si="74"/>
        <v>7046.9499490249627</v>
      </c>
      <c r="L55" s="77">
        <f t="shared" si="74"/>
        <v>8224.5731671873637</v>
      </c>
      <c r="M55" s="77">
        <f t="shared" si="74"/>
        <v>8851.1122842025252</v>
      </c>
      <c r="N55" s="77">
        <f t="shared" si="74"/>
        <v>9232.5184871851834</v>
      </c>
      <c r="O55" s="77">
        <f t="shared" si="74"/>
        <v>9623.5212598170165</v>
      </c>
      <c r="P55" s="77">
        <f t="shared" si="74"/>
        <v>9883.4655083889629</v>
      </c>
      <c r="Q55" s="77">
        <f t="shared" si="74"/>
        <v>9824.076037209983</v>
      </c>
      <c r="R55" s="77">
        <f t="shared" si="74"/>
        <v>9889.774488878862</v>
      </c>
      <c r="S55" s="77">
        <f t="shared" si="74"/>
        <v>9990.1368172106522</v>
      </c>
      <c r="T55" s="77">
        <f t="shared" si="74"/>
        <v>10079.988813916681</v>
      </c>
      <c r="U55" s="77">
        <f t="shared" si="74"/>
        <v>9833.2453800331259</v>
      </c>
      <c r="V55" s="77">
        <f t="shared" si="74"/>
        <v>9383.4882869999892</v>
      </c>
      <c r="W55" s="77">
        <f t="shared" si="74"/>
        <v>9349.1004928864859</v>
      </c>
      <c r="X55" s="77">
        <f t="shared" si="74"/>
        <v>9228.5323011336277</v>
      </c>
      <c r="Y55" s="77">
        <f t="shared" si="74"/>
        <v>8532.2052165845671</v>
      </c>
      <c r="Z55" s="77">
        <f t="shared" si="74"/>
        <v>7488.206756903588</v>
      </c>
      <c r="AA55" s="77">
        <f t="shared" si="74"/>
        <v>6682.3734026331667</v>
      </c>
      <c r="AB55" s="77">
        <f t="shared" si="74"/>
        <v>6257.1716800296563</v>
      </c>
      <c r="AC55" s="89">
        <f t="shared" ref="AC55" si="75">+SUM(E55:AB55)*D55</f>
        <v>4064516.129032257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76">(($B55)/$D58)*E$7</f>
        <v>5844.2370108192135</v>
      </c>
      <c r="F56" s="79">
        <f t="shared" si="76"/>
        <v>5731.2179871949056</v>
      </c>
      <c r="G56" s="79">
        <f t="shared" si="76"/>
        <v>5580.5459933274351</v>
      </c>
      <c r="H56" s="79">
        <f t="shared" si="76"/>
        <v>5512.0054545648445</v>
      </c>
      <c r="I56" s="79">
        <f t="shared" si="76"/>
        <v>5528.3848966069954</v>
      </c>
      <c r="J56" s="79">
        <f t="shared" si="76"/>
        <v>5951.5554240343818</v>
      </c>
      <c r="K56" s="79">
        <f t="shared" si="76"/>
        <v>7046.9499490249627</v>
      </c>
      <c r="L56" s="79">
        <f t="shared" si="76"/>
        <v>8224.5731671873637</v>
      </c>
      <c r="M56" s="79">
        <f t="shared" si="76"/>
        <v>8851.1122842025252</v>
      </c>
      <c r="N56" s="79">
        <f t="shared" si="76"/>
        <v>9232.5184871851834</v>
      </c>
      <c r="O56" s="79">
        <f t="shared" si="76"/>
        <v>9623.5212598170165</v>
      </c>
      <c r="P56" s="79">
        <f t="shared" si="76"/>
        <v>9883.4655083889629</v>
      </c>
      <c r="Q56" s="79">
        <f t="shared" si="76"/>
        <v>9824.076037209983</v>
      </c>
      <c r="R56" s="79">
        <f t="shared" si="76"/>
        <v>9889.774488878862</v>
      </c>
      <c r="S56" s="79">
        <f t="shared" si="76"/>
        <v>9990.1368172106522</v>
      </c>
      <c r="T56" s="79">
        <f t="shared" si="76"/>
        <v>10079.988813916681</v>
      </c>
      <c r="U56" s="79">
        <f t="shared" si="76"/>
        <v>9833.2453800331259</v>
      </c>
      <c r="V56" s="79">
        <f t="shared" si="76"/>
        <v>9383.4882869999892</v>
      </c>
      <c r="W56" s="79">
        <f t="shared" si="76"/>
        <v>9349.1004928864859</v>
      </c>
      <c r="X56" s="79">
        <f t="shared" si="76"/>
        <v>9228.5323011336277</v>
      </c>
      <c r="Y56" s="79">
        <f t="shared" si="76"/>
        <v>8532.2052165845671</v>
      </c>
      <c r="Z56" s="79">
        <f t="shared" si="76"/>
        <v>7488.206756903588</v>
      </c>
      <c r="AA56" s="79">
        <f t="shared" si="76"/>
        <v>6682.3734026331667</v>
      </c>
      <c r="AB56" s="79">
        <f t="shared" si="76"/>
        <v>6257.1716800296563</v>
      </c>
      <c r="AC56" s="90">
        <f t="shared" ref="AC56:AC57" si="77">+SUM(E56:AB56)*D56</f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78">(($B55)/$D58)*E$7</f>
        <v>5844.2370108192135</v>
      </c>
      <c r="F57" s="82">
        <f t="shared" si="78"/>
        <v>5731.2179871949056</v>
      </c>
      <c r="G57" s="82">
        <f t="shared" si="78"/>
        <v>5580.5459933274351</v>
      </c>
      <c r="H57" s="82">
        <f t="shared" si="78"/>
        <v>5512.0054545648445</v>
      </c>
      <c r="I57" s="82">
        <f t="shared" si="78"/>
        <v>5528.3848966069954</v>
      </c>
      <c r="J57" s="82">
        <f t="shared" si="78"/>
        <v>5951.5554240343818</v>
      </c>
      <c r="K57" s="82">
        <f t="shared" si="78"/>
        <v>7046.9499490249627</v>
      </c>
      <c r="L57" s="82">
        <f t="shared" si="78"/>
        <v>8224.5731671873637</v>
      </c>
      <c r="M57" s="82">
        <f t="shared" si="78"/>
        <v>8851.1122842025252</v>
      </c>
      <c r="N57" s="82">
        <f t="shared" si="78"/>
        <v>9232.5184871851834</v>
      </c>
      <c r="O57" s="82">
        <f t="shared" si="78"/>
        <v>9623.5212598170165</v>
      </c>
      <c r="P57" s="82">
        <f t="shared" si="78"/>
        <v>9883.4655083889629</v>
      </c>
      <c r="Q57" s="82">
        <f t="shared" si="78"/>
        <v>9824.076037209983</v>
      </c>
      <c r="R57" s="82">
        <f t="shared" si="78"/>
        <v>9889.774488878862</v>
      </c>
      <c r="S57" s="82">
        <f t="shared" si="78"/>
        <v>9990.1368172106522</v>
      </c>
      <c r="T57" s="82">
        <f t="shared" si="78"/>
        <v>10079.988813916681</v>
      </c>
      <c r="U57" s="82">
        <f t="shared" si="78"/>
        <v>9833.2453800331259</v>
      </c>
      <c r="V57" s="82">
        <f t="shared" si="78"/>
        <v>9383.4882869999892</v>
      </c>
      <c r="W57" s="82">
        <f t="shared" si="78"/>
        <v>9349.1004928864859</v>
      </c>
      <c r="X57" s="82">
        <f t="shared" si="78"/>
        <v>9228.5323011336277</v>
      </c>
      <c r="Y57" s="82">
        <f t="shared" si="78"/>
        <v>8532.2052165845671</v>
      </c>
      <c r="Z57" s="82">
        <f t="shared" si="78"/>
        <v>7488.206756903588</v>
      </c>
      <c r="AA57" s="82">
        <f t="shared" si="78"/>
        <v>6682.3734026331667</v>
      </c>
      <c r="AB57" s="82">
        <f t="shared" si="78"/>
        <v>6257.1716800296563</v>
      </c>
      <c r="AC57" s="91">
        <f t="shared" si="77"/>
        <v>967741.93548387079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7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80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16AE-7560-4157-8F68-227ACC1AFA1E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B36" sqref="B36:F37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36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2C0B-7728-4B9A-A6E3-E35AF9B250F9}">
  <sheetPr>
    <tabColor theme="3" tint="0.59999389629810485"/>
    <pageSetUpPr fitToPage="1"/>
  </sheetPr>
  <dimension ref="A1:AG62"/>
  <sheetViews>
    <sheetView showGridLines="0" zoomScale="90" workbookViewId="0">
      <pane xSplit="4" ySplit="10" topLeftCell="E23" activePane="bottomRight" state="frozen"/>
      <selection activeCell="C16" sqref="C16:C27"/>
      <selection pane="topRight" activeCell="C16" sqref="C16:C27"/>
      <selection pane="bottomLeft" activeCell="C16" sqref="C16:C27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2030'!C8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2030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2030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1-2030</v>
      </c>
      <c r="B11" s="139">
        <f>'AÑO 2030'!C16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4451612.9032258056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5999999.9999999981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2-2030</v>
      </c>
      <c r="B15" s="139">
        <f>'AÑO 2030'!C17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3-2030</v>
      </c>
      <c r="B19" s="141">
        <f>'AÑO 2030'!C18</f>
        <v>6000000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4064516.129032257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967741.93548387079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967741.93548387079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4-2030</v>
      </c>
      <c r="B23" s="139">
        <f>'AÑO 2030'!C19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5-2030</v>
      </c>
      <c r="B27" s="139">
        <f>'AÑO 2030'!C20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4451612.9032258056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5999999.9999999981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6-2030</v>
      </c>
      <c r="B31" s="139">
        <f>'AÑO 2030'!C21</f>
        <v>6000000</v>
      </c>
      <c r="C31" s="59" t="s">
        <v>40</v>
      </c>
      <c r="D31" s="60">
        <f>VLOOKUP(A31&amp;C31,calendario!I:L,4,0)</f>
        <v>20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3999999.9999999995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999999.99999999988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999999.99999999988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7-2030</v>
      </c>
      <c r="B35" s="139">
        <f>'AÑO 2030'!C22</f>
        <v>6000000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4451612.9032258056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8-2030</v>
      </c>
      <c r="B39" s="139">
        <f>'AÑO 2030'!C23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4258064.5161290318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9-2030</v>
      </c>
      <c r="B43" s="139">
        <f>'AÑO 2030'!C24</f>
        <v>6000000</v>
      </c>
      <c r="C43" s="59" t="s">
        <v>40</v>
      </c>
      <c r="D43" s="60">
        <f>VLOOKUP(A43&amp;C43,calendario!I:L,4,0)</f>
        <v>21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4199999.9999999991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999999.99999999988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10-2030</v>
      </c>
      <c r="B47" s="139">
        <f>'AÑO 2030'!C25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11-2030</v>
      </c>
      <c r="B51" s="139">
        <f>'AÑO 2030'!C26</f>
        <v>6000000</v>
      </c>
      <c r="C51" s="59" t="s">
        <v>40</v>
      </c>
      <c r="D51" s="60">
        <f>VLOOKUP(A51&amp;C51,calendario!I:L,4,0)</f>
        <v>21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4199999.9999999991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999999.99999999988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12-2030</v>
      </c>
      <c r="B55" s="141">
        <f>'AÑO 2030'!C27</f>
        <v>6000000</v>
      </c>
      <c r="C55" s="59" t="s">
        <v>40</v>
      </c>
      <c r="D55" s="60">
        <f>VLOOKUP(A55&amp;C55,calendario!I:L,4,0)</f>
        <v>22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4258064.5161290318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967741.93548387079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4AB-F5E2-4C76-9961-A81441D14DE9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285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10F7-E58E-41C4-8D63-AF6599EE85E7}">
  <sheetPr>
    <tabColor theme="3" tint="0.59999389629810485"/>
    <pageSetUpPr fitToPage="1"/>
  </sheetPr>
  <dimension ref="A1:AG62"/>
  <sheetViews>
    <sheetView showGridLines="0" zoomScale="90" workbookViewId="0">
      <pane xSplit="4" ySplit="10" topLeftCell="E20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2031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2031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1-2031</v>
      </c>
      <c r="B11" s="139">
        <f>'AÑO 2031'!C16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4451612.9032258056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5999999.9999999981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2-2031</v>
      </c>
      <c r="B15" s="139">
        <f>'AÑO 2031'!C17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3-2031</v>
      </c>
      <c r="B19" s="141">
        <f>'AÑO 2031'!C18</f>
        <v>6000000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4064516.129032257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967741.93548387079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967741.93548387079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4-2031</v>
      </c>
      <c r="B23" s="139">
        <f>'AÑO 2031'!C19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5-2031</v>
      </c>
      <c r="B27" s="139">
        <f>'AÑO 2031'!C20</f>
        <v>6000000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4258064.5161290318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6-2031</v>
      </c>
      <c r="B31" s="139">
        <f>'AÑO 2031'!C21</f>
        <v>6000000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999999.99999999988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7-2031</v>
      </c>
      <c r="B35" s="139">
        <f>'AÑO 2031'!C22</f>
        <v>6000000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4451612.9032258056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8-2031</v>
      </c>
      <c r="B39" s="139">
        <f>'AÑO 2031'!C23</f>
        <v>6000000</v>
      </c>
      <c r="C39" s="59" t="s">
        <v>40</v>
      </c>
      <c r="D39" s="60">
        <f>VLOOKUP(A39&amp;C39,calendario!I:L,4,0)</f>
        <v>21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9-2031</v>
      </c>
      <c r="B43" s="139">
        <f>'AÑO 2031'!C24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10-2031</v>
      </c>
      <c r="B47" s="139">
        <f>'AÑO 2031'!C25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11-2031</v>
      </c>
      <c r="B51" s="139">
        <f>'AÑO 2031'!C26</f>
        <v>6000000</v>
      </c>
      <c r="C51" s="59" t="s">
        <v>40</v>
      </c>
      <c r="D51" s="60">
        <f>VLOOKUP(A51&amp;C51,calendario!I:L,4,0)</f>
        <v>20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3999999.9999999995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999999.99999999988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999999.99999999988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12-2031</v>
      </c>
      <c r="B55" s="141">
        <f>'AÑO 2031'!C27</f>
        <v>6000000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EFBB-5429-40DF-85CF-362103FFF660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286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E7A8-8A3D-426B-9DA3-5D035714603A}">
  <sheetPr>
    <tabColor theme="3" tint="0.59999389629810485"/>
    <pageSetUpPr fitToPage="1"/>
  </sheetPr>
  <dimension ref="A1:AG62"/>
  <sheetViews>
    <sheetView showGridLines="0" zoomScale="90" workbookViewId="0">
      <pane xSplit="4" ySplit="10" topLeftCell="E45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2032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2032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1-2032</v>
      </c>
      <c r="B11" s="139">
        <f>'AÑO 2032'!C16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4258064.5161290318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2-2032</v>
      </c>
      <c r="B15" s="139">
        <f>'AÑO 2032'!C17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6247.2878391515733</v>
      </c>
      <c r="F15" s="77">
        <f t="shared" si="4"/>
        <v>6126.4744001049003</v>
      </c>
      <c r="G15" s="77">
        <f t="shared" si="4"/>
        <v>5965.4112342465687</v>
      </c>
      <c r="H15" s="77">
        <f t="shared" si="4"/>
        <v>5892.143761776214</v>
      </c>
      <c r="I15" s="77">
        <f t="shared" si="4"/>
        <v>5909.6528205109271</v>
      </c>
      <c r="J15" s="77">
        <f t="shared" si="4"/>
        <v>6362.0075222436508</v>
      </c>
      <c r="K15" s="77">
        <f t="shared" si="4"/>
        <v>7532.9464972335818</v>
      </c>
      <c r="L15" s="77">
        <f t="shared" si="4"/>
        <v>8791.7851097520106</v>
      </c>
      <c r="M15" s="77">
        <f t="shared" si="4"/>
        <v>9461.5338210440786</v>
      </c>
      <c r="N15" s="77">
        <f t="shared" si="4"/>
        <v>9869.2439000945069</v>
      </c>
      <c r="O15" s="77">
        <f t="shared" si="4"/>
        <v>10287.212381183708</v>
      </c>
      <c r="P15" s="77">
        <f t="shared" si="4"/>
        <v>10565.08381931234</v>
      </c>
      <c r="Q15" s="77">
        <f t="shared" si="4"/>
        <v>10501.59852253481</v>
      </c>
      <c r="R15" s="77">
        <f t="shared" si="4"/>
        <v>10571.827901904993</v>
      </c>
      <c r="S15" s="77">
        <f t="shared" si="4"/>
        <v>10679.111770121732</v>
      </c>
      <c r="T15" s="77">
        <f t="shared" si="4"/>
        <v>10775.160456255764</v>
      </c>
      <c r="U15" s="77">
        <f t="shared" si="4"/>
        <v>10511.400233828514</v>
      </c>
      <c r="V15" s="77">
        <f t="shared" si="4"/>
        <v>10030.62541024137</v>
      </c>
      <c r="W15" s="77">
        <f t="shared" si="4"/>
        <v>9993.8660441200373</v>
      </c>
      <c r="X15" s="77">
        <f t="shared" si="4"/>
        <v>9864.9828046600851</v>
      </c>
      <c r="Y15" s="77">
        <f t="shared" si="4"/>
        <v>9120.6331625559178</v>
      </c>
      <c r="Z15" s="77">
        <f t="shared" si="4"/>
        <v>8004.6348091038362</v>
      </c>
      <c r="AA15" s="77">
        <f t="shared" si="4"/>
        <v>7143.2267407458003</v>
      </c>
      <c r="AB15" s="77">
        <f t="shared" si="4"/>
        <v>6688.7007614110125</v>
      </c>
      <c r="AC15" s="89">
        <f t="shared" ref="AC15:AC17" si="5">+SUM(E15:AB15)*D15</f>
        <v>4137931.034482759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6247.2878391515733</v>
      </c>
      <c r="F16" s="79">
        <f t="shared" si="6"/>
        <v>6126.4744001049003</v>
      </c>
      <c r="G16" s="79">
        <f t="shared" si="6"/>
        <v>5965.4112342465687</v>
      </c>
      <c r="H16" s="79">
        <f t="shared" si="6"/>
        <v>5892.143761776214</v>
      </c>
      <c r="I16" s="79">
        <f t="shared" si="6"/>
        <v>5909.6528205109271</v>
      </c>
      <c r="J16" s="79">
        <f t="shared" si="6"/>
        <v>6362.0075222436508</v>
      </c>
      <c r="K16" s="79">
        <f t="shared" si="6"/>
        <v>7532.9464972335818</v>
      </c>
      <c r="L16" s="79">
        <f t="shared" si="6"/>
        <v>8791.7851097520106</v>
      </c>
      <c r="M16" s="79">
        <f t="shared" si="6"/>
        <v>9461.5338210440786</v>
      </c>
      <c r="N16" s="79">
        <f t="shared" si="6"/>
        <v>9869.2439000945069</v>
      </c>
      <c r="O16" s="79">
        <f t="shared" si="6"/>
        <v>10287.212381183708</v>
      </c>
      <c r="P16" s="79">
        <f t="shared" si="6"/>
        <v>10565.08381931234</v>
      </c>
      <c r="Q16" s="79">
        <f t="shared" si="6"/>
        <v>10501.59852253481</v>
      </c>
      <c r="R16" s="79">
        <f t="shared" si="6"/>
        <v>10571.827901904993</v>
      </c>
      <c r="S16" s="79">
        <f t="shared" si="6"/>
        <v>10679.111770121732</v>
      </c>
      <c r="T16" s="79">
        <f t="shared" si="6"/>
        <v>10775.160456255764</v>
      </c>
      <c r="U16" s="79">
        <f t="shared" si="6"/>
        <v>10511.400233828514</v>
      </c>
      <c r="V16" s="79">
        <f t="shared" si="6"/>
        <v>10030.62541024137</v>
      </c>
      <c r="W16" s="79">
        <f t="shared" si="6"/>
        <v>9993.8660441200373</v>
      </c>
      <c r="X16" s="79">
        <f t="shared" si="6"/>
        <v>9864.9828046600851</v>
      </c>
      <c r="Y16" s="79">
        <f t="shared" si="6"/>
        <v>9120.6331625559178</v>
      </c>
      <c r="Z16" s="79">
        <f t="shared" si="6"/>
        <v>8004.6348091038362</v>
      </c>
      <c r="AA16" s="79">
        <f t="shared" si="6"/>
        <v>7143.2267407458003</v>
      </c>
      <c r="AB16" s="79">
        <f t="shared" si="6"/>
        <v>6688.7007614110125</v>
      </c>
      <c r="AC16" s="90">
        <f t="shared" si="5"/>
        <v>827586.20689655177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5</v>
      </c>
      <c r="E17" s="82">
        <f t="shared" ref="E17:AB17" si="7">(($B15)/$D18)*E$7</f>
        <v>6247.2878391515733</v>
      </c>
      <c r="F17" s="82">
        <f t="shared" si="7"/>
        <v>6126.4744001049003</v>
      </c>
      <c r="G17" s="82">
        <f t="shared" si="7"/>
        <v>5965.4112342465687</v>
      </c>
      <c r="H17" s="82">
        <f t="shared" si="7"/>
        <v>5892.143761776214</v>
      </c>
      <c r="I17" s="82">
        <f t="shared" si="7"/>
        <v>5909.6528205109271</v>
      </c>
      <c r="J17" s="82">
        <f t="shared" si="7"/>
        <v>6362.0075222436508</v>
      </c>
      <c r="K17" s="82">
        <f t="shared" si="7"/>
        <v>7532.9464972335818</v>
      </c>
      <c r="L17" s="82">
        <f t="shared" si="7"/>
        <v>8791.7851097520106</v>
      </c>
      <c r="M17" s="82">
        <f t="shared" si="7"/>
        <v>9461.5338210440786</v>
      </c>
      <c r="N17" s="82">
        <f t="shared" si="7"/>
        <v>9869.2439000945069</v>
      </c>
      <c r="O17" s="82">
        <f t="shared" si="7"/>
        <v>10287.212381183708</v>
      </c>
      <c r="P17" s="82">
        <f t="shared" si="7"/>
        <v>10565.08381931234</v>
      </c>
      <c r="Q17" s="82">
        <f t="shared" si="7"/>
        <v>10501.59852253481</v>
      </c>
      <c r="R17" s="82">
        <f t="shared" si="7"/>
        <v>10571.827901904993</v>
      </c>
      <c r="S17" s="82">
        <f t="shared" si="7"/>
        <v>10679.111770121732</v>
      </c>
      <c r="T17" s="82">
        <f t="shared" si="7"/>
        <v>10775.160456255764</v>
      </c>
      <c r="U17" s="82">
        <f t="shared" si="7"/>
        <v>10511.400233828514</v>
      </c>
      <c r="V17" s="82">
        <f t="shared" si="7"/>
        <v>10030.62541024137</v>
      </c>
      <c r="W17" s="82">
        <f t="shared" si="7"/>
        <v>9993.8660441200373</v>
      </c>
      <c r="X17" s="82">
        <f t="shared" si="7"/>
        <v>9864.9828046600851</v>
      </c>
      <c r="Y17" s="82">
        <f t="shared" si="7"/>
        <v>9120.6331625559178</v>
      </c>
      <c r="Z17" s="82">
        <f t="shared" si="7"/>
        <v>8004.6348091038362</v>
      </c>
      <c r="AA17" s="82">
        <f t="shared" si="7"/>
        <v>7143.2267407458003</v>
      </c>
      <c r="AB17" s="82">
        <f t="shared" si="7"/>
        <v>6688.7007614110125</v>
      </c>
      <c r="AC17" s="91">
        <f t="shared" si="5"/>
        <v>1034482.7586206897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3-2032</v>
      </c>
      <c r="B19" s="141">
        <f>'AÑO 2032'!C18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4-2032</v>
      </c>
      <c r="B23" s="139">
        <f>'AÑO 2032'!C19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5-2032</v>
      </c>
      <c r="B27" s="139">
        <f>'AÑO 2032'!C20</f>
        <v>6000000</v>
      </c>
      <c r="C27" s="59" t="s">
        <v>40</v>
      </c>
      <c r="D27" s="60">
        <f>VLOOKUP(A27&amp;C27,calendario!I:L,4,0)</f>
        <v>21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4064516.129032257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6-2032</v>
      </c>
      <c r="B31" s="139">
        <f>'AÑO 2032'!C21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7-2032</v>
      </c>
      <c r="B35" s="139">
        <f>'AÑO 2032'!C22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4258064.5161290318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8-2032</v>
      </c>
      <c r="B39" s="139">
        <f>'AÑO 2032'!C23</f>
        <v>6000000</v>
      </c>
      <c r="C39" s="59" t="s">
        <v>40</v>
      </c>
      <c r="D39" s="60">
        <f>VLOOKUP(A39&amp;C39,calendario!I:L,4,0)</f>
        <v>22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4258064.5161290318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9-2032</v>
      </c>
      <c r="B43" s="139">
        <f>'AÑO 2032'!C24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10-2032</v>
      </c>
      <c r="B47" s="139">
        <f>'AÑO 2032'!C25</f>
        <v>6000000</v>
      </c>
      <c r="C47" s="59" t="s">
        <v>40</v>
      </c>
      <c r="D47" s="60">
        <f>VLOOKUP(A47&amp;C47,calendario!I:L,4,0)</f>
        <v>21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4064516.129032257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11-2032</v>
      </c>
      <c r="B51" s="139">
        <f>'AÑO 2032'!C26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12-2032</v>
      </c>
      <c r="B55" s="141">
        <f>'AÑO 2032'!C27</f>
        <v>6000000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8645-CEA5-4E84-9540-94F6C62B6AD7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287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4BB-DF5E-4D8F-91BF-8C61CC050798}">
  <sheetPr>
    <tabColor theme="3" tint="0.59999389629810485"/>
    <pageSetUpPr fitToPage="1"/>
  </sheetPr>
  <dimension ref="A1:AG62"/>
  <sheetViews>
    <sheetView showGridLines="0" zoomScale="90" workbookViewId="0">
      <pane xSplit="4" ySplit="10" topLeftCell="E44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2033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2033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1-2033</v>
      </c>
      <c r="B11" s="139">
        <f>'AÑO 2033'!C16</f>
        <v>6000000</v>
      </c>
      <c r="C11" s="59" t="s">
        <v>40</v>
      </c>
      <c r="D11" s="60">
        <f>VLOOKUP(A11&amp;C11,calendario!I:L,4,0)</f>
        <v>21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4064516.129032257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5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967741.93548387079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967741.93548387079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2-2033</v>
      </c>
      <c r="B15" s="139">
        <f>'AÑO 2033'!C17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3-2033</v>
      </c>
      <c r="B19" s="141">
        <f>'AÑO 2033'!C18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4-2033</v>
      </c>
      <c r="B23" s="139">
        <f>'AÑO 2033'!C19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5-2033</v>
      </c>
      <c r="B27" s="139">
        <f>'AÑO 2033'!C20</f>
        <v>6000000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4258064.5161290318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5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967741.93548387079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6-2033</v>
      </c>
      <c r="B31" s="139">
        <f>'AÑO 2033'!C21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7-2033</v>
      </c>
      <c r="B35" s="139">
        <f>'AÑO 2033'!C22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4064516.129032257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8-2033</v>
      </c>
      <c r="B39" s="139">
        <f>'AÑO 2033'!C23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9-2033</v>
      </c>
      <c r="B43" s="139">
        <f>'AÑO 2033'!C24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10-2033</v>
      </c>
      <c r="B47" s="139">
        <f>'AÑO 2033'!C25</f>
        <v>6000000</v>
      </c>
      <c r="C47" s="59" t="s">
        <v>40</v>
      </c>
      <c r="D47" s="60">
        <f>VLOOKUP(A47&amp;C47,calendario!I:L,4,0)</f>
        <v>21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4064516.129032257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5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967741.93548387079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11-2033</v>
      </c>
      <c r="B51" s="139">
        <f>'AÑO 2033'!C26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12-2033</v>
      </c>
      <c r="B55" s="141">
        <f>'AÑO 2033'!C27</f>
        <v>6000000</v>
      </c>
      <c r="C55" s="59" t="s">
        <v>40</v>
      </c>
      <c r="D55" s="60">
        <f>VLOOKUP(A55&amp;C55,calendario!I:L,4,0)</f>
        <v>22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4258064.5161290318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7257-F142-413F-A624-BE2F288D306F}">
  <sheetPr>
    <tabColor theme="3" tint="0.59999389629810485"/>
    <pageSetUpPr fitToPage="1"/>
  </sheetPr>
  <dimension ref="A1:H48"/>
  <sheetViews>
    <sheetView showGridLines="0" topLeftCell="A13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288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0130-A40C-4883-9439-75C04B1266C5}">
  <sheetPr>
    <tabColor theme="3" tint="0.59999389629810485"/>
    <pageSetUpPr fitToPage="1"/>
  </sheetPr>
  <dimension ref="A1:AG62"/>
  <sheetViews>
    <sheetView showGridLines="0" zoomScale="90" workbookViewId="0">
      <pane xSplit="4" ySplit="10" topLeftCell="E48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2034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1-2034</v>
      </c>
      <c r="B11" s="139">
        <f>'AÑO 2034'!C16</f>
        <v>6000000</v>
      </c>
      <c r="C11" s="59" t="s">
        <v>40</v>
      </c>
      <c r="D11" s="60">
        <f>VLOOKUP(A11&amp;C11,calendario!I:L,4,0)</f>
        <v>22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4258064.5161290318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967741.93548387079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5999999.9999999991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2-2034</v>
      </c>
      <c r="B15" s="139">
        <f>'AÑO 2034'!C17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3-2034</v>
      </c>
      <c r="B19" s="141">
        <f>'AÑO 2034'!C18</f>
        <v>6000000</v>
      </c>
      <c r="C19" s="59" t="s">
        <v>40</v>
      </c>
      <c r="D19" s="60">
        <f>VLOOKUP(A19&amp;C19,calendario!I:L,4,0)</f>
        <v>23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4451612.9032258056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774193.54838709661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5999999.9999999981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4-2034</v>
      </c>
      <c r="B23" s="139">
        <f>'AÑO 2034'!C19</f>
        <v>6000000</v>
      </c>
      <c r="C23" s="59" t="s">
        <v>40</v>
      </c>
      <c r="D23" s="60">
        <f>VLOOKUP(A23&amp;C23,calendario!I:L,4,0)</f>
        <v>20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3999999.9999999995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999999.99999999988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5-2034</v>
      </c>
      <c r="B27" s="139">
        <f>'AÑO 2034'!C20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4451612.9032258056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5999999.9999999981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6-2034</v>
      </c>
      <c r="B31" s="139">
        <f>'AÑO 2034'!C21</f>
        <v>6000000</v>
      </c>
      <c r="C31" s="59" t="s">
        <v>40</v>
      </c>
      <c r="D31" s="60">
        <f>VLOOKUP(A31&amp;C31,calendario!I:L,4,0)</f>
        <v>22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4399999.9999999991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7-2034</v>
      </c>
      <c r="B35" s="139">
        <f>'AÑO 2034'!C22</f>
        <v>6000000</v>
      </c>
      <c r="C35" s="59" t="s">
        <v>40</v>
      </c>
      <c r="D35" s="60">
        <f>VLOOKUP(A35&amp;C35,calendario!I:L,4,0)</f>
        <v>21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4064516.129032257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967741.93548387079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8-2034</v>
      </c>
      <c r="B39" s="139">
        <f>'AÑO 2034'!C23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9-2034</v>
      </c>
      <c r="B43" s="139">
        <f>'AÑO 2034'!C24</f>
        <v>6000000</v>
      </c>
      <c r="C43" s="59" t="s">
        <v>40</v>
      </c>
      <c r="D43" s="60">
        <f>VLOOKUP(A43&amp;C43,calendario!I:L,4,0)</f>
        <v>21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4199999.9999999991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10-2034</v>
      </c>
      <c r="B47" s="139">
        <f>'AÑO 2034'!C25</f>
        <v>6000000</v>
      </c>
      <c r="C47" s="59" t="s">
        <v>40</v>
      </c>
      <c r="D47" s="60">
        <f>VLOOKUP(A47&amp;C47,calendario!I:L,4,0)</f>
        <v>22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4258064.5161290318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967741.93548387079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5999999.9999999991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11-2034</v>
      </c>
      <c r="B51" s="139">
        <f>'AÑO 2034'!C26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12-2034</v>
      </c>
      <c r="B55" s="141">
        <f>'AÑO 2034'!C27</f>
        <v>6000000</v>
      </c>
      <c r="C55" s="59" t="s">
        <v>40</v>
      </c>
      <c r="D55" s="60">
        <f>VLOOKUP(A55&amp;C55,calendario!I:L,4,0)</f>
        <v>21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4064516.129032257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967741.93548387079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C61E-0EBF-4EE1-8349-569A5BA3ECB9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289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30" t="s">
        <v>15</v>
      </c>
      <c r="C16" s="17">
        <v>6000000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6000000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6000000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6000000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6000000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6000000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6000000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6000000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6000000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6000000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6000000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6000000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13.5" customHeight="1" x14ac:dyDescent="0.3">
      <c r="B36" s="136" t="str">
        <f>IF('Formato Resumen 23'!B36=0,"",'Formato Resumen 23'!B36)</f>
        <v/>
      </c>
      <c r="C36" s="136"/>
      <c r="D36" s="136"/>
      <c r="E36" s="136"/>
      <c r="F36" s="136"/>
    </row>
    <row r="37" spans="2:8" s="9" customFormat="1" ht="13.5" customHeight="1" x14ac:dyDescent="0.3">
      <c r="B37" s="136" t="str">
        <f>IF('Formato Resumen 23'!B37=0,"",'Formato Resumen 23'!B37)</f>
        <v/>
      </c>
      <c r="C37" s="136"/>
      <c r="D37" s="136"/>
      <c r="E37" s="136"/>
      <c r="F37" s="13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2F84-297E-4A0B-A939-45894D92D7FD}">
  <sheetPr>
    <tabColor theme="3" tint="0.59999389629810485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2035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2035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1-2035</v>
      </c>
      <c r="B11" s="139">
        <f>'AÑO 2035'!C16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4451612.9032258056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5999999.9999999981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2-2035</v>
      </c>
      <c r="B15" s="139">
        <f>'AÑO 2035'!C17</f>
        <v>6000000</v>
      </c>
      <c r="C15" s="59" t="s">
        <v>40</v>
      </c>
      <c r="D15" s="60">
        <f>VLOOKUP(A15&amp;C15,calendario!I:L,4,0)</f>
        <v>20</v>
      </c>
      <c r="E15" s="77">
        <f t="shared" ref="E15:AB15" si="4">(($B15)/$D18)*E$7</f>
        <v>6470.4052619784152</v>
      </c>
      <c r="F15" s="77">
        <f t="shared" si="4"/>
        <v>6345.2770572515037</v>
      </c>
      <c r="G15" s="77">
        <f t="shared" si="4"/>
        <v>6178.4616354696609</v>
      </c>
      <c r="H15" s="77">
        <f t="shared" si="4"/>
        <v>6102.5774675539351</v>
      </c>
      <c r="I15" s="77">
        <f t="shared" si="4"/>
        <v>6120.7118498148884</v>
      </c>
      <c r="J15" s="77">
        <f t="shared" si="4"/>
        <v>6589.2220766094952</v>
      </c>
      <c r="K15" s="77">
        <f t="shared" si="4"/>
        <v>7801.9803007062092</v>
      </c>
      <c r="L15" s="77">
        <f t="shared" si="4"/>
        <v>9105.7774351002972</v>
      </c>
      <c r="M15" s="77">
        <f t="shared" si="4"/>
        <v>9799.4457432242234</v>
      </c>
      <c r="N15" s="77">
        <f t="shared" si="4"/>
        <v>10221.716896526454</v>
      </c>
      <c r="O15" s="77">
        <f t="shared" si="4"/>
        <v>10654.61282336884</v>
      </c>
      <c r="P15" s="77">
        <f t="shared" si="4"/>
        <v>10942.408241430638</v>
      </c>
      <c r="Q15" s="77">
        <f t="shared" si="4"/>
        <v>10876.655612625338</v>
      </c>
      <c r="R15" s="77">
        <f t="shared" si="4"/>
        <v>10949.393184115885</v>
      </c>
      <c r="S15" s="77">
        <f t="shared" si="4"/>
        <v>11060.508619054652</v>
      </c>
      <c r="T15" s="77">
        <f t="shared" si="4"/>
        <v>11159.987615407756</v>
      </c>
      <c r="U15" s="77">
        <f t="shared" si="4"/>
        <v>10886.807385036675</v>
      </c>
      <c r="V15" s="77">
        <f t="shared" si="4"/>
        <v>10388.862032035704</v>
      </c>
      <c r="W15" s="77">
        <f t="shared" si="4"/>
        <v>10350.789831410038</v>
      </c>
      <c r="X15" s="77">
        <f t="shared" si="4"/>
        <v>10217.30361911223</v>
      </c>
      <c r="Y15" s="77">
        <f t="shared" si="4"/>
        <v>9446.3700612186294</v>
      </c>
      <c r="Z15" s="77">
        <f t="shared" si="4"/>
        <v>8290.5146237146873</v>
      </c>
      <c r="AA15" s="77">
        <f t="shared" si="4"/>
        <v>7398.3419814867211</v>
      </c>
      <c r="AB15" s="77">
        <f t="shared" si="4"/>
        <v>6927.5829314614057</v>
      </c>
      <c r="AC15" s="89">
        <f t="shared" ref="AC15:AC17" si="5">+SUM(E15:AB15)*D15</f>
        <v>4285714.2857142854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6470.4052619784152</v>
      </c>
      <c r="F16" s="79">
        <f t="shared" si="6"/>
        <v>6345.2770572515037</v>
      </c>
      <c r="G16" s="79">
        <f t="shared" si="6"/>
        <v>6178.4616354696609</v>
      </c>
      <c r="H16" s="79">
        <f t="shared" si="6"/>
        <v>6102.5774675539351</v>
      </c>
      <c r="I16" s="79">
        <f t="shared" si="6"/>
        <v>6120.7118498148884</v>
      </c>
      <c r="J16" s="79">
        <f t="shared" si="6"/>
        <v>6589.2220766094952</v>
      </c>
      <c r="K16" s="79">
        <f t="shared" si="6"/>
        <v>7801.9803007062092</v>
      </c>
      <c r="L16" s="79">
        <f t="shared" si="6"/>
        <v>9105.7774351002972</v>
      </c>
      <c r="M16" s="79">
        <f t="shared" si="6"/>
        <v>9799.4457432242234</v>
      </c>
      <c r="N16" s="79">
        <f t="shared" si="6"/>
        <v>10221.716896526454</v>
      </c>
      <c r="O16" s="79">
        <f t="shared" si="6"/>
        <v>10654.61282336884</v>
      </c>
      <c r="P16" s="79">
        <f t="shared" si="6"/>
        <v>10942.408241430638</v>
      </c>
      <c r="Q16" s="79">
        <f t="shared" si="6"/>
        <v>10876.655612625338</v>
      </c>
      <c r="R16" s="79">
        <f t="shared" si="6"/>
        <v>10949.393184115885</v>
      </c>
      <c r="S16" s="79">
        <f t="shared" si="6"/>
        <v>11060.508619054652</v>
      </c>
      <c r="T16" s="79">
        <f t="shared" si="6"/>
        <v>11159.987615407756</v>
      </c>
      <c r="U16" s="79">
        <f t="shared" si="6"/>
        <v>10886.807385036675</v>
      </c>
      <c r="V16" s="79">
        <f t="shared" si="6"/>
        <v>10388.862032035704</v>
      </c>
      <c r="W16" s="79">
        <f t="shared" si="6"/>
        <v>10350.789831410038</v>
      </c>
      <c r="X16" s="79">
        <f t="shared" si="6"/>
        <v>10217.30361911223</v>
      </c>
      <c r="Y16" s="79">
        <f t="shared" si="6"/>
        <v>9446.3700612186294</v>
      </c>
      <c r="Z16" s="79">
        <f t="shared" si="6"/>
        <v>8290.5146237146873</v>
      </c>
      <c r="AA16" s="79">
        <f t="shared" si="6"/>
        <v>7398.3419814867211</v>
      </c>
      <c r="AB16" s="79">
        <f t="shared" si="6"/>
        <v>6927.5829314614057</v>
      </c>
      <c r="AC16" s="90">
        <f t="shared" si="5"/>
        <v>857142.85714285716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6470.4052619784152</v>
      </c>
      <c r="F17" s="82">
        <f t="shared" si="7"/>
        <v>6345.2770572515037</v>
      </c>
      <c r="G17" s="82">
        <f t="shared" si="7"/>
        <v>6178.4616354696609</v>
      </c>
      <c r="H17" s="82">
        <f t="shared" si="7"/>
        <v>6102.5774675539351</v>
      </c>
      <c r="I17" s="82">
        <f t="shared" si="7"/>
        <v>6120.7118498148884</v>
      </c>
      <c r="J17" s="82">
        <f t="shared" si="7"/>
        <v>6589.2220766094952</v>
      </c>
      <c r="K17" s="82">
        <f t="shared" si="7"/>
        <v>7801.9803007062092</v>
      </c>
      <c r="L17" s="82">
        <f t="shared" si="7"/>
        <v>9105.7774351002972</v>
      </c>
      <c r="M17" s="82">
        <f t="shared" si="7"/>
        <v>9799.4457432242234</v>
      </c>
      <c r="N17" s="82">
        <f t="shared" si="7"/>
        <v>10221.716896526454</v>
      </c>
      <c r="O17" s="82">
        <f t="shared" si="7"/>
        <v>10654.61282336884</v>
      </c>
      <c r="P17" s="82">
        <f t="shared" si="7"/>
        <v>10942.408241430638</v>
      </c>
      <c r="Q17" s="82">
        <f t="shared" si="7"/>
        <v>10876.655612625338</v>
      </c>
      <c r="R17" s="82">
        <f t="shared" si="7"/>
        <v>10949.393184115885</v>
      </c>
      <c r="S17" s="82">
        <f t="shared" si="7"/>
        <v>11060.508619054652</v>
      </c>
      <c r="T17" s="82">
        <f t="shared" si="7"/>
        <v>11159.987615407756</v>
      </c>
      <c r="U17" s="82">
        <f t="shared" si="7"/>
        <v>10886.807385036675</v>
      </c>
      <c r="V17" s="82">
        <f t="shared" si="7"/>
        <v>10388.862032035704</v>
      </c>
      <c r="W17" s="82">
        <f t="shared" si="7"/>
        <v>10350.789831410038</v>
      </c>
      <c r="X17" s="82">
        <f t="shared" si="7"/>
        <v>10217.30361911223</v>
      </c>
      <c r="Y17" s="82">
        <f t="shared" si="7"/>
        <v>9446.3700612186294</v>
      </c>
      <c r="Z17" s="82">
        <f t="shared" si="7"/>
        <v>8290.5146237146873</v>
      </c>
      <c r="AA17" s="82">
        <f t="shared" si="7"/>
        <v>7398.3419814867211</v>
      </c>
      <c r="AB17" s="82">
        <f t="shared" si="7"/>
        <v>6927.5829314614057</v>
      </c>
      <c r="AC17" s="91">
        <f t="shared" si="5"/>
        <v>857142.85714285716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3-2035</v>
      </c>
      <c r="B19" s="141">
        <f>'AÑO 2035'!C18</f>
        <v>6000000</v>
      </c>
      <c r="C19" s="59" t="s">
        <v>40</v>
      </c>
      <c r="D19" s="60">
        <f>VLOOKUP(A19&amp;C19,calendario!I:L,4,0)</f>
        <v>22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4258064.5161290318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967741.93548387079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774193.54838709661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4-2035</v>
      </c>
      <c r="B23" s="139">
        <f>'AÑO 2035'!C19</f>
        <v>6000000</v>
      </c>
      <c r="C23" s="59" t="s">
        <v>40</v>
      </c>
      <c r="D23" s="60">
        <f>VLOOKUP(A23&amp;C23,calendario!I:L,4,0)</f>
        <v>21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4199999.9999999991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999999.99999999988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5-2035</v>
      </c>
      <c r="B27" s="139">
        <f>'AÑO 2035'!C20</f>
        <v>6000000</v>
      </c>
      <c r="C27" s="59" t="s">
        <v>40</v>
      </c>
      <c r="D27" s="60">
        <f>VLOOKUP(A27&amp;C27,calendario!I:L,4,0)</f>
        <v>23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4451612.9032258056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774193.54838709661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5999999.9999999981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6-2035</v>
      </c>
      <c r="B31" s="139">
        <f>'AÑO 2035'!C21</f>
        <v>6000000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5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999999.99999999988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799999.99999999988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7-2035</v>
      </c>
      <c r="B35" s="139">
        <f>'AÑO 2035'!C22</f>
        <v>6000000</v>
      </c>
      <c r="C35" s="59" t="s">
        <v>40</v>
      </c>
      <c r="D35" s="60">
        <f>VLOOKUP(A35&amp;C35,calendario!I:L,4,0)</f>
        <v>22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4258064.5161290318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967741.93548387079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5999999.9999999991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8-2035</v>
      </c>
      <c r="B39" s="139">
        <f>'AÑO 2035'!C23</f>
        <v>6000000</v>
      </c>
      <c r="C39" s="59" t="s">
        <v>40</v>
      </c>
      <c r="D39" s="60">
        <f>VLOOKUP(A39&amp;C39,calendario!I:L,4,0)</f>
        <v>23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4451612.9032258056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774193.54838709661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774193.54838709661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5999999.9999999981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9-2035</v>
      </c>
      <c r="B43" s="139">
        <f>'AÑO 2035'!C24</f>
        <v>6000000</v>
      </c>
      <c r="C43" s="59" t="s">
        <v>40</v>
      </c>
      <c r="D43" s="60">
        <f>VLOOKUP(A43&amp;C43,calendario!I:L,4,0)</f>
        <v>20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3999999.9999999995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999999.99999999988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5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999999.99999999988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10-2035</v>
      </c>
      <c r="B47" s="139">
        <f>'AÑO 2035'!C25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11-2035</v>
      </c>
      <c r="B51" s="139">
        <f>'AÑO 2035'!C26</f>
        <v>6000000</v>
      </c>
      <c r="C51" s="59" t="s">
        <v>40</v>
      </c>
      <c r="D51" s="60">
        <f>VLOOKUP(A51&amp;C51,calendario!I:L,4,0)</f>
        <v>22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4399999.9999999991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799999.99999999988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799999.99999999988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12-2035</v>
      </c>
      <c r="B55" s="141">
        <f>'AÑO 2035'!C27</f>
        <v>6000000</v>
      </c>
      <c r="C55" s="59" t="s">
        <v>40</v>
      </c>
      <c r="D55" s="60">
        <f>VLOOKUP(A55&amp;C55,calendario!I:L,4,0)</f>
        <v>21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4064516.129032257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967741.93548387079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967741.93548387079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5999999.9999999991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9104-84A6-4AB5-8DD8-50239464FF39}">
  <sheetPr>
    <tabColor theme="3" tint="0.59999389629810485"/>
    <pageSetUpPr fitToPage="1"/>
  </sheetPr>
  <dimension ref="A1:H48"/>
  <sheetViews>
    <sheetView showGridLines="0" topLeftCell="A15" zoomScaleNormal="100" zoomScaleSheetLayoutView="100" workbookViewId="0">
      <selection activeCell="B35" sqref="B35:F38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2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noviembre de 2024</v>
      </c>
      <c r="C2" s="127"/>
      <c r="D2" s="127"/>
      <c r="E2" s="127"/>
      <c r="F2" s="127"/>
      <c r="G2" s="127"/>
      <c r="H2" s="127"/>
    </row>
    <row r="3" spans="1:8" ht="16.5" customHeight="1" x14ac:dyDescent="0.3">
      <c r="B3" s="127"/>
      <c r="C3" s="127"/>
      <c r="D3" s="127"/>
      <c r="E3" s="127"/>
      <c r="F3" s="127"/>
      <c r="G3" s="127"/>
      <c r="H3" s="127"/>
    </row>
    <row r="4" spans="1:8" ht="12.75" hidden="1" customHeight="1" x14ac:dyDescent="0.3">
      <c r="B4" s="127"/>
      <c r="C4" s="127"/>
      <c r="D4" s="127"/>
      <c r="E4" s="127"/>
      <c r="F4" s="127"/>
      <c r="G4" s="127"/>
      <c r="H4" s="12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CP-EXEC2025-001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CP-EXEC2025-001 -PROD01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noviembre de 2024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28" t="s">
        <v>290</v>
      </c>
      <c r="C14" s="130" t="s">
        <v>11</v>
      </c>
      <c r="D14" s="132" t="s">
        <v>12</v>
      </c>
      <c r="E14" s="130" t="s">
        <v>13</v>
      </c>
      <c r="F14" s="134" t="s">
        <v>14</v>
      </c>
    </row>
    <row r="15" spans="1:8" ht="52.5" customHeight="1" x14ac:dyDescent="0.3">
      <c r="A15" s="29"/>
      <c r="B15" s="129"/>
      <c r="C15" s="131"/>
      <c r="D15" s="133"/>
      <c r="E15" s="131"/>
      <c r="F15" s="135"/>
    </row>
    <row r="16" spans="1:8" ht="15" x14ac:dyDescent="0.3">
      <c r="A16" s="32"/>
      <c r="B16" s="117" t="s">
        <v>15</v>
      </c>
      <c r="C16" s="120">
        <v>6000000</v>
      </c>
      <c r="D16" s="121">
        <v>1</v>
      </c>
      <c r="E16" s="74">
        <v>0</v>
      </c>
      <c r="F16" s="122"/>
    </row>
    <row r="17" spans="1:8" ht="15" x14ac:dyDescent="0.3">
      <c r="A17" s="32"/>
      <c r="B17" s="117" t="s">
        <v>16</v>
      </c>
      <c r="C17" s="120">
        <v>6000000</v>
      </c>
      <c r="D17" s="121">
        <v>1</v>
      </c>
      <c r="E17" s="74">
        <v>0</v>
      </c>
      <c r="F17" s="122"/>
    </row>
    <row r="18" spans="1:8" ht="15" x14ac:dyDescent="0.3">
      <c r="A18" s="32"/>
      <c r="B18" s="117" t="s">
        <v>17</v>
      </c>
      <c r="C18" s="120">
        <v>6000000</v>
      </c>
      <c r="D18" s="121">
        <v>1</v>
      </c>
      <c r="E18" s="74">
        <v>0</v>
      </c>
      <c r="F18" s="122"/>
    </row>
    <row r="19" spans="1:8" ht="15" x14ac:dyDescent="0.3">
      <c r="A19" s="32"/>
      <c r="B19" s="117" t="s">
        <v>18</v>
      </c>
      <c r="C19" s="120">
        <v>6000000</v>
      </c>
      <c r="D19" s="121">
        <v>1</v>
      </c>
      <c r="E19" s="74">
        <v>0</v>
      </c>
      <c r="F19" s="122"/>
    </row>
    <row r="20" spans="1:8" ht="15" x14ac:dyDescent="0.3">
      <c r="A20" s="32"/>
      <c r="B20" s="117" t="s">
        <v>19</v>
      </c>
      <c r="C20" s="120">
        <v>6000000</v>
      </c>
      <c r="D20" s="121">
        <v>1</v>
      </c>
      <c r="E20" s="74">
        <v>0</v>
      </c>
      <c r="F20" s="122"/>
    </row>
    <row r="21" spans="1:8" ht="15" x14ac:dyDescent="0.3">
      <c r="A21" s="32"/>
      <c r="B21" s="117" t="s">
        <v>20</v>
      </c>
      <c r="C21" s="120">
        <v>6000000</v>
      </c>
      <c r="D21" s="121">
        <v>1</v>
      </c>
      <c r="E21" s="74">
        <v>0</v>
      </c>
      <c r="F21" s="122"/>
    </row>
    <row r="22" spans="1:8" ht="15" x14ac:dyDescent="0.3">
      <c r="A22" s="32"/>
      <c r="B22" s="30" t="s">
        <v>21</v>
      </c>
      <c r="C22" s="120">
        <v>6000000</v>
      </c>
      <c r="D22" s="12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20">
        <v>6000000</v>
      </c>
      <c r="D23" s="12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20">
        <v>6000000</v>
      </c>
      <c r="D24" s="12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20">
        <v>6000000</v>
      </c>
      <c r="D25" s="12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20">
        <v>6000000</v>
      </c>
      <c r="D26" s="12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20">
        <v>6000000</v>
      </c>
      <c r="D27" s="12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72000000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_La energía ofrecida se despachará de acuerdo con las curvas descritas los terminos de referencia.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_No serán tenidas en cuenta ofertas con condiciones y/o modificaciones adicionales a los Pliegos definitivos.</v>
      </c>
      <c r="D35" s="11"/>
    </row>
    <row r="36" spans="2:8" s="9" customFormat="1" ht="5.25" customHeight="1" x14ac:dyDescent="0.3">
      <c r="B36" s="145"/>
      <c r="C36" s="145"/>
      <c r="D36" s="145"/>
      <c r="E36" s="145"/>
      <c r="F36" s="145"/>
    </row>
    <row r="37" spans="2:8" s="9" customFormat="1" ht="13.5" customHeight="1" x14ac:dyDescent="0.3">
      <c r="B37" s="145" t="str">
        <f>IF('Formato Resumen 23'!B37=0,"",'Formato Resumen 23'!B37)</f>
        <v/>
      </c>
      <c r="C37" s="145"/>
      <c r="D37" s="145"/>
      <c r="E37" s="145"/>
      <c r="F37" s="145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50F8-DDAB-4A43-8A5B-34969745E6E2}">
  <sheetPr>
    <tabColor theme="3" tint="0.59999389629810485"/>
    <pageSetUpPr fitToPage="1"/>
  </sheetPr>
  <dimension ref="A1:AG62"/>
  <sheetViews>
    <sheetView showGridLines="0" zoomScale="90" workbookViewId="0">
      <pane xSplit="4" ySplit="10" topLeftCell="E46" activePane="bottomRight" state="frozen"/>
      <selection activeCell="B35" sqref="B35:B38"/>
      <selection pane="topRight" activeCell="B35" sqref="B35:B38"/>
      <selection pane="bottomLeft" activeCell="B35" sqref="B35:B38"/>
      <selection pane="bottomRight" activeCell="B35" sqref="B35:B38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'AÑO 2031'!C8</f>
        <v>CP-EXEC2025-001 -PROD01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2036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19">
        <f>'DETALLE AÑO 2026'!E7</f>
        <v>3.0195224555899271E-2</v>
      </c>
      <c r="F7" s="119">
        <f>'DETALLE AÑO 2026'!F7</f>
        <v>2.961129293384035E-2</v>
      </c>
      <c r="G7" s="119">
        <f>'DETALLE AÑO 2026'!G7</f>
        <v>2.8832820965525082E-2</v>
      </c>
      <c r="H7" s="119">
        <f>'DETALLE AÑO 2026'!H7</f>
        <v>2.8478694848585031E-2</v>
      </c>
      <c r="I7" s="119">
        <f>'DETALLE AÑO 2026'!I7</f>
        <v>2.8563321965802812E-2</v>
      </c>
      <c r="J7" s="119">
        <f>'DETALLE AÑO 2026'!J7</f>
        <v>3.0749703024177642E-2</v>
      </c>
      <c r="K7" s="119">
        <f>'DETALLE AÑO 2026'!K7</f>
        <v>3.6409241403295642E-2</v>
      </c>
      <c r="L7" s="119">
        <f>'DETALLE AÑO 2026'!L7</f>
        <v>4.249362803046805E-2</v>
      </c>
      <c r="M7" s="119">
        <f>'DETALLE AÑO 2026'!M7</f>
        <v>4.5730746801713046E-2</v>
      </c>
      <c r="N7" s="119">
        <f>'DETALLE AÑO 2026'!N7</f>
        <v>4.7701345517123447E-2</v>
      </c>
      <c r="O7" s="119">
        <f>'DETALLE AÑO 2026'!O7</f>
        <v>4.9721526509054585E-2</v>
      </c>
      <c r="P7" s="119">
        <f>'DETALLE AÑO 2026'!P7</f>
        <v>5.1064571793342978E-2</v>
      </c>
      <c r="Q7" s="119">
        <f>'DETALLE AÑO 2026'!Q7</f>
        <v>5.0757726192251579E-2</v>
      </c>
      <c r="R7" s="119">
        <f>'DETALLE AÑO 2026'!R7</f>
        <v>5.1097168192540794E-2</v>
      </c>
      <c r="S7" s="119">
        <f>'DETALLE AÑO 2026'!S7</f>
        <v>5.1615706888921704E-2</v>
      </c>
      <c r="T7" s="119">
        <f>'DETALLE AÑO 2026'!T7</f>
        <v>5.2079942205236193E-2</v>
      </c>
      <c r="U7" s="119">
        <f>'DETALLE AÑO 2026'!U7</f>
        <v>5.080510113017115E-2</v>
      </c>
      <c r="V7" s="119">
        <f>'DETALLE AÑO 2026'!V7</f>
        <v>4.848135614949995E-2</v>
      </c>
      <c r="W7" s="119">
        <f>'DETALLE AÑO 2026'!W7</f>
        <v>4.8303685879913509E-2</v>
      </c>
      <c r="X7" s="119">
        <f>'DETALLE AÑO 2026'!X7</f>
        <v>4.7680750222523743E-2</v>
      </c>
      <c r="Y7" s="119">
        <f>'DETALLE AÑO 2026'!Y7</f>
        <v>4.4083060285686933E-2</v>
      </c>
      <c r="Z7" s="119">
        <f>'DETALLE AÑO 2026'!Z7</f>
        <v>3.8689068244001874E-2</v>
      </c>
      <c r="AA7" s="119">
        <f>'DETALLE AÑO 2026'!AA7</f>
        <v>3.4525595913604698E-2</v>
      </c>
      <c r="AB7" s="119">
        <f>'DETALLE AÑO 2026'!AB7</f>
        <v>3.2328720346819891E-2</v>
      </c>
      <c r="AC7" s="97" t="s">
        <v>40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2025'!C12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2036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1-2036</v>
      </c>
      <c r="B11" s="139">
        <f>'AÑO 2036'!C16</f>
        <v>6000000</v>
      </c>
      <c r="C11" s="59" t="s">
        <v>40</v>
      </c>
      <c r="D11" s="60">
        <f>VLOOKUP(A11&amp;C11,calendario!I:L,4,0)</f>
        <v>23</v>
      </c>
      <c r="E11" s="77">
        <f>(($B11)/$D14)*E$7</f>
        <v>5844.2370108192135</v>
      </c>
      <c r="F11" s="77">
        <f t="shared" ref="F11:AB11" si="0">(($B11)/$D14)*F$7</f>
        <v>5731.2179871949056</v>
      </c>
      <c r="G11" s="77">
        <f t="shared" si="0"/>
        <v>5580.5459933274351</v>
      </c>
      <c r="H11" s="77">
        <f t="shared" si="0"/>
        <v>5512.0054545648445</v>
      </c>
      <c r="I11" s="77">
        <f t="shared" si="0"/>
        <v>5528.3848966069954</v>
      </c>
      <c r="J11" s="77">
        <f t="shared" si="0"/>
        <v>5951.5554240343818</v>
      </c>
      <c r="K11" s="77">
        <f t="shared" si="0"/>
        <v>7046.9499490249627</v>
      </c>
      <c r="L11" s="77">
        <f t="shared" si="0"/>
        <v>8224.5731671873637</v>
      </c>
      <c r="M11" s="77">
        <f t="shared" si="0"/>
        <v>8851.1122842025252</v>
      </c>
      <c r="N11" s="77">
        <f t="shared" si="0"/>
        <v>9232.5184871851834</v>
      </c>
      <c r="O11" s="77">
        <f t="shared" si="0"/>
        <v>9623.5212598170165</v>
      </c>
      <c r="P11" s="77">
        <f t="shared" si="0"/>
        <v>9883.4655083889629</v>
      </c>
      <c r="Q11" s="77">
        <f t="shared" si="0"/>
        <v>9824.076037209983</v>
      </c>
      <c r="R11" s="77">
        <f t="shared" si="0"/>
        <v>9889.774488878862</v>
      </c>
      <c r="S11" s="77">
        <f t="shared" si="0"/>
        <v>9990.1368172106522</v>
      </c>
      <c r="T11" s="77">
        <f t="shared" si="0"/>
        <v>10079.988813916681</v>
      </c>
      <c r="U11" s="77">
        <f t="shared" si="0"/>
        <v>9833.2453800331259</v>
      </c>
      <c r="V11" s="77">
        <f t="shared" si="0"/>
        <v>9383.4882869999892</v>
      </c>
      <c r="W11" s="77">
        <f t="shared" si="0"/>
        <v>9349.1004928864859</v>
      </c>
      <c r="X11" s="77">
        <f t="shared" si="0"/>
        <v>9228.5323011336277</v>
      </c>
      <c r="Y11" s="77">
        <f t="shared" si="0"/>
        <v>8532.2052165845671</v>
      </c>
      <c r="Z11" s="77">
        <f t="shared" si="0"/>
        <v>7488.206756903588</v>
      </c>
      <c r="AA11" s="77">
        <f t="shared" si="0"/>
        <v>6682.3734026331667</v>
      </c>
      <c r="AB11" s="77">
        <f t="shared" si="0"/>
        <v>6257.1716800296563</v>
      </c>
      <c r="AC11" s="89">
        <f>+SUM(E11:AB11)*D11</f>
        <v>4451612.9032258056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(($B11)/$D14)*E$7</f>
        <v>5844.2370108192135</v>
      </c>
      <c r="F12" s="79">
        <f t="shared" ref="F12:AB12" si="1">(($B11)/$D14)*F$7</f>
        <v>5731.2179871949056</v>
      </c>
      <c r="G12" s="79">
        <f t="shared" si="1"/>
        <v>5580.5459933274351</v>
      </c>
      <c r="H12" s="79">
        <f t="shared" si="1"/>
        <v>5512.0054545648445</v>
      </c>
      <c r="I12" s="79">
        <f t="shared" si="1"/>
        <v>5528.3848966069954</v>
      </c>
      <c r="J12" s="79">
        <f t="shared" si="1"/>
        <v>5951.5554240343818</v>
      </c>
      <c r="K12" s="79">
        <f t="shared" si="1"/>
        <v>7046.9499490249627</v>
      </c>
      <c r="L12" s="79">
        <f t="shared" si="1"/>
        <v>8224.5731671873637</v>
      </c>
      <c r="M12" s="79">
        <f t="shared" si="1"/>
        <v>8851.1122842025252</v>
      </c>
      <c r="N12" s="79">
        <f t="shared" si="1"/>
        <v>9232.5184871851834</v>
      </c>
      <c r="O12" s="79">
        <f t="shared" si="1"/>
        <v>9623.5212598170165</v>
      </c>
      <c r="P12" s="79">
        <f t="shared" si="1"/>
        <v>9883.4655083889629</v>
      </c>
      <c r="Q12" s="79">
        <f t="shared" si="1"/>
        <v>9824.076037209983</v>
      </c>
      <c r="R12" s="79">
        <f t="shared" si="1"/>
        <v>9889.774488878862</v>
      </c>
      <c r="S12" s="79">
        <f t="shared" si="1"/>
        <v>9990.1368172106522</v>
      </c>
      <c r="T12" s="79">
        <f t="shared" si="1"/>
        <v>10079.988813916681</v>
      </c>
      <c r="U12" s="79">
        <f t="shared" si="1"/>
        <v>9833.2453800331259</v>
      </c>
      <c r="V12" s="79">
        <f t="shared" si="1"/>
        <v>9383.4882869999892</v>
      </c>
      <c r="W12" s="79">
        <f t="shared" si="1"/>
        <v>9349.1004928864859</v>
      </c>
      <c r="X12" s="79">
        <f t="shared" si="1"/>
        <v>9228.5323011336277</v>
      </c>
      <c r="Y12" s="79">
        <f t="shared" si="1"/>
        <v>8532.2052165845671</v>
      </c>
      <c r="Z12" s="79">
        <f t="shared" si="1"/>
        <v>7488.206756903588</v>
      </c>
      <c r="AA12" s="79">
        <f t="shared" si="1"/>
        <v>6682.3734026331667</v>
      </c>
      <c r="AB12" s="79">
        <f t="shared" si="1"/>
        <v>6257.1716800296563</v>
      </c>
      <c r="AC12" s="90">
        <f t="shared" ref="AC12:AC13" si="2">+SUM(E12:AB12)*D12</f>
        <v>774193.54838709661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4</v>
      </c>
      <c r="E13" s="82">
        <f>(($B11)/$D14)*E$7</f>
        <v>5844.2370108192135</v>
      </c>
      <c r="F13" s="82">
        <f t="shared" ref="F13:AB13" si="3">(($B11)/$D14)*F$7</f>
        <v>5731.2179871949056</v>
      </c>
      <c r="G13" s="82">
        <f t="shared" si="3"/>
        <v>5580.5459933274351</v>
      </c>
      <c r="H13" s="82">
        <f t="shared" si="3"/>
        <v>5512.0054545648445</v>
      </c>
      <c r="I13" s="82">
        <f t="shared" si="3"/>
        <v>5528.3848966069954</v>
      </c>
      <c r="J13" s="82">
        <f t="shared" si="3"/>
        <v>5951.5554240343818</v>
      </c>
      <c r="K13" s="82">
        <f t="shared" si="3"/>
        <v>7046.9499490249627</v>
      </c>
      <c r="L13" s="82">
        <f t="shared" si="3"/>
        <v>8224.5731671873637</v>
      </c>
      <c r="M13" s="82">
        <f t="shared" si="3"/>
        <v>8851.1122842025252</v>
      </c>
      <c r="N13" s="82">
        <f t="shared" si="3"/>
        <v>9232.5184871851834</v>
      </c>
      <c r="O13" s="82">
        <f t="shared" si="3"/>
        <v>9623.5212598170165</v>
      </c>
      <c r="P13" s="82">
        <f t="shared" si="3"/>
        <v>9883.4655083889629</v>
      </c>
      <c r="Q13" s="82">
        <f t="shared" si="3"/>
        <v>9824.076037209983</v>
      </c>
      <c r="R13" s="82">
        <f t="shared" si="3"/>
        <v>9889.774488878862</v>
      </c>
      <c r="S13" s="82">
        <f t="shared" si="3"/>
        <v>9990.1368172106522</v>
      </c>
      <c r="T13" s="82">
        <f t="shared" si="3"/>
        <v>10079.988813916681</v>
      </c>
      <c r="U13" s="82">
        <f t="shared" si="3"/>
        <v>9833.2453800331259</v>
      </c>
      <c r="V13" s="82">
        <f t="shared" si="3"/>
        <v>9383.4882869999892</v>
      </c>
      <c r="W13" s="82">
        <f t="shared" si="3"/>
        <v>9349.1004928864859</v>
      </c>
      <c r="X13" s="82">
        <f t="shared" si="3"/>
        <v>9228.5323011336277</v>
      </c>
      <c r="Y13" s="82">
        <f t="shared" si="3"/>
        <v>8532.2052165845671</v>
      </c>
      <c r="Z13" s="82">
        <f t="shared" si="3"/>
        <v>7488.206756903588</v>
      </c>
      <c r="AA13" s="82">
        <f t="shared" si="3"/>
        <v>6682.3734026331667</v>
      </c>
      <c r="AB13" s="82">
        <f t="shared" si="3"/>
        <v>6257.1716800296563</v>
      </c>
      <c r="AC13" s="91">
        <f t="shared" si="2"/>
        <v>774193.54838709661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5999999.9999999981</v>
      </c>
      <c r="AD14" s="98"/>
      <c r="AE14" s="98"/>
      <c r="AF14" s="98"/>
      <c r="AG14" s="98"/>
    </row>
    <row r="15" spans="1:33" ht="14" x14ac:dyDescent="0.25">
      <c r="A15" s="137" t="str">
        <f>2&amp;"-"&amp;$D$6</f>
        <v>2-2036</v>
      </c>
      <c r="B15" s="139">
        <f>'AÑO 2036'!C17</f>
        <v>6000000</v>
      </c>
      <c r="C15" s="59" t="s">
        <v>40</v>
      </c>
      <c r="D15" s="60">
        <f>VLOOKUP(A15&amp;C15,calendario!I:L,4,0)</f>
        <v>21</v>
      </c>
      <c r="E15" s="77">
        <f t="shared" ref="E15:AB15" si="4">(($B15)/$D18)*E$7</f>
        <v>6247.2878391515733</v>
      </c>
      <c r="F15" s="77">
        <f t="shared" si="4"/>
        <v>6126.4744001049003</v>
      </c>
      <c r="G15" s="77">
        <f t="shared" si="4"/>
        <v>5965.4112342465687</v>
      </c>
      <c r="H15" s="77">
        <f t="shared" si="4"/>
        <v>5892.143761776214</v>
      </c>
      <c r="I15" s="77">
        <f t="shared" si="4"/>
        <v>5909.6528205109271</v>
      </c>
      <c r="J15" s="77">
        <f t="shared" si="4"/>
        <v>6362.0075222436508</v>
      </c>
      <c r="K15" s="77">
        <f t="shared" si="4"/>
        <v>7532.9464972335818</v>
      </c>
      <c r="L15" s="77">
        <f t="shared" si="4"/>
        <v>8791.7851097520106</v>
      </c>
      <c r="M15" s="77">
        <f t="shared" si="4"/>
        <v>9461.5338210440786</v>
      </c>
      <c r="N15" s="77">
        <f t="shared" si="4"/>
        <v>9869.2439000945069</v>
      </c>
      <c r="O15" s="77">
        <f t="shared" si="4"/>
        <v>10287.212381183708</v>
      </c>
      <c r="P15" s="77">
        <f t="shared" si="4"/>
        <v>10565.08381931234</v>
      </c>
      <c r="Q15" s="77">
        <f t="shared" si="4"/>
        <v>10501.59852253481</v>
      </c>
      <c r="R15" s="77">
        <f t="shared" si="4"/>
        <v>10571.827901904993</v>
      </c>
      <c r="S15" s="77">
        <f t="shared" si="4"/>
        <v>10679.111770121732</v>
      </c>
      <c r="T15" s="77">
        <f t="shared" si="4"/>
        <v>10775.160456255764</v>
      </c>
      <c r="U15" s="77">
        <f t="shared" si="4"/>
        <v>10511.400233828514</v>
      </c>
      <c r="V15" s="77">
        <f t="shared" si="4"/>
        <v>10030.62541024137</v>
      </c>
      <c r="W15" s="77">
        <f t="shared" si="4"/>
        <v>9993.8660441200373</v>
      </c>
      <c r="X15" s="77">
        <f t="shared" si="4"/>
        <v>9864.9828046600851</v>
      </c>
      <c r="Y15" s="77">
        <f t="shared" si="4"/>
        <v>9120.6331625559178</v>
      </c>
      <c r="Z15" s="77">
        <f t="shared" si="4"/>
        <v>8004.6348091038362</v>
      </c>
      <c r="AA15" s="77">
        <f t="shared" si="4"/>
        <v>7143.2267407458003</v>
      </c>
      <c r="AB15" s="77">
        <f t="shared" si="4"/>
        <v>6688.7007614110125</v>
      </c>
      <c r="AC15" s="89">
        <f t="shared" ref="AC15:AC17" si="5">+SUM(E15:AB15)*D15</f>
        <v>4344827.5862068972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 t="shared" ref="E16:AB16" si="6">(($B15)/$D18)*E$7</f>
        <v>6247.2878391515733</v>
      </c>
      <c r="F16" s="79">
        <f t="shared" si="6"/>
        <v>6126.4744001049003</v>
      </c>
      <c r="G16" s="79">
        <f t="shared" si="6"/>
        <v>5965.4112342465687</v>
      </c>
      <c r="H16" s="79">
        <f t="shared" si="6"/>
        <v>5892.143761776214</v>
      </c>
      <c r="I16" s="79">
        <f t="shared" si="6"/>
        <v>5909.6528205109271</v>
      </c>
      <c r="J16" s="79">
        <f t="shared" si="6"/>
        <v>6362.0075222436508</v>
      </c>
      <c r="K16" s="79">
        <f t="shared" si="6"/>
        <v>7532.9464972335818</v>
      </c>
      <c r="L16" s="79">
        <f t="shared" si="6"/>
        <v>8791.7851097520106</v>
      </c>
      <c r="M16" s="79">
        <f t="shared" si="6"/>
        <v>9461.5338210440786</v>
      </c>
      <c r="N16" s="79">
        <f t="shared" si="6"/>
        <v>9869.2439000945069</v>
      </c>
      <c r="O16" s="79">
        <f t="shared" si="6"/>
        <v>10287.212381183708</v>
      </c>
      <c r="P16" s="79">
        <f t="shared" si="6"/>
        <v>10565.08381931234</v>
      </c>
      <c r="Q16" s="79">
        <f t="shared" si="6"/>
        <v>10501.59852253481</v>
      </c>
      <c r="R16" s="79">
        <f t="shared" si="6"/>
        <v>10571.827901904993</v>
      </c>
      <c r="S16" s="79">
        <f t="shared" si="6"/>
        <v>10679.111770121732</v>
      </c>
      <c r="T16" s="79">
        <f t="shared" si="6"/>
        <v>10775.160456255764</v>
      </c>
      <c r="U16" s="79">
        <f t="shared" si="6"/>
        <v>10511.400233828514</v>
      </c>
      <c r="V16" s="79">
        <f t="shared" si="6"/>
        <v>10030.62541024137</v>
      </c>
      <c r="W16" s="79">
        <f t="shared" si="6"/>
        <v>9993.8660441200373</v>
      </c>
      <c r="X16" s="79">
        <f t="shared" si="6"/>
        <v>9864.9828046600851</v>
      </c>
      <c r="Y16" s="79">
        <f t="shared" si="6"/>
        <v>9120.6331625559178</v>
      </c>
      <c r="Z16" s="79">
        <f t="shared" si="6"/>
        <v>8004.6348091038362</v>
      </c>
      <c r="AA16" s="79">
        <f t="shared" si="6"/>
        <v>7143.2267407458003</v>
      </c>
      <c r="AB16" s="79">
        <f t="shared" si="6"/>
        <v>6688.7007614110125</v>
      </c>
      <c r="AC16" s="90">
        <f t="shared" si="5"/>
        <v>827586.20689655177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 t="shared" ref="E17:AB17" si="7">(($B15)/$D18)*E$7</f>
        <v>6247.2878391515733</v>
      </c>
      <c r="F17" s="82">
        <f t="shared" si="7"/>
        <v>6126.4744001049003</v>
      </c>
      <c r="G17" s="82">
        <f t="shared" si="7"/>
        <v>5965.4112342465687</v>
      </c>
      <c r="H17" s="82">
        <f t="shared" si="7"/>
        <v>5892.143761776214</v>
      </c>
      <c r="I17" s="82">
        <f t="shared" si="7"/>
        <v>5909.6528205109271</v>
      </c>
      <c r="J17" s="82">
        <f t="shared" si="7"/>
        <v>6362.0075222436508</v>
      </c>
      <c r="K17" s="82">
        <f t="shared" si="7"/>
        <v>7532.9464972335818</v>
      </c>
      <c r="L17" s="82">
        <f t="shared" si="7"/>
        <v>8791.7851097520106</v>
      </c>
      <c r="M17" s="82">
        <f t="shared" si="7"/>
        <v>9461.5338210440786</v>
      </c>
      <c r="N17" s="82">
        <f t="shared" si="7"/>
        <v>9869.2439000945069</v>
      </c>
      <c r="O17" s="82">
        <f t="shared" si="7"/>
        <v>10287.212381183708</v>
      </c>
      <c r="P17" s="82">
        <f t="shared" si="7"/>
        <v>10565.08381931234</v>
      </c>
      <c r="Q17" s="82">
        <f t="shared" si="7"/>
        <v>10501.59852253481</v>
      </c>
      <c r="R17" s="82">
        <f t="shared" si="7"/>
        <v>10571.827901904993</v>
      </c>
      <c r="S17" s="82">
        <f t="shared" si="7"/>
        <v>10679.111770121732</v>
      </c>
      <c r="T17" s="82">
        <f t="shared" si="7"/>
        <v>10775.160456255764</v>
      </c>
      <c r="U17" s="82">
        <f t="shared" si="7"/>
        <v>10511.400233828514</v>
      </c>
      <c r="V17" s="82">
        <f t="shared" si="7"/>
        <v>10030.62541024137</v>
      </c>
      <c r="W17" s="82">
        <f t="shared" si="7"/>
        <v>9993.8660441200373</v>
      </c>
      <c r="X17" s="82">
        <f t="shared" si="7"/>
        <v>9864.9828046600851</v>
      </c>
      <c r="Y17" s="82">
        <f t="shared" si="7"/>
        <v>9120.6331625559178</v>
      </c>
      <c r="Z17" s="82">
        <f t="shared" si="7"/>
        <v>8004.6348091038362</v>
      </c>
      <c r="AA17" s="82">
        <f t="shared" si="7"/>
        <v>7143.2267407458003</v>
      </c>
      <c r="AB17" s="82">
        <f t="shared" si="7"/>
        <v>6688.7007614110125</v>
      </c>
      <c r="AC17" s="91">
        <f t="shared" si="5"/>
        <v>827586.20689655177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8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9">+SUM(AC15:AC17)</f>
        <v>6000000.0000000009</v>
      </c>
      <c r="AD18" s="98"/>
      <c r="AE18" s="98"/>
      <c r="AF18" s="98"/>
      <c r="AG18" s="98"/>
    </row>
    <row r="19" spans="1:33" ht="14" x14ac:dyDescent="0.25">
      <c r="A19" s="137" t="str">
        <f>3&amp;"-"&amp;$D$6</f>
        <v>3-2036</v>
      </c>
      <c r="B19" s="141">
        <f>'AÑO 2036'!C18</f>
        <v>6000000</v>
      </c>
      <c r="C19" s="59" t="s">
        <v>40</v>
      </c>
      <c r="D19" s="60">
        <f>VLOOKUP(A19&amp;C19,calendario!I:L,4,0)</f>
        <v>21</v>
      </c>
      <c r="E19" s="77">
        <f t="shared" ref="E19:AB19" si="10">(($B19)/$D22)*E$7</f>
        <v>5844.2370108192135</v>
      </c>
      <c r="F19" s="77">
        <f t="shared" si="10"/>
        <v>5731.2179871949056</v>
      </c>
      <c r="G19" s="77">
        <f t="shared" si="10"/>
        <v>5580.5459933274351</v>
      </c>
      <c r="H19" s="77">
        <f t="shared" si="10"/>
        <v>5512.0054545648445</v>
      </c>
      <c r="I19" s="77">
        <f t="shared" si="10"/>
        <v>5528.3848966069954</v>
      </c>
      <c r="J19" s="77">
        <f t="shared" si="10"/>
        <v>5951.5554240343818</v>
      </c>
      <c r="K19" s="77">
        <f t="shared" si="10"/>
        <v>7046.9499490249627</v>
      </c>
      <c r="L19" s="77">
        <f t="shared" si="10"/>
        <v>8224.5731671873637</v>
      </c>
      <c r="M19" s="77">
        <f t="shared" si="10"/>
        <v>8851.1122842025252</v>
      </c>
      <c r="N19" s="77">
        <f t="shared" si="10"/>
        <v>9232.5184871851834</v>
      </c>
      <c r="O19" s="77">
        <f t="shared" si="10"/>
        <v>9623.5212598170165</v>
      </c>
      <c r="P19" s="77">
        <f t="shared" si="10"/>
        <v>9883.4655083889629</v>
      </c>
      <c r="Q19" s="77">
        <f t="shared" si="10"/>
        <v>9824.076037209983</v>
      </c>
      <c r="R19" s="77">
        <f t="shared" si="10"/>
        <v>9889.774488878862</v>
      </c>
      <c r="S19" s="77">
        <f t="shared" si="10"/>
        <v>9990.1368172106522</v>
      </c>
      <c r="T19" s="77">
        <f t="shared" si="10"/>
        <v>10079.988813916681</v>
      </c>
      <c r="U19" s="77">
        <f t="shared" si="10"/>
        <v>9833.2453800331259</v>
      </c>
      <c r="V19" s="77">
        <f t="shared" si="10"/>
        <v>9383.4882869999892</v>
      </c>
      <c r="W19" s="77">
        <f t="shared" si="10"/>
        <v>9349.1004928864859</v>
      </c>
      <c r="X19" s="77">
        <f t="shared" si="10"/>
        <v>9228.5323011336277</v>
      </c>
      <c r="Y19" s="77">
        <f t="shared" si="10"/>
        <v>8532.2052165845671</v>
      </c>
      <c r="Z19" s="77">
        <f t="shared" si="10"/>
        <v>7488.206756903588</v>
      </c>
      <c r="AA19" s="77">
        <f t="shared" si="10"/>
        <v>6682.3734026331667</v>
      </c>
      <c r="AB19" s="77">
        <f t="shared" si="10"/>
        <v>6257.1716800296563</v>
      </c>
      <c r="AC19" s="89">
        <f t="shared" ref="AC19:AC21" si="11">+SUM(E19:AB19)*D19</f>
        <v>4064516.129032257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5</v>
      </c>
      <c r="E20" s="79">
        <f t="shared" ref="E20:AB20" si="12">(($B19)/$D22)*E$7</f>
        <v>5844.2370108192135</v>
      </c>
      <c r="F20" s="79">
        <f t="shared" si="12"/>
        <v>5731.2179871949056</v>
      </c>
      <c r="G20" s="79">
        <f t="shared" si="12"/>
        <v>5580.5459933274351</v>
      </c>
      <c r="H20" s="79">
        <f t="shared" si="12"/>
        <v>5512.0054545648445</v>
      </c>
      <c r="I20" s="79">
        <f t="shared" si="12"/>
        <v>5528.3848966069954</v>
      </c>
      <c r="J20" s="79">
        <f t="shared" si="12"/>
        <v>5951.5554240343818</v>
      </c>
      <c r="K20" s="79">
        <f t="shared" si="12"/>
        <v>7046.9499490249627</v>
      </c>
      <c r="L20" s="79">
        <f t="shared" si="12"/>
        <v>8224.5731671873637</v>
      </c>
      <c r="M20" s="79">
        <f t="shared" si="12"/>
        <v>8851.1122842025252</v>
      </c>
      <c r="N20" s="79">
        <f t="shared" si="12"/>
        <v>9232.5184871851834</v>
      </c>
      <c r="O20" s="79">
        <f t="shared" si="12"/>
        <v>9623.5212598170165</v>
      </c>
      <c r="P20" s="79">
        <f t="shared" si="12"/>
        <v>9883.4655083889629</v>
      </c>
      <c r="Q20" s="79">
        <f t="shared" si="12"/>
        <v>9824.076037209983</v>
      </c>
      <c r="R20" s="79">
        <f t="shared" si="12"/>
        <v>9889.774488878862</v>
      </c>
      <c r="S20" s="79">
        <f t="shared" si="12"/>
        <v>9990.1368172106522</v>
      </c>
      <c r="T20" s="79">
        <f t="shared" si="12"/>
        <v>10079.988813916681</v>
      </c>
      <c r="U20" s="79">
        <f t="shared" si="12"/>
        <v>9833.2453800331259</v>
      </c>
      <c r="V20" s="79">
        <f t="shared" si="12"/>
        <v>9383.4882869999892</v>
      </c>
      <c r="W20" s="79">
        <f t="shared" si="12"/>
        <v>9349.1004928864859</v>
      </c>
      <c r="X20" s="79">
        <f t="shared" si="12"/>
        <v>9228.5323011336277</v>
      </c>
      <c r="Y20" s="79">
        <f t="shared" si="12"/>
        <v>8532.2052165845671</v>
      </c>
      <c r="Z20" s="79">
        <f t="shared" si="12"/>
        <v>7488.206756903588</v>
      </c>
      <c r="AA20" s="79">
        <f t="shared" si="12"/>
        <v>6682.3734026331667</v>
      </c>
      <c r="AB20" s="79">
        <f t="shared" si="12"/>
        <v>6257.1716800296563</v>
      </c>
      <c r="AC20" s="90">
        <f t="shared" si="11"/>
        <v>967741.93548387079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5</v>
      </c>
      <c r="E21" s="82">
        <f t="shared" ref="E21:AB21" si="13">(($B19)/$D22)*E$7</f>
        <v>5844.2370108192135</v>
      </c>
      <c r="F21" s="82">
        <f t="shared" si="13"/>
        <v>5731.2179871949056</v>
      </c>
      <c r="G21" s="82">
        <f t="shared" si="13"/>
        <v>5580.5459933274351</v>
      </c>
      <c r="H21" s="82">
        <f t="shared" si="13"/>
        <v>5512.0054545648445</v>
      </c>
      <c r="I21" s="82">
        <f t="shared" si="13"/>
        <v>5528.3848966069954</v>
      </c>
      <c r="J21" s="82">
        <f t="shared" si="13"/>
        <v>5951.5554240343818</v>
      </c>
      <c r="K21" s="82">
        <f t="shared" si="13"/>
        <v>7046.9499490249627</v>
      </c>
      <c r="L21" s="82">
        <f t="shared" si="13"/>
        <v>8224.5731671873637</v>
      </c>
      <c r="M21" s="82">
        <f t="shared" si="13"/>
        <v>8851.1122842025252</v>
      </c>
      <c r="N21" s="82">
        <f t="shared" si="13"/>
        <v>9232.5184871851834</v>
      </c>
      <c r="O21" s="82">
        <f t="shared" si="13"/>
        <v>9623.5212598170165</v>
      </c>
      <c r="P21" s="82">
        <f t="shared" si="13"/>
        <v>9883.4655083889629</v>
      </c>
      <c r="Q21" s="82">
        <f t="shared" si="13"/>
        <v>9824.076037209983</v>
      </c>
      <c r="R21" s="82">
        <f t="shared" si="13"/>
        <v>9889.774488878862</v>
      </c>
      <c r="S21" s="82">
        <f t="shared" si="13"/>
        <v>9990.1368172106522</v>
      </c>
      <c r="T21" s="82">
        <f t="shared" si="13"/>
        <v>10079.988813916681</v>
      </c>
      <c r="U21" s="82">
        <f t="shared" si="13"/>
        <v>9833.2453800331259</v>
      </c>
      <c r="V21" s="82">
        <f t="shared" si="13"/>
        <v>9383.4882869999892</v>
      </c>
      <c r="W21" s="82">
        <f t="shared" si="13"/>
        <v>9349.1004928864859</v>
      </c>
      <c r="X21" s="82">
        <f t="shared" si="13"/>
        <v>9228.5323011336277</v>
      </c>
      <c r="Y21" s="82">
        <f t="shared" si="13"/>
        <v>8532.2052165845671</v>
      </c>
      <c r="Z21" s="82">
        <f t="shared" si="13"/>
        <v>7488.206756903588</v>
      </c>
      <c r="AA21" s="82">
        <f t="shared" si="13"/>
        <v>6682.3734026331667</v>
      </c>
      <c r="AB21" s="82">
        <f t="shared" si="13"/>
        <v>6257.1716800296563</v>
      </c>
      <c r="AC21" s="91">
        <f t="shared" si="11"/>
        <v>967741.93548387079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1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5">+SUM(AC19:AC21)</f>
        <v>5999999.9999999991</v>
      </c>
      <c r="AD22" s="98"/>
      <c r="AE22" s="98"/>
      <c r="AF22" s="98"/>
      <c r="AG22" s="98"/>
    </row>
    <row r="23" spans="1:33" ht="14" x14ac:dyDescent="0.25">
      <c r="A23" s="137" t="str">
        <f>4&amp;"-"&amp;$D$6</f>
        <v>4-2036</v>
      </c>
      <c r="B23" s="139">
        <f>'AÑO 2036'!C19</f>
        <v>6000000</v>
      </c>
      <c r="C23" s="59" t="s">
        <v>40</v>
      </c>
      <c r="D23" s="60">
        <f>VLOOKUP(A23&amp;C23,calendario!I:L,4,0)</f>
        <v>22</v>
      </c>
      <c r="E23" s="77">
        <f t="shared" ref="E23:AB23" si="16">(($B23)/$D26)*E$7</f>
        <v>6039.0449111798544</v>
      </c>
      <c r="F23" s="77">
        <f t="shared" si="16"/>
        <v>5922.25858676807</v>
      </c>
      <c r="G23" s="77">
        <f t="shared" si="16"/>
        <v>5766.5641931050168</v>
      </c>
      <c r="H23" s="77">
        <f t="shared" si="16"/>
        <v>5695.7389697170065</v>
      </c>
      <c r="I23" s="77">
        <f t="shared" si="16"/>
        <v>5712.6643931605622</v>
      </c>
      <c r="J23" s="77">
        <f t="shared" si="16"/>
        <v>6149.9406048355286</v>
      </c>
      <c r="K23" s="77">
        <f t="shared" si="16"/>
        <v>7281.8482806591282</v>
      </c>
      <c r="L23" s="77">
        <f t="shared" si="16"/>
        <v>8498.7256060936106</v>
      </c>
      <c r="M23" s="77">
        <f t="shared" si="16"/>
        <v>9146.1493603426097</v>
      </c>
      <c r="N23" s="77">
        <f t="shared" si="16"/>
        <v>9540.2691034246891</v>
      </c>
      <c r="O23" s="77">
        <f t="shared" si="16"/>
        <v>9944.3053018109167</v>
      </c>
      <c r="P23" s="77">
        <f t="shared" si="16"/>
        <v>10212.914358668595</v>
      </c>
      <c r="Q23" s="77">
        <f t="shared" si="16"/>
        <v>10151.545238450315</v>
      </c>
      <c r="R23" s="77">
        <f t="shared" si="16"/>
        <v>10219.433638508159</v>
      </c>
      <c r="S23" s="77">
        <f t="shared" si="16"/>
        <v>10323.141377784341</v>
      </c>
      <c r="T23" s="77">
        <f t="shared" si="16"/>
        <v>10415.988441047239</v>
      </c>
      <c r="U23" s="77">
        <f t="shared" si="16"/>
        <v>10161.02022603423</v>
      </c>
      <c r="V23" s="77">
        <f t="shared" si="16"/>
        <v>9696.2712298999904</v>
      </c>
      <c r="W23" s="77">
        <f t="shared" si="16"/>
        <v>9660.737175982702</v>
      </c>
      <c r="X23" s="77">
        <f t="shared" si="16"/>
        <v>9536.1500445047495</v>
      </c>
      <c r="Y23" s="77">
        <f t="shared" si="16"/>
        <v>8816.6120571373867</v>
      </c>
      <c r="Z23" s="77">
        <f t="shared" si="16"/>
        <v>7737.8136488003747</v>
      </c>
      <c r="AA23" s="77">
        <f t="shared" si="16"/>
        <v>6905.1191827209395</v>
      </c>
      <c r="AB23" s="77">
        <f t="shared" si="16"/>
        <v>6465.7440693639783</v>
      </c>
      <c r="AC23" s="89">
        <f t="shared" ref="AC23:AC25" si="17">+SUM(E23:AB23)*D23</f>
        <v>4399999.9999999991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4</v>
      </c>
      <c r="E24" s="79">
        <f t="shared" ref="E24:AB24" si="18">(($B23)/$D26)*E$7</f>
        <v>6039.0449111798544</v>
      </c>
      <c r="F24" s="79">
        <f t="shared" si="18"/>
        <v>5922.25858676807</v>
      </c>
      <c r="G24" s="79">
        <f t="shared" si="18"/>
        <v>5766.5641931050168</v>
      </c>
      <c r="H24" s="79">
        <f t="shared" si="18"/>
        <v>5695.7389697170065</v>
      </c>
      <c r="I24" s="79">
        <f t="shared" si="18"/>
        <v>5712.6643931605622</v>
      </c>
      <c r="J24" s="79">
        <f t="shared" si="18"/>
        <v>6149.9406048355286</v>
      </c>
      <c r="K24" s="79">
        <f t="shared" si="18"/>
        <v>7281.8482806591282</v>
      </c>
      <c r="L24" s="79">
        <f t="shared" si="18"/>
        <v>8498.7256060936106</v>
      </c>
      <c r="M24" s="79">
        <f t="shared" si="18"/>
        <v>9146.1493603426097</v>
      </c>
      <c r="N24" s="79">
        <f t="shared" si="18"/>
        <v>9540.2691034246891</v>
      </c>
      <c r="O24" s="79">
        <f t="shared" si="18"/>
        <v>9944.3053018109167</v>
      </c>
      <c r="P24" s="79">
        <f t="shared" si="18"/>
        <v>10212.914358668595</v>
      </c>
      <c r="Q24" s="79">
        <f t="shared" si="18"/>
        <v>10151.545238450315</v>
      </c>
      <c r="R24" s="79">
        <f t="shared" si="18"/>
        <v>10219.433638508159</v>
      </c>
      <c r="S24" s="79">
        <f t="shared" si="18"/>
        <v>10323.141377784341</v>
      </c>
      <c r="T24" s="79">
        <f t="shared" si="18"/>
        <v>10415.988441047239</v>
      </c>
      <c r="U24" s="79">
        <f t="shared" si="18"/>
        <v>10161.02022603423</v>
      </c>
      <c r="V24" s="79">
        <f t="shared" si="18"/>
        <v>9696.2712298999904</v>
      </c>
      <c r="W24" s="79">
        <f t="shared" si="18"/>
        <v>9660.737175982702</v>
      </c>
      <c r="X24" s="79">
        <f t="shared" si="18"/>
        <v>9536.1500445047495</v>
      </c>
      <c r="Y24" s="79">
        <f t="shared" si="18"/>
        <v>8816.6120571373867</v>
      </c>
      <c r="Z24" s="79">
        <f t="shared" si="18"/>
        <v>7737.8136488003747</v>
      </c>
      <c r="AA24" s="79">
        <f t="shared" si="18"/>
        <v>6905.1191827209395</v>
      </c>
      <c r="AB24" s="79">
        <f t="shared" si="18"/>
        <v>6465.7440693639783</v>
      </c>
      <c r="AC24" s="90">
        <f t="shared" si="17"/>
        <v>799999.99999999988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4</v>
      </c>
      <c r="E25" s="82">
        <f t="shared" ref="E25:AB25" si="19">(($B23)/$D26)*E$7</f>
        <v>6039.0449111798544</v>
      </c>
      <c r="F25" s="82">
        <f t="shared" si="19"/>
        <v>5922.25858676807</v>
      </c>
      <c r="G25" s="82">
        <f t="shared" si="19"/>
        <v>5766.5641931050168</v>
      </c>
      <c r="H25" s="82">
        <f t="shared" si="19"/>
        <v>5695.7389697170065</v>
      </c>
      <c r="I25" s="82">
        <f t="shared" si="19"/>
        <v>5712.6643931605622</v>
      </c>
      <c r="J25" s="82">
        <f t="shared" si="19"/>
        <v>6149.9406048355286</v>
      </c>
      <c r="K25" s="82">
        <f t="shared" si="19"/>
        <v>7281.8482806591282</v>
      </c>
      <c r="L25" s="82">
        <f t="shared" si="19"/>
        <v>8498.7256060936106</v>
      </c>
      <c r="M25" s="82">
        <f t="shared" si="19"/>
        <v>9146.1493603426097</v>
      </c>
      <c r="N25" s="82">
        <f t="shared" si="19"/>
        <v>9540.2691034246891</v>
      </c>
      <c r="O25" s="82">
        <f t="shared" si="19"/>
        <v>9944.3053018109167</v>
      </c>
      <c r="P25" s="82">
        <f t="shared" si="19"/>
        <v>10212.914358668595</v>
      </c>
      <c r="Q25" s="82">
        <f t="shared" si="19"/>
        <v>10151.545238450315</v>
      </c>
      <c r="R25" s="82">
        <f t="shared" si="19"/>
        <v>10219.433638508159</v>
      </c>
      <c r="S25" s="82">
        <f t="shared" si="19"/>
        <v>10323.141377784341</v>
      </c>
      <c r="T25" s="82">
        <f t="shared" si="19"/>
        <v>10415.988441047239</v>
      </c>
      <c r="U25" s="82">
        <f t="shared" si="19"/>
        <v>10161.02022603423</v>
      </c>
      <c r="V25" s="82">
        <f t="shared" si="19"/>
        <v>9696.2712298999904</v>
      </c>
      <c r="W25" s="82">
        <f t="shared" si="19"/>
        <v>9660.737175982702</v>
      </c>
      <c r="X25" s="82">
        <f t="shared" si="19"/>
        <v>9536.1500445047495</v>
      </c>
      <c r="Y25" s="82">
        <f t="shared" si="19"/>
        <v>8816.6120571373867</v>
      </c>
      <c r="Z25" s="82">
        <f t="shared" si="19"/>
        <v>7737.8136488003747</v>
      </c>
      <c r="AA25" s="82">
        <f t="shared" si="19"/>
        <v>6905.1191827209395</v>
      </c>
      <c r="AB25" s="82">
        <f t="shared" si="19"/>
        <v>6465.7440693639783</v>
      </c>
      <c r="AC25" s="91">
        <f t="shared" si="17"/>
        <v>799999.99999999988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20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1">+SUM(AC23:AC25)</f>
        <v>5999999.9999999991</v>
      </c>
      <c r="AD26" s="98"/>
      <c r="AE26" s="98"/>
      <c r="AF26" s="98"/>
      <c r="AG26" s="98"/>
    </row>
    <row r="27" spans="1:33" ht="14" x14ac:dyDescent="0.25">
      <c r="A27" s="137" t="str">
        <f>5&amp;"-"&amp;$D$6</f>
        <v>5-2036</v>
      </c>
      <c r="B27" s="139">
        <f>'AÑO 2036'!C20</f>
        <v>6000000</v>
      </c>
      <c r="C27" s="59" t="s">
        <v>40</v>
      </c>
      <c r="D27" s="60">
        <f>VLOOKUP(A27&amp;C27,calendario!I:L,4,0)</f>
        <v>22</v>
      </c>
      <c r="E27" s="77">
        <f t="shared" ref="E27:AB27" si="22">(($B27)/$D30)*E$7</f>
        <v>5844.2370108192135</v>
      </c>
      <c r="F27" s="77">
        <f t="shared" si="22"/>
        <v>5731.2179871949056</v>
      </c>
      <c r="G27" s="77">
        <f t="shared" si="22"/>
        <v>5580.5459933274351</v>
      </c>
      <c r="H27" s="77">
        <f t="shared" si="22"/>
        <v>5512.0054545648445</v>
      </c>
      <c r="I27" s="77">
        <f t="shared" si="22"/>
        <v>5528.3848966069954</v>
      </c>
      <c r="J27" s="77">
        <f t="shared" si="22"/>
        <v>5951.5554240343818</v>
      </c>
      <c r="K27" s="77">
        <f t="shared" si="22"/>
        <v>7046.9499490249627</v>
      </c>
      <c r="L27" s="77">
        <f t="shared" si="22"/>
        <v>8224.5731671873637</v>
      </c>
      <c r="M27" s="77">
        <f t="shared" si="22"/>
        <v>8851.1122842025252</v>
      </c>
      <c r="N27" s="77">
        <f t="shared" si="22"/>
        <v>9232.5184871851834</v>
      </c>
      <c r="O27" s="77">
        <f t="shared" si="22"/>
        <v>9623.5212598170165</v>
      </c>
      <c r="P27" s="77">
        <f t="shared" si="22"/>
        <v>9883.4655083889629</v>
      </c>
      <c r="Q27" s="77">
        <f t="shared" si="22"/>
        <v>9824.076037209983</v>
      </c>
      <c r="R27" s="77">
        <f t="shared" si="22"/>
        <v>9889.774488878862</v>
      </c>
      <c r="S27" s="77">
        <f t="shared" si="22"/>
        <v>9990.1368172106522</v>
      </c>
      <c r="T27" s="77">
        <f t="shared" si="22"/>
        <v>10079.988813916681</v>
      </c>
      <c r="U27" s="77">
        <f t="shared" si="22"/>
        <v>9833.2453800331259</v>
      </c>
      <c r="V27" s="77">
        <f t="shared" si="22"/>
        <v>9383.4882869999892</v>
      </c>
      <c r="W27" s="77">
        <f t="shared" si="22"/>
        <v>9349.1004928864859</v>
      </c>
      <c r="X27" s="77">
        <f t="shared" si="22"/>
        <v>9228.5323011336277</v>
      </c>
      <c r="Y27" s="77">
        <f t="shared" si="22"/>
        <v>8532.2052165845671</v>
      </c>
      <c r="Z27" s="77">
        <f t="shared" si="22"/>
        <v>7488.206756903588</v>
      </c>
      <c r="AA27" s="77">
        <f t="shared" si="22"/>
        <v>6682.3734026331667</v>
      </c>
      <c r="AB27" s="77">
        <f t="shared" si="22"/>
        <v>6257.1716800296563</v>
      </c>
      <c r="AC27" s="89">
        <f t="shared" ref="AC27:AC29" si="23">+SUM(E27:AB27)*D27</f>
        <v>4258064.5161290318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5</v>
      </c>
      <c r="E28" s="79">
        <f t="shared" ref="E28:AB28" si="24">(($B27)/$D30)*E$7</f>
        <v>5844.2370108192135</v>
      </c>
      <c r="F28" s="79">
        <f t="shared" si="24"/>
        <v>5731.2179871949056</v>
      </c>
      <c r="G28" s="79">
        <f t="shared" si="24"/>
        <v>5580.5459933274351</v>
      </c>
      <c r="H28" s="79">
        <f t="shared" si="24"/>
        <v>5512.0054545648445</v>
      </c>
      <c r="I28" s="79">
        <f t="shared" si="24"/>
        <v>5528.3848966069954</v>
      </c>
      <c r="J28" s="79">
        <f t="shared" si="24"/>
        <v>5951.5554240343818</v>
      </c>
      <c r="K28" s="79">
        <f t="shared" si="24"/>
        <v>7046.9499490249627</v>
      </c>
      <c r="L28" s="79">
        <f t="shared" si="24"/>
        <v>8224.5731671873637</v>
      </c>
      <c r="M28" s="79">
        <f t="shared" si="24"/>
        <v>8851.1122842025252</v>
      </c>
      <c r="N28" s="79">
        <f t="shared" si="24"/>
        <v>9232.5184871851834</v>
      </c>
      <c r="O28" s="79">
        <f t="shared" si="24"/>
        <v>9623.5212598170165</v>
      </c>
      <c r="P28" s="79">
        <f t="shared" si="24"/>
        <v>9883.4655083889629</v>
      </c>
      <c r="Q28" s="79">
        <f t="shared" si="24"/>
        <v>9824.076037209983</v>
      </c>
      <c r="R28" s="79">
        <f t="shared" si="24"/>
        <v>9889.774488878862</v>
      </c>
      <c r="S28" s="79">
        <f t="shared" si="24"/>
        <v>9990.1368172106522</v>
      </c>
      <c r="T28" s="79">
        <f t="shared" si="24"/>
        <v>10079.988813916681</v>
      </c>
      <c r="U28" s="79">
        <f t="shared" si="24"/>
        <v>9833.2453800331259</v>
      </c>
      <c r="V28" s="79">
        <f t="shared" si="24"/>
        <v>9383.4882869999892</v>
      </c>
      <c r="W28" s="79">
        <f t="shared" si="24"/>
        <v>9349.1004928864859</v>
      </c>
      <c r="X28" s="79">
        <f t="shared" si="24"/>
        <v>9228.5323011336277</v>
      </c>
      <c r="Y28" s="79">
        <f t="shared" si="24"/>
        <v>8532.2052165845671</v>
      </c>
      <c r="Z28" s="79">
        <f t="shared" si="24"/>
        <v>7488.206756903588</v>
      </c>
      <c r="AA28" s="79">
        <f t="shared" si="24"/>
        <v>6682.3734026331667</v>
      </c>
      <c r="AB28" s="79">
        <f t="shared" si="24"/>
        <v>6257.1716800296563</v>
      </c>
      <c r="AC28" s="90">
        <f t="shared" si="23"/>
        <v>967741.93548387079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 t="shared" ref="E29:AB29" si="25">(($B27)/$D30)*E$7</f>
        <v>5844.2370108192135</v>
      </c>
      <c r="F29" s="82">
        <f t="shared" si="25"/>
        <v>5731.2179871949056</v>
      </c>
      <c r="G29" s="82">
        <f t="shared" si="25"/>
        <v>5580.5459933274351</v>
      </c>
      <c r="H29" s="82">
        <f t="shared" si="25"/>
        <v>5512.0054545648445</v>
      </c>
      <c r="I29" s="82">
        <f t="shared" si="25"/>
        <v>5528.3848966069954</v>
      </c>
      <c r="J29" s="82">
        <f t="shared" si="25"/>
        <v>5951.5554240343818</v>
      </c>
      <c r="K29" s="82">
        <f t="shared" si="25"/>
        <v>7046.9499490249627</v>
      </c>
      <c r="L29" s="82">
        <f t="shared" si="25"/>
        <v>8224.5731671873637</v>
      </c>
      <c r="M29" s="82">
        <f t="shared" si="25"/>
        <v>8851.1122842025252</v>
      </c>
      <c r="N29" s="82">
        <f t="shared" si="25"/>
        <v>9232.5184871851834</v>
      </c>
      <c r="O29" s="82">
        <f t="shared" si="25"/>
        <v>9623.5212598170165</v>
      </c>
      <c r="P29" s="82">
        <f t="shared" si="25"/>
        <v>9883.4655083889629</v>
      </c>
      <c r="Q29" s="82">
        <f t="shared" si="25"/>
        <v>9824.076037209983</v>
      </c>
      <c r="R29" s="82">
        <f t="shared" si="25"/>
        <v>9889.774488878862</v>
      </c>
      <c r="S29" s="82">
        <f t="shared" si="25"/>
        <v>9990.1368172106522</v>
      </c>
      <c r="T29" s="82">
        <f t="shared" si="25"/>
        <v>10079.988813916681</v>
      </c>
      <c r="U29" s="82">
        <f t="shared" si="25"/>
        <v>9833.2453800331259</v>
      </c>
      <c r="V29" s="82">
        <f t="shared" si="25"/>
        <v>9383.4882869999892</v>
      </c>
      <c r="W29" s="82">
        <f t="shared" si="25"/>
        <v>9349.1004928864859</v>
      </c>
      <c r="X29" s="82">
        <f t="shared" si="25"/>
        <v>9228.5323011336277</v>
      </c>
      <c r="Y29" s="82">
        <f t="shared" si="25"/>
        <v>8532.2052165845671</v>
      </c>
      <c r="Z29" s="82">
        <f t="shared" si="25"/>
        <v>7488.206756903588</v>
      </c>
      <c r="AA29" s="82">
        <f t="shared" si="25"/>
        <v>6682.3734026331667</v>
      </c>
      <c r="AB29" s="82">
        <f t="shared" si="25"/>
        <v>6257.1716800296563</v>
      </c>
      <c r="AC29" s="91">
        <f t="shared" si="23"/>
        <v>774193.54838709661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2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7">+SUM(AC27:AC29)</f>
        <v>5999999.9999999991</v>
      </c>
      <c r="AD30" s="98"/>
      <c r="AE30" s="98"/>
      <c r="AF30" s="98"/>
      <c r="AG30" s="98"/>
    </row>
    <row r="31" spans="1:33" ht="14" x14ac:dyDescent="0.25">
      <c r="A31" s="137" t="str">
        <f>6&amp;"-"&amp;$D$6</f>
        <v>6-2036</v>
      </c>
      <c r="B31" s="139">
        <f>'AÑO 2036'!C21</f>
        <v>6000000</v>
      </c>
      <c r="C31" s="59" t="s">
        <v>40</v>
      </c>
      <c r="D31" s="60">
        <f>VLOOKUP(A31&amp;C31,calendario!I:L,4,0)</f>
        <v>21</v>
      </c>
      <c r="E31" s="77">
        <f t="shared" ref="E31:AB31" si="28">(($B31)/$D34)*E$7</f>
        <v>6039.0449111798544</v>
      </c>
      <c r="F31" s="77">
        <f t="shared" si="28"/>
        <v>5922.25858676807</v>
      </c>
      <c r="G31" s="77">
        <f t="shared" si="28"/>
        <v>5766.5641931050168</v>
      </c>
      <c r="H31" s="77">
        <f t="shared" si="28"/>
        <v>5695.7389697170065</v>
      </c>
      <c r="I31" s="77">
        <f t="shared" si="28"/>
        <v>5712.6643931605622</v>
      </c>
      <c r="J31" s="77">
        <f t="shared" si="28"/>
        <v>6149.9406048355286</v>
      </c>
      <c r="K31" s="77">
        <f t="shared" si="28"/>
        <v>7281.8482806591282</v>
      </c>
      <c r="L31" s="77">
        <f t="shared" si="28"/>
        <v>8498.7256060936106</v>
      </c>
      <c r="M31" s="77">
        <f t="shared" si="28"/>
        <v>9146.1493603426097</v>
      </c>
      <c r="N31" s="77">
        <f t="shared" si="28"/>
        <v>9540.2691034246891</v>
      </c>
      <c r="O31" s="77">
        <f t="shared" si="28"/>
        <v>9944.3053018109167</v>
      </c>
      <c r="P31" s="77">
        <f t="shared" si="28"/>
        <v>10212.914358668595</v>
      </c>
      <c r="Q31" s="77">
        <f t="shared" si="28"/>
        <v>10151.545238450315</v>
      </c>
      <c r="R31" s="77">
        <f t="shared" si="28"/>
        <v>10219.433638508159</v>
      </c>
      <c r="S31" s="77">
        <f t="shared" si="28"/>
        <v>10323.141377784341</v>
      </c>
      <c r="T31" s="77">
        <f t="shared" si="28"/>
        <v>10415.988441047239</v>
      </c>
      <c r="U31" s="77">
        <f t="shared" si="28"/>
        <v>10161.02022603423</v>
      </c>
      <c r="V31" s="77">
        <f t="shared" si="28"/>
        <v>9696.2712298999904</v>
      </c>
      <c r="W31" s="77">
        <f t="shared" si="28"/>
        <v>9660.737175982702</v>
      </c>
      <c r="X31" s="77">
        <f t="shared" si="28"/>
        <v>9536.1500445047495</v>
      </c>
      <c r="Y31" s="77">
        <f t="shared" si="28"/>
        <v>8816.6120571373867</v>
      </c>
      <c r="Z31" s="77">
        <f t="shared" si="28"/>
        <v>7737.8136488003747</v>
      </c>
      <c r="AA31" s="77">
        <f t="shared" si="28"/>
        <v>6905.1191827209395</v>
      </c>
      <c r="AB31" s="77">
        <f t="shared" si="28"/>
        <v>6465.7440693639783</v>
      </c>
      <c r="AC31" s="89">
        <f t="shared" ref="AC31:AC33" si="29">+SUM(E31:AB31)*D31</f>
        <v>4199999.9999999991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 t="shared" ref="E32:AB32" si="30">(($B31)/$D34)*E$7</f>
        <v>6039.0449111798544</v>
      </c>
      <c r="F32" s="79">
        <f t="shared" si="30"/>
        <v>5922.25858676807</v>
      </c>
      <c r="G32" s="79">
        <f t="shared" si="30"/>
        <v>5766.5641931050168</v>
      </c>
      <c r="H32" s="79">
        <f t="shared" si="30"/>
        <v>5695.7389697170065</v>
      </c>
      <c r="I32" s="79">
        <f t="shared" si="30"/>
        <v>5712.6643931605622</v>
      </c>
      <c r="J32" s="79">
        <f t="shared" si="30"/>
        <v>6149.9406048355286</v>
      </c>
      <c r="K32" s="79">
        <f t="shared" si="30"/>
        <v>7281.8482806591282</v>
      </c>
      <c r="L32" s="79">
        <f t="shared" si="30"/>
        <v>8498.7256060936106</v>
      </c>
      <c r="M32" s="79">
        <f t="shared" si="30"/>
        <v>9146.1493603426097</v>
      </c>
      <c r="N32" s="79">
        <f t="shared" si="30"/>
        <v>9540.2691034246891</v>
      </c>
      <c r="O32" s="79">
        <f t="shared" si="30"/>
        <v>9944.3053018109167</v>
      </c>
      <c r="P32" s="79">
        <f t="shared" si="30"/>
        <v>10212.914358668595</v>
      </c>
      <c r="Q32" s="79">
        <f t="shared" si="30"/>
        <v>10151.545238450315</v>
      </c>
      <c r="R32" s="79">
        <f t="shared" si="30"/>
        <v>10219.433638508159</v>
      </c>
      <c r="S32" s="79">
        <f t="shared" si="30"/>
        <v>10323.141377784341</v>
      </c>
      <c r="T32" s="79">
        <f t="shared" si="30"/>
        <v>10415.988441047239</v>
      </c>
      <c r="U32" s="79">
        <f t="shared" si="30"/>
        <v>10161.02022603423</v>
      </c>
      <c r="V32" s="79">
        <f t="shared" si="30"/>
        <v>9696.2712298999904</v>
      </c>
      <c r="W32" s="79">
        <f t="shared" si="30"/>
        <v>9660.737175982702</v>
      </c>
      <c r="X32" s="79">
        <f t="shared" si="30"/>
        <v>9536.1500445047495</v>
      </c>
      <c r="Y32" s="79">
        <f t="shared" si="30"/>
        <v>8816.6120571373867</v>
      </c>
      <c r="Z32" s="79">
        <f t="shared" si="30"/>
        <v>7737.8136488003747</v>
      </c>
      <c r="AA32" s="79">
        <f t="shared" si="30"/>
        <v>6905.1191827209395</v>
      </c>
      <c r="AB32" s="79">
        <f t="shared" si="30"/>
        <v>6465.7440693639783</v>
      </c>
      <c r="AC32" s="90">
        <f t="shared" si="29"/>
        <v>799999.99999999988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5</v>
      </c>
      <c r="E33" s="82">
        <f t="shared" ref="E33:AB33" si="31">(($B31)/$D34)*E$7</f>
        <v>6039.0449111798544</v>
      </c>
      <c r="F33" s="82">
        <f t="shared" si="31"/>
        <v>5922.25858676807</v>
      </c>
      <c r="G33" s="82">
        <f t="shared" si="31"/>
        <v>5766.5641931050168</v>
      </c>
      <c r="H33" s="82">
        <f t="shared" si="31"/>
        <v>5695.7389697170065</v>
      </c>
      <c r="I33" s="82">
        <f t="shared" si="31"/>
        <v>5712.6643931605622</v>
      </c>
      <c r="J33" s="82">
        <f t="shared" si="31"/>
        <v>6149.9406048355286</v>
      </c>
      <c r="K33" s="82">
        <f t="shared" si="31"/>
        <v>7281.8482806591282</v>
      </c>
      <c r="L33" s="82">
        <f t="shared" si="31"/>
        <v>8498.7256060936106</v>
      </c>
      <c r="M33" s="82">
        <f t="shared" si="31"/>
        <v>9146.1493603426097</v>
      </c>
      <c r="N33" s="82">
        <f t="shared" si="31"/>
        <v>9540.2691034246891</v>
      </c>
      <c r="O33" s="82">
        <f t="shared" si="31"/>
        <v>9944.3053018109167</v>
      </c>
      <c r="P33" s="82">
        <f t="shared" si="31"/>
        <v>10212.914358668595</v>
      </c>
      <c r="Q33" s="82">
        <f t="shared" si="31"/>
        <v>10151.545238450315</v>
      </c>
      <c r="R33" s="82">
        <f t="shared" si="31"/>
        <v>10219.433638508159</v>
      </c>
      <c r="S33" s="82">
        <f t="shared" si="31"/>
        <v>10323.141377784341</v>
      </c>
      <c r="T33" s="82">
        <f t="shared" si="31"/>
        <v>10415.988441047239</v>
      </c>
      <c r="U33" s="82">
        <f t="shared" si="31"/>
        <v>10161.02022603423</v>
      </c>
      <c r="V33" s="82">
        <f t="shared" si="31"/>
        <v>9696.2712298999904</v>
      </c>
      <c r="W33" s="82">
        <f t="shared" si="31"/>
        <v>9660.737175982702</v>
      </c>
      <c r="X33" s="82">
        <f t="shared" si="31"/>
        <v>9536.1500445047495</v>
      </c>
      <c r="Y33" s="82">
        <f t="shared" si="31"/>
        <v>8816.6120571373867</v>
      </c>
      <c r="Z33" s="82">
        <f t="shared" si="31"/>
        <v>7737.8136488003747</v>
      </c>
      <c r="AA33" s="82">
        <f t="shared" si="31"/>
        <v>6905.1191827209395</v>
      </c>
      <c r="AB33" s="82">
        <f t="shared" si="31"/>
        <v>6465.7440693639783</v>
      </c>
      <c r="AC33" s="91">
        <f t="shared" si="29"/>
        <v>999999.99999999988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32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3">+SUM(AC31:AC33)</f>
        <v>5999999.9999999991</v>
      </c>
      <c r="AD34" s="98"/>
      <c r="AE34" s="98"/>
      <c r="AF34" s="98"/>
      <c r="AG34" s="98"/>
    </row>
    <row r="35" spans="1:33" ht="14" x14ac:dyDescent="0.25">
      <c r="A35" s="137" t="str">
        <f>7&amp;"-"&amp;$D$6</f>
        <v>7-2036</v>
      </c>
      <c r="B35" s="139">
        <f>'AÑO 2036'!C22</f>
        <v>6000000</v>
      </c>
      <c r="C35" s="59" t="s">
        <v>40</v>
      </c>
      <c r="D35" s="60">
        <f>VLOOKUP(A35&amp;C35,calendario!I:L,4,0)</f>
        <v>23</v>
      </c>
      <c r="E35" s="77">
        <f t="shared" ref="E35:AB35" si="34">(($B35)/$D38)*E$7</f>
        <v>5844.2370108192135</v>
      </c>
      <c r="F35" s="77">
        <f t="shared" si="34"/>
        <v>5731.2179871949056</v>
      </c>
      <c r="G35" s="77">
        <f t="shared" si="34"/>
        <v>5580.5459933274351</v>
      </c>
      <c r="H35" s="77">
        <f t="shared" si="34"/>
        <v>5512.0054545648445</v>
      </c>
      <c r="I35" s="77">
        <f t="shared" si="34"/>
        <v>5528.3848966069954</v>
      </c>
      <c r="J35" s="77">
        <f t="shared" si="34"/>
        <v>5951.5554240343818</v>
      </c>
      <c r="K35" s="77">
        <f t="shared" si="34"/>
        <v>7046.9499490249627</v>
      </c>
      <c r="L35" s="77">
        <f t="shared" si="34"/>
        <v>8224.5731671873637</v>
      </c>
      <c r="M35" s="77">
        <f t="shared" si="34"/>
        <v>8851.1122842025252</v>
      </c>
      <c r="N35" s="77">
        <f t="shared" si="34"/>
        <v>9232.5184871851834</v>
      </c>
      <c r="O35" s="77">
        <f t="shared" si="34"/>
        <v>9623.5212598170165</v>
      </c>
      <c r="P35" s="77">
        <f t="shared" si="34"/>
        <v>9883.4655083889629</v>
      </c>
      <c r="Q35" s="77">
        <f t="shared" si="34"/>
        <v>9824.076037209983</v>
      </c>
      <c r="R35" s="77">
        <f t="shared" si="34"/>
        <v>9889.774488878862</v>
      </c>
      <c r="S35" s="77">
        <f t="shared" si="34"/>
        <v>9990.1368172106522</v>
      </c>
      <c r="T35" s="77">
        <f t="shared" si="34"/>
        <v>10079.988813916681</v>
      </c>
      <c r="U35" s="77">
        <f t="shared" si="34"/>
        <v>9833.2453800331259</v>
      </c>
      <c r="V35" s="77">
        <f t="shared" si="34"/>
        <v>9383.4882869999892</v>
      </c>
      <c r="W35" s="77">
        <f t="shared" si="34"/>
        <v>9349.1004928864859</v>
      </c>
      <c r="X35" s="77">
        <f t="shared" si="34"/>
        <v>9228.5323011336277</v>
      </c>
      <c r="Y35" s="77">
        <f t="shared" si="34"/>
        <v>8532.2052165845671</v>
      </c>
      <c r="Z35" s="77">
        <f t="shared" si="34"/>
        <v>7488.206756903588</v>
      </c>
      <c r="AA35" s="77">
        <f t="shared" si="34"/>
        <v>6682.3734026331667</v>
      </c>
      <c r="AB35" s="77">
        <f t="shared" si="34"/>
        <v>6257.1716800296563</v>
      </c>
      <c r="AC35" s="89">
        <f t="shared" ref="AC35:AC37" si="35">+SUM(E35:AB35)*D35</f>
        <v>4451612.9032258056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4</v>
      </c>
      <c r="E36" s="79">
        <f t="shared" ref="E36:AB36" si="36">(($B35)/$D38)*E$7</f>
        <v>5844.2370108192135</v>
      </c>
      <c r="F36" s="79">
        <f t="shared" si="36"/>
        <v>5731.2179871949056</v>
      </c>
      <c r="G36" s="79">
        <f t="shared" si="36"/>
        <v>5580.5459933274351</v>
      </c>
      <c r="H36" s="79">
        <f t="shared" si="36"/>
        <v>5512.0054545648445</v>
      </c>
      <c r="I36" s="79">
        <f t="shared" si="36"/>
        <v>5528.3848966069954</v>
      </c>
      <c r="J36" s="79">
        <f t="shared" si="36"/>
        <v>5951.5554240343818</v>
      </c>
      <c r="K36" s="79">
        <f t="shared" si="36"/>
        <v>7046.9499490249627</v>
      </c>
      <c r="L36" s="79">
        <f t="shared" si="36"/>
        <v>8224.5731671873637</v>
      </c>
      <c r="M36" s="79">
        <f t="shared" si="36"/>
        <v>8851.1122842025252</v>
      </c>
      <c r="N36" s="79">
        <f t="shared" si="36"/>
        <v>9232.5184871851834</v>
      </c>
      <c r="O36" s="79">
        <f t="shared" si="36"/>
        <v>9623.5212598170165</v>
      </c>
      <c r="P36" s="79">
        <f t="shared" si="36"/>
        <v>9883.4655083889629</v>
      </c>
      <c r="Q36" s="79">
        <f t="shared" si="36"/>
        <v>9824.076037209983</v>
      </c>
      <c r="R36" s="79">
        <f t="shared" si="36"/>
        <v>9889.774488878862</v>
      </c>
      <c r="S36" s="79">
        <f t="shared" si="36"/>
        <v>9990.1368172106522</v>
      </c>
      <c r="T36" s="79">
        <f t="shared" si="36"/>
        <v>10079.988813916681</v>
      </c>
      <c r="U36" s="79">
        <f t="shared" si="36"/>
        <v>9833.2453800331259</v>
      </c>
      <c r="V36" s="79">
        <f t="shared" si="36"/>
        <v>9383.4882869999892</v>
      </c>
      <c r="W36" s="79">
        <f t="shared" si="36"/>
        <v>9349.1004928864859</v>
      </c>
      <c r="X36" s="79">
        <f t="shared" si="36"/>
        <v>9228.5323011336277</v>
      </c>
      <c r="Y36" s="79">
        <f t="shared" si="36"/>
        <v>8532.2052165845671</v>
      </c>
      <c r="Z36" s="79">
        <f t="shared" si="36"/>
        <v>7488.206756903588</v>
      </c>
      <c r="AA36" s="79">
        <f t="shared" si="36"/>
        <v>6682.3734026331667</v>
      </c>
      <c r="AB36" s="79">
        <f t="shared" si="36"/>
        <v>6257.1716800296563</v>
      </c>
      <c r="AC36" s="90">
        <f t="shared" si="35"/>
        <v>774193.54838709661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4</v>
      </c>
      <c r="E37" s="82">
        <f t="shared" ref="E37:AB37" si="37">(($B35)/$D38)*E$7</f>
        <v>5844.2370108192135</v>
      </c>
      <c r="F37" s="82">
        <f t="shared" si="37"/>
        <v>5731.2179871949056</v>
      </c>
      <c r="G37" s="82">
        <f t="shared" si="37"/>
        <v>5580.5459933274351</v>
      </c>
      <c r="H37" s="82">
        <f t="shared" si="37"/>
        <v>5512.0054545648445</v>
      </c>
      <c r="I37" s="82">
        <f t="shared" si="37"/>
        <v>5528.3848966069954</v>
      </c>
      <c r="J37" s="82">
        <f t="shared" si="37"/>
        <v>5951.5554240343818</v>
      </c>
      <c r="K37" s="82">
        <f t="shared" si="37"/>
        <v>7046.9499490249627</v>
      </c>
      <c r="L37" s="82">
        <f t="shared" si="37"/>
        <v>8224.5731671873637</v>
      </c>
      <c r="M37" s="82">
        <f t="shared" si="37"/>
        <v>8851.1122842025252</v>
      </c>
      <c r="N37" s="82">
        <f t="shared" si="37"/>
        <v>9232.5184871851834</v>
      </c>
      <c r="O37" s="82">
        <f t="shared" si="37"/>
        <v>9623.5212598170165</v>
      </c>
      <c r="P37" s="82">
        <f t="shared" si="37"/>
        <v>9883.4655083889629</v>
      </c>
      <c r="Q37" s="82">
        <f t="shared" si="37"/>
        <v>9824.076037209983</v>
      </c>
      <c r="R37" s="82">
        <f t="shared" si="37"/>
        <v>9889.774488878862</v>
      </c>
      <c r="S37" s="82">
        <f t="shared" si="37"/>
        <v>9990.1368172106522</v>
      </c>
      <c r="T37" s="82">
        <f t="shared" si="37"/>
        <v>10079.988813916681</v>
      </c>
      <c r="U37" s="82">
        <f t="shared" si="37"/>
        <v>9833.2453800331259</v>
      </c>
      <c r="V37" s="82">
        <f t="shared" si="37"/>
        <v>9383.4882869999892</v>
      </c>
      <c r="W37" s="82">
        <f t="shared" si="37"/>
        <v>9349.1004928864859</v>
      </c>
      <c r="X37" s="82">
        <f t="shared" si="37"/>
        <v>9228.5323011336277</v>
      </c>
      <c r="Y37" s="82">
        <f t="shared" si="37"/>
        <v>8532.2052165845671</v>
      </c>
      <c r="Z37" s="82">
        <f t="shared" si="37"/>
        <v>7488.206756903588</v>
      </c>
      <c r="AA37" s="82">
        <f t="shared" si="37"/>
        <v>6682.3734026331667</v>
      </c>
      <c r="AB37" s="82">
        <f t="shared" si="37"/>
        <v>6257.1716800296563</v>
      </c>
      <c r="AC37" s="91">
        <f t="shared" si="35"/>
        <v>774193.54838709661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3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9">+SUM(AC35:AC37)</f>
        <v>5999999.9999999981</v>
      </c>
      <c r="AD38" s="98"/>
      <c r="AE38" s="98"/>
      <c r="AF38" s="98"/>
      <c r="AG38" s="98"/>
    </row>
    <row r="39" spans="1:33" ht="14" x14ac:dyDescent="0.25">
      <c r="A39" s="137" t="str">
        <f>8&amp;"-"&amp;$D$6</f>
        <v>8-2036</v>
      </c>
      <c r="B39" s="139">
        <f>'AÑO 2036'!C23</f>
        <v>6000000</v>
      </c>
      <c r="C39" s="59" t="s">
        <v>40</v>
      </c>
      <c r="D39" s="60">
        <f>VLOOKUP(A39&amp;C39,calendario!I:L,4,0)</f>
        <v>21</v>
      </c>
      <c r="E39" s="77">
        <f t="shared" ref="E39:AB39" si="40">(($B39)/$D42)*E$7</f>
        <v>5844.2370108192135</v>
      </c>
      <c r="F39" s="77">
        <f t="shared" si="40"/>
        <v>5731.2179871949056</v>
      </c>
      <c r="G39" s="77">
        <f t="shared" si="40"/>
        <v>5580.5459933274351</v>
      </c>
      <c r="H39" s="77">
        <f t="shared" si="40"/>
        <v>5512.0054545648445</v>
      </c>
      <c r="I39" s="77">
        <f t="shared" si="40"/>
        <v>5528.3848966069954</v>
      </c>
      <c r="J39" s="77">
        <f t="shared" si="40"/>
        <v>5951.5554240343818</v>
      </c>
      <c r="K39" s="77">
        <f t="shared" si="40"/>
        <v>7046.9499490249627</v>
      </c>
      <c r="L39" s="77">
        <f t="shared" si="40"/>
        <v>8224.5731671873637</v>
      </c>
      <c r="M39" s="77">
        <f t="shared" si="40"/>
        <v>8851.1122842025252</v>
      </c>
      <c r="N39" s="77">
        <f t="shared" si="40"/>
        <v>9232.5184871851834</v>
      </c>
      <c r="O39" s="77">
        <f t="shared" si="40"/>
        <v>9623.5212598170165</v>
      </c>
      <c r="P39" s="77">
        <f t="shared" si="40"/>
        <v>9883.4655083889629</v>
      </c>
      <c r="Q39" s="77">
        <f t="shared" si="40"/>
        <v>9824.076037209983</v>
      </c>
      <c r="R39" s="77">
        <f t="shared" si="40"/>
        <v>9889.774488878862</v>
      </c>
      <c r="S39" s="77">
        <f t="shared" si="40"/>
        <v>9990.1368172106522</v>
      </c>
      <c r="T39" s="77">
        <f t="shared" si="40"/>
        <v>10079.988813916681</v>
      </c>
      <c r="U39" s="77">
        <f t="shared" si="40"/>
        <v>9833.2453800331259</v>
      </c>
      <c r="V39" s="77">
        <f t="shared" si="40"/>
        <v>9383.4882869999892</v>
      </c>
      <c r="W39" s="77">
        <f t="shared" si="40"/>
        <v>9349.1004928864859</v>
      </c>
      <c r="X39" s="77">
        <f t="shared" si="40"/>
        <v>9228.5323011336277</v>
      </c>
      <c r="Y39" s="77">
        <f t="shared" si="40"/>
        <v>8532.2052165845671</v>
      </c>
      <c r="Z39" s="77">
        <f t="shared" si="40"/>
        <v>7488.206756903588</v>
      </c>
      <c r="AA39" s="77">
        <f t="shared" si="40"/>
        <v>6682.3734026331667</v>
      </c>
      <c r="AB39" s="77">
        <f t="shared" si="40"/>
        <v>6257.1716800296563</v>
      </c>
      <c r="AC39" s="89">
        <f t="shared" ref="AC39:AC41" si="41">+SUM(E39:AB39)*D39</f>
        <v>4064516.129032257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5</v>
      </c>
      <c r="E40" s="79">
        <f t="shared" ref="E40:AB40" si="42">(($B39)/$D42)*E$7</f>
        <v>5844.2370108192135</v>
      </c>
      <c r="F40" s="79">
        <f t="shared" si="42"/>
        <v>5731.2179871949056</v>
      </c>
      <c r="G40" s="79">
        <f t="shared" si="42"/>
        <v>5580.5459933274351</v>
      </c>
      <c r="H40" s="79">
        <f t="shared" si="42"/>
        <v>5512.0054545648445</v>
      </c>
      <c r="I40" s="79">
        <f t="shared" si="42"/>
        <v>5528.3848966069954</v>
      </c>
      <c r="J40" s="79">
        <f t="shared" si="42"/>
        <v>5951.5554240343818</v>
      </c>
      <c r="K40" s="79">
        <f t="shared" si="42"/>
        <v>7046.9499490249627</v>
      </c>
      <c r="L40" s="79">
        <f t="shared" si="42"/>
        <v>8224.5731671873637</v>
      </c>
      <c r="M40" s="79">
        <f t="shared" si="42"/>
        <v>8851.1122842025252</v>
      </c>
      <c r="N40" s="79">
        <f t="shared" si="42"/>
        <v>9232.5184871851834</v>
      </c>
      <c r="O40" s="79">
        <f t="shared" si="42"/>
        <v>9623.5212598170165</v>
      </c>
      <c r="P40" s="79">
        <f t="shared" si="42"/>
        <v>9883.4655083889629</v>
      </c>
      <c r="Q40" s="79">
        <f t="shared" si="42"/>
        <v>9824.076037209983</v>
      </c>
      <c r="R40" s="79">
        <f t="shared" si="42"/>
        <v>9889.774488878862</v>
      </c>
      <c r="S40" s="79">
        <f t="shared" si="42"/>
        <v>9990.1368172106522</v>
      </c>
      <c r="T40" s="79">
        <f t="shared" si="42"/>
        <v>10079.988813916681</v>
      </c>
      <c r="U40" s="79">
        <f t="shared" si="42"/>
        <v>9833.2453800331259</v>
      </c>
      <c r="V40" s="79">
        <f t="shared" si="42"/>
        <v>9383.4882869999892</v>
      </c>
      <c r="W40" s="79">
        <f t="shared" si="42"/>
        <v>9349.1004928864859</v>
      </c>
      <c r="X40" s="79">
        <f t="shared" si="42"/>
        <v>9228.5323011336277</v>
      </c>
      <c r="Y40" s="79">
        <f t="shared" si="42"/>
        <v>8532.2052165845671</v>
      </c>
      <c r="Z40" s="79">
        <f t="shared" si="42"/>
        <v>7488.206756903588</v>
      </c>
      <c r="AA40" s="79">
        <f t="shared" si="42"/>
        <v>6682.3734026331667</v>
      </c>
      <c r="AB40" s="79">
        <f t="shared" si="42"/>
        <v>6257.1716800296563</v>
      </c>
      <c r="AC40" s="90">
        <f t="shared" si="41"/>
        <v>967741.93548387079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5</v>
      </c>
      <c r="E41" s="82">
        <f t="shared" ref="E41:AB41" si="43">(($B39)/$D42)*E$7</f>
        <v>5844.2370108192135</v>
      </c>
      <c r="F41" s="82">
        <f t="shared" si="43"/>
        <v>5731.2179871949056</v>
      </c>
      <c r="G41" s="82">
        <f t="shared" si="43"/>
        <v>5580.5459933274351</v>
      </c>
      <c r="H41" s="82">
        <f t="shared" si="43"/>
        <v>5512.0054545648445</v>
      </c>
      <c r="I41" s="82">
        <f t="shared" si="43"/>
        <v>5528.3848966069954</v>
      </c>
      <c r="J41" s="82">
        <f t="shared" si="43"/>
        <v>5951.5554240343818</v>
      </c>
      <c r="K41" s="82">
        <f t="shared" si="43"/>
        <v>7046.9499490249627</v>
      </c>
      <c r="L41" s="82">
        <f t="shared" si="43"/>
        <v>8224.5731671873637</v>
      </c>
      <c r="M41" s="82">
        <f t="shared" si="43"/>
        <v>8851.1122842025252</v>
      </c>
      <c r="N41" s="82">
        <f t="shared" si="43"/>
        <v>9232.5184871851834</v>
      </c>
      <c r="O41" s="82">
        <f t="shared" si="43"/>
        <v>9623.5212598170165</v>
      </c>
      <c r="P41" s="82">
        <f t="shared" si="43"/>
        <v>9883.4655083889629</v>
      </c>
      <c r="Q41" s="82">
        <f t="shared" si="43"/>
        <v>9824.076037209983</v>
      </c>
      <c r="R41" s="82">
        <f t="shared" si="43"/>
        <v>9889.774488878862</v>
      </c>
      <c r="S41" s="82">
        <f t="shared" si="43"/>
        <v>9990.1368172106522</v>
      </c>
      <c r="T41" s="82">
        <f t="shared" si="43"/>
        <v>10079.988813916681</v>
      </c>
      <c r="U41" s="82">
        <f t="shared" si="43"/>
        <v>9833.2453800331259</v>
      </c>
      <c r="V41" s="82">
        <f t="shared" si="43"/>
        <v>9383.4882869999892</v>
      </c>
      <c r="W41" s="82">
        <f t="shared" si="43"/>
        <v>9349.1004928864859</v>
      </c>
      <c r="X41" s="82">
        <f t="shared" si="43"/>
        <v>9228.5323011336277</v>
      </c>
      <c r="Y41" s="82">
        <f t="shared" si="43"/>
        <v>8532.2052165845671</v>
      </c>
      <c r="Z41" s="82">
        <f t="shared" si="43"/>
        <v>7488.206756903588</v>
      </c>
      <c r="AA41" s="82">
        <f t="shared" si="43"/>
        <v>6682.3734026331667</v>
      </c>
      <c r="AB41" s="82">
        <f t="shared" si="43"/>
        <v>6257.1716800296563</v>
      </c>
      <c r="AC41" s="91">
        <f t="shared" si="41"/>
        <v>967741.93548387079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4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45">+SUM(AC39:AC41)</f>
        <v>5999999.9999999991</v>
      </c>
      <c r="AD42" s="98"/>
      <c r="AE42" s="98"/>
      <c r="AF42" s="98"/>
      <c r="AG42" s="98"/>
    </row>
    <row r="43" spans="1:33" ht="14" x14ac:dyDescent="0.25">
      <c r="A43" s="137" t="str">
        <f>9&amp;"-"&amp;$D$6</f>
        <v>9-2036</v>
      </c>
      <c r="B43" s="139">
        <f>'AÑO 2036'!C24</f>
        <v>6000000</v>
      </c>
      <c r="C43" s="59" t="s">
        <v>40</v>
      </c>
      <c r="D43" s="60">
        <f>VLOOKUP(A43&amp;C43,calendario!I:L,4,0)</f>
        <v>22</v>
      </c>
      <c r="E43" s="77">
        <f t="shared" ref="E43:AB43" si="46">(($B43)/$D46)*E$7</f>
        <v>6039.0449111798544</v>
      </c>
      <c r="F43" s="77">
        <f t="shared" si="46"/>
        <v>5922.25858676807</v>
      </c>
      <c r="G43" s="77">
        <f t="shared" si="46"/>
        <v>5766.5641931050168</v>
      </c>
      <c r="H43" s="77">
        <f t="shared" si="46"/>
        <v>5695.7389697170065</v>
      </c>
      <c r="I43" s="77">
        <f t="shared" si="46"/>
        <v>5712.6643931605622</v>
      </c>
      <c r="J43" s="77">
        <f t="shared" si="46"/>
        <v>6149.9406048355286</v>
      </c>
      <c r="K43" s="77">
        <f t="shared" si="46"/>
        <v>7281.8482806591282</v>
      </c>
      <c r="L43" s="77">
        <f t="shared" si="46"/>
        <v>8498.7256060936106</v>
      </c>
      <c r="M43" s="77">
        <f t="shared" si="46"/>
        <v>9146.1493603426097</v>
      </c>
      <c r="N43" s="77">
        <f t="shared" si="46"/>
        <v>9540.2691034246891</v>
      </c>
      <c r="O43" s="77">
        <f t="shared" si="46"/>
        <v>9944.3053018109167</v>
      </c>
      <c r="P43" s="77">
        <f t="shared" si="46"/>
        <v>10212.914358668595</v>
      </c>
      <c r="Q43" s="77">
        <f t="shared" si="46"/>
        <v>10151.545238450315</v>
      </c>
      <c r="R43" s="77">
        <f t="shared" si="46"/>
        <v>10219.433638508159</v>
      </c>
      <c r="S43" s="77">
        <f t="shared" si="46"/>
        <v>10323.141377784341</v>
      </c>
      <c r="T43" s="77">
        <f t="shared" si="46"/>
        <v>10415.988441047239</v>
      </c>
      <c r="U43" s="77">
        <f t="shared" si="46"/>
        <v>10161.02022603423</v>
      </c>
      <c r="V43" s="77">
        <f t="shared" si="46"/>
        <v>9696.2712298999904</v>
      </c>
      <c r="W43" s="77">
        <f t="shared" si="46"/>
        <v>9660.737175982702</v>
      </c>
      <c r="X43" s="77">
        <f t="shared" si="46"/>
        <v>9536.1500445047495</v>
      </c>
      <c r="Y43" s="77">
        <f t="shared" si="46"/>
        <v>8816.6120571373867</v>
      </c>
      <c r="Z43" s="77">
        <f t="shared" si="46"/>
        <v>7737.8136488003747</v>
      </c>
      <c r="AA43" s="77">
        <f t="shared" si="46"/>
        <v>6905.1191827209395</v>
      </c>
      <c r="AB43" s="77">
        <f t="shared" si="46"/>
        <v>6465.7440693639783</v>
      </c>
      <c r="AC43" s="89">
        <f t="shared" ref="AC43:AC45" si="47">+SUM(E43:AB43)*D43</f>
        <v>4399999.9999999991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4</v>
      </c>
      <c r="E44" s="79">
        <f t="shared" ref="E44:AB44" si="48">(($B43)/$D46)*E$7</f>
        <v>6039.0449111798544</v>
      </c>
      <c r="F44" s="79">
        <f t="shared" si="48"/>
        <v>5922.25858676807</v>
      </c>
      <c r="G44" s="79">
        <f t="shared" si="48"/>
        <v>5766.5641931050168</v>
      </c>
      <c r="H44" s="79">
        <f t="shared" si="48"/>
        <v>5695.7389697170065</v>
      </c>
      <c r="I44" s="79">
        <f t="shared" si="48"/>
        <v>5712.6643931605622</v>
      </c>
      <c r="J44" s="79">
        <f t="shared" si="48"/>
        <v>6149.9406048355286</v>
      </c>
      <c r="K44" s="79">
        <f t="shared" si="48"/>
        <v>7281.8482806591282</v>
      </c>
      <c r="L44" s="79">
        <f t="shared" si="48"/>
        <v>8498.7256060936106</v>
      </c>
      <c r="M44" s="79">
        <f t="shared" si="48"/>
        <v>9146.1493603426097</v>
      </c>
      <c r="N44" s="79">
        <f t="shared" si="48"/>
        <v>9540.2691034246891</v>
      </c>
      <c r="O44" s="79">
        <f t="shared" si="48"/>
        <v>9944.3053018109167</v>
      </c>
      <c r="P44" s="79">
        <f t="shared" si="48"/>
        <v>10212.914358668595</v>
      </c>
      <c r="Q44" s="79">
        <f t="shared" si="48"/>
        <v>10151.545238450315</v>
      </c>
      <c r="R44" s="79">
        <f t="shared" si="48"/>
        <v>10219.433638508159</v>
      </c>
      <c r="S44" s="79">
        <f t="shared" si="48"/>
        <v>10323.141377784341</v>
      </c>
      <c r="T44" s="79">
        <f t="shared" si="48"/>
        <v>10415.988441047239</v>
      </c>
      <c r="U44" s="79">
        <f t="shared" si="48"/>
        <v>10161.02022603423</v>
      </c>
      <c r="V44" s="79">
        <f t="shared" si="48"/>
        <v>9696.2712298999904</v>
      </c>
      <c r="W44" s="79">
        <f t="shared" si="48"/>
        <v>9660.737175982702</v>
      </c>
      <c r="X44" s="79">
        <f t="shared" si="48"/>
        <v>9536.1500445047495</v>
      </c>
      <c r="Y44" s="79">
        <f t="shared" si="48"/>
        <v>8816.6120571373867</v>
      </c>
      <c r="Z44" s="79">
        <f t="shared" si="48"/>
        <v>7737.8136488003747</v>
      </c>
      <c r="AA44" s="79">
        <f t="shared" si="48"/>
        <v>6905.1191827209395</v>
      </c>
      <c r="AB44" s="79">
        <f t="shared" si="48"/>
        <v>6465.7440693639783</v>
      </c>
      <c r="AC44" s="90">
        <f t="shared" si="47"/>
        <v>799999.99999999988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 t="shared" ref="E45:AB45" si="49">(($B43)/$D46)*E$7</f>
        <v>6039.0449111798544</v>
      </c>
      <c r="F45" s="82">
        <f t="shared" si="49"/>
        <v>5922.25858676807</v>
      </c>
      <c r="G45" s="82">
        <f t="shared" si="49"/>
        <v>5766.5641931050168</v>
      </c>
      <c r="H45" s="82">
        <f t="shared" si="49"/>
        <v>5695.7389697170065</v>
      </c>
      <c r="I45" s="82">
        <f t="shared" si="49"/>
        <v>5712.6643931605622</v>
      </c>
      <c r="J45" s="82">
        <f t="shared" si="49"/>
        <v>6149.9406048355286</v>
      </c>
      <c r="K45" s="82">
        <f t="shared" si="49"/>
        <v>7281.8482806591282</v>
      </c>
      <c r="L45" s="82">
        <f t="shared" si="49"/>
        <v>8498.7256060936106</v>
      </c>
      <c r="M45" s="82">
        <f t="shared" si="49"/>
        <v>9146.1493603426097</v>
      </c>
      <c r="N45" s="82">
        <f t="shared" si="49"/>
        <v>9540.2691034246891</v>
      </c>
      <c r="O45" s="82">
        <f t="shared" si="49"/>
        <v>9944.3053018109167</v>
      </c>
      <c r="P45" s="82">
        <f t="shared" si="49"/>
        <v>10212.914358668595</v>
      </c>
      <c r="Q45" s="82">
        <f t="shared" si="49"/>
        <v>10151.545238450315</v>
      </c>
      <c r="R45" s="82">
        <f t="shared" si="49"/>
        <v>10219.433638508159</v>
      </c>
      <c r="S45" s="82">
        <f t="shared" si="49"/>
        <v>10323.141377784341</v>
      </c>
      <c r="T45" s="82">
        <f t="shared" si="49"/>
        <v>10415.988441047239</v>
      </c>
      <c r="U45" s="82">
        <f t="shared" si="49"/>
        <v>10161.02022603423</v>
      </c>
      <c r="V45" s="82">
        <f t="shared" si="49"/>
        <v>9696.2712298999904</v>
      </c>
      <c r="W45" s="82">
        <f t="shared" si="49"/>
        <v>9660.737175982702</v>
      </c>
      <c r="X45" s="82">
        <f t="shared" si="49"/>
        <v>9536.1500445047495</v>
      </c>
      <c r="Y45" s="82">
        <f t="shared" si="49"/>
        <v>8816.6120571373867</v>
      </c>
      <c r="Z45" s="82">
        <f t="shared" si="49"/>
        <v>7737.8136488003747</v>
      </c>
      <c r="AA45" s="82">
        <f t="shared" si="49"/>
        <v>6905.1191827209395</v>
      </c>
      <c r="AB45" s="82">
        <f t="shared" si="49"/>
        <v>6465.7440693639783</v>
      </c>
      <c r="AC45" s="91">
        <f t="shared" si="47"/>
        <v>799999.99999999988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5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1">+SUM(AC43:AC45)</f>
        <v>5999999.9999999991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10-2036</v>
      </c>
      <c r="B47" s="139">
        <f>'AÑO 2036'!C25</f>
        <v>6000000</v>
      </c>
      <c r="C47" s="59" t="s">
        <v>40</v>
      </c>
      <c r="D47" s="60">
        <f>VLOOKUP(A47&amp;C47,calendario!I:L,4,0)</f>
        <v>23</v>
      </c>
      <c r="E47" s="77">
        <f t="shared" ref="E47:AB47" si="52">(($B47)/$D50)*E$7</f>
        <v>5844.2370108192135</v>
      </c>
      <c r="F47" s="77">
        <f t="shared" si="52"/>
        <v>5731.2179871949056</v>
      </c>
      <c r="G47" s="77">
        <f t="shared" si="52"/>
        <v>5580.5459933274351</v>
      </c>
      <c r="H47" s="77">
        <f t="shared" si="52"/>
        <v>5512.0054545648445</v>
      </c>
      <c r="I47" s="77">
        <f t="shared" si="52"/>
        <v>5528.3848966069954</v>
      </c>
      <c r="J47" s="77">
        <f t="shared" si="52"/>
        <v>5951.5554240343818</v>
      </c>
      <c r="K47" s="77">
        <f t="shared" si="52"/>
        <v>7046.9499490249627</v>
      </c>
      <c r="L47" s="77">
        <f t="shared" si="52"/>
        <v>8224.5731671873637</v>
      </c>
      <c r="M47" s="77">
        <f t="shared" si="52"/>
        <v>8851.1122842025252</v>
      </c>
      <c r="N47" s="77">
        <f t="shared" si="52"/>
        <v>9232.5184871851834</v>
      </c>
      <c r="O47" s="77">
        <f t="shared" si="52"/>
        <v>9623.5212598170165</v>
      </c>
      <c r="P47" s="77">
        <f t="shared" si="52"/>
        <v>9883.4655083889629</v>
      </c>
      <c r="Q47" s="77">
        <f t="shared" si="52"/>
        <v>9824.076037209983</v>
      </c>
      <c r="R47" s="77">
        <f t="shared" si="52"/>
        <v>9889.774488878862</v>
      </c>
      <c r="S47" s="77">
        <f t="shared" si="52"/>
        <v>9990.1368172106522</v>
      </c>
      <c r="T47" s="77">
        <f t="shared" si="52"/>
        <v>10079.988813916681</v>
      </c>
      <c r="U47" s="77">
        <f t="shared" si="52"/>
        <v>9833.2453800331259</v>
      </c>
      <c r="V47" s="77">
        <f t="shared" si="52"/>
        <v>9383.4882869999892</v>
      </c>
      <c r="W47" s="77">
        <f t="shared" si="52"/>
        <v>9349.1004928864859</v>
      </c>
      <c r="X47" s="77">
        <f t="shared" si="52"/>
        <v>9228.5323011336277</v>
      </c>
      <c r="Y47" s="77">
        <f t="shared" si="52"/>
        <v>8532.2052165845671</v>
      </c>
      <c r="Z47" s="77">
        <f t="shared" si="52"/>
        <v>7488.206756903588</v>
      </c>
      <c r="AA47" s="77">
        <f t="shared" si="52"/>
        <v>6682.3734026331667</v>
      </c>
      <c r="AB47" s="77">
        <f t="shared" si="52"/>
        <v>6257.1716800296563</v>
      </c>
      <c r="AC47" s="89">
        <f t="shared" ref="AC47:AC49" si="53">+SUM(E47:AB47)*D47</f>
        <v>4451612.9032258056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 t="shared" ref="E48:AB48" si="54">(($B47)/$D50)*E$7</f>
        <v>5844.2370108192135</v>
      </c>
      <c r="F48" s="79">
        <f t="shared" si="54"/>
        <v>5731.2179871949056</v>
      </c>
      <c r="G48" s="79">
        <f t="shared" si="54"/>
        <v>5580.5459933274351</v>
      </c>
      <c r="H48" s="79">
        <f t="shared" si="54"/>
        <v>5512.0054545648445</v>
      </c>
      <c r="I48" s="79">
        <f t="shared" si="54"/>
        <v>5528.3848966069954</v>
      </c>
      <c r="J48" s="79">
        <f t="shared" si="54"/>
        <v>5951.5554240343818</v>
      </c>
      <c r="K48" s="79">
        <f t="shared" si="54"/>
        <v>7046.9499490249627</v>
      </c>
      <c r="L48" s="79">
        <f t="shared" si="54"/>
        <v>8224.5731671873637</v>
      </c>
      <c r="M48" s="79">
        <f t="shared" si="54"/>
        <v>8851.1122842025252</v>
      </c>
      <c r="N48" s="79">
        <f t="shared" si="54"/>
        <v>9232.5184871851834</v>
      </c>
      <c r="O48" s="79">
        <f t="shared" si="54"/>
        <v>9623.5212598170165</v>
      </c>
      <c r="P48" s="79">
        <f t="shared" si="54"/>
        <v>9883.4655083889629</v>
      </c>
      <c r="Q48" s="79">
        <f t="shared" si="54"/>
        <v>9824.076037209983</v>
      </c>
      <c r="R48" s="79">
        <f t="shared" si="54"/>
        <v>9889.774488878862</v>
      </c>
      <c r="S48" s="79">
        <f t="shared" si="54"/>
        <v>9990.1368172106522</v>
      </c>
      <c r="T48" s="79">
        <f t="shared" si="54"/>
        <v>10079.988813916681</v>
      </c>
      <c r="U48" s="79">
        <f t="shared" si="54"/>
        <v>9833.2453800331259</v>
      </c>
      <c r="V48" s="79">
        <f t="shared" si="54"/>
        <v>9383.4882869999892</v>
      </c>
      <c r="W48" s="79">
        <f t="shared" si="54"/>
        <v>9349.1004928864859</v>
      </c>
      <c r="X48" s="79">
        <f t="shared" si="54"/>
        <v>9228.5323011336277</v>
      </c>
      <c r="Y48" s="79">
        <f t="shared" si="54"/>
        <v>8532.2052165845671</v>
      </c>
      <c r="Z48" s="79">
        <f t="shared" si="54"/>
        <v>7488.206756903588</v>
      </c>
      <c r="AA48" s="79">
        <f t="shared" si="54"/>
        <v>6682.3734026331667</v>
      </c>
      <c r="AB48" s="79">
        <f t="shared" si="54"/>
        <v>6257.1716800296563</v>
      </c>
      <c r="AC48" s="90">
        <f t="shared" si="53"/>
        <v>774193.54838709661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4</v>
      </c>
      <c r="E49" s="82">
        <f t="shared" ref="E49:AB49" si="55">(($B47)/$D50)*E$7</f>
        <v>5844.2370108192135</v>
      </c>
      <c r="F49" s="82">
        <f t="shared" si="55"/>
        <v>5731.2179871949056</v>
      </c>
      <c r="G49" s="82">
        <f t="shared" si="55"/>
        <v>5580.5459933274351</v>
      </c>
      <c r="H49" s="82">
        <f t="shared" si="55"/>
        <v>5512.0054545648445</v>
      </c>
      <c r="I49" s="82">
        <f t="shared" si="55"/>
        <v>5528.3848966069954</v>
      </c>
      <c r="J49" s="82">
        <f t="shared" si="55"/>
        <v>5951.5554240343818</v>
      </c>
      <c r="K49" s="82">
        <f t="shared" si="55"/>
        <v>7046.9499490249627</v>
      </c>
      <c r="L49" s="82">
        <f t="shared" si="55"/>
        <v>8224.5731671873637</v>
      </c>
      <c r="M49" s="82">
        <f t="shared" si="55"/>
        <v>8851.1122842025252</v>
      </c>
      <c r="N49" s="82">
        <f t="shared" si="55"/>
        <v>9232.5184871851834</v>
      </c>
      <c r="O49" s="82">
        <f t="shared" si="55"/>
        <v>9623.5212598170165</v>
      </c>
      <c r="P49" s="82">
        <f t="shared" si="55"/>
        <v>9883.4655083889629</v>
      </c>
      <c r="Q49" s="82">
        <f t="shared" si="55"/>
        <v>9824.076037209983</v>
      </c>
      <c r="R49" s="82">
        <f t="shared" si="55"/>
        <v>9889.774488878862</v>
      </c>
      <c r="S49" s="82">
        <f t="shared" si="55"/>
        <v>9990.1368172106522</v>
      </c>
      <c r="T49" s="82">
        <f t="shared" si="55"/>
        <v>10079.988813916681</v>
      </c>
      <c r="U49" s="82">
        <f t="shared" si="55"/>
        <v>9833.2453800331259</v>
      </c>
      <c r="V49" s="82">
        <f t="shared" si="55"/>
        <v>9383.4882869999892</v>
      </c>
      <c r="W49" s="82">
        <f t="shared" si="55"/>
        <v>9349.1004928864859</v>
      </c>
      <c r="X49" s="82">
        <f t="shared" si="55"/>
        <v>9228.5323011336277</v>
      </c>
      <c r="Y49" s="82">
        <f t="shared" si="55"/>
        <v>8532.2052165845671</v>
      </c>
      <c r="Z49" s="82">
        <f t="shared" si="55"/>
        <v>7488.206756903588</v>
      </c>
      <c r="AA49" s="82">
        <f t="shared" si="55"/>
        <v>6682.3734026331667</v>
      </c>
      <c r="AB49" s="82">
        <f t="shared" si="55"/>
        <v>6257.1716800296563</v>
      </c>
      <c r="AC49" s="91">
        <f t="shared" si="53"/>
        <v>774193.54838709661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56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57">+SUM(AC47:AC49)</f>
        <v>5999999.9999999981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11-2036</v>
      </c>
      <c r="B51" s="139">
        <f>'AÑO 2036'!C26</f>
        <v>6000000</v>
      </c>
      <c r="C51" s="59" t="s">
        <v>40</v>
      </c>
      <c r="D51" s="60">
        <f>VLOOKUP(A51&amp;C51,calendario!I:L,4,0)</f>
        <v>20</v>
      </c>
      <c r="E51" s="77">
        <f t="shared" ref="E51:AB51" si="58">(($B51)/$D54)*E$7</f>
        <v>6039.0449111798544</v>
      </c>
      <c r="F51" s="77">
        <f t="shared" si="58"/>
        <v>5922.25858676807</v>
      </c>
      <c r="G51" s="77">
        <f t="shared" si="58"/>
        <v>5766.5641931050168</v>
      </c>
      <c r="H51" s="77">
        <f t="shared" si="58"/>
        <v>5695.7389697170065</v>
      </c>
      <c r="I51" s="77">
        <f t="shared" si="58"/>
        <v>5712.6643931605622</v>
      </c>
      <c r="J51" s="77">
        <f t="shared" si="58"/>
        <v>6149.9406048355286</v>
      </c>
      <c r="K51" s="77">
        <f t="shared" si="58"/>
        <v>7281.8482806591282</v>
      </c>
      <c r="L51" s="77">
        <f t="shared" si="58"/>
        <v>8498.7256060936106</v>
      </c>
      <c r="M51" s="77">
        <f t="shared" si="58"/>
        <v>9146.1493603426097</v>
      </c>
      <c r="N51" s="77">
        <f t="shared" si="58"/>
        <v>9540.2691034246891</v>
      </c>
      <c r="O51" s="77">
        <f t="shared" si="58"/>
        <v>9944.3053018109167</v>
      </c>
      <c r="P51" s="77">
        <f t="shared" si="58"/>
        <v>10212.914358668595</v>
      </c>
      <c r="Q51" s="77">
        <f t="shared" si="58"/>
        <v>10151.545238450315</v>
      </c>
      <c r="R51" s="77">
        <f t="shared" si="58"/>
        <v>10219.433638508159</v>
      </c>
      <c r="S51" s="77">
        <f t="shared" si="58"/>
        <v>10323.141377784341</v>
      </c>
      <c r="T51" s="77">
        <f t="shared" si="58"/>
        <v>10415.988441047239</v>
      </c>
      <c r="U51" s="77">
        <f t="shared" si="58"/>
        <v>10161.02022603423</v>
      </c>
      <c r="V51" s="77">
        <f t="shared" si="58"/>
        <v>9696.2712298999904</v>
      </c>
      <c r="W51" s="77">
        <f t="shared" si="58"/>
        <v>9660.737175982702</v>
      </c>
      <c r="X51" s="77">
        <f t="shared" si="58"/>
        <v>9536.1500445047495</v>
      </c>
      <c r="Y51" s="77">
        <f t="shared" si="58"/>
        <v>8816.6120571373867</v>
      </c>
      <c r="Z51" s="77">
        <f t="shared" si="58"/>
        <v>7737.8136488003747</v>
      </c>
      <c r="AA51" s="77">
        <f t="shared" si="58"/>
        <v>6905.1191827209395</v>
      </c>
      <c r="AB51" s="77">
        <f t="shared" si="58"/>
        <v>6465.7440693639783</v>
      </c>
      <c r="AC51" s="89">
        <f t="shared" ref="AC51:AC53" si="59">+SUM(E51:AB51)*D51</f>
        <v>3999999.9999999995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5</v>
      </c>
      <c r="E52" s="79">
        <f t="shared" ref="E52:AB52" si="60">(($B51)/$D54)*E$7</f>
        <v>6039.0449111798544</v>
      </c>
      <c r="F52" s="79">
        <f t="shared" si="60"/>
        <v>5922.25858676807</v>
      </c>
      <c r="G52" s="79">
        <f t="shared" si="60"/>
        <v>5766.5641931050168</v>
      </c>
      <c r="H52" s="79">
        <f t="shared" si="60"/>
        <v>5695.7389697170065</v>
      </c>
      <c r="I52" s="79">
        <f t="shared" si="60"/>
        <v>5712.6643931605622</v>
      </c>
      <c r="J52" s="79">
        <f t="shared" si="60"/>
        <v>6149.9406048355286</v>
      </c>
      <c r="K52" s="79">
        <f t="shared" si="60"/>
        <v>7281.8482806591282</v>
      </c>
      <c r="L52" s="79">
        <f t="shared" si="60"/>
        <v>8498.7256060936106</v>
      </c>
      <c r="M52" s="79">
        <f t="shared" si="60"/>
        <v>9146.1493603426097</v>
      </c>
      <c r="N52" s="79">
        <f t="shared" si="60"/>
        <v>9540.2691034246891</v>
      </c>
      <c r="O52" s="79">
        <f t="shared" si="60"/>
        <v>9944.3053018109167</v>
      </c>
      <c r="P52" s="79">
        <f t="shared" si="60"/>
        <v>10212.914358668595</v>
      </c>
      <c r="Q52" s="79">
        <f t="shared" si="60"/>
        <v>10151.545238450315</v>
      </c>
      <c r="R52" s="79">
        <f t="shared" si="60"/>
        <v>10219.433638508159</v>
      </c>
      <c r="S52" s="79">
        <f t="shared" si="60"/>
        <v>10323.141377784341</v>
      </c>
      <c r="T52" s="79">
        <f t="shared" si="60"/>
        <v>10415.988441047239</v>
      </c>
      <c r="U52" s="79">
        <f t="shared" si="60"/>
        <v>10161.02022603423</v>
      </c>
      <c r="V52" s="79">
        <f t="shared" si="60"/>
        <v>9696.2712298999904</v>
      </c>
      <c r="W52" s="79">
        <f t="shared" si="60"/>
        <v>9660.737175982702</v>
      </c>
      <c r="X52" s="79">
        <f t="shared" si="60"/>
        <v>9536.1500445047495</v>
      </c>
      <c r="Y52" s="79">
        <f t="shared" si="60"/>
        <v>8816.6120571373867</v>
      </c>
      <c r="Z52" s="79">
        <f t="shared" si="60"/>
        <v>7737.8136488003747</v>
      </c>
      <c r="AA52" s="79">
        <f t="shared" si="60"/>
        <v>6905.1191827209395</v>
      </c>
      <c r="AB52" s="79">
        <f t="shared" si="60"/>
        <v>6465.7440693639783</v>
      </c>
      <c r="AC52" s="90">
        <f t="shared" si="59"/>
        <v>999999.99999999988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5</v>
      </c>
      <c r="E53" s="82">
        <f t="shared" ref="E53:AB53" si="61">(($B51)/$D54)*E$7</f>
        <v>6039.0449111798544</v>
      </c>
      <c r="F53" s="82">
        <f t="shared" si="61"/>
        <v>5922.25858676807</v>
      </c>
      <c r="G53" s="82">
        <f t="shared" si="61"/>
        <v>5766.5641931050168</v>
      </c>
      <c r="H53" s="82">
        <f t="shared" si="61"/>
        <v>5695.7389697170065</v>
      </c>
      <c r="I53" s="82">
        <f t="shared" si="61"/>
        <v>5712.6643931605622</v>
      </c>
      <c r="J53" s="82">
        <f t="shared" si="61"/>
        <v>6149.9406048355286</v>
      </c>
      <c r="K53" s="82">
        <f t="shared" si="61"/>
        <v>7281.8482806591282</v>
      </c>
      <c r="L53" s="82">
        <f t="shared" si="61"/>
        <v>8498.7256060936106</v>
      </c>
      <c r="M53" s="82">
        <f t="shared" si="61"/>
        <v>9146.1493603426097</v>
      </c>
      <c r="N53" s="82">
        <f t="shared" si="61"/>
        <v>9540.2691034246891</v>
      </c>
      <c r="O53" s="82">
        <f t="shared" si="61"/>
        <v>9944.3053018109167</v>
      </c>
      <c r="P53" s="82">
        <f t="shared" si="61"/>
        <v>10212.914358668595</v>
      </c>
      <c r="Q53" s="82">
        <f t="shared" si="61"/>
        <v>10151.545238450315</v>
      </c>
      <c r="R53" s="82">
        <f t="shared" si="61"/>
        <v>10219.433638508159</v>
      </c>
      <c r="S53" s="82">
        <f t="shared" si="61"/>
        <v>10323.141377784341</v>
      </c>
      <c r="T53" s="82">
        <f t="shared" si="61"/>
        <v>10415.988441047239</v>
      </c>
      <c r="U53" s="82">
        <f t="shared" si="61"/>
        <v>10161.02022603423</v>
      </c>
      <c r="V53" s="82">
        <f t="shared" si="61"/>
        <v>9696.2712298999904</v>
      </c>
      <c r="W53" s="82">
        <f t="shared" si="61"/>
        <v>9660.737175982702</v>
      </c>
      <c r="X53" s="82">
        <f t="shared" si="61"/>
        <v>9536.1500445047495</v>
      </c>
      <c r="Y53" s="82">
        <f t="shared" si="61"/>
        <v>8816.6120571373867</v>
      </c>
      <c r="Z53" s="82">
        <f t="shared" si="61"/>
        <v>7737.8136488003747</v>
      </c>
      <c r="AA53" s="82">
        <f t="shared" si="61"/>
        <v>6905.1191827209395</v>
      </c>
      <c r="AB53" s="82">
        <f t="shared" si="61"/>
        <v>6465.7440693639783</v>
      </c>
      <c r="AC53" s="91">
        <f t="shared" si="59"/>
        <v>999999.99999999988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6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63">+SUM(AC51:AC53)</f>
        <v>5999999.9999999991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12-2036</v>
      </c>
      <c r="B55" s="141">
        <f>'AÑO 2036'!C27</f>
        <v>6000000</v>
      </c>
      <c r="C55" s="59" t="s">
        <v>40</v>
      </c>
      <c r="D55" s="60">
        <f>VLOOKUP(A55&amp;C55,calendario!I:L,4,0)</f>
        <v>23</v>
      </c>
      <c r="E55" s="77">
        <f t="shared" ref="E55:AB55" si="64">(($B55)/$D58)*E$7</f>
        <v>5844.2370108192135</v>
      </c>
      <c r="F55" s="77">
        <f t="shared" si="64"/>
        <v>5731.2179871949056</v>
      </c>
      <c r="G55" s="77">
        <f t="shared" si="64"/>
        <v>5580.5459933274351</v>
      </c>
      <c r="H55" s="77">
        <f t="shared" si="64"/>
        <v>5512.0054545648445</v>
      </c>
      <c r="I55" s="77">
        <f t="shared" si="64"/>
        <v>5528.3848966069954</v>
      </c>
      <c r="J55" s="77">
        <f t="shared" si="64"/>
        <v>5951.5554240343818</v>
      </c>
      <c r="K55" s="77">
        <f t="shared" si="64"/>
        <v>7046.9499490249627</v>
      </c>
      <c r="L55" s="77">
        <f t="shared" si="64"/>
        <v>8224.5731671873637</v>
      </c>
      <c r="M55" s="77">
        <f t="shared" si="64"/>
        <v>8851.1122842025252</v>
      </c>
      <c r="N55" s="77">
        <f t="shared" si="64"/>
        <v>9232.5184871851834</v>
      </c>
      <c r="O55" s="77">
        <f t="shared" si="64"/>
        <v>9623.5212598170165</v>
      </c>
      <c r="P55" s="77">
        <f t="shared" si="64"/>
        <v>9883.4655083889629</v>
      </c>
      <c r="Q55" s="77">
        <f t="shared" si="64"/>
        <v>9824.076037209983</v>
      </c>
      <c r="R55" s="77">
        <f t="shared" si="64"/>
        <v>9889.774488878862</v>
      </c>
      <c r="S55" s="77">
        <f t="shared" si="64"/>
        <v>9990.1368172106522</v>
      </c>
      <c r="T55" s="77">
        <f t="shared" si="64"/>
        <v>10079.988813916681</v>
      </c>
      <c r="U55" s="77">
        <f t="shared" si="64"/>
        <v>9833.2453800331259</v>
      </c>
      <c r="V55" s="77">
        <f t="shared" si="64"/>
        <v>9383.4882869999892</v>
      </c>
      <c r="W55" s="77">
        <f t="shared" si="64"/>
        <v>9349.1004928864859</v>
      </c>
      <c r="X55" s="77">
        <f t="shared" si="64"/>
        <v>9228.5323011336277</v>
      </c>
      <c r="Y55" s="77">
        <f t="shared" si="64"/>
        <v>8532.2052165845671</v>
      </c>
      <c r="Z55" s="77">
        <f t="shared" si="64"/>
        <v>7488.206756903588</v>
      </c>
      <c r="AA55" s="77">
        <f t="shared" si="64"/>
        <v>6682.3734026331667</v>
      </c>
      <c r="AB55" s="77">
        <f t="shared" si="64"/>
        <v>6257.1716800296563</v>
      </c>
      <c r="AC55" s="89">
        <f t="shared" ref="AC55:AC57" si="65">+SUM(E55:AB55)*D55</f>
        <v>4451612.9032258056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4</v>
      </c>
      <c r="E56" s="79">
        <f t="shared" ref="E56:AB56" si="66">(($B55)/$D58)*E$7</f>
        <v>5844.2370108192135</v>
      </c>
      <c r="F56" s="79">
        <f t="shared" si="66"/>
        <v>5731.2179871949056</v>
      </c>
      <c r="G56" s="79">
        <f t="shared" si="66"/>
        <v>5580.5459933274351</v>
      </c>
      <c r="H56" s="79">
        <f t="shared" si="66"/>
        <v>5512.0054545648445</v>
      </c>
      <c r="I56" s="79">
        <f t="shared" si="66"/>
        <v>5528.3848966069954</v>
      </c>
      <c r="J56" s="79">
        <f t="shared" si="66"/>
        <v>5951.5554240343818</v>
      </c>
      <c r="K56" s="79">
        <f t="shared" si="66"/>
        <v>7046.9499490249627</v>
      </c>
      <c r="L56" s="79">
        <f t="shared" si="66"/>
        <v>8224.5731671873637</v>
      </c>
      <c r="M56" s="79">
        <f t="shared" si="66"/>
        <v>8851.1122842025252</v>
      </c>
      <c r="N56" s="79">
        <f t="shared" si="66"/>
        <v>9232.5184871851834</v>
      </c>
      <c r="O56" s="79">
        <f t="shared" si="66"/>
        <v>9623.5212598170165</v>
      </c>
      <c r="P56" s="79">
        <f t="shared" si="66"/>
        <v>9883.4655083889629</v>
      </c>
      <c r="Q56" s="79">
        <f t="shared" si="66"/>
        <v>9824.076037209983</v>
      </c>
      <c r="R56" s="79">
        <f t="shared" si="66"/>
        <v>9889.774488878862</v>
      </c>
      <c r="S56" s="79">
        <f t="shared" si="66"/>
        <v>9990.1368172106522</v>
      </c>
      <c r="T56" s="79">
        <f t="shared" si="66"/>
        <v>10079.988813916681</v>
      </c>
      <c r="U56" s="79">
        <f t="shared" si="66"/>
        <v>9833.2453800331259</v>
      </c>
      <c r="V56" s="79">
        <f t="shared" si="66"/>
        <v>9383.4882869999892</v>
      </c>
      <c r="W56" s="79">
        <f t="shared" si="66"/>
        <v>9349.1004928864859</v>
      </c>
      <c r="X56" s="79">
        <f t="shared" si="66"/>
        <v>9228.5323011336277</v>
      </c>
      <c r="Y56" s="79">
        <f t="shared" si="66"/>
        <v>8532.2052165845671</v>
      </c>
      <c r="Z56" s="79">
        <f t="shared" si="66"/>
        <v>7488.206756903588</v>
      </c>
      <c r="AA56" s="79">
        <f t="shared" si="66"/>
        <v>6682.3734026331667</v>
      </c>
      <c r="AB56" s="79">
        <f t="shared" si="66"/>
        <v>6257.1716800296563</v>
      </c>
      <c r="AC56" s="90">
        <f t="shared" si="65"/>
        <v>774193.54838709661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4</v>
      </c>
      <c r="E57" s="82">
        <f t="shared" ref="E57:AB57" si="67">(($B55)/$D58)*E$7</f>
        <v>5844.2370108192135</v>
      </c>
      <c r="F57" s="82">
        <f t="shared" si="67"/>
        <v>5731.2179871949056</v>
      </c>
      <c r="G57" s="82">
        <f t="shared" si="67"/>
        <v>5580.5459933274351</v>
      </c>
      <c r="H57" s="82">
        <f t="shared" si="67"/>
        <v>5512.0054545648445</v>
      </c>
      <c r="I57" s="82">
        <f t="shared" si="67"/>
        <v>5528.3848966069954</v>
      </c>
      <c r="J57" s="82">
        <f t="shared" si="67"/>
        <v>5951.5554240343818</v>
      </c>
      <c r="K57" s="82">
        <f t="shared" si="67"/>
        <v>7046.9499490249627</v>
      </c>
      <c r="L57" s="82">
        <f t="shared" si="67"/>
        <v>8224.5731671873637</v>
      </c>
      <c r="M57" s="82">
        <f t="shared" si="67"/>
        <v>8851.1122842025252</v>
      </c>
      <c r="N57" s="82">
        <f t="shared" si="67"/>
        <v>9232.5184871851834</v>
      </c>
      <c r="O57" s="82">
        <f t="shared" si="67"/>
        <v>9623.5212598170165</v>
      </c>
      <c r="P57" s="82">
        <f t="shared" si="67"/>
        <v>9883.4655083889629</v>
      </c>
      <c r="Q57" s="82">
        <f t="shared" si="67"/>
        <v>9824.076037209983</v>
      </c>
      <c r="R57" s="82">
        <f t="shared" si="67"/>
        <v>9889.774488878862</v>
      </c>
      <c r="S57" s="82">
        <f t="shared" si="67"/>
        <v>9990.1368172106522</v>
      </c>
      <c r="T57" s="82">
        <f t="shared" si="67"/>
        <v>10079.988813916681</v>
      </c>
      <c r="U57" s="82">
        <f t="shared" si="67"/>
        <v>9833.2453800331259</v>
      </c>
      <c r="V57" s="82">
        <f t="shared" si="67"/>
        <v>9383.4882869999892</v>
      </c>
      <c r="W57" s="82">
        <f t="shared" si="67"/>
        <v>9349.1004928864859</v>
      </c>
      <c r="X57" s="82">
        <f t="shared" si="67"/>
        <v>9228.5323011336277</v>
      </c>
      <c r="Y57" s="82">
        <f t="shared" si="67"/>
        <v>8532.2052165845671</v>
      </c>
      <c r="Z57" s="82">
        <f t="shared" si="67"/>
        <v>7488.206756903588</v>
      </c>
      <c r="AA57" s="82">
        <f t="shared" si="67"/>
        <v>6682.3734026331667</v>
      </c>
      <c r="AB57" s="82">
        <f t="shared" si="67"/>
        <v>6257.1716800296563</v>
      </c>
      <c r="AC57" s="91">
        <f t="shared" si="65"/>
        <v>774193.54838709661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68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69">+SUM(AC55:AC57)</f>
        <v>5999999.9999999981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579-CB18-4948-8FF8-64CBB1D9D19B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C39" sqref="A39:XFD39"/>
      <selection pane="topRight" activeCell="C39" sqref="A39:XFD39"/>
      <selection pane="bottomLeft" activeCell="C39" sqref="A39:XFD39"/>
      <selection pane="bottomRight" activeCell="C39" sqref="A39:XFD39"/>
    </sheetView>
  </sheetViews>
  <sheetFormatPr baseColWidth="10" defaultColWidth="0" defaultRowHeight="12.5" x14ac:dyDescent="0.25"/>
  <cols>
    <col min="1" max="1" width="8.26953125" style="1" customWidth="1"/>
    <col min="2" max="2" width="16" style="1" customWidth="1"/>
    <col min="3" max="3" width="9.26953125" style="1" customWidth="1"/>
    <col min="4" max="4" width="7.81640625" style="1" customWidth="1"/>
    <col min="5" max="6" width="14.453125" style="1" bestFit="1" customWidth="1"/>
    <col min="7" max="8" width="14" style="1" customWidth="1"/>
    <col min="9" max="21" width="14.453125" style="1" bestFit="1" customWidth="1"/>
    <col min="22" max="25" width="15.54296875" style="1" bestFit="1" customWidth="1"/>
    <col min="26" max="26" width="18" style="1" customWidth="1"/>
    <col min="27" max="28" width="14.453125" style="1" bestFit="1" customWidth="1"/>
    <col min="29" max="29" width="16.81640625" style="1" bestFit="1" customWidth="1"/>
    <col min="30" max="30" width="3.453125" style="1" customWidth="1"/>
    <col min="31" max="31" width="3.453125" style="1" hidden="1" customWidth="1"/>
    <col min="32" max="32" width="5.453125" style="1" hidden="1" customWidth="1"/>
    <col min="33" max="33" width="3.26953125" style="1" hidden="1" customWidth="1"/>
    <col min="34" max="16384" width="3.453125" style="1" hidden="1"/>
  </cols>
  <sheetData>
    <row r="1" spans="1:33" ht="16.5" x14ac:dyDescent="0.25">
      <c r="A1" s="49" t="s">
        <v>37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43"/>
      <c r="E2" s="143"/>
      <c r="F2" s="143"/>
      <c r="G2" s="143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CP-EXEC2025-001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/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38</v>
      </c>
      <c r="B6" s="98"/>
      <c r="C6" s="50"/>
      <c r="D6" s="71">
        <v>2023</v>
      </c>
      <c r="E6" s="104">
        <f>100%/24</f>
        <v>4.1666666666666664E-2</v>
      </c>
      <c r="F6" s="104">
        <f>E6</f>
        <v>4.1666666666666664E-2</v>
      </c>
      <c r="G6" s="104">
        <f t="shared" ref="G6" si="0">100%/24</f>
        <v>4.1666666666666664E-2</v>
      </c>
      <c r="H6" s="104">
        <f t="shared" ref="H6" si="1">G6</f>
        <v>4.1666666666666664E-2</v>
      </c>
      <c r="I6" s="104">
        <f t="shared" ref="I6" si="2">100%/24</f>
        <v>4.1666666666666664E-2</v>
      </c>
      <c r="J6" s="104">
        <f t="shared" ref="J6" si="3">I6</f>
        <v>4.1666666666666664E-2</v>
      </c>
      <c r="K6" s="104">
        <f t="shared" ref="K6" si="4">100%/24</f>
        <v>4.1666666666666664E-2</v>
      </c>
      <c r="L6" s="104">
        <f t="shared" ref="L6" si="5">K6</f>
        <v>4.1666666666666664E-2</v>
      </c>
      <c r="M6" s="104">
        <f t="shared" ref="M6" si="6">100%/24</f>
        <v>4.1666666666666664E-2</v>
      </c>
      <c r="N6" s="104">
        <f t="shared" ref="N6" si="7">M6</f>
        <v>4.1666666666666664E-2</v>
      </c>
      <c r="O6" s="104">
        <f t="shared" ref="O6" si="8">100%/24</f>
        <v>4.1666666666666664E-2</v>
      </c>
      <c r="P6" s="104">
        <f t="shared" ref="P6" si="9">O6</f>
        <v>4.1666666666666664E-2</v>
      </c>
      <c r="Q6" s="104">
        <f t="shared" ref="Q6" si="10">100%/24</f>
        <v>4.1666666666666664E-2</v>
      </c>
      <c r="R6" s="104">
        <f t="shared" ref="R6" si="11">Q6</f>
        <v>4.1666666666666664E-2</v>
      </c>
      <c r="S6" s="104">
        <f t="shared" ref="S6" si="12">100%/24</f>
        <v>4.1666666666666664E-2</v>
      </c>
      <c r="T6" s="104">
        <f t="shared" ref="T6" si="13">S6</f>
        <v>4.1666666666666664E-2</v>
      </c>
      <c r="U6" s="104">
        <f t="shared" ref="U6" si="14">100%/24</f>
        <v>4.1666666666666664E-2</v>
      </c>
      <c r="V6" s="104">
        <f t="shared" ref="V6" si="15">U6</f>
        <v>4.1666666666666664E-2</v>
      </c>
      <c r="W6" s="104">
        <f t="shared" ref="W6" si="16">100%/24</f>
        <v>4.1666666666666664E-2</v>
      </c>
      <c r="X6" s="104">
        <f t="shared" ref="X6" si="17">W6</f>
        <v>4.1666666666666664E-2</v>
      </c>
      <c r="Y6" s="104">
        <f t="shared" ref="Y6" si="18">100%/24</f>
        <v>4.1666666666666664E-2</v>
      </c>
      <c r="Z6" s="104">
        <f t="shared" ref="Z6" si="19">Y6</f>
        <v>4.1666666666666664E-2</v>
      </c>
      <c r="AA6" s="104">
        <f t="shared" ref="AA6" si="20">100%/24</f>
        <v>4.1666666666666664E-2</v>
      </c>
      <c r="AB6" s="104">
        <f t="shared" ref="AB6" si="21">AA6</f>
        <v>4.1666666666666664E-2</v>
      </c>
      <c r="AC6" s="105" t="s">
        <v>231</v>
      </c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39</v>
      </c>
      <c r="E7" s="102">
        <v>4.1666666666666664E-2</v>
      </c>
      <c r="F7" s="102">
        <v>4.1666666666666664E-2</v>
      </c>
      <c r="G7" s="103">
        <v>4.1666666666666664E-2</v>
      </c>
      <c r="H7" s="103">
        <v>4.1666666666666664E-2</v>
      </c>
      <c r="I7" s="103">
        <v>4.1666666666666664E-2</v>
      </c>
      <c r="J7" s="103">
        <v>4.1666666666666664E-2</v>
      </c>
      <c r="K7" s="103">
        <v>4.1666666666666664E-2</v>
      </c>
      <c r="L7" s="103">
        <v>4.1666666666666664E-2</v>
      </c>
      <c r="M7" s="103">
        <v>4.1666666666666664E-2</v>
      </c>
      <c r="N7" s="103">
        <v>4.1666666666666664E-2</v>
      </c>
      <c r="O7" s="103">
        <v>4.1666666666666664E-2</v>
      </c>
      <c r="P7" s="103">
        <v>4.1666666666666664E-2</v>
      </c>
      <c r="Q7" s="103">
        <v>4.1666666666666664E-2</v>
      </c>
      <c r="R7" s="103">
        <v>4.1666666666666664E-2</v>
      </c>
      <c r="S7" s="103">
        <v>4.1666666666666664E-2</v>
      </c>
      <c r="T7" s="103">
        <v>4.1666666666666664E-2</v>
      </c>
      <c r="U7" s="103">
        <v>4.1666666666666664E-2</v>
      </c>
      <c r="V7" s="103">
        <v>4.1666666666666664E-2</v>
      </c>
      <c r="W7" s="103">
        <v>4.1666666666666664E-2</v>
      </c>
      <c r="X7" s="103">
        <v>4.1666666666666664E-2</v>
      </c>
      <c r="Y7" s="103">
        <v>4.1666666666666664E-2</v>
      </c>
      <c r="Z7" s="103">
        <v>4.1666666666666664E-2</v>
      </c>
      <c r="AA7" s="103">
        <v>4.1666666666666664E-2</v>
      </c>
      <c r="AB7" s="103">
        <v>4.1666666666666664E-2</v>
      </c>
      <c r="AC7" s="98" t="s">
        <v>40</v>
      </c>
      <c r="AD7" s="98"/>
      <c r="AE7" s="98"/>
      <c r="AF7" s="98"/>
      <c r="AG7" s="98"/>
    </row>
    <row r="8" spans="1:33" ht="16.5" customHeight="1" x14ac:dyDescent="0.4">
      <c r="A8" s="54" t="s">
        <v>9</v>
      </c>
      <c r="B8" s="98"/>
      <c r="C8" s="98"/>
      <c r="D8" s="53" t="str">
        <f>'Formato Resumen 23'!C12</f>
        <v>PC (1)</v>
      </c>
      <c r="E8" s="103">
        <v>4.1666666666666664E-2</v>
      </c>
      <c r="F8" s="103">
        <v>4.1666666666666664E-2</v>
      </c>
      <c r="G8" s="103">
        <v>4.1666666666666664E-2</v>
      </c>
      <c r="H8" s="103">
        <v>4.1666666666666664E-2</v>
      </c>
      <c r="I8" s="103">
        <v>4.1666666666666664E-2</v>
      </c>
      <c r="J8" s="103">
        <v>4.1666666666666664E-2</v>
      </c>
      <c r="K8" s="103">
        <v>4.1666666666666664E-2</v>
      </c>
      <c r="L8" s="103">
        <v>4.1666666666666664E-2</v>
      </c>
      <c r="M8" s="103">
        <v>4.1666666666666664E-2</v>
      </c>
      <c r="N8" s="103">
        <v>4.1666666666666664E-2</v>
      </c>
      <c r="O8" s="103">
        <v>4.1666666666666664E-2</v>
      </c>
      <c r="P8" s="103">
        <v>4.1666666666666664E-2</v>
      </c>
      <c r="Q8" s="103">
        <v>4.1666666666666664E-2</v>
      </c>
      <c r="R8" s="103">
        <v>4.1666666666666664E-2</v>
      </c>
      <c r="S8" s="103">
        <v>4.1666666666666664E-2</v>
      </c>
      <c r="T8" s="103">
        <v>4.1666666666666664E-2</v>
      </c>
      <c r="U8" s="103">
        <v>4.1666666666666664E-2</v>
      </c>
      <c r="V8" s="103">
        <v>4.1666666666666664E-2</v>
      </c>
      <c r="W8" s="103">
        <v>4.1666666666666664E-2</v>
      </c>
      <c r="X8" s="103">
        <v>4.1666666666666664E-2</v>
      </c>
      <c r="Y8" s="103">
        <v>4.1666666666666664E-2</v>
      </c>
      <c r="Z8" s="103">
        <v>4.1666666666666664E-2</v>
      </c>
      <c r="AA8" s="103">
        <v>4.1666666666666664E-2</v>
      </c>
      <c r="AB8" s="103">
        <v>4.1666666666666664E-2</v>
      </c>
      <c r="AC8" s="98" t="s">
        <v>41</v>
      </c>
      <c r="AD8" s="98"/>
      <c r="AE8" s="98"/>
      <c r="AF8" s="98"/>
      <c r="AG8" s="98"/>
    </row>
    <row r="9" spans="1:33" ht="18.5" thickBot="1" x14ac:dyDescent="0.45">
      <c r="A9" s="54" t="s">
        <v>42</v>
      </c>
      <c r="B9" s="98"/>
      <c r="C9" s="144"/>
      <c r="D9" s="144"/>
      <c r="E9" s="102">
        <v>4.1666666666666664E-2</v>
      </c>
      <c r="F9" s="102">
        <v>4.1666666666666664E-2</v>
      </c>
      <c r="G9" s="102">
        <v>4.1666666666666664E-2</v>
      </c>
      <c r="H9" s="102">
        <v>4.1666666666666664E-2</v>
      </c>
      <c r="I9" s="102">
        <v>4.1666666666666664E-2</v>
      </c>
      <c r="J9" s="102">
        <v>4.1666666666666664E-2</v>
      </c>
      <c r="K9" s="102">
        <v>4.1666666666666664E-2</v>
      </c>
      <c r="L9" s="102">
        <v>4.1666666666666664E-2</v>
      </c>
      <c r="M9" s="102">
        <v>4.1666666666666664E-2</v>
      </c>
      <c r="N9" s="102">
        <v>4.1666666666666664E-2</v>
      </c>
      <c r="O9" s="102">
        <v>4.1666666666666664E-2</v>
      </c>
      <c r="P9" s="102">
        <v>4.1666666666666664E-2</v>
      </c>
      <c r="Q9" s="102">
        <v>4.1666666666666664E-2</v>
      </c>
      <c r="R9" s="102">
        <v>4.1666666666666664E-2</v>
      </c>
      <c r="S9" s="102">
        <v>4.1666666666666664E-2</v>
      </c>
      <c r="T9" s="102">
        <v>4.1666666666666664E-2</v>
      </c>
      <c r="U9" s="102">
        <v>4.1666666666666664E-2</v>
      </c>
      <c r="V9" s="102">
        <v>4.1666666666666664E-2</v>
      </c>
      <c r="W9" s="102">
        <v>4.1666666666666664E-2</v>
      </c>
      <c r="X9" s="102">
        <v>4.1666666666666664E-2</v>
      </c>
      <c r="Y9" s="102">
        <v>4.1666666666666664E-2</v>
      </c>
      <c r="Z9" s="102">
        <v>4.1666666666666664E-2</v>
      </c>
      <c r="AA9" s="102">
        <v>4.1666666666666664E-2</v>
      </c>
      <c r="AB9" s="102">
        <v>4.1666666666666664E-2</v>
      </c>
      <c r="AC9" s="98" t="s">
        <v>43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2023</v>
      </c>
      <c r="B10" s="4" t="s">
        <v>44</v>
      </c>
      <c r="C10" s="4" t="s">
        <v>45</v>
      </c>
      <c r="D10" s="55" t="s">
        <v>46</v>
      </c>
      <c r="E10" s="56" t="s">
        <v>47</v>
      </c>
      <c r="F10" s="57" t="s">
        <v>48</v>
      </c>
      <c r="G10" s="57" t="s">
        <v>49</v>
      </c>
      <c r="H10" s="57" t="s">
        <v>50</v>
      </c>
      <c r="I10" s="57" t="s">
        <v>51</v>
      </c>
      <c r="J10" s="57" t="s">
        <v>52</v>
      </c>
      <c r="K10" s="57" t="s">
        <v>53</v>
      </c>
      <c r="L10" s="57" t="s">
        <v>54</v>
      </c>
      <c r="M10" s="57" t="s">
        <v>55</v>
      </c>
      <c r="N10" s="57" t="s">
        <v>56</v>
      </c>
      <c r="O10" s="57" t="s">
        <v>57</v>
      </c>
      <c r="P10" s="57" t="s">
        <v>58</v>
      </c>
      <c r="Q10" s="57" t="s">
        <v>59</v>
      </c>
      <c r="R10" s="57" t="s">
        <v>60</v>
      </c>
      <c r="S10" s="57" t="s">
        <v>61</v>
      </c>
      <c r="T10" s="57" t="s">
        <v>62</v>
      </c>
      <c r="U10" s="57" t="s">
        <v>63</v>
      </c>
      <c r="V10" s="57" t="s">
        <v>64</v>
      </c>
      <c r="W10" s="57" t="s">
        <v>65</v>
      </c>
      <c r="X10" s="57" t="s">
        <v>66</v>
      </c>
      <c r="Y10" s="57" t="s">
        <v>67</v>
      </c>
      <c r="Z10" s="57" t="s">
        <v>68</v>
      </c>
      <c r="AA10" s="57" t="s">
        <v>69</v>
      </c>
      <c r="AB10" s="70" t="s">
        <v>70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37" t="str">
        <f>1&amp;"-"&amp;$D$6</f>
        <v>1-2023</v>
      </c>
      <c r="B11" s="139">
        <f>'Formato Resumen 23'!C16</f>
        <v>0</v>
      </c>
      <c r="C11" s="59" t="s">
        <v>40</v>
      </c>
      <c r="D11" s="60">
        <f>VLOOKUP(A11&amp;C11,calendario!I:L,4,0)</f>
        <v>22</v>
      </c>
      <c r="E11" s="77">
        <f>$B11/24/$D14</f>
        <v>0</v>
      </c>
      <c r="F11" s="77">
        <f>$B11/24/$D14</f>
        <v>0</v>
      </c>
      <c r="G11" s="77">
        <f t="shared" ref="G11:AB11" si="22">((78%*$B11)/$D11)*G$7</f>
        <v>0</v>
      </c>
      <c r="H11" s="77">
        <f t="shared" si="22"/>
        <v>0</v>
      </c>
      <c r="I11" s="77">
        <f t="shared" si="22"/>
        <v>0</v>
      </c>
      <c r="J11" s="77">
        <f t="shared" si="22"/>
        <v>0</v>
      </c>
      <c r="K11" s="77">
        <f t="shared" si="22"/>
        <v>0</v>
      </c>
      <c r="L11" s="77">
        <f t="shared" si="22"/>
        <v>0</v>
      </c>
      <c r="M11" s="77">
        <f t="shared" si="22"/>
        <v>0</v>
      </c>
      <c r="N11" s="77">
        <f t="shared" si="22"/>
        <v>0</v>
      </c>
      <c r="O11" s="77">
        <f t="shared" si="22"/>
        <v>0</v>
      </c>
      <c r="P11" s="77">
        <f t="shared" si="22"/>
        <v>0</v>
      </c>
      <c r="Q11" s="77">
        <f t="shared" si="22"/>
        <v>0</v>
      </c>
      <c r="R11" s="77">
        <f t="shared" si="22"/>
        <v>0</v>
      </c>
      <c r="S11" s="77">
        <f t="shared" si="22"/>
        <v>0</v>
      </c>
      <c r="T11" s="77">
        <f t="shared" si="22"/>
        <v>0</v>
      </c>
      <c r="U11" s="77">
        <f t="shared" si="22"/>
        <v>0</v>
      </c>
      <c r="V11" s="77">
        <f t="shared" si="22"/>
        <v>0</v>
      </c>
      <c r="W11" s="77">
        <f t="shared" si="22"/>
        <v>0</v>
      </c>
      <c r="X11" s="77">
        <f t="shared" si="22"/>
        <v>0</v>
      </c>
      <c r="Y11" s="77">
        <f t="shared" si="22"/>
        <v>0</v>
      </c>
      <c r="Z11" s="77">
        <f t="shared" si="22"/>
        <v>0</v>
      </c>
      <c r="AA11" s="77">
        <f t="shared" si="22"/>
        <v>0</v>
      </c>
      <c r="AB11" s="78">
        <f t="shared" si="22"/>
        <v>0</v>
      </c>
      <c r="AC11" s="89">
        <f t="shared" ref="AC11" si="23">+SUM(E11:AB11)*D11</f>
        <v>0</v>
      </c>
      <c r="AD11" s="98"/>
      <c r="AE11" s="98"/>
      <c r="AF11" s="98" t="s">
        <v>71</v>
      </c>
      <c r="AG11" s="98">
        <v>1</v>
      </c>
    </row>
    <row r="12" spans="1:33" ht="14" x14ac:dyDescent="0.25">
      <c r="A12" s="137"/>
      <c r="B12" s="139"/>
      <c r="C12" s="61" t="s">
        <v>41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24">((13%*$B11)/$D12)*G$8</f>
        <v>0</v>
      </c>
      <c r="H12" s="79">
        <f t="shared" si="24"/>
        <v>0</v>
      </c>
      <c r="I12" s="79">
        <f t="shared" si="24"/>
        <v>0</v>
      </c>
      <c r="J12" s="79">
        <f t="shared" si="24"/>
        <v>0</v>
      </c>
      <c r="K12" s="79">
        <f t="shared" si="24"/>
        <v>0</v>
      </c>
      <c r="L12" s="79">
        <f t="shared" si="24"/>
        <v>0</v>
      </c>
      <c r="M12" s="79">
        <f t="shared" si="24"/>
        <v>0</v>
      </c>
      <c r="N12" s="79">
        <f t="shared" si="24"/>
        <v>0</v>
      </c>
      <c r="O12" s="79">
        <f t="shared" si="24"/>
        <v>0</v>
      </c>
      <c r="P12" s="79">
        <f t="shared" si="24"/>
        <v>0</v>
      </c>
      <c r="Q12" s="79">
        <f t="shared" si="24"/>
        <v>0</v>
      </c>
      <c r="R12" s="79">
        <f t="shared" si="24"/>
        <v>0</v>
      </c>
      <c r="S12" s="79">
        <f t="shared" si="24"/>
        <v>0</v>
      </c>
      <c r="T12" s="79">
        <f t="shared" si="24"/>
        <v>0</v>
      </c>
      <c r="U12" s="79">
        <f t="shared" si="24"/>
        <v>0</v>
      </c>
      <c r="V12" s="79">
        <f t="shared" si="24"/>
        <v>0</v>
      </c>
      <c r="W12" s="79">
        <f t="shared" si="24"/>
        <v>0</v>
      </c>
      <c r="X12" s="79">
        <f t="shared" si="24"/>
        <v>0</v>
      </c>
      <c r="Y12" s="79">
        <f t="shared" si="24"/>
        <v>0</v>
      </c>
      <c r="Z12" s="79">
        <f t="shared" si="24"/>
        <v>0</v>
      </c>
      <c r="AA12" s="79">
        <f t="shared" si="24"/>
        <v>0</v>
      </c>
      <c r="AB12" s="80">
        <f t="shared" si="24"/>
        <v>0</v>
      </c>
      <c r="AC12" s="90">
        <f t="shared" ref="AC12:AC13" si="25">+SUM(E12:AB12)*D12</f>
        <v>0</v>
      </c>
      <c r="AD12" s="98"/>
      <c r="AE12" s="98"/>
      <c r="AF12" s="98" t="s">
        <v>72</v>
      </c>
      <c r="AG12" s="98">
        <v>1</v>
      </c>
    </row>
    <row r="13" spans="1:33" ht="14" x14ac:dyDescent="0.25">
      <c r="A13" s="137"/>
      <c r="B13" s="139"/>
      <c r="C13" s="63" t="s">
        <v>43</v>
      </c>
      <c r="D13" s="64">
        <f>VLOOKUP(A11&amp;C13,calendario!I:L,4,0)</f>
        <v>5</v>
      </c>
      <c r="E13" s="82">
        <f>$B11/24/$D14</f>
        <v>0</v>
      </c>
      <c r="F13" s="82">
        <f>$B11/24/$D14</f>
        <v>0</v>
      </c>
      <c r="G13" s="82">
        <f t="shared" ref="G13:AB13" si="26">((9%*$B11)/$D13)*G$9</f>
        <v>0</v>
      </c>
      <c r="H13" s="82">
        <f t="shared" si="26"/>
        <v>0</v>
      </c>
      <c r="I13" s="82">
        <f t="shared" si="26"/>
        <v>0</v>
      </c>
      <c r="J13" s="82">
        <f t="shared" si="26"/>
        <v>0</v>
      </c>
      <c r="K13" s="82">
        <f t="shared" si="26"/>
        <v>0</v>
      </c>
      <c r="L13" s="82">
        <f t="shared" si="26"/>
        <v>0</v>
      </c>
      <c r="M13" s="82">
        <f t="shared" si="26"/>
        <v>0</v>
      </c>
      <c r="N13" s="82">
        <f t="shared" si="26"/>
        <v>0</v>
      </c>
      <c r="O13" s="82">
        <f t="shared" si="26"/>
        <v>0</v>
      </c>
      <c r="P13" s="82">
        <f t="shared" si="26"/>
        <v>0</v>
      </c>
      <c r="Q13" s="82">
        <f t="shared" si="26"/>
        <v>0</v>
      </c>
      <c r="R13" s="82">
        <f t="shared" si="26"/>
        <v>0</v>
      </c>
      <c r="S13" s="82">
        <f t="shared" si="26"/>
        <v>0</v>
      </c>
      <c r="T13" s="82">
        <f t="shared" si="26"/>
        <v>0</v>
      </c>
      <c r="U13" s="82">
        <f t="shared" si="26"/>
        <v>0</v>
      </c>
      <c r="V13" s="82">
        <f t="shared" si="26"/>
        <v>0</v>
      </c>
      <c r="W13" s="82">
        <f t="shared" si="26"/>
        <v>0</v>
      </c>
      <c r="X13" s="82">
        <f t="shared" si="26"/>
        <v>0</v>
      </c>
      <c r="Y13" s="82">
        <f t="shared" si="26"/>
        <v>0</v>
      </c>
      <c r="Z13" s="82">
        <f t="shared" si="26"/>
        <v>0</v>
      </c>
      <c r="AA13" s="82">
        <f t="shared" si="26"/>
        <v>0</v>
      </c>
      <c r="AB13" s="83">
        <f t="shared" si="26"/>
        <v>0</v>
      </c>
      <c r="AC13" s="91">
        <f t="shared" si="25"/>
        <v>0</v>
      </c>
      <c r="AD13" s="98"/>
      <c r="AE13" s="98"/>
      <c r="AF13" s="98" t="s">
        <v>73</v>
      </c>
      <c r="AG13" s="98">
        <v>1</v>
      </c>
    </row>
    <row r="14" spans="1:33" ht="14.5" thickBot="1" x14ac:dyDescent="0.3">
      <c r="A14" s="138"/>
      <c r="B14" s="14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90">
        <f t="shared" ref="AC14" si="27">+SUM(AC11:AC13)</f>
        <v>0</v>
      </c>
      <c r="AD14" s="98"/>
      <c r="AE14" s="98"/>
      <c r="AF14" s="98"/>
      <c r="AG14" s="98"/>
    </row>
    <row r="15" spans="1:33" ht="14" x14ac:dyDescent="0.25">
      <c r="A15" s="137" t="str">
        <f>2&amp;"-"&amp;$D$6</f>
        <v>2-2023</v>
      </c>
      <c r="B15" s="139">
        <f>'Formato Resumen 23'!C17</f>
        <v>0</v>
      </c>
      <c r="C15" s="59" t="s">
        <v>40</v>
      </c>
      <c r="D15" s="60">
        <f>VLOOKUP(A15&amp;C15,calendario!I:L,4,0)</f>
        <v>20</v>
      </c>
      <c r="E15" s="77">
        <f>$B15/24/$D18</f>
        <v>0</v>
      </c>
      <c r="F15" s="77">
        <f t="shared" ref="F15:AB15" si="28">$B15/24/$D18</f>
        <v>0</v>
      </c>
      <c r="G15" s="77">
        <f t="shared" si="28"/>
        <v>0</v>
      </c>
      <c r="H15" s="77">
        <f t="shared" si="28"/>
        <v>0</v>
      </c>
      <c r="I15" s="77">
        <f t="shared" si="28"/>
        <v>0</v>
      </c>
      <c r="J15" s="77">
        <f t="shared" si="28"/>
        <v>0</v>
      </c>
      <c r="K15" s="77">
        <f t="shared" si="28"/>
        <v>0</v>
      </c>
      <c r="L15" s="77">
        <f t="shared" si="28"/>
        <v>0</v>
      </c>
      <c r="M15" s="77">
        <f t="shared" si="28"/>
        <v>0</v>
      </c>
      <c r="N15" s="77">
        <f t="shared" si="28"/>
        <v>0</v>
      </c>
      <c r="O15" s="77">
        <f t="shared" si="28"/>
        <v>0</v>
      </c>
      <c r="P15" s="77">
        <f t="shared" si="28"/>
        <v>0</v>
      </c>
      <c r="Q15" s="77">
        <f t="shared" si="28"/>
        <v>0</v>
      </c>
      <c r="R15" s="77">
        <f t="shared" si="28"/>
        <v>0</v>
      </c>
      <c r="S15" s="77">
        <f t="shared" si="28"/>
        <v>0</v>
      </c>
      <c r="T15" s="77">
        <f t="shared" si="28"/>
        <v>0</v>
      </c>
      <c r="U15" s="77">
        <f t="shared" si="28"/>
        <v>0</v>
      </c>
      <c r="V15" s="77">
        <f t="shared" si="28"/>
        <v>0</v>
      </c>
      <c r="W15" s="77">
        <f t="shared" si="28"/>
        <v>0</v>
      </c>
      <c r="X15" s="77">
        <f t="shared" si="28"/>
        <v>0</v>
      </c>
      <c r="Y15" s="77">
        <f t="shared" si="28"/>
        <v>0</v>
      </c>
      <c r="Z15" s="77">
        <f t="shared" si="28"/>
        <v>0</v>
      </c>
      <c r="AA15" s="77">
        <f t="shared" si="28"/>
        <v>0</v>
      </c>
      <c r="AB15" s="77">
        <f t="shared" si="28"/>
        <v>0</v>
      </c>
      <c r="AC15" s="89">
        <f t="shared" ref="AC15" si="29">+SUM(E15:AB15)*D15</f>
        <v>0</v>
      </c>
      <c r="AD15" s="98"/>
      <c r="AE15" s="98"/>
      <c r="AF15" s="98" t="s">
        <v>71</v>
      </c>
      <c r="AG15" s="98">
        <v>2</v>
      </c>
    </row>
    <row r="16" spans="1:33" ht="14" x14ac:dyDescent="0.25">
      <c r="A16" s="137"/>
      <c r="B16" s="139"/>
      <c r="C16" s="61" t="s">
        <v>41</v>
      </c>
      <c r="D16" s="62">
        <f>VLOOKUP(A15&amp;C16,calendario!I:L,4,0)</f>
        <v>4</v>
      </c>
      <c r="E16" s="79">
        <f>$B15/24/$D18</f>
        <v>0</v>
      </c>
      <c r="F16" s="79">
        <f t="shared" ref="F16:AB16" si="30">$B15/24/$D18</f>
        <v>0</v>
      </c>
      <c r="G16" s="79">
        <f t="shared" si="30"/>
        <v>0</v>
      </c>
      <c r="H16" s="79">
        <f t="shared" si="30"/>
        <v>0</v>
      </c>
      <c r="I16" s="79">
        <f t="shared" si="30"/>
        <v>0</v>
      </c>
      <c r="J16" s="79">
        <f t="shared" si="30"/>
        <v>0</v>
      </c>
      <c r="K16" s="79">
        <f t="shared" si="30"/>
        <v>0</v>
      </c>
      <c r="L16" s="79">
        <f t="shared" si="30"/>
        <v>0</v>
      </c>
      <c r="M16" s="79">
        <f t="shared" si="30"/>
        <v>0</v>
      </c>
      <c r="N16" s="79">
        <f t="shared" si="30"/>
        <v>0</v>
      </c>
      <c r="O16" s="79">
        <f t="shared" si="30"/>
        <v>0</v>
      </c>
      <c r="P16" s="79">
        <f t="shared" si="30"/>
        <v>0</v>
      </c>
      <c r="Q16" s="79">
        <f t="shared" si="30"/>
        <v>0</v>
      </c>
      <c r="R16" s="79">
        <f t="shared" si="30"/>
        <v>0</v>
      </c>
      <c r="S16" s="79">
        <f t="shared" si="30"/>
        <v>0</v>
      </c>
      <c r="T16" s="79">
        <f t="shared" si="30"/>
        <v>0</v>
      </c>
      <c r="U16" s="79">
        <f t="shared" si="30"/>
        <v>0</v>
      </c>
      <c r="V16" s="79">
        <f t="shared" si="30"/>
        <v>0</v>
      </c>
      <c r="W16" s="79">
        <f t="shared" si="30"/>
        <v>0</v>
      </c>
      <c r="X16" s="79">
        <f t="shared" si="30"/>
        <v>0</v>
      </c>
      <c r="Y16" s="79">
        <f t="shared" si="30"/>
        <v>0</v>
      </c>
      <c r="Z16" s="79">
        <f t="shared" si="30"/>
        <v>0</v>
      </c>
      <c r="AA16" s="79">
        <f t="shared" si="30"/>
        <v>0</v>
      </c>
      <c r="AB16" s="79">
        <f t="shared" si="30"/>
        <v>0</v>
      </c>
      <c r="AC16" s="90">
        <f t="shared" ref="AC16:AC17" si="31">+SUM(E16:AB16)*D16</f>
        <v>0</v>
      </c>
      <c r="AD16" s="98"/>
      <c r="AE16" s="98"/>
      <c r="AF16" s="98" t="s">
        <v>72</v>
      </c>
      <c r="AG16" s="98">
        <v>2</v>
      </c>
    </row>
    <row r="17" spans="1:33" ht="14" x14ac:dyDescent="0.25">
      <c r="A17" s="137"/>
      <c r="B17" s="139"/>
      <c r="C17" s="63" t="s">
        <v>43</v>
      </c>
      <c r="D17" s="64">
        <f>VLOOKUP(A15&amp;C17,calendario!I:L,4,0)</f>
        <v>4</v>
      </c>
      <c r="E17" s="82">
        <f>$B15/24/$D18</f>
        <v>0</v>
      </c>
      <c r="F17" s="82">
        <f t="shared" ref="F17:AB17" si="32">$B15/24/$D18</f>
        <v>0</v>
      </c>
      <c r="G17" s="82">
        <f t="shared" si="32"/>
        <v>0</v>
      </c>
      <c r="H17" s="82">
        <f t="shared" si="32"/>
        <v>0</v>
      </c>
      <c r="I17" s="82">
        <f t="shared" si="32"/>
        <v>0</v>
      </c>
      <c r="J17" s="82">
        <f t="shared" si="32"/>
        <v>0</v>
      </c>
      <c r="K17" s="82">
        <f t="shared" si="32"/>
        <v>0</v>
      </c>
      <c r="L17" s="82">
        <f t="shared" si="32"/>
        <v>0</v>
      </c>
      <c r="M17" s="82">
        <f t="shared" si="32"/>
        <v>0</v>
      </c>
      <c r="N17" s="82">
        <f t="shared" si="32"/>
        <v>0</v>
      </c>
      <c r="O17" s="82">
        <f t="shared" si="32"/>
        <v>0</v>
      </c>
      <c r="P17" s="82">
        <f t="shared" si="32"/>
        <v>0</v>
      </c>
      <c r="Q17" s="82">
        <f t="shared" si="32"/>
        <v>0</v>
      </c>
      <c r="R17" s="82">
        <f t="shared" si="32"/>
        <v>0</v>
      </c>
      <c r="S17" s="82">
        <f t="shared" si="32"/>
        <v>0</v>
      </c>
      <c r="T17" s="82">
        <f t="shared" si="32"/>
        <v>0</v>
      </c>
      <c r="U17" s="82">
        <f t="shared" si="32"/>
        <v>0</v>
      </c>
      <c r="V17" s="82">
        <f t="shared" si="32"/>
        <v>0</v>
      </c>
      <c r="W17" s="82">
        <f t="shared" si="32"/>
        <v>0</v>
      </c>
      <c r="X17" s="82">
        <f t="shared" si="32"/>
        <v>0</v>
      </c>
      <c r="Y17" s="82">
        <f t="shared" si="32"/>
        <v>0</v>
      </c>
      <c r="Z17" s="82">
        <f t="shared" si="32"/>
        <v>0</v>
      </c>
      <c r="AA17" s="82">
        <f t="shared" si="32"/>
        <v>0</v>
      </c>
      <c r="AB17" s="82">
        <f t="shared" si="32"/>
        <v>0</v>
      </c>
      <c r="AC17" s="91">
        <f t="shared" si="31"/>
        <v>0</v>
      </c>
      <c r="AD17" s="98"/>
      <c r="AE17" s="98"/>
      <c r="AF17" s="98" t="s">
        <v>73</v>
      </c>
      <c r="AG17" s="98">
        <v>2</v>
      </c>
    </row>
    <row r="18" spans="1:33" ht="14.5" thickBot="1" x14ac:dyDescent="0.3">
      <c r="A18" s="138"/>
      <c r="B18" s="140"/>
      <c r="C18" s="65" t="s">
        <v>27</v>
      </c>
      <c r="D18" s="66">
        <f t="shared" ref="D18" si="33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90">
        <f t="shared" ref="AC18" si="34">+SUM(AC15:AC17)</f>
        <v>0</v>
      </c>
      <c r="AD18" s="98"/>
      <c r="AE18" s="98"/>
      <c r="AF18" s="98"/>
      <c r="AG18" s="98"/>
    </row>
    <row r="19" spans="1:33" ht="14" x14ac:dyDescent="0.25">
      <c r="A19" s="137" t="str">
        <f>3&amp;"-"&amp;$D$6</f>
        <v>3-2023</v>
      </c>
      <c r="B19" s="141">
        <f>'Formato Resumen 23'!C18</f>
        <v>0</v>
      </c>
      <c r="C19" s="59" t="s">
        <v>40</v>
      </c>
      <c r="D19" s="60">
        <f>VLOOKUP(A19&amp;C19,calendario!I:L,4,0)</f>
        <v>23</v>
      </c>
      <c r="E19" s="77">
        <f>$B19/24/$D22</f>
        <v>0</v>
      </c>
      <c r="F19" s="77">
        <f t="shared" ref="F19:AB19" si="35">$B19/24/$D22</f>
        <v>0</v>
      </c>
      <c r="G19" s="77">
        <f t="shared" si="35"/>
        <v>0</v>
      </c>
      <c r="H19" s="77">
        <f t="shared" si="35"/>
        <v>0</v>
      </c>
      <c r="I19" s="77">
        <f t="shared" si="35"/>
        <v>0</v>
      </c>
      <c r="J19" s="77">
        <f t="shared" si="35"/>
        <v>0</v>
      </c>
      <c r="K19" s="77">
        <f t="shared" si="35"/>
        <v>0</v>
      </c>
      <c r="L19" s="77">
        <f t="shared" si="35"/>
        <v>0</v>
      </c>
      <c r="M19" s="77">
        <f t="shared" si="35"/>
        <v>0</v>
      </c>
      <c r="N19" s="77">
        <f t="shared" si="35"/>
        <v>0</v>
      </c>
      <c r="O19" s="77">
        <f t="shared" si="35"/>
        <v>0</v>
      </c>
      <c r="P19" s="77">
        <f t="shared" si="35"/>
        <v>0</v>
      </c>
      <c r="Q19" s="77">
        <f t="shared" si="35"/>
        <v>0</v>
      </c>
      <c r="R19" s="77">
        <f t="shared" si="35"/>
        <v>0</v>
      </c>
      <c r="S19" s="77">
        <f t="shared" si="35"/>
        <v>0</v>
      </c>
      <c r="T19" s="77">
        <f t="shared" si="35"/>
        <v>0</v>
      </c>
      <c r="U19" s="77">
        <f t="shared" si="35"/>
        <v>0</v>
      </c>
      <c r="V19" s="77">
        <f t="shared" si="35"/>
        <v>0</v>
      </c>
      <c r="W19" s="77">
        <f t="shared" si="35"/>
        <v>0</v>
      </c>
      <c r="X19" s="77">
        <f t="shared" si="35"/>
        <v>0</v>
      </c>
      <c r="Y19" s="77">
        <f t="shared" si="35"/>
        <v>0</v>
      </c>
      <c r="Z19" s="77">
        <f t="shared" si="35"/>
        <v>0</v>
      </c>
      <c r="AA19" s="77">
        <f t="shared" si="35"/>
        <v>0</v>
      </c>
      <c r="AB19" s="77">
        <f t="shared" si="35"/>
        <v>0</v>
      </c>
      <c r="AC19" s="89">
        <f t="shared" ref="AC19" si="36">+SUM(E19:AB19)*D19</f>
        <v>0</v>
      </c>
      <c r="AD19" s="98"/>
      <c r="AE19" s="98"/>
      <c r="AF19" s="98" t="s">
        <v>71</v>
      </c>
      <c r="AG19" s="98">
        <v>3</v>
      </c>
    </row>
    <row r="20" spans="1:33" ht="14" x14ac:dyDescent="0.25">
      <c r="A20" s="137"/>
      <c r="B20" s="139"/>
      <c r="C20" s="61" t="s">
        <v>41</v>
      </c>
      <c r="D20" s="62">
        <f>VLOOKUP(A19&amp;C20,calendario!I:L,4,0)</f>
        <v>4</v>
      </c>
      <c r="E20" s="79">
        <f>$B19/24/$D22</f>
        <v>0</v>
      </c>
      <c r="F20" s="79">
        <f t="shared" ref="F20" si="37">$B19/24/$D22</f>
        <v>0</v>
      </c>
      <c r="G20" s="79">
        <f t="shared" ref="G20" si="38">$B19/24/$D22</f>
        <v>0</v>
      </c>
      <c r="H20" s="79">
        <f t="shared" ref="H20" si="39">$B19/24/$D22</f>
        <v>0</v>
      </c>
      <c r="I20" s="79">
        <f t="shared" ref="I20" si="40">$B19/24/$D22</f>
        <v>0</v>
      </c>
      <c r="J20" s="79">
        <f t="shared" ref="J20" si="41">$B19/24/$D22</f>
        <v>0</v>
      </c>
      <c r="K20" s="79">
        <f t="shared" ref="K20" si="42">$B19/24/$D22</f>
        <v>0</v>
      </c>
      <c r="L20" s="79">
        <f t="shared" ref="L20" si="43">$B19/24/$D22</f>
        <v>0</v>
      </c>
      <c r="M20" s="79">
        <f t="shared" ref="M20" si="44">$B19/24/$D22</f>
        <v>0</v>
      </c>
      <c r="N20" s="79">
        <f t="shared" ref="N20" si="45">$B19/24/$D22</f>
        <v>0</v>
      </c>
      <c r="O20" s="79">
        <f t="shared" ref="O20" si="46">$B19/24/$D22</f>
        <v>0</v>
      </c>
      <c r="P20" s="79">
        <f t="shared" ref="P20" si="47">$B19/24/$D22</f>
        <v>0</v>
      </c>
      <c r="Q20" s="79">
        <f t="shared" ref="Q20" si="48">$B19/24/$D22</f>
        <v>0</v>
      </c>
      <c r="R20" s="79">
        <f t="shared" ref="R20" si="49">$B19/24/$D22</f>
        <v>0</v>
      </c>
      <c r="S20" s="79">
        <f t="shared" ref="S20" si="50">$B19/24/$D22</f>
        <v>0</v>
      </c>
      <c r="T20" s="79">
        <f t="shared" ref="T20" si="51">$B19/24/$D22</f>
        <v>0</v>
      </c>
      <c r="U20" s="79">
        <f t="shared" ref="U20" si="52">$B19/24/$D22</f>
        <v>0</v>
      </c>
      <c r="V20" s="79">
        <f t="shared" ref="V20" si="53">$B19/24/$D22</f>
        <v>0</v>
      </c>
      <c r="W20" s="79">
        <f t="shared" ref="W20" si="54">$B19/24/$D22</f>
        <v>0</v>
      </c>
      <c r="X20" s="79">
        <f t="shared" ref="X20" si="55">$B19/24/$D22</f>
        <v>0</v>
      </c>
      <c r="Y20" s="79">
        <f t="shared" ref="Y20" si="56">$B19/24/$D22</f>
        <v>0</v>
      </c>
      <c r="Z20" s="79">
        <f t="shared" ref="Z20" si="57">$B19/24/$D22</f>
        <v>0</v>
      </c>
      <c r="AA20" s="79">
        <f t="shared" ref="AA20" si="58">$B19/24/$D22</f>
        <v>0</v>
      </c>
      <c r="AB20" s="79">
        <f t="shared" ref="AB20" si="59">$B19/24/$D22</f>
        <v>0</v>
      </c>
      <c r="AC20" s="90">
        <f t="shared" ref="AC20:AC21" si="60">+SUM(E20:AB20)*D20</f>
        <v>0</v>
      </c>
      <c r="AD20" s="98"/>
      <c r="AE20" s="98"/>
      <c r="AF20" s="98" t="s">
        <v>72</v>
      </c>
      <c r="AG20" s="98">
        <v>3</v>
      </c>
    </row>
    <row r="21" spans="1:33" ht="14" x14ac:dyDescent="0.25">
      <c r="A21" s="137"/>
      <c r="B21" s="139"/>
      <c r="C21" s="63" t="s">
        <v>43</v>
      </c>
      <c r="D21" s="64">
        <f>VLOOKUP(A19&amp;C21,calendario!I:L,4,0)</f>
        <v>4</v>
      </c>
      <c r="E21" s="82">
        <f>$B19/24/$D22</f>
        <v>0</v>
      </c>
      <c r="F21" s="82">
        <f t="shared" ref="F21" si="61">$B19/24/$D22</f>
        <v>0</v>
      </c>
      <c r="G21" s="82">
        <f t="shared" ref="G21" si="62">$B19/24/$D22</f>
        <v>0</v>
      </c>
      <c r="H21" s="82">
        <f t="shared" ref="H21" si="63">$B19/24/$D22</f>
        <v>0</v>
      </c>
      <c r="I21" s="82">
        <f t="shared" ref="I21" si="64">$B19/24/$D22</f>
        <v>0</v>
      </c>
      <c r="J21" s="82">
        <f t="shared" ref="J21" si="65">$B19/24/$D22</f>
        <v>0</v>
      </c>
      <c r="K21" s="82">
        <f t="shared" ref="K21" si="66">$B19/24/$D22</f>
        <v>0</v>
      </c>
      <c r="L21" s="82">
        <f t="shared" ref="L21" si="67">$B19/24/$D22</f>
        <v>0</v>
      </c>
      <c r="M21" s="82">
        <f t="shared" ref="M21" si="68">$B19/24/$D22</f>
        <v>0</v>
      </c>
      <c r="N21" s="82">
        <f t="shared" ref="N21" si="69">$B19/24/$D22</f>
        <v>0</v>
      </c>
      <c r="O21" s="82">
        <f t="shared" ref="O21" si="70">$B19/24/$D22</f>
        <v>0</v>
      </c>
      <c r="P21" s="82">
        <f t="shared" ref="P21" si="71">$B19/24/$D22</f>
        <v>0</v>
      </c>
      <c r="Q21" s="82">
        <f t="shared" ref="Q21" si="72">$B19/24/$D22</f>
        <v>0</v>
      </c>
      <c r="R21" s="82">
        <f t="shared" ref="R21" si="73">$B19/24/$D22</f>
        <v>0</v>
      </c>
      <c r="S21" s="82">
        <f t="shared" ref="S21" si="74">$B19/24/$D22</f>
        <v>0</v>
      </c>
      <c r="T21" s="82">
        <f t="shared" ref="T21" si="75">$B19/24/$D22</f>
        <v>0</v>
      </c>
      <c r="U21" s="82">
        <f t="shared" ref="U21" si="76">$B19/24/$D22</f>
        <v>0</v>
      </c>
      <c r="V21" s="82">
        <f t="shared" ref="V21" si="77">$B19/24/$D22</f>
        <v>0</v>
      </c>
      <c r="W21" s="82">
        <f t="shared" ref="W21" si="78">$B19/24/$D22</f>
        <v>0</v>
      </c>
      <c r="X21" s="82">
        <f t="shared" ref="X21" si="79">$B19/24/$D22</f>
        <v>0</v>
      </c>
      <c r="Y21" s="82">
        <f t="shared" ref="Y21" si="80">$B19/24/$D22</f>
        <v>0</v>
      </c>
      <c r="Z21" s="82">
        <f t="shared" ref="Z21" si="81">$B19/24/$D22</f>
        <v>0</v>
      </c>
      <c r="AA21" s="82">
        <f t="shared" ref="AA21" si="82">$B19/24/$D22</f>
        <v>0</v>
      </c>
      <c r="AB21" s="82">
        <f t="shared" ref="AB21" si="83">$B19/24/$D22</f>
        <v>0</v>
      </c>
      <c r="AC21" s="91">
        <f t="shared" si="60"/>
        <v>0</v>
      </c>
      <c r="AD21" s="98"/>
      <c r="AE21" s="98"/>
      <c r="AF21" s="98" t="s">
        <v>73</v>
      </c>
      <c r="AG21" s="98">
        <v>3</v>
      </c>
    </row>
    <row r="22" spans="1:33" ht="14.5" thickBot="1" x14ac:dyDescent="0.3">
      <c r="A22" s="138"/>
      <c r="B22" s="142"/>
      <c r="C22" s="65" t="s">
        <v>27</v>
      </c>
      <c r="D22" s="66">
        <f t="shared" ref="D22" si="8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90">
        <f t="shared" ref="AC22" si="85">+SUM(AC19:AC21)</f>
        <v>0</v>
      </c>
      <c r="AD22" s="98"/>
      <c r="AE22" s="98"/>
      <c r="AF22" s="98"/>
      <c r="AG22" s="98"/>
    </row>
    <row r="23" spans="1:33" ht="14" x14ac:dyDescent="0.25">
      <c r="A23" s="137" t="str">
        <f>4&amp;"-"&amp;$D$6</f>
        <v>4-2023</v>
      </c>
      <c r="B23" s="139">
        <f>'Formato Resumen 23'!C19</f>
        <v>0</v>
      </c>
      <c r="C23" s="59" t="s">
        <v>40</v>
      </c>
      <c r="D23" s="60">
        <f>VLOOKUP(A23&amp;C23,calendario!I:L,4,0)</f>
        <v>20</v>
      </c>
      <c r="E23" s="77">
        <f>$B23/24/$D26</f>
        <v>0</v>
      </c>
      <c r="F23" s="77">
        <f t="shared" ref="F23:AB23" si="86">$B23/24/$D26</f>
        <v>0</v>
      </c>
      <c r="G23" s="77">
        <f t="shared" si="86"/>
        <v>0</v>
      </c>
      <c r="H23" s="77">
        <f t="shared" si="86"/>
        <v>0</v>
      </c>
      <c r="I23" s="77">
        <f t="shared" si="86"/>
        <v>0</v>
      </c>
      <c r="J23" s="77">
        <f t="shared" si="86"/>
        <v>0</v>
      </c>
      <c r="K23" s="77">
        <f t="shared" si="86"/>
        <v>0</v>
      </c>
      <c r="L23" s="77">
        <f t="shared" si="86"/>
        <v>0</v>
      </c>
      <c r="M23" s="77">
        <f t="shared" si="86"/>
        <v>0</v>
      </c>
      <c r="N23" s="77">
        <f t="shared" si="86"/>
        <v>0</v>
      </c>
      <c r="O23" s="77">
        <f t="shared" si="86"/>
        <v>0</v>
      </c>
      <c r="P23" s="77">
        <f t="shared" si="86"/>
        <v>0</v>
      </c>
      <c r="Q23" s="77">
        <f t="shared" si="86"/>
        <v>0</v>
      </c>
      <c r="R23" s="77">
        <f t="shared" si="86"/>
        <v>0</v>
      </c>
      <c r="S23" s="77">
        <f t="shared" si="86"/>
        <v>0</v>
      </c>
      <c r="T23" s="77">
        <f t="shared" si="86"/>
        <v>0</v>
      </c>
      <c r="U23" s="77">
        <f t="shared" si="86"/>
        <v>0</v>
      </c>
      <c r="V23" s="77">
        <f t="shared" si="86"/>
        <v>0</v>
      </c>
      <c r="W23" s="77">
        <f t="shared" si="86"/>
        <v>0</v>
      </c>
      <c r="X23" s="77">
        <f t="shared" si="86"/>
        <v>0</v>
      </c>
      <c r="Y23" s="77">
        <f t="shared" si="86"/>
        <v>0</v>
      </c>
      <c r="Z23" s="77">
        <f t="shared" si="86"/>
        <v>0</v>
      </c>
      <c r="AA23" s="77">
        <f t="shared" si="86"/>
        <v>0</v>
      </c>
      <c r="AB23" s="77">
        <f t="shared" si="86"/>
        <v>0</v>
      </c>
      <c r="AC23" s="89">
        <f t="shared" ref="AC23" si="87">+SUM(E23:AB23)*D23</f>
        <v>0</v>
      </c>
      <c r="AD23" s="98"/>
      <c r="AE23" s="98"/>
      <c r="AF23" s="98" t="s">
        <v>71</v>
      </c>
      <c r="AG23" s="98">
        <v>4</v>
      </c>
    </row>
    <row r="24" spans="1:33" ht="14" x14ac:dyDescent="0.25">
      <c r="A24" s="137"/>
      <c r="B24" s="139"/>
      <c r="C24" s="61" t="s">
        <v>41</v>
      </c>
      <c r="D24" s="62">
        <f>VLOOKUP(A23&amp;C24,calendario!I:L,4,0)</f>
        <v>5</v>
      </c>
      <c r="E24" s="79">
        <f>$B23/24/$D26</f>
        <v>0</v>
      </c>
      <c r="F24" s="79">
        <f t="shared" ref="F24" si="88">$B23/24/$D26</f>
        <v>0</v>
      </c>
      <c r="G24" s="79">
        <f t="shared" ref="G24" si="89">$B23/24/$D26</f>
        <v>0</v>
      </c>
      <c r="H24" s="79">
        <f t="shared" ref="H24" si="90">$B23/24/$D26</f>
        <v>0</v>
      </c>
      <c r="I24" s="79">
        <f t="shared" ref="I24" si="91">$B23/24/$D26</f>
        <v>0</v>
      </c>
      <c r="J24" s="79">
        <f t="shared" ref="J24" si="92">$B23/24/$D26</f>
        <v>0</v>
      </c>
      <c r="K24" s="79">
        <f t="shared" ref="K24" si="93">$B23/24/$D26</f>
        <v>0</v>
      </c>
      <c r="L24" s="79">
        <f t="shared" ref="L24" si="94">$B23/24/$D26</f>
        <v>0</v>
      </c>
      <c r="M24" s="79">
        <f t="shared" ref="M24" si="95">$B23/24/$D26</f>
        <v>0</v>
      </c>
      <c r="N24" s="79">
        <f t="shared" ref="N24" si="96">$B23/24/$D26</f>
        <v>0</v>
      </c>
      <c r="O24" s="79">
        <f t="shared" ref="O24" si="97">$B23/24/$D26</f>
        <v>0</v>
      </c>
      <c r="P24" s="79">
        <f t="shared" ref="P24" si="98">$B23/24/$D26</f>
        <v>0</v>
      </c>
      <c r="Q24" s="79">
        <f t="shared" ref="Q24" si="99">$B23/24/$D26</f>
        <v>0</v>
      </c>
      <c r="R24" s="79">
        <f t="shared" ref="R24" si="100">$B23/24/$D26</f>
        <v>0</v>
      </c>
      <c r="S24" s="79">
        <f t="shared" ref="S24" si="101">$B23/24/$D26</f>
        <v>0</v>
      </c>
      <c r="T24" s="79">
        <f t="shared" ref="T24" si="102">$B23/24/$D26</f>
        <v>0</v>
      </c>
      <c r="U24" s="79">
        <f t="shared" ref="U24" si="103">$B23/24/$D26</f>
        <v>0</v>
      </c>
      <c r="V24" s="79">
        <f t="shared" ref="V24" si="104">$B23/24/$D26</f>
        <v>0</v>
      </c>
      <c r="W24" s="79">
        <f t="shared" ref="W24" si="105">$B23/24/$D26</f>
        <v>0</v>
      </c>
      <c r="X24" s="79">
        <f t="shared" ref="X24" si="106">$B23/24/$D26</f>
        <v>0</v>
      </c>
      <c r="Y24" s="79">
        <f t="shared" ref="Y24" si="107">$B23/24/$D26</f>
        <v>0</v>
      </c>
      <c r="Z24" s="79">
        <f t="shared" ref="Z24" si="108">$B23/24/$D26</f>
        <v>0</v>
      </c>
      <c r="AA24" s="79">
        <f t="shared" ref="AA24" si="109">$B23/24/$D26</f>
        <v>0</v>
      </c>
      <c r="AB24" s="79">
        <f t="shared" ref="AB24" si="110">$B23/24/$D26</f>
        <v>0</v>
      </c>
      <c r="AC24" s="90">
        <f t="shared" ref="AC24:AC25" si="111">+SUM(E24:AB24)*D24</f>
        <v>0</v>
      </c>
      <c r="AD24" s="98"/>
      <c r="AE24" s="98"/>
      <c r="AF24" s="98" t="s">
        <v>72</v>
      </c>
      <c r="AG24" s="98">
        <v>4</v>
      </c>
    </row>
    <row r="25" spans="1:33" ht="14" x14ac:dyDescent="0.25">
      <c r="A25" s="137"/>
      <c r="B25" s="139"/>
      <c r="C25" s="63" t="s">
        <v>43</v>
      </c>
      <c r="D25" s="64">
        <f>VLOOKUP(A23&amp;C25,calendario!I:L,4,0)</f>
        <v>5</v>
      </c>
      <c r="E25" s="82">
        <f>$B23/24/$D26</f>
        <v>0</v>
      </c>
      <c r="F25" s="82">
        <f t="shared" ref="F25" si="112">$B23/24/$D26</f>
        <v>0</v>
      </c>
      <c r="G25" s="82">
        <f t="shared" ref="G25" si="113">$B23/24/$D26</f>
        <v>0</v>
      </c>
      <c r="H25" s="82">
        <f t="shared" ref="H25" si="114">$B23/24/$D26</f>
        <v>0</v>
      </c>
      <c r="I25" s="82">
        <f t="shared" ref="I25" si="115">$B23/24/$D26</f>
        <v>0</v>
      </c>
      <c r="J25" s="82">
        <f t="shared" ref="J25" si="116">$B23/24/$D26</f>
        <v>0</v>
      </c>
      <c r="K25" s="82">
        <f t="shared" ref="K25" si="117">$B23/24/$D26</f>
        <v>0</v>
      </c>
      <c r="L25" s="82">
        <f t="shared" ref="L25" si="118">$B23/24/$D26</f>
        <v>0</v>
      </c>
      <c r="M25" s="82">
        <f t="shared" ref="M25" si="119">$B23/24/$D26</f>
        <v>0</v>
      </c>
      <c r="N25" s="82">
        <f t="shared" ref="N25" si="120">$B23/24/$D26</f>
        <v>0</v>
      </c>
      <c r="O25" s="82">
        <f t="shared" ref="O25" si="121">$B23/24/$D26</f>
        <v>0</v>
      </c>
      <c r="P25" s="82">
        <f t="shared" ref="P25" si="122">$B23/24/$D26</f>
        <v>0</v>
      </c>
      <c r="Q25" s="82">
        <f t="shared" ref="Q25" si="123">$B23/24/$D26</f>
        <v>0</v>
      </c>
      <c r="R25" s="82">
        <f t="shared" ref="R25" si="124">$B23/24/$D26</f>
        <v>0</v>
      </c>
      <c r="S25" s="82">
        <f t="shared" ref="S25" si="125">$B23/24/$D26</f>
        <v>0</v>
      </c>
      <c r="T25" s="82">
        <f t="shared" ref="T25" si="126">$B23/24/$D26</f>
        <v>0</v>
      </c>
      <c r="U25" s="82">
        <f t="shared" ref="U25" si="127">$B23/24/$D26</f>
        <v>0</v>
      </c>
      <c r="V25" s="82">
        <f t="shared" ref="V25" si="128">$B23/24/$D26</f>
        <v>0</v>
      </c>
      <c r="W25" s="82">
        <f t="shared" ref="W25" si="129">$B23/24/$D26</f>
        <v>0</v>
      </c>
      <c r="X25" s="82">
        <f t="shared" ref="X25" si="130">$B23/24/$D26</f>
        <v>0</v>
      </c>
      <c r="Y25" s="82">
        <f t="shared" ref="Y25" si="131">$B23/24/$D26</f>
        <v>0</v>
      </c>
      <c r="Z25" s="82">
        <f t="shared" ref="Z25" si="132">$B23/24/$D26</f>
        <v>0</v>
      </c>
      <c r="AA25" s="82">
        <f t="shared" ref="AA25" si="133">$B23/24/$D26</f>
        <v>0</v>
      </c>
      <c r="AB25" s="82">
        <f t="shared" ref="AB25" si="134">$B23/24/$D26</f>
        <v>0</v>
      </c>
      <c r="AC25" s="91">
        <f t="shared" si="111"/>
        <v>0</v>
      </c>
      <c r="AD25" s="98"/>
      <c r="AE25" s="98"/>
      <c r="AF25" s="98" t="s">
        <v>73</v>
      </c>
      <c r="AG25" s="98">
        <v>4</v>
      </c>
    </row>
    <row r="26" spans="1:33" ht="14.5" thickBot="1" x14ac:dyDescent="0.3">
      <c r="A26" s="138"/>
      <c r="B26" s="142"/>
      <c r="C26" s="65" t="s">
        <v>27</v>
      </c>
      <c r="D26" s="66">
        <f t="shared" ref="D26" si="135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90">
        <f t="shared" ref="AC26" si="136">+SUM(AC23:AC25)</f>
        <v>0</v>
      </c>
      <c r="AD26" s="98"/>
      <c r="AE26" s="98"/>
      <c r="AF26" s="98"/>
      <c r="AG26" s="98"/>
    </row>
    <row r="27" spans="1:33" ht="14" x14ac:dyDescent="0.25">
      <c r="A27" s="137" t="str">
        <f>5&amp;"-"&amp;$D$6</f>
        <v>5-2023</v>
      </c>
      <c r="B27" s="139">
        <f>'Formato Resumen 23'!C20</f>
        <v>0</v>
      </c>
      <c r="C27" s="59" t="s">
        <v>40</v>
      </c>
      <c r="D27" s="60">
        <f>VLOOKUP(A27&amp;C27,calendario!I:L,4,0)</f>
        <v>23</v>
      </c>
      <c r="E27" s="77">
        <f>$B27/24/$D30</f>
        <v>0</v>
      </c>
      <c r="F27" s="77">
        <f t="shared" ref="F27:AB27" si="137">$B27/24/$D30</f>
        <v>0</v>
      </c>
      <c r="G27" s="77">
        <f t="shared" si="137"/>
        <v>0</v>
      </c>
      <c r="H27" s="77">
        <f t="shared" si="137"/>
        <v>0</v>
      </c>
      <c r="I27" s="77">
        <f t="shared" si="137"/>
        <v>0</v>
      </c>
      <c r="J27" s="77">
        <f t="shared" si="137"/>
        <v>0</v>
      </c>
      <c r="K27" s="77">
        <f t="shared" si="137"/>
        <v>0</v>
      </c>
      <c r="L27" s="77">
        <f t="shared" si="137"/>
        <v>0</v>
      </c>
      <c r="M27" s="77">
        <f t="shared" si="137"/>
        <v>0</v>
      </c>
      <c r="N27" s="77">
        <f t="shared" si="137"/>
        <v>0</v>
      </c>
      <c r="O27" s="77">
        <f t="shared" si="137"/>
        <v>0</v>
      </c>
      <c r="P27" s="77">
        <f t="shared" si="137"/>
        <v>0</v>
      </c>
      <c r="Q27" s="77">
        <f t="shared" si="137"/>
        <v>0</v>
      </c>
      <c r="R27" s="77">
        <f t="shared" si="137"/>
        <v>0</v>
      </c>
      <c r="S27" s="77">
        <f t="shared" si="137"/>
        <v>0</v>
      </c>
      <c r="T27" s="77">
        <f t="shared" si="137"/>
        <v>0</v>
      </c>
      <c r="U27" s="77">
        <f t="shared" si="137"/>
        <v>0</v>
      </c>
      <c r="V27" s="77">
        <f t="shared" si="137"/>
        <v>0</v>
      </c>
      <c r="W27" s="77">
        <f t="shared" si="137"/>
        <v>0</v>
      </c>
      <c r="X27" s="77">
        <f t="shared" si="137"/>
        <v>0</v>
      </c>
      <c r="Y27" s="77">
        <f t="shared" si="137"/>
        <v>0</v>
      </c>
      <c r="Z27" s="77">
        <f t="shared" si="137"/>
        <v>0</v>
      </c>
      <c r="AA27" s="77">
        <f t="shared" si="137"/>
        <v>0</v>
      </c>
      <c r="AB27" s="77">
        <f t="shared" si="137"/>
        <v>0</v>
      </c>
      <c r="AC27" s="89">
        <f t="shared" ref="AC27" si="138">+SUM(E27:AB27)*D27</f>
        <v>0</v>
      </c>
      <c r="AD27" s="98"/>
      <c r="AE27" s="98"/>
      <c r="AF27" s="98" t="s">
        <v>71</v>
      </c>
      <c r="AG27" s="98">
        <v>5</v>
      </c>
    </row>
    <row r="28" spans="1:33" ht="14" x14ac:dyDescent="0.25">
      <c r="A28" s="137"/>
      <c r="B28" s="139"/>
      <c r="C28" s="61" t="s">
        <v>41</v>
      </c>
      <c r="D28" s="62">
        <f>VLOOKUP(A27&amp;C28,calendario!I:L,4,0)</f>
        <v>4</v>
      </c>
      <c r="E28" s="79">
        <f>$B27/24/$D30</f>
        <v>0</v>
      </c>
      <c r="F28" s="79">
        <f t="shared" ref="F28" si="139">$B27/24/$D30</f>
        <v>0</v>
      </c>
      <c r="G28" s="79">
        <f t="shared" ref="G28" si="140">$B27/24/$D30</f>
        <v>0</v>
      </c>
      <c r="H28" s="79">
        <f t="shared" ref="H28" si="141">$B27/24/$D30</f>
        <v>0</v>
      </c>
      <c r="I28" s="79">
        <f t="shared" ref="I28" si="142">$B27/24/$D30</f>
        <v>0</v>
      </c>
      <c r="J28" s="79">
        <f t="shared" ref="J28" si="143">$B27/24/$D30</f>
        <v>0</v>
      </c>
      <c r="K28" s="79">
        <f t="shared" ref="K28" si="144">$B27/24/$D30</f>
        <v>0</v>
      </c>
      <c r="L28" s="79">
        <f t="shared" ref="L28" si="145">$B27/24/$D30</f>
        <v>0</v>
      </c>
      <c r="M28" s="79">
        <f t="shared" ref="M28" si="146">$B27/24/$D30</f>
        <v>0</v>
      </c>
      <c r="N28" s="79">
        <f t="shared" ref="N28" si="147">$B27/24/$D30</f>
        <v>0</v>
      </c>
      <c r="O28" s="79">
        <f t="shared" ref="O28" si="148">$B27/24/$D30</f>
        <v>0</v>
      </c>
      <c r="P28" s="79">
        <f t="shared" ref="P28" si="149">$B27/24/$D30</f>
        <v>0</v>
      </c>
      <c r="Q28" s="79">
        <f t="shared" ref="Q28" si="150">$B27/24/$D30</f>
        <v>0</v>
      </c>
      <c r="R28" s="79">
        <f t="shared" ref="R28" si="151">$B27/24/$D30</f>
        <v>0</v>
      </c>
      <c r="S28" s="79">
        <f t="shared" ref="S28" si="152">$B27/24/$D30</f>
        <v>0</v>
      </c>
      <c r="T28" s="79">
        <f t="shared" ref="T28" si="153">$B27/24/$D30</f>
        <v>0</v>
      </c>
      <c r="U28" s="79">
        <f t="shared" ref="U28" si="154">$B27/24/$D30</f>
        <v>0</v>
      </c>
      <c r="V28" s="79">
        <f t="shared" ref="V28" si="155">$B27/24/$D30</f>
        <v>0</v>
      </c>
      <c r="W28" s="79">
        <f t="shared" ref="W28" si="156">$B27/24/$D30</f>
        <v>0</v>
      </c>
      <c r="X28" s="79">
        <f t="shared" ref="X28" si="157">$B27/24/$D30</f>
        <v>0</v>
      </c>
      <c r="Y28" s="79">
        <f t="shared" ref="Y28" si="158">$B27/24/$D30</f>
        <v>0</v>
      </c>
      <c r="Z28" s="79">
        <f t="shared" ref="Z28" si="159">$B27/24/$D30</f>
        <v>0</v>
      </c>
      <c r="AA28" s="79">
        <f t="shared" ref="AA28" si="160">$B27/24/$D30</f>
        <v>0</v>
      </c>
      <c r="AB28" s="79">
        <f t="shared" ref="AB28" si="161">$B27/24/$D30</f>
        <v>0</v>
      </c>
      <c r="AC28" s="90">
        <f t="shared" ref="AC28:AC29" si="162">+SUM(E28:AB28)*D28</f>
        <v>0</v>
      </c>
      <c r="AD28" s="98"/>
      <c r="AE28" s="98"/>
      <c r="AF28" s="98" t="s">
        <v>72</v>
      </c>
      <c r="AG28" s="98">
        <v>5</v>
      </c>
    </row>
    <row r="29" spans="1:33" ht="14" x14ac:dyDescent="0.25">
      <c r="A29" s="137"/>
      <c r="B29" s="139"/>
      <c r="C29" s="63" t="s">
        <v>43</v>
      </c>
      <c r="D29" s="64">
        <f>VLOOKUP(A27&amp;C29,calendario!I:L,4,0)</f>
        <v>4</v>
      </c>
      <c r="E29" s="82">
        <f>$B27/24/$D30</f>
        <v>0</v>
      </c>
      <c r="F29" s="82">
        <f t="shared" ref="F29" si="163">$B27/24/$D30</f>
        <v>0</v>
      </c>
      <c r="G29" s="82">
        <f t="shared" ref="G29" si="164">$B27/24/$D30</f>
        <v>0</v>
      </c>
      <c r="H29" s="82">
        <f t="shared" ref="H29" si="165">$B27/24/$D30</f>
        <v>0</v>
      </c>
      <c r="I29" s="82">
        <f t="shared" ref="I29" si="166">$B27/24/$D30</f>
        <v>0</v>
      </c>
      <c r="J29" s="82">
        <f t="shared" ref="J29" si="167">$B27/24/$D30</f>
        <v>0</v>
      </c>
      <c r="K29" s="82">
        <f t="shared" ref="K29" si="168">$B27/24/$D30</f>
        <v>0</v>
      </c>
      <c r="L29" s="82">
        <f t="shared" ref="L29" si="169">$B27/24/$D30</f>
        <v>0</v>
      </c>
      <c r="M29" s="82">
        <f t="shared" ref="M29" si="170">$B27/24/$D30</f>
        <v>0</v>
      </c>
      <c r="N29" s="82">
        <f t="shared" ref="N29" si="171">$B27/24/$D30</f>
        <v>0</v>
      </c>
      <c r="O29" s="82">
        <f t="shared" ref="O29" si="172">$B27/24/$D30</f>
        <v>0</v>
      </c>
      <c r="P29" s="82">
        <f t="shared" ref="P29" si="173">$B27/24/$D30</f>
        <v>0</v>
      </c>
      <c r="Q29" s="82">
        <f t="shared" ref="Q29" si="174">$B27/24/$D30</f>
        <v>0</v>
      </c>
      <c r="R29" s="82">
        <f t="shared" ref="R29" si="175">$B27/24/$D30</f>
        <v>0</v>
      </c>
      <c r="S29" s="82">
        <f t="shared" ref="S29" si="176">$B27/24/$D30</f>
        <v>0</v>
      </c>
      <c r="T29" s="82">
        <f t="shared" ref="T29" si="177">$B27/24/$D30</f>
        <v>0</v>
      </c>
      <c r="U29" s="82">
        <f t="shared" ref="U29" si="178">$B27/24/$D30</f>
        <v>0</v>
      </c>
      <c r="V29" s="82">
        <f t="shared" ref="V29" si="179">$B27/24/$D30</f>
        <v>0</v>
      </c>
      <c r="W29" s="82">
        <f t="shared" ref="W29" si="180">$B27/24/$D30</f>
        <v>0</v>
      </c>
      <c r="X29" s="82">
        <f t="shared" ref="X29" si="181">$B27/24/$D30</f>
        <v>0</v>
      </c>
      <c r="Y29" s="82">
        <f t="shared" ref="Y29" si="182">$B27/24/$D30</f>
        <v>0</v>
      </c>
      <c r="Z29" s="82">
        <f t="shared" ref="Z29" si="183">$B27/24/$D30</f>
        <v>0</v>
      </c>
      <c r="AA29" s="82">
        <f t="shared" ref="AA29" si="184">$B27/24/$D30</f>
        <v>0</v>
      </c>
      <c r="AB29" s="82">
        <f t="shared" ref="AB29" si="185">$B27/24/$D30</f>
        <v>0</v>
      </c>
      <c r="AC29" s="91">
        <f t="shared" si="162"/>
        <v>0</v>
      </c>
      <c r="AD29" s="98"/>
      <c r="AE29" s="98"/>
      <c r="AF29" s="98" t="s">
        <v>73</v>
      </c>
      <c r="AG29" s="98">
        <v>5</v>
      </c>
    </row>
    <row r="30" spans="1:33" ht="14.5" thickBot="1" x14ac:dyDescent="0.3">
      <c r="A30" s="138"/>
      <c r="B30" s="142"/>
      <c r="C30" s="65" t="s">
        <v>27</v>
      </c>
      <c r="D30" s="66">
        <f t="shared" ref="D30" si="18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90">
        <f t="shared" ref="AC30" si="187">+SUM(AC27:AC29)</f>
        <v>0</v>
      </c>
      <c r="AD30" s="98"/>
      <c r="AE30" s="98"/>
      <c r="AF30" s="98"/>
      <c r="AG30" s="98"/>
    </row>
    <row r="31" spans="1:33" ht="14" x14ac:dyDescent="0.25">
      <c r="A31" s="137" t="str">
        <f>6&amp;"-"&amp;$D$6</f>
        <v>6-2023</v>
      </c>
      <c r="B31" s="139">
        <f>'Formato Resumen 23'!C21</f>
        <v>0</v>
      </c>
      <c r="C31" s="59" t="s">
        <v>40</v>
      </c>
      <c r="D31" s="60">
        <f>VLOOKUP(A31&amp;C31,calendario!I:L,4,0)</f>
        <v>22</v>
      </c>
      <c r="E31" s="77">
        <f>$B31/24/$D34</f>
        <v>0</v>
      </c>
      <c r="F31" s="77">
        <f t="shared" ref="F31:AB31" si="188">$B31/24/$D34</f>
        <v>0</v>
      </c>
      <c r="G31" s="77">
        <f t="shared" si="188"/>
        <v>0</v>
      </c>
      <c r="H31" s="77">
        <f t="shared" si="188"/>
        <v>0</v>
      </c>
      <c r="I31" s="77">
        <f t="shared" si="188"/>
        <v>0</v>
      </c>
      <c r="J31" s="77">
        <f t="shared" si="188"/>
        <v>0</v>
      </c>
      <c r="K31" s="77">
        <f t="shared" si="188"/>
        <v>0</v>
      </c>
      <c r="L31" s="77">
        <f t="shared" si="188"/>
        <v>0</v>
      </c>
      <c r="M31" s="77">
        <f t="shared" si="188"/>
        <v>0</v>
      </c>
      <c r="N31" s="77">
        <f t="shared" si="188"/>
        <v>0</v>
      </c>
      <c r="O31" s="77">
        <f t="shared" si="188"/>
        <v>0</v>
      </c>
      <c r="P31" s="77">
        <f t="shared" si="188"/>
        <v>0</v>
      </c>
      <c r="Q31" s="77">
        <f t="shared" si="188"/>
        <v>0</v>
      </c>
      <c r="R31" s="77">
        <f t="shared" si="188"/>
        <v>0</v>
      </c>
      <c r="S31" s="77">
        <f t="shared" si="188"/>
        <v>0</v>
      </c>
      <c r="T31" s="77">
        <f t="shared" si="188"/>
        <v>0</v>
      </c>
      <c r="U31" s="77">
        <f t="shared" si="188"/>
        <v>0</v>
      </c>
      <c r="V31" s="77">
        <f t="shared" si="188"/>
        <v>0</v>
      </c>
      <c r="W31" s="77">
        <f t="shared" si="188"/>
        <v>0</v>
      </c>
      <c r="X31" s="77">
        <f t="shared" si="188"/>
        <v>0</v>
      </c>
      <c r="Y31" s="77">
        <f t="shared" si="188"/>
        <v>0</v>
      </c>
      <c r="Z31" s="77">
        <f t="shared" si="188"/>
        <v>0</v>
      </c>
      <c r="AA31" s="77">
        <f t="shared" si="188"/>
        <v>0</v>
      </c>
      <c r="AB31" s="77">
        <f t="shared" si="188"/>
        <v>0</v>
      </c>
      <c r="AC31" s="89">
        <f t="shared" ref="AC31" si="189">+SUM(E31:AB31)*D31</f>
        <v>0</v>
      </c>
      <c r="AD31" s="98"/>
      <c r="AE31" s="98"/>
      <c r="AF31" s="98" t="s">
        <v>71</v>
      </c>
      <c r="AG31" s="98">
        <v>6</v>
      </c>
    </row>
    <row r="32" spans="1:33" ht="14" x14ac:dyDescent="0.25">
      <c r="A32" s="137"/>
      <c r="B32" s="139"/>
      <c r="C32" s="61" t="s">
        <v>41</v>
      </c>
      <c r="D32" s="62">
        <f>VLOOKUP(A31&amp;C32,calendario!I:L,4,0)</f>
        <v>4</v>
      </c>
      <c r="E32" s="79">
        <f>$B31/24/$D34</f>
        <v>0</v>
      </c>
      <c r="F32" s="79">
        <f t="shared" ref="F32" si="190">$B31/24/$D34</f>
        <v>0</v>
      </c>
      <c r="G32" s="79">
        <f t="shared" ref="G32" si="191">$B31/24/$D34</f>
        <v>0</v>
      </c>
      <c r="H32" s="79">
        <f t="shared" ref="H32" si="192">$B31/24/$D34</f>
        <v>0</v>
      </c>
      <c r="I32" s="79">
        <f t="shared" ref="I32" si="193">$B31/24/$D34</f>
        <v>0</v>
      </c>
      <c r="J32" s="79">
        <f t="shared" ref="J32" si="194">$B31/24/$D34</f>
        <v>0</v>
      </c>
      <c r="K32" s="79">
        <f t="shared" ref="K32" si="195">$B31/24/$D34</f>
        <v>0</v>
      </c>
      <c r="L32" s="79">
        <f t="shared" ref="L32" si="196">$B31/24/$D34</f>
        <v>0</v>
      </c>
      <c r="M32" s="79">
        <f t="shared" ref="M32" si="197">$B31/24/$D34</f>
        <v>0</v>
      </c>
      <c r="N32" s="79">
        <f t="shared" ref="N32" si="198">$B31/24/$D34</f>
        <v>0</v>
      </c>
      <c r="O32" s="79">
        <f t="shared" ref="O32" si="199">$B31/24/$D34</f>
        <v>0</v>
      </c>
      <c r="P32" s="79">
        <f t="shared" ref="P32" si="200">$B31/24/$D34</f>
        <v>0</v>
      </c>
      <c r="Q32" s="79">
        <f t="shared" ref="Q32" si="201">$B31/24/$D34</f>
        <v>0</v>
      </c>
      <c r="R32" s="79">
        <f t="shared" ref="R32" si="202">$B31/24/$D34</f>
        <v>0</v>
      </c>
      <c r="S32" s="79">
        <f t="shared" ref="S32" si="203">$B31/24/$D34</f>
        <v>0</v>
      </c>
      <c r="T32" s="79">
        <f t="shared" ref="T32" si="204">$B31/24/$D34</f>
        <v>0</v>
      </c>
      <c r="U32" s="79">
        <f t="shared" ref="U32" si="205">$B31/24/$D34</f>
        <v>0</v>
      </c>
      <c r="V32" s="79">
        <f t="shared" ref="V32" si="206">$B31/24/$D34</f>
        <v>0</v>
      </c>
      <c r="W32" s="79">
        <f t="shared" ref="W32" si="207">$B31/24/$D34</f>
        <v>0</v>
      </c>
      <c r="X32" s="79">
        <f t="shared" ref="X32" si="208">$B31/24/$D34</f>
        <v>0</v>
      </c>
      <c r="Y32" s="79">
        <f t="shared" ref="Y32" si="209">$B31/24/$D34</f>
        <v>0</v>
      </c>
      <c r="Z32" s="79">
        <f t="shared" ref="Z32" si="210">$B31/24/$D34</f>
        <v>0</v>
      </c>
      <c r="AA32" s="79">
        <f t="shared" ref="AA32" si="211">$B31/24/$D34</f>
        <v>0</v>
      </c>
      <c r="AB32" s="79">
        <f t="shared" ref="AB32" si="212">$B31/24/$D34</f>
        <v>0</v>
      </c>
      <c r="AC32" s="90">
        <f t="shared" ref="AC32:AC33" si="213">+SUM(E32:AB32)*D32</f>
        <v>0</v>
      </c>
      <c r="AD32" s="98"/>
      <c r="AE32" s="98"/>
      <c r="AF32" s="98" t="s">
        <v>72</v>
      </c>
      <c r="AG32" s="98">
        <v>6</v>
      </c>
    </row>
    <row r="33" spans="1:33" ht="14" x14ac:dyDescent="0.25">
      <c r="A33" s="137"/>
      <c r="B33" s="139"/>
      <c r="C33" s="63" t="s">
        <v>43</v>
      </c>
      <c r="D33" s="64">
        <f>VLOOKUP(A31&amp;C33,calendario!I:L,4,0)</f>
        <v>4</v>
      </c>
      <c r="E33" s="82">
        <f>$B31/24/$D34</f>
        <v>0</v>
      </c>
      <c r="F33" s="82">
        <f t="shared" ref="F33" si="214">$B31/24/$D34</f>
        <v>0</v>
      </c>
      <c r="G33" s="82">
        <f t="shared" ref="G33" si="215">$B31/24/$D34</f>
        <v>0</v>
      </c>
      <c r="H33" s="82">
        <f t="shared" ref="H33" si="216">$B31/24/$D34</f>
        <v>0</v>
      </c>
      <c r="I33" s="82">
        <f t="shared" ref="I33" si="217">$B31/24/$D34</f>
        <v>0</v>
      </c>
      <c r="J33" s="82">
        <f t="shared" ref="J33" si="218">$B31/24/$D34</f>
        <v>0</v>
      </c>
      <c r="K33" s="82">
        <f t="shared" ref="K33" si="219">$B31/24/$D34</f>
        <v>0</v>
      </c>
      <c r="L33" s="82">
        <f t="shared" ref="L33" si="220">$B31/24/$D34</f>
        <v>0</v>
      </c>
      <c r="M33" s="82">
        <f t="shared" ref="M33" si="221">$B31/24/$D34</f>
        <v>0</v>
      </c>
      <c r="N33" s="82">
        <f t="shared" ref="N33" si="222">$B31/24/$D34</f>
        <v>0</v>
      </c>
      <c r="O33" s="82">
        <f t="shared" ref="O33" si="223">$B31/24/$D34</f>
        <v>0</v>
      </c>
      <c r="P33" s="82">
        <f t="shared" ref="P33" si="224">$B31/24/$D34</f>
        <v>0</v>
      </c>
      <c r="Q33" s="82">
        <f t="shared" ref="Q33" si="225">$B31/24/$D34</f>
        <v>0</v>
      </c>
      <c r="R33" s="82">
        <f t="shared" ref="R33" si="226">$B31/24/$D34</f>
        <v>0</v>
      </c>
      <c r="S33" s="82">
        <f t="shared" ref="S33" si="227">$B31/24/$D34</f>
        <v>0</v>
      </c>
      <c r="T33" s="82">
        <f t="shared" ref="T33" si="228">$B31/24/$D34</f>
        <v>0</v>
      </c>
      <c r="U33" s="82">
        <f t="shared" ref="U33" si="229">$B31/24/$D34</f>
        <v>0</v>
      </c>
      <c r="V33" s="82">
        <f t="shared" ref="V33" si="230">$B31/24/$D34</f>
        <v>0</v>
      </c>
      <c r="W33" s="82">
        <f t="shared" ref="W33" si="231">$B31/24/$D34</f>
        <v>0</v>
      </c>
      <c r="X33" s="82">
        <f t="shared" ref="X33" si="232">$B31/24/$D34</f>
        <v>0</v>
      </c>
      <c r="Y33" s="82">
        <f t="shared" ref="Y33" si="233">$B31/24/$D34</f>
        <v>0</v>
      </c>
      <c r="Z33" s="82">
        <f t="shared" ref="Z33" si="234">$B31/24/$D34</f>
        <v>0</v>
      </c>
      <c r="AA33" s="82">
        <f t="shared" ref="AA33" si="235">$B31/24/$D34</f>
        <v>0</v>
      </c>
      <c r="AB33" s="82">
        <f t="shared" ref="AB33" si="236">$B31/24/$D34</f>
        <v>0</v>
      </c>
      <c r="AC33" s="91">
        <f t="shared" si="213"/>
        <v>0</v>
      </c>
      <c r="AD33" s="98"/>
      <c r="AE33" s="98"/>
      <c r="AF33" s="98" t="s">
        <v>73</v>
      </c>
      <c r="AG33" s="98">
        <v>6</v>
      </c>
    </row>
    <row r="34" spans="1:33" ht="14.5" thickBot="1" x14ac:dyDescent="0.3">
      <c r="A34" s="138"/>
      <c r="B34" s="142"/>
      <c r="C34" s="65" t="s">
        <v>27</v>
      </c>
      <c r="D34" s="66">
        <f t="shared" ref="D34" si="2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90">
        <f t="shared" ref="AC34" si="238">+SUM(AC31:AC33)</f>
        <v>0</v>
      </c>
      <c r="AD34" s="98"/>
      <c r="AE34" s="98"/>
      <c r="AF34" s="98"/>
      <c r="AG34" s="98"/>
    </row>
    <row r="35" spans="1:33" ht="14" x14ac:dyDescent="0.25">
      <c r="A35" s="137" t="str">
        <f>7&amp;"-"&amp;$D$6</f>
        <v>7-2023</v>
      </c>
      <c r="B35" s="139">
        <f>'Formato Resumen 23'!C22</f>
        <v>0</v>
      </c>
      <c r="C35" s="59" t="s">
        <v>40</v>
      </c>
      <c r="D35" s="60">
        <f>VLOOKUP(A35&amp;C35,calendario!I:L,4,0)</f>
        <v>21</v>
      </c>
      <c r="E35" s="77">
        <f>$B35/24/$D38</f>
        <v>0</v>
      </c>
      <c r="F35" s="77">
        <f t="shared" ref="F35:AB35" si="239">$B35/24/$D38</f>
        <v>0</v>
      </c>
      <c r="G35" s="77">
        <f t="shared" si="239"/>
        <v>0</v>
      </c>
      <c r="H35" s="77">
        <f t="shared" si="239"/>
        <v>0</v>
      </c>
      <c r="I35" s="77">
        <f t="shared" si="239"/>
        <v>0</v>
      </c>
      <c r="J35" s="77">
        <f t="shared" si="239"/>
        <v>0</v>
      </c>
      <c r="K35" s="77">
        <f t="shared" si="239"/>
        <v>0</v>
      </c>
      <c r="L35" s="77">
        <f t="shared" si="239"/>
        <v>0</v>
      </c>
      <c r="M35" s="77">
        <f t="shared" si="239"/>
        <v>0</v>
      </c>
      <c r="N35" s="77">
        <f t="shared" si="239"/>
        <v>0</v>
      </c>
      <c r="O35" s="77">
        <f t="shared" si="239"/>
        <v>0</v>
      </c>
      <c r="P35" s="77">
        <f t="shared" si="239"/>
        <v>0</v>
      </c>
      <c r="Q35" s="77">
        <f t="shared" si="239"/>
        <v>0</v>
      </c>
      <c r="R35" s="77">
        <f t="shared" si="239"/>
        <v>0</v>
      </c>
      <c r="S35" s="77">
        <f t="shared" si="239"/>
        <v>0</v>
      </c>
      <c r="T35" s="77">
        <f t="shared" si="239"/>
        <v>0</v>
      </c>
      <c r="U35" s="77">
        <f t="shared" si="239"/>
        <v>0</v>
      </c>
      <c r="V35" s="77">
        <f t="shared" si="239"/>
        <v>0</v>
      </c>
      <c r="W35" s="77">
        <f t="shared" si="239"/>
        <v>0</v>
      </c>
      <c r="X35" s="77">
        <f t="shared" si="239"/>
        <v>0</v>
      </c>
      <c r="Y35" s="77">
        <f t="shared" si="239"/>
        <v>0</v>
      </c>
      <c r="Z35" s="77">
        <f t="shared" si="239"/>
        <v>0</v>
      </c>
      <c r="AA35" s="77">
        <f t="shared" si="239"/>
        <v>0</v>
      </c>
      <c r="AB35" s="77">
        <f t="shared" si="239"/>
        <v>0</v>
      </c>
      <c r="AC35" s="89">
        <f t="shared" ref="AC35" si="240">+SUM(E35:AB35)*D35</f>
        <v>0</v>
      </c>
      <c r="AD35" s="98"/>
      <c r="AE35" s="98"/>
      <c r="AF35" s="98" t="s">
        <v>71</v>
      </c>
      <c r="AG35" s="98">
        <v>7</v>
      </c>
    </row>
    <row r="36" spans="1:33" ht="14" x14ac:dyDescent="0.25">
      <c r="A36" s="137"/>
      <c r="B36" s="139"/>
      <c r="C36" s="61" t="s">
        <v>41</v>
      </c>
      <c r="D36" s="62">
        <f>VLOOKUP(A35&amp;C36,calendario!I:L,4,0)</f>
        <v>5</v>
      </c>
      <c r="E36" s="79">
        <f>$B35/24/$D38</f>
        <v>0</v>
      </c>
      <c r="F36" s="79">
        <f t="shared" ref="F36" si="241">$B35/24/$D38</f>
        <v>0</v>
      </c>
      <c r="G36" s="79">
        <f t="shared" ref="G36" si="242">$B35/24/$D38</f>
        <v>0</v>
      </c>
      <c r="H36" s="79">
        <f t="shared" ref="H36" si="243">$B35/24/$D38</f>
        <v>0</v>
      </c>
      <c r="I36" s="79">
        <f t="shared" ref="I36" si="244">$B35/24/$D38</f>
        <v>0</v>
      </c>
      <c r="J36" s="79">
        <f t="shared" ref="J36" si="245">$B35/24/$D38</f>
        <v>0</v>
      </c>
      <c r="K36" s="79">
        <f t="shared" ref="K36" si="246">$B35/24/$D38</f>
        <v>0</v>
      </c>
      <c r="L36" s="79">
        <f t="shared" ref="L36" si="247">$B35/24/$D38</f>
        <v>0</v>
      </c>
      <c r="M36" s="79">
        <f t="shared" ref="M36" si="248">$B35/24/$D38</f>
        <v>0</v>
      </c>
      <c r="N36" s="79">
        <f t="shared" ref="N36" si="249">$B35/24/$D38</f>
        <v>0</v>
      </c>
      <c r="O36" s="79">
        <f t="shared" ref="O36" si="250">$B35/24/$D38</f>
        <v>0</v>
      </c>
      <c r="P36" s="79">
        <f t="shared" ref="P36" si="251">$B35/24/$D38</f>
        <v>0</v>
      </c>
      <c r="Q36" s="79">
        <f t="shared" ref="Q36" si="252">$B35/24/$D38</f>
        <v>0</v>
      </c>
      <c r="R36" s="79">
        <f t="shared" ref="R36" si="253">$B35/24/$D38</f>
        <v>0</v>
      </c>
      <c r="S36" s="79">
        <f t="shared" ref="S36" si="254">$B35/24/$D38</f>
        <v>0</v>
      </c>
      <c r="T36" s="79">
        <f t="shared" ref="T36" si="255">$B35/24/$D38</f>
        <v>0</v>
      </c>
      <c r="U36" s="79">
        <f t="shared" ref="U36" si="256">$B35/24/$D38</f>
        <v>0</v>
      </c>
      <c r="V36" s="79">
        <f t="shared" ref="V36" si="257">$B35/24/$D38</f>
        <v>0</v>
      </c>
      <c r="W36" s="79">
        <f t="shared" ref="W36" si="258">$B35/24/$D38</f>
        <v>0</v>
      </c>
      <c r="X36" s="79">
        <f t="shared" ref="X36" si="259">$B35/24/$D38</f>
        <v>0</v>
      </c>
      <c r="Y36" s="79">
        <f t="shared" ref="Y36" si="260">$B35/24/$D38</f>
        <v>0</v>
      </c>
      <c r="Z36" s="79">
        <f t="shared" ref="Z36" si="261">$B35/24/$D38</f>
        <v>0</v>
      </c>
      <c r="AA36" s="79">
        <f t="shared" ref="AA36" si="262">$B35/24/$D38</f>
        <v>0</v>
      </c>
      <c r="AB36" s="79">
        <f t="shared" ref="AB36" si="263">$B35/24/$D38</f>
        <v>0</v>
      </c>
      <c r="AC36" s="90">
        <f t="shared" ref="AC36:AC37" si="264">+SUM(E36:AB36)*D36</f>
        <v>0</v>
      </c>
      <c r="AD36" s="98"/>
      <c r="AE36" s="98"/>
      <c r="AF36" s="98" t="s">
        <v>72</v>
      </c>
      <c r="AG36" s="98">
        <v>7</v>
      </c>
    </row>
    <row r="37" spans="1:33" ht="14" x14ac:dyDescent="0.25">
      <c r="A37" s="137"/>
      <c r="B37" s="139"/>
      <c r="C37" s="63" t="s">
        <v>43</v>
      </c>
      <c r="D37" s="64">
        <f>VLOOKUP(A35&amp;C37,calendario!I:L,4,0)</f>
        <v>5</v>
      </c>
      <c r="E37" s="82">
        <f>$B35/24/$D38</f>
        <v>0</v>
      </c>
      <c r="F37" s="82">
        <f t="shared" ref="F37" si="265">$B35/24/$D38</f>
        <v>0</v>
      </c>
      <c r="G37" s="82">
        <f t="shared" ref="G37" si="266">$B35/24/$D38</f>
        <v>0</v>
      </c>
      <c r="H37" s="82">
        <f t="shared" ref="H37" si="267">$B35/24/$D38</f>
        <v>0</v>
      </c>
      <c r="I37" s="82">
        <f t="shared" ref="I37" si="268">$B35/24/$D38</f>
        <v>0</v>
      </c>
      <c r="J37" s="82">
        <f t="shared" ref="J37" si="269">$B35/24/$D38</f>
        <v>0</v>
      </c>
      <c r="K37" s="82">
        <f t="shared" ref="K37" si="270">$B35/24/$D38</f>
        <v>0</v>
      </c>
      <c r="L37" s="82">
        <f t="shared" ref="L37" si="271">$B35/24/$D38</f>
        <v>0</v>
      </c>
      <c r="M37" s="82">
        <f t="shared" ref="M37" si="272">$B35/24/$D38</f>
        <v>0</v>
      </c>
      <c r="N37" s="82">
        <f t="shared" ref="N37" si="273">$B35/24/$D38</f>
        <v>0</v>
      </c>
      <c r="O37" s="82">
        <f t="shared" ref="O37" si="274">$B35/24/$D38</f>
        <v>0</v>
      </c>
      <c r="P37" s="82">
        <f t="shared" ref="P37" si="275">$B35/24/$D38</f>
        <v>0</v>
      </c>
      <c r="Q37" s="82">
        <f t="shared" ref="Q37" si="276">$B35/24/$D38</f>
        <v>0</v>
      </c>
      <c r="R37" s="82">
        <f t="shared" ref="R37" si="277">$B35/24/$D38</f>
        <v>0</v>
      </c>
      <c r="S37" s="82">
        <f t="shared" ref="S37" si="278">$B35/24/$D38</f>
        <v>0</v>
      </c>
      <c r="T37" s="82">
        <f t="shared" ref="T37" si="279">$B35/24/$D38</f>
        <v>0</v>
      </c>
      <c r="U37" s="82">
        <f t="shared" ref="U37" si="280">$B35/24/$D38</f>
        <v>0</v>
      </c>
      <c r="V37" s="82">
        <f t="shared" ref="V37" si="281">$B35/24/$D38</f>
        <v>0</v>
      </c>
      <c r="W37" s="82">
        <f t="shared" ref="W37" si="282">$B35/24/$D38</f>
        <v>0</v>
      </c>
      <c r="X37" s="82">
        <f t="shared" ref="X37" si="283">$B35/24/$D38</f>
        <v>0</v>
      </c>
      <c r="Y37" s="82">
        <f t="shared" ref="Y37" si="284">$B35/24/$D38</f>
        <v>0</v>
      </c>
      <c r="Z37" s="82">
        <f t="shared" ref="Z37" si="285">$B35/24/$D38</f>
        <v>0</v>
      </c>
      <c r="AA37" s="82">
        <f t="shared" ref="AA37" si="286">$B35/24/$D38</f>
        <v>0</v>
      </c>
      <c r="AB37" s="82">
        <f t="shared" ref="AB37" si="287">$B35/24/$D38</f>
        <v>0</v>
      </c>
      <c r="AC37" s="91">
        <f t="shared" si="264"/>
        <v>0</v>
      </c>
      <c r="AD37" s="98"/>
      <c r="AE37" s="98"/>
      <c r="AF37" s="98" t="s">
        <v>73</v>
      </c>
      <c r="AG37" s="98">
        <v>7</v>
      </c>
    </row>
    <row r="38" spans="1:33" ht="14.5" thickBot="1" x14ac:dyDescent="0.3">
      <c r="A38" s="138"/>
      <c r="B38" s="142"/>
      <c r="C38" s="65" t="s">
        <v>27</v>
      </c>
      <c r="D38" s="66">
        <f t="shared" ref="D38" si="28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90">
        <f t="shared" ref="AC38" si="289">+SUM(AC35:AC37)</f>
        <v>0</v>
      </c>
      <c r="AD38" s="98"/>
      <c r="AE38" s="98"/>
      <c r="AF38" s="98"/>
      <c r="AG38" s="98"/>
    </row>
    <row r="39" spans="1:33" ht="14" x14ac:dyDescent="0.25">
      <c r="A39" s="137" t="str">
        <f>8&amp;"-"&amp;$D$6</f>
        <v>8-2023</v>
      </c>
      <c r="B39" s="139">
        <f>'Formato Resumen 23'!C23</f>
        <v>0</v>
      </c>
      <c r="C39" s="59" t="s">
        <v>40</v>
      </c>
      <c r="D39" s="60">
        <f>VLOOKUP(A39&amp;C39,calendario!I:L,4,0)</f>
        <v>23</v>
      </c>
      <c r="E39" s="77">
        <f>$B39/24/$D42</f>
        <v>0</v>
      </c>
      <c r="F39" s="77">
        <f t="shared" ref="F39:AB39" si="290">$B39/24/$D42</f>
        <v>0</v>
      </c>
      <c r="G39" s="77">
        <f t="shared" si="290"/>
        <v>0</v>
      </c>
      <c r="H39" s="77">
        <f t="shared" si="290"/>
        <v>0</v>
      </c>
      <c r="I39" s="77">
        <f t="shared" si="290"/>
        <v>0</v>
      </c>
      <c r="J39" s="77">
        <f t="shared" si="290"/>
        <v>0</v>
      </c>
      <c r="K39" s="77">
        <f t="shared" si="290"/>
        <v>0</v>
      </c>
      <c r="L39" s="77">
        <f t="shared" si="290"/>
        <v>0</v>
      </c>
      <c r="M39" s="77">
        <f t="shared" si="290"/>
        <v>0</v>
      </c>
      <c r="N39" s="77">
        <f t="shared" si="290"/>
        <v>0</v>
      </c>
      <c r="O39" s="77">
        <f t="shared" si="290"/>
        <v>0</v>
      </c>
      <c r="P39" s="77">
        <f t="shared" si="290"/>
        <v>0</v>
      </c>
      <c r="Q39" s="77">
        <f t="shared" si="290"/>
        <v>0</v>
      </c>
      <c r="R39" s="77">
        <f t="shared" si="290"/>
        <v>0</v>
      </c>
      <c r="S39" s="77">
        <f t="shared" si="290"/>
        <v>0</v>
      </c>
      <c r="T39" s="77">
        <f t="shared" si="290"/>
        <v>0</v>
      </c>
      <c r="U39" s="77">
        <f t="shared" si="290"/>
        <v>0</v>
      </c>
      <c r="V39" s="77">
        <f t="shared" si="290"/>
        <v>0</v>
      </c>
      <c r="W39" s="77">
        <f t="shared" si="290"/>
        <v>0</v>
      </c>
      <c r="X39" s="77">
        <f t="shared" si="290"/>
        <v>0</v>
      </c>
      <c r="Y39" s="77">
        <f t="shared" si="290"/>
        <v>0</v>
      </c>
      <c r="Z39" s="77">
        <f t="shared" si="290"/>
        <v>0</v>
      </c>
      <c r="AA39" s="77">
        <f t="shared" si="290"/>
        <v>0</v>
      </c>
      <c r="AB39" s="77">
        <f t="shared" si="290"/>
        <v>0</v>
      </c>
      <c r="AC39" s="89">
        <f t="shared" ref="AC39" si="291">+SUM(E39:AB39)*D39</f>
        <v>0</v>
      </c>
      <c r="AD39" s="98"/>
      <c r="AE39" s="98"/>
      <c r="AF39" s="98" t="s">
        <v>71</v>
      </c>
      <c r="AG39" s="98">
        <v>8</v>
      </c>
    </row>
    <row r="40" spans="1:33" ht="14" x14ac:dyDescent="0.25">
      <c r="A40" s="137"/>
      <c r="B40" s="139"/>
      <c r="C40" s="61" t="s">
        <v>41</v>
      </c>
      <c r="D40" s="62">
        <f>VLOOKUP(A39&amp;C40,calendario!I:L,4,0)</f>
        <v>4</v>
      </c>
      <c r="E40" s="79">
        <f>$B39/24/$D42</f>
        <v>0</v>
      </c>
      <c r="F40" s="79">
        <f t="shared" ref="F40" si="292">$B39/24/$D42</f>
        <v>0</v>
      </c>
      <c r="G40" s="79">
        <f t="shared" ref="G40" si="293">$B39/24/$D42</f>
        <v>0</v>
      </c>
      <c r="H40" s="79">
        <f t="shared" ref="H40" si="294">$B39/24/$D42</f>
        <v>0</v>
      </c>
      <c r="I40" s="79">
        <f t="shared" ref="I40" si="295">$B39/24/$D42</f>
        <v>0</v>
      </c>
      <c r="J40" s="79">
        <f t="shared" ref="J40" si="296">$B39/24/$D42</f>
        <v>0</v>
      </c>
      <c r="K40" s="79">
        <f t="shared" ref="K40" si="297">$B39/24/$D42</f>
        <v>0</v>
      </c>
      <c r="L40" s="79">
        <f t="shared" ref="L40" si="298">$B39/24/$D42</f>
        <v>0</v>
      </c>
      <c r="M40" s="79">
        <f t="shared" ref="M40" si="299">$B39/24/$D42</f>
        <v>0</v>
      </c>
      <c r="N40" s="79">
        <f t="shared" ref="N40" si="300">$B39/24/$D42</f>
        <v>0</v>
      </c>
      <c r="O40" s="79">
        <f t="shared" ref="O40" si="301">$B39/24/$D42</f>
        <v>0</v>
      </c>
      <c r="P40" s="79">
        <f t="shared" ref="P40" si="302">$B39/24/$D42</f>
        <v>0</v>
      </c>
      <c r="Q40" s="79">
        <f t="shared" ref="Q40" si="303">$B39/24/$D42</f>
        <v>0</v>
      </c>
      <c r="R40" s="79">
        <f t="shared" ref="R40" si="304">$B39/24/$D42</f>
        <v>0</v>
      </c>
      <c r="S40" s="79">
        <f t="shared" ref="S40" si="305">$B39/24/$D42</f>
        <v>0</v>
      </c>
      <c r="T40" s="79">
        <f t="shared" ref="T40" si="306">$B39/24/$D42</f>
        <v>0</v>
      </c>
      <c r="U40" s="79">
        <f t="shared" ref="U40" si="307">$B39/24/$D42</f>
        <v>0</v>
      </c>
      <c r="V40" s="79">
        <f t="shared" ref="V40" si="308">$B39/24/$D42</f>
        <v>0</v>
      </c>
      <c r="W40" s="79">
        <f t="shared" ref="W40" si="309">$B39/24/$D42</f>
        <v>0</v>
      </c>
      <c r="X40" s="79">
        <f t="shared" ref="X40" si="310">$B39/24/$D42</f>
        <v>0</v>
      </c>
      <c r="Y40" s="79">
        <f t="shared" ref="Y40" si="311">$B39/24/$D42</f>
        <v>0</v>
      </c>
      <c r="Z40" s="79">
        <f t="shared" ref="Z40" si="312">$B39/24/$D42</f>
        <v>0</v>
      </c>
      <c r="AA40" s="79">
        <f t="shared" ref="AA40" si="313">$B39/24/$D42</f>
        <v>0</v>
      </c>
      <c r="AB40" s="79">
        <f t="shared" ref="AB40" si="314">$B39/24/$D42</f>
        <v>0</v>
      </c>
      <c r="AC40" s="90">
        <f t="shared" ref="AC40:AC41" si="315">+SUM(E40:AB40)*D40</f>
        <v>0</v>
      </c>
      <c r="AD40" s="98"/>
      <c r="AE40" s="98"/>
      <c r="AF40" s="98" t="s">
        <v>72</v>
      </c>
      <c r="AG40" s="98">
        <v>8</v>
      </c>
    </row>
    <row r="41" spans="1:33" ht="14" x14ac:dyDescent="0.25">
      <c r="A41" s="137"/>
      <c r="B41" s="139"/>
      <c r="C41" s="63" t="s">
        <v>43</v>
      </c>
      <c r="D41" s="64">
        <f>VLOOKUP(A39&amp;C41,calendario!I:L,4,0)</f>
        <v>4</v>
      </c>
      <c r="E41" s="82">
        <f>$B39/24/$D42</f>
        <v>0</v>
      </c>
      <c r="F41" s="82">
        <f t="shared" ref="F41" si="316">$B39/24/$D42</f>
        <v>0</v>
      </c>
      <c r="G41" s="82">
        <f t="shared" ref="G41" si="317">$B39/24/$D42</f>
        <v>0</v>
      </c>
      <c r="H41" s="82">
        <f t="shared" ref="H41" si="318">$B39/24/$D42</f>
        <v>0</v>
      </c>
      <c r="I41" s="82">
        <f t="shared" ref="I41" si="319">$B39/24/$D42</f>
        <v>0</v>
      </c>
      <c r="J41" s="82">
        <f t="shared" ref="J41" si="320">$B39/24/$D42</f>
        <v>0</v>
      </c>
      <c r="K41" s="82">
        <f t="shared" ref="K41" si="321">$B39/24/$D42</f>
        <v>0</v>
      </c>
      <c r="L41" s="82">
        <f t="shared" ref="L41" si="322">$B39/24/$D42</f>
        <v>0</v>
      </c>
      <c r="M41" s="82">
        <f t="shared" ref="M41" si="323">$B39/24/$D42</f>
        <v>0</v>
      </c>
      <c r="N41" s="82">
        <f t="shared" ref="N41" si="324">$B39/24/$D42</f>
        <v>0</v>
      </c>
      <c r="O41" s="82">
        <f t="shared" ref="O41" si="325">$B39/24/$D42</f>
        <v>0</v>
      </c>
      <c r="P41" s="82">
        <f t="shared" ref="P41" si="326">$B39/24/$D42</f>
        <v>0</v>
      </c>
      <c r="Q41" s="82">
        <f t="shared" ref="Q41" si="327">$B39/24/$D42</f>
        <v>0</v>
      </c>
      <c r="R41" s="82">
        <f t="shared" ref="R41" si="328">$B39/24/$D42</f>
        <v>0</v>
      </c>
      <c r="S41" s="82">
        <f t="shared" ref="S41" si="329">$B39/24/$D42</f>
        <v>0</v>
      </c>
      <c r="T41" s="82">
        <f t="shared" ref="T41" si="330">$B39/24/$D42</f>
        <v>0</v>
      </c>
      <c r="U41" s="82">
        <f t="shared" ref="U41" si="331">$B39/24/$D42</f>
        <v>0</v>
      </c>
      <c r="V41" s="82">
        <f t="shared" ref="V41" si="332">$B39/24/$D42</f>
        <v>0</v>
      </c>
      <c r="W41" s="82">
        <f t="shared" ref="W41" si="333">$B39/24/$D42</f>
        <v>0</v>
      </c>
      <c r="X41" s="82">
        <f t="shared" ref="X41" si="334">$B39/24/$D42</f>
        <v>0</v>
      </c>
      <c r="Y41" s="82">
        <f t="shared" ref="Y41" si="335">$B39/24/$D42</f>
        <v>0</v>
      </c>
      <c r="Z41" s="82">
        <f t="shared" ref="Z41" si="336">$B39/24/$D42</f>
        <v>0</v>
      </c>
      <c r="AA41" s="82">
        <f t="shared" ref="AA41" si="337">$B39/24/$D42</f>
        <v>0</v>
      </c>
      <c r="AB41" s="82">
        <f t="shared" ref="AB41" si="338">$B39/24/$D42</f>
        <v>0</v>
      </c>
      <c r="AC41" s="91">
        <f t="shared" si="315"/>
        <v>0</v>
      </c>
      <c r="AD41" s="98"/>
      <c r="AE41" s="98"/>
      <c r="AF41" s="98" t="s">
        <v>73</v>
      </c>
      <c r="AG41" s="98">
        <v>8</v>
      </c>
    </row>
    <row r="42" spans="1:33" ht="14.5" thickBot="1" x14ac:dyDescent="0.3">
      <c r="A42" s="138"/>
      <c r="B42" s="142"/>
      <c r="C42" s="65" t="s">
        <v>27</v>
      </c>
      <c r="D42" s="66">
        <f t="shared" ref="D42" si="339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90">
        <f t="shared" ref="AC42" si="340">+SUM(AC39:AC41)</f>
        <v>0</v>
      </c>
      <c r="AD42" s="98"/>
      <c r="AE42" s="98"/>
      <c r="AF42" s="98"/>
      <c r="AG42" s="98"/>
    </row>
    <row r="43" spans="1:33" ht="14" x14ac:dyDescent="0.25">
      <c r="A43" s="137" t="str">
        <f>9&amp;"-"&amp;$D$6</f>
        <v>9-2023</v>
      </c>
      <c r="B43" s="139">
        <f>'Formato Resumen 23'!C24</f>
        <v>0</v>
      </c>
      <c r="C43" s="59" t="s">
        <v>40</v>
      </c>
      <c r="D43" s="60">
        <f>VLOOKUP(A43&amp;C43,calendario!I:L,4,0)</f>
        <v>21</v>
      </c>
      <c r="E43" s="77">
        <f>$B43/24/$D46</f>
        <v>0</v>
      </c>
      <c r="F43" s="77">
        <f t="shared" ref="F43:AB43" si="341">$B43/24/$D46</f>
        <v>0</v>
      </c>
      <c r="G43" s="77">
        <f t="shared" si="341"/>
        <v>0</v>
      </c>
      <c r="H43" s="77">
        <f t="shared" si="341"/>
        <v>0</v>
      </c>
      <c r="I43" s="77">
        <f t="shared" si="341"/>
        <v>0</v>
      </c>
      <c r="J43" s="77">
        <f t="shared" si="341"/>
        <v>0</v>
      </c>
      <c r="K43" s="77">
        <f t="shared" si="341"/>
        <v>0</v>
      </c>
      <c r="L43" s="77">
        <f t="shared" si="341"/>
        <v>0</v>
      </c>
      <c r="M43" s="77">
        <f t="shared" si="341"/>
        <v>0</v>
      </c>
      <c r="N43" s="77">
        <f t="shared" si="341"/>
        <v>0</v>
      </c>
      <c r="O43" s="77">
        <f t="shared" si="341"/>
        <v>0</v>
      </c>
      <c r="P43" s="77">
        <f t="shared" si="341"/>
        <v>0</v>
      </c>
      <c r="Q43" s="77">
        <f t="shared" si="341"/>
        <v>0</v>
      </c>
      <c r="R43" s="77">
        <f t="shared" si="341"/>
        <v>0</v>
      </c>
      <c r="S43" s="77">
        <f t="shared" si="341"/>
        <v>0</v>
      </c>
      <c r="T43" s="77">
        <f t="shared" si="341"/>
        <v>0</v>
      </c>
      <c r="U43" s="77">
        <f t="shared" si="341"/>
        <v>0</v>
      </c>
      <c r="V43" s="77">
        <f t="shared" si="341"/>
        <v>0</v>
      </c>
      <c r="W43" s="77">
        <f t="shared" si="341"/>
        <v>0</v>
      </c>
      <c r="X43" s="77">
        <f t="shared" si="341"/>
        <v>0</v>
      </c>
      <c r="Y43" s="77">
        <f t="shared" si="341"/>
        <v>0</v>
      </c>
      <c r="Z43" s="77">
        <f t="shared" si="341"/>
        <v>0</v>
      </c>
      <c r="AA43" s="77">
        <f t="shared" si="341"/>
        <v>0</v>
      </c>
      <c r="AB43" s="77">
        <f t="shared" si="341"/>
        <v>0</v>
      </c>
      <c r="AC43" s="89">
        <f t="shared" ref="AC43" si="342">+SUM(E43:AB43)*D43</f>
        <v>0</v>
      </c>
      <c r="AD43" s="98"/>
      <c r="AE43" s="98"/>
      <c r="AF43" s="98" t="s">
        <v>71</v>
      </c>
      <c r="AG43" s="98">
        <v>9</v>
      </c>
    </row>
    <row r="44" spans="1:33" ht="14" x14ac:dyDescent="0.25">
      <c r="A44" s="137"/>
      <c r="B44" s="139"/>
      <c r="C44" s="61" t="s">
        <v>41</v>
      </c>
      <c r="D44" s="62">
        <f>VLOOKUP(A43&amp;C44,calendario!I:L,4,0)</f>
        <v>5</v>
      </c>
      <c r="E44" s="79">
        <f>$B43/24/$D46</f>
        <v>0</v>
      </c>
      <c r="F44" s="79">
        <f t="shared" ref="F44" si="343">$B43/24/$D46</f>
        <v>0</v>
      </c>
      <c r="G44" s="79">
        <f t="shared" ref="G44" si="344">$B43/24/$D46</f>
        <v>0</v>
      </c>
      <c r="H44" s="79">
        <f t="shared" ref="H44" si="345">$B43/24/$D46</f>
        <v>0</v>
      </c>
      <c r="I44" s="79">
        <f t="shared" ref="I44" si="346">$B43/24/$D46</f>
        <v>0</v>
      </c>
      <c r="J44" s="79">
        <f t="shared" ref="J44" si="347">$B43/24/$D46</f>
        <v>0</v>
      </c>
      <c r="K44" s="79">
        <f t="shared" ref="K44" si="348">$B43/24/$D46</f>
        <v>0</v>
      </c>
      <c r="L44" s="79">
        <f t="shared" ref="L44" si="349">$B43/24/$D46</f>
        <v>0</v>
      </c>
      <c r="M44" s="79">
        <f t="shared" ref="M44" si="350">$B43/24/$D46</f>
        <v>0</v>
      </c>
      <c r="N44" s="79">
        <f t="shared" ref="N44" si="351">$B43/24/$D46</f>
        <v>0</v>
      </c>
      <c r="O44" s="79">
        <f t="shared" ref="O44" si="352">$B43/24/$D46</f>
        <v>0</v>
      </c>
      <c r="P44" s="79">
        <f t="shared" ref="P44" si="353">$B43/24/$D46</f>
        <v>0</v>
      </c>
      <c r="Q44" s="79">
        <f t="shared" ref="Q44" si="354">$B43/24/$D46</f>
        <v>0</v>
      </c>
      <c r="R44" s="79">
        <f t="shared" ref="R44" si="355">$B43/24/$D46</f>
        <v>0</v>
      </c>
      <c r="S44" s="79">
        <f t="shared" ref="S44" si="356">$B43/24/$D46</f>
        <v>0</v>
      </c>
      <c r="T44" s="79">
        <f t="shared" ref="T44" si="357">$B43/24/$D46</f>
        <v>0</v>
      </c>
      <c r="U44" s="79">
        <f t="shared" ref="U44" si="358">$B43/24/$D46</f>
        <v>0</v>
      </c>
      <c r="V44" s="79">
        <f t="shared" ref="V44" si="359">$B43/24/$D46</f>
        <v>0</v>
      </c>
      <c r="W44" s="79">
        <f t="shared" ref="W44" si="360">$B43/24/$D46</f>
        <v>0</v>
      </c>
      <c r="X44" s="79">
        <f t="shared" ref="X44" si="361">$B43/24/$D46</f>
        <v>0</v>
      </c>
      <c r="Y44" s="79">
        <f t="shared" ref="Y44" si="362">$B43/24/$D46</f>
        <v>0</v>
      </c>
      <c r="Z44" s="79">
        <f t="shared" ref="Z44" si="363">$B43/24/$D46</f>
        <v>0</v>
      </c>
      <c r="AA44" s="79">
        <f t="shared" ref="AA44" si="364">$B43/24/$D46</f>
        <v>0</v>
      </c>
      <c r="AB44" s="79">
        <f t="shared" ref="AB44" si="365">$B43/24/$D46</f>
        <v>0</v>
      </c>
      <c r="AC44" s="90">
        <f t="shared" ref="AC44:AC45" si="366">+SUM(E44:AB44)*D44</f>
        <v>0</v>
      </c>
      <c r="AD44" s="98"/>
      <c r="AE44" s="98"/>
      <c r="AF44" s="98" t="s">
        <v>72</v>
      </c>
      <c r="AG44" s="98">
        <v>9</v>
      </c>
    </row>
    <row r="45" spans="1:33" ht="14" x14ac:dyDescent="0.25">
      <c r="A45" s="137"/>
      <c r="B45" s="139"/>
      <c r="C45" s="63" t="s">
        <v>43</v>
      </c>
      <c r="D45" s="64">
        <f>VLOOKUP(A43&amp;C45,calendario!I:L,4,0)</f>
        <v>4</v>
      </c>
      <c r="E45" s="82">
        <f>$B43/24/$D46</f>
        <v>0</v>
      </c>
      <c r="F45" s="82">
        <f t="shared" ref="F45" si="367">$B43/24/$D46</f>
        <v>0</v>
      </c>
      <c r="G45" s="82">
        <f t="shared" ref="G45" si="368">$B43/24/$D46</f>
        <v>0</v>
      </c>
      <c r="H45" s="82">
        <f t="shared" ref="H45" si="369">$B43/24/$D46</f>
        <v>0</v>
      </c>
      <c r="I45" s="82">
        <f t="shared" ref="I45" si="370">$B43/24/$D46</f>
        <v>0</v>
      </c>
      <c r="J45" s="82">
        <f t="shared" ref="J45" si="371">$B43/24/$D46</f>
        <v>0</v>
      </c>
      <c r="K45" s="82">
        <f t="shared" ref="K45" si="372">$B43/24/$D46</f>
        <v>0</v>
      </c>
      <c r="L45" s="82">
        <f t="shared" ref="L45" si="373">$B43/24/$D46</f>
        <v>0</v>
      </c>
      <c r="M45" s="82">
        <f t="shared" ref="M45" si="374">$B43/24/$D46</f>
        <v>0</v>
      </c>
      <c r="N45" s="82">
        <f t="shared" ref="N45" si="375">$B43/24/$D46</f>
        <v>0</v>
      </c>
      <c r="O45" s="82">
        <f t="shared" ref="O45" si="376">$B43/24/$D46</f>
        <v>0</v>
      </c>
      <c r="P45" s="82">
        <f t="shared" ref="P45" si="377">$B43/24/$D46</f>
        <v>0</v>
      </c>
      <c r="Q45" s="82">
        <f t="shared" ref="Q45" si="378">$B43/24/$D46</f>
        <v>0</v>
      </c>
      <c r="R45" s="82">
        <f t="shared" ref="R45" si="379">$B43/24/$D46</f>
        <v>0</v>
      </c>
      <c r="S45" s="82">
        <f t="shared" ref="S45" si="380">$B43/24/$D46</f>
        <v>0</v>
      </c>
      <c r="T45" s="82">
        <f t="shared" ref="T45" si="381">$B43/24/$D46</f>
        <v>0</v>
      </c>
      <c r="U45" s="82">
        <f t="shared" ref="U45" si="382">$B43/24/$D46</f>
        <v>0</v>
      </c>
      <c r="V45" s="82">
        <f t="shared" ref="V45" si="383">$B43/24/$D46</f>
        <v>0</v>
      </c>
      <c r="W45" s="82">
        <f t="shared" ref="W45" si="384">$B43/24/$D46</f>
        <v>0</v>
      </c>
      <c r="X45" s="82">
        <f t="shared" ref="X45" si="385">$B43/24/$D46</f>
        <v>0</v>
      </c>
      <c r="Y45" s="82">
        <f t="shared" ref="Y45" si="386">$B43/24/$D46</f>
        <v>0</v>
      </c>
      <c r="Z45" s="82">
        <f t="shared" ref="Z45" si="387">$B43/24/$D46</f>
        <v>0</v>
      </c>
      <c r="AA45" s="82">
        <f t="shared" ref="AA45" si="388">$B43/24/$D46</f>
        <v>0</v>
      </c>
      <c r="AB45" s="82">
        <f t="shared" ref="AB45" si="389">$B43/24/$D46</f>
        <v>0</v>
      </c>
      <c r="AC45" s="91">
        <f t="shared" si="366"/>
        <v>0</v>
      </c>
      <c r="AD45" s="98"/>
      <c r="AE45" s="98"/>
      <c r="AF45" s="98" t="s">
        <v>73</v>
      </c>
      <c r="AG45" s="98">
        <v>9</v>
      </c>
    </row>
    <row r="46" spans="1:33" ht="14.5" thickBot="1" x14ac:dyDescent="0.3">
      <c r="A46" s="138"/>
      <c r="B46" s="142"/>
      <c r="C46" s="65" t="s">
        <v>27</v>
      </c>
      <c r="D46" s="66">
        <f t="shared" ref="D46" si="39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90">
        <f t="shared" ref="AC46" si="391">+SUM(AC43:AC45)</f>
        <v>0</v>
      </c>
      <c r="AD46" s="98"/>
      <c r="AE46" s="98"/>
      <c r="AF46" s="98"/>
      <c r="AG46" s="98"/>
    </row>
    <row r="47" spans="1:33" ht="14" x14ac:dyDescent="0.25">
      <c r="A47" s="137" t="str">
        <f>10&amp;"-"&amp;$D$6</f>
        <v>10-2023</v>
      </c>
      <c r="B47" s="139">
        <f>'Formato Resumen 23'!C25</f>
        <v>0</v>
      </c>
      <c r="C47" s="59" t="s">
        <v>40</v>
      </c>
      <c r="D47" s="60">
        <f>VLOOKUP(A47&amp;C47,calendario!I:L,4,0)</f>
        <v>22</v>
      </c>
      <c r="E47" s="77">
        <f>$B47/24/$D50</f>
        <v>0</v>
      </c>
      <c r="F47" s="77">
        <f t="shared" ref="F47:AB47" si="392">$B47/24/$D50</f>
        <v>0</v>
      </c>
      <c r="G47" s="77">
        <f t="shared" si="392"/>
        <v>0</v>
      </c>
      <c r="H47" s="77">
        <f t="shared" si="392"/>
        <v>0</v>
      </c>
      <c r="I47" s="77">
        <f t="shared" si="392"/>
        <v>0</v>
      </c>
      <c r="J47" s="77">
        <f t="shared" si="392"/>
        <v>0</v>
      </c>
      <c r="K47" s="77">
        <f t="shared" si="392"/>
        <v>0</v>
      </c>
      <c r="L47" s="77">
        <f t="shared" si="392"/>
        <v>0</v>
      </c>
      <c r="M47" s="77">
        <f t="shared" si="392"/>
        <v>0</v>
      </c>
      <c r="N47" s="77">
        <f t="shared" si="392"/>
        <v>0</v>
      </c>
      <c r="O47" s="77">
        <f t="shared" si="392"/>
        <v>0</v>
      </c>
      <c r="P47" s="77">
        <f t="shared" si="392"/>
        <v>0</v>
      </c>
      <c r="Q47" s="77">
        <f t="shared" si="392"/>
        <v>0</v>
      </c>
      <c r="R47" s="77">
        <f t="shared" si="392"/>
        <v>0</v>
      </c>
      <c r="S47" s="77">
        <f t="shared" si="392"/>
        <v>0</v>
      </c>
      <c r="T47" s="77">
        <f t="shared" si="392"/>
        <v>0</v>
      </c>
      <c r="U47" s="77">
        <f t="shared" si="392"/>
        <v>0</v>
      </c>
      <c r="V47" s="77">
        <f t="shared" si="392"/>
        <v>0</v>
      </c>
      <c r="W47" s="77">
        <f t="shared" si="392"/>
        <v>0</v>
      </c>
      <c r="X47" s="77">
        <f t="shared" si="392"/>
        <v>0</v>
      </c>
      <c r="Y47" s="77">
        <f t="shared" si="392"/>
        <v>0</v>
      </c>
      <c r="Z47" s="77">
        <f t="shared" si="392"/>
        <v>0</v>
      </c>
      <c r="AA47" s="77">
        <f t="shared" si="392"/>
        <v>0</v>
      </c>
      <c r="AB47" s="77">
        <f t="shared" si="392"/>
        <v>0</v>
      </c>
      <c r="AC47" s="89">
        <f t="shared" ref="AC47" si="393">+SUM(E47:AB47)*D47</f>
        <v>0</v>
      </c>
      <c r="AD47" s="98"/>
      <c r="AE47" s="98"/>
      <c r="AF47" s="98" t="s">
        <v>71</v>
      </c>
      <c r="AG47" s="98">
        <v>10</v>
      </c>
    </row>
    <row r="48" spans="1:33" ht="14" x14ac:dyDescent="0.25">
      <c r="A48" s="137"/>
      <c r="B48" s="139"/>
      <c r="C48" s="61" t="s">
        <v>41</v>
      </c>
      <c r="D48" s="62">
        <f>VLOOKUP(A47&amp;C48,calendario!I:L,4,0)</f>
        <v>4</v>
      </c>
      <c r="E48" s="79">
        <f>$B47/24/$D50</f>
        <v>0</v>
      </c>
      <c r="F48" s="79">
        <f t="shared" ref="F48" si="394">$B47/24/$D50</f>
        <v>0</v>
      </c>
      <c r="G48" s="79">
        <f t="shared" ref="G48" si="395">$B47/24/$D50</f>
        <v>0</v>
      </c>
      <c r="H48" s="79">
        <f t="shared" ref="H48" si="396">$B47/24/$D50</f>
        <v>0</v>
      </c>
      <c r="I48" s="79">
        <f t="shared" ref="I48" si="397">$B47/24/$D50</f>
        <v>0</v>
      </c>
      <c r="J48" s="79">
        <f t="shared" ref="J48" si="398">$B47/24/$D50</f>
        <v>0</v>
      </c>
      <c r="K48" s="79">
        <f t="shared" ref="K48" si="399">$B47/24/$D50</f>
        <v>0</v>
      </c>
      <c r="L48" s="79">
        <f t="shared" ref="L48" si="400">$B47/24/$D50</f>
        <v>0</v>
      </c>
      <c r="M48" s="79">
        <f t="shared" ref="M48" si="401">$B47/24/$D50</f>
        <v>0</v>
      </c>
      <c r="N48" s="79">
        <f t="shared" ref="N48" si="402">$B47/24/$D50</f>
        <v>0</v>
      </c>
      <c r="O48" s="79">
        <f t="shared" ref="O48" si="403">$B47/24/$D50</f>
        <v>0</v>
      </c>
      <c r="P48" s="79">
        <f t="shared" ref="P48" si="404">$B47/24/$D50</f>
        <v>0</v>
      </c>
      <c r="Q48" s="79">
        <f t="shared" ref="Q48" si="405">$B47/24/$D50</f>
        <v>0</v>
      </c>
      <c r="R48" s="79">
        <f t="shared" ref="R48" si="406">$B47/24/$D50</f>
        <v>0</v>
      </c>
      <c r="S48" s="79">
        <f t="shared" ref="S48" si="407">$B47/24/$D50</f>
        <v>0</v>
      </c>
      <c r="T48" s="79">
        <f t="shared" ref="T48" si="408">$B47/24/$D50</f>
        <v>0</v>
      </c>
      <c r="U48" s="79">
        <f t="shared" ref="U48" si="409">$B47/24/$D50</f>
        <v>0</v>
      </c>
      <c r="V48" s="79">
        <f t="shared" ref="V48" si="410">$B47/24/$D50</f>
        <v>0</v>
      </c>
      <c r="W48" s="79">
        <f t="shared" ref="W48" si="411">$B47/24/$D50</f>
        <v>0</v>
      </c>
      <c r="X48" s="79">
        <f t="shared" ref="X48" si="412">$B47/24/$D50</f>
        <v>0</v>
      </c>
      <c r="Y48" s="79">
        <f t="shared" ref="Y48" si="413">$B47/24/$D50</f>
        <v>0</v>
      </c>
      <c r="Z48" s="79">
        <f t="shared" ref="Z48" si="414">$B47/24/$D50</f>
        <v>0</v>
      </c>
      <c r="AA48" s="79">
        <f t="shared" ref="AA48" si="415">$B47/24/$D50</f>
        <v>0</v>
      </c>
      <c r="AB48" s="79">
        <f t="shared" ref="AB48" si="416">$B47/24/$D50</f>
        <v>0</v>
      </c>
      <c r="AC48" s="90">
        <f t="shared" ref="AC48:AC49" si="417">+SUM(E48:AB48)*D48</f>
        <v>0</v>
      </c>
      <c r="AD48" s="98"/>
      <c r="AE48" s="98"/>
      <c r="AF48" s="98" t="s">
        <v>72</v>
      </c>
      <c r="AG48" s="98">
        <v>10</v>
      </c>
    </row>
    <row r="49" spans="1:33" ht="14" x14ac:dyDescent="0.25">
      <c r="A49" s="137"/>
      <c r="B49" s="139"/>
      <c r="C49" s="63" t="s">
        <v>43</v>
      </c>
      <c r="D49" s="64">
        <f>VLOOKUP(A47&amp;C49,calendario!I:L,4,0)</f>
        <v>5</v>
      </c>
      <c r="E49" s="82">
        <f>$B47/24/$D50</f>
        <v>0</v>
      </c>
      <c r="F49" s="82">
        <f t="shared" ref="F49" si="418">$B47/24/$D50</f>
        <v>0</v>
      </c>
      <c r="G49" s="82">
        <f t="shared" ref="G49" si="419">$B47/24/$D50</f>
        <v>0</v>
      </c>
      <c r="H49" s="82">
        <f t="shared" ref="H49" si="420">$B47/24/$D50</f>
        <v>0</v>
      </c>
      <c r="I49" s="82">
        <f t="shared" ref="I49" si="421">$B47/24/$D50</f>
        <v>0</v>
      </c>
      <c r="J49" s="82">
        <f t="shared" ref="J49" si="422">$B47/24/$D50</f>
        <v>0</v>
      </c>
      <c r="K49" s="82">
        <f t="shared" ref="K49" si="423">$B47/24/$D50</f>
        <v>0</v>
      </c>
      <c r="L49" s="82">
        <f t="shared" ref="L49" si="424">$B47/24/$D50</f>
        <v>0</v>
      </c>
      <c r="M49" s="82">
        <f t="shared" ref="M49" si="425">$B47/24/$D50</f>
        <v>0</v>
      </c>
      <c r="N49" s="82">
        <f t="shared" ref="N49" si="426">$B47/24/$D50</f>
        <v>0</v>
      </c>
      <c r="O49" s="82">
        <f t="shared" ref="O49" si="427">$B47/24/$D50</f>
        <v>0</v>
      </c>
      <c r="P49" s="82">
        <f t="shared" ref="P49" si="428">$B47/24/$D50</f>
        <v>0</v>
      </c>
      <c r="Q49" s="82">
        <f t="shared" ref="Q49" si="429">$B47/24/$D50</f>
        <v>0</v>
      </c>
      <c r="R49" s="82">
        <f t="shared" ref="R49" si="430">$B47/24/$D50</f>
        <v>0</v>
      </c>
      <c r="S49" s="82">
        <f t="shared" ref="S49" si="431">$B47/24/$D50</f>
        <v>0</v>
      </c>
      <c r="T49" s="82">
        <f t="shared" ref="T49" si="432">$B47/24/$D50</f>
        <v>0</v>
      </c>
      <c r="U49" s="82">
        <f t="shared" ref="U49" si="433">$B47/24/$D50</f>
        <v>0</v>
      </c>
      <c r="V49" s="82">
        <f t="shared" ref="V49" si="434">$B47/24/$D50</f>
        <v>0</v>
      </c>
      <c r="W49" s="82">
        <f t="shared" ref="W49" si="435">$B47/24/$D50</f>
        <v>0</v>
      </c>
      <c r="X49" s="82">
        <f t="shared" ref="X49" si="436">$B47/24/$D50</f>
        <v>0</v>
      </c>
      <c r="Y49" s="82">
        <f t="shared" ref="Y49" si="437">$B47/24/$D50</f>
        <v>0</v>
      </c>
      <c r="Z49" s="82">
        <f t="shared" ref="Z49" si="438">$B47/24/$D50</f>
        <v>0</v>
      </c>
      <c r="AA49" s="82">
        <f t="shared" ref="AA49" si="439">$B47/24/$D50</f>
        <v>0</v>
      </c>
      <c r="AB49" s="82">
        <f t="shared" ref="AB49" si="440">$B47/24/$D50</f>
        <v>0</v>
      </c>
      <c r="AC49" s="91">
        <f t="shared" si="417"/>
        <v>0</v>
      </c>
      <c r="AD49" s="98"/>
      <c r="AE49" s="98"/>
      <c r="AF49" s="98" t="s">
        <v>73</v>
      </c>
      <c r="AG49" s="98">
        <v>10</v>
      </c>
    </row>
    <row r="50" spans="1:33" ht="14.5" thickBot="1" x14ac:dyDescent="0.3">
      <c r="A50" s="138"/>
      <c r="B50" s="142"/>
      <c r="C50" s="65" t="s">
        <v>27</v>
      </c>
      <c r="D50" s="66">
        <f t="shared" ref="D50" si="441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90">
        <f t="shared" ref="AC50" si="442">+SUM(AC47:AC49)</f>
        <v>0</v>
      </c>
      <c r="AD50" s="98"/>
      <c r="AE50" s="98"/>
      <c r="AF50" s="98"/>
      <c r="AG50" s="98"/>
    </row>
    <row r="51" spans="1:33" ht="14" x14ac:dyDescent="0.25">
      <c r="A51" s="137" t="str">
        <f>11&amp;"-"&amp;$D$6</f>
        <v>11-2023</v>
      </c>
      <c r="B51" s="139">
        <f>'Formato Resumen 23'!C26</f>
        <v>0</v>
      </c>
      <c r="C51" s="59" t="s">
        <v>40</v>
      </c>
      <c r="D51" s="60">
        <f>VLOOKUP(A51&amp;C51,calendario!I:L,4,0)</f>
        <v>22</v>
      </c>
      <c r="E51" s="77">
        <f>$B51/24/$D54</f>
        <v>0</v>
      </c>
      <c r="F51" s="77">
        <f t="shared" ref="F51:AB51" si="443">$B51/24/$D54</f>
        <v>0</v>
      </c>
      <c r="G51" s="77">
        <f t="shared" si="443"/>
        <v>0</v>
      </c>
      <c r="H51" s="77">
        <f t="shared" si="443"/>
        <v>0</v>
      </c>
      <c r="I51" s="77">
        <f t="shared" si="443"/>
        <v>0</v>
      </c>
      <c r="J51" s="77">
        <f t="shared" si="443"/>
        <v>0</v>
      </c>
      <c r="K51" s="77">
        <f t="shared" si="443"/>
        <v>0</v>
      </c>
      <c r="L51" s="77">
        <f t="shared" si="443"/>
        <v>0</v>
      </c>
      <c r="M51" s="77">
        <f t="shared" si="443"/>
        <v>0</v>
      </c>
      <c r="N51" s="77">
        <f t="shared" si="443"/>
        <v>0</v>
      </c>
      <c r="O51" s="77">
        <f t="shared" si="443"/>
        <v>0</v>
      </c>
      <c r="P51" s="77">
        <f t="shared" si="443"/>
        <v>0</v>
      </c>
      <c r="Q51" s="77">
        <f t="shared" si="443"/>
        <v>0</v>
      </c>
      <c r="R51" s="77">
        <f t="shared" si="443"/>
        <v>0</v>
      </c>
      <c r="S51" s="77">
        <f t="shared" si="443"/>
        <v>0</v>
      </c>
      <c r="T51" s="77">
        <f t="shared" si="443"/>
        <v>0</v>
      </c>
      <c r="U51" s="77">
        <f t="shared" si="443"/>
        <v>0</v>
      </c>
      <c r="V51" s="77">
        <f t="shared" si="443"/>
        <v>0</v>
      </c>
      <c r="W51" s="77">
        <f t="shared" si="443"/>
        <v>0</v>
      </c>
      <c r="X51" s="77">
        <f t="shared" si="443"/>
        <v>0</v>
      </c>
      <c r="Y51" s="77">
        <f t="shared" si="443"/>
        <v>0</v>
      </c>
      <c r="Z51" s="77">
        <f t="shared" si="443"/>
        <v>0</v>
      </c>
      <c r="AA51" s="77">
        <f t="shared" si="443"/>
        <v>0</v>
      </c>
      <c r="AB51" s="77">
        <f t="shared" si="443"/>
        <v>0</v>
      </c>
      <c r="AC51" s="89">
        <f t="shared" ref="AC51" si="444">+SUM(E51:AB51)*D51</f>
        <v>0</v>
      </c>
      <c r="AD51" s="98"/>
      <c r="AE51" s="98"/>
      <c r="AF51" s="98" t="s">
        <v>71</v>
      </c>
      <c r="AG51" s="98">
        <v>11</v>
      </c>
    </row>
    <row r="52" spans="1:33" ht="14" x14ac:dyDescent="0.25">
      <c r="A52" s="137"/>
      <c r="B52" s="139"/>
      <c r="C52" s="61" t="s">
        <v>41</v>
      </c>
      <c r="D52" s="62">
        <f>VLOOKUP(A51&amp;C52,calendario!I:L,4,0)</f>
        <v>4</v>
      </c>
      <c r="E52" s="79">
        <f>$B51/24/$D54</f>
        <v>0</v>
      </c>
      <c r="F52" s="79">
        <f t="shared" ref="F52" si="445">$B51/24/$D54</f>
        <v>0</v>
      </c>
      <c r="G52" s="79">
        <f t="shared" ref="G52" si="446">$B51/24/$D54</f>
        <v>0</v>
      </c>
      <c r="H52" s="79">
        <f t="shared" ref="H52" si="447">$B51/24/$D54</f>
        <v>0</v>
      </c>
      <c r="I52" s="79">
        <f t="shared" ref="I52" si="448">$B51/24/$D54</f>
        <v>0</v>
      </c>
      <c r="J52" s="79">
        <f t="shared" ref="J52" si="449">$B51/24/$D54</f>
        <v>0</v>
      </c>
      <c r="K52" s="79">
        <f t="shared" ref="K52" si="450">$B51/24/$D54</f>
        <v>0</v>
      </c>
      <c r="L52" s="79">
        <f t="shared" ref="L52" si="451">$B51/24/$D54</f>
        <v>0</v>
      </c>
      <c r="M52" s="79">
        <f t="shared" ref="M52" si="452">$B51/24/$D54</f>
        <v>0</v>
      </c>
      <c r="N52" s="79">
        <f t="shared" ref="N52" si="453">$B51/24/$D54</f>
        <v>0</v>
      </c>
      <c r="O52" s="79">
        <f t="shared" ref="O52" si="454">$B51/24/$D54</f>
        <v>0</v>
      </c>
      <c r="P52" s="79">
        <f t="shared" ref="P52" si="455">$B51/24/$D54</f>
        <v>0</v>
      </c>
      <c r="Q52" s="79">
        <f t="shared" ref="Q52" si="456">$B51/24/$D54</f>
        <v>0</v>
      </c>
      <c r="R52" s="79">
        <f t="shared" ref="R52" si="457">$B51/24/$D54</f>
        <v>0</v>
      </c>
      <c r="S52" s="79">
        <f t="shared" ref="S52" si="458">$B51/24/$D54</f>
        <v>0</v>
      </c>
      <c r="T52" s="79">
        <f t="shared" ref="T52" si="459">$B51/24/$D54</f>
        <v>0</v>
      </c>
      <c r="U52" s="79">
        <f t="shared" ref="U52" si="460">$B51/24/$D54</f>
        <v>0</v>
      </c>
      <c r="V52" s="79">
        <f t="shared" ref="V52" si="461">$B51/24/$D54</f>
        <v>0</v>
      </c>
      <c r="W52" s="79">
        <f t="shared" ref="W52" si="462">$B51/24/$D54</f>
        <v>0</v>
      </c>
      <c r="X52" s="79">
        <f t="shared" ref="X52" si="463">$B51/24/$D54</f>
        <v>0</v>
      </c>
      <c r="Y52" s="79">
        <f t="shared" ref="Y52" si="464">$B51/24/$D54</f>
        <v>0</v>
      </c>
      <c r="Z52" s="79">
        <f t="shared" ref="Z52" si="465">$B51/24/$D54</f>
        <v>0</v>
      </c>
      <c r="AA52" s="79">
        <f t="shared" ref="AA52" si="466">$B51/24/$D54</f>
        <v>0</v>
      </c>
      <c r="AB52" s="79">
        <f t="shared" ref="AB52" si="467">$B51/24/$D54</f>
        <v>0</v>
      </c>
      <c r="AC52" s="90">
        <f t="shared" ref="AC52:AC53" si="468">+SUM(E52:AB52)*D52</f>
        <v>0</v>
      </c>
      <c r="AD52" s="98"/>
      <c r="AE52" s="98"/>
      <c r="AF52" s="98" t="s">
        <v>72</v>
      </c>
      <c r="AG52" s="98">
        <v>11</v>
      </c>
    </row>
    <row r="53" spans="1:33" ht="14" x14ac:dyDescent="0.25">
      <c r="A53" s="137"/>
      <c r="B53" s="139"/>
      <c r="C53" s="63" t="s">
        <v>43</v>
      </c>
      <c r="D53" s="64">
        <f>VLOOKUP(A51&amp;C53,calendario!I:L,4,0)</f>
        <v>4</v>
      </c>
      <c r="E53" s="82">
        <f>$B51/24/$D54</f>
        <v>0</v>
      </c>
      <c r="F53" s="82">
        <f t="shared" ref="F53" si="469">$B51/24/$D54</f>
        <v>0</v>
      </c>
      <c r="G53" s="82">
        <f t="shared" ref="G53" si="470">$B51/24/$D54</f>
        <v>0</v>
      </c>
      <c r="H53" s="82">
        <f t="shared" ref="H53" si="471">$B51/24/$D54</f>
        <v>0</v>
      </c>
      <c r="I53" s="82">
        <f t="shared" ref="I53" si="472">$B51/24/$D54</f>
        <v>0</v>
      </c>
      <c r="J53" s="82">
        <f t="shared" ref="J53" si="473">$B51/24/$D54</f>
        <v>0</v>
      </c>
      <c r="K53" s="82">
        <f t="shared" ref="K53" si="474">$B51/24/$D54</f>
        <v>0</v>
      </c>
      <c r="L53" s="82">
        <f t="shared" ref="L53" si="475">$B51/24/$D54</f>
        <v>0</v>
      </c>
      <c r="M53" s="82">
        <f t="shared" ref="M53" si="476">$B51/24/$D54</f>
        <v>0</v>
      </c>
      <c r="N53" s="82">
        <f t="shared" ref="N53" si="477">$B51/24/$D54</f>
        <v>0</v>
      </c>
      <c r="O53" s="82">
        <f t="shared" ref="O53" si="478">$B51/24/$D54</f>
        <v>0</v>
      </c>
      <c r="P53" s="82">
        <f t="shared" ref="P53" si="479">$B51/24/$D54</f>
        <v>0</v>
      </c>
      <c r="Q53" s="82">
        <f t="shared" ref="Q53" si="480">$B51/24/$D54</f>
        <v>0</v>
      </c>
      <c r="R53" s="82">
        <f t="shared" ref="R53" si="481">$B51/24/$D54</f>
        <v>0</v>
      </c>
      <c r="S53" s="82">
        <f t="shared" ref="S53" si="482">$B51/24/$D54</f>
        <v>0</v>
      </c>
      <c r="T53" s="82">
        <f t="shared" ref="T53" si="483">$B51/24/$D54</f>
        <v>0</v>
      </c>
      <c r="U53" s="82">
        <f t="shared" ref="U53" si="484">$B51/24/$D54</f>
        <v>0</v>
      </c>
      <c r="V53" s="82">
        <f t="shared" ref="V53" si="485">$B51/24/$D54</f>
        <v>0</v>
      </c>
      <c r="W53" s="82">
        <f t="shared" ref="W53" si="486">$B51/24/$D54</f>
        <v>0</v>
      </c>
      <c r="X53" s="82">
        <f t="shared" ref="X53" si="487">$B51/24/$D54</f>
        <v>0</v>
      </c>
      <c r="Y53" s="82">
        <f t="shared" ref="Y53" si="488">$B51/24/$D54</f>
        <v>0</v>
      </c>
      <c r="Z53" s="82">
        <f t="shared" ref="Z53" si="489">$B51/24/$D54</f>
        <v>0</v>
      </c>
      <c r="AA53" s="82">
        <f t="shared" ref="AA53" si="490">$B51/24/$D54</f>
        <v>0</v>
      </c>
      <c r="AB53" s="82">
        <f t="shared" ref="AB53" si="491">$B51/24/$D54</f>
        <v>0</v>
      </c>
      <c r="AC53" s="91">
        <f t="shared" si="468"/>
        <v>0</v>
      </c>
      <c r="AD53" s="98"/>
      <c r="AE53" s="98"/>
      <c r="AF53" s="98" t="s">
        <v>73</v>
      </c>
      <c r="AG53" s="98">
        <v>11</v>
      </c>
    </row>
    <row r="54" spans="1:33" ht="14.5" thickBot="1" x14ac:dyDescent="0.3">
      <c r="A54" s="138"/>
      <c r="B54" s="142"/>
      <c r="C54" s="65" t="s">
        <v>27</v>
      </c>
      <c r="D54" s="66">
        <f t="shared" ref="D54" si="49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90">
        <f t="shared" ref="AC54" si="493">+SUM(AC51:AC53)</f>
        <v>0</v>
      </c>
      <c r="AD54" s="98"/>
      <c r="AE54" s="98"/>
      <c r="AF54" s="98"/>
      <c r="AG54" s="98"/>
    </row>
    <row r="55" spans="1:33" ht="14" x14ac:dyDescent="0.25">
      <c r="A55" s="137" t="str">
        <f>12&amp;"-"&amp;$D$6</f>
        <v>12-2023</v>
      </c>
      <c r="B55" s="141">
        <f>'Formato Resumen 23'!C27</f>
        <v>0</v>
      </c>
      <c r="C55" s="59" t="s">
        <v>40</v>
      </c>
      <c r="D55" s="60">
        <f>VLOOKUP(A55&amp;C55,calendario!I:L,4,0)</f>
        <v>21</v>
      </c>
      <c r="E55" s="77">
        <f>$B55/24/$D58</f>
        <v>0</v>
      </c>
      <c r="F55" s="77">
        <f t="shared" ref="F55:AB55" si="494">$B55/24/$D58</f>
        <v>0</v>
      </c>
      <c r="G55" s="77">
        <f t="shared" si="494"/>
        <v>0</v>
      </c>
      <c r="H55" s="77">
        <f t="shared" si="494"/>
        <v>0</v>
      </c>
      <c r="I55" s="77">
        <f t="shared" si="494"/>
        <v>0</v>
      </c>
      <c r="J55" s="77">
        <f t="shared" si="494"/>
        <v>0</v>
      </c>
      <c r="K55" s="77">
        <f t="shared" si="494"/>
        <v>0</v>
      </c>
      <c r="L55" s="77">
        <f t="shared" si="494"/>
        <v>0</v>
      </c>
      <c r="M55" s="77">
        <f t="shared" si="494"/>
        <v>0</v>
      </c>
      <c r="N55" s="77">
        <f t="shared" si="494"/>
        <v>0</v>
      </c>
      <c r="O55" s="77">
        <f t="shared" si="494"/>
        <v>0</v>
      </c>
      <c r="P55" s="77">
        <f t="shared" si="494"/>
        <v>0</v>
      </c>
      <c r="Q55" s="77">
        <f t="shared" si="494"/>
        <v>0</v>
      </c>
      <c r="R55" s="77">
        <f t="shared" si="494"/>
        <v>0</v>
      </c>
      <c r="S55" s="77">
        <f t="shared" si="494"/>
        <v>0</v>
      </c>
      <c r="T55" s="77">
        <f t="shared" si="494"/>
        <v>0</v>
      </c>
      <c r="U55" s="77">
        <f t="shared" si="494"/>
        <v>0</v>
      </c>
      <c r="V55" s="77">
        <f t="shared" si="494"/>
        <v>0</v>
      </c>
      <c r="W55" s="77">
        <f t="shared" si="494"/>
        <v>0</v>
      </c>
      <c r="X55" s="77">
        <f t="shared" si="494"/>
        <v>0</v>
      </c>
      <c r="Y55" s="77">
        <f t="shared" si="494"/>
        <v>0</v>
      </c>
      <c r="Z55" s="77">
        <f t="shared" si="494"/>
        <v>0</v>
      </c>
      <c r="AA55" s="77">
        <f t="shared" si="494"/>
        <v>0</v>
      </c>
      <c r="AB55" s="77">
        <f t="shared" si="494"/>
        <v>0</v>
      </c>
      <c r="AC55" s="89">
        <f t="shared" ref="AC55" si="495">+SUM(E55:AB55)*D55</f>
        <v>0</v>
      </c>
      <c r="AD55" s="98"/>
      <c r="AE55" s="98"/>
      <c r="AF55" s="98" t="s">
        <v>71</v>
      </c>
      <c r="AG55" s="98">
        <v>12</v>
      </c>
    </row>
    <row r="56" spans="1:33" ht="14" x14ac:dyDescent="0.25">
      <c r="A56" s="137"/>
      <c r="B56" s="139"/>
      <c r="C56" s="61" t="s">
        <v>41</v>
      </c>
      <c r="D56" s="62">
        <f>VLOOKUP(A55&amp;C56,calendario!I:L,4,0)</f>
        <v>5</v>
      </c>
      <c r="E56" s="79">
        <f>$B55/24/$D58</f>
        <v>0</v>
      </c>
      <c r="F56" s="79">
        <f t="shared" ref="F56" si="496">$B55/24/$D58</f>
        <v>0</v>
      </c>
      <c r="G56" s="79">
        <f t="shared" ref="G56" si="497">$B55/24/$D58</f>
        <v>0</v>
      </c>
      <c r="H56" s="79">
        <f t="shared" ref="H56" si="498">$B55/24/$D58</f>
        <v>0</v>
      </c>
      <c r="I56" s="79">
        <f t="shared" ref="I56" si="499">$B55/24/$D58</f>
        <v>0</v>
      </c>
      <c r="J56" s="79">
        <f t="shared" ref="J56" si="500">$B55/24/$D58</f>
        <v>0</v>
      </c>
      <c r="K56" s="79">
        <f t="shared" ref="K56" si="501">$B55/24/$D58</f>
        <v>0</v>
      </c>
      <c r="L56" s="79">
        <f t="shared" ref="L56" si="502">$B55/24/$D58</f>
        <v>0</v>
      </c>
      <c r="M56" s="79">
        <f t="shared" ref="M56" si="503">$B55/24/$D58</f>
        <v>0</v>
      </c>
      <c r="N56" s="79">
        <f t="shared" ref="N56" si="504">$B55/24/$D58</f>
        <v>0</v>
      </c>
      <c r="O56" s="79">
        <f t="shared" ref="O56" si="505">$B55/24/$D58</f>
        <v>0</v>
      </c>
      <c r="P56" s="79">
        <f t="shared" ref="P56" si="506">$B55/24/$D58</f>
        <v>0</v>
      </c>
      <c r="Q56" s="79">
        <f t="shared" ref="Q56" si="507">$B55/24/$D58</f>
        <v>0</v>
      </c>
      <c r="R56" s="79">
        <f t="shared" ref="R56" si="508">$B55/24/$D58</f>
        <v>0</v>
      </c>
      <c r="S56" s="79">
        <f t="shared" ref="S56" si="509">$B55/24/$D58</f>
        <v>0</v>
      </c>
      <c r="T56" s="79">
        <f t="shared" ref="T56" si="510">$B55/24/$D58</f>
        <v>0</v>
      </c>
      <c r="U56" s="79">
        <f t="shared" ref="U56" si="511">$B55/24/$D58</f>
        <v>0</v>
      </c>
      <c r="V56" s="79">
        <f t="shared" ref="V56" si="512">$B55/24/$D58</f>
        <v>0</v>
      </c>
      <c r="W56" s="79">
        <f t="shared" ref="W56" si="513">$B55/24/$D58</f>
        <v>0</v>
      </c>
      <c r="X56" s="79">
        <f t="shared" ref="X56" si="514">$B55/24/$D58</f>
        <v>0</v>
      </c>
      <c r="Y56" s="79">
        <f t="shared" ref="Y56" si="515">$B55/24/$D58</f>
        <v>0</v>
      </c>
      <c r="Z56" s="79">
        <f t="shared" ref="Z56" si="516">$B55/24/$D58</f>
        <v>0</v>
      </c>
      <c r="AA56" s="79">
        <f t="shared" ref="AA56" si="517">$B55/24/$D58</f>
        <v>0</v>
      </c>
      <c r="AB56" s="79">
        <f t="shared" ref="AB56" si="518">$B55/24/$D58</f>
        <v>0</v>
      </c>
      <c r="AC56" s="90">
        <f t="shared" ref="AC56:AC57" si="519">+SUM(E56:AB56)*D56</f>
        <v>0</v>
      </c>
      <c r="AD56" s="98"/>
      <c r="AE56" s="98"/>
      <c r="AF56" s="98" t="s">
        <v>72</v>
      </c>
      <c r="AG56" s="98">
        <v>12</v>
      </c>
    </row>
    <row r="57" spans="1:33" ht="14" x14ac:dyDescent="0.25">
      <c r="A57" s="137"/>
      <c r="B57" s="139"/>
      <c r="C57" s="63" t="s">
        <v>43</v>
      </c>
      <c r="D57" s="64">
        <f>VLOOKUP(A55&amp;C57,calendario!I:L,4,0)</f>
        <v>5</v>
      </c>
      <c r="E57" s="82">
        <f>$B55/24/$D58</f>
        <v>0</v>
      </c>
      <c r="F57" s="82">
        <f t="shared" ref="F57" si="520">$B55/24/$D58</f>
        <v>0</v>
      </c>
      <c r="G57" s="82">
        <f t="shared" ref="G57" si="521">$B55/24/$D58</f>
        <v>0</v>
      </c>
      <c r="H57" s="82">
        <f t="shared" ref="H57" si="522">$B55/24/$D58</f>
        <v>0</v>
      </c>
      <c r="I57" s="82">
        <f t="shared" ref="I57" si="523">$B55/24/$D58</f>
        <v>0</v>
      </c>
      <c r="J57" s="82">
        <f t="shared" ref="J57" si="524">$B55/24/$D58</f>
        <v>0</v>
      </c>
      <c r="K57" s="82">
        <f t="shared" ref="K57" si="525">$B55/24/$D58</f>
        <v>0</v>
      </c>
      <c r="L57" s="82">
        <f t="shared" ref="L57" si="526">$B55/24/$D58</f>
        <v>0</v>
      </c>
      <c r="M57" s="82">
        <f t="shared" ref="M57" si="527">$B55/24/$D58</f>
        <v>0</v>
      </c>
      <c r="N57" s="82">
        <f t="shared" ref="N57" si="528">$B55/24/$D58</f>
        <v>0</v>
      </c>
      <c r="O57" s="82">
        <f t="shared" ref="O57" si="529">$B55/24/$D58</f>
        <v>0</v>
      </c>
      <c r="P57" s="82">
        <f t="shared" ref="P57" si="530">$B55/24/$D58</f>
        <v>0</v>
      </c>
      <c r="Q57" s="82">
        <f t="shared" ref="Q57" si="531">$B55/24/$D58</f>
        <v>0</v>
      </c>
      <c r="R57" s="82">
        <f t="shared" ref="R57" si="532">$B55/24/$D58</f>
        <v>0</v>
      </c>
      <c r="S57" s="82">
        <f t="shared" ref="S57" si="533">$B55/24/$D58</f>
        <v>0</v>
      </c>
      <c r="T57" s="82">
        <f t="shared" ref="T57" si="534">$B55/24/$D58</f>
        <v>0</v>
      </c>
      <c r="U57" s="82">
        <f t="shared" ref="U57" si="535">$B55/24/$D58</f>
        <v>0</v>
      </c>
      <c r="V57" s="82">
        <f t="shared" ref="V57" si="536">$B55/24/$D58</f>
        <v>0</v>
      </c>
      <c r="W57" s="82">
        <f t="shared" ref="W57" si="537">$B55/24/$D58</f>
        <v>0</v>
      </c>
      <c r="X57" s="82">
        <f t="shared" ref="X57" si="538">$B55/24/$D58</f>
        <v>0</v>
      </c>
      <c r="Y57" s="82">
        <f t="shared" ref="Y57" si="539">$B55/24/$D58</f>
        <v>0</v>
      </c>
      <c r="Z57" s="82">
        <f t="shared" ref="Z57" si="540">$B55/24/$D58</f>
        <v>0</v>
      </c>
      <c r="AA57" s="82">
        <f t="shared" ref="AA57" si="541">$B55/24/$D58</f>
        <v>0</v>
      </c>
      <c r="AB57" s="82">
        <f t="shared" ref="AB57" si="542">$B55/24/$D58</f>
        <v>0</v>
      </c>
      <c r="AC57" s="91">
        <f t="shared" si="519"/>
        <v>0</v>
      </c>
      <c r="AD57" s="98"/>
      <c r="AE57" s="98"/>
      <c r="AF57" s="98" t="s">
        <v>73</v>
      </c>
      <c r="AG57" s="98">
        <v>12</v>
      </c>
    </row>
    <row r="58" spans="1:33" ht="14.5" thickBot="1" x14ac:dyDescent="0.3">
      <c r="A58" s="138"/>
      <c r="B58" s="140"/>
      <c r="C58" s="65" t="s">
        <v>27</v>
      </c>
      <c r="D58" s="66">
        <f t="shared" ref="D58" si="543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6">
        <f t="shared" ref="AC58" si="544">+SUM(AC55:AC57)</f>
        <v>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74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76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G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FF09-E343-4E86-B839-79FF270AFB72}">
  <sheetPr>
    <tabColor theme="0" tint="-0.249977111117893"/>
  </sheetPr>
  <dimension ref="A1:L5902"/>
  <sheetViews>
    <sheetView topLeftCell="A554" workbookViewId="0">
      <selection activeCell="C39" sqref="A39:XFD39"/>
    </sheetView>
  </sheetViews>
  <sheetFormatPr baseColWidth="10" defaultColWidth="11.453125" defaultRowHeight="12.5" x14ac:dyDescent="0.25"/>
  <sheetData>
    <row r="1" spans="1:12" x14ac:dyDescent="0.25">
      <c r="A1" s="88" t="str">
        <f>MONTH(B1)&amp;"-"&amp;YEAR(B1)</f>
        <v>1-2023</v>
      </c>
      <c r="B1" s="86">
        <v>44927</v>
      </c>
      <c r="C1" t="str">
        <f>VLOOKUP(WEEKDAY($B1,2),$F$1:$H$7,2)</f>
        <v>DOM</v>
      </c>
      <c r="D1" t="str">
        <f>VLOOKUP(WEEKDAY($B1,2),$F$1:$H$7,3)</f>
        <v>Domingo</v>
      </c>
      <c r="F1">
        <v>1</v>
      </c>
      <c r="G1" s="87" t="s">
        <v>40</v>
      </c>
      <c r="H1" s="87" t="s">
        <v>77</v>
      </c>
      <c r="I1" t="str">
        <f>J1&amp;K1</f>
        <v>1-2023DOM</v>
      </c>
      <c r="J1" t="s">
        <v>78</v>
      </c>
      <c r="K1" t="s">
        <v>43</v>
      </c>
      <c r="L1">
        <f>COUNTIFS(C:C,K1,A:A,J1)</f>
        <v>5</v>
      </c>
    </row>
    <row r="2" spans="1:12" x14ac:dyDescent="0.25">
      <c r="A2" s="88" t="str">
        <f t="shared" ref="A2:A65" si="0">MONTH(B2)&amp;"-"&amp;YEAR(B2)</f>
        <v>1-2023</v>
      </c>
      <c r="B2" s="86">
        <v>44928</v>
      </c>
      <c r="C2" t="str">
        <f>VLOOKUP(WEEKDAY(B2,2),$F$1:$H$7,2)</f>
        <v>L-V</v>
      </c>
      <c r="D2" t="str">
        <f>VLOOKUP(WEEKDAY($B2,2),$F$1:$H$7,3)</f>
        <v>Lunes</v>
      </c>
      <c r="F2">
        <v>2</v>
      </c>
      <c r="G2" s="87" t="s">
        <v>40</v>
      </c>
      <c r="H2" s="87" t="s">
        <v>79</v>
      </c>
      <c r="I2" t="str">
        <f t="shared" ref="I2:I65" si="1">J2&amp;K2</f>
        <v>1-2023L-V</v>
      </c>
      <c r="J2" t="s">
        <v>78</v>
      </c>
      <c r="K2" t="s">
        <v>40</v>
      </c>
      <c r="L2">
        <f t="shared" ref="L2:L65" si="2">COUNTIFS(C:C,K2,A:A,J2)</f>
        <v>22</v>
      </c>
    </row>
    <row r="3" spans="1:12" x14ac:dyDescent="0.25">
      <c r="A3" s="88" t="str">
        <f t="shared" si="0"/>
        <v>1-2023</v>
      </c>
      <c r="B3" s="86">
        <v>44929</v>
      </c>
      <c r="C3" t="str">
        <f t="shared" ref="C3:C66" si="3">VLOOKUP(WEEKDAY(B3,2),$F$1:$H$7,2)</f>
        <v>L-V</v>
      </c>
      <c r="D3" t="str">
        <f t="shared" ref="D3:D66" si="4">VLOOKUP(WEEKDAY($B3,2),$F$1:$H$7,3)</f>
        <v>Martes</v>
      </c>
      <c r="F3">
        <v>3</v>
      </c>
      <c r="G3" s="87" t="s">
        <v>40</v>
      </c>
      <c r="H3" s="87" t="s">
        <v>80</v>
      </c>
      <c r="I3" t="str">
        <f t="shared" si="1"/>
        <v>1-2023SAB</v>
      </c>
      <c r="J3" t="s">
        <v>78</v>
      </c>
      <c r="K3" t="s">
        <v>41</v>
      </c>
      <c r="L3">
        <f t="shared" si="2"/>
        <v>4</v>
      </c>
    </row>
    <row r="4" spans="1:12" x14ac:dyDescent="0.25">
      <c r="A4" s="88" t="str">
        <f t="shared" si="0"/>
        <v>1-2023</v>
      </c>
      <c r="B4" s="86">
        <v>44930</v>
      </c>
      <c r="C4" t="str">
        <f t="shared" si="3"/>
        <v>L-V</v>
      </c>
      <c r="D4" t="str">
        <f t="shared" si="4"/>
        <v>Miércoles</v>
      </c>
      <c r="F4">
        <v>4</v>
      </c>
      <c r="G4" s="87" t="s">
        <v>40</v>
      </c>
      <c r="H4" s="87" t="s">
        <v>81</v>
      </c>
      <c r="I4" t="str">
        <f t="shared" si="1"/>
        <v>2-2023L-V</v>
      </c>
      <c r="J4" t="s">
        <v>82</v>
      </c>
      <c r="K4" t="s">
        <v>40</v>
      </c>
      <c r="L4">
        <f t="shared" si="2"/>
        <v>20</v>
      </c>
    </row>
    <row r="5" spans="1:12" x14ac:dyDescent="0.25">
      <c r="A5" s="88" t="str">
        <f t="shared" si="0"/>
        <v>1-2023</v>
      </c>
      <c r="B5" s="86">
        <v>44931</v>
      </c>
      <c r="C5" t="str">
        <f t="shared" si="3"/>
        <v>L-V</v>
      </c>
      <c r="D5" t="str">
        <f t="shared" si="4"/>
        <v>Jueves</v>
      </c>
      <c r="F5">
        <v>5</v>
      </c>
      <c r="G5" s="87" t="s">
        <v>40</v>
      </c>
      <c r="H5" s="87" t="s">
        <v>83</v>
      </c>
      <c r="I5" t="str">
        <f t="shared" si="1"/>
        <v>2-2023SAB</v>
      </c>
      <c r="J5" t="s">
        <v>82</v>
      </c>
      <c r="K5" t="s">
        <v>41</v>
      </c>
      <c r="L5">
        <f t="shared" si="2"/>
        <v>4</v>
      </c>
    </row>
    <row r="6" spans="1:12" x14ac:dyDescent="0.25">
      <c r="A6" s="88" t="str">
        <f t="shared" si="0"/>
        <v>1-2023</v>
      </c>
      <c r="B6" s="86">
        <v>44932</v>
      </c>
      <c r="C6" t="str">
        <f t="shared" si="3"/>
        <v>L-V</v>
      </c>
      <c r="D6" t="str">
        <f t="shared" si="4"/>
        <v>Viernes</v>
      </c>
      <c r="F6">
        <v>6</v>
      </c>
      <c r="G6" s="87" t="s">
        <v>41</v>
      </c>
      <c r="H6" s="87" t="s">
        <v>84</v>
      </c>
      <c r="I6" t="str">
        <f t="shared" si="1"/>
        <v>2-2023DOM</v>
      </c>
      <c r="J6" t="s">
        <v>82</v>
      </c>
      <c r="K6" t="s">
        <v>43</v>
      </c>
      <c r="L6">
        <f t="shared" si="2"/>
        <v>4</v>
      </c>
    </row>
    <row r="7" spans="1:12" x14ac:dyDescent="0.25">
      <c r="A7" s="88" t="str">
        <f t="shared" si="0"/>
        <v>1-2023</v>
      </c>
      <c r="B7" s="86">
        <v>44933</v>
      </c>
      <c r="C7" t="str">
        <f t="shared" si="3"/>
        <v>SAB</v>
      </c>
      <c r="D7" t="str">
        <f t="shared" si="4"/>
        <v>Sábado</v>
      </c>
      <c r="F7">
        <v>7</v>
      </c>
      <c r="G7" s="87" t="s">
        <v>43</v>
      </c>
      <c r="H7" s="87" t="s">
        <v>85</v>
      </c>
      <c r="I7" t="str">
        <f t="shared" si="1"/>
        <v>3-2023L-V</v>
      </c>
      <c r="J7" t="s">
        <v>86</v>
      </c>
      <c r="K7" t="s">
        <v>40</v>
      </c>
      <c r="L7">
        <f t="shared" si="2"/>
        <v>23</v>
      </c>
    </row>
    <row r="8" spans="1:12" x14ac:dyDescent="0.25">
      <c r="A8" s="88" t="str">
        <f t="shared" si="0"/>
        <v>1-2023</v>
      </c>
      <c r="B8" s="86">
        <v>44934</v>
      </c>
      <c r="C8" t="str">
        <f t="shared" si="3"/>
        <v>DOM</v>
      </c>
      <c r="D8" t="str">
        <f t="shared" si="4"/>
        <v>Domingo</v>
      </c>
      <c r="I8" t="str">
        <f t="shared" si="1"/>
        <v>3-2023SAB</v>
      </c>
      <c r="J8" t="s">
        <v>86</v>
      </c>
      <c r="K8" t="s">
        <v>41</v>
      </c>
      <c r="L8">
        <f t="shared" si="2"/>
        <v>4</v>
      </c>
    </row>
    <row r="9" spans="1:12" x14ac:dyDescent="0.25">
      <c r="A9" s="88" t="str">
        <f t="shared" si="0"/>
        <v>1-2023</v>
      </c>
      <c r="B9" s="86">
        <v>44935</v>
      </c>
      <c r="C9" t="str">
        <f t="shared" si="3"/>
        <v>L-V</v>
      </c>
      <c r="D9" t="str">
        <f t="shared" si="4"/>
        <v>Lunes</v>
      </c>
      <c r="I9" t="str">
        <f t="shared" si="1"/>
        <v>3-2023DOM</v>
      </c>
      <c r="J9" t="s">
        <v>86</v>
      </c>
      <c r="K9" t="s">
        <v>43</v>
      </c>
      <c r="L9">
        <f t="shared" si="2"/>
        <v>4</v>
      </c>
    </row>
    <row r="10" spans="1:12" x14ac:dyDescent="0.25">
      <c r="A10" s="88" t="str">
        <f t="shared" si="0"/>
        <v>1-2023</v>
      </c>
      <c r="B10" s="86">
        <v>44936</v>
      </c>
      <c r="C10" t="str">
        <f t="shared" si="3"/>
        <v>L-V</v>
      </c>
      <c r="D10" t="str">
        <f t="shared" si="4"/>
        <v>Martes</v>
      </c>
      <c r="I10" t="str">
        <f t="shared" si="1"/>
        <v>4-2023SAB</v>
      </c>
      <c r="J10" t="s">
        <v>87</v>
      </c>
      <c r="K10" t="s">
        <v>41</v>
      </c>
      <c r="L10">
        <f t="shared" si="2"/>
        <v>5</v>
      </c>
    </row>
    <row r="11" spans="1:12" x14ac:dyDescent="0.25">
      <c r="A11" s="88" t="str">
        <f t="shared" si="0"/>
        <v>1-2023</v>
      </c>
      <c r="B11" s="86">
        <v>44937</v>
      </c>
      <c r="C11" t="str">
        <f t="shared" si="3"/>
        <v>L-V</v>
      </c>
      <c r="D11" t="str">
        <f t="shared" si="4"/>
        <v>Miércoles</v>
      </c>
      <c r="I11" t="str">
        <f t="shared" si="1"/>
        <v>4-2023DOM</v>
      </c>
      <c r="J11" t="s">
        <v>87</v>
      </c>
      <c r="K11" t="s">
        <v>43</v>
      </c>
      <c r="L11">
        <f t="shared" si="2"/>
        <v>5</v>
      </c>
    </row>
    <row r="12" spans="1:12" x14ac:dyDescent="0.25">
      <c r="A12" s="88" t="str">
        <f t="shared" si="0"/>
        <v>1-2023</v>
      </c>
      <c r="B12" s="86">
        <v>44938</v>
      </c>
      <c r="C12" t="str">
        <f t="shared" si="3"/>
        <v>L-V</v>
      </c>
      <c r="D12" t="str">
        <f t="shared" si="4"/>
        <v>Jueves</v>
      </c>
      <c r="I12" t="str">
        <f t="shared" si="1"/>
        <v>4-2023L-V</v>
      </c>
      <c r="J12" t="s">
        <v>87</v>
      </c>
      <c r="K12" t="s">
        <v>40</v>
      </c>
      <c r="L12">
        <f t="shared" si="2"/>
        <v>20</v>
      </c>
    </row>
    <row r="13" spans="1:12" x14ac:dyDescent="0.25">
      <c r="A13" s="88" t="str">
        <f t="shared" si="0"/>
        <v>1-2023</v>
      </c>
      <c r="B13" s="86">
        <v>44939</v>
      </c>
      <c r="C13" t="str">
        <f t="shared" si="3"/>
        <v>L-V</v>
      </c>
      <c r="D13" t="str">
        <f t="shared" si="4"/>
        <v>Viernes</v>
      </c>
      <c r="I13" t="str">
        <f t="shared" si="1"/>
        <v>5-2023L-V</v>
      </c>
      <c r="J13" t="s">
        <v>88</v>
      </c>
      <c r="K13" t="s">
        <v>40</v>
      </c>
      <c r="L13">
        <f t="shared" si="2"/>
        <v>23</v>
      </c>
    </row>
    <row r="14" spans="1:12" x14ac:dyDescent="0.25">
      <c r="A14" s="88" t="str">
        <f t="shared" si="0"/>
        <v>1-2023</v>
      </c>
      <c r="B14" s="86">
        <v>44940</v>
      </c>
      <c r="C14" t="str">
        <f t="shared" si="3"/>
        <v>SAB</v>
      </c>
      <c r="D14" t="str">
        <f t="shared" si="4"/>
        <v>Sábado</v>
      </c>
      <c r="I14" t="str">
        <f t="shared" si="1"/>
        <v>5-2023SAB</v>
      </c>
      <c r="J14" t="s">
        <v>88</v>
      </c>
      <c r="K14" t="s">
        <v>41</v>
      </c>
      <c r="L14">
        <f t="shared" si="2"/>
        <v>4</v>
      </c>
    </row>
    <row r="15" spans="1:12" x14ac:dyDescent="0.25">
      <c r="A15" s="88" t="str">
        <f t="shared" si="0"/>
        <v>1-2023</v>
      </c>
      <c r="B15" s="86">
        <v>44941</v>
      </c>
      <c r="C15" t="str">
        <f t="shared" si="3"/>
        <v>DOM</v>
      </c>
      <c r="D15" t="str">
        <f t="shared" si="4"/>
        <v>Domingo</v>
      </c>
      <c r="I15" t="str">
        <f t="shared" si="1"/>
        <v>5-2023DOM</v>
      </c>
      <c r="J15" t="s">
        <v>88</v>
      </c>
      <c r="K15" t="s">
        <v>43</v>
      </c>
      <c r="L15">
        <f t="shared" si="2"/>
        <v>4</v>
      </c>
    </row>
    <row r="16" spans="1:12" x14ac:dyDescent="0.25">
      <c r="A16" s="88" t="str">
        <f t="shared" si="0"/>
        <v>1-2023</v>
      </c>
      <c r="B16" s="86">
        <v>44942</v>
      </c>
      <c r="C16" t="str">
        <f t="shared" si="3"/>
        <v>L-V</v>
      </c>
      <c r="D16" t="str">
        <f t="shared" si="4"/>
        <v>Lunes</v>
      </c>
      <c r="I16" t="str">
        <f t="shared" si="1"/>
        <v>6-2023L-V</v>
      </c>
      <c r="J16" t="s">
        <v>89</v>
      </c>
      <c r="K16" t="s">
        <v>40</v>
      </c>
      <c r="L16">
        <f t="shared" si="2"/>
        <v>22</v>
      </c>
    </row>
    <row r="17" spans="1:12" x14ac:dyDescent="0.25">
      <c r="A17" s="88" t="str">
        <f t="shared" si="0"/>
        <v>1-2023</v>
      </c>
      <c r="B17" s="86">
        <v>44943</v>
      </c>
      <c r="C17" t="str">
        <f t="shared" si="3"/>
        <v>L-V</v>
      </c>
      <c r="D17" t="str">
        <f t="shared" si="4"/>
        <v>Martes</v>
      </c>
      <c r="I17" t="str">
        <f t="shared" si="1"/>
        <v>6-2023SAB</v>
      </c>
      <c r="J17" t="s">
        <v>89</v>
      </c>
      <c r="K17" t="s">
        <v>41</v>
      </c>
      <c r="L17">
        <f t="shared" si="2"/>
        <v>4</v>
      </c>
    </row>
    <row r="18" spans="1:12" x14ac:dyDescent="0.25">
      <c r="A18" s="88" t="str">
        <f t="shared" si="0"/>
        <v>1-2023</v>
      </c>
      <c r="B18" s="86">
        <v>44944</v>
      </c>
      <c r="C18" t="str">
        <f t="shared" si="3"/>
        <v>L-V</v>
      </c>
      <c r="D18" t="str">
        <f t="shared" si="4"/>
        <v>Miércoles</v>
      </c>
      <c r="I18" t="str">
        <f t="shared" si="1"/>
        <v>6-2023DOM</v>
      </c>
      <c r="J18" t="s">
        <v>89</v>
      </c>
      <c r="K18" t="s">
        <v>43</v>
      </c>
      <c r="L18">
        <f t="shared" si="2"/>
        <v>4</v>
      </c>
    </row>
    <row r="19" spans="1:12" x14ac:dyDescent="0.25">
      <c r="A19" s="88" t="str">
        <f t="shared" si="0"/>
        <v>1-2023</v>
      </c>
      <c r="B19" s="86">
        <v>44945</v>
      </c>
      <c r="C19" t="str">
        <f t="shared" si="3"/>
        <v>L-V</v>
      </c>
      <c r="D19" t="str">
        <f t="shared" si="4"/>
        <v>Jueves</v>
      </c>
      <c r="I19" t="str">
        <f t="shared" si="1"/>
        <v>7-2023SAB</v>
      </c>
      <c r="J19" t="s">
        <v>90</v>
      </c>
      <c r="K19" t="s">
        <v>41</v>
      </c>
      <c r="L19">
        <f t="shared" si="2"/>
        <v>5</v>
      </c>
    </row>
    <row r="20" spans="1:12" x14ac:dyDescent="0.25">
      <c r="A20" s="88" t="str">
        <f t="shared" si="0"/>
        <v>1-2023</v>
      </c>
      <c r="B20" s="86">
        <v>44946</v>
      </c>
      <c r="C20" t="str">
        <f t="shared" si="3"/>
        <v>L-V</v>
      </c>
      <c r="D20" t="str">
        <f t="shared" si="4"/>
        <v>Viernes</v>
      </c>
      <c r="I20" t="str">
        <f t="shared" si="1"/>
        <v>7-2023DOM</v>
      </c>
      <c r="J20" t="s">
        <v>90</v>
      </c>
      <c r="K20" t="s">
        <v>43</v>
      </c>
      <c r="L20">
        <f t="shared" si="2"/>
        <v>5</v>
      </c>
    </row>
    <row r="21" spans="1:12" x14ac:dyDescent="0.25">
      <c r="A21" s="88" t="str">
        <f t="shared" si="0"/>
        <v>1-2023</v>
      </c>
      <c r="B21" s="86">
        <v>44947</v>
      </c>
      <c r="C21" t="str">
        <f t="shared" si="3"/>
        <v>SAB</v>
      </c>
      <c r="D21" t="str">
        <f t="shared" si="4"/>
        <v>Sábado</v>
      </c>
      <c r="I21" t="str">
        <f t="shared" si="1"/>
        <v>7-2023L-V</v>
      </c>
      <c r="J21" t="s">
        <v>90</v>
      </c>
      <c r="K21" t="s">
        <v>40</v>
      </c>
      <c r="L21">
        <f t="shared" si="2"/>
        <v>21</v>
      </c>
    </row>
    <row r="22" spans="1:12" x14ac:dyDescent="0.25">
      <c r="A22" s="88" t="str">
        <f t="shared" si="0"/>
        <v>1-2023</v>
      </c>
      <c r="B22" s="86">
        <v>44948</v>
      </c>
      <c r="C22" t="str">
        <f t="shared" si="3"/>
        <v>DOM</v>
      </c>
      <c r="D22" t="str">
        <f t="shared" si="4"/>
        <v>Domingo</v>
      </c>
      <c r="I22" t="str">
        <f t="shared" si="1"/>
        <v>8-2023L-V</v>
      </c>
      <c r="J22" t="s">
        <v>91</v>
      </c>
      <c r="K22" t="s">
        <v>40</v>
      </c>
      <c r="L22">
        <f t="shared" si="2"/>
        <v>23</v>
      </c>
    </row>
    <row r="23" spans="1:12" x14ac:dyDescent="0.25">
      <c r="A23" s="88" t="str">
        <f t="shared" si="0"/>
        <v>1-2023</v>
      </c>
      <c r="B23" s="86">
        <v>44949</v>
      </c>
      <c r="C23" t="str">
        <f t="shared" si="3"/>
        <v>L-V</v>
      </c>
      <c r="D23" t="str">
        <f t="shared" si="4"/>
        <v>Lunes</v>
      </c>
      <c r="I23" t="str">
        <f t="shared" si="1"/>
        <v>8-2023SAB</v>
      </c>
      <c r="J23" t="s">
        <v>91</v>
      </c>
      <c r="K23" t="s">
        <v>41</v>
      </c>
      <c r="L23">
        <f t="shared" si="2"/>
        <v>4</v>
      </c>
    </row>
    <row r="24" spans="1:12" x14ac:dyDescent="0.25">
      <c r="A24" s="88" t="str">
        <f t="shared" si="0"/>
        <v>1-2023</v>
      </c>
      <c r="B24" s="86">
        <v>44950</v>
      </c>
      <c r="C24" t="str">
        <f t="shared" si="3"/>
        <v>L-V</v>
      </c>
      <c r="D24" t="str">
        <f t="shared" si="4"/>
        <v>Martes</v>
      </c>
      <c r="I24" t="str">
        <f t="shared" si="1"/>
        <v>8-2023DOM</v>
      </c>
      <c r="J24" t="s">
        <v>91</v>
      </c>
      <c r="K24" t="s">
        <v>43</v>
      </c>
      <c r="L24">
        <f t="shared" si="2"/>
        <v>4</v>
      </c>
    </row>
    <row r="25" spans="1:12" x14ac:dyDescent="0.25">
      <c r="A25" s="88" t="str">
        <f t="shared" si="0"/>
        <v>1-2023</v>
      </c>
      <c r="B25" s="86">
        <v>44951</v>
      </c>
      <c r="C25" t="str">
        <f t="shared" si="3"/>
        <v>L-V</v>
      </c>
      <c r="D25" t="str">
        <f t="shared" si="4"/>
        <v>Miércoles</v>
      </c>
      <c r="I25" t="str">
        <f t="shared" si="1"/>
        <v>9-2023L-V</v>
      </c>
      <c r="J25" t="s">
        <v>92</v>
      </c>
      <c r="K25" t="s">
        <v>40</v>
      </c>
      <c r="L25">
        <f t="shared" si="2"/>
        <v>21</v>
      </c>
    </row>
    <row r="26" spans="1:12" x14ac:dyDescent="0.25">
      <c r="A26" s="88" t="str">
        <f t="shared" si="0"/>
        <v>1-2023</v>
      </c>
      <c r="B26" s="86">
        <v>44952</v>
      </c>
      <c r="C26" t="str">
        <f t="shared" si="3"/>
        <v>L-V</v>
      </c>
      <c r="D26" t="str">
        <f t="shared" si="4"/>
        <v>Jueves</v>
      </c>
      <c r="I26" t="str">
        <f t="shared" si="1"/>
        <v>9-2023SAB</v>
      </c>
      <c r="J26" t="s">
        <v>92</v>
      </c>
      <c r="K26" t="s">
        <v>41</v>
      </c>
      <c r="L26">
        <f t="shared" si="2"/>
        <v>5</v>
      </c>
    </row>
    <row r="27" spans="1:12" x14ac:dyDescent="0.25">
      <c r="A27" s="88" t="str">
        <f t="shared" si="0"/>
        <v>1-2023</v>
      </c>
      <c r="B27" s="86">
        <v>44953</v>
      </c>
      <c r="C27" t="str">
        <f t="shared" si="3"/>
        <v>L-V</v>
      </c>
      <c r="D27" t="str">
        <f t="shared" si="4"/>
        <v>Viernes</v>
      </c>
      <c r="I27" t="str">
        <f t="shared" si="1"/>
        <v>9-2023DOM</v>
      </c>
      <c r="J27" t="s">
        <v>92</v>
      </c>
      <c r="K27" t="s">
        <v>43</v>
      </c>
      <c r="L27">
        <f t="shared" si="2"/>
        <v>4</v>
      </c>
    </row>
    <row r="28" spans="1:12" x14ac:dyDescent="0.25">
      <c r="A28" s="88" t="str">
        <f t="shared" si="0"/>
        <v>1-2023</v>
      </c>
      <c r="B28" s="86">
        <v>44954</v>
      </c>
      <c r="C28" t="str">
        <f t="shared" si="3"/>
        <v>SAB</v>
      </c>
      <c r="D28" t="str">
        <f t="shared" si="4"/>
        <v>Sábado</v>
      </c>
      <c r="I28" t="str">
        <f t="shared" si="1"/>
        <v>10-2023DOM</v>
      </c>
      <c r="J28" t="s">
        <v>93</v>
      </c>
      <c r="K28" t="s">
        <v>43</v>
      </c>
      <c r="L28">
        <f t="shared" si="2"/>
        <v>5</v>
      </c>
    </row>
    <row r="29" spans="1:12" x14ac:dyDescent="0.25">
      <c r="A29" s="88" t="str">
        <f t="shared" si="0"/>
        <v>1-2023</v>
      </c>
      <c r="B29" s="86">
        <v>44955</v>
      </c>
      <c r="C29" t="str">
        <f t="shared" si="3"/>
        <v>DOM</v>
      </c>
      <c r="D29" t="str">
        <f t="shared" si="4"/>
        <v>Domingo</v>
      </c>
      <c r="I29" t="str">
        <f t="shared" si="1"/>
        <v>10-2023L-V</v>
      </c>
      <c r="J29" t="s">
        <v>93</v>
      </c>
      <c r="K29" t="s">
        <v>40</v>
      </c>
      <c r="L29">
        <f t="shared" si="2"/>
        <v>22</v>
      </c>
    </row>
    <row r="30" spans="1:12" x14ac:dyDescent="0.25">
      <c r="A30" s="88" t="str">
        <f t="shared" si="0"/>
        <v>1-2023</v>
      </c>
      <c r="B30" s="86">
        <v>44956</v>
      </c>
      <c r="C30" t="str">
        <f t="shared" si="3"/>
        <v>L-V</v>
      </c>
      <c r="D30" t="str">
        <f t="shared" si="4"/>
        <v>Lunes</v>
      </c>
      <c r="I30" t="str">
        <f t="shared" si="1"/>
        <v>10-2023SAB</v>
      </c>
      <c r="J30" t="s">
        <v>93</v>
      </c>
      <c r="K30" t="s">
        <v>41</v>
      </c>
      <c r="L30">
        <f t="shared" si="2"/>
        <v>4</v>
      </c>
    </row>
    <row r="31" spans="1:12" x14ac:dyDescent="0.25">
      <c r="A31" s="88" t="str">
        <f t="shared" si="0"/>
        <v>1-2023</v>
      </c>
      <c r="B31" s="86">
        <v>44957</v>
      </c>
      <c r="C31" t="str">
        <f t="shared" si="3"/>
        <v>L-V</v>
      </c>
      <c r="D31" t="str">
        <f t="shared" si="4"/>
        <v>Martes</v>
      </c>
      <c r="I31" t="str">
        <f t="shared" si="1"/>
        <v>11-2023L-V</v>
      </c>
      <c r="J31" t="s">
        <v>94</v>
      </c>
      <c r="K31" t="s">
        <v>40</v>
      </c>
      <c r="L31">
        <f t="shared" si="2"/>
        <v>22</v>
      </c>
    </row>
    <row r="32" spans="1:12" x14ac:dyDescent="0.25">
      <c r="A32" s="88" t="str">
        <f t="shared" si="0"/>
        <v>2-2023</v>
      </c>
      <c r="B32" s="86">
        <v>44958</v>
      </c>
      <c r="C32" t="str">
        <f t="shared" si="3"/>
        <v>L-V</v>
      </c>
      <c r="D32" t="str">
        <f t="shared" si="4"/>
        <v>Miércoles</v>
      </c>
      <c r="I32" t="str">
        <f t="shared" si="1"/>
        <v>11-2023SAB</v>
      </c>
      <c r="J32" t="s">
        <v>94</v>
      </c>
      <c r="K32" t="s">
        <v>41</v>
      </c>
      <c r="L32">
        <f t="shared" si="2"/>
        <v>4</v>
      </c>
    </row>
    <row r="33" spans="1:12" x14ac:dyDescent="0.25">
      <c r="A33" s="88" t="str">
        <f t="shared" si="0"/>
        <v>2-2023</v>
      </c>
      <c r="B33" s="86">
        <v>44959</v>
      </c>
      <c r="C33" t="str">
        <f t="shared" si="3"/>
        <v>L-V</v>
      </c>
      <c r="D33" t="str">
        <f t="shared" si="4"/>
        <v>Jueves</v>
      </c>
      <c r="I33" t="str">
        <f t="shared" si="1"/>
        <v>11-2023DOM</v>
      </c>
      <c r="J33" t="s">
        <v>94</v>
      </c>
      <c r="K33" t="s">
        <v>43</v>
      </c>
      <c r="L33">
        <f t="shared" si="2"/>
        <v>4</v>
      </c>
    </row>
    <row r="34" spans="1:12" x14ac:dyDescent="0.25">
      <c r="A34" s="88" t="str">
        <f t="shared" si="0"/>
        <v>2-2023</v>
      </c>
      <c r="B34" s="86">
        <v>44960</v>
      </c>
      <c r="C34" t="str">
        <f t="shared" si="3"/>
        <v>L-V</v>
      </c>
      <c r="D34" t="str">
        <f t="shared" si="4"/>
        <v>Viernes</v>
      </c>
      <c r="I34" t="str">
        <f t="shared" si="1"/>
        <v>12-2023L-V</v>
      </c>
      <c r="J34" t="s">
        <v>95</v>
      </c>
      <c r="K34" t="s">
        <v>40</v>
      </c>
      <c r="L34">
        <f t="shared" si="2"/>
        <v>21</v>
      </c>
    </row>
    <row r="35" spans="1:12" x14ac:dyDescent="0.25">
      <c r="A35" s="88" t="str">
        <f t="shared" si="0"/>
        <v>2-2023</v>
      </c>
      <c r="B35" s="86">
        <v>44961</v>
      </c>
      <c r="C35" t="str">
        <f t="shared" si="3"/>
        <v>SAB</v>
      </c>
      <c r="D35" t="str">
        <f t="shared" si="4"/>
        <v>Sábado</v>
      </c>
      <c r="I35" t="str">
        <f t="shared" si="1"/>
        <v>12-2023SAB</v>
      </c>
      <c r="J35" t="s">
        <v>95</v>
      </c>
      <c r="K35" t="s">
        <v>41</v>
      </c>
      <c r="L35">
        <f t="shared" si="2"/>
        <v>5</v>
      </c>
    </row>
    <row r="36" spans="1:12" x14ac:dyDescent="0.25">
      <c r="A36" s="88" t="str">
        <f t="shared" si="0"/>
        <v>2-2023</v>
      </c>
      <c r="B36" s="86">
        <v>44962</v>
      </c>
      <c r="C36" t="str">
        <f t="shared" si="3"/>
        <v>DOM</v>
      </c>
      <c r="D36" t="str">
        <f t="shared" si="4"/>
        <v>Domingo</v>
      </c>
      <c r="I36" t="str">
        <f t="shared" si="1"/>
        <v>12-2023DOM</v>
      </c>
      <c r="J36" t="s">
        <v>95</v>
      </c>
      <c r="K36" t="s">
        <v>43</v>
      </c>
      <c r="L36">
        <f t="shared" si="2"/>
        <v>5</v>
      </c>
    </row>
    <row r="37" spans="1:12" x14ac:dyDescent="0.25">
      <c r="A37" s="88" t="str">
        <f t="shared" si="0"/>
        <v>2-2023</v>
      </c>
      <c r="B37" s="86">
        <v>44963</v>
      </c>
      <c r="C37" t="str">
        <f t="shared" si="3"/>
        <v>L-V</v>
      </c>
      <c r="D37" t="str">
        <f t="shared" si="4"/>
        <v>Lunes</v>
      </c>
      <c r="I37" t="str">
        <f t="shared" si="1"/>
        <v>1-2024L-V</v>
      </c>
      <c r="J37" t="s">
        <v>96</v>
      </c>
      <c r="K37" t="s">
        <v>40</v>
      </c>
      <c r="L37">
        <f t="shared" si="2"/>
        <v>23</v>
      </c>
    </row>
    <row r="38" spans="1:12" x14ac:dyDescent="0.25">
      <c r="A38" s="88" t="str">
        <f t="shared" si="0"/>
        <v>2-2023</v>
      </c>
      <c r="B38" s="86">
        <v>44964</v>
      </c>
      <c r="C38" t="str">
        <f t="shared" si="3"/>
        <v>L-V</v>
      </c>
      <c r="D38" t="str">
        <f t="shared" si="4"/>
        <v>Martes</v>
      </c>
      <c r="I38" t="str">
        <f t="shared" si="1"/>
        <v>1-2024SAB</v>
      </c>
      <c r="J38" t="s">
        <v>96</v>
      </c>
      <c r="K38" t="s">
        <v>41</v>
      </c>
      <c r="L38">
        <f t="shared" si="2"/>
        <v>4</v>
      </c>
    </row>
    <row r="39" spans="1:12" x14ac:dyDescent="0.25">
      <c r="A39" s="88" t="str">
        <f t="shared" si="0"/>
        <v>2-2023</v>
      </c>
      <c r="B39" s="86">
        <v>44965</v>
      </c>
      <c r="C39" t="str">
        <f t="shared" si="3"/>
        <v>L-V</v>
      </c>
      <c r="D39" t="str">
        <f t="shared" si="4"/>
        <v>Miércoles</v>
      </c>
      <c r="I39" t="str">
        <f t="shared" si="1"/>
        <v>1-2024DOM</v>
      </c>
      <c r="J39" t="s">
        <v>96</v>
      </c>
      <c r="K39" t="s">
        <v>43</v>
      </c>
      <c r="L39">
        <f t="shared" si="2"/>
        <v>4</v>
      </c>
    </row>
    <row r="40" spans="1:12" x14ac:dyDescent="0.25">
      <c r="A40" s="88" t="str">
        <f t="shared" si="0"/>
        <v>2-2023</v>
      </c>
      <c r="B40" s="86">
        <v>44966</v>
      </c>
      <c r="C40" t="str">
        <f t="shared" si="3"/>
        <v>L-V</v>
      </c>
      <c r="D40" t="str">
        <f t="shared" si="4"/>
        <v>Jueves</v>
      </c>
      <c r="I40" t="str">
        <f t="shared" si="1"/>
        <v>2-2024L-V</v>
      </c>
      <c r="J40" t="s">
        <v>97</v>
      </c>
      <c r="K40" t="s">
        <v>40</v>
      </c>
      <c r="L40">
        <f t="shared" si="2"/>
        <v>21</v>
      </c>
    </row>
    <row r="41" spans="1:12" x14ac:dyDescent="0.25">
      <c r="A41" s="88" t="str">
        <f t="shared" si="0"/>
        <v>2-2023</v>
      </c>
      <c r="B41" s="86">
        <v>44967</v>
      </c>
      <c r="C41" t="str">
        <f t="shared" si="3"/>
        <v>L-V</v>
      </c>
      <c r="D41" t="str">
        <f t="shared" si="4"/>
        <v>Viernes</v>
      </c>
      <c r="I41" t="str">
        <f t="shared" si="1"/>
        <v>2-2024SAB</v>
      </c>
      <c r="J41" t="s">
        <v>97</v>
      </c>
      <c r="K41" t="s">
        <v>41</v>
      </c>
      <c r="L41">
        <f t="shared" si="2"/>
        <v>4</v>
      </c>
    </row>
    <row r="42" spans="1:12" x14ac:dyDescent="0.25">
      <c r="A42" s="88" t="str">
        <f t="shared" si="0"/>
        <v>2-2023</v>
      </c>
      <c r="B42" s="86">
        <v>44968</v>
      </c>
      <c r="C42" t="str">
        <f t="shared" si="3"/>
        <v>SAB</v>
      </c>
      <c r="D42" t="str">
        <f t="shared" si="4"/>
        <v>Sábado</v>
      </c>
      <c r="I42" t="str">
        <f t="shared" si="1"/>
        <v>2-2024DOM</v>
      </c>
      <c r="J42" t="s">
        <v>97</v>
      </c>
      <c r="K42" t="s">
        <v>43</v>
      </c>
      <c r="L42">
        <f t="shared" si="2"/>
        <v>4</v>
      </c>
    </row>
    <row r="43" spans="1:12" x14ac:dyDescent="0.25">
      <c r="A43" s="88" t="str">
        <f t="shared" si="0"/>
        <v>2-2023</v>
      </c>
      <c r="B43" s="86">
        <v>44969</v>
      </c>
      <c r="C43" t="str">
        <f t="shared" si="3"/>
        <v>DOM</v>
      </c>
      <c r="D43" t="str">
        <f t="shared" si="4"/>
        <v>Domingo</v>
      </c>
      <c r="I43" t="str">
        <f t="shared" si="1"/>
        <v>3-2024L-V</v>
      </c>
      <c r="J43" t="s">
        <v>98</v>
      </c>
      <c r="K43" t="s">
        <v>40</v>
      </c>
      <c r="L43">
        <f t="shared" si="2"/>
        <v>21</v>
      </c>
    </row>
    <row r="44" spans="1:12" x14ac:dyDescent="0.25">
      <c r="A44" s="88" t="str">
        <f t="shared" si="0"/>
        <v>2-2023</v>
      </c>
      <c r="B44" s="86">
        <v>44970</v>
      </c>
      <c r="C44" t="str">
        <f t="shared" si="3"/>
        <v>L-V</v>
      </c>
      <c r="D44" t="str">
        <f t="shared" si="4"/>
        <v>Lunes</v>
      </c>
      <c r="I44" t="str">
        <f t="shared" si="1"/>
        <v>3-2024SAB</v>
      </c>
      <c r="J44" t="s">
        <v>98</v>
      </c>
      <c r="K44" t="s">
        <v>41</v>
      </c>
      <c r="L44">
        <f t="shared" si="2"/>
        <v>5</v>
      </c>
    </row>
    <row r="45" spans="1:12" x14ac:dyDescent="0.25">
      <c r="A45" s="88" t="str">
        <f t="shared" si="0"/>
        <v>2-2023</v>
      </c>
      <c r="B45" s="86">
        <v>44971</v>
      </c>
      <c r="C45" t="str">
        <f t="shared" si="3"/>
        <v>L-V</v>
      </c>
      <c r="D45" t="str">
        <f t="shared" si="4"/>
        <v>Martes</v>
      </c>
      <c r="I45" t="str">
        <f t="shared" si="1"/>
        <v>3-2024DOM</v>
      </c>
      <c r="J45" t="s">
        <v>98</v>
      </c>
      <c r="K45" t="s">
        <v>43</v>
      </c>
      <c r="L45">
        <f t="shared" si="2"/>
        <v>5</v>
      </c>
    </row>
    <row r="46" spans="1:12" x14ac:dyDescent="0.25">
      <c r="A46" s="88" t="str">
        <f t="shared" si="0"/>
        <v>2-2023</v>
      </c>
      <c r="B46" s="86">
        <v>44972</v>
      </c>
      <c r="C46" t="str">
        <f t="shared" si="3"/>
        <v>L-V</v>
      </c>
      <c r="D46" t="str">
        <f t="shared" si="4"/>
        <v>Miércoles</v>
      </c>
      <c r="I46" t="str">
        <f t="shared" si="1"/>
        <v>4-2024L-V</v>
      </c>
      <c r="J46" t="s">
        <v>99</v>
      </c>
      <c r="K46" t="s">
        <v>40</v>
      </c>
      <c r="L46">
        <f t="shared" si="2"/>
        <v>22</v>
      </c>
    </row>
    <row r="47" spans="1:12" x14ac:dyDescent="0.25">
      <c r="A47" s="88" t="str">
        <f t="shared" si="0"/>
        <v>2-2023</v>
      </c>
      <c r="B47" s="86">
        <v>44973</v>
      </c>
      <c r="C47" t="str">
        <f t="shared" si="3"/>
        <v>L-V</v>
      </c>
      <c r="D47" t="str">
        <f t="shared" si="4"/>
        <v>Jueves</v>
      </c>
      <c r="I47" t="str">
        <f t="shared" si="1"/>
        <v>4-2024SAB</v>
      </c>
      <c r="J47" t="s">
        <v>99</v>
      </c>
      <c r="K47" t="s">
        <v>41</v>
      </c>
      <c r="L47">
        <f t="shared" si="2"/>
        <v>4</v>
      </c>
    </row>
    <row r="48" spans="1:12" x14ac:dyDescent="0.25">
      <c r="A48" s="88" t="str">
        <f t="shared" si="0"/>
        <v>2-2023</v>
      </c>
      <c r="B48" s="86">
        <v>44974</v>
      </c>
      <c r="C48" t="str">
        <f t="shared" si="3"/>
        <v>L-V</v>
      </c>
      <c r="D48" t="str">
        <f t="shared" si="4"/>
        <v>Viernes</v>
      </c>
      <c r="I48" t="str">
        <f t="shared" si="1"/>
        <v>4-2024DOM</v>
      </c>
      <c r="J48" t="s">
        <v>99</v>
      </c>
      <c r="K48" t="s">
        <v>43</v>
      </c>
      <c r="L48">
        <f t="shared" si="2"/>
        <v>4</v>
      </c>
    </row>
    <row r="49" spans="1:12" x14ac:dyDescent="0.25">
      <c r="A49" s="88" t="str">
        <f t="shared" si="0"/>
        <v>2-2023</v>
      </c>
      <c r="B49" s="86">
        <v>44975</v>
      </c>
      <c r="C49" t="str">
        <f t="shared" si="3"/>
        <v>SAB</v>
      </c>
      <c r="D49" t="str">
        <f t="shared" si="4"/>
        <v>Sábado</v>
      </c>
      <c r="I49" t="str">
        <f t="shared" si="1"/>
        <v>5-2024L-V</v>
      </c>
      <c r="J49" t="s">
        <v>100</v>
      </c>
      <c r="K49" t="s">
        <v>40</v>
      </c>
      <c r="L49">
        <f t="shared" si="2"/>
        <v>23</v>
      </c>
    </row>
    <row r="50" spans="1:12" x14ac:dyDescent="0.25">
      <c r="A50" s="88" t="str">
        <f t="shared" si="0"/>
        <v>2-2023</v>
      </c>
      <c r="B50" s="86">
        <v>44976</v>
      </c>
      <c r="C50" t="str">
        <f t="shared" si="3"/>
        <v>DOM</v>
      </c>
      <c r="D50" t="str">
        <f t="shared" si="4"/>
        <v>Domingo</v>
      </c>
      <c r="I50" t="str">
        <f t="shared" si="1"/>
        <v>5-2024SAB</v>
      </c>
      <c r="J50" t="s">
        <v>100</v>
      </c>
      <c r="K50" t="s">
        <v>41</v>
      </c>
      <c r="L50">
        <f t="shared" si="2"/>
        <v>4</v>
      </c>
    </row>
    <row r="51" spans="1:12" x14ac:dyDescent="0.25">
      <c r="A51" s="88" t="str">
        <f t="shared" si="0"/>
        <v>2-2023</v>
      </c>
      <c r="B51" s="86">
        <v>44977</v>
      </c>
      <c r="C51" t="str">
        <f t="shared" si="3"/>
        <v>L-V</v>
      </c>
      <c r="D51" t="str">
        <f t="shared" si="4"/>
        <v>Lunes</v>
      </c>
      <c r="I51" t="str">
        <f t="shared" si="1"/>
        <v>5-2024DOM</v>
      </c>
      <c r="J51" t="s">
        <v>100</v>
      </c>
      <c r="K51" t="s">
        <v>43</v>
      </c>
      <c r="L51">
        <f t="shared" si="2"/>
        <v>4</v>
      </c>
    </row>
    <row r="52" spans="1:12" x14ac:dyDescent="0.25">
      <c r="A52" s="88" t="str">
        <f t="shared" si="0"/>
        <v>2-2023</v>
      </c>
      <c r="B52" s="86">
        <v>44978</v>
      </c>
      <c r="C52" t="str">
        <f t="shared" si="3"/>
        <v>L-V</v>
      </c>
      <c r="D52" t="str">
        <f t="shared" si="4"/>
        <v>Martes</v>
      </c>
      <c r="I52" t="str">
        <f t="shared" si="1"/>
        <v>6-2024SAB</v>
      </c>
      <c r="J52" t="s">
        <v>101</v>
      </c>
      <c r="K52" t="s">
        <v>41</v>
      </c>
      <c r="L52">
        <f t="shared" si="2"/>
        <v>5</v>
      </c>
    </row>
    <row r="53" spans="1:12" x14ac:dyDescent="0.25">
      <c r="A53" s="88" t="str">
        <f t="shared" si="0"/>
        <v>2-2023</v>
      </c>
      <c r="B53" s="86">
        <v>44979</v>
      </c>
      <c r="C53" t="str">
        <f t="shared" si="3"/>
        <v>L-V</v>
      </c>
      <c r="D53" t="str">
        <f t="shared" si="4"/>
        <v>Miércoles</v>
      </c>
      <c r="I53" t="str">
        <f t="shared" si="1"/>
        <v>6-2024DOM</v>
      </c>
      <c r="J53" t="s">
        <v>101</v>
      </c>
      <c r="K53" t="s">
        <v>43</v>
      </c>
      <c r="L53">
        <f t="shared" si="2"/>
        <v>5</v>
      </c>
    </row>
    <row r="54" spans="1:12" x14ac:dyDescent="0.25">
      <c r="A54" s="88" t="str">
        <f t="shared" si="0"/>
        <v>2-2023</v>
      </c>
      <c r="B54" s="86">
        <v>44980</v>
      </c>
      <c r="C54" t="str">
        <f t="shared" si="3"/>
        <v>L-V</v>
      </c>
      <c r="D54" t="str">
        <f t="shared" si="4"/>
        <v>Jueves</v>
      </c>
      <c r="I54" t="str">
        <f t="shared" si="1"/>
        <v>6-2024L-V</v>
      </c>
      <c r="J54" t="s">
        <v>101</v>
      </c>
      <c r="K54" t="s">
        <v>40</v>
      </c>
      <c r="L54">
        <f t="shared" si="2"/>
        <v>20</v>
      </c>
    </row>
    <row r="55" spans="1:12" x14ac:dyDescent="0.25">
      <c r="A55" s="88" t="str">
        <f t="shared" si="0"/>
        <v>2-2023</v>
      </c>
      <c r="B55" s="86">
        <v>44981</v>
      </c>
      <c r="C55" t="str">
        <f t="shared" si="3"/>
        <v>L-V</v>
      </c>
      <c r="D55" t="str">
        <f t="shared" si="4"/>
        <v>Viernes</v>
      </c>
      <c r="I55" t="str">
        <f t="shared" si="1"/>
        <v>7-2024L-V</v>
      </c>
      <c r="J55" t="s">
        <v>102</v>
      </c>
      <c r="K55" t="s">
        <v>40</v>
      </c>
      <c r="L55">
        <f t="shared" si="2"/>
        <v>23</v>
      </c>
    </row>
    <row r="56" spans="1:12" x14ac:dyDescent="0.25">
      <c r="A56" s="88" t="str">
        <f t="shared" si="0"/>
        <v>2-2023</v>
      </c>
      <c r="B56" s="86">
        <v>44982</v>
      </c>
      <c r="C56" t="str">
        <f t="shared" si="3"/>
        <v>SAB</v>
      </c>
      <c r="D56" t="str">
        <f t="shared" si="4"/>
        <v>Sábado</v>
      </c>
      <c r="I56" t="str">
        <f t="shared" si="1"/>
        <v>7-2024SAB</v>
      </c>
      <c r="J56" t="s">
        <v>102</v>
      </c>
      <c r="K56" t="s">
        <v>41</v>
      </c>
      <c r="L56">
        <f t="shared" si="2"/>
        <v>4</v>
      </c>
    </row>
    <row r="57" spans="1:12" x14ac:dyDescent="0.25">
      <c r="A57" s="88" t="str">
        <f t="shared" si="0"/>
        <v>2-2023</v>
      </c>
      <c r="B57" s="86">
        <v>44983</v>
      </c>
      <c r="C57" t="str">
        <f t="shared" si="3"/>
        <v>DOM</v>
      </c>
      <c r="D57" t="str">
        <f t="shared" si="4"/>
        <v>Domingo</v>
      </c>
      <c r="I57" t="str">
        <f t="shared" si="1"/>
        <v>7-2024DOM</v>
      </c>
      <c r="J57" t="s">
        <v>102</v>
      </c>
      <c r="K57" t="s">
        <v>43</v>
      </c>
      <c r="L57">
        <f t="shared" si="2"/>
        <v>4</v>
      </c>
    </row>
    <row r="58" spans="1:12" x14ac:dyDescent="0.25">
      <c r="A58" s="88" t="str">
        <f t="shared" si="0"/>
        <v>2-2023</v>
      </c>
      <c r="B58" s="86">
        <v>44984</v>
      </c>
      <c r="C58" t="str">
        <f t="shared" si="3"/>
        <v>L-V</v>
      </c>
      <c r="D58" t="str">
        <f t="shared" si="4"/>
        <v>Lunes</v>
      </c>
      <c r="I58" t="str">
        <f t="shared" si="1"/>
        <v>8-2024L-V</v>
      </c>
      <c r="J58" t="s">
        <v>103</v>
      </c>
      <c r="K58" t="s">
        <v>40</v>
      </c>
      <c r="L58">
        <f t="shared" si="2"/>
        <v>22</v>
      </c>
    </row>
    <row r="59" spans="1:12" x14ac:dyDescent="0.25">
      <c r="A59" s="88" t="str">
        <f t="shared" si="0"/>
        <v>2-2023</v>
      </c>
      <c r="B59" s="86">
        <v>44985</v>
      </c>
      <c r="C59" t="str">
        <f t="shared" si="3"/>
        <v>L-V</v>
      </c>
      <c r="D59" t="str">
        <f t="shared" si="4"/>
        <v>Martes</v>
      </c>
      <c r="I59" t="str">
        <f t="shared" si="1"/>
        <v>8-2024SAB</v>
      </c>
      <c r="J59" t="s">
        <v>103</v>
      </c>
      <c r="K59" t="s">
        <v>41</v>
      </c>
      <c r="L59">
        <f t="shared" si="2"/>
        <v>5</v>
      </c>
    </row>
    <row r="60" spans="1:12" x14ac:dyDescent="0.25">
      <c r="A60" s="88" t="str">
        <f t="shared" si="0"/>
        <v>3-2023</v>
      </c>
      <c r="B60" s="86">
        <v>44986</v>
      </c>
      <c r="C60" t="str">
        <f t="shared" si="3"/>
        <v>L-V</v>
      </c>
      <c r="D60" t="str">
        <f t="shared" si="4"/>
        <v>Miércoles</v>
      </c>
      <c r="I60" t="str">
        <f t="shared" si="1"/>
        <v>8-2024DOM</v>
      </c>
      <c r="J60" t="s">
        <v>103</v>
      </c>
      <c r="K60" t="s">
        <v>43</v>
      </c>
      <c r="L60">
        <f t="shared" si="2"/>
        <v>4</v>
      </c>
    </row>
    <row r="61" spans="1:12" x14ac:dyDescent="0.25">
      <c r="A61" s="88" t="str">
        <f t="shared" si="0"/>
        <v>3-2023</v>
      </c>
      <c r="B61" s="86">
        <v>44987</v>
      </c>
      <c r="C61" t="str">
        <f t="shared" si="3"/>
        <v>L-V</v>
      </c>
      <c r="D61" t="str">
        <f t="shared" si="4"/>
        <v>Jueves</v>
      </c>
      <c r="I61" t="str">
        <f t="shared" si="1"/>
        <v>9-2024DOM</v>
      </c>
      <c r="J61" t="s">
        <v>104</v>
      </c>
      <c r="K61" t="s">
        <v>43</v>
      </c>
      <c r="L61">
        <f t="shared" si="2"/>
        <v>5</v>
      </c>
    </row>
    <row r="62" spans="1:12" x14ac:dyDescent="0.25">
      <c r="A62" s="88" t="str">
        <f t="shared" si="0"/>
        <v>3-2023</v>
      </c>
      <c r="B62" s="86">
        <v>44988</v>
      </c>
      <c r="C62" t="str">
        <f t="shared" si="3"/>
        <v>L-V</v>
      </c>
      <c r="D62" t="str">
        <f t="shared" si="4"/>
        <v>Viernes</v>
      </c>
      <c r="I62" t="str">
        <f t="shared" si="1"/>
        <v>9-2024L-V</v>
      </c>
      <c r="J62" t="s">
        <v>104</v>
      </c>
      <c r="K62" t="s">
        <v>40</v>
      </c>
      <c r="L62">
        <f t="shared" si="2"/>
        <v>21</v>
      </c>
    </row>
    <row r="63" spans="1:12" x14ac:dyDescent="0.25">
      <c r="A63" s="88" t="str">
        <f t="shared" si="0"/>
        <v>3-2023</v>
      </c>
      <c r="B63" s="86">
        <v>44989</v>
      </c>
      <c r="C63" t="str">
        <f t="shared" si="3"/>
        <v>SAB</v>
      </c>
      <c r="D63" t="str">
        <f t="shared" si="4"/>
        <v>Sábado</v>
      </c>
      <c r="I63" t="str">
        <f t="shared" si="1"/>
        <v>9-2024SAB</v>
      </c>
      <c r="J63" t="s">
        <v>104</v>
      </c>
      <c r="K63" t="s">
        <v>41</v>
      </c>
      <c r="L63">
        <f t="shared" si="2"/>
        <v>4</v>
      </c>
    </row>
    <row r="64" spans="1:12" x14ac:dyDescent="0.25">
      <c r="A64" s="88" t="str">
        <f t="shared" si="0"/>
        <v>3-2023</v>
      </c>
      <c r="B64" s="86">
        <v>44990</v>
      </c>
      <c r="C64" t="str">
        <f t="shared" si="3"/>
        <v>DOM</v>
      </c>
      <c r="D64" t="str">
        <f t="shared" si="4"/>
        <v>Domingo</v>
      </c>
      <c r="I64" t="str">
        <f t="shared" si="1"/>
        <v>10-2024L-V</v>
      </c>
      <c r="J64" t="s">
        <v>105</v>
      </c>
      <c r="K64" t="s">
        <v>40</v>
      </c>
      <c r="L64">
        <f t="shared" si="2"/>
        <v>23</v>
      </c>
    </row>
    <row r="65" spans="1:12" x14ac:dyDescent="0.25">
      <c r="A65" s="88" t="str">
        <f t="shared" si="0"/>
        <v>3-2023</v>
      </c>
      <c r="B65" s="86">
        <v>44991</v>
      </c>
      <c r="C65" t="str">
        <f t="shared" si="3"/>
        <v>L-V</v>
      </c>
      <c r="D65" t="str">
        <f t="shared" si="4"/>
        <v>Lunes</v>
      </c>
      <c r="I65" t="str">
        <f t="shared" si="1"/>
        <v>10-2024SAB</v>
      </c>
      <c r="J65" t="s">
        <v>105</v>
      </c>
      <c r="K65" t="s">
        <v>41</v>
      </c>
      <c r="L65">
        <f t="shared" si="2"/>
        <v>4</v>
      </c>
    </row>
    <row r="66" spans="1:12" x14ac:dyDescent="0.25">
      <c r="A66" s="88" t="str">
        <f t="shared" ref="A66:A129" si="5">MONTH(B66)&amp;"-"&amp;YEAR(B66)</f>
        <v>3-2023</v>
      </c>
      <c r="B66" s="86">
        <v>44992</v>
      </c>
      <c r="C66" t="str">
        <f t="shared" si="3"/>
        <v>L-V</v>
      </c>
      <c r="D66" t="str">
        <f t="shared" si="4"/>
        <v>Martes</v>
      </c>
      <c r="I66" t="str">
        <f t="shared" ref="I66:I129" si="6">J66&amp;K66</f>
        <v>10-2024DOM</v>
      </c>
      <c r="J66" t="s">
        <v>105</v>
      </c>
      <c r="K66" t="s">
        <v>43</v>
      </c>
      <c r="L66">
        <f t="shared" ref="L66:L129" si="7">COUNTIFS(C:C,K66,A:A,J66)</f>
        <v>4</v>
      </c>
    </row>
    <row r="67" spans="1:12" x14ac:dyDescent="0.25">
      <c r="A67" s="88" t="str">
        <f t="shared" si="5"/>
        <v>3-2023</v>
      </c>
      <c r="B67" s="86">
        <v>44993</v>
      </c>
      <c r="C67" t="str">
        <f t="shared" ref="C67:C130" si="8">VLOOKUP(WEEKDAY(B67,2),$F$1:$H$7,2)</f>
        <v>L-V</v>
      </c>
      <c r="D67" t="str">
        <f t="shared" ref="D67:D130" si="9">VLOOKUP(WEEKDAY($B67,2),$F$1:$H$7,3)</f>
        <v>Miércoles</v>
      </c>
      <c r="I67" t="str">
        <f t="shared" si="6"/>
        <v>11-2024L-V</v>
      </c>
      <c r="J67" t="s">
        <v>106</v>
      </c>
      <c r="K67" t="s">
        <v>40</v>
      </c>
      <c r="L67">
        <f t="shared" si="7"/>
        <v>21</v>
      </c>
    </row>
    <row r="68" spans="1:12" x14ac:dyDescent="0.25">
      <c r="A68" s="88" t="str">
        <f t="shared" si="5"/>
        <v>3-2023</v>
      </c>
      <c r="B68" s="86">
        <v>44994</v>
      </c>
      <c r="C68" t="str">
        <f t="shared" si="8"/>
        <v>L-V</v>
      </c>
      <c r="D68" t="str">
        <f t="shared" si="9"/>
        <v>Jueves</v>
      </c>
      <c r="I68" t="str">
        <f t="shared" si="6"/>
        <v>11-2024SAB</v>
      </c>
      <c r="J68" t="s">
        <v>106</v>
      </c>
      <c r="K68" t="s">
        <v>41</v>
      </c>
      <c r="L68">
        <f t="shared" si="7"/>
        <v>5</v>
      </c>
    </row>
    <row r="69" spans="1:12" x14ac:dyDescent="0.25">
      <c r="A69" s="88" t="str">
        <f t="shared" si="5"/>
        <v>3-2023</v>
      </c>
      <c r="B69" s="86">
        <v>44995</v>
      </c>
      <c r="C69" t="str">
        <f t="shared" si="8"/>
        <v>L-V</v>
      </c>
      <c r="D69" t="str">
        <f t="shared" si="9"/>
        <v>Viernes</v>
      </c>
      <c r="I69" t="str">
        <f t="shared" si="6"/>
        <v>11-2024DOM</v>
      </c>
      <c r="J69" t="s">
        <v>106</v>
      </c>
      <c r="K69" t="s">
        <v>43</v>
      </c>
      <c r="L69">
        <f t="shared" si="7"/>
        <v>4</v>
      </c>
    </row>
    <row r="70" spans="1:12" x14ac:dyDescent="0.25">
      <c r="A70" s="88" t="str">
        <f t="shared" si="5"/>
        <v>3-2023</v>
      </c>
      <c r="B70" s="86">
        <v>44996</v>
      </c>
      <c r="C70" t="str">
        <f t="shared" si="8"/>
        <v>SAB</v>
      </c>
      <c r="D70" t="str">
        <f t="shared" si="9"/>
        <v>Sábado</v>
      </c>
      <c r="I70" t="str">
        <f t="shared" si="6"/>
        <v>12-2024DOM</v>
      </c>
      <c r="J70" t="s">
        <v>107</v>
      </c>
      <c r="K70" t="s">
        <v>43</v>
      </c>
      <c r="L70">
        <f t="shared" si="7"/>
        <v>5</v>
      </c>
    </row>
    <row r="71" spans="1:12" x14ac:dyDescent="0.25">
      <c r="A71" s="88" t="str">
        <f t="shared" si="5"/>
        <v>3-2023</v>
      </c>
      <c r="B71" s="86">
        <v>44997</v>
      </c>
      <c r="C71" t="str">
        <f t="shared" si="8"/>
        <v>DOM</v>
      </c>
      <c r="D71" t="str">
        <f t="shared" si="9"/>
        <v>Domingo</v>
      </c>
      <c r="I71" t="str">
        <f t="shared" si="6"/>
        <v>12-2024L-V</v>
      </c>
      <c r="J71" t="s">
        <v>107</v>
      </c>
      <c r="K71" t="s">
        <v>40</v>
      </c>
      <c r="L71">
        <f t="shared" si="7"/>
        <v>22</v>
      </c>
    </row>
    <row r="72" spans="1:12" x14ac:dyDescent="0.25">
      <c r="A72" s="88" t="str">
        <f t="shared" si="5"/>
        <v>3-2023</v>
      </c>
      <c r="B72" s="86">
        <v>44998</v>
      </c>
      <c r="C72" t="str">
        <f t="shared" si="8"/>
        <v>L-V</v>
      </c>
      <c r="D72" t="str">
        <f t="shared" si="9"/>
        <v>Lunes</v>
      </c>
      <c r="I72" t="str">
        <f t="shared" si="6"/>
        <v>12-2024SAB</v>
      </c>
      <c r="J72" t="s">
        <v>107</v>
      </c>
      <c r="K72" t="s">
        <v>41</v>
      </c>
      <c r="L72">
        <f t="shared" si="7"/>
        <v>4</v>
      </c>
    </row>
    <row r="73" spans="1:12" x14ac:dyDescent="0.25">
      <c r="A73" s="88" t="str">
        <f t="shared" si="5"/>
        <v>3-2023</v>
      </c>
      <c r="B73" s="86">
        <v>44999</v>
      </c>
      <c r="C73" t="str">
        <f t="shared" si="8"/>
        <v>L-V</v>
      </c>
      <c r="D73" t="str">
        <f t="shared" si="9"/>
        <v>Martes</v>
      </c>
      <c r="I73" t="str">
        <f t="shared" si="6"/>
        <v>1-2025L-V</v>
      </c>
      <c r="J73" t="s">
        <v>108</v>
      </c>
      <c r="K73" t="s">
        <v>40</v>
      </c>
      <c r="L73">
        <f t="shared" si="7"/>
        <v>23</v>
      </c>
    </row>
    <row r="74" spans="1:12" x14ac:dyDescent="0.25">
      <c r="A74" s="88" t="str">
        <f t="shared" si="5"/>
        <v>3-2023</v>
      </c>
      <c r="B74" s="86">
        <v>45000</v>
      </c>
      <c r="C74" t="str">
        <f t="shared" si="8"/>
        <v>L-V</v>
      </c>
      <c r="D74" t="str">
        <f t="shared" si="9"/>
        <v>Miércoles</v>
      </c>
      <c r="I74" t="str">
        <f t="shared" si="6"/>
        <v>1-2025SAB</v>
      </c>
      <c r="J74" t="s">
        <v>108</v>
      </c>
      <c r="K74" t="s">
        <v>41</v>
      </c>
      <c r="L74">
        <f t="shared" si="7"/>
        <v>4</v>
      </c>
    </row>
    <row r="75" spans="1:12" x14ac:dyDescent="0.25">
      <c r="A75" s="88" t="str">
        <f t="shared" si="5"/>
        <v>3-2023</v>
      </c>
      <c r="B75" s="86">
        <v>45001</v>
      </c>
      <c r="C75" t="str">
        <f t="shared" si="8"/>
        <v>L-V</v>
      </c>
      <c r="D75" t="str">
        <f t="shared" si="9"/>
        <v>Jueves</v>
      </c>
      <c r="I75" t="str">
        <f t="shared" si="6"/>
        <v>1-2025DOM</v>
      </c>
      <c r="J75" t="s">
        <v>108</v>
      </c>
      <c r="K75" t="s">
        <v>43</v>
      </c>
      <c r="L75">
        <f t="shared" si="7"/>
        <v>4</v>
      </c>
    </row>
    <row r="76" spans="1:12" x14ac:dyDescent="0.25">
      <c r="A76" s="88" t="str">
        <f t="shared" si="5"/>
        <v>3-2023</v>
      </c>
      <c r="B76" s="86">
        <v>45002</v>
      </c>
      <c r="C76" t="str">
        <f t="shared" si="8"/>
        <v>L-V</v>
      </c>
      <c r="D76" t="str">
        <f t="shared" si="9"/>
        <v>Viernes</v>
      </c>
      <c r="I76" t="str">
        <f t="shared" si="6"/>
        <v>2-2025SAB</v>
      </c>
      <c r="J76" t="s">
        <v>109</v>
      </c>
      <c r="K76" t="s">
        <v>41</v>
      </c>
      <c r="L76">
        <f t="shared" si="7"/>
        <v>4</v>
      </c>
    </row>
    <row r="77" spans="1:12" x14ac:dyDescent="0.25">
      <c r="A77" s="88" t="str">
        <f t="shared" si="5"/>
        <v>3-2023</v>
      </c>
      <c r="B77" s="86">
        <v>45003</v>
      </c>
      <c r="C77" t="str">
        <f t="shared" si="8"/>
        <v>SAB</v>
      </c>
      <c r="D77" t="str">
        <f t="shared" si="9"/>
        <v>Sábado</v>
      </c>
      <c r="I77" t="str">
        <f t="shared" si="6"/>
        <v>2-2025DOM</v>
      </c>
      <c r="J77" t="s">
        <v>109</v>
      </c>
      <c r="K77" t="s">
        <v>43</v>
      </c>
      <c r="L77">
        <f t="shared" si="7"/>
        <v>4</v>
      </c>
    </row>
    <row r="78" spans="1:12" x14ac:dyDescent="0.25">
      <c r="A78" s="88" t="str">
        <f t="shared" si="5"/>
        <v>3-2023</v>
      </c>
      <c r="B78" s="86">
        <v>45004</v>
      </c>
      <c r="C78" t="str">
        <f t="shared" si="8"/>
        <v>DOM</v>
      </c>
      <c r="D78" t="str">
        <f t="shared" si="9"/>
        <v>Domingo</v>
      </c>
      <c r="I78" t="str">
        <f t="shared" si="6"/>
        <v>2-2025L-V</v>
      </c>
      <c r="J78" t="s">
        <v>109</v>
      </c>
      <c r="K78" t="s">
        <v>40</v>
      </c>
      <c r="L78">
        <f t="shared" si="7"/>
        <v>20</v>
      </c>
    </row>
    <row r="79" spans="1:12" x14ac:dyDescent="0.25">
      <c r="A79" s="88" t="str">
        <f t="shared" si="5"/>
        <v>3-2023</v>
      </c>
      <c r="B79" s="86">
        <v>45005</v>
      </c>
      <c r="C79" t="str">
        <f t="shared" si="8"/>
        <v>L-V</v>
      </c>
      <c r="D79" t="str">
        <f t="shared" si="9"/>
        <v>Lunes</v>
      </c>
      <c r="I79" t="str">
        <f t="shared" si="6"/>
        <v>3-2025SAB</v>
      </c>
      <c r="J79" t="s">
        <v>110</v>
      </c>
      <c r="K79" t="s">
        <v>41</v>
      </c>
      <c r="L79">
        <f t="shared" si="7"/>
        <v>5</v>
      </c>
    </row>
    <row r="80" spans="1:12" x14ac:dyDescent="0.25">
      <c r="A80" s="88" t="str">
        <f t="shared" si="5"/>
        <v>3-2023</v>
      </c>
      <c r="B80" s="86">
        <v>45006</v>
      </c>
      <c r="C80" t="str">
        <f t="shared" si="8"/>
        <v>L-V</v>
      </c>
      <c r="D80" t="str">
        <f t="shared" si="9"/>
        <v>Martes</v>
      </c>
      <c r="I80" t="str">
        <f t="shared" si="6"/>
        <v>3-2025DOM</v>
      </c>
      <c r="J80" t="s">
        <v>110</v>
      </c>
      <c r="K80" t="s">
        <v>43</v>
      </c>
      <c r="L80">
        <f t="shared" si="7"/>
        <v>5</v>
      </c>
    </row>
    <row r="81" spans="1:12" x14ac:dyDescent="0.25">
      <c r="A81" s="88" t="str">
        <f t="shared" si="5"/>
        <v>3-2023</v>
      </c>
      <c r="B81" s="86">
        <v>45007</v>
      </c>
      <c r="C81" t="str">
        <f t="shared" si="8"/>
        <v>L-V</v>
      </c>
      <c r="D81" t="str">
        <f t="shared" si="9"/>
        <v>Miércoles</v>
      </c>
      <c r="I81" t="str">
        <f t="shared" si="6"/>
        <v>3-2025L-V</v>
      </c>
      <c r="J81" t="s">
        <v>110</v>
      </c>
      <c r="K81" t="s">
        <v>40</v>
      </c>
      <c r="L81">
        <f t="shared" si="7"/>
        <v>21</v>
      </c>
    </row>
    <row r="82" spans="1:12" x14ac:dyDescent="0.25">
      <c r="A82" s="88" t="str">
        <f t="shared" si="5"/>
        <v>3-2023</v>
      </c>
      <c r="B82" s="86">
        <v>45008</v>
      </c>
      <c r="C82" t="str">
        <f t="shared" si="8"/>
        <v>L-V</v>
      </c>
      <c r="D82" t="str">
        <f t="shared" si="9"/>
        <v>Jueves</v>
      </c>
      <c r="I82" t="str">
        <f t="shared" si="6"/>
        <v>4-2025L-V</v>
      </c>
      <c r="J82" t="s">
        <v>111</v>
      </c>
      <c r="K82" t="s">
        <v>40</v>
      </c>
      <c r="L82">
        <f t="shared" si="7"/>
        <v>22</v>
      </c>
    </row>
    <row r="83" spans="1:12" x14ac:dyDescent="0.25">
      <c r="A83" s="88" t="str">
        <f t="shared" si="5"/>
        <v>3-2023</v>
      </c>
      <c r="B83" s="86">
        <v>45009</v>
      </c>
      <c r="C83" t="str">
        <f t="shared" si="8"/>
        <v>L-V</v>
      </c>
      <c r="D83" t="str">
        <f t="shared" si="9"/>
        <v>Viernes</v>
      </c>
      <c r="I83" t="str">
        <f t="shared" si="6"/>
        <v>4-2025SAB</v>
      </c>
      <c r="J83" t="s">
        <v>111</v>
      </c>
      <c r="K83" t="s">
        <v>41</v>
      </c>
      <c r="L83">
        <f t="shared" si="7"/>
        <v>4</v>
      </c>
    </row>
    <row r="84" spans="1:12" x14ac:dyDescent="0.25">
      <c r="A84" s="88" t="str">
        <f t="shared" si="5"/>
        <v>3-2023</v>
      </c>
      <c r="B84" s="86">
        <v>45010</v>
      </c>
      <c r="C84" t="str">
        <f t="shared" si="8"/>
        <v>SAB</v>
      </c>
      <c r="D84" t="str">
        <f t="shared" si="9"/>
        <v>Sábado</v>
      </c>
      <c r="I84" t="str">
        <f t="shared" si="6"/>
        <v>4-2025DOM</v>
      </c>
      <c r="J84" t="s">
        <v>111</v>
      </c>
      <c r="K84" t="s">
        <v>43</v>
      </c>
      <c r="L84">
        <f t="shared" si="7"/>
        <v>4</v>
      </c>
    </row>
    <row r="85" spans="1:12" x14ac:dyDescent="0.25">
      <c r="A85" s="88" t="str">
        <f t="shared" si="5"/>
        <v>3-2023</v>
      </c>
      <c r="B85" s="86">
        <v>45011</v>
      </c>
      <c r="C85" t="str">
        <f t="shared" si="8"/>
        <v>DOM</v>
      </c>
      <c r="D85" t="str">
        <f t="shared" si="9"/>
        <v>Domingo</v>
      </c>
      <c r="I85" t="str">
        <f t="shared" si="6"/>
        <v>5-2025L-V</v>
      </c>
      <c r="J85" t="s">
        <v>112</v>
      </c>
      <c r="K85" t="s">
        <v>40</v>
      </c>
      <c r="L85">
        <f t="shared" si="7"/>
        <v>22</v>
      </c>
    </row>
    <row r="86" spans="1:12" x14ac:dyDescent="0.25">
      <c r="A86" s="88" t="str">
        <f t="shared" si="5"/>
        <v>3-2023</v>
      </c>
      <c r="B86" s="86">
        <v>45012</v>
      </c>
      <c r="C86" t="str">
        <f t="shared" si="8"/>
        <v>L-V</v>
      </c>
      <c r="D86" t="str">
        <f t="shared" si="9"/>
        <v>Lunes</v>
      </c>
      <c r="I86" t="str">
        <f t="shared" si="6"/>
        <v>5-2025SAB</v>
      </c>
      <c r="J86" t="s">
        <v>112</v>
      </c>
      <c r="K86" t="s">
        <v>41</v>
      </c>
      <c r="L86">
        <f t="shared" si="7"/>
        <v>5</v>
      </c>
    </row>
    <row r="87" spans="1:12" x14ac:dyDescent="0.25">
      <c r="A87" s="88" t="str">
        <f t="shared" si="5"/>
        <v>3-2023</v>
      </c>
      <c r="B87" s="86">
        <v>45013</v>
      </c>
      <c r="C87" t="str">
        <f t="shared" si="8"/>
        <v>L-V</v>
      </c>
      <c r="D87" t="str">
        <f t="shared" si="9"/>
        <v>Martes</v>
      </c>
      <c r="I87" t="str">
        <f t="shared" si="6"/>
        <v>5-2025DOM</v>
      </c>
      <c r="J87" t="s">
        <v>112</v>
      </c>
      <c r="K87" t="s">
        <v>43</v>
      </c>
      <c r="L87">
        <f t="shared" si="7"/>
        <v>4</v>
      </c>
    </row>
    <row r="88" spans="1:12" x14ac:dyDescent="0.25">
      <c r="A88" s="88" t="str">
        <f t="shared" si="5"/>
        <v>3-2023</v>
      </c>
      <c r="B88" s="86">
        <v>45014</v>
      </c>
      <c r="C88" t="str">
        <f t="shared" si="8"/>
        <v>L-V</v>
      </c>
      <c r="D88" t="str">
        <f t="shared" si="9"/>
        <v>Miércoles</v>
      </c>
      <c r="I88" t="str">
        <f t="shared" si="6"/>
        <v>6-2025DOM</v>
      </c>
      <c r="J88" t="s">
        <v>113</v>
      </c>
      <c r="K88" t="s">
        <v>43</v>
      </c>
      <c r="L88">
        <f t="shared" si="7"/>
        <v>5</v>
      </c>
    </row>
    <row r="89" spans="1:12" x14ac:dyDescent="0.25">
      <c r="A89" s="88" t="str">
        <f t="shared" si="5"/>
        <v>3-2023</v>
      </c>
      <c r="B89" s="86">
        <v>45015</v>
      </c>
      <c r="C89" t="str">
        <f t="shared" si="8"/>
        <v>L-V</v>
      </c>
      <c r="D89" t="str">
        <f t="shared" si="9"/>
        <v>Jueves</v>
      </c>
      <c r="I89" t="str">
        <f t="shared" si="6"/>
        <v>6-2025L-V</v>
      </c>
      <c r="J89" t="s">
        <v>113</v>
      </c>
      <c r="K89" t="s">
        <v>40</v>
      </c>
      <c r="L89">
        <f t="shared" si="7"/>
        <v>21</v>
      </c>
    </row>
    <row r="90" spans="1:12" x14ac:dyDescent="0.25">
      <c r="A90" s="88" t="str">
        <f t="shared" si="5"/>
        <v>3-2023</v>
      </c>
      <c r="B90" s="86">
        <v>45016</v>
      </c>
      <c r="C90" t="str">
        <f t="shared" si="8"/>
        <v>L-V</v>
      </c>
      <c r="D90" t="str">
        <f t="shared" si="9"/>
        <v>Viernes</v>
      </c>
      <c r="I90" t="str">
        <f t="shared" si="6"/>
        <v>6-2025SAB</v>
      </c>
      <c r="J90" t="s">
        <v>113</v>
      </c>
      <c r="K90" t="s">
        <v>41</v>
      </c>
      <c r="L90">
        <f t="shared" si="7"/>
        <v>4</v>
      </c>
    </row>
    <row r="91" spans="1:12" x14ac:dyDescent="0.25">
      <c r="A91" s="88" t="str">
        <f t="shared" si="5"/>
        <v>4-2023</v>
      </c>
      <c r="B91" s="86">
        <v>45017</v>
      </c>
      <c r="C91" t="str">
        <f t="shared" si="8"/>
        <v>SAB</v>
      </c>
      <c r="D91" t="str">
        <f t="shared" si="9"/>
        <v>Sábado</v>
      </c>
      <c r="I91" t="str">
        <f t="shared" si="6"/>
        <v>7-2025L-V</v>
      </c>
      <c r="J91" t="s">
        <v>114</v>
      </c>
      <c r="K91" t="s">
        <v>40</v>
      </c>
      <c r="L91">
        <f t="shared" si="7"/>
        <v>23</v>
      </c>
    </row>
    <row r="92" spans="1:12" x14ac:dyDescent="0.25">
      <c r="A92" s="88" t="str">
        <f t="shared" si="5"/>
        <v>4-2023</v>
      </c>
      <c r="B92" s="86">
        <v>45018</v>
      </c>
      <c r="C92" t="str">
        <f t="shared" si="8"/>
        <v>DOM</v>
      </c>
      <c r="D92" t="str">
        <f t="shared" si="9"/>
        <v>Domingo</v>
      </c>
      <c r="I92" t="str">
        <f t="shared" si="6"/>
        <v>7-2025SAB</v>
      </c>
      <c r="J92" t="s">
        <v>114</v>
      </c>
      <c r="K92" t="s">
        <v>41</v>
      </c>
      <c r="L92">
        <f t="shared" si="7"/>
        <v>4</v>
      </c>
    </row>
    <row r="93" spans="1:12" x14ac:dyDescent="0.25">
      <c r="A93" s="88" t="str">
        <f t="shared" si="5"/>
        <v>4-2023</v>
      </c>
      <c r="B93" s="86">
        <v>45019</v>
      </c>
      <c r="C93" t="str">
        <f t="shared" si="8"/>
        <v>L-V</v>
      </c>
      <c r="D93" t="str">
        <f t="shared" si="9"/>
        <v>Lunes</v>
      </c>
      <c r="I93" t="str">
        <f t="shared" si="6"/>
        <v>7-2025DOM</v>
      </c>
      <c r="J93" t="s">
        <v>114</v>
      </c>
      <c r="K93" t="s">
        <v>43</v>
      </c>
      <c r="L93">
        <f t="shared" si="7"/>
        <v>4</v>
      </c>
    </row>
    <row r="94" spans="1:12" x14ac:dyDescent="0.25">
      <c r="A94" s="88" t="str">
        <f t="shared" si="5"/>
        <v>4-2023</v>
      </c>
      <c r="B94" s="86">
        <v>45020</v>
      </c>
      <c r="C94" t="str">
        <f t="shared" si="8"/>
        <v>L-V</v>
      </c>
      <c r="D94" t="str">
        <f t="shared" si="9"/>
        <v>Martes</v>
      </c>
      <c r="I94" t="str">
        <f t="shared" si="6"/>
        <v>8-2025L-V</v>
      </c>
      <c r="J94" t="s">
        <v>115</v>
      </c>
      <c r="K94" t="s">
        <v>40</v>
      </c>
      <c r="L94">
        <f t="shared" si="7"/>
        <v>21</v>
      </c>
    </row>
    <row r="95" spans="1:12" x14ac:dyDescent="0.25">
      <c r="A95" s="88" t="str">
        <f t="shared" si="5"/>
        <v>4-2023</v>
      </c>
      <c r="B95" s="86">
        <v>45021</v>
      </c>
      <c r="C95" t="str">
        <f t="shared" si="8"/>
        <v>L-V</v>
      </c>
      <c r="D95" t="str">
        <f t="shared" si="9"/>
        <v>Miércoles</v>
      </c>
      <c r="I95" t="str">
        <f t="shared" si="6"/>
        <v>8-2025SAB</v>
      </c>
      <c r="J95" t="s">
        <v>115</v>
      </c>
      <c r="K95" t="s">
        <v>41</v>
      </c>
      <c r="L95">
        <f t="shared" si="7"/>
        <v>5</v>
      </c>
    </row>
    <row r="96" spans="1:12" x14ac:dyDescent="0.25">
      <c r="A96" s="88" t="str">
        <f t="shared" si="5"/>
        <v>4-2023</v>
      </c>
      <c r="B96" s="86">
        <v>45022</v>
      </c>
      <c r="C96" t="str">
        <f t="shared" si="8"/>
        <v>L-V</v>
      </c>
      <c r="D96" t="str">
        <f t="shared" si="9"/>
        <v>Jueves</v>
      </c>
      <c r="I96" t="str">
        <f t="shared" si="6"/>
        <v>8-2025DOM</v>
      </c>
      <c r="J96" t="s">
        <v>115</v>
      </c>
      <c r="K96" t="s">
        <v>43</v>
      </c>
      <c r="L96">
        <f t="shared" si="7"/>
        <v>5</v>
      </c>
    </row>
    <row r="97" spans="1:12" x14ac:dyDescent="0.25">
      <c r="A97" s="88" t="str">
        <f t="shared" si="5"/>
        <v>4-2023</v>
      </c>
      <c r="B97" s="86">
        <v>45023</v>
      </c>
      <c r="C97" t="str">
        <f t="shared" si="8"/>
        <v>L-V</v>
      </c>
      <c r="D97" t="str">
        <f t="shared" si="9"/>
        <v>Viernes</v>
      </c>
      <c r="I97" t="str">
        <f t="shared" si="6"/>
        <v>9-2025L-V</v>
      </c>
      <c r="J97" t="s">
        <v>116</v>
      </c>
      <c r="K97" t="s">
        <v>40</v>
      </c>
      <c r="L97">
        <f t="shared" si="7"/>
        <v>22</v>
      </c>
    </row>
    <row r="98" spans="1:12" x14ac:dyDescent="0.25">
      <c r="A98" s="88" t="str">
        <f t="shared" si="5"/>
        <v>4-2023</v>
      </c>
      <c r="B98" s="86">
        <v>45024</v>
      </c>
      <c r="C98" t="str">
        <f t="shared" si="8"/>
        <v>SAB</v>
      </c>
      <c r="D98" t="str">
        <f t="shared" si="9"/>
        <v>Sábado</v>
      </c>
      <c r="I98" t="str">
        <f t="shared" si="6"/>
        <v>9-2025SAB</v>
      </c>
      <c r="J98" t="s">
        <v>116</v>
      </c>
      <c r="K98" t="s">
        <v>41</v>
      </c>
      <c r="L98">
        <f t="shared" si="7"/>
        <v>4</v>
      </c>
    </row>
    <row r="99" spans="1:12" x14ac:dyDescent="0.25">
      <c r="A99" s="88" t="str">
        <f t="shared" si="5"/>
        <v>4-2023</v>
      </c>
      <c r="B99" s="86">
        <v>45025</v>
      </c>
      <c r="C99" t="str">
        <f t="shared" si="8"/>
        <v>DOM</v>
      </c>
      <c r="D99" t="str">
        <f t="shared" si="9"/>
        <v>Domingo</v>
      </c>
      <c r="I99" t="str">
        <f t="shared" si="6"/>
        <v>9-2025DOM</v>
      </c>
      <c r="J99" t="s">
        <v>116</v>
      </c>
      <c r="K99" t="s">
        <v>43</v>
      </c>
      <c r="L99">
        <f t="shared" si="7"/>
        <v>4</v>
      </c>
    </row>
    <row r="100" spans="1:12" x14ac:dyDescent="0.25">
      <c r="A100" s="88" t="str">
        <f t="shared" si="5"/>
        <v>4-2023</v>
      </c>
      <c r="B100" s="86">
        <v>45026</v>
      </c>
      <c r="C100" t="str">
        <f t="shared" si="8"/>
        <v>L-V</v>
      </c>
      <c r="D100" t="str">
        <f t="shared" si="9"/>
        <v>Lunes</v>
      </c>
      <c r="I100" t="str">
        <f t="shared" si="6"/>
        <v>10-2025L-V</v>
      </c>
      <c r="J100" t="s">
        <v>117</v>
      </c>
      <c r="K100" t="s">
        <v>40</v>
      </c>
      <c r="L100">
        <f t="shared" si="7"/>
        <v>23</v>
      </c>
    </row>
    <row r="101" spans="1:12" x14ac:dyDescent="0.25">
      <c r="A101" s="88" t="str">
        <f t="shared" si="5"/>
        <v>4-2023</v>
      </c>
      <c r="B101" s="86">
        <v>45027</v>
      </c>
      <c r="C101" t="str">
        <f t="shared" si="8"/>
        <v>L-V</v>
      </c>
      <c r="D101" t="str">
        <f t="shared" si="9"/>
        <v>Martes</v>
      </c>
      <c r="I101" t="str">
        <f t="shared" si="6"/>
        <v>10-2025SAB</v>
      </c>
      <c r="J101" t="s">
        <v>117</v>
      </c>
      <c r="K101" t="s">
        <v>41</v>
      </c>
      <c r="L101">
        <f t="shared" si="7"/>
        <v>4</v>
      </c>
    </row>
    <row r="102" spans="1:12" x14ac:dyDescent="0.25">
      <c r="A102" s="88" t="str">
        <f t="shared" si="5"/>
        <v>4-2023</v>
      </c>
      <c r="B102" s="86">
        <v>45028</v>
      </c>
      <c r="C102" t="str">
        <f t="shared" si="8"/>
        <v>L-V</v>
      </c>
      <c r="D102" t="str">
        <f t="shared" si="9"/>
        <v>Miércoles</v>
      </c>
      <c r="I102" t="str">
        <f t="shared" si="6"/>
        <v>10-2025DOM</v>
      </c>
      <c r="J102" t="s">
        <v>117</v>
      </c>
      <c r="K102" t="s">
        <v>43</v>
      </c>
      <c r="L102">
        <f t="shared" si="7"/>
        <v>4</v>
      </c>
    </row>
    <row r="103" spans="1:12" x14ac:dyDescent="0.25">
      <c r="A103" s="88" t="str">
        <f t="shared" si="5"/>
        <v>4-2023</v>
      </c>
      <c r="B103" s="86">
        <v>45029</v>
      </c>
      <c r="C103" t="str">
        <f t="shared" si="8"/>
        <v>L-V</v>
      </c>
      <c r="D103" t="str">
        <f t="shared" si="9"/>
        <v>Jueves</v>
      </c>
      <c r="I103" t="str">
        <f t="shared" si="6"/>
        <v>11-2025SAB</v>
      </c>
      <c r="J103" t="s">
        <v>118</v>
      </c>
      <c r="K103" t="s">
        <v>41</v>
      </c>
      <c r="L103">
        <f t="shared" si="7"/>
        <v>5</v>
      </c>
    </row>
    <row r="104" spans="1:12" x14ac:dyDescent="0.25">
      <c r="A104" s="88" t="str">
        <f t="shared" si="5"/>
        <v>4-2023</v>
      </c>
      <c r="B104" s="86">
        <v>45030</v>
      </c>
      <c r="C104" t="str">
        <f t="shared" si="8"/>
        <v>L-V</v>
      </c>
      <c r="D104" t="str">
        <f t="shared" si="9"/>
        <v>Viernes</v>
      </c>
      <c r="I104" t="str">
        <f t="shared" si="6"/>
        <v>11-2025DOM</v>
      </c>
      <c r="J104" t="s">
        <v>118</v>
      </c>
      <c r="K104" t="s">
        <v>43</v>
      </c>
      <c r="L104">
        <f t="shared" si="7"/>
        <v>5</v>
      </c>
    </row>
    <row r="105" spans="1:12" x14ac:dyDescent="0.25">
      <c r="A105" s="88" t="str">
        <f t="shared" si="5"/>
        <v>4-2023</v>
      </c>
      <c r="B105" s="86">
        <v>45031</v>
      </c>
      <c r="C105" t="str">
        <f t="shared" si="8"/>
        <v>SAB</v>
      </c>
      <c r="D105" t="str">
        <f t="shared" si="9"/>
        <v>Sábado</v>
      </c>
      <c r="I105" t="str">
        <f t="shared" si="6"/>
        <v>11-2025L-V</v>
      </c>
      <c r="J105" t="s">
        <v>118</v>
      </c>
      <c r="K105" t="s">
        <v>40</v>
      </c>
      <c r="L105">
        <f t="shared" si="7"/>
        <v>20</v>
      </c>
    </row>
    <row r="106" spans="1:12" x14ac:dyDescent="0.25">
      <c r="A106" s="88" t="str">
        <f t="shared" si="5"/>
        <v>4-2023</v>
      </c>
      <c r="B106" s="86">
        <v>45032</v>
      </c>
      <c r="C106" t="str">
        <f t="shared" si="8"/>
        <v>DOM</v>
      </c>
      <c r="D106" t="str">
        <f t="shared" si="9"/>
        <v>Domingo</v>
      </c>
      <c r="I106" t="str">
        <f t="shared" si="6"/>
        <v>12-2025L-V</v>
      </c>
      <c r="J106" t="s">
        <v>119</v>
      </c>
      <c r="K106" t="s">
        <v>40</v>
      </c>
      <c r="L106">
        <f t="shared" si="7"/>
        <v>23</v>
      </c>
    </row>
    <row r="107" spans="1:12" x14ac:dyDescent="0.25">
      <c r="A107" s="88" t="str">
        <f t="shared" si="5"/>
        <v>4-2023</v>
      </c>
      <c r="B107" s="86">
        <v>45033</v>
      </c>
      <c r="C107" t="str">
        <f t="shared" si="8"/>
        <v>L-V</v>
      </c>
      <c r="D107" t="str">
        <f t="shared" si="9"/>
        <v>Lunes</v>
      </c>
      <c r="I107" t="str">
        <f t="shared" si="6"/>
        <v>12-2025SAB</v>
      </c>
      <c r="J107" t="s">
        <v>119</v>
      </c>
      <c r="K107" t="s">
        <v>41</v>
      </c>
      <c r="L107">
        <f t="shared" si="7"/>
        <v>4</v>
      </c>
    </row>
    <row r="108" spans="1:12" x14ac:dyDescent="0.25">
      <c r="A108" s="88" t="str">
        <f t="shared" si="5"/>
        <v>4-2023</v>
      </c>
      <c r="B108" s="86">
        <v>45034</v>
      </c>
      <c r="C108" t="str">
        <f t="shared" si="8"/>
        <v>L-V</v>
      </c>
      <c r="D108" t="str">
        <f t="shared" si="9"/>
        <v>Martes</v>
      </c>
      <c r="I108" t="str">
        <f t="shared" si="6"/>
        <v>12-2025DOM</v>
      </c>
      <c r="J108" t="s">
        <v>119</v>
      </c>
      <c r="K108" t="s">
        <v>43</v>
      </c>
      <c r="L108">
        <f t="shared" si="7"/>
        <v>4</v>
      </c>
    </row>
    <row r="109" spans="1:12" x14ac:dyDescent="0.25">
      <c r="A109" s="88" t="str">
        <f t="shared" si="5"/>
        <v>4-2023</v>
      </c>
      <c r="B109" s="86">
        <v>45035</v>
      </c>
      <c r="C109" t="str">
        <f t="shared" si="8"/>
        <v>L-V</v>
      </c>
      <c r="D109" t="str">
        <f t="shared" si="9"/>
        <v>Miércoles</v>
      </c>
      <c r="I109" t="str">
        <f t="shared" si="6"/>
        <v>1-2026L-V</v>
      </c>
      <c r="J109" t="s">
        <v>120</v>
      </c>
      <c r="K109" t="s">
        <v>40</v>
      </c>
      <c r="L109">
        <f t="shared" si="7"/>
        <v>22</v>
      </c>
    </row>
    <row r="110" spans="1:12" x14ac:dyDescent="0.25">
      <c r="A110" s="88" t="str">
        <f t="shared" si="5"/>
        <v>4-2023</v>
      </c>
      <c r="B110" s="86">
        <v>45036</v>
      </c>
      <c r="C110" t="str">
        <f t="shared" si="8"/>
        <v>L-V</v>
      </c>
      <c r="D110" t="str">
        <f t="shared" si="9"/>
        <v>Jueves</v>
      </c>
      <c r="I110" t="str">
        <f t="shared" si="6"/>
        <v>1-2026SAB</v>
      </c>
      <c r="J110" t="s">
        <v>120</v>
      </c>
      <c r="K110" t="s">
        <v>41</v>
      </c>
      <c r="L110">
        <f t="shared" si="7"/>
        <v>5</v>
      </c>
    </row>
    <row r="111" spans="1:12" x14ac:dyDescent="0.25">
      <c r="A111" s="88" t="str">
        <f t="shared" si="5"/>
        <v>4-2023</v>
      </c>
      <c r="B111" s="86">
        <v>45037</v>
      </c>
      <c r="C111" t="str">
        <f t="shared" si="8"/>
        <v>L-V</v>
      </c>
      <c r="D111" t="str">
        <f t="shared" si="9"/>
        <v>Viernes</v>
      </c>
      <c r="I111" t="str">
        <f t="shared" si="6"/>
        <v>1-2026DOM</v>
      </c>
      <c r="J111" t="s">
        <v>120</v>
      </c>
      <c r="K111" t="s">
        <v>43</v>
      </c>
      <c r="L111">
        <f t="shared" si="7"/>
        <v>4</v>
      </c>
    </row>
    <row r="112" spans="1:12" x14ac:dyDescent="0.25">
      <c r="A112" s="88" t="str">
        <f t="shared" si="5"/>
        <v>4-2023</v>
      </c>
      <c r="B112" s="86">
        <v>45038</v>
      </c>
      <c r="C112" t="str">
        <f t="shared" si="8"/>
        <v>SAB</v>
      </c>
      <c r="D112" t="str">
        <f t="shared" si="9"/>
        <v>Sábado</v>
      </c>
      <c r="I112" t="str">
        <f t="shared" si="6"/>
        <v>2-2026DOM</v>
      </c>
      <c r="J112" t="s">
        <v>121</v>
      </c>
      <c r="K112" t="s">
        <v>43</v>
      </c>
      <c r="L112">
        <f t="shared" si="7"/>
        <v>4</v>
      </c>
    </row>
    <row r="113" spans="1:12" x14ac:dyDescent="0.25">
      <c r="A113" s="88" t="str">
        <f t="shared" si="5"/>
        <v>4-2023</v>
      </c>
      <c r="B113" s="86">
        <v>45039</v>
      </c>
      <c r="C113" t="str">
        <f t="shared" si="8"/>
        <v>DOM</v>
      </c>
      <c r="D113" t="str">
        <f t="shared" si="9"/>
        <v>Domingo</v>
      </c>
      <c r="I113" t="str">
        <f t="shared" si="6"/>
        <v>2-2026L-V</v>
      </c>
      <c r="J113" t="s">
        <v>121</v>
      </c>
      <c r="K113" t="s">
        <v>40</v>
      </c>
      <c r="L113">
        <f t="shared" si="7"/>
        <v>20</v>
      </c>
    </row>
    <row r="114" spans="1:12" x14ac:dyDescent="0.25">
      <c r="A114" s="88" t="str">
        <f t="shared" si="5"/>
        <v>4-2023</v>
      </c>
      <c r="B114" s="86">
        <v>45040</v>
      </c>
      <c r="C114" t="str">
        <f t="shared" si="8"/>
        <v>L-V</v>
      </c>
      <c r="D114" t="str">
        <f t="shared" si="9"/>
        <v>Lunes</v>
      </c>
      <c r="I114" t="str">
        <f t="shared" si="6"/>
        <v>2-2026SAB</v>
      </c>
      <c r="J114" t="s">
        <v>121</v>
      </c>
      <c r="K114" t="s">
        <v>41</v>
      </c>
      <c r="L114">
        <f t="shared" si="7"/>
        <v>4</v>
      </c>
    </row>
    <row r="115" spans="1:12" x14ac:dyDescent="0.25">
      <c r="A115" s="88" t="str">
        <f t="shared" si="5"/>
        <v>4-2023</v>
      </c>
      <c r="B115" s="86">
        <v>45041</v>
      </c>
      <c r="C115" t="str">
        <f t="shared" si="8"/>
        <v>L-V</v>
      </c>
      <c r="D115" t="str">
        <f t="shared" si="9"/>
        <v>Martes</v>
      </c>
      <c r="I115" t="str">
        <f t="shared" si="6"/>
        <v>3-2026DOM</v>
      </c>
      <c r="J115" t="s">
        <v>122</v>
      </c>
      <c r="K115" t="s">
        <v>43</v>
      </c>
      <c r="L115">
        <f t="shared" si="7"/>
        <v>5</v>
      </c>
    </row>
    <row r="116" spans="1:12" x14ac:dyDescent="0.25">
      <c r="A116" s="88" t="str">
        <f t="shared" si="5"/>
        <v>4-2023</v>
      </c>
      <c r="B116" s="86">
        <v>45042</v>
      </c>
      <c r="C116" t="str">
        <f t="shared" si="8"/>
        <v>L-V</v>
      </c>
      <c r="D116" t="str">
        <f t="shared" si="9"/>
        <v>Miércoles</v>
      </c>
      <c r="I116" t="str">
        <f t="shared" si="6"/>
        <v>3-2026L-V</v>
      </c>
      <c r="J116" t="s">
        <v>122</v>
      </c>
      <c r="K116" t="s">
        <v>40</v>
      </c>
      <c r="L116">
        <f t="shared" si="7"/>
        <v>22</v>
      </c>
    </row>
    <row r="117" spans="1:12" x14ac:dyDescent="0.25">
      <c r="A117" s="88" t="str">
        <f t="shared" si="5"/>
        <v>4-2023</v>
      </c>
      <c r="B117" s="86">
        <v>45043</v>
      </c>
      <c r="C117" t="str">
        <f t="shared" si="8"/>
        <v>L-V</v>
      </c>
      <c r="D117" t="str">
        <f t="shared" si="9"/>
        <v>Jueves</v>
      </c>
      <c r="I117" t="str">
        <f t="shared" si="6"/>
        <v>3-2026SAB</v>
      </c>
      <c r="J117" t="s">
        <v>122</v>
      </c>
      <c r="K117" t="s">
        <v>41</v>
      </c>
      <c r="L117">
        <f t="shared" si="7"/>
        <v>4</v>
      </c>
    </row>
    <row r="118" spans="1:12" x14ac:dyDescent="0.25">
      <c r="A118" s="88" t="str">
        <f t="shared" si="5"/>
        <v>4-2023</v>
      </c>
      <c r="B118" s="86">
        <v>45044</v>
      </c>
      <c r="C118" t="str">
        <f t="shared" si="8"/>
        <v>L-V</v>
      </c>
      <c r="D118" t="str">
        <f t="shared" si="9"/>
        <v>Viernes</v>
      </c>
      <c r="I118" t="str">
        <f t="shared" si="6"/>
        <v>4-2026L-V</v>
      </c>
      <c r="J118" t="s">
        <v>123</v>
      </c>
      <c r="K118" t="s">
        <v>40</v>
      </c>
      <c r="L118">
        <f t="shared" si="7"/>
        <v>22</v>
      </c>
    </row>
    <row r="119" spans="1:12" x14ac:dyDescent="0.25">
      <c r="A119" s="88" t="str">
        <f t="shared" si="5"/>
        <v>4-2023</v>
      </c>
      <c r="B119" s="86">
        <v>45045</v>
      </c>
      <c r="C119" t="str">
        <f t="shared" si="8"/>
        <v>SAB</v>
      </c>
      <c r="D119" t="str">
        <f t="shared" si="9"/>
        <v>Sábado</v>
      </c>
      <c r="I119" t="str">
        <f t="shared" si="6"/>
        <v>4-2026SAB</v>
      </c>
      <c r="J119" t="s">
        <v>123</v>
      </c>
      <c r="K119" t="s">
        <v>41</v>
      </c>
      <c r="L119">
        <f t="shared" si="7"/>
        <v>4</v>
      </c>
    </row>
    <row r="120" spans="1:12" x14ac:dyDescent="0.25">
      <c r="A120" s="88" t="str">
        <f t="shared" si="5"/>
        <v>4-2023</v>
      </c>
      <c r="B120" s="86">
        <v>45046</v>
      </c>
      <c r="C120" t="str">
        <f t="shared" si="8"/>
        <v>DOM</v>
      </c>
      <c r="D120" t="str">
        <f t="shared" si="9"/>
        <v>Domingo</v>
      </c>
      <c r="I120" t="str">
        <f t="shared" si="6"/>
        <v>4-2026DOM</v>
      </c>
      <c r="J120" t="s">
        <v>123</v>
      </c>
      <c r="K120" t="s">
        <v>43</v>
      </c>
      <c r="L120">
        <f t="shared" si="7"/>
        <v>4</v>
      </c>
    </row>
    <row r="121" spans="1:12" x14ac:dyDescent="0.25">
      <c r="A121" s="88" t="str">
        <f t="shared" si="5"/>
        <v>5-2023</v>
      </c>
      <c r="B121" s="86">
        <v>45047</v>
      </c>
      <c r="C121" t="str">
        <f t="shared" si="8"/>
        <v>L-V</v>
      </c>
      <c r="D121" t="str">
        <f t="shared" si="9"/>
        <v>Lunes</v>
      </c>
      <c r="I121" t="str">
        <f t="shared" si="6"/>
        <v>5-2026L-V</v>
      </c>
      <c r="J121" t="s">
        <v>124</v>
      </c>
      <c r="K121" t="s">
        <v>40</v>
      </c>
      <c r="L121">
        <f t="shared" si="7"/>
        <v>21</v>
      </c>
    </row>
    <row r="122" spans="1:12" x14ac:dyDescent="0.25">
      <c r="A122" s="88" t="str">
        <f t="shared" si="5"/>
        <v>5-2023</v>
      </c>
      <c r="B122" s="86">
        <v>45048</v>
      </c>
      <c r="C122" t="str">
        <f t="shared" si="8"/>
        <v>L-V</v>
      </c>
      <c r="D122" t="str">
        <f t="shared" si="9"/>
        <v>Martes</v>
      </c>
      <c r="I122" t="str">
        <f t="shared" si="6"/>
        <v>5-2026SAB</v>
      </c>
      <c r="J122" t="s">
        <v>124</v>
      </c>
      <c r="K122" t="s">
        <v>41</v>
      </c>
      <c r="L122">
        <f t="shared" si="7"/>
        <v>5</v>
      </c>
    </row>
    <row r="123" spans="1:12" x14ac:dyDescent="0.25">
      <c r="A123" s="88" t="str">
        <f t="shared" si="5"/>
        <v>5-2023</v>
      </c>
      <c r="B123" s="86">
        <v>45049</v>
      </c>
      <c r="C123" t="str">
        <f t="shared" si="8"/>
        <v>L-V</v>
      </c>
      <c r="D123" t="str">
        <f t="shared" si="9"/>
        <v>Miércoles</v>
      </c>
      <c r="I123" t="str">
        <f t="shared" si="6"/>
        <v>5-2026DOM</v>
      </c>
      <c r="J123" t="s">
        <v>124</v>
      </c>
      <c r="K123" t="s">
        <v>43</v>
      </c>
      <c r="L123">
        <f t="shared" si="7"/>
        <v>5</v>
      </c>
    </row>
    <row r="124" spans="1:12" x14ac:dyDescent="0.25">
      <c r="A124" s="88" t="str">
        <f t="shared" si="5"/>
        <v>5-2023</v>
      </c>
      <c r="B124" s="86">
        <v>45050</v>
      </c>
      <c r="C124" t="str">
        <f t="shared" si="8"/>
        <v>L-V</v>
      </c>
      <c r="D124" t="str">
        <f t="shared" si="9"/>
        <v>Jueves</v>
      </c>
      <c r="I124" t="str">
        <f t="shared" si="6"/>
        <v>6-2026L-V</v>
      </c>
      <c r="J124" t="s">
        <v>125</v>
      </c>
      <c r="K124" t="s">
        <v>40</v>
      </c>
      <c r="L124">
        <f t="shared" si="7"/>
        <v>22</v>
      </c>
    </row>
    <row r="125" spans="1:12" x14ac:dyDescent="0.25">
      <c r="A125" s="88" t="str">
        <f t="shared" si="5"/>
        <v>5-2023</v>
      </c>
      <c r="B125" s="86">
        <v>45051</v>
      </c>
      <c r="C125" t="str">
        <f t="shared" si="8"/>
        <v>L-V</v>
      </c>
      <c r="D125" t="str">
        <f t="shared" si="9"/>
        <v>Viernes</v>
      </c>
      <c r="I125" t="str">
        <f t="shared" si="6"/>
        <v>6-2026SAB</v>
      </c>
      <c r="J125" t="s">
        <v>125</v>
      </c>
      <c r="K125" t="s">
        <v>41</v>
      </c>
      <c r="L125">
        <f t="shared" si="7"/>
        <v>4</v>
      </c>
    </row>
    <row r="126" spans="1:12" x14ac:dyDescent="0.25">
      <c r="A126" s="88" t="str">
        <f t="shared" si="5"/>
        <v>5-2023</v>
      </c>
      <c r="B126" s="86">
        <v>45052</v>
      </c>
      <c r="C126" t="str">
        <f t="shared" si="8"/>
        <v>SAB</v>
      </c>
      <c r="D126" t="str">
        <f t="shared" si="9"/>
        <v>Sábado</v>
      </c>
      <c r="I126" t="str">
        <f t="shared" si="6"/>
        <v>6-2026DOM</v>
      </c>
      <c r="J126" t="s">
        <v>125</v>
      </c>
      <c r="K126" t="s">
        <v>43</v>
      </c>
      <c r="L126">
        <f t="shared" si="7"/>
        <v>4</v>
      </c>
    </row>
    <row r="127" spans="1:12" x14ac:dyDescent="0.25">
      <c r="A127" s="88" t="str">
        <f t="shared" si="5"/>
        <v>5-2023</v>
      </c>
      <c r="B127" s="86">
        <v>45053</v>
      </c>
      <c r="C127" t="str">
        <f t="shared" si="8"/>
        <v>DOM</v>
      </c>
      <c r="D127" t="str">
        <f t="shared" si="9"/>
        <v>Domingo</v>
      </c>
      <c r="I127" t="str">
        <f t="shared" si="6"/>
        <v>7-2026L-V</v>
      </c>
      <c r="J127" t="s">
        <v>126</v>
      </c>
      <c r="K127" t="s">
        <v>40</v>
      </c>
      <c r="L127">
        <f t="shared" si="7"/>
        <v>23</v>
      </c>
    </row>
    <row r="128" spans="1:12" x14ac:dyDescent="0.25">
      <c r="A128" s="88" t="str">
        <f t="shared" si="5"/>
        <v>5-2023</v>
      </c>
      <c r="B128" s="86">
        <v>45054</v>
      </c>
      <c r="C128" t="str">
        <f t="shared" si="8"/>
        <v>L-V</v>
      </c>
      <c r="D128" t="str">
        <f t="shared" si="9"/>
        <v>Lunes</v>
      </c>
      <c r="I128" t="str">
        <f t="shared" si="6"/>
        <v>7-2026SAB</v>
      </c>
      <c r="J128" t="s">
        <v>126</v>
      </c>
      <c r="K128" t="s">
        <v>41</v>
      </c>
      <c r="L128">
        <f t="shared" si="7"/>
        <v>4</v>
      </c>
    </row>
    <row r="129" spans="1:12" x14ac:dyDescent="0.25">
      <c r="A129" s="88" t="str">
        <f t="shared" si="5"/>
        <v>5-2023</v>
      </c>
      <c r="B129" s="86">
        <v>45055</v>
      </c>
      <c r="C129" t="str">
        <f t="shared" si="8"/>
        <v>L-V</v>
      </c>
      <c r="D129" t="str">
        <f t="shared" si="9"/>
        <v>Martes</v>
      </c>
      <c r="I129" t="str">
        <f t="shared" si="6"/>
        <v>7-2026DOM</v>
      </c>
      <c r="J129" t="s">
        <v>126</v>
      </c>
      <c r="K129" t="s">
        <v>43</v>
      </c>
      <c r="L129">
        <f t="shared" si="7"/>
        <v>4</v>
      </c>
    </row>
    <row r="130" spans="1:12" x14ac:dyDescent="0.25">
      <c r="A130" s="88" t="str">
        <f t="shared" ref="A130:A193" si="10">MONTH(B130)&amp;"-"&amp;YEAR(B130)</f>
        <v>5-2023</v>
      </c>
      <c r="B130" s="86">
        <v>45056</v>
      </c>
      <c r="C130" t="str">
        <f t="shared" si="8"/>
        <v>L-V</v>
      </c>
      <c r="D130" t="str">
        <f t="shared" si="9"/>
        <v>Miércoles</v>
      </c>
      <c r="I130" t="str">
        <f t="shared" ref="I130:I193" si="11">J130&amp;K130</f>
        <v>8-2026SAB</v>
      </c>
      <c r="J130" t="s">
        <v>127</v>
      </c>
      <c r="K130" t="s">
        <v>41</v>
      </c>
      <c r="L130">
        <f t="shared" ref="L130:L193" si="12">COUNTIFS(C:C,K130,A:A,J130)</f>
        <v>5</v>
      </c>
    </row>
    <row r="131" spans="1:12" x14ac:dyDescent="0.25">
      <c r="A131" s="88" t="str">
        <f t="shared" si="10"/>
        <v>5-2023</v>
      </c>
      <c r="B131" s="86">
        <v>45057</v>
      </c>
      <c r="C131" t="str">
        <f t="shared" ref="C131:C194" si="13">VLOOKUP(WEEKDAY(B131,2),$F$1:$H$7,2)</f>
        <v>L-V</v>
      </c>
      <c r="D131" t="str">
        <f t="shared" ref="D131:D194" si="14">VLOOKUP(WEEKDAY($B131,2),$F$1:$H$7,3)</f>
        <v>Jueves</v>
      </c>
      <c r="I131" t="str">
        <f t="shared" si="11"/>
        <v>8-2026DOM</v>
      </c>
      <c r="J131" t="s">
        <v>127</v>
      </c>
      <c r="K131" t="s">
        <v>43</v>
      </c>
      <c r="L131">
        <f t="shared" si="12"/>
        <v>5</v>
      </c>
    </row>
    <row r="132" spans="1:12" x14ac:dyDescent="0.25">
      <c r="A132" s="88" t="str">
        <f t="shared" si="10"/>
        <v>5-2023</v>
      </c>
      <c r="B132" s="86">
        <v>45058</v>
      </c>
      <c r="C132" t="str">
        <f t="shared" si="13"/>
        <v>L-V</v>
      </c>
      <c r="D132" t="str">
        <f t="shared" si="14"/>
        <v>Viernes</v>
      </c>
      <c r="I132" t="str">
        <f t="shared" si="11"/>
        <v>8-2026L-V</v>
      </c>
      <c r="J132" t="s">
        <v>127</v>
      </c>
      <c r="K132" t="s">
        <v>40</v>
      </c>
      <c r="L132">
        <f t="shared" si="12"/>
        <v>21</v>
      </c>
    </row>
    <row r="133" spans="1:12" x14ac:dyDescent="0.25">
      <c r="A133" s="88" t="str">
        <f t="shared" si="10"/>
        <v>5-2023</v>
      </c>
      <c r="B133" s="86">
        <v>45059</v>
      </c>
      <c r="C133" t="str">
        <f t="shared" si="13"/>
        <v>SAB</v>
      </c>
      <c r="D133" t="str">
        <f t="shared" si="14"/>
        <v>Sábado</v>
      </c>
      <c r="I133" t="str">
        <f t="shared" si="11"/>
        <v>9-2026L-V</v>
      </c>
      <c r="J133" t="s">
        <v>128</v>
      </c>
      <c r="K133" t="s">
        <v>40</v>
      </c>
      <c r="L133">
        <f t="shared" si="12"/>
        <v>22</v>
      </c>
    </row>
    <row r="134" spans="1:12" x14ac:dyDescent="0.25">
      <c r="A134" s="88" t="str">
        <f t="shared" si="10"/>
        <v>5-2023</v>
      </c>
      <c r="B134" s="86">
        <v>45060</v>
      </c>
      <c r="C134" t="str">
        <f t="shared" si="13"/>
        <v>DOM</v>
      </c>
      <c r="D134" t="str">
        <f t="shared" si="14"/>
        <v>Domingo</v>
      </c>
      <c r="I134" t="str">
        <f t="shared" si="11"/>
        <v>9-2026SAB</v>
      </c>
      <c r="J134" t="s">
        <v>128</v>
      </c>
      <c r="K134" t="s">
        <v>41</v>
      </c>
      <c r="L134">
        <f t="shared" si="12"/>
        <v>4</v>
      </c>
    </row>
    <row r="135" spans="1:12" x14ac:dyDescent="0.25">
      <c r="A135" s="88" t="str">
        <f t="shared" si="10"/>
        <v>5-2023</v>
      </c>
      <c r="B135" s="86">
        <v>45061</v>
      </c>
      <c r="C135" t="str">
        <f t="shared" si="13"/>
        <v>L-V</v>
      </c>
      <c r="D135" t="str">
        <f t="shared" si="14"/>
        <v>Lunes</v>
      </c>
      <c r="I135" t="str">
        <f t="shared" si="11"/>
        <v>9-2026DOM</v>
      </c>
      <c r="J135" t="s">
        <v>128</v>
      </c>
      <c r="K135" t="s">
        <v>43</v>
      </c>
      <c r="L135">
        <f t="shared" si="12"/>
        <v>4</v>
      </c>
    </row>
    <row r="136" spans="1:12" x14ac:dyDescent="0.25">
      <c r="A136" s="88" t="str">
        <f t="shared" si="10"/>
        <v>5-2023</v>
      </c>
      <c r="B136" s="86">
        <v>45062</v>
      </c>
      <c r="C136" t="str">
        <f t="shared" si="13"/>
        <v>L-V</v>
      </c>
      <c r="D136" t="str">
        <f t="shared" si="14"/>
        <v>Martes</v>
      </c>
      <c r="I136" t="str">
        <f t="shared" si="11"/>
        <v>10-2026L-V</v>
      </c>
      <c r="J136" t="s">
        <v>129</v>
      </c>
      <c r="K136" t="s">
        <v>40</v>
      </c>
      <c r="L136">
        <f t="shared" si="12"/>
        <v>22</v>
      </c>
    </row>
    <row r="137" spans="1:12" x14ac:dyDescent="0.25">
      <c r="A137" s="88" t="str">
        <f t="shared" si="10"/>
        <v>5-2023</v>
      </c>
      <c r="B137" s="86">
        <v>45063</v>
      </c>
      <c r="C137" t="str">
        <f t="shared" si="13"/>
        <v>L-V</v>
      </c>
      <c r="D137" t="str">
        <f t="shared" si="14"/>
        <v>Miércoles</v>
      </c>
      <c r="I137" t="str">
        <f t="shared" si="11"/>
        <v>10-2026SAB</v>
      </c>
      <c r="J137" t="s">
        <v>129</v>
      </c>
      <c r="K137" t="s">
        <v>41</v>
      </c>
      <c r="L137">
        <f t="shared" si="12"/>
        <v>5</v>
      </c>
    </row>
    <row r="138" spans="1:12" x14ac:dyDescent="0.25">
      <c r="A138" s="88" t="str">
        <f t="shared" si="10"/>
        <v>5-2023</v>
      </c>
      <c r="B138" s="86">
        <v>45064</v>
      </c>
      <c r="C138" t="str">
        <f t="shared" si="13"/>
        <v>L-V</v>
      </c>
      <c r="D138" t="str">
        <f t="shared" si="14"/>
        <v>Jueves</v>
      </c>
      <c r="I138" t="str">
        <f t="shared" si="11"/>
        <v>10-2026DOM</v>
      </c>
      <c r="J138" t="s">
        <v>129</v>
      </c>
      <c r="K138" t="s">
        <v>43</v>
      </c>
      <c r="L138">
        <f t="shared" si="12"/>
        <v>4</v>
      </c>
    </row>
    <row r="139" spans="1:12" x14ac:dyDescent="0.25">
      <c r="A139" s="88" t="str">
        <f t="shared" si="10"/>
        <v>5-2023</v>
      </c>
      <c r="B139" s="86">
        <v>45065</v>
      </c>
      <c r="C139" t="str">
        <f t="shared" si="13"/>
        <v>L-V</v>
      </c>
      <c r="D139" t="str">
        <f t="shared" si="14"/>
        <v>Viernes</v>
      </c>
      <c r="I139" t="str">
        <f t="shared" si="11"/>
        <v>11-2026DOM</v>
      </c>
      <c r="J139" t="s">
        <v>130</v>
      </c>
      <c r="K139" t="s">
        <v>43</v>
      </c>
      <c r="L139">
        <f t="shared" si="12"/>
        <v>5</v>
      </c>
    </row>
    <row r="140" spans="1:12" x14ac:dyDescent="0.25">
      <c r="A140" s="88" t="str">
        <f t="shared" si="10"/>
        <v>5-2023</v>
      </c>
      <c r="B140" s="86">
        <v>45066</v>
      </c>
      <c r="C140" t="str">
        <f t="shared" si="13"/>
        <v>SAB</v>
      </c>
      <c r="D140" t="str">
        <f t="shared" si="14"/>
        <v>Sábado</v>
      </c>
      <c r="I140" t="str">
        <f t="shared" si="11"/>
        <v>11-2026L-V</v>
      </c>
      <c r="J140" t="s">
        <v>130</v>
      </c>
      <c r="K140" t="s">
        <v>40</v>
      </c>
      <c r="L140">
        <f t="shared" si="12"/>
        <v>21</v>
      </c>
    </row>
    <row r="141" spans="1:12" x14ac:dyDescent="0.25">
      <c r="A141" s="88" t="str">
        <f t="shared" si="10"/>
        <v>5-2023</v>
      </c>
      <c r="B141" s="86">
        <v>45067</v>
      </c>
      <c r="C141" t="str">
        <f t="shared" si="13"/>
        <v>DOM</v>
      </c>
      <c r="D141" t="str">
        <f t="shared" si="14"/>
        <v>Domingo</v>
      </c>
      <c r="I141" t="str">
        <f t="shared" si="11"/>
        <v>11-2026SAB</v>
      </c>
      <c r="J141" t="s">
        <v>130</v>
      </c>
      <c r="K141" t="s">
        <v>41</v>
      </c>
      <c r="L141">
        <f t="shared" si="12"/>
        <v>4</v>
      </c>
    </row>
    <row r="142" spans="1:12" x14ac:dyDescent="0.25">
      <c r="A142" s="88" t="str">
        <f t="shared" si="10"/>
        <v>5-2023</v>
      </c>
      <c r="B142" s="86">
        <v>45068</v>
      </c>
      <c r="C142" t="str">
        <f t="shared" si="13"/>
        <v>L-V</v>
      </c>
      <c r="D142" t="str">
        <f t="shared" si="14"/>
        <v>Lunes</v>
      </c>
      <c r="I142" t="str">
        <f t="shared" si="11"/>
        <v>12-2026L-V</v>
      </c>
      <c r="J142" t="s">
        <v>131</v>
      </c>
      <c r="K142" t="s">
        <v>40</v>
      </c>
      <c r="L142">
        <f t="shared" si="12"/>
        <v>23</v>
      </c>
    </row>
    <row r="143" spans="1:12" x14ac:dyDescent="0.25">
      <c r="A143" s="88" t="str">
        <f t="shared" si="10"/>
        <v>5-2023</v>
      </c>
      <c r="B143" s="86">
        <v>45069</v>
      </c>
      <c r="C143" t="str">
        <f t="shared" si="13"/>
        <v>L-V</v>
      </c>
      <c r="D143" t="str">
        <f t="shared" si="14"/>
        <v>Martes</v>
      </c>
      <c r="I143" t="str">
        <f t="shared" si="11"/>
        <v>12-2026SAB</v>
      </c>
      <c r="J143" t="s">
        <v>131</v>
      </c>
      <c r="K143" t="s">
        <v>41</v>
      </c>
      <c r="L143">
        <f t="shared" si="12"/>
        <v>4</v>
      </c>
    </row>
    <row r="144" spans="1:12" x14ac:dyDescent="0.25">
      <c r="A144" s="88" t="str">
        <f t="shared" si="10"/>
        <v>5-2023</v>
      </c>
      <c r="B144" s="86">
        <v>45070</v>
      </c>
      <c r="C144" t="str">
        <f t="shared" si="13"/>
        <v>L-V</v>
      </c>
      <c r="D144" t="str">
        <f t="shared" si="14"/>
        <v>Miércoles</v>
      </c>
      <c r="I144" t="str">
        <f t="shared" si="11"/>
        <v>12-2026DOM</v>
      </c>
      <c r="J144" t="s">
        <v>131</v>
      </c>
      <c r="K144" t="s">
        <v>43</v>
      </c>
      <c r="L144">
        <f t="shared" si="12"/>
        <v>4</v>
      </c>
    </row>
    <row r="145" spans="1:12" x14ac:dyDescent="0.25">
      <c r="A145" s="88" t="str">
        <f t="shared" si="10"/>
        <v>5-2023</v>
      </c>
      <c r="B145" s="86">
        <v>45071</v>
      </c>
      <c r="C145" t="str">
        <f t="shared" si="13"/>
        <v>L-V</v>
      </c>
      <c r="D145" t="str">
        <f t="shared" si="14"/>
        <v>Jueves</v>
      </c>
      <c r="I145" t="str">
        <f t="shared" si="11"/>
        <v>1-2027L-V</v>
      </c>
      <c r="J145" t="s">
        <v>132</v>
      </c>
      <c r="K145" t="s">
        <v>40</v>
      </c>
      <c r="L145">
        <f t="shared" si="12"/>
        <v>21</v>
      </c>
    </row>
    <row r="146" spans="1:12" x14ac:dyDescent="0.25">
      <c r="A146" s="88" t="str">
        <f t="shared" si="10"/>
        <v>5-2023</v>
      </c>
      <c r="B146" s="86">
        <v>45072</v>
      </c>
      <c r="C146" t="str">
        <f t="shared" si="13"/>
        <v>L-V</v>
      </c>
      <c r="D146" t="str">
        <f t="shared" si="14"/>
        <v>Viernes</v>
      </c>
      <c r="I146" t="str">
        <f t="shared" si="11"/>
        <v>1-2027SAB</v>
      </c>
      <c r="J146" t="s">
        <v>132</v>
      </c>
      <c r="K146" t="s">
        <v>41</v>
      </c>
      <c r="L146">
        <f t="shared" si="12"/>
        <v>5</v>
      </c>
    </row>
    <row r="147" spans="1:12" x14ac:dyDescent="0.25">
      <c r="A147" s="88" t="str">
        <f t="shared" si="10"/>
        <v>5-2023</v>
      </c>
      <c r="B147" s="86">
        <v>45073</v>
      </c>
      <c r="C147" t="str">
        <f t="shared" si="13"/>
        <v>SAB</v>
      </c>
      <c r="D147" t="str">
        <f t="shared" si="14"/>
        <v>Sábado</v>
      </c>
      <c r="I147" t="str">
        <f t="shared" si="11"/>
        <v>1-2027DOM</v>
      </c>
      <c r="J147" t="s">
        <v>132</v>
      </c>
      <c r="K147" t="s">
        <v>43</v>
      </c>
      <c r="L147">
        <f t="shared" si="12"/>
        <v>5</v>
      </c>
    </row>
    <row r="148" spans="1:12" x14ac:dyDescent="0.25">
      <c r="A148" s="88" t="str">
        <f t="shared" si="10"/>
        <v>5-2023</v>
      </c>
      <c r="B148" s="86">
        <v>45074</v>
      </c>
      <c r="C148" t="str">
        <f t="shared" si="13"/>
        <v>DOM</v>
      </c>
      <c r="D148" t="str">
        <f t="shared" si="14"/>
        <v>Domingo</v>
      </c>
      <c r="I148" t="str">
        <f t="shared" si="11"/>
        <v>2-2027L-V</v>
      </c>
      <c r="J148" t="s">
        <v>133</v>
      </c>
      <c r="K148" t="s">
        <v>40</v>
      </c>
      <c r="L148">
        <f t="shared" si="12"/>
        <v>20</v>
      </c>
    </row>
    <row r="149" spans="1:12" x14ac:dyDescent="0.25">
      <c r="A149" s="88" t="str">
        <f t="shared" si="10"/>
        <v>5-2023</v>
      </c>
      <c r="B149" s="86">
        <v>45075</v>
      </c>
      <c r="C149" t="str">
        <f t="shared" si="13"/>
        <v>L-V</v>
      </c>
      <c r="D149" t="str">
        <f t="shared" si="14"/>
        <v>Lunes</v>
      </c>
      <c r="I149" t="str">
        <f t="shared" si="11"/>
        <v>2-2027SAB</v>
      </c>
      <c r="J149" t="s">
        <v>133</v>
      </c>
      <c r="K149" t="s">
        <v>41</v>
      </c>
      <c r="L149">
        <f t="shared" si="12"/>
        <v>4</v>
      </c>
    </row>
    <row r="150" spans="1:12" x14ac:dyDescent="0.25">
      <c r="A150" s="88" t="str">
        <f t="shared" si="10"/>
        <v>5-2023</v>
      </c>
      <c r="B150" s="86">
        <v>45076</v>
      </c>
      <c r="C150" t="str">
        <f t="shared" si="13"/>
        <v>L-V</v>
      </c>
      <c r="D150" t="str">
        <f t="shared" si="14"/>
        <v>Martes</v>
      </c>
      <c r="I150" t="str">
        <f t="shared" si="11"/>
        <v>2-2027DOM</v>
      </c>
      <c r="J150" t="s">
        <v>133</v>
      </c>
      <c r="K150" t="s">
        <v>43</v>
      </c>
      <c r="L150">
        <f t="shared" si="12"/>
        <v>4</v>
      </c>
    </row>
    <row r="151" spans="1:12" x14ac:dyDescent="0.25">
      <c r="A151" s="88" t="str">
        <f t="shared" si="10"/>
        <v>5-2023</v>
      </c>
      <c r="B151" s="86">
        <v>45077</v>
      </c>
      <c r="C151" t="str">
        <f t="shared" si="13"/>
        <v>L-V</v>
      </c>
      <c r="D151" t="str">
        <f t="shared" si="14"/>
        <v>Miércoles</v>
      </c>
      <c r="I151" t="str">
        <f t="shared" si="11"/>
        <v>3-2027L-V</v>
      </c>
      <c r="J151" t="s">
        <v>134</v>
      </c>
      <c r="K151" t="s">
        <v>40</v>
      </c>
      <c r="L151">
        <f t="shared" si="12"/>
        <v>23</v>
      </c>
    </row>
    <row r="152" spans="1:12" x14ac:dyDescent="0.25">
      <c r="A152" s="88" t="str">
        <f t="shared" si="10"/>
        <v>6-2023</v>
      </c>
      <c r="B152" s="86">
        <v>45078</v>
      </c>
      <c r="C152" t="str">
        <f t="shared" si="13"/>
        <v>L-V</v>
      </c>
      <c r="D152" t="str">
        <f t="shared" si="14"/>
        <v>Jueves</v>
      </c>
      <c r="I152" t="str">
        <f t="shared" si="11"/>
        <v>3-2027SAB</v>
      </c>
      <c r="J152" t="s">
        <v>134</v>
      </c>
      <c r="K152" t="s">
        <v>41</v>
      </c>
      <c r="L152">
        <f t="shared" si="12"/>
        <v>4</v>
      </c>
    </row>
    <row r="153" spans="1:12" x14ac:dyDescent="0.25">
      <c r="A153" s="88" t="str">
        <f t="shared" si="10"/>
        <v>6-2023</v>
      </c>
      <c r="B153" s="86">
        <v>45079</v>
      </c>
      <c r="C153" t="str">
        <f t="shared" si="13"/>
        <v>L-V</v>
      </c>
      <c r="D153" t="str">
        <f t="shared" si="14"/>
        <v>Viernes</v>
      </c>
      <c r="I153" t="str">
        <f t="shared" si="11"/>
        <v>3-2027DOM</v>
      </c>
      <c r="J153" t="s">
        <v>134</v>
      </c>
      <c r="K153" t="s">
        <v>43</v>
      </c>
      <c r="L153">
        <f t="shared" si="12"/>
        <v>4</v>
      </c>
    </row>
    <row r="154" spans="1:12" x14ac:dyDescent="0.25">
      <c r="A154" s="88" t="str">
        <f t="shared" si="10"/>
        <v>6-2023</v>
      </c>
      <c r="B154" s="86">
        <v>45080</v>
      </c>
      <c r="C154" t="str">
        <f t="shared" si="13"/>
        <v>SAB</v>
      </c>
      <c r="D154" t="str">
        <f t="shared" si="14"/>
        <v>Sábado</v>
      </c>
      <c r="I154" t="str">
        <f t="shared" si="11"/>
        <v>4-2027L-V</v>
      </c>
      <c r="J154" t="s">
        <v>135</v>
      </c>
      <c r="K154" t="s">
        <v>40</v>
      </c>
      <c r="L154">
        <f t="shared" si="12"/>
        <v>22</v>
      </c>
    </row>
    <row r="155" spans="1:12" x14ac:dyDescent="0.25">
      <c r="A155" s="88" t="str">
        <f t="shared" si="10"/>
        <v>6-2023</v>
      </c>
      <c r="B155" s="86">
        <v>45081</v>
      </c>
      <c r="C155" t="str">
        <f t="shared" si="13"/>
        <v>DOM</v>
      </c>
      <c r="D155" t="str">
        <f t="shared" si="14"/>
        <v>Domingo</v>
      </c>
      <c r="I155" t="str">
        <f t="shared" si="11"/>
        <v>4-2027SAB</v>
      </c>
      <c r="J155" t="s">
        <v>135</v>
      </c>
      <c r="K155" t="s">
        <v>41</v>
      </c>
      <c r="L155">
        <f t="shared" si="12"/>
        <v>4</v>
      </c>
    </row>
    <row r="156" spans="1:12" x14ac:dyDescent="0.25">
      <c r="A156" s="88" t="str">
        <f t="shared" si="10"/>
        <v>6-2023</v>
      </c>
      <c r="B156" s="86">
        <v>45082</v>
      </c>
      <c r="C156" t="str">
        <f t="shared" si="13"/>
        <v>L-V</v>
      </c>
      <c r="D156" t="str">
        <f t="shared" si="14"/>
        <v>Lunes</v>
      </c>
      <c r="I156" t="str">
        <f t="shared" si="11"/>
        <v>4-2027DOM</v>
      </c>
      <c r="J156" t="s">
        <v>135</v>
      </c>
      <c r="K156" t="s">
        <v>43</v>
      </c>
      <c r="L156">
        <f t="shared" si="12"/>
        <v>4</v>
      </c>
    </row>
    <row r="157" spans="1:12" x14ac:dyDescent="0.25">
      <c r="A157" s="88" t="str">
        <f t="shared" si="10"/>
        <v>6-2023</v>
      </c>
      <c r="B157" s="86">
        <v>45083</v>
      </c>
      <c r="C157" t="str">
        <f t="shared" si="13"/>
        <v>L-V</v>
      </c>
      <c r="D157" t="str">
        <f t="shared" si="14"/>
        <v>Martes</v>
      </c>
      <c r="I157" t="str">
        <f t="shared" si="11"/>
        <v>5-2027SAB</v>
      </c>
      <c r="J157" t="s">
        <v>136</v>
      </c>
      <c r="K157" t="s">
        <v>41</v>
      </c>
      <c r="L157">
        <f t="shared" si="12"/>
        <v>5</v>
      </c>
    </row>
    <row r="158" spans="1:12" x14ac:dyDescent="0.25">
      <c r="A158" s="88" t="str">
        <f t="shared" si="10"/>
        <v>6-2023</v>
      </c>
      <c r="B158" s="86">
        <v>45084</v>
      </c>
      <c r="C158" t="str">
        <f t="shared" si="13"/>
        <v>L-V</v>
      </c>
      <c r="D158" t="str">
        <f t="shared" si="14"/>
        <v>Miércoles</v>
      </c>
      <c r="I158" t="str">
        <f t="shared" si="11"/>
        <v>5-2027DOM</v>
      </c>
      <c r="J158" t="s">
        <v>136</v>
      </c>
      <c r="K158" t="s">
        <v>43</v>
      </c>
      <c r="L158">
        <f t="shared" si="12"/>
        <v>5</v>
      </c>
    </row>
    <row r="159" spans="1:12" x14ac:dyDescent="0.25">
      <c r="A159" s="88" t="str">
        <f t="shared" si="10"/>
        <v>6-2023</v>
      </c>
      <c r="B159" s="86">
        <v>45085</v>
      </c>
      <c r="C159" t="str">
        <f t="shared" si="13"/>
        <v>L-V</v>
      </c>
      <c r="D159" t="str">
        <f t="shared" si="14"/>
        <v>Jueves</v>
      </c>
      <c r="I159" t="str">
        <f t="shared" si="11"/>
        <v>5-2027L-V</v>
      </c>
      <c r="J159" t="s">
        <v>136</v>
      </c>
      <c r="K159" t="s">
        <v>40</v>
      </c>
      <c r="L159">
        <f t="shared" si="12"/>
        <v>21</v>
      </c>
    </row>
    <row r="160" spans="1:12" x14ac:dyDescent="0.25">
      <c r="A160" s="88" t="str">
        <f t="shared" si="10"/>
        <v>6-2023</v>
      </c>
      <c r="B160" s="86">
        <v>45086</v>
      </c>
      <c r="C160" t="str">
        <f t="shared" si="13"/>
        <v>L-V</v>
      </c>
      <c r="D160" t="str">
        <f t="shared" si="14"/>
        <v>Viernes</v>
      </c>
      <c r="I160" t="str">
        <f t="shared" si="11"/>
        <v>6-2027L-V</v>
      </c>
      <c r="J160" t="s">
        <v>137</v>
      </c>
      <c r="K160" t="s">
        <v>40</v>
      </c>
      <c r="L160">
        <f t="shared" si="12"/>
        <v>22</v>
      </c>
    </row>
    <row r="161" spans="1:12" x14ac:dyDescent="0.25">
      <c r="A161" s="88" t="str">
        <f t="shared" si="10"/>
        <v>6-2023</v>
      </c>
      <c r="B161" s="86">
        <v>45087</v>
      </c>
      <c r="C161" t="str">
        <f t="shared" si="13"/>
        <v>SAB</v>
      </c>
      <c r="D161" t="str">
        <f t="shared" si="14"/>
        <v>Sábado</v>
      </c>
      <c r="I161" t="str">
        <f t="shared" si="11"/>
        <v>6-2027SAB</v>
      </c>
      <c r="J161" t="s">
        <v>137</v>
      </c>
      <c r="K161" t="s">
        <v>41</v>
      </c>
      <c r="L161">
        <f t="shared" si="12"/>
        <v>4</v>
      </c>
    </row>
    <row r="162" spans="1:12" x14ac:dyDescent="0.25">
      <c r="A162" s="88" t="str">
        <f t="shared" si="10"/>
        <v>6-2023</v>
      </c>
      <c r="B162" s="86">
        <v>45088</v>
      </c>
      <c r="C162" t="str">
        <f t="shared" si="13"/>
        <v>DOM</v>
      </c>
      <c r="D162" t="str">
        <f t="shared" si="14"/>
        <v>Domingo</v>
      </c>
      <c r="I162" t="str">
        <f t="shared" si="11"/>
        <v>6-2027DOM</v>
      </c>
      <c r="J162" t="s">
        <v>137</v>
      </c>
      <c r="K162" t="s">
        <v>43</v>
      </c>
      <c r="L162">
        <f t="shared" si="12"/>
        <v>4</v>
      </c>
    </row>
    <row r="163" spans="1:12" x14ac:dyDescent="0.25">
      <c r="A163" s="88" t="str">
        <f t="shared" si="10"/>
        <v>6-2023</v>
      </c>
      <c r="B163" s="86">
        <v>45089</v>
      </c>
      <c r="C163" t="str">
        <f t="shared" si="13"/>
        <v>L-V</v>
      </c>
      <c r="D163" t="str">
        <f t="shared" si="14"/>
        <v>Lunes</v>
      </c>
      <c r="I163" t="str">
        <f t="shared" si="11"/>
        <v>7-2027L-V</v>
      </c>
      <c r="J163" t="s">
        <v>138</v>
      </c>
      <c r="K163" t="s">
        <v>40</v>
      </c>
      <c r="L163">
        <f t="shared" si="12"/>
        <v>22</v>
      </c>
    </row>
    <row r="164" spans="1:12" x14ac:dyDescent="0.25">
      <c r="A164" s="88" t="str">
        <f t="shared" si="10"/>
        <v>6-2023</v>
      </c>
      <c r="B164" s="86">
        <v>45090</v>
      </c>
      <c r="C164" t="str">
        <f t="shared" si="13"/>
        <v>L-V</v>
      </c>
      <c r="D164" t="str">
        <f t="shared" si="14"/>
        <v>Martes</v>
      </c>
      <c r="I164" t="str">
        <f t="shared" si="11"/>
        <v>7-2027SAB</v>
      </c>
      <c r="J164" t="s">
        <v>138</v>
      </c>
      <c r="K164" t="s">
        <v>41</v>
      </c>
      <c r="L164">
        <f t="shared" si="12"/>
        <v>5</v>
      </c>
    </row>
    <row r="165" spans="1:12" x14ac:dyDescent="0.25">
      <c r="A165" s="88" t="str">
        <f t="shared" si="10"/>
        <v>6-2023</v>
      </c>
      <c r="B165" s="86">
        <v>45091</v>
      </c>
      <c r="C165" t="str">
        <f t="shared" si="13"/>
        <v>L-V</v>
      </c>
      <c r="D165" t="str">
        <f t="shared" si="14"/>
        <v>Miércoles</v>
      </c>
      <c r="I165" t="str">
        <f t="shared" si="11"/>
        <v>7-2027DOM</v>
      </c>
      <c r="J165" t="s">
        <v>138</v>
      </c>
      <c r="K165" t="s">
        <v>43</v>
      </c>
      <c r="L165">
        <f t="shared" si="12"/>
        <v>4</v>
      </c>
    </row>
    <row r="166" spans="1:12" x14ac:dyDescent="0.25">
      <c r="A166" s="88" t="str">
        <f t="shared" si="10"/>
        <v>6-2023</v>
      </c>
      <c r="B166" s="86">
        <v>45092</v>
      </c>
      <c r="C166" t="str">
        <f t="shared" si="13"/>
        <v>L-V</v>
      </c>
      <c r="D166" t="str">
        <f t="shared" si="14"/>
        <v>Jueves</v>
      </c>
      <c r="I166" t="str">
        <f t="shared" si="11"/>
        <v>8-2027DOM</v>
      </c>
      <c r="J166" t="s">
        <v>139</v>
      </c>
      <c r="K166" t="s">
        <v>43</v>
      </c>
      <c r="L166">
        <f t="shared" si="12"/>
        <v>5</v>
      </c>
    </row>
    <row r="167" spans="1:12" x14ac:dyDescent="0.25">
      <c r="A167" s="88" t="str">
        <f t="shared" si="10"/>
        <v>6-2023</v>
      </c>
      <c r="B167" s="86">
        <v>45093</v>
      </c>
      <c r="C167" t="str">
        <f t="shared" si="13"/>
        <v>L-V</v>
      </c>
      <c r="D167" t="str">
        <f t="shared" si="14"/>
        <v>Viernes</v>
      </c>
      <c r="I167" t="str">
        <f t="shared" si="11"/>
        <v>8-2027L-V</v>
      </c>
      <c r="J167" t="s">
        <v>139</v>
      </c>
      <c r="K167" t="s">
        <v>40</v>
      </c>
      <c r="L167">
        <f t="shared" si="12"/>
        <v>22</v>
      </c>
    </row>
    <row r="168" spans="1:12" x14ac:dyDescent="0.25">
      <c r="A168" s="88" t="str">
        <f t="shared" si="10"/>
        <v>6-2023</v>
      </c>
      <c r="B168" s="86">
        <v>45094</v>
      </c>
      <c r="C168" t="str">
        <f t="shared" si="13"/>
        <v>SAB</v>
      </c>
      <c r="D168" t="str">
        <f t="shared" si="14"/>
        <v>Sábado</v>
      </c>
      <c r="I168" t="str">
        <f t="shared" si="11"/>
        <v>8-2027SAB</v>
      </c>
      <c r="J168" t="s">
        <v>139</v>
      </c>
      <c r="K168" t="s">
        <v>41</v>
      </c>
      <c r="L168">
        <f t="shared" si="12"/>
        <v>4</v>
      </c>
    </row>
    <row r="169" spans="1:12" x14ac:dyDescent="0.25">
      <c r="A169" s="88" t="str">
        <f t="shared" si="10"/>
        <v>6-2023</v>
      </c>
      <c r="B169" s="86">
        <v>45095</v>
      </c>
      <c r="C169" t="str">
        <f t="shared" si="13"/>
        <v>DOM</v>
      </c>
      <c r="D169" t="str">
        <f t="shared" si="14"/>
        <v>Domingo</v>
      </c>
      <c r="I169" t="str">
        <f t="shared" si="11"/>
        <v>9-2027L-V</v>
      </c>
      <c r="J169" t="s">
        <v>140</v>
      </c>
      <c r="K169" t="s">
        <v>40</v>
      </c>
      <c r="L169">
        <f t="shared" si="12"/>
        <v>22</v>
      </c>
    </row>
    <row r="170" spans="1:12" x14ac:dyDescent="0.25">
      <c r="A170" s="88" t="str">
        <f t="shared" si="10"/>
        <v>6-2023</v>
      </c>
      <c r="B170" s="86">
        <v>45096</v>
      </c>
      <c r="C170" t="str">
        <f t="shared" si="13"/>
        <v>L-V</v>
      </c>
      <c r="D170" t="str">
        <f t="shared" si="14"/>
        <v>Lunes</v>
      </c>
      <c r="I170" t="str">
        <f t="shared" si="11"/>
        <v>9-2027SAB</v>
      </c>
      <c r="J170" t="s">
        <v>140</v>
      </c>
      <c r="K170" t="s">
        <v>41</v>
      </c>
      <c r="L170">
        <f t="shared" si="12"/>
        <v>4</v>
      </c>
    </row>
    <row r="171" spans="1:12" x14ac:dyDescent="0.25">
      <c r="A171" s="88" t="str">
        <f t="shared" si="10"/>
        <v>6-2023</v>
      </c>
      <c r="B171" s="86">
        <v>45097</v>
      </c>
      <c r="C171" t="str">
        <f t="shared" si="13"/>
        <v>L-V</v>
      </c>
      <c r="D171" t="str">
        <f t="shared" si="14"/>
        <v>Martes</v>
      </c>
      <c r="I171" t="str">
        <f t="shared" si="11"/>
        <v>9-2027DOM</v>
      </c>
      <c r="J171" t="s">
        <v>140</v>
      </c>
      <c r="K171" t="s">
        <v>43</v>
      </c>
      <c r="L171">
        <f t="shared" si="12"/>
        <v>4</v>
      </c>
    </row>
    <row r="172" spans="1:12" x14ac:dyDescent="0.25">
      <c r="A172" s="88" t="str">
        <f t="shared" si="10"/>
        <v>6-2023</v>
      </c>
      <c r="B172" s="86">
        <v>45098</v>
      </c>
      <c r="C172" t="str">
        <f t="shared" si="13"/>
        <v>L-V</v>
      </c>
      <c r="D172" t="str">
        <f t="shared" si="14"/>
        <v>Miércoles</v>
      </c>
      <c r="I172" t="str">
        <f t="shared" si="11"/>
        <v>10-2027L-V</v>
      </c>
      <c r="J172" t="s">
        <v>141</v>
      </c>
      <c r="K172" t="s">
        <v>40</v>
      </c>
      <c r="L172">
        <f t="shared" si="12"/>
        <v>21</v>
      </c>
    </row>
    <row r="173" spans="1:12" x14ac:dyDescent="0.25">
      <c r="A173" s="88" t="str">
        <f t="shared" si="10"/>
        <v>6-2023</v>
      </c>
      <c r="B173" s="86">
        <v>45099</v>
      </c>
      <c r="C173" t="str">
        <f t="shared" si="13"/>
        <v>L-V</v>
      </c>
      <c r="D173" t="str">
        <f t="shared" si="14"/>
        <v>Jueves</v>
      </c>
      <c r="I173" t="str">
        <f t="shared" si="11"/>
        <v>10-2027SAB</v>
      </c>
      <c r="J173" t="s">
        <v>141</v>
      </c>
      <c r="K173" t="s">
        <v>41</v>
      </c>
      <c r="L173">
        <f t="shared" si="12"/>
        <v>5</v>
      </c>
    </row>
    <row r="174" spans="1:12" x14ac:dyDescent="0.25">
      <c r="A174" s="88" t="str">
        <f t="shared" si="10"/>
        <v>6-2023</v>
      </c>
      <c r="B174" s="86">
        <v>45100</v>
      </c>
      <c r="C174" t="str">
        <f t="shared" si="13"/>
        <v>L-V</v>
      </c>
      <c r="D174" t="str">
        <f t="shared" si="14"/>
        <v>Viernes</v>
      </c>
      <c r="I174" t="str">
        <f t="shared" si="11"/>
        <v>10-2027DOM</v>
      </c>
      <c r="J174" t="s">
        <v>141</v>
      </c>
      <c r="K174" t="s">
        <v>43</v>
      </c>
      <c r="L174">
        <f t="shared" si="12"/>
        <v>5</v>
      </c>
    </row>
    <row r="175" spans="1:12" x14ac:dyDescent="0.25">
      <c r="A175" s="88" t="str">
        <f t="shared" si="10"/>
        <v>6-2023</v>
      </c>
      <c r="B175" s="86">
        <v>45101</v>
      </c>
      <c r="C175" t="str">
        <f t="shared" si="13"/>
        <v>SAB</v>
      </c>
      <c r="D175" t="str">
        <f t="shared" si="14"/>
        <v>Sábado</v>
      </c>
      <c r="I175" t="str">
        <f t="shared" si="11"/>
        <v>11-2027L-V</v>
      </c>
      <c r="J175" t="s">
        <v>142</v>
      </c>
      <c r="K175" t="s">
        <v>40</v>
      </c>
      <c r="L175">
        <f t="shared" si="12"/>
        <v>22</v>
      </c>
    </row>
    <row r="176" spans="1:12" x14ac:dyDescent="0.25">
      <c r="A176" s="88" t="str">
        <f t="shared" si="10"/>
        <v>6-2023</v>
      </c>
      <c r="B176" s="86">
        <v>45102</v>
      </c>
      <c r="C176" t="str">
        <f t="shared" si="13"/>
        <v>DOM</v>
      </c>
      <c r="D176" t="str">
        <f t="shared" si="14"/>
        <v>Domingo</v>
      </c>
      <c r="I176" t="str">
        <f t="shared" si="11"/>
        <v>11-2027SAB</v>
      </c>
      <c r="J176" t="s">
        <v>142</v>
      </c>
      <c r="K176" t="s">
        <v>41</v>
      </c>
      <c r="L176">
        <f t="shared" si="12"/>
        <v>4</v>
      </c>
    </row>
    <row r="177" spans="1:12" x14ac:dyDescent="0.25">
      <c r="A177" s="88" t="str">
        <f t="shared" si="10"/>
        <v>6-2023</v>
      </c>
      <c r="B177" s="86">
        <v>45103</v>
      </c>
      <c r="C177" t="str">
        <f t="shared" si="13"/>
        <v>L-V</v>
      </c>
      <c r="D177" t="str">
        <f t="shared" si="14"/>
        <v>Lunes</v>
      </c>
      <c r="I177" t="str">
        <f t="shared" si="11"/>
        <v>11-2027DOM</v>
      </c>
      <c r="J177" t="s">
        <v>142</v>
      </c>
      <c r="K177" t="s">
        <v>43</v>
      </c>
      <c r="L177">
        <f t="shared" si="12"/>
        <v>4</v>
      </c>
    </row>
    <row r="178" spans="1:12" x14ac:dyDescent="0.25">
      <c r="A178" s="88" t="str">
        <f t="shared" si="10"/>
        <v>6-2023</v>
      </c>
      <c r="B178" s="86">
        <v>45104</v>
      </c>
      <c r="C178" t="str">
        <f t="shared" si="13"/>
        <v>L-V</v>
      </c>
      <c r="D178" t="str">
        <f t="shared" si="14"/>
        <v>Martes</v>
      </c>
      <c r="I178" t="str">
        <f t="shared" si="11"/>
        <v>12-2027L-V</v>
      </c>
      <c r="J178" t="s">
        <v>143</v>
      </c>
      <c r="K178" t="s">
        <v>40</v>
      </c>
      <c r="L178">
        <f t="shared" si="12"/>
        <v>23</v>
      </c>
    </row>
    <row r="179" spans="1:12" x14ac:dyDescent="0.25">
      <c r="A179" s="88" t="str">
        <f t="shared" si="10"/>
        <v>6-2023</v>
      </c>
      <c r="B179" s="86">
        <v>45105</v>
      </c>
      <c r="C179" t="str">
        <f t="shared" si="13"/>
        <v>L-V</v>
      </c>
      <c r="D179" t="str">
        <f t="shared" si="14"/>
        <v>Miércoles</v>
      </c>
      <c r="I179" t="str">
        <f t="shared" si="11"/>
        <v>12-2027SAB</v>
      </c>
      <c r="J179" t="s">
        <v>143</v>
      </c>
      <c r="K179" t="s">
        <v>41</v>
      </c>
      <c r="L179">
        <f t="shared" si="12"/>
        <v>4</v>
      </c>
    </row>
    <row r="180" spans="1:12" x14ac:dyDescent="0.25">
      <c r="A180" s="88" t="str">
        <f t="shared" si="10"/>
        <v>6-2023</v>
      </c>
      <c r="B180" s="86">
        <v>45106</v>
      </c>
      <c r="C180" t="str">
        <f t="shared" si="13"/>
        <v>L-V</v>
      </c>
      <c r="D180" t="str">
        <f t="shared" si="14"/>
        <v>Jueves</v>
      </c>
      <c r="I180" t="str">
        <f t="shared" si="11"/>
        <v>12-2027DOM</v>
      </c>
      <c r="J180" t="s">
        <v>143</v>
      </c>
      <c r="K180" t="s">
        <v>43</v>
      </c>
      <c r="L180">
        <f t="shared" si="12"/>
        <v>4</v>
      </c>
    </row>
    <row r="181" spans="1:12" x14ac:dyDescent="0.25">
      <c r="A181" s="88" t="str">
        <f t="shared" si="10"/>
        <v>6-2023</v>
      </c>
      <c r="B181" s="86">
        <v>45107</v>
      </c>
      <c r="C181" t="str">
        <f t="shared" si="13"/>
        <v>L-V</v>
      </c>
      <c r="D181" t="str">
        <f t="shared" si="14"/>
        <v>Viernes</v>
      </c>
      <c r="I181" t="str">
        <f t="shared" si="11"/>
        <v>1-2028SAB</v>
      </c>
      <c r="J181" t="s">
        <v>144</v>
      </c>
      <c r="K181" t="s">
        <v>41</v>
      </c>
      <c r="L181">
        <f t="shared" si="12"/>
        <v>5</v>
      </c>
    </row>
    <row r="182" spans="1:12" x14ac:dyDescent="0.25">
      <c r="A182" s="88" t="str">
        <f t="shared" si="10"/>
        <v>7-2023</v>
      </c>
      <c r="B182" s="86">
        <v>45108</v>
      </c>
      <c r="C182" t="str">
        <f t="shared" si="13"/>
        <v>SAB</v>
      </c>
      <c r="D182" t="str">
        <f t="shared" si="14"/>
        <v>Sábado</v>
      </c>
      <c r="I182" t="str">
        <f t="shared" si="11"/>
        <v>1-2028DOM</v>
      </c>
      <c r="J182" t="s">
        <v>144</v>
      </c>
      <c r="K182" t="s">
        <v>43</v>
      </c>
      <c r="L182">
        <f t="shared" si="12"/>
        <v>5</v>
      </c>
    </row>
    <row r="183" spans="1:12" x14ac:dyDescent="0.25">
      <c r="A183" s="88" t="str">
        <f t="shared" si="10"/>
        <v>7-2023</v>
      </c>
      <c r="B183" s="86">
        <v>45109</v>
      </c>
      <c r="C183" t="str">
        <f t="shared" si="13"/>
        <v>DOM</v>
      </c>
      <c r="D183" t="str">
        <f t="shared" si="14"/>
        <v>Domingo</v>
      </c>
      <c r="I183" t="str">
        <f t="shared" si="11"/>
        <v>1-2028L-V</v>
      </c>
      <c r="J183" t="s">
        <v>144</v>
      </c>
      <c r="K183" t="s">
        <v>40</v>
      </c>
      <c r="L183">
        <f t="shared" si="12"/>
        <v>21</v>
      </c>
    </row>
    <row r="184" spans="1:12" x14ac:dyDescent="0.25">
      <c r="A184" s="88" t="str">
        <f t="shared" si="10"/>
        <v>7-2023</v>
      </c>
      <c r="B184" s="86">
        <v>45110</v>
      </c>
      <c r="C184" t="str">
        <f t="shared" si="13"/>
        <v>L-V</v>
      </c>
      <c r="D184" t="str">
        <f t="shared" si="14"/>
        <v>Lunes</v>
      </c>
      <c r="I184" t="str">
        <f t="shared" si="11"/>
        <v>2-2028L-V</v>
      </c>
      <c r="J184" t="s">
        <v>145</v>
      </c>
      <c r="K184" t="s">
        <v>40</v>
      </c>
      <c r="L184">
        <f t="shared" si="12"/>
        <v>21</v>
      </c>
    </row>
    <row r="185" spans="1:12" x14ac:dyDescent="0.25">
      <c r="A185" s="88" t="str">
        <f t="shared" si="10"/>
        <v>7-2023</v>
      </c>
      <c r="B185" s="86">
        <v>45111</v>
      </c>
      <c r="C185" t="str">
        <f t="shared" si="13"/>
        <v>L-V</v>
      </c>
      <c r="D185" t="str">
        <f t="shared" si="14"/>
        <v>Martes</v>
      </c>
      <c r="I185" t="str">
        <f t="shared" si="11"/>
        <v>2-2028SAB</v>
      </c>
      <c r="J185" t="s">
        <v>145</v>
      </c>
      <c r="K185" t="s">
        <v>41</v>
      </c>
      <c r="L185">
        <f t="shared" si="12"/>
        <v>4</v>
      </c>
    </row>
    <row r="186" spans="1:12" x14ac:dyDescent="0.25">
      <c r="A186" s="88" t="str">
        <f t="shared" si="10"/>
        <v>7-2023</v>
      </c>
      <c r="B186" s="86">
        <v>45112</v>
      </c>
      <c r="C186" t="str">
        <f t="shared" si="13"/>
        <v>L-V</v>
      </c>
      <c r="D186" t="str">
        <f t="shared" si="14"/>
        <v>Miércoles</v>
      </c>
      <c r="I186" t="str">
        <f t="shared" si="11"/>
        <v>2-2028DOM</v>
      </c>
      <c r="J186" t="s">
        <v>145</v>
      </c>
      <c r="K186" t="s">
        <v>43</v>
      </c>
      <c r="L186">
        <f t="shared" si="12"/>
        <v>4</v>
      </c>
    </row>
    <row r="187" spans="1:12" x14ac:dyDescent="0.25">
      <c r="A187" s="88" t="str">
        <f t="shared" si="10"/>
        <v>7-2023</v>
      </c>
      <c r="B187" s="86">
        <v>45113</v>
      </c>
      <c r="C187" t="str">
        <f t="shared" si="13"/>
        <v>L-V</v>
      </c>
      <c r="D187" t="str">
        <f t="shared" si="14"/>
        <v>Jueves</v>
      </c>
      <c r="I187" t="str">
        <f t="shared" si="11"/>
        <v>3-2028L-V</v>
      </c>
      <c r="J187" t="s">
        <v>146</v>
      </c>
      <c r="K187" t="s">
        <v>40</v>
      </c>
      <c r="L187">
        <f t="shared" si="12"/>
        <v>23</v>
      </c>
    </row>
    <row r="188" spans="1:12" x14ac:dyDescent="0.25">
      <c r="A188" s="88" t="str">
        <f t="shared" si="10"/>
        <v>7-2023</v>
      </c>
      <c r="B188" s="86">
        <v>45114</v>
      </c>
      <c r="C188" t="str">
        <f t="shared" si="13"/>
        <v>L-V</v>
      </c>
      <c r="D188" t="str">
        <f t="shared" si="14"/>
        <v>Viernes</v>
      </c>
      <c r="I188" t="str">
        <f t="shared" si="11"/>
        <v>3-2028SAB</v>
      </c>
      <c r="J188" t="s">
        <v>146</v>
      </c>
      <c r="K188" t="s">
        <v>41</v>
      </c>
      <c r="L188">
        <f t="shared" si="12"/>
        <v>4</v>
      </c>
    </row>
    <row r="189" spans="1:12" x14ac:dyDescent="0.25">
      <c r="A189" s="88" t="str">
        <f t="shared" si="10"/>
        <v>7-2023</v>
      </c>
      <c r="B189" s="86">
        <v>45115</v>
      </c>
      <c r="C189" t="str">
        <f t="shared" si="13"/>
        <v>SAB</v>
      </c>
      <c r="D189" t="str">
        <f t="shared" si="14"/>
        <v>Sábado</v>
      </c>
      <c r="I189" t="str">
        <f t="shared" si="11"/>
        <v>3-2028DOM</v>
      </c>
      <c r="J189" t="s">
        <v>146</v>
      </c>
      <c r="K189" t="s">
        <v>43</v>
      </c>
      <c r="L189">
        <f t="shared" si="12"/>
        <v>4</v>
      </c>
    </row>
    <row r="190" spans="1:12" x14ac:dyDescent="0.25">
      <c r="A190" s="88" t="str">
        <f t="shared" si="10"/>
        <v>7-2023</v>
      </c>
      <c r="B190" s="86">
        <v>45116</v>
      </c>
      <c r="C190" t="str">
        <f t="shared" si="13"/>
        <v>DOM</v>
      </c>
      <c r="D190" t="str">
        <f t="shared" si="14"/>
        <v>Domingo</v>
      </c>
      <c r="I190" t="str">
        <f t="shared" si="11"/>
        <v>4-2028SAB</v>
      </c>
      <c r="J190" t="s">
        <v>147</v>
      </c>
      <c r="K190" t="s">
        <v>41</v>
      </c>
      <c r="L190">
        <f t="shared" si="12"/>
        <v>5</v>
      </c>
    </row>
    <row r="191" spans="1:12" x14ac:dyDescent="0.25">
      <c r="A191" s="88" t="str">
        <f t="shared" si="10"/>
        <v>7-2023</v>
      </c>
      <c r="B191" s="86">
        <v>45117</v>
      </c>
      <c r="C191" t="str">
        <f t="shared" si="13"/>
        <v>L-V</v>
      </c>
      <c r="D191" t="str">
        <f t="shared" si="14"/>
        <v>Lunes</v>
      </c>
      <c r="I191" t="str">
        <f t="shared" si="11"/>
        <v>4-2028DOM</v>
      </c>
      <c r="J191" t="s">
        <v>147</v>
      </c>
      <c r="K191" t="s">
        <v>43</v>
      </c>
      <c r="L191">
        <f t="shared" si="12"/>
        <v>5</v>
      </c>
    </row>
    <row r="192" spans="1:12" x14ac:dyDescent="0.25">
      <c r="A192" s="88" t="str">
        <f t="shared" si="10"/>
        <v>7-2023</v>
      </c>
      <c r="B192" s="86">
        <v>45118</v>
      </c>
      <c r="C192" t="str">
        <f t="shared" si="13"/>
        <v>L-V</v>
      </c>
      <c r="D192" t="str">
        <f t="shared" si="14"/>
        <v>Martes</v>
      </c>
      <c r="I192" t="str">
        <f t="shared" si="11"/>
        <v>4-2028L-V</v>
      </c>
      <c r="J192" t="s">
        <v>147</v>
      </c>
      <c r="K192" t="s">
        <v>40</v>
      </c>
      <c r="L192">
        <f t="shared" si="12"/>
        <v>20</v>
      </c>
    </row>
    <row r="193" spans="1:12" x14ac:dyDescent="0.25">
      <c r="A193" s="88" t="str">
        <f t="shared" si="10"/>
        <v>7-2023</v>
      </c>
      <c r="B193" s="86">
        <v>45119</v>
      </c>
      <c r="C193" t="str">
        <f t="shared" si="13"/>
        <v>L-V</v>
      </c>
      <c r="D193" t="str">
        <f t="shared" si="14"/>
        <v>Miércoles</v>
      </c>
      <c r="I193" t="str">
        <f t="shared" si="11"/>
        <v>5-2028L-V</v>
      </c>
      <c r="J193" t="s">
        <v>148</v>
      </c>
      <c r="K193" t="s">
        <v>40</v>
      </c>
      <c r="L193">
        <f t="shared" si="12"/>
        <v>23</v>
      </c>
    </row>
    <row r="194" spans="1:12" x14ac:dyDescent="0.25">
      <c r="A194" s="88" t="str">
        <f t="shared" ref="A194:A257" si="15">MONTH(B194)&amp;"-"&amp;YEAR(B194)</f>
        <v>7-2023</v>
      </c>
      <c r="B194" s="86">
        <v>45120</v>
      </c>
      <c r="C194" t="str">
        <f t="shared" si="13"/>
        <v>L-V</v>
      </c>
      <c r="D194" t="str">
        <f t="shared" si="14"/>
        <v>Jueves</v>
      </c>
      <c r="I194" t="str">
        <f t="shared" ref="I194:I257" si="16">J194&amp;K194</f>
        <v>5-2028SAB</v>
      </c>
      <c r="J194" t="s">
        <v>148</v>
      </c>
      <c r="K194" t="s">
        <v>41</v>
      </c>
      <c r="L194">
        <f t="shared" ref="L194:L257" si="17">COUNTIFS(C:C,K194,A:A,J194)</f>
        <v>4</v>
      </c>
    </row>
    <row r="195" spans="1:12" x14ac:dyDescent="0.25">
      <c r="A195" s="88" t="str">
        <f t="shared" si="15"/>
        <v>7-2023</v>
      </c>
      <c r="B195" s="86">
        <v>45121</v>
      </c>
      <c r="C195" t="str">
        <f t="shared" ref="C195:C258" si="18">VLOOKUP(WEEKDAY(B195,2),$F$1:$H$7,2)</f>
        <v>L-V</v>
      </c>
      <c r="D195" t="str">
        <f t="shared" ref="D195:D258" si="19">VLOOKUP(WEEKDAY($B195,2),$F$1:$H$7,3)</f>
        <v>Viernes</v>
      </c>
      <c r="I195" t="str">
        <f t="shared" si="16"/>
        <v>5-2028DOM</v>
      </c>
      <c r="J195" t="s">
        <v>148</v>
      </c>
      <c r="K195" t="s">
        <v>43</v>
      </c>
      <c r="L195">
        <f t="shared" si="17"/>
        <v>4</v>
      </c>
    </row>
    <row r="196" spans="1:12" x14ac:dyDescent="0.25">
      <c r="A196" s="88" t="str">
        <f t="shared" si="15"/>
        <v>7-2023</v>
      </c>
      <c r="B196" s="86">
        <v>45122</v>
      </c>
      <c r="C196" t="str">
        <f t="shared" si="18"/>
        <v>SAB</v>
      </c>
      <c r="D196" t="str">
        <f t="shared" si="19"/>
        <v>Sábado</v>
      </c>
      <c r="I196" t="str">
        <f t="shared" si="16"/>
        <v>6-2028L-V</v>
      </c>
      <c r="J196" t="s">
        <v>149</v>
      </c>
      <c r="K196" t="s">
        <v>40</v>
      </c>
      <c r="L196">
        <f t="shared" si="17"/>
        <v>22</v>
      </c>
    </row>
    <row r="197" spans="1:12" x14ac:dyDescent="0.25">
      <c r="A197" s="88" t="str">
        <f t="shared" si="15"/>
        <v>7-2023</v>
      </c>
      <c r="B197" s="86">
        <v>45123</v>
      </c>
      <c r="C197" t="str">
        <f t="shared" si="18"/>
        <v>DOM</v>
      </c>
      <c r="D197" t="str">
        <f t="shared" si="19"/>
        <v>Domingo</v>
      </c>
      <c r="I197" t="str">
        <f t="shared" si="16"/>
        <v>6-2028SAB</v>
      </c>
      <c r="J197" t="s">
        <v>149</v>
      </c>
      <c r="K197" t="s">
        <v>41</v>
      </c>
      <c r="L197">
        <f t="shared" si="17"/>
        <v>4</v>
      </c>
    </row>
    <row r="198" spans="1:12" x14ac:dyDescent="0.25">
      <c r="A198" s="88" t="str">
        <f t="shared" si="15"/>
        <v>7-2023</v>
      </c>
      <c r="B198" s="86">
        <v>45124</v>
      </c>
      <c r="C198" t="str">
        <f t="shared" si="18"/>
        <v>L-V</v>
      </c>
      <c r="D198" t="str">
        <f t="shared" si="19"/>
        <v>Lunes</v>
      </c>
      <c r="I198" t="str">
        <f t="shared" si="16"/>
        <v>6-2028DOM</v>
      </c>
      <c r="J198" t="s">
        <v>149</v>
      </c>
      <c r="K198" t="s">
        <v>43</v>
      </c>
      <c r="L198">
        <f t="shared" si="17"/>
        <v>4</v>
      </c>
    </row>
    <row r="199" spans="1:12" x14ac:dyDescent="0.25">
      <c r="A199" s="88" t="str">
        <f t="shared" si="15"/>
        <v>7-2023</v>
      </c>
      <c r="B199" s="86">
        <v>45125</v>
      </c>
      <c r="C199" t="str">
        <f t="shared" si="18"/>
        <v>L-V</v>
      </c>
      <c r="D199" t="str">
        <f t="shared" si="19"/>
        <v>Martes</v>
      </c>
      <c r="I199" t="str">
        <f t="shared" si="16"/>
        <v>7-2028SAB</v>
      </c>
      <c r="J199" t="s">
        <v>150</v>
      </c>
      <c r="K199" t="s">
        <v>41</v>
      </c>
      <c r="L199">
        <f t="shared" si="17"/>
        <v>5</v>
      </c>
    </row>
    <row r="200" spans="1:12" x14ac:dyDescent="0.25">
      <c r="A200" s="88" t="str">
        <f t="shared" si="15"/>
        <v>7-2023</v>
      </c>
      <c r="B200" s="86">
        <v>45126</v>
      </c>
      <c r="C200" t="str">
        <f t="shared" si="18"/>
        <v>L-V</v>
      </c>
      <c r="D200" t="str">
        <f t="shared" si="19"/>
        <v>Miércoles</v>
      </c>
      <c r="I200" t="str">
        <f t="shared" si="16"/>
        <v>7-2028DOM</v>
      </c>
      <c r="J200" t="s">
        <v>150</v>
      </c>
      <c r="K200" t="s">
        <v>43</v>
      </c>
      <c r="L200">
        <f t="shared" si="17"/>
        <v>5</v>
      </c>
    </row>
    <row r="201" spans="1:12" x14ac:dyDescent="0.25">
      <c r="A201" s="88" t="str">
        <f t="shared" si="15"/>
        <v>7-2023</v>
      </c>
      <c r="B201" s="86">
        <v>45127</v>
      </c>
      <c r="C201" t="str">
        <f t="shared" si="18"/>
        <v>L-V</v>
      </c>
      <c r="D201" t="str">
        <f t="shared" si="19"/>
        <v>Jueves</v>
      </c>
      <c r="I201" t="str">
        <f t="shared" si="16"/>
        <v>7-2028L-V</v>
      </c>
      <c r="J201" t="s">
        <v>150</v>
      </c>
      <c r="K201" t="s">
        <v>40</v>
      </c>
      <c r="L201">
        <f t="shared" si="17"/>
        <v>21</v>
      </c>
    </row>
    <row r="202" spans="1:12" x14ac:dyDescent="0.25">
      <c r="A202" s="88" t="str">
        <f t="shared" si="15"/>
        <v>7-2023</v>
      </c>
      <c r="B202" s="86">
        <v>45128</v>
      </c>
      <c r="C202" t="str">
        <f t="shared" si="18"/>
        <v>L-V</v>
      </c>
      <c r="D202" t="str">
        <f t="shared" si="19"/>
        <v>Viernes</v>
      </c>
      <c r="I202" t="str">
        <f t="shared" si="16"/>
        <v>8-2028L-V</v>
      </c>
      <c r="J202" t="s">
        <v>151</v>
      </c>
      <c r="K202" t="s">
        <v>40</v>
      </c>
      <c r="L202">
        <f t="shared" si="17"/>
        <v>23</v>
      </c>
    </row>
    <row r="203" spans="1:12" x14ac:dyDescent="0.25">
      <c r="A203" s="88" t="str">
        <f t="shared" si="15"/>
        <v>7-2023</v>
      </c>
      <c r="B203" s="86">
        <v>45129</v>
      </c>
      <c r="C203" t="str">
        <f t="shared" si="18"/>
        <v>SAB</v>
      </c>
      <c r="D203" t="str">
        <f t="shared" si="19"/>
        <v>Sábado</v>
      </c>
      <c r="I203" t="str">
        <f t="shared" si="16"/>
        <v>8-2028SAB</v>
      </c>
      <c r="J203" t="s">
        <v>151</v>
      </c>
      <c r="K203" t="s">
        <v>41</v>
      </c>
      <c r="L203">
        <f t="shared" si="17"/>
        <v>4</v>
      </c>
    </row>
    <row r="204" spans="1:12" x14ac:dyDescent="0.25">
      <c r="A204" s="88" t="str">
        <f t="shared" si="15"/>
        <v>7-2023</v>
      </c>
      <c r="B204" s="86">
        <v>45130</v>
      </c>
      <c r="C204" t="str">
        <f t="shared" si="18"/>
        <v>DOM</v>
      </c>
      <c r="D204" t="str">
        <f t="shared" si="19"/>
        <v>Domingo</v>
      </c>
      <c r="I204" t="str">
        <f t="shared" si="16"/>
        <v>8-2028DOM</v>
      </c>
      <c r="J204" t="s">
        <v>151</v>
      </c>
      <c r="K204" t="s">
        <v>43</v>
      </c>
      <c r="L204">
        <f t="shared" si="17"/>
        <v>4</v>
      </c>
    </row>
    <row r="205" spans="1:12" x14ac:dyDescent="0.25">
      <c r="A205" s="88" t="str">
        <f t="shared" si="15"/>
        <v>7-2023</v>
      </c>
      <c r="B205" s="86">
        <v>45131</v>
      </c>
      <c r="C205" t="str">
        <f t="shared" si="18"/>
        <v>L-V</v>
      </c>
      <c r="D205" t="str">
        <f t="shared" si="19"/>
        <v>Lunes</v>
      </c>
      <c r="I205" t="str">
        <f t="shared" si="16"/>
        <v>9-2028L-V</v>
      </c>
      <c r="J205" t="s">
        <v>152</v>
      </c>
      <c r="K205" t="s">
        <v>40</v>
      </c>
      <c r="L205">
        <f t="shared" si="17"/>
        <v>21</v>
      </c>
    </row>
    <row r="206" spans="1:12" x14ac:dyDescent="0.25">
      <c r="A206" s="88" t="str">
        <f t="shared" si="15"/>
        <v>7-2023</v>
      </c>
      <c r="B206" s="86">
        <v>45132</v>
      </c>
      <c r="C206" t="str">
        <f t="shared" si="18"/>
        <v>L-V</v>
      </c>
      <c r="D206" t="str">
        <f t="shared" si="19"/>
        <v>Martes</v>
      </c>
      <c r="I206" t="str">
        <f t="shared" si="16"/>
        <v>9-2028SAB</v>
      </c>
      <c r="J206" t="s">
        <v>152</v>
      </c>
      <c r="K206" t="s">
        <v>41</v>
      </c>
      <c r="L206">
        <f t="shared" si="17"/>
        <v>5</v>
      </c>
    </row>
    <row r="207" spans="1:12" x14ac:dyDescent="0.25">
      <c r="A207" s="88" t="str">
        <f t="shared" si="15"/>
        <v>7-2023</v>
      </c>
      <c r="B207" s="86">
        <v>45133</v>
      </c>
      <c r="C207" t="str">
        <f t="shared" si="18"/>
        <v>L-V</v>
      </c>
      <c r="D207" t="str">
        <f t="shared" si="19"/>
        <v>Miércoles</v>
      </c>
      <c r="I207" t="str">
        <f t="shared" si="16"/>
        <v>9-2028DOM</v>
      </c>
      <c r="J207" t="s">
        <v>152</v>
      </c>
      <c r="K207" t="s">
        <v>43</v>
      </c>
      <c r="L207">
        <f t="shared" si="17"/>
        <v>4</v>
      </c>
    </row>
    <row r="208" spans="1:12" x14ac:dyDescent="0.25">
      <c r="A208" s="88" t="str">
        <f t="shared" si="15"/>
        <v>7-2023</v>
      </c>
      <c r="B208" s="86">
        <v>45134</v>
      </c>
      <c r="C208" t="str">
        <f t="shared" si="18"/>
        <v>L-V</v>
      </c>
      <c r="D208" t="str">
        <f t="shared" si="19"/>
        <v>Jueves</v>
      </c>
      <c r="I208" t="str">
        <f t="shared" si="16"/>
        <v>10-2028DOM</v>
      </c>
      <c r="J208" t="s">
        <v>153</v>
      </c>
      <c r="K208" t="s">
        <v>43</v>
      </c>
      <c r="L208">
        <f t="shared" si="17"/>
        <v>5</v>
      </c>
    </row>
    <row r="209" spans="1:12" x14ac:dyDescent="0.25">
      <c r="A209" s="88" t="str">
        <f t="shared" si="15"/>
        <v>7-2023</v>
      </c>
      <c r="B209" s="86">
        <v>45135</v>
      </c>
      <c r="C209" t="str">
        <f t="shared" si="18"/>
        <v>L-V</v>
      </c>
      <c r="D209" t="str">
        <f t="shared" si="19"/>
        <v>Viernes</v>
      </c>
      <c r="I209" t="str">
        <f t="shared" si="16"/>
        <v>10-2028L-V</v>
      </c>
      <c r="J209" t="s">
        <v>153</v>
      </c>
      <c r="K209" t="s">
        <v>40</v>
      </c>
      <c r="L209">
        <f t="shared" si="17"/>
        <v>22</v>
      </c>
    </row>
    <row r="210" spans="1:12" x14ac:dyDescent="0.25">
      <c r="A210" s="88" t="str">
        <f t="shared" si="15"/>
        <v>7-2023</v>
      </c>
      <c r="B210" s="86">
        <v>45136</v>
      </c>
      <c r="C210" t="str">
        <f t="shared" si="18"/>
        <v>SAB</v>
      </c>
      <c r="D210" t="str">
        <f t="shared" si="19"/>
        <v>Sábado</v>
      </c>
      <c r="I210" t="str">
        <f t="shared" si="16"/>
        <v>10-2028SAB</v>
      </c>
      <c r="J210" t="s">
        <v>153</v>
      </c>
      <c r="K210" t="s">
        <v>41</v>
      </c>
      <c r="L210">
        <f t="shared" si="17"/>
        <v>4</v>
      </c>
    </row>
    <row r="211" spans="1:12" x14ac:dyDescent="0.25">
      <c r="A211" s="88" t="str">
        <f t="shared" si="15"/>
        <v>7-2023</v>
      </c>
      <c r="B211" s="86">
        <v>45137</v>
      </c>
      <c r="C211" t="str">
        <f t="shared" si="18"/>
        <v>DOM</v>
      </c>
      <c r="D211" t="str">
        <f t="shared" si="19"/>
        <v>Domingo</v>
      </c>
      <c r="I211" t="str">
        <f t="shared" si="16"/>
        <v>11-2028L-V</v>
      </c>
      <c r="J211" t="s">
        <v>154</v>
      </c>
      <c r="K211" t="s">
        <v>40</v>
      </c>
      <c r="L211">
        <f t="shared" si="17"/>
        <v>22</v>
      </c>
    </row>
    <row r="212" spans="1:12" x14ac:dyDescent="0.25">
      <c r="A212" s="88" t="str">
        <f t="shared" si="15"/>
        <v>7-2023</v>
      </c>
      <c r="B212" s="86">
        <v>45138</v>
      </c>
      <c r="C212" t="str">
        <f t="shared" si="18"/>
        <v>L-V</v>
      </c>
      <c r="D212" t="str">
        <f t="shared" si="19"/>
        <v>Lunes</v>
      </c>
      <c r="I212" t="str">
        <f t="shared" si="16"/>
        <v>11-2028SAB</v>
      </c>
      <c r="J212" t="s">
        <v>154</v>
      </c>
      <c r="K212" t="s">
        <v>41</v>
      </c>
      <c r="L212">
        <f t="shared" si="17"/>
        <v>4</v>
      </c>
    </row>
    <row r="213" spans="1:12" x14ac:dyDescent="0.25">
      <c r="A213" s="88" t="str">
        <f t="shared" si="15"/>
        <v>8-2023</v>
      </c>
      <c r="B213" s="86">
        <v>45139</v>
      </c>
      <c r="C213" t="str">
        <f t="shared" si="18"/>
        <v>L-V</v>
      </c>
      <c r="D213" t="str">
        <f t="shared" si="19"/>
        <v>Martes</v>
      </c>
      <c r="I213" t="str">
        <f t="shared" si="16"/>
        <v>11-2028DOM</v>
      </c>
      <c r="J213" t="s">
        <v>154</v>
      </c>
      <c r="K213" t="s">
        <v>43</v>
      </c>
      <c r="L213">
        <f t="shared" si="17"/>
        <v>4</v>
      </c>
    </row>
    <row r="214" spans="1:12" x14ac:dyDescent="0.25">
      <c r="A214" s="88" t="str">
        <f t="shared" si="15"/>
        <v>8-2023</v>
      </c>
      <c r="B214" s="86">
        <v>45140</v>
      </c>
      <c r="C214" t="str">
        <f t="shared" si="18"/>
        <v>L-V</v>
      </c>
      <c r="D214" t="str">
        <f t="shared" si="19"/>
        <v>Miércoles</v>
      </c>
      <c r="I214" t="str">
        <f t="shared" si="16"/>
        <v>12-2028L-V</v>
      </c>
      <c r="J214" t="s">
        <v>155</v>
      </c>
      <c r="K214" t="s">
        <v>40</v>
      </c>
      <c r="L214">
        <f t="shared" si="17"/>
        <v>21</v>
      </c>
    </row>
    <row r="215" spans="1:12" x14ac:dyDescent="0.25">
      <c r="A215" s="88" t="str">
        <f t="shared" si="15"/>
        <v>8-2023</v>
      </c>
      <c r="B215" s="86">
        <v>45141</v>
      </c>
      <c r="C215" t="str">
        <f t="shared" si="18"/>
        <v>L-V</v>
      </c>
      <c r="D215" t="str">
        <f t="shared" si="19"/>
        <v>Jueves</v>
      </c>
      <c r="I215" t="str">
        <f t="shared" si="16"/>
        <v>12-2028SAB</v>
      </c>
      <c r="J215" t="s">
        <v>155</v>
      </c>
      <c r="K215" t="s">
        <v>41</v>
      </c>
      <c r="L215">
        <f t="shared" si="17"/>
        <v>5</v>
      </c>
    </row>
    <row r="216" spans="1:12" x14ac:dyDescent="0.25">
      <c r="A216" s="88" t="str">
        <f t="shared" si="15"/>
        <v>8-2023</v>
      </c>
      <c r="B216" s="86">
        <v>45142</v>
      </c>
      <c r="C216" t="str">
        <f t="shared" si="18"/>
        <v>L-V</v>
      </c>
      <c r="D216" t="str">
        <f t="shared" si="19"/>
        <v>Viernes</v>
      </c>
      <c r="I216" t="str">
        <f t="shared" si="16"/>
        <v>12-2028DOM</v>
      </c>
      <c r="J216" t="s">
        <v>155</v>
      </c>
      <c r="K216" t="s">
        <v>43</v>
      </c>
      <c r="L216">
        <f t="shared" si="17"/>
        <v>5</v>
      </c>
    </row>
    <row r="217" spans="1:12" x14ac:dyDescent="0.25">
      <c r="A217" s="88" t="str">
        <f t="shared" si="15"/>
        <v>8-2023</v>
      </c>
      <c r="B217" s="86">
        <v>45143</v>
      </c>
      <c r="C217" t="str">
        <f t="shared" si="18"/>
        <v>SAB</v>
      </c>
      <c r="D217" t="str">
        <f t="shared" si="19"/>
        <v>Sábado</v>
      </c>
      <c r="I217" t="str">
        <f t="shared" si="16"/>
        <v>1-2029L-V</v>
      </c>
      <c r="J217" t="s">
        <v>156</v>
      </c>
      <c r="K217" t="s">
        <v>40</v>
      </c>
      <c r="L217">
        <f t="shared" si="17"/>
        <v>23</v>
      </c>
    </row>
    <row r="218" spans="1:12" x14ac:dyDescent="0.25">
      <c r="A218" s="88" t="str">
        <f t="shared" si="15"/>
        <v>8-2023</v>
      </c>
      <c r="B218" s="86">
        <v>45144</v>
      </c>
      <c r="C218" t="str">
        <f t="shared" si="18"/>
        <v>DOM</v>
      </c>
      <c r="D218" t="str">
        <f t="shared" si="19"/>
        <v>Domingo</v>
      </c>
      <c r="I218" t="str">
        <f t="shared" si="16"/>
        <v>1-2029SAB</v>
      </c>
      <c r="J218" t="s">
        <v>156</v>
      </c>
      <c r="K218" t="s">
        <v>41</v>
      </c>
      <c r="L218">
        <f t="shared" si="17"/>
        <v>4</v>
      </c>
    </row>
    <row r="219" spans="1:12" x14ac:dyDescent="0.25">
      <c r="A219" s="88" t="str">
        <f t="shared" si="15"/>
        <v>8-2023</v>
      </c>
      <c r="B219" s="86">
        <v>45145</v>
      </c>
      <c r="C219" t="str">
        <f t="shared" si="18"/>
        <v>L-V</v>
      </c>
      <c r="D219" t="str">
        <f t="shared" si="19"/>
        <v>Lunes</v>
      </c>
      <c r="I219" t="str">
        <f t="shared" si="16"/>
        <v>1-2029DOM</v>
      </c>
      <c r="J219" t="s">
        <v>156</v>
      </c>
      <c r="K219" t="s">
        <v>43</v>
      </c>
      <c r="L219">
        <f t="shared" si="17"/>
        <v>4</v>
      </c>
    </row>
    <row r="220" spans="1:12" x14ac:dyDescent="0.25">
      <c r="A220" s="88" t="str">
        <f t="shared" si="15"/>
        <v>8-2023</v>
      </c>
      <c r="B220" s="86">
        <v>45146</v>
      </c>
      <c r="C220" t="str">
        <f t="shared" si="18"/>
        <v>L-V</v>
      </c>
      <c r="D220" t="str">
        <f t="shared" si="19"/>
        <v>Martes</v>
      </c>
      <c r="I220" t="str">
        <f t="shared" si="16"/>
        <v>2-2029L-V</v>
      </c>
      <c r="J220" t="s">
        <v>157</v>
      </c>
      <c r="K220" t="s">
        <v>40</v>
      </c>
      <c r="L220">
        <f t="shared" si="17"/>
        <v>20</v>
      </c>
    </row>
    <row r="221" spans="1:12" x14ac:dyDescent="0.25">
      <c r="A221" s="88" t="str">
        <f t="shared" si="15"/>
        <v>8-2023</v>
      </c>
      <c r="B221" s="86">
        <v>45147</v>
      </c>
      <c r="C221" t="str">
        <f t="shared" si="18"/>
        <v>L-V</v>
      </c>
      <c r="D221" t="str">
        <f t="shared" si="19"/>
        <v>Miércoles</v>
      </c>
      <c r="I221" t="str">
        <f t="shared" si="16"/>
        <v>2-2029SAB</v>
      </c>
      <c r="J221" t="s">
        <v>157</v>
      </c>
      <c r="K221" t="s">
        <v>41</v>
      </c>
      <c r="L221">
        <f t="shared" si="17"/>
        <v>4</v>
      </c>
    </row>
    <row r="222" spans="1:12" x14ac:dyDescent="0.25">
      <c r="A222" s="88" t="str">
        <f t="shared" si="15"/>
        <v>8-2023</v>
      </c>
      <c r="B222" s="86">
        <v>45148</v>
      </c>
      <c r="C222" t="str">
        <f t="shared" si="18"/>
        <v>L-V</v>
      </c>
      <c r="D222" t="str">
        <f t="shared" si="19"/>
        <v>Jueves</v>
      </c>
      <c r="I222" t="str">
        <f t="shared" si="16"/>
        <v>2-2029DOM</v>
      </c>
      <c r="J222" t="s">
        <v>157</v>
      </c>
      <c r="K222" t="s">
        <v>43</v>
      </c>
      <c r="L222">
        <f t="shared" si="17"/>
        <v>4</v>
      </c>
    </row>
    <row r="223" spans="1:12" x14ac:dyDescent="0.25">
      <c r="A223" s="88" t="str">
        <f t="shared" si="15"/>
        <v>8-2023</v>
      </c>
      <c r="B223" s="86">
        <v>45149</v>
      </c>
      <c r="C223" t="str">
        <f t="shared" si="18"/>
        <v>L-V</v>
      </c>
      <c r="D223" t="str">
        <f t="shared" si="19"/>
        <v>Viernes</v>
      </c>
      <c r="I223" t="str">
        <f t="shared" si="16"/>
        <v>3-2029L-V</v>
      </c>
      <c r="J223" t="s">
        <v>158</v>
      </c>
      <c r="K223" t="s">
        <v>40</v>
      </c>
      <c r="L223">
        <f t="shared" si="17"/>
        <v>22</v>
      </c>
    </row>
    <row r="224" spans="1:12" x14ac:dyDescent="0.25">
      <c r="A224" s="88" t="str">
        <f t="shared" si="15"/>
        <v>8-2023</v>
      </c>
      <c r="B224" s="86">
        <v>45150</v>
      </c>
      <c r="C224" t="str">
        <f t="shared" si="18"/>
        <v>SAB</v>
      </c>
      <c r="D224" t="str">
        <f t="shared" si="19"/>
        <v>Sábado</v>
      </c>
      <c r="I224" t="str">
        <f t="shared" si="16"/>
        <v>3-2029SAB</v>
      </c>
      <c r="J224" t="s">
        <v>158</v>
      </c>
      <c r="K224" t="s">
        <v>41</v>
      </c>
      <c r="L224">
        <f t="shared" si="17"/>
        <v>5</v>
      </c>
    </row>
    <row r="225" spans="1:12" x14ac:dyDescent="0.25">
      <c r="A225" s="88" t="str">
        <f t="shared" si="15"/>
        <v>8-2023</v>
      </c>
      <c r="B225" s="86">
        <v>45151</v>
      </c>
      <c r="C225" t="str">
        <f t="shared" si="18"/>
        <v>DOM</v>
      </c>
      <c r="D225" t="str">
        <f t="shared" si="19"/>
        <v>Domingo</v>
      </c>
      <c r="I225" t="str">
        <f t="shared" si="16"/>
        <v>3-2029DOM</v>
      </c>
      <c r="J225" t="s">
        <v>158</v>
      </c>
      <c r="K225" t="s">
        <v>43</v>
      </c>
      <c r="L225">
        <f t="shared" si="17"/>
        <v>4</v>
      </c>
    </row>
    <row r="226" spans="1:12" x14ac:dyDescent="0.25">
      <c r="A226" s="88" t="str">
        <f t="shared" si="15"/>
        <v>8-2023</v>
      </c>
      <c r="B226" s="86">
        <v>45152</v>
      </c>
      <c r="C226" t="str">
        <f t="shared" si="18"/>
        <v>L-V</v>
      </c>
      <c r="D226" t="str">
        <f t="shared" si="19"/>
        <v>Lunes</v>
      </c>
      <c r="I226" t="str">
        <f t="shared" si="16"/>
        <v>4-2029DOM</v>
      </c>
      <c r="J226" t="s">
        <v>159</v>
      </c>
      <c r="K226" t="s">
        <v>43</v>
      </c>
      <c r="L226">
        <f t="shared" si="17"/>
        <v>5</v>
      </c>
    </row>
    <row r="227" spans="1:12" x14ac:dyDescent="0.25">
      <c r="A227" s="88" t="str">
        <f t="shared" si="15"/>
        <v>8-2023</v>
      </c>
      <c r="B227" s="86">
        <v>45153</v>
      </c>
      <c r="C227" t="str">
        <f t="shared" si="18"/>
        <v>L-V</v>
      </c>
      <c r="D227" t="str">
        <f t="shared" si="19"/>
        <v>Martes</v>
      </c>
      <c r="I227" t="str">
        <f t="shared" si="16"/>
        <v>4-2029L-V</v>
      </c>
      <c r="J227" t="s">
        <v>159</v>
      </c>
      <c r="K227" t="s">
        <v>40</v>
      </c>
      <c r="L227">
        <f t="shared" si="17"/>
        <v>21</v>
      </c>
    </row>
    <row r="228" spans="1:12" x14ac:dyDescent="0.25">
      <c r="A228" s="88" t="str">
        <f t="shared" si="15"/>
        <v>8-2023</v>
      </c>
      <c r="B228" s="86">
        <v>45154</v>
      </c>
      <c r="C228" t="str">
        <f t="shared" si="18"/>
        <v>L-V</v>
      </c>
      <c r="D228" t="str">
        <f t="shared" si="19"/>
        <v>Miércoles</v>
      </c>
      <c r="I228" t="str">
        <f t="shared" si="16"/>
        <v>4-2029SAB</v>
      </c>
      <c r="J228" t="s">
        <v>159</v>
      </c>
      <c r="K228" t="s">
        <v>41</v>
      </c>
      <c r="L228">
        <f t="shared" si="17"/>
        <v>4</v>
      </c>
    </row>
    <row r="229" spans="1:12" x14ac:dyDescent="0.25">
      <c r="A229" s="88" t="str">
        <f t="shared" si="15"/>
        <v>8-2023</v>
      </c>
      <c r="B229" s="86">
        <v>45155</v>
      </c>
      <c r="C229" t="str">
        <f t="shared" si="18"/>
        <v>L-V</v>
      </c>
      <c r="D229" t="str">
        <f t="shared" si="19"/>
        <v>Jueves</v>
      </c>
      <c r="I229" t="str">
        <f t="shared" si="16"/>
        <v>5-2029L-V</v>
      </c>
      <c r="J229" t="s">
        <v>160</v>
      </c>
      <c r="K229" t="s">
        <v>40</v>
      </c>
      <c r="L229">
        <f t="shared" si="17"/>
        <v>23</v>
      </c>
    </row>
    <row r="230" spans="1:12" x14ac:dyDescent="0.25">
      <c r="A230" s="88" t="str">
        <f t="shared" si="15"/>
        <v>8-2023</v>
      </c>
      <c r="B230" s="86">
        <v>45156</v>
      </c>
      <c r="C230" t="str">
        <f t="shared" si="18"/>
        <v>L-V</v>
      </c>
      <c r="D230" t="str">
        <f t="shared" si="19"/>
        <v>Viernes</v>
      </c>
      <c r="I230" t="str">
        <f t="shared" si="16"/>
        <v>5-2029SAB</v>
      </c>
      <c r="J230" t="s">
        <v>160</v>
      </c>
      <c r="K230" t="s">
        <v>41</v>
      </c>
      <c r="L230">
        <f t="shared" si="17"/>
        <v>4</v>
      </c>
    </row>
    <row r="231" spans="1:12" x14ac:dyDescent="0.25">
      <c r="A231" s="88" t="str">
        <f t="shared" si="15"/>
        <v>8-2023</v>
      </c>
      <c r="B231" s="86">
        <v>45157</v>
      </c>
      <c r="C231" t="str">
        <f t="shared" si="18"/>
        <v>SAB</v>
      </c>
      <c r="D231" t="str">
        <f t="shared" si="19"/>
        <v>Sábado</v>
      </c>
      <c r="I231" t="str">
        <f t="shared" si="16"/>
        <v>5-2029DOM</v>
      </c>
      <c r="J231" t="s">
        <v>160</v>
      </c>
      <c r="K231" t="s">
        <v>43</v>
      </c>
      <c r="L231">
        <f t="shared" si="17"/>
        <v>4</v>
      </c>
    </row>
    <row r="232" spans="1:12" x14ac:dyDescent="0.25">
      <c r="A232" s="88" t="str">
        <f t="shared" si="15"/>
        <v>8-2023</v>
      </c>
      <c r="B232" s="86">
        <v>45158</v>
      </c>
      <c r="C232" t="str">
        <f t="shared" si="18"/>
        <v>DOM</v>
      </c>
      <c r="D232" t="str">
        <f t="shared" si="19"/>
        <v>Domingo</v>
      </c>
      <c r="I232" t="str">
        <f t="shared" si="16"/>
        <v>6-2029L-V</v>
      </c>
      <c r="J232" t="s">
        <v>161</v>
      </c>
      <c r="K232" t="s">
        <v>40</v>
      </c>
      <c r="L232">
        <f t="shared" si="17"/>
        <v>21</v>
      </c>
    </row>
    <row r="233" spans="1:12" x14ac:dyDescent="0.25">
      <c r="A233" s="88" t="str">
        <f t="shared" si="15"/>
        <v>8-2023</v>
      </c>
      <c r="B233" s="86">
        <v>45159</v>
      </c>
      <c r="C233" t="str">
        <f t="shared" si="18"/>
        <v>L-V</v>
      </c>
      <c r="D233" t="str">
        <f t="shared" si="19"/>
        <v>Lunes</v>
      </c>
      <c r="I233" t="str">
        <f t="shared" si="16"/>
        <v>6-2029SAB</v>
      </c>
      <c r="J233" t="s">
        <v>161</v>
      </c>
      <c r="K233" t="s">
        <v>41</v>
      </c>
      <c r="L233">
        <f t="shared" si="17"/>
        <v>5</v>
      </c>
    </row>
    <row r="234" spans="1:12" x14ac:dyDescent="0.25">
      <c r="A234" s="88" t="str">
        <f t="shared" si="15"/>
        <v>8-2023</v>
      </c>
      <c r="B234" s="86">
        <v>45160</v>
      </c>
      <c r="C234" t="str">
        <f t="shared" si="18"/>
        <v>L-V</v>
      </c>
      <c r="D234" t="str">
        <f t="shared" si="19"/>
        <v>Martes</v>
      </c>
      <c r="I234" t="str">
        <f t="shared" si="16"/>
        <v>6-2029DOM</v>
      </c>
      <c r="J234" t="s">
        <v>161</v>
      </c>
      <c r="K234" t="s">
        <v>43</v>
      </c>
      <c r="L234">
        <f t="shared" si="17"/>
        <v>4</v>
      </c>
    </row>
    <row r="235" spans="1:12" x14ac:dyDescent="0.25">
      <c r="A235" s="88" t="str">
        <f t="shared" si="15"/>
        <v>8-2023</v>
      </c>
      <c r="B235" s="86">
        <v>45161</v>
      </c>
      <c r="C235" t="str">
        <f t="shared" si="18"/>
        <v>L-V</v>
      </c>
      <c r="D235" t="str">
        <f t="shared" si="19"/>
        <v>Miércoles</v>
      </c>
      <c r="I235" t="str">
        <f t="shared" si="16"/>
        <v>7-2029DOM</v>
      </c>
      <c r="J235" t="s">
        <v>162</v>
      </c>
      <c r="K235" t="s">
        <v>43</v>
      </c>
      <c r="L235">
        <f t="shared" si="17"/>
        <v>5</v>
      </c>
    </row>
    <row r="236" spans="1:12" x14ac:dyDescent="0.25">
      <c r="A236" s="88" t="str">
        <f t="shared" si="15"/>
        <v>8-2023</v>
      </c>
      <c r="B236" s="86">
        <v>45162</v>
      </c>
      <c r="C236" t="str">
        <f t="shared" si="18"/>
        <v>L-V</v>
      </c>
      <c r="D236" t="str">
        <f t="shared" si="19"/>
        <v>Jueves</v>
      </c>
      <c r="I236" t="str">
        <f t="shared" si="16"/>
        <v>7-2029L-V</v>
      </c>
      <c r="J236" t="s">
        <v>162</v>
      </c>
      <c r="K236" t="s">
        <v>40</v>
      </c>
      <c r="L236">
        <f t="shared" si="17"/>
        <v>22</v>
      </c>
    </row>
    <row r="237" spans="1:12" x14ac:dyDescent="0.25">
      <c r="A237" s="88" t="str">
        <f t="shared" si="15"/>
        <v>8-2023</v>
      </c>
      <c r="B237" s="86">
        <v>45163</v>
      </c>
      <c r="C237" t="str">
        <f t="shared" si="18"/>
        <v>L-V</v>
      </c>
      <c r="D237" t="str">
        <f t="shared" si="19"/>
        <v>Viernes</v>
      </c>
      <c r="I237" t="str">
        <f t="shared" si="16"/>
        <v>7-2029SAB</v>
      </c>
      <c r="J237" t="s">
        <v>162</v>
      </c>
      <c r="K237" t="s">
        <v>41</v>
      </c>
      <c r="L237">
        <f t="shared" si="17"/>
        <v>4</v>
      </c>
    </row>
    <row r="238" spans="1:12" x14ac:dyDescent="0.25">
      <c r="A238" s="88" t="str">
        <f t="shared" si="15"/>
        <v>8-2023</v>
      </c>
      <c r="B238" s="86">
        <v>45164</v>
      </c>
      <c r="C238" t="str">
        <f t="shared" si="18"/>
        <v>SAB</v>
      </c>
      <c r="D238" t="str">
        <f t="shared" si="19"/>
        <v>Sábado</v>
      </c>
      <c r="I238" t="str">
        <f t="shared" si="16"/>
        <v>8-2029L-V</v>
      </c>
      <c r="J238" t="s">
        <v>163</v>
      </c>
      <c r="K238" t="s">
        <v>40</v>
      </c>
      <c r="L238">
        <f t="shared" si="17"/>
        <v>23</v>
      </c>
    </row>
    <row r="239" spans="1:12" x14ac:dyDescent="0.25">
      <c r="A239" s="88" t="str">
        <f t="shared" si="15"/>
        <v>8-2023</v>
      </c>
      <c r="B239" s="86">
        <v>45165</v>
      </c>
      <c r="C239" t="str">
        <f t="shared" si="18"/>
        <v>DOM</v>
      </c>
      <c r="D239" t="str">
        <f t="shared" si="19"/>
        <v>Domingo</v>
      </c>
      <c r="I239" t="str">
        <f t="shared" si="16"/>
        <v>8-2029SAB</v>
      </c>
      <c r="J239" t="s">
        <v>163</v>
      </c>
      <c r="K239" t="s">
        <v>41</v>
      </c>
      <c r="L239">
        <f t="shared" si="17"/>
        <v>4</v>
      </c>
    </row>
    <row r="240" spans="1:12" x14ac:dyDescent="0.25">
      <c r="A240" s="88" t="str">
        <f t="shared" si="15"/>
        <v>8-2023</v>
      </c>
      <c r="B240" s="86">
        <v>45166</v>
      </c>
      <c r="C240" t="str">
        <f t="shared" si="18"/>
        <v>L-V</v>
      </c>
      <c r="D240" t="str">
        <f t="shared" si="19"/>
        <v>Lunes</v>
      </c>
      <c r="I240" t="str">
        <f t="shared" si="16"/>
        <v>8-2029DOM</v>
      </c>
      <c r="J240" t="s">
        <v>163</v>
      </c>
      <c r="K240" t="s">
        <v>43</v>
      </c>
      <c r="L240">
        <f t="shared" si="17"/>
        <v>4</v>
      </c>
    </row>
    <row r="241" spans="1:12" x14ac:dyDescent="0.25">
      <c r="A241" s="88" t="str">
        <f t="shared" si="15"/>
        <v>8-2023</v>
      </c>
      <c r="B241" s="86">
        <v>45167</v>
      </c>
      <c r="C241" t="str">
        <f t="shared" si="18"/>
        <v>L-V</v>
      </c>
      <c r="D241" t="str">
        <f t="shared" si="19"/>
        <v>Martes</v>
      </c>
      <c r="I241" t="str">
        <f t="shared" si="16"/>
        <v>9-2029SAB</v>
      </c>
      <c r="J241" t="s">
        <v>164</v>
      </c>
      <c r="K241" t="s">
        <v>41</v>
      </c>
      <c r="L241">
        <f t="shared" si="17"/>
        <v>5</v>
      </c>
    </row>
    <row r="242" spans="1:12" x14ac:dyDescent="0.25">
      <c r="A242" s="88" t="str">
        <f t="shared" si="15"/>
        <v>8-2023</v>
      </c>
      <c r="B242" s="86">
        <v>45168</v>
      </c>
      <c r="C242" t="str">
        <f t="shared" si="18"/>
        <v>L-V</v>
      </c>
      <c r="D242" t="str">
        <f t="shared" si="19"/>
        <v>Miércoles</v>
      </c>
      <c r="I242" t="str">
        <f t="shared" si="16"/>
        <v>9-2029DOM</v>
      </c>
      <c r="J242" t="s">
        <v>164</v>
      </c>
      <c r="K242" t="s">
        <v>43</v>
      </c>
      <c r="L242">
        <f t="shared" si="17"/>
        <v>5</v>
      </c>
    </row>
    <row r="243" spans="1:12" x14ac:dyDescent="0.25">
      <c r="A243" s="88" t="str">
        <f t="shared" si="15"/>
        <v>8-2023</v>
      </c>
      <c r="B243" s="86">
        <v>45169</v>
      </c>
      <c r="C243" t="str">
        <f t="shared" si="18"/>
        <v>L-V</v>
      </c>
      <c r="D243" t="str">
        <f t="shared" si="19"/>
        <v>Jueves</v>
      </c>
      <c r="I243" t="str">
        <f t="shared" si="16"/>
        <v>9-2029L-V</v>
      </c>
      <c r="J243" t="s">
        <v>164</v>
      </c>
      <c r="K243" t="s">
        <v>40</v>
      </c>
      <c r="L243">
        <f t="shared" si="17"/>
        <v>20</v>
      </c>
    </row>
    <row r="244" spans="1:12" x14ac:dyDescent="0.25">
      <c r="A244" s="88" t="str">
        <f t="shared" si="15"/>
        <v>9-2023</v>
      </c>
      <c r="B244" s="86">
        <v>45170</v>
      </c>
      <c r="C244" t="str">
        <f t="shared" si="18"/>
        <v>L-V</v>
      </c>
      <c r="D244" t="str">
        <f t="shared" si="19"/>
        <v>Viernes</v>
      </c>
      <c r="I244" t="str">
        <f t="shared" si="16"/>
        <v>10-2029L-V</v>
      </c>
      <c r="J244" t="s">
        <v>165</v>
      </c>
      <c r="K244" t="s">
        <v>40</v>
      </c>
      <c r="L244">
        <f t="shared" si="17"/>
        <v>23</v>
      </c>
    </row>
    <row r="245" spans="1:12" x14ac:dyDescent="0.25">
      <c r="A245" s="88" t="str">
        <f t="shared" si="15"/>
        <v>9-2023</v>
      </c>
      <c r="B245" s="86">
        <v>45171</v>
      </c>
      <c r="C245" t="str">
        <f t="shared" si="18"/>
        <v>SAB</v>
      </c>
      <c r="D245" t="str">
        <f t="shared" si="19"/>
        <v>Sábado</v>
      </c>
      <c r="I245" t="str">
        <f t="shared" si="16"/>
        <v>10-2029SAB</v>
      </c>
      <c r="J245" t="s">
        <v>165</v>
      </c>
      <c r="K245" t="s">
        <v>41</v>
      </c>
      <c r="L245">
        <f t="shared" si="17"/>
        <v>4</v>
      </c>
    </row>
    <row r="246" spans="1:12" x14ac:dyDescent="0.25">
      <c r="A246" s="88" t="str">
        <f t="shared" si="15"/>
        <v>9-2023</v>
      </c>
      <c r="B246" s="86">
        <v>45172</v>
      </c>
      <c r="C246" t="str">
        <f t="shared" si="18"/>
        <v>DOM</v>
      </c>
      <c r="D246" t="str">
        <f t="shared" si="19"/>
        <v>Domingo</v>
      </c>
      <c r="I246" t="str">
        <f t="shared" si="16"/>
        <v>10-2029DOM</v>
      </c>
      <c r="J246" t="s">
        <v>165</v>
      </c>
      <c r="K246" t="s">
        <v>43</v>
      </c>
      <c r="L246">
        <f t="shared" si="17"/>
        <v>4</v>
      </c>
    </row>
    <row r="247" spans="1:12" x14ac:dyDescent="0.25">
      <c r="A247" s="88" t="str">
        <f t="shared" si="15"/>
        <v>9-2023</v>
      </c>
      <c r="B247" s="86">
        <v>45173</v>
      </c>
      <c r="C247" t="str">
        <f t="shared" si="18"/>
        <v>L-V</v>
      </c>
      <c r="D247" t="str">
        <f t="shared" si="19"/>
        <v>Lunes</v>
      </c>
      <c r="I247" t="str">
        <f t="shared" si="16"/>
        <v>11-2029L-V</v>
      </c>
      <c r="J247" t="s">
        <v>166</v>
      </c>
      <c r="K247" t="s">
        <v>40</v>
      </c>
      <c r="L247">
        <f t="shared" si="17"/>
        <v>22</v>
      </c>
    </row>
    <row r="248" spans="1:12" x14ac:dyDescent="0.25">
      <c r="A248" s="88" t="str">
        <f t="shared" si="15"/>
        <v>9-2023</v>
      </c>
      <c r="B248" s="86">
        <v>45174</v>
      </c>
      <c r="C248" t="str">
        <f t="shared" si="18"/>
        <v>L-V</v>
      </c>
      <c r="D248" t="str">
        <f t="shared" si="19"/>
        <v>Martes</v>
      </c>
      <c r="I248" t="str">
        <f t="shared" si="16"/>
        <v>11-2029SAB</v>
      </c>
      <c r="J248" t="s">
        <v>166</v>
      </c>
      <c r="K248" t="s">
        <v>41</v>
      </c>
      <c r="L248">
        <f t="shared" si="17"/>
        <v>4</v>
      </c>
    </row>
    <row r="249" spans="1:12" x14ac:dyDescent="0.25">
      <c r="A249" s="88" t="str">
        <f t="shared" si="15"/>
        <v>9-2023</v>
      </c>
      <c r="B249" s="86">
        <v>45175</v>
      </c>
      <c r="C249" t="str">
        <f t="shared" si="18"/>
        <v>L-V</v>
      </c>
      <c r="D249" t="str">
        <f t="shared" si="19"/>
        <v>Miércoles</v>
      </c>
      <c r="I249" t="str">
        <f t="shared" si="16"/>
        <v>11-2029DOM</v>
      </c>
      <c r="J249" t="s">
        <v>166</v>
      </c>
      <c r="K249" t="s">
        <v>43</v>
      </c>
      <c r="L249">
        <f t="shared" si="17"/>
        <v>4</v>
      </c>
    </row>
    <row r="250" spans="1:12" x14ac:dyDescent="0.25">
      <c r="A250" s="88" t="str">
        <f t="shared" si="15"/>
        <v>9-2023</v>
      </c>
      <c r="B250" s="86">
        <v>45176</v>
      </c>
      <c r="C250" t="str">
        <f t="shared" si="18"/>
        <v>L-V</v>
      </c>
      <c r="D250" t="str">
        <f t="shared" si="19"/>
        <v>Jueves</v>
      </c>
      <c r="I250" t="str">
        <f t="shared" si="16"/>
        <v>12-2029SAB</v>
      </c>
      <c r="J250" t="s">
        <v>167</v>
      </c>
      <c r="K250" t="s">
        <v>41</v>
      </c>
      <c r="L250">
        <f t="shared" si="17"/>
        <v>5</v>
      </c>
    </row>
    <row r="251" spans="1:12" x14ac:dyDescent="0.25">
      <c r="A251" s="88" t="str">
        <f t="shared" si="15"/>
        <v>9-2023</v>
      </c>
      <c r="B251" s="86">
        <v>45177</v>
      </c>
      <c r="C251" t="str">
        <f t="shared" si="18"/>
        <v>L-V</v>
      </c>
      <c r="D251" t="str">
        <f t="shared" si="19"/>
        <v>Viernes</v>
      </c>
      <c r="I251" t="str">
        <f t="shared" si="16"/>
        <v>12-2029DOM</v>
      </c>
      <c r="J251" t="s">
        <v>167</v>
      </c>
      <c r="K251" t="s">
        <v>43</v>
      </c>
      <c r="L251">
        <f t="shared" si="17"/>
        <v>5</v>
      </c>
    </row>
    <row r="252" spans="1:12" x14ac:dyDescent="0.25">
      <c r="A252" s="88" t="str">
        <f t="shared" si="15"/>
        <v>9-2023</v>
      </c>
      <c r="B252" s="86">
        <v>45178</v>
      </c>
      <c r="C252" t="str">
        <f t="shared" si="18"/>
        <v>SAB</v>
      </c>
      <c r="D252" t="str">
        <f t="shared" si="19"/>
        <v>Sábado</v>
      </c>
      <c r="I252" t="str">
        <f t="shared" si="16"/>
        <v>12-2029L-V</v>
      </c>
      <c r="J252" t="s">
        <v>167</v>
      </c>
      <c r="K252" t="s">
        <v>40</v>
      </c>
      <c r="L252">
        <f t="shared" si="17"/>
        <v>21</v>
      </c>
    </row>
    <row r="253" spans="1:12" x14ac:dyDescent="0.25">
      <c r="A253" s="88" t="str">
        <f t="shared" si="15"/>
        <v>9-2023</v>
      </c>
      <c r="B253" s="86">
        <v>45179</v>
      </c>
      <c r="C253" t="str">
        <f t="shared" si="18"/>
        <v>DOM</v>
      </c>
      <c r="D253" t="str">
        <f t="shared" si="19"/>
        <v>Domingo</v>
      </c>
      <c r="I253" t="str">
        <f t="shared" si="16"/>
        <v>1-2030L-V</v>
      </c>
      <c r="J253" t="s">
        <v>168</v>
      </c>
      <c r="K253" t="s">
        <v>40</v>
      </c>
      <c r="L253">
        <f t="shared" si="17"/>
        <v>23</v>
      </c>
    </row>
    <row r="254" spans="1:12" x14ac:dyDescent="0.25">
      <c r="A254" s="88" t="str">
        <f t="shared" si="15"/>
        <v>9-2023</v>
      </c>
      <c r="B254" s="86">
        <v>45180</v>
      </c>
      <c r="C254" t="str">
        <f t="shared" si="18"/>
        <v>L-V</v>
      </c>
      <c r="D254" t="str">
        <f t="shared" si="19"/>
        <v>Lunes</v>
      </c>
      <c r="I254" t="str">
        <f t="shared" si="16"/>
        <v>1-2030SAB</v>
      </c>
      <c r="J254" t="s">
        <v>168</v>
      </c>
      <c r="K254" t="s">
        <v>41</v>
      </c>
      <c r="L254">
        <f t="shared" si="17"/>
        <v>4</v>
      </c>
    </row>
    <row r="255" spans="1:12" x14ac:dyDescent="0.25">
      <c r="A255" s="88" t="str">
        <f t="shared" si="15"/>
        <v>9-2023</v>
      </c>
      <c r="B255" s="86">
        <v>45181</v>
      </c>
      <c r="C255" t="str">
        <f t="shared" si="18"/>
        <v>L-V</v>
      </c>
      <c r="D255" t="str">
        <f t="shared" si="19"/>
        <v>Martes</v>
      </c>
      <c r="I255" t="str">
        <f t="shared" si="16"/>
        <v>1-2030DOM</v>
      </c>
      <c r="J255" t="s">
        <v>168</v>
      </c>
      <c r="K255" t="s">
        <v>43</v>
      </c>
      <c r="L255">
        <f t="shared" si="17"/>
        <v>4</v>
      </c>
    </row>
    <row r="256" spans="1:12" x14ac:dyDescent="0.25">
      <c r="A256" s="88" t="str">
        <f t="shared" si="15"/>
        <v>9-2023</v>
      </c>
      <c r="B256" s="86">
        <v>45182</v>
      </c>
      <c r="C256" t="str">
        <f t="shared" si="18"/>
        <v>L-V</v>
      </c>
      <c r="D256" t="str">
        <f t="shared" si="19"/>
        <v>Miércoles</v>
      </c>
      <c r="I256" t="str">
        <f t="shared" si="16"/>
        <v>2-2030L-V</v>
      </c>
      <c r="J256" t="s">
        <v>169</v>
      </c>
      <c r="K256" t="s">
        <v>40</v>
      </c>
      <c r="L256">
        <f t="shared" si="17"/>
        <v>20</v>
      </c>
    </row>
    <row r="257" spans="1:12" x14ac:dyDescent="0.25">
      <c r="A257" s="88" t="str">
        <f t="shared" si="15"/>
        <v>9-2023</v>
      </c>
      <c r="B257" s="86">
        <v>45183</v>
      </c>
      <c r="C257" t="str">
        <f t="shared" si="18"/>
        <v>L-V</v>
      </c>
      <c r="D257" t="str">
        <f t="shared" si="19"/>
        <v>Jueves</v>
      </c>
      <c r="I257" t="str">
        <f t="shared" si="16"/>
        <v>2-2030SAB</v>
      </c>
      <c r="J257" t="s">
        <v>169</v>
      </c>
      <c r="K257" t="s">
        <v>41</v>
      </c>
      <c r="L257">
        <f t="shared" si="17"/>
        <v>4</v>
      </c>
    </row>
    <row r="258" spans="1:12" x14ac:dyDescent="0.25">
      <c r="A258" s="88" t="str">
        <f t="shared" ref="A258:A321" si="20">MONTH(B258)&amp;"-"&amp;YEAR(B258)</f>
        <v>9-2023</v>
      </c>
      <c r="B258" s="86">
        <v>45184</v>
      </c>
      <c r="C258" t="str">
        <f t="shared" si="18"/>
        <v>L-V</v>
      </c>
      <c r="D258" t="str">
        <f t="shared" si="19"/>
        <v>Viernes</v>
      </c>
      <c r="I258" t="str">
        <f t="shared" ref="I258:I321" si="21">J258&amp;K258</f>
        <v>2-2030DOM</v>
      </c>
      <c r="J258" t="s">
        <v>169</v>
      </c>
      <c r="K258" t="s">
        <v>43</v>
      </c>
      <c r="L258">
        <f t="shared" ref="L258:L321" si="22">COUNTIFS(C:C,K258,A:A,J258)</f>
        <v>4</v>
      </c>
    </row>
    <row r="259" spans="1:12" x14ac:dyDescent="0.25">
      <c r="A259" s="88" t="str">
        <f t="shared" si="20"/>
        <v>9-2023</v>
      </c>
      <c r="B259" s="86">
        <v>45185</v>
      </c>
      <c r="C259" t="str">
        <f t="shared" ref="C259:C322" si="23">VLOOKUP(WEEKDAY(B259,2),$F$1:$H$7,2)</f>
        <v>SAB</v>
      </c>
      <c r="D259" t="str">
        <f t="shared" ref="D259:D322" si="24">VLOOKUP(WEEKDAY($B259,2),$F$1:$H$7,3)</f>
        <v>Sábado</v>
      </c>
      <c r="I259" t="str">
        <f t="shared" si="21"/>
        <v>3-2030L-V</v>
      </c>
      <c r="J259" t="s">
        <v>170</v>
      </c>
      <c r="K259" t="s">
        <v>40</v>
      </c>
      <c r="L259">
        <f t="shared" si="22"/>
        <v>21</v>
      </c>
    </row>
    <row r="260" spans="1:12" x14ac:dyDescent="0.25">
      <c r="A260" s="88" t="str">
        <f t="shared" si="20"/>
        <v>9-2023</v>
      </c>
      <c r="B260" s="86">
        <v>45186</v>
      </c>
      <c r="C260" t="str">
        <f t="shared" si="23"/>
        <v>DOM</v>
      </c>
      <c r="D260" t="str">
        <f t="shared" si="24"/>
        <v>Domingo</v>
      </c>
      <c r="I260" t="str">
        <f t="shared" si="21"/>
        <v>3-2030SAB</v>
      </c>
      <c r="J260" t="s">
        <v>170</v>
      </c>
      <c r="K260" t="s">
        <v>41</v>
      </c>
      <c r="L260">
        <f t="shared" si="22"/>
        <v>5</v>
      </c>
    </row>
    <row r="261" spans="1:12" x14ac:dyDescent="0.25">
      <c r="A261" s="88" t="str">
        <f t="shared" si="20"/>
        <v>9-2023</v>
      </c>
      <c r="B261" s="86">
        <v>45187</v>
      </c>
      <c r="C261" t="str">
        <f t="shared" si="23"/>
        <v>L-V</v>
      </c>
      <c r="D261" t="str">
        <f t="shared" si="24"/>
        <v>Lunes</v>
      </c>
      <c r="I261" t="str">
        <f t="shared" si="21"/>
        <v>3-2030DOM</v>
      </c>
      <c r="J261" t="s">
        <v>170</v>
      </c>
      <c r="K261" t="s">
        <v>43</v>
      </c>
      <c r="L261">
        <f t="shared" si="22"/>
        <v>5</v>
      </c>
    </row>
    <row r="262" spans="1:12" x14ac:dyDescent="0.25">
      <c r="A262" s="88" t="str">
        <f t="shared" si="20"/>
        <v>9-2023</v>
      </c>
      <c r="B262" s="86">
        <v>45188</v>
      </c>
      <c r="C262" t="str">
        <f t="shared" si="23"/>
        <v>L-V</v>
      </c>
      <c r="D262" t="str">
        <f t="shared" si="24"/>
        <v>Martes</v>
      </c>
      <c r="I262" t="str">
        <f t="shared" si="21"/>
        <v>4-2030L-V</v>
      </c>
      <c r="J262" t="s">
        <v>171</v>
      </c>
      <c r="K262" t="s">
        <v>40</v>
      </c>
      <c r="L262">
        <f t="shared" si="22"/>
        <v>22</v>
      </c>
    </row>
    <row r="263" spans="1:12" x14ac:dyDescent="0.25">
      <c r="A263" s="88" t="str">
        <f t="shared" si="20"/>
        <v>9-2023</v>
      </c>
      <c r="B263" s="86">
        <v>45189</v>
      </c>
      <c r="C263" t="str">
        <f t="shared" si="23"/>
        <v>L-V</v>
      </c>
      <c r="D263" t="str">
        <f t="shared" si="24"/>
        <v>Miércoles</v>
      </c>
      <c r="I263" t="str">
        <f t="shared" si="21"/>
        <v>4-2030SAB</v>
      </c>
      <c r="J263" t="s">
        <v>171</v>
      </c>
      <c r="K263" t="s">
        <v>41</v>
      </c>
      <c r="L263">
        <f t="shared" si="22"/>
        <v>4</v>
      </c>
    </row>
    <row r="264" spans="1:12" x14ac:dyDescent="0.25">
      <c r="A264" s="88" t="str">
        <f t="shared" si="20"/>
        <v>9-2023</v>
      </c>
      <c r="B264" s="86">
        <v>45190</v>
      </c>
      <c r="C264" t="str">
        <f t="shared" si="23"/>
        <v>L-V</v>
      </c>
      <c r="D264" t="str">
        <f t="shared" si="24"/>
        <v>Jueves</v>
      </c>
      <c r="I264" t="str">
        <f t="shared" si="21"/>
        <v>4-2030DOM</v>
      </c>
      <c r="J264" t="s">
        <v>171</v>
      </c>
      <c r="K264" t="s">
        <v>43</v>
      </c>
      <c r="L264">
        <f t="shared" si="22"/>
        <v>4</v>
      </c>
    </row>
    <row r="265" spans="1:12" x14ac:dyDescent="0.25">
      <c r="A265" s="88" t="str">
        <f t="shared" si="20"/>
        <v>9-2023</v>
      </c>
      <c r="B265" s="86">
        <v>45191</v>
      </c>
      <c r="C265" t="str">
        <f t="shared" si="23"/>
        <v>L-V</v>
      </c>
      <c r="D265" t="str">
        <f t="shared" si="24"/>
        <v>Viernes</v>
      </c>
      <c r="I265" t="str">
        <f t="shared" si="21"/>
        <v>5-2030L-V</v>
      </c>
      <c r="J265" t="s">
        <v>172</v>
      </c>
      <c r="K265" t="s">
        <v>40</v>
      </c>
      <c r="L265">
        <f t="shared" si="22"/>
        <v>23</v>
      </c>
    </row>
    <row r="266" spans="1:12" x14ac:dyDescent="0.25">
      <c r="A266" s="88" t="str">
        <f t="shared" si="20"/>
        <v>9-2023</v>
      </c>
      <c r="B266" s="86">
        <v>45192</v>
      </c>
      <c r="C266" t="str">
        <f t="shared" si="23"/>
        <v>SAB</v>
      </c>
      <c r="D266" t="str">
        <f t="shared" si="24"/>
        <v>Sábado</v>
      </c>
      <c r="I266" t="str">
        <f t="shared" si="21"/>
        <v>5-2030SAB</v>
      </c>
      <c r="J266" t="s">
        <v>172</v>
      </c>
      <c r="K266" t="s">
        <v>41</v>
      </c>
      <c r="L266">
        <f t="shared" si="22"/>
        <v>4</v>
      </c>
    </row>
    <row r="267" spans="1:12" x14ac:dyDescent="0.25">
      <c r="A267" s="88" t="str">
        <f t="shared" si="20"/>
        <v>9-2023</v>
      </c>
      <c r="B267" s="86">
        <v>45193</v>
      </c>
      <c r="C267" t="str">
        <f t="shared" si="23"/>
        <v>DOM</v>
      </c>
      <c r="D267" t="str">
        <f t="shared" si="24"/>
        <v>Domingo</v>
      </c>
      <c r="I267" t="str">
        <f t="shared" si="21"/>
        <v>5-2030DOM</v>
      </c>
      <c r="J267" t="s">
        <v>172</v>
      </c>
      <c r="K267" t="s">
        <v>43</v>
      </c>
      <c r="L267">
        <f t="shared" si="22"/>
        <v>4</v>
      </c>
    </row>
    <row r="268" spans="1:12" x14ac:dyDescent="0.25">
      <c r="A268" s="88" t="str">
        <f t="shared" si="20"/>
        <v>9-2023</v>
      </c>
      <c r="B268" s="86">
        <v>45194</v>
      </c>
      <c r="C268" t="str">
        <f t="shared" si="23"/>
        <v>L-V</v>
      </c>
      <c r="D268" t="str">
        <f t="shared" si="24"/>
        <v>Lunes</v>
      </c>
      <c r="I268" t="str">
        <f t="shared" si="21"/>
        <v>6-2030SAB</v>
      </c>
      <c r="J268" t="s">
        <v>173</v>
      </c>
      <c r="K268" t="s">
        <v>41</v>
      </c>
      <c r="L268">
        <f t="shared" si="22"/>
        <v>5</v>
      </c>
    </row>
    <row r="269" spans="1:12" x14ac:dyDescent="0.25">
      <c r="A269" s="88" t="str">
        <f t="shared" si="20"/>
        <v>9-2023</v>
      </c>
      <c r="B269" s="86">
        <v>45195</v>
      </c>
      <c r="C269" t="str">
        <f t="shared" si="23"/>
        <v>L-V</v>
      </c>
      <c r="D269" t="str">
        <f t="shared" si="24"/>
        <v>Martes</v>
      </c>
      <c r="I269" t="str">
        <f t="shared" si="21"/>
        <v>6-2030DOM</v>
      </c>
      <c r="J269" t="s">
        <v>173</v>
      </c>
      <c r="K269" t="s">
        <v>43</v>
      </c>
      <c r="L269">
        <f t="shared" si="22"/>
        <v>5</v>
      </c>
    </row>
    <row r="270" spans="1:12" x14ac:dyDescent="0.25">
      <c r="A270" s="88" t="str">
        <f t="shared" si="20"/>
        <v>9-2023</v>
      </c>
      <c r="B270" s="86">
        <v>45196</v>
      </c>
      <c r="C270" t="str">
        <f t="shared" si="23"/>
        <v>L-V</v>
      </c>
      <c r="D270" t="str">
        <f t="shared" si="24"/>
        <v>Miércoles</v>
      </c>
      <c r="I270" t="str">
        <f t="shared" si="21"/>
        <v>6-2030L-V</v>
      </c>
      <c r="J270" t="s">
        <v>173</v>
      </c>
      <c r="K270" t="s">
        <v>40</v>
      </c>
      <c r="L270">
        <f t="shared" si="22"/>
        <v>20</v>
      </c>
    </row>
    <row r="271" spans="1:12" x14ac:dyDescent="0.25">
      <c r="A271" s="88" t="str">
        <f t="shared" si="20"/>
        <v>9-2023</v>
      </c>
      <c r="B271" s="86">
        <v>45197</v>
      </c>
      <c r="C271" t="str">
        <f t="shared" si="23"/>
        <v>L-V</v>
      </c>
      <c r="D271" t="str">
        <f t="shared" si="24"/>
        <v>Jueves</v>
      </c>
      <c r="I271" t="str">
        <f t="shared" si="21"/>
        <v>7-2030L-V</v>
      </c>
      <c r="J271" t="s">
        <v>174</v>
      </c>
      <c r="K271" t="s">
        <v>40</v>
      </c>
      <c r="L271">
        <f t="shared" si="22"/>
        <v>23</v>
      </c>
    </row>
    <row r="272" spans="1:12" x14ac:dyDescent="0.25">
      <c r="A272" s="88" t="str">
        <f t="shared" si="20"/>
        <v>9-2023</v>
      </c>
      <c r="B272" s="86">
        <v>45198</v>
      </c>
      <c r="C272" t="str">
        <f t="shared" si="23"/>
        <v>L-V</v>
      </c>
      <c r="D272" t="str">
        <f t="shared" si="24"/>
        <v>Viernes</v>
      </c>
      <c r="I272" t="str">
        <f t="shared" si="21"/>
        <v>7-2030SAB</v>
      </c>
      <c r="J272" t="s">
        <v>174</v>
      </c>
      <c r="K272" t="s">
        <v>41</v>
      </c>
      <c r="L272">
        <f t="shared" si="22"/>
        <v>4</v>
      </c>
    </row>
    <row r="273" spans="1:12" x14ac:dyDescent="0.25">
      <c r="A273" s="88" t="str">
        <f t="shared" si="20"/>
        <v>9-2023</v>
      </c>
      <c r="B273" s="86">
        <v>45199</v>
      </c>
      <c r="C273" t="str">
        <f t="shared" si="23"/>
        <v>SAB</v>
      </c>
      <c r="D273" t="str">
        <f t="shared" si="24"/>
        <v>Sábado</v>
      </c>
      <c r="I273" t="str">
        <f t="shared" si="21"/>
        <v>7-2030DOM</v>
      </c>
      <c r="J273" t="s">
        <v>174</v>
      </c>
      <c r="K273" t="s">
        <v>43</v>
      </c>
      <c r="L273">
        <f t="shared" si="22"/>
        <v>4</v>
      </c>
    </row>
    <row r="274" spans="1:12" x14ac:dyDescent="0.25">
      <c r="A274" s="88" t="str">
        <f t="shared" si="20"/>
        <v>10-2023</v>
      </c>
      <c r="B274" s="86">
        <v>45200</v>
      </c>
      <c r="C274" t="str">
        <f t="shared" si="23"/>
        <v>DOM</v>
      </c>
      <c r="D274" t="str">
        <f t="shared" si="24"/>
        <v>Domingo</v>
      </c>
      <c r="I274" t="str">
        <f t="shared" si="21"/>
        <v>8-2030L-V</v>
      </c>
      <c r="J274" t="s">
        <v>175</v>
      </c>
      <c r="K274" t="s">
        <v>40</v>
      </c>
      <c r="L274">
        <f t="shared" si="22"/>
        <v>22</v>
      </c>
    </row>
    <row r="275" spans="1:12" x14ac:dyDescent="0.25">
      <c r="A275" s="88" t="str">
        <f t="shared" si="20"/>
        <v>10-2023</v>
      </c>
      <c r="B275" s="86">
        <v>45201</v>
      </c>
      <c r="C275" t="str">
        <f t="shared" si="23"/>
        <v>L-V</v>
      </c>
      <c r="D275" t="str">
        <f t="shared" si="24"/>
        <v>Lunes</v>
      </c>
      <c r="I275" t="str">
        <f t="shared" si="21"/>
        <v>8-2030SAB</v>
      </c>
      <c r="J275" t="s">
        <v>175</v>
      </c>
      <c r="K275" t="s">
        <v>41</v>
      </c>
      <c r="L275">
        <f t="shared" si="22"/>
        <v>5</v>
      </c>
    </row>
    <row r="276" spans="1:12" x14ac:dyDescent="0.25">
      <c r="A276" s="88" t="str">
        <f t="shared" si="20"/>
        <v>10-2023</v>
      </c>
      <c r="B276" s="86">
        <v>45202</v>
      </c>
      <c r="C276" t="str">
        <f t="shared" si="23"/>
        <v>L-V</v>
      </c>
      <c r="D276" t="str">
        <f t="shared" si="24"/>
        <v>Martes</v>
      </c>
      <c r="I276" t="str">
        <f t="shared" si="21"/>
        <v>8-2030DOM</v>
      </c>
      <c r="J276" t="s">
        <v>175</v>
      </c>
      <c r="K276" t="s">
        <v>43</v>
      </c>
      <c r="L276">
        <f t="shared" si="22"/>
        <v>4</v>
      </c>
    </row>
    <row r="277" spans="1:12" x14ac:dyDescent="0.25">
      <c r="A277" s="88" t="str">
        <f t="shared" si="20"/>
        <v>10-2023</v>
      </c>
      <c r="B277" s="86">
        <v>45203</v>
      </c>
      <c r="C277" t="str">
        <f t="shared" si="23"/>
        <v>L-V</v>
      </c>
      <c r="D277" t="str">
        <f t="shared" si="24"/>
        <v>Miércoles</v>
      </c>
      <c r="I277" t="str">
        <f t="shared" si="21"/>
        <v>9-2030DOM</v>
      </c>
      <c r="J277" t="s">
        <v>176</v>
      </c>
      <c r="K277" t="s">
        <v>43</v>
      </c>
      <c r="L277">
        <f t="shared" si="22"/>
        <v>5</v>
      </c>
    </row>
    <row r="278" spans="1:12" x14ac:dyDescent="0.25">
      <c r="A278" s="88" t="str">
        <f t="shared" si="20"/>
        <v>10-2023</v>
      </c>
      <c r="B278" s="86">
        <v>45204</v>
      </c>
      <c r="C278" t="str">
        <f t="shared" si="23"/>
        <v>L-V</v>
      </c>
      <c r="D278" t="str">
        <f t="shared" si="24"/>
        <v>Jueves</v>
      </c>
      <c r="I278" t="str">
        <f t="shared" si="21"/>
        <v>9-2030L-V</v>
      </c>
      <c r="J278" t="s">
        <v>176</v>
      </c>
      <c r="K278" t="s">
        <v>40</v>
      </c>
      <c r="L278">
        <f t="shared" si="22"/>
        <v>21</v>
      </c>
    </row>
    <row r="279" spans="1:12" x14ac:dyDescent="0.25">
      <c r="A279" s="88" t="str">
        <f t="shared" si="20"/>
        <v>10-2023</v>
      </c>
      <c r="B279" s="86">
        <v>45205</v>
      </c>
      <c r="C279" t="str">
        <f t="shared" si="23"/>
        <v>L-V</v>
      </c>
      <c r="D279" t="str">
        <f t="shared" si="24"/>
        <v>Viernes</v>
      </c>
      <c r="I279" t="str">
        <f t="shared" si="21"/>
        <v>9-2030SAB</v>
      </c>
      <c r="J279" t="s">
        <v>176</v>
      </c>
      <c r="K279" t="s">
        <v>41</v>
      </c>
      <c r="L279">
        <f t="shared" si="22"/>
        <v>4</v>
      </c>
    </row>
    <row r="280" spans="1:12" x14ac:dyDescent="0.25">
      <c r="A280" s="88" t="str">
        <f t="shared" si="20"/>
        <v>10-2023</v>
      </c>
      <c r="B280" s="86">
        <v>45206</v>
      </c>
      <c r="C280" t="str">
        <f t="shared" si="23"/>
        <v>SAB</v>
      </c>
      <c r="D280" t="str">
        <f t="shared" si="24"/>
        <v>Sábado</v>
      </c>
      <c r="I280" t="str">
        <f t="shared" si="21"/>
        <v>10-2030L-V</v>
      </c>
      <c r="J280" t="s">
        <v>177</v>
      </c>
      <c r="K280" t="s">
        <v>40</v>
      </c>
      <c r="L280">
        <f t="shared" si="22"/>
        <v>23</v>
      </c>
    </row>
    <row r="281" spans="1:12" x14ac:dyDescent="0.25">
      <c r="A281" s="88" t="str">
        <f t="shared" si="20"/>
        <v>10-2023</v>
      </c>
      <c r="B281" s="86">
        <v>45207</v>
      </c>
      <c r="C281" t="str">
        <f t="shared" si="23"/>
        <v>DOM</v>
      </c>
      <c r="D281" t="str">
        <f t="shared" si="24"/>
        <v>Domingo</v>
      </c>
      <c r="I281" t="str">
        <f t="shared" si="21"/>
        <v>10-2030SAB</v>
      </c>
      <c r="J281" t="s">
        <v>177</v>
      </c>
      <c r="K281" t="s">
        <v>41</v>
      </c>
      <c r="L281">
        <f t="shared" si="22"/>
        <v>4</v>
      </c>
    </row>
    <row r="282" spans="1:12" x14ac:dyDescent="0.25">
      <c r="A282" s="88" t="str">
        <f t="shared" si="20"/>
        <v>10-2023</v>
      </c>
      <c r="B282" s="86">
        <v>45208</v>
      </c>
      <c r="C282" t="str">
        <f t="shared" si="23"/>
        <v>L-V</v>
      </c>
      <c r="D282" t="str">
        <f t="shared" si="24"/>
        <v>Lunes</v>
      </c>
      <c r="I282" t="str">
        <f t="shared" si="21"/>
        <v>10-2030DOM</v>
      </c>
      <c r="J282" t="s">
        <v>177</v>
      </c>
      <c r="K282" t="s">
        <v>43</v>
      </c>
      <c r="L282">
        <f t="shared" si="22"/>
        <v>4</v>
      </c>
    </row>
    <row r="283" spans="1:12" x14ac:dyDescent="0.25">
      <c r="A283" s="88" t="str">
        <f t="shared" si="20"/>
        <v>10-2023</v>
      </c>
      <c r="B283" s="86">
        <v>45209</v>
      </c>
      <c r="C283" t="str">
        <f t="shared" si="23"/>
        <v>L-V</v>
      </c>
      <c r="D283" t="str">
        <f t="shared" si="24"/>
        <v>Martes</v>
      </c>
      <c r="I283" t="str">
        <f t="shared" si="21"/>
        <v>11-2030L-V</v>
      </c>
      <c r="J283" t="s">
        <v>178</v>
      </c>
      <c r="K283" t="s">
        <v>40</v>
      </c>
      <c r="L283">
        <f t="shared" si="22"/>
        <v>21</v>
      </c>
    </row>
    <row r="284" spans="1:12" x14ac:dyDescent="0.25">
      <c r="A284" s="88" t="str">
        <f t="shared" si="20"/>
        <v>10-2023</v>
      </c>
      <c r="B284" s="86">
        <v>45210</v>
      </c>
      <c r="C284" t="str">
        <f t="shared" si="23"/>
        <v>L-V</v>
      </c>
      <c r="D284" t="str">
        <f t="shared" si="24"/>
        <v>Miércoles</v>
      </c>
      <c r="I284" t="str">
        <f t="shared" si="21"/>
        <v>11-2030SAB</v>
      </c>
      <c r="J284" t="s">
        <v>178</v>
      </c>
      <c r="K284" t="s">
        <v>41</v>
      </c>
      <c r="L284">
        <f t="shared" si="22"/>
        <v>5</v>
      </c>
    </row>
    <row r="285" spans="1:12" x14ac:dyDescent="0.25">
      <c r="A285" s="88" t="str">
        <f t="shared" si="20"/>
        <v>10-2023</v>
      </c>
      <c r="B285" s="86">
        <v>45211</v>
      </c>
      <c r="C285" t="str">
        <f t="shared" si="23"/>
        <v>L-V</v>
      </c>
      <c r="D285" t="str">
        <f t="shared" si="24"/>
        <v>Jueves</v>
      </c>
      <c r="I285" t="str">
        <f t="shared" si="21"/>
        <v>11-2030DOM</v>
      </c>
      <c r="J285" t="s">
        <v>178</v>
      </c>
      <c r="K285" t="s">
        <v>43</v>
      </c>
      <c r="L285">
        <f t="shared" si="22"/>
        <v>4</v>
      </c>
    </row>
    <row r="286" spans="1:12" x14ac:dyDescent="0.25">
      <c r="A286" s="88" t="str">
        <f t="shared" si="20"/>
        <v>10-2023</v>
      </c>
      <c r="B286" s="86">
        <v>45212</v>
      </c>
      <c r="C286" t="str">
        <f t="shared" si="23"/>
        <v>L-V</v>
      </c>
      <c r="D286" t="str">
        <f t="shared" si="24"/>
        <v>Viernes</v>
      </c>
      <c r="I286" t="str">
        <f t="shared" si="21"/>
        <v>12-2030DOM</v>
      </c>
      <c r="J286" t="s">
        <v>179</v>
      </c>
      <c r="K286" t="s">
        <v>43</v>
      </c>
      <c r="L286">
        <f t="shared" si="22"/>
        <v>5</v>
      </c>
    </row>
    <row r="287" spans="1:12" x14ac:dyDescent="0.25">
      <c r="A287" s="88" t="str">
        <f t="shared" si="20"/>
        <v>10-2023</v>
      </c>
      <c r="B287" s="86">
        <v>45213</v>
      </c>
      <c r="C287" t="str">
        <f t="shared" si="23"/>
        <v>SAB</v>
      </c>
      <c r="D287" t="str">
        <f t="shared" si="24"/>
        <v>Sábado</v>
      </c>
      <c r="I287" t="str">
        <f t="shared" si="21"/>
        <v>12-2030L-V</v>
      </c>
      <c r="J287" t="s">
        <v>179</v>
      </c>
      <c r="K287" t="s">
        <v>40</v>
      </c>
      <c r="L287">
        <f t="shared" si="22"/>
        <v>22</v>
      </c>
    </row>
    <row r="288" spans="1:12" x14ac:dyDescent="0.25">
      <c r="A288" s="88" t="str">
        <f t="shared" si="20"/>
        <v>10-2023</v>
      </c>
      <c r="B288" s="86">
        <v>45214</v>
      </c>
      <c r="C288" t="str">
        <f t="shared" si="23"/>
        <v>DOM</v>
      </c>
      <c r="D288" t="str">
        <f t="shared" si="24"/>
        <v>Domingo</v>
      </c>
      <c r="I288" t="str">
        <f t="shared" si="21"/>
        <v>12-2030SAB</v>
      </c>
      <c r="J288" t="s">
        <v>179</v>
      </c>
      <c r="K288" t="s">
        <v>41</v>
      </c>
      <c r="L288">
        <f t="shared" si="22"/>
        <v>4</v>
      </c>
    </row>
    <row r="289" spans="1:12" x14ac:dyDescent="0.25">
      <c r="A289" s="88" t="str">
        <f t="shared" si="20"/>
        <v>10-2023</v>
      </c>
      <c r="B289" s="86">
        <v>45215</v>
      </c>
      <c r="C289" t="str">
        <f t="shared" si="23"/>
        <v>L-V</v>
      </c>
      <c r="D289" t="str">
        <f t="shared" si="24"/>
        <v>Lunes</v>
      </c>
      <c r="I289" t="str">
        <f t="shared" si="21"/>
        <v>1-2031L-V</v>
      </c>
      <c r="J289" t="s">
        <v>180</v>
      </c>
      <c r="K289" t="s">
        <v>40</v>
      </c>
      <c r="L289">
        <f t="shared" si="22"/>
        <v>23</v>
      </c>
    </row>
    <row r="290" spans="1:12" x14ac:dyDescent="0.25">
      <c r="A290" s="88" t="str">
        <f t="shared" si="20"/>
        <v>10-2023</v>
      </c>
      <c r="B290" s="86">
        <v>45216</v>
      </c>
      <c r="C290" t="str">
        <f t="shared" si="23"/>
        <v>L-V</v>
      </c>
      <c r="D290" t="str">
        <f t="shared" si="24"/>
        <v>Martes</v>
      </c>
      <c r="I290" t="str">
        <f t="shared" si="21"/>
        <v>1-2031SAB</v>
      </c>
      <c r="J290" t="s">
        <v>180</v>
      </c>
      <c r="K290" t="s">
        <v>41</v>
      </c>
      <c r="L290">
        <f t="shared" si="22"/>
        <v>4</v>
      </c>
    </row>
    <row r="291" spans="1:12" x14ac:dyDescent="0.25">
      <c r="A291" s="88" t="str">
        <f t="shared" si="20"/>
        <v>10-2023</v>
      </c>
      <c r="B291" s="86">
        <v>45217</v>
      </c>
      <c r="C291" t="str">
        <f t="shared" si="23"/>
        <v>L-V</v>
      </c>
      <c r="D291" t="str">
        <f t="shared" si="24"/>
        <v>Miércoles</v>
      </c>
      <c r="I291" t="str">
        <f t="shared" si="21"/>
        <v>1-2031DOM</v>
      </c>
      <c r="J291" t="s">
        <v>180</v>
      </c>
      <c r="K291" t="s">
        <v>43</v>
      </c>
      <c r="L291">
        <f t="shared" si="22"/>
        <v>4</v>
      </c>
    </row>
    <row r="292" spans="1:12" x14ac:dyDescent="0.25">
      <c r="A292" s="88" t="str">
        <f t="shared" si="20"/>
        <v>10-2023</v>
      </c>
      <c r="B292" s="86">
        <v>45218</v>
      </c>
      <c r="C292" t="str">
        <f t="shared" si="23"/>
        <v>L-V</v>
      </c>
      <c r="D292" t="str">
        <f t="shared" si="24"/>
        <v>Jueves</v>
      </c>
      <c r="I292" t="str">
        <f t="shared" si="21"/>
        <v>2-2031SAB</v>
      </c>
      <c r="J292" t="s">
        <v>181</v>
      </c>
      <c r="K292" t="s">
        <v>41</v>
      </c>
      <c r="L292">
        <f t="shared" si="22"/>
        <v>4</v>
      </c>
    </row>
    <row r="293" spans="1:12" x14ac:dyDescent="0.25">
      <c r="A293" s="88" t="str">
        <f t="shared" si="20"/>
        <v>10-2023</v>
      </c>
      <c r="B293" s="86">
        <v>45219</v>
      </c>
      <c r="C293" t="str">
        <f t="shared" si="23"/>
        <v>L-V</v>
      </c>
      <c r="D293" t="str">
        <f t="shared" si="24"/>
        <v>Viernes</v>
      </c>
      <c r="I293" t="str">
        <f t="shared" si="21"/>
        <v>2-2031DOM</v>
      </c>
      <c r="J293" t="s">
        <v>181</v>
      </c>
      <c r="K293" t="s">
        <v>43</v>
      </c>
      <c r="L293">
        <f t="shared" si="22"/>
        <v>4</v>
      </c>
    </row>
    <row r="294" spans="1:12" x14ac:dyDescent="0.25">
      <c r="A294" s="88" t="str">
        <f t="shared" si="20"/>
        <v>10-2023</v>
      </c>
      <c r="B294" s="86">
        <v>45220</v>
      </c>
      <c r="C294" t="str">
        <f t="shared" si="23"/>
        <v>SAB</v>
      </c>
      <c r="D294" t="str">
        <f t="shared" si="24"/>
        <v>Sábado</v>
      </c>
      <c r="I294" t="str">
        <f t="shared" si="21"/>
        <v>2-2031L-V</v>
      </c>
      <c r="J294" t="s">
        <v>181</v>
      </c>
      <c r="K294" t="s">
        <v>40</v>
      </c>
      <c r="L294">
        <f t="shared" si="22"/>
        <v>20</v>
      </c>
    </row>
    <row r="295" spans="1:12" x14ac:dyDescent="0.25">
      <c r="A295" s="88" t="str">
        <f t="shared" si="20"/>
        <v>10-2023</v>
      </c>
      <c r="B295" s="86">
        <v>45221</v>
      </c>
      <c r="C295" t="str">
        <f t="shared" si="23"/>
        <v>DOM</v>
      </c>
      <c r="D295" t="str">
        <f t="shared" si="24"/>
        <v>Domingo</v>
      </c>
      <c r="I295" t="str">
        <f t="shared" si="21"/>
        <v>3-2031SAB</v>
      </c>
      <c r="J295" t="s">
        <v>182</v>
      </c>
      <c r="K295" t="s">
        <v>41</v>
      </c>
      <c r="L295">
        <f t="shared" si="22"/>
        <v>5</v>
      </c>
    </row>
    <row r="296" spans="1:12" x14ac:dyDescent="0.25">
      <c r="A296" s="88" t="str">
        <f t="shared" si="20"/>
        <v>10-2023</v>
      </c>
      <c r="B296" s="86">
        <v>45222</v>
      </c>
      <c r="C296" t="str">
        <f t="shared" si="23"/>
        <v>L-V</v>
      </c>
      <c r="D296" t="str">
        <f t="shared" si="24"/>
        <v>Lunes</v>
      </c>
      <c r="I296" t="str">
        <f t="shared" si="21"/>
        <v>3-2031DOM</v>
      </c>
      <c r="J296" t="s">
        <v>182</v>
      </c>
      <c r="K296" t="s">
        <v>43</v>
      </c>
      <c r="L296">
        <f t="shared" si="22"/>
        <v>5</v>
      </c>
    </row>
    <row r="297" spans="1:12" x14ac:dyDescent="0.25">
      <c r="A297" s="88" t="str">
        <f t="shared" si="20"/>
        <v>10-2023</v>
      </c>
      <c r="B297" s="86">
        <v>45223</v>
      </c>
      <c r="C297" t="str">
        <f t="shared" si="23"/>
        <v>L-V</v>
      </c>
      <c r="D297" t="str">
        <f t="shared" si="24"/>
        <v>Martes</v>
      </c>
      <c r="I297" t="str">
        <f t="shared" si="21"/>
        <v>3-2031L-V</v>
      </c>
      <c r="J297" t="s">
        <v>182</v>
      </c>
      <c r="K297" t="s">
        <v>40</v>
      </c>
      <c r="L297">
        <f t="shared" si="22"/>
        <v>21</v>
      </c>
    </row>
    <row r="298" spans="1:12" x14ac:dyDescent="0.25">
      <c r="A298" s="88" t="str">
        <f t="shared" si="20"/>
        <v>10-2023</v>
      </c>
      <c r="B298" s="86">
        <v>45224</v>
      </c>
      <c r="C298" t="str">
        <f t="shared" si="23"/>
        <v>L-V</v>
      </c>
      <c r="D298" t="str">
        <f t="shared" si="24"/>
        <v>Miércoles</v>
      </c>
      <c r="I298" t="str">
        <f t="shared" si="21"/>
        <v>4-2031L-V</v>
      </c>
      <c r="J298" t="s">
        <v>183</v>
      </c>
      <c r="K298" t="s">
        <v>40</v>
      </c>
      <c r="L298">
        <f t="shared" si="22"/>
        <v>22</v>
      </c>
    </row>
    <row r="299" spans="1:12" x14ac:dyDescent="0.25">
      <c r="A299" s="88" t="str">
        <f t="shared" si="20"/>
        <v>10-2023</v>
      </c>
      <c r="B299" s="86">
        <v>45225</v>
      </c>
      <c r="C299" t="str">
        <f t="shared" si="23"/>
        <v>L-V</v>
      </c>
      <c r="D299" t="str">
        <f t="shared" si="24"/>
        <v>Jueves</v>
      </c>
      <c r="I299" t="str">
        <f t="shared" si="21"/>
        <v>4-2031SAB</v>
      </c>
      <c r="J299" t="s">
        <v>183</v>
      </c>
      <c r="K299" t="s">
        <v>41</v>
      </c>
      <c r="L299">
        <f t="shared" si="22"/>
        <v>4</v>
      </c>
    </row>
    <row r="300" spans="1:12" x14ac:dyDescent="0.25">
      <c r="A300" s="88" t="str">
        <f t="shared" si="20"/>
        <v>10-2023</v>
      </c>
      <c r="B300" s="86">
        <v>45226</v>
      </c>
      <c r="C300" t="str">
        <f t="shared" si="23"/>
        <v>L-V</v>
      </c>
      <c r="D300" t="str">
        <f t="shared" si="24"/>
        <v>Viernes</v>
      </c>
      <c r="I300" t="str">
        <f t="shared" si="21"/>
        <v>4-2031DOM</v>
      </c>
      <c r="J300" t="s">
        <v>183</v>
      </c>
      <c r="K300" t="s">
        <v>43</v>
      </c>
      <c r="L300">
        <f t="shared" si="22"/>
        <v>4</v>
      </c>
    </row>
    <row r="301" spans="1:12" x14ac:dyDescent="0.25">
      <c r="A301" s="88" t="str">
        <f t="shared" si="20"/>
        <v>10-2023</v>
      </c>
      <c r="B301" s="86">
        <v>45227</v>
      </c>
      <c r="C301" t="str">
        <f t="shared" si="23"/>
        <v>SAB</v>
      </c>
      <c r="D301" t="str">
        <f t="shared" si="24"/>
        <v>Sábado</v>
      </c>
      <c r="I301" t="str">
        <f t="shared" si="21"/>
        <v>5-2031L-V</v>
      </c>
      <c r="J301" t="s">
        <v>184</v>
      </c>
      <c r="K301" t="s">
        <v>40</v>
      </c>
      <c r="L301">
        <f t="shared" si="22"/>
        <v>22</v>
      </c>
    </row>
    <row r="302" spans="1:12" x14ac:dyDescent="0.25">
      <c r="A302" s="88" t="str">
        <f t="shared" si="20"/>
        <v>10-2023</v>
      </c>
      <c r="B302" s="86">
        <v>45228</v>
      </c>
      <c r="C302" t="str">
        <f t="shared" si="23"/>
        <v>DOM</v>
      </c>
      <c r="D302" t="str">
        <f t="shared" si="24"/>
        <v>Domingo</v>
      </c>
      <c r="I302" t="str">
        <f t="shared" si="21"/>
        <v>5-2031SAB</v>
      </c>
      <c r="J302" t="s">
        <v>184</v>
      </c>
      <c r="K302" t="s">
        <v>41</v>
      </c>
      <c r="L302">
        <f t="shared" si="22"/>
        <v>5</v>
      </c>
    </row>
    <row r="303" spans="1:12" x14ac:dyDescent="0.25">
      <c r="A303" s="88" t="str">
        <f t="shared" si="20"/>
        <v>10-2023</v>
      </c>
      <c r="B303" s="86">
        <v>45229</v>
      </c>
      <c r="C303" t="str">
        <f t="shared" si="23"/>
        <v>L-V</v>
      </c>
      <c r="D303" t="str">
        <f t="shared" si="24"/>
        <v>Lunes</v>
      </c>
      <c r="I303" t="str">
        <f t="shared" si="21"/>
        <v>5-2031DOM</v>
      </c>
      <c r="J303" t="s">
        <v>184</v>
      </c>
      <c r="K303" t="s">
        <v>43</v>
      </c>
      <c r="L303">
        <f t="shared" si="22"/>
        <v>4</v>
      </c>
    </row>
    <row r="304" spans="1:12" x14ac:dyDescent="0.25">
      <c r="A304" s="88" t="str">
        <f t="shared" si="20"/>
        <v>10-2023</v>
      </c>
      <c r="B304" s="86">
        <v>45230</v>
      </c>
      <c r="C304" t="str">
        <f t="shared" si="23"/>
        <v>L-V</v>
      </c>
      <c r="D304" t="str">
        <f t="shared" si="24"/>
        <v>Martes</v>
      </c>
      <c r="I304" t="str">
        <f t="shared" si="21"/>
        <v>6-2031DOM</v>
      </c>
      <c r="J304" t="s">
        <v>185</v>
      </c>
      <c r="K304" t="s">
        <v>43</v>
      </c>
      <c r="L304">
        <f t="shared" si="22"/>
        <v>5</v>
      </c>
    </row>
    <row r="305" spans="1:12" x14ac:dyDescent="0.25">
      <c r="A305" s="88" t="str">
        <f t="shared" si="20"/>
        <v>11-2023</v>
      </c>
      <c r="B305" s="86">
        <v>45231</v>
      </c>
      <c r="C305" t="str">
        <f t="shared" si="23"/>
        <v>L-V</v>
      </c>
      <c r="D305" t="str">
        <f t="shared" si="24"/>
        <v>Miércoles</v>
      </c>
      <c r="I305" t="str">
        <f t="shared" si="21"/>
        <v>6-2031L-V</v>
      </c>
      <c r="J305" t="s">
        <v>185</v>
      </c>
      <c r="K305" t="s">
        <v>40</v>
      </c>
      <c r="L305">
        <f t="shared" si="22"/>
        <v>21</v>
      </c>
    </row>
    <row r="306" spans="1:12" x14ac:dyDescent="0.25">
      <c r="A306" s="88" t="str">
        <f t="shared" si="20"/>
        <v>11-2023</v>
      </c>
      <c r="B306" s="86">
        <v>45232</v>
      </c>
      <c r="C306" t="str">
        <f t="shared" si="23"/>
        <v>L-V</v>
      </c>
      <c r="D306" t="str">
        <f t="shared" si="24"/>
        <v>Jueves</v>
      </c>
      <c r="I306" t="str">
        <f t="shared" si="21"/>
        <v>6-2031SAB</v>
      </c>
      <c r="J306" t="s">
        <v>185</v>
      </c>
      <c r="K306" t="s">
        <v>41</v>
      </c>
      <c r="L306">
        <f t="shared" si="22"/>
        <v>4</v>
      </c>
    </row>
    <row r="307" spans="1:12" x14ac:dyDescent="0.25">
      <c r="A307" s="88" t="str">
        <f t="shared" si="20"/>
        <v>11-2023</v>
      </c>
      <c r="B307" s="86">
        <v>45233</v>
      </c>
      <c r="C307" t="str">
        <f t="shared" si="23"/>
        <v>L-V</v>
      </c>
      <c r="D307" t="str">
        <f t="shared" si="24"/>
        <v>Viernes</v>
      </c>
      <c r="I307" t="str">
        <f t="shared" si="21"/>
        <v>7-2031L-V</v>
      </c>
      <c r="J307" t="s">
        <v>186</v>
      </c>
      <c r="K307" t="s">
        <v>40</v>
      </c>
      <c r="L307">
        <f t="shared" si="22"/>
        <v>23</v>
      </c>
    </row>
    <row r="308" spans="1:12" x14ac:dyDescent="0.25">
      <c r="A308" s="88" t="str">
        <f t="shared" si="20"/>
        <v>11-2023</v>
      </c>
      <c r="B308" s="86">
        <v>45234</v>
      </c>
      <c r="C308" t="str">
        <f t="shared" si="23"/>
        <v>SAB</v>
      </c>
      <c r="D308" t="str">
        <f t="shared" si="24"/>
        <v>Sábado</v>
      </c>
      <c r="I308" t="str">
        <f t="shared" si="21"/>
        <v>7-2031SAB</v>
      </c>
      <c r="J308" t="s">
        <v>186</v>
      </c>
      <c r="K308" t="s">
        <v>41</v>
      </c>
      <c r="L308">
        <f t="shared" si="22"/>
        <v>4</v>
      </c>
    </row>
    <row r="309" spans="1:12" x14ac:dyDescent="0.25">
      <c r="A309" s="88" t="str">
        <f t="shared" si="20"/>
        <v>11-2023</v>
      </c>
      <c r="B309" s="86">
        <v>45235</v>
      </c>
      <c r="C309" t="str">
        <f t="shared" si="23"/>
        <v>DOM</v>
      </c>
      <c r="D309" t="str">
        <f t="shared" si="24"/>
        <v>Domingo</v>
      </c>
      <c r="I309" t="str">
        <f t="shared" si="21"/>
        <v>7-2031DOM</v>
      </c>
      <c r="J309" t="s">
        <v>186</v>
      </c>
      <c r="K309" t="s">
        <v>43</v>
      </c>
      <c r="L309">
        <f t="shared" si="22"/>
        <v>4</v>
      </c>
    </row>
    <row r="310" spans="1:12" x14ac:dyDescent="0.25">
      <c r="A310" s="88" t="str">
        <f t="shared" si="20"/>
        <v>11-2023</v>
      </c>
      <c r="B310" s="86">
        <v>45236</v>
      </c>
      <c r="C310" t="str">
        <f t="shared" si="23"/>
        <v>L-V</v>
      </c>
      <c r="D310" t="str">
        <f t="shared" si="24"/>
        <v>Lunes</v>
      </c>
      <c r="I310" t="str">
        <f t="shared" si="21"/>
        <v>8-2031L-V</v>
      </c>
      <c r="J310" t="s">
        <v>187</v>
      </c>
      <c r="K310" t="s">
        <v>40</v>
      </c>
      <c r="L310">
        <f t="shared" si="22"/>
        <v>21</v>
      </c>
    </row>
    <row r="311" spans="1:12" x14ac:dyDescent="0.25">
      <c r="A311" s="88" t="str">
        <f t="shared" si="20"/>
        <v>11-2023</v>
      </c>
      <c r="B311" s="86">
        <v>45237</v>
      </c>
      <c r="C311" t="str">
        <f t="shared" si="23"/>
        <v>L-V</v>
      </c>
      <c r="D311" t="str">
        <f t="shared" si="24"/>
        <v>Martes</v>
      </c>
      <c r="I311" t="str">
        <f t="shared" si="21"/>
        <v>8-2031SAB</v>
      </c>
      <c r="J311" t="s">
        <v>187</v>
      </c>
      <c r="K311" t="s">
        <v>41</v>
      </c>
      <c r="L311">
        <f t="shared" si="22"/>
        <v>5</v>
      </c>
    </row>
    <row r="312" spans="1:12" x14ac:dyDescent="0.25">
      <c r="A312" s="88" t="str">
        <f t="shared" si="20"/>
        <v>11-2023</v>
      </c>
      <c r="B312" s="86">
        <v>45238</v>
      </c>
      <c r="C312" t="str">
        <f t="shared" si="23"/>
        <v>L-V</v>
      </c>
      <c r="D312" t="str">
        <f t="shared" si="24"/>
        <v>Miércoles</v>
      </c>
      <c r="I312" t="str">
        <f t="shared" si="21"/>
        <v>8-2031DOM</v>
      </c>
      <c r="J312" t="s">
        <v>187</v>
      </c>
      <c r="K312" t="s">
        <v>43</v>
      </c>
      <c r="L312">
        <f t="shared" si="22"/>
        <v>5</v>
      </c>
    </row>
    <row r="313" spans="1:12" x14ac:dyDescent="0.25">
      <c r="A313" s="88" t="str">
        <f t="shared" si="20"/>
        <v>11-2023</v>
      </c>
      <c r="B313" s="86">
        <v>45239</v>
      </c>
      <c r="C313" t="str">
        <f t="shared" si="23"/>
        <v>L-V</v>
      </c>
      <c r="D313" t="str">
        <f t="shared" si="24"/>
        <v>Jueves</v>
      </c>
      <c r="I313" t="str">
        <f t="shared" si="21"/>
        <v>9-2031L-V</v>
      </c>
      <c r="J313" t="s">
        <v>188</v>
      </c>
      <c r="K313" t="s">
        <v>40</v>
      </c>
      <c r="L313">
        <f t="shared" si="22"/>
        <v>22</v>
      </c>
    </row>
    <row r="314" spans="1:12" x14ac:dyDescent="0.25">
      <c r="A314" s="88" t="str">
        <f t="shared" si="20"/>
        <v>11-2023</v>
      </c>
      <c r="B314" s="86">
        <v>45240</v>
      </c>
      <c r="C314" t="str">
        <f t="shared" si="23"/>
        <v>L-V</v>
      </c>
      <c r="D314" t="str">
        <f t="shared" si="24"/>
        <v>Viernes</v>
      </c>
      <c r="I314" t="str">
        <f t="shared" si="21"/>
        <v>9-2031SAB</v>
      </c>
      <c r="J314" t="s">
        <v>188</v>
      </c>
      <c r="K314" t="s">
        <v>41</v>
      </c>
      <c r="L314">
        <f t="shared" si="22"/>
        <v>4</v>
      </c>
    </row>
    <row r="315" spans="1:12" x14ac:dyDescent="0.25">
      <c r="A315" s="88" t="str">
        <f t="shared" si="20"/>
        <v>11-2023</v>
      </c>
      <c r="B315" s="86">
        <v>45241</v>
      </c>
      <c r="C315" t="str">
        <f t="shared" si="23"/>
        <v>SAB</v>
      </c>
      <c r="D315" t="str">
        <f t="shared" si="24"/>
        <v>Sábado</v>
      </c>
      <c r="I315" t="str">
        <f t="shared" si="21"/>
        <v>9-2031DOM</v>
      </c>
      <c r="J315" t="s">
        <v>188</v>
      </c>
      <c r="K315" t="s">
        <v>43</v>
      </c>
      <c r="L315">
        <f t="shared" si="22"/>
        <v>4</v>
      </c>
    </row>
    <row r="316" spans="1:12" x14ac:dyDescent="0.25">
      <c r="A316" s="88" t="str">
        <f t="shared" si="20"/>
        <v>11-2023</v>
      </c>
      <c r="B316" s="86">
        <v>45242</v>
      </c>
      <c r="C316" t="str">
        <f t="shared" si="23"/>
        <v>DOM</v>
      </c>
      <c r="D316" t="str">
        <f t="shared" si="24"/>
        <v>Domingo</v>
      </c>
      <c r="I316" t="str">
        <f t="shared" si="21"/>
        <v>10-2031L-V</v>
      </c>
      <c r="J316" t="s">
        <v>189</v>
      </c>
      <c r="K316" t="s">
        <v>40</v>
      </c>
      <c r="L316">
        <f t="shared" si="22"/>
        <v>23</v>
      </c>
    </row>
    <row r="317" spans="1:12" x14ac:dyDescent="0.25">
      <c r="A317" s="88" t="str">
        <f t="shared" si="20"/>
        <v>11-2023</v>
      </c>
      <c r="B317" s="86">
        <v>45243</v>
      </c>
      <c r="C317" t="str">
        <f t="shared" si="23"/>
        <v>L-V</v>
      </c>
      <c r="D317" t="str">
        <f t="shared" si="24"/>
        <v>Lunes</v>
      </c>
      <c r="I317" t="str">
        <f t="shared" si="21"/>
        <v>10-2031SAB</v>
      </c>
      <c r="J317" t="s">
        <v>189</v>
      </c>
      <c r="K317" t="s">
        <v>41</v>
      </c>
      <c r="L317">
        <f t="shared" si="22"/>
        <v>4</v>
      </c>
    </row>
    <row r="318" spans="1:12" x14ac:dyDescent="0.25">
      <c r="A318" s="88" t="str">
        <f t="shared" si="20"/>
        <v>11-2023</v>
      </c>
      <c r="B318" s="86">
        <v>45244</v>
      </c>
      <c r="C318" t="str">
        <f t="shared" si="23"/>
        <v>L-V</v>
      </c>
      <c r="D318" t="str">
        <f t="shared" si="24"/>
        <v>Martes</v>
      </c>
      <c r="I318" t="str">
        <f t="shared" si="21"/>
        <v>10-2031DOM</v>
      </c>
      <c r="J318" t="s">
        <v>189</v>
      </c>
      <c r="K318" t="s">
        <v>43</v>
      </c>
      <c r="L318">
        <f t="shared" si="22"/>
        <v>4</v>
      </c>
    </row>
    <row r="319" spans="1:12" x14ac:dyDescent="0.25">
      <c r="A319" s="88" t="str">
        <f t="shared" si="20"/>
        <v>11-2023</v>
      </c>
      <c r="B319" s="86">
        <v>45245</v>
      </c>
      <c r="C319" t="str">
        <f t="shared" si="23"/>
        <v>L-V</v>
      </c>
      <c r="D319" t="str">
        <f t="shared" si="24"/>
        <v>Miércoles</v>
      </c>
      <c r="I319" t="str">
        <f t="shared" si="21"/>
        <v>11-2031SAB</v>
      </c>
      <c r="J319" t="s">
        <v>190</v>
      </c>
      <c r="K319" t="s">
        <v>41</v>
      </c>
      <c r="L319">
        <f t="shared" si="22"/>
        <v>5</v>
      </c>
    </row>
    <row r="320" spans="1:12" x14ac:dyDescent="0.25">
      <c r="A320" s="88" t="str">
        <f t="shared" si="20"/>
        <v>11-2023</v>
      </c>
      <c r="B320" s="86">
        <v>45246</v>
      </c>
      <c r="C320" t="str">
        <f t="shared" si="23"/>
        <v>L-V</v>
      </c>
      <c r="D320" t="str">
        <f t="shared" si="24"/>
        <v>Jueves</v>
      </c>
      <c r="I320" t="str">
        <f t="shared" si="21"/>
        <v>11-2031DOM</v>
      </c>
      <c r="J320" t="s">
        <v>190</v>
      </c>
      <c r="K320" t="s">
        <v>43</v>
      </c>
      <c r="L320">
        <f t="shared" si="22"/>
        <v>5</v>
      </c>
    </row>
    <row r="321" spans="1:12" x14ac:dyDescent="0.25">
      <c r="A321" s="88" t="str">
        <f t="shared" si="20"/>
        <v>11-2023</v>
      </c>
      <c r="B321" s="86">
        <v>45247</v>
      </c>
      <c r="C321" t="str">
        <f t="shared" si="23"/>
        <v>L-V</v>
      </c>
      <c r="D321" t="str">
        <f t="shared" si="24"/>
        <v>Viernes</v>
      </c>
      <c r="I321" t="str">
        <f t="shared" si="21"/>
        <v>11-2031L-V</v>
      </c>
      <c r="J321" t="s">
        <v>190</v>
      </c>
      <c r="K321" t="s">
        <v>40</v>
      </c>
      <c r="L321">
        <f t="shared" si="22"/>
        <v>20</v>
      </c>
    </row>
    <row r="322" spans="1:12" x14ac:dyDescent="0.25">
      <c r="A322" s="88" t="str">
        <f t="shared" ref="A322:A385" si="25">MONTH(B322)&amp;"-"&amp;YEAR(B322)</f>
        <v>11-2023</v>
      </c>
      <c r="B322" s="86">
        <v>45248</v>
      </c>
      <c r="C322" t="str">
        <f t="shared" si="23"/>
        <v>SAB</v>
      </c>
      <c r="D322" t="str">
        <f t="shared" si="24"/>
        <v>Sábado</v>
      </c>
      <c r="I322" t="str">
        <f t="shared" ref="I322:I385" si="26">J322&amp;K322</f>
        <v>12-2031L-V</v>
      </c>
      <c r="J322" t="s">
        <v>191</v>
      </c>
      <c r="K322" t="s">
        <v>40</v>
      </c>
      <c r="L322">
        <f t="shared" ref="L322:L385" si="27">COUNTIFS(C:C,K322,A:A,J322)</f>
        <v>23</v>
      </c>
    </row>
    <row r="323" spans="1:12" x14ac:dyDescent="0.25">
      <c r="A323" s="88" t="str">
        <f t="shared" si="25"/>
        <v>11-2023</v>
      </c>
      <c r="B323" s="86">
        <v>45249</v>
      </c>
      <c r="C323" t="str">
        <f t="shared" ref="C323:C386" si="28">VLOOKUP(WEEKDAY(B323,2),$F$1:$H$7,2)</f>
        <v>DOM</v>
      </c>
      <c r="D323" t="str">
        <f t="shared" ref="D323:D386" si="29">VLOOKUP(WEEKDAY($B323,2),$F$1:$H$7,3)</f>
        <v>Domingo</v>
      </c>
      <c r="I323" t="str">
        <f t="shared" si="26"/>
        <v>12-2031SAB</v>
      </c>
      <c r="J323" t="s">
        <v>191</v>
      </c>
      <c r="K323" t="s">
        <v>41</v>
      </c>
      <c r="L323">
        <f t="shared" si="27"/>
        <v>4</v>
      </c>
    </row>
    <row r="324" spans="1:12" x14ac:dyDescent="0.25">
      <c r="A324" s="88" t="str">
        <f t="shared" si="25"/>
        <v>11-2023</v>
      </c>
      <c r="B324" s="86">
        <v>45250</v>
      </c>
      <c r="C324" t="str">
        <f t="shared" si="28"/>
        <v>L-V</v>
      </c>
      <c r="D324" t="str">
        <f t="shared" si="29"/>
        <v>Lunes</v>
      </c>
      <c r="I324" t="str">
        <f t="shared" si="26"/>
        <v>12-2031DOM</v>
      </c>
      <c r="J324" t="s">
        <v>191</v>
      </c>
      <c r="K324" t="s">
        <v>43</v>
      </c>
      <c r="L324">
        <f t="shared" si="27"/>
        <v>4</v>
      </c>
    </row>
    <row r="325" spans="1:12" x14ac:dyDescent="0.25">
      <c r="A325" s="88" t="str">
        <f t="shared" si="25"/>
        <v>11-2023</v>
      </c>
      <c r="B325" s="86">
        <v>45251</v>
      </c>
      <c r="C325" t="str">
        <f t="shared" si="28"/>
        <v>L-V</v>
      </c>
      <c r="D325" t="str">
        <f t="shared" si="29"/>
        <v>Martes</v>
      </c>
      <c r="I325" t="str">
        <f t="shared" si="26"/>
        <v>1-2032L-V</v>
      </c>
      <c r="J325" t="s">
        <v>192</v>
      </c>
      <c r="K325" t="s">
        <v>40</v>
      </c>
      <c r="L325">
        <f t="shared" si="27"/>
        <v>22</v>
      </c>
    </row>
    <row r="326" spans="1:12" x14ac:dyDescent="0.25">
      <c r="A326" s="88" t="str">
        <f t="shared" si="25"/>
        <v>11-2023</v>
      </c>
      <c r="B326" s="86">
        <v>45252</v>
      </c>
      <c r="C326" t="str">
        <f t="shared" si="28"/>
        <v>L-V</v>
      </c>
      <c r="D326" t="str">
        <f t="shared" si="29"/>
        <v>Miércoles</v>
      </c>
      <c r="I326" t="str">
        <f t="shared" si="26"/>
        <v>1-2032SAB</v>
      </c>
      <c r="J326" t="s">
        <v>192</v>
      </c>
      <c r="K326" t="s">
        <v>41</v>
      </c>
      <c r="L326">
        <f t="shared" si="27"/>
        <v>5</v>
      </c>
    </row>
    <row r="327" spans="1:12" x14ac:dyDescent="0.25">
      <c r="A327" s="88" t="str">
        <f t="shared" si="25"/>
        <v>11-2023</v>
      </c>
      <c r="B327" s="86">
        <v>45253</v>
      </c>
      <c r="C327" t="str">
        <f t="shared" si="28"/>
        <v>L-V</v>
      </c>
      <c r="D327" t="str">
        <f t="shared" si="29"/>
        <v>Jueves</v>
      </c>
      <c r="I327" t="str">
        <f t="shared" si="26"/>
        <v>1-2032DOM</v>
      </c>
      <c r="J327" t="s">
        <v>192</v>
      </c>
      <c r="K327" t="s">
        <v>43</v>
      </c>
      <c r="L327">
        <f t="shared" si="27"/>
        <v>4</v>
      </c>
    </row>
    <row r="328" spans="1:12" x14ac:dyDescent="0.25">
      <c r="A328" s="88" t="str">
        <f t="shared" si="25"/>
        <v>11-2023</v>
      </c>
      <c r="B328" s="86">
        <v>45254</v>
      </c>
      <c r="C328" t="str">
        <f t="shared" si="28"/>
        <v>L-V</v>
      </c>
      <c r="D328" t="str">
        <f t="shared" si="29"/>
        <v>Viernes</v>
      </c>
      <c r="I328" t="str">
        <f t="shared" si="26"/>
        <v>2-2032DOM</v>
      </c>
      <c r="J328" t="s">
        <v>193</v>
      </c>
      <c r="K328" t="s">
        <v>43</v>
      </c>
      <c r="L328">
        <f t="shared" si="27"/>
        <v>5</v>
      </c>
    </row>
    <row r="329" spans="1:12" x14ac:dyDescent="0.25">
      <c r="A329" s="88" t="str">
        <f t="shared" si="25"/>
        <v>11-2023</v>
      </c>
      <c r="B329" s="86">
        <v>45255</v>
      </c>
      <c r="C329" t="str">
        <f t="shared" si="28"/>
        <v>SAB</v>
      </c>
      <c r="D329" t="str">
        <f t="shared" si="29"/>
        <v>Sábado</v>
      </c>
      <c r="I329" t="str">
        <f t="shared" si="26"/>
        <v>2-2032L-V</v>
      </c>
      <c r="J329" t="s">
        <v>193</v>
      </c>
      <c r="K329" t="s">
        <v>40</v>
      </c>
      <c r="L329">
        <f t="shared" si="27"/>
        <v>20</v>
      </c>
    </row>
    <row r="330" spans="1:12" x14ac:dyDescent="0.25">
      <c r="A330" s="88" t="str">
        <f t="shared" si="25"/>
        <v>11-2023</v>
      </c>
      <c r="B330" s="86">
        <v>45256</v>
      </c>
      <c r="C330" t="str">
        <f t="shared" si="28"/>
        <v>DOM</v>
      </c>
      <c r="D330" t="str">
        <f t="shared" si="29"/>
        <v>Domingo</v>
      </c>
      <c r="I330" t="str">
        <f t="shared" si="26"/>
        <v>2-2032SAB</v>
      </c>
      <c r="J330" t="s">
        <v>193</v>
      </c>
      <c r="K330" t="s">
        <v>41</v>
      </c>
      <c r="L330">
        <f t="shared" si="27"/>
        <v>4</v>
      </c>
    </row>
    <row r="331" spans="1:12" x14ac:dyDescent="0.25">
      <c r="A331" s="88" t="str">
        <f t="shared" si="25"/>
        <v>11-2023</v>
      </c>
      <c r="B331" s="86">
        <v>45257</v>
      </c>
      <c r="C331" t="str">
        <f t="shared" si="28"/>
        <v>L-V</v>
      </c>
      <c r="D331" t="str">
        <f t="shared" si="29"/>
        <v>Lunes</v>
      </c>
      <c r="I331" t="str">
        <f t="shared" si="26"/>
        <v>3-2032L-V</v>
      </c>
      <c r="J331" t="s">
        <v>194</v>
      </c>
      <c r="K331" t="s">
        <v>40</v>
      </c>
      <c r="L331">
        <f t="shared" si="27"/>
        <v>23</v>
      </c>
    </row>
    <row r="332" spans="1:12" x14ac:dyDescent="0.25">
      <c r="A332" s="88" t="str">
        <f t="shared" si="25"/>
        <v>11-2023</v>
      </c>
      <c r="B332" s="86">
        <v>45258</v>
      </c>
      <c r="C332" t="str">
        <f t="shared" si="28"/>
        <v>L-V</v>
      </c>
      <c r="D332" t="str">
        <f t="shared" si="29"/>
        <v>Martes</v>
      </c>
      <c r="I332" t="str">
        <f t="shared" si="26"/>
        <v>3-2032SAB</v>
      </c>
      <c r="J332" t="s">
        <v>194</v>
      </c>
      <c r="K332" t="s">
        <v>41</v>
      </c>
      <c r="L332">
        <f t="shared" si="27"/>
        <v>4</v>
      </c>
    </row>
    <row r="333" spans="1:12" x14ac:dyDescent="0.25">
      <c r="A333" s="88" t="str">
        <f t="shared" si="25"/>
        <v>11-2023</v>
      </c>
      <c r="B333" s="86">
        <v>45259</v>
      </c>
      <c r="C333" t="str">
        <f t="shared" si="28"/>
        <v>L-V</v>
      </c>
      <c r="D333" t="str">
        <f t="shared" si="29"/>
        <v>Miércoles</v>
      </c>
      <c r="I333" t="str">
        <f t="shared" si="26"/>
        <v>3-2032DOM</v>
      </c>
      <c r="J333" t="s">
        <v>194</v>
      </c>
      <c r="K333" t="s">
        <v>43</v>
      </c>
      <c r="L333">
        <f t="shared" si="27"/>
        <v>4</v>
      </c>
    </row>
    <row r="334" spans="1:12" x14ac:dyDescent="0.25">
      <c r="A334" s="88" t="str">
        <f t="shared" si="25"/>
        <v>11-2023</v>
      </c>
      <c r="B334" s="86">
        <v>45260</v>
      </c>
      <c r="C334" t="str">
        <f t="shared" si="28"/>
        <v>L-V</v>
      </c>
      <c r="D334" t="str">
        <f t="shared" si="29"/>
        <v>Jueves</v>
      </c>
      <c r="I334" t="str">
        <f t="shared" si="26"/>
        <v>4-2032L-V</v>
      </c>
      <c r="J334" t="s">
        <v>195</v>
      </c>
      <c r="K334" t="s">
        <v>40</v>
      </c>
      <c r="L334">
        <f t="shared" si="27"/>
        <v>22</v>
      </c>
    </row>
    <row r="335" spans="1:12" x14ac:dyDescent="0.25">
      <c r="A335" s="88" t="str">
        <f t="shared" si="25"/>
        <v>12-2023</v>
      </c>
      <c r="B335" s="86">
        <v>45261</v>
      </c>
      <c r="C335" t="str">
        <f t="shared" si="28"/>
        <v>L-V</v>
      </c>
      <c r="D335" t="str">
        <f t="shared" si="29"/>
        <v>Viernes</v>
      </c>
      <c r="I335" t="str">
        <f t="shared" si="26"/>
        <v>4-2032SAB</v>
      </c>
      <c r="J335" t="s">
        <v>195</v>
      </c>
      <c r="K335" t="s">
        <v>41</v>
      </c>
      <c r="L335">
        <f t="shared" si="27"/>
        <v>4</v>
      </c>
    </row>
    <row r="336" spans="1:12" x14ac:dyDescent="0.25">
      <c r="A336" s="88" t="str">
        <f t="shared" si="25"/>
        <v>12-2023</v>
      </c>
      <c r="B336" s="86">
        <v>45262</v>
      </c>
      <c r="C336" t="str">
        <f t="shared" si="28"/>
        <v>SAB</v>
      </c>
      <c r="D336" t="str">
        <f t="shared" si="29"/>
        <v>Sábado</v>
      </c>
      <c r="I336" t="str">
        <f t="shared" si="26"/>
        <v>4-2032DOM</v>
      </c>
      <c r="J336" t="s">
        <v>195</v>
      </c>
      <c r="K336" t="s">
        <v>43</v>
      </c>
      <c r="L336">
        <f t="shared" si="27"/>
        <v>4</v>
      </c>
    </row>
    <row r="337" spans="1:12" x14ac:dyDescent="0.25">
      <c r="A337" s="88" t="str">
        <f t="shared" si="25"/>
        <v>12-2023</v>
      </c>
      <c r="B337" s="86">
        <v>45263</v>
      </c>
      <c r="C337" t="str">
        <f t="shared" si="28"/>
        <v>DOM</v>
      </c>
      <c r="D337" t="str">
        <f t="shared" si="29"/>
        <v>Domingo</v>
      </c>
      <c r="I337" t="str">
        <f t="shared" si="26"/>
        <v>5-2032SAB</v>
      </c>
      <c r="J337" t="s">
        <v>196</v>
      </c>
      <c r="K337" t="s">
        <v>41</v>
      </c>
      <c r="L337">
        <f t="shared" si="27"/>
        <v>5</v>
      </c>
    </row>
    <row r="338" spans="1:12" x14ac:dyDescent="0.25">
      <c r="A338" s="88" t="str">
        <f t="shared" si="25"/>
        <v>12-2023</v>
      </c>
      <c r="B338" s="86">
        <v>45264</v>
      </c>
      <c r="C338" t="str">
        <f t="shared" si="28"/>
        <v>L-V</v>
      </c>
      <c r="D338" t="str">
        <f t="shared" si="29"/>
        <v>Lunes</v>
      </c>
      <c r="I338" t="str">
        <f t="shared" si="26"/>
        <v>5-2032DOM</v>
      </c>
      <c r="J338" t="s">
        <v>196</v>
      </c>
      <c r="K338" t="s">
        <v>43</v>
      </c>
      <c r="L338">
        <f t="shared" si="27"/>
        <v>5</v>
      </c>
    </row>
    <row r="339" spans="1:12" x14ac:dyDescent="0.25">
      <c r="A339" s="88" t="str">
        <f t="shared" si="25"/>
        <v>12-2023</v>
      </c>
      <c r="B339" s="86">
        <v>45265</v>
      </c>
      <c r="C339" t="str">
        <f t="shared" si="28"/>
        <v>L-V</v>
      </c>
      <c r="D339" t="str">
        <f t="shared" si="29"/>
        <v>Martes</v>
      </c>
      <c r="I339" t="str">
        <f t="shared" si="26"/>
        <v>5-2032L-V</v>
      </c>
      <c r="J339" t="s">
        <v>196</v>
      </c>
      <c r="K339" t="s">
        <v>40</v>
      </c>
      <c r="L339">
        <f t="shared" si="27"/>
        <v>21</v>
      </c>
    </row>
    <row r="340" spans="1:12" x14ac:dyDescent="0.25">
      <c r="A340" s="88" t="str">
        <f t="shared" si="25"/>
        <v>12-2023</v>
      </c>
      <c r="B340" s="86">
        <v>45266</v>
      </c>
      <c r="C340" t="str">
        <f t="shared" si="28"/>
        <v>L-V</v>
      </c>
      <c r="D340" t="str">
        <f t="shared" si="29"/>
        <v>Miércoles</v>
      </c>
      <c r="I340" t="str">
        <f t="shared" si="26"/>
        <v>6-2032L-V</v>
      </c>
      <c r="J340" t="s">
        <v>197</v>
      </c>
      <c r="K340" t="s">
        <v>40</v>
      </c>
      <c r="L340">
        <f t="shared" si="27"/>
        <v>22</v>
      </c>
    </row>
    <row r="341" spans="1:12" x14ac:dyDescent="0.25">
      <c r="A341" s="88" t="str">
        <f t="shared" si="25"/>
        <v>12-2023</v>
      </c>
      <c r="B341" s="86">
        <v>45267</v>
      </c>
      <c r="C341" t="str">
        <f t="shared" si="28"/>
        <v>L-V</v>
      </c>
      <c r="D341" t="str">
        <f t="shared" si="29"/>
        <v>Jueves</v>
      </c>
      <c r="I341" t="str">
        <f t="shared" si="26"/>
        <v>6-2032SAB</v>
      </c>
      <c r="J341" t="s">
        <v>197</v>
      </c>
      <c r="K341" t="s">
        <v>41</v>
      </c>
      <c r="L341">
        <f t="shared" si="27"/>
        <v>4</v>
      </c>
    </row>
    <row r="342" spans="1:12" x14ac:dyDescent="0.25">
      <c r="A342" s="88" t="str">
        <f t="shared" si="25"/>
        <v>12-2023</v>
      </c>
      <c r="B342" s="86">
        <v>45268</v>
      </c>
      <c r="C342" t="str">
        <f t="shared" si="28"/>
        <v>L-V</v>
      </c>
      <c r="D342" t="str">
        <f t="shared" si="29"/>
        <v>Viernes</v>
      </c>
      <c r="I342" t="str">
        <f t="shared" si="26"/>
        <v>6-2032DOM</v>
      </c>
      <c r="J342" t="s">
        <v>197</v>
      </c>
      <c r="K342" t="s">
        <v>43</v>
      </c>
      <c r="L342">
        <f t="shared" si="27"/>
        <v>4</v>
      </c>
    </row>
    <row r="343" spans="1:12" x14ac:dyDescent="0.25">
      <c r="A343" s="88" t="str">
        <f t="shared" si="25"/>
        <v>12-2023</v>
      </c>
      <c r="B343" s="86">
        <v>45269</v>
      </c>
      <c r="C343" t="str">
        <f t="shared" si="28"/>
        <v>SAB</v>
      </c>
      <c r="D343" t="str">
        <f t="shared" si="29"/>
        <v>Sábado</v>
      </c>
      <c r="I343" t="str">
        <f t="shared" si="26"/>
        <v>7-2032L-V</v>
      </c>
      <c r="J343" t="s">
        <v>198</v>
      </c>
      <c r="K343" t="s">
        <v>40</v>
      </c>
      <c r="L343">
        <f t="shared" si="27"/>
        <v>22</v>
      </c>
    </row>
    <row r="344" spans="1:12" x14ac:dyDescent="0.25">
      <c r="A344" s="88" t="str">
        <f t="shared" si="25"/>
        <v>12-2023</v>
      </c>
      <c r="B344" s="86">
        <v>45270</v>
      </c>
      <c r="C344" t="str">
        <f t="shared" si="28"/>
        <v>DOM</v>
      </c>
      <c r="D344" t="str">
        <f t="shared" si="29"/>
        <v>Domingo</v>
      </c>
      <c r="I344" t="str">
        <f t="shared" si="26"/>
        <v>7-2032SAB</v>
      </c>
      <c r="J344" t="s">
        <v>198</v>
      </c>
      <c r="K344" t="s">
        <v>41</v>
      </c>
      <c r="L344">
        <f t="shared" si="27"/>
        <v>5</v>
      </c>
    </row>
    <row r="345" spans="1:12" x14ac:dyDescent="0.25">
      <c r="A345" s="88" t="str">
        <f t="shared" si="25"/>
        <v>12-2023</v>
      </c>
      <c r="B345" s="86">
        <v>45271</v>
      </c>
      <c r="C345" t="str">
        <f t="shared" si="28"/>
        <v>L-V</v>
      </c>
      <c r="D345" t="str">
        <f t="shared" si="29"/>
        <v>Lunes</v>
      </c>
      <c r="I345" t="str">
        <f t="shared" si="26"/>
        <v>7-2032DOM</v>
      </c>
      <c r="J345" t="s">
        <v>198</v>
      </c>
      <c r="K345" t="s">
        <v>43</v>
      </c>
      <c r="L345">
        <f t="shared" si="27"/>
        <v>4</v>
      </c>
    </row>
    <row r="346" spans="1:12" x14ac:dyDescent="0.25">
      <c r="A346" s="88" t="str">
        <f t="shared" si="25"/>
        <v>12-2023</v>
      </c>
      <c r="B346" s="86">
        <v>45272</v>
      </c>
      <c r="C346" t="str">
        <f t="shared" si="28"/>
        <v>L-V</v>
      </c>
      <c r="D346" t="str">
        <f t="shared" si="29"/>
        <v>Martes</v>
      </c>
      <c r="I346" t="str">
        <f t="shared" si="26"/>
        <v>8-2032DOM</v>
      </c>
      <c r="J346" t="s">
        <v>199</v>
      </c>
      <c r="K346" t="s">
        <v>43</v>
      </c>
      <c r="L346">
        <f t="shared" si="27"/>
        <v>5</v>
      </c>
    </row>
    <row r="347" spans="1:12" x14ac:dyDescent="0.25">
      <c r="A347" s="88" t="str">
        <f t="shared" si="25"/>
        <v>12-2023</v>
      </c>
      <c r="B347" s="86">
        <v>45273</v>
      </c>
      <c r="C347" t="str">
        <f t="shared" si="28"/>
        <v>L-V</v>
      </c>
      <c r="D347" t="str">
        <f t="shared" si="29"/>
        <v>Miércoles</v>
      </c>
      <c r="I347" t="str">
        <f t="shared" si="26"/>
        <v>8-2032L-V</v>
      </c>
      <c r="J347" t="s">
        <v>199</v>
      </c>
      <c r="K347" t="s">
        <v>40</v>
      </c>
      <c r="L347">
        <f t="shared" si="27"/>
        <v>22</v>
      </c>
    </row>
    <row r="348" spans="1:12" x14ac:dyDescent="0.25">
      <c r="A348" s="88" t="str">
        <f t="shared" si="25"/>
        <v>12-2023</v>
      </c>
      <c r="B348" s="86">
        <v>45274</v>
      </c>
      <c r="C348" t="str">
        <f t="shared" si="28"/>
        <v>L-V</v>
      </c>
      <c r="D348" t="str">
        <f t="shared" si="29"/>
        <v>Jueves</v>
      </c>
      <c r="I348" t="str">
        <f t="shared" si="26"/>
        <v>8-2032SAB</v>
      </c>
      <c r="J348" t="s">
        <v>199</v>
      </c>
      <c r="K348" t="s">
        <v>41</v>
      </c>
      <c r="L348">
        <f t="shared" si="27"/>
        <v>4</v>
      </c>
    </row>
    <row r="349" spans="1:12" x14ac:dyDescent="0.25">
      <c r="A349" s="88" t="str">
        <f t="shared" si="25"/>
        <v>12-2023</v>
      </c>
      <c r="B349" s="86">
        <v>45275</v>
      </c>
      <c r="C349" t="str">
        <f t="shared" si="28"/>
        <v>L-V</v>
      </c>
      <c r="D349" t="str">
        <f t="shared" si="29"/>
        <v>Viernes</v>
      </c>
      <c r="I349" t="str">
        <f t="shared" si="26"/>
        <v>9-2032L-V</v>
      </c>
      <c r="J349" t="s">
        <v>200</v>
      </c>
      <c r="K349" t="s">
        <v>40</v>
      </c>
      <c r="L349">
        <f t="shared" si="27"/>
        <v>22</v>
      </c>
    </row>
    <row r="350" spans="1:12" x14ac:dyDescent="0.25">
      <c r="A350" s="88" t="str">
        <f t="shared" si="25"/>
        <v>12-2023</v>
      </c>
      <c r="B350" s="86">
        <v>45276</v>
      </c>
      <c r="C350" t="str">
        <f t="shared" si="28"/>
        <v>SAB</v>
      </c>
      <c r="D350" t="str">
        <f t="shared" si="29"/>
        <v>Sábado</v>
      </c>
      <c r="I350" t="str">
        <f t="shared" si="26"/>
        <v>9-2032SAB</v>
      </c>
      <c r="J350" t="s">
        <v>200</v>
      </c>
      <c r="K350" t="s">
        <v>41</v>
      </c>
      <c r="L350">
        <f t="shared" si="27"/>
        <v>4</v>
      </c>
    </row>
    <row r="351" spans="1:12" x14ac:dyDescent="0.25">
      <c r="A351" s="88" t="str">
        <f t="shared" si="25"/>
        <v>12-2023</v>
      </c>
      <c r="B351" s="86">
        <v>45277</v>
      </c>
      <c r="C351" t="str">
        <f t="shared" si="28"/>
        <v>DOM</v>
      </c>
      <c r="D351" t="str">
        <f t="shared" si="29"/>
        <v>Domingo</v>
      </c>
      <c r="I351" t="str">
        <f t="shared" si="26"/>
        <v>9-2032DOM</v>
      </c>
      <c r="J351" t="s">
        <v>200</v>
      </c>
      <c r="K351" t="s">
        <v>43</v>
      </c>
      <c r="L351">
        <f t="shared" si="27"/>
        <v>4</v>
      </c>
    </row>
    <row r="352" spans="1:12" x14ac:dyDescent="0.25">
      <c r="A352" s="88" t="str">
        <f t="shared" si="25"/>
        <v>12-2023</v>
      </c>
      <c r="B352" s="86">
        <v>45278</v>
      </c>
      <c r="C352" t="str">
        <f t="shared" si="28"/>
        <v>L-V</v>
      </c>
      <c r="D352" t="str">
        <f t="shared" si="29"/>
        <v>Lunes</v>
      </c>
      <c r="I352" t="str">
        <f t="shared" si="26"/>
        <v>10-2032L-V</v>
      </c>
      <c r="J352" t="s">
        <v>201</v>
      </c>
      <c r="K352" t="s">
        <v>40</v>
      </c>
      <c r="L352">
        <f t="shared" si="27"/>
        <v>21</v>
      </c>
    </row>
    <row r="353" spans="1:12" x14ac:dyDescent="0.25">
      <c r="A353" s="88" t="str">
        <f t="shared" si="25"/>
        <v>12-2023</v>
      </c>
      <c r="B353" s="86">
        <v>45279</v>
      </c>
      <c r="C353" t="str">
        <f t="shared" si="28"/>
        <v>L-V</v>
      </c>
      <c r="D353" t="str">
        <f t="shared" si="29"/>
        <v>Martes</v>
      </c>
      <c r="I353" t="str">
        <f t="shared" si="26"/>
        <v>10-2032SAB</v>
      </c>
      <c r="J353" t="s">
        <v>201</v>
      </c>
      <c r="K353" t="s">
        <v>41</v>
      </c>
      <c r="L353">
        <f t="shared" si="27"/>
        <v>5</v>
      </c>
    </row>
    <row r="354" spans="1:12" x14ac:dyDescent="0.25">
      <c r="A354" s="88" t="str">
        <f t="shared" si="25"/>
        <v>12-2023</v>
      </c>
      <c r="B354" s="86">
        <v>45280</v>
      </c>
      <c r="C354" t="str">
        <f t="shared" si="28"/>
        <v>L-V</v>
      </c>
      <c r="D354" t="str">
        <f t="shared" si="29"/>
        <v>Miércoles</v>
      </c>
      <c r="I354" t="str">
        <f t="shared" si="26"/>
        <v>10-2032DOM</v>
      </c>
      <c r="J354" t="s">
        <v>201</v>
      </c>
      <c r="K354" t="s">
        <v>43</v>
      </c>
      <c r="L354">
        <f t="shared" si="27"/>
        <v>5</v>
      </c>
    </row>
    <row r="355" spans="1:12" x14ac:dyDescent="0.25">
      <c r="A355" s="88" t="str">
        <f t="shared" si="25"/>
        <v>12-2023</v>
      </c>
      <c r="B355" s="86">
        <v>45281</v>
      </c>
      <c r="C355" t="str">
        <f t="shared" si="28"/>
        <v>L-V</v>
      </c>
      <c r="D355" t="str">
        <f t="shared" si="29"/>
        <v>Jueves</v>
      </c>
      <c r="I355" t="str">
        <f t="shared" si="26"/>
        <v>11-2032L-V</v>
      </c>
      <c r="J355" t="s">
        <v>202</v>
      </c>
      <c r="K355" t="s">
        <v>40</v>
      </c>
      <c r="L355">
        <f t="shared" si="27"/>
        <v>22</v>
      </c>
    </row>
    <row r="356" spans="1:12" x14ac:dyDescent="0.25">
      <c r="A356" s="88" t="str">
        <f t="shared" si="25"/>
        <v>12-2023</v>
      </c>
      <c r="B356" s="86">
        <v>45282</v>
      </c>
      <c r="C356" t="str">
        <f t="shared" si="28"/>
        <v>L-V</v>
      </c>
      <c r="D356" t="str">
        <f t="shared" si="29"/>
        <v>Viernes</v>
      </c>
      <c r="I356" t="str">
        <f t="shared" si="26"/>
        <v>11-2032SAB</v>
      </c>
      <c r="J356" t="s">
        <v>202</v>
      </c>
      <c r="K356" t="s">
        <v>41</v>
      </c>
      <c r="L356">
        <f t="shared" si="27"/>
        <v>4</v>
      </c>
    </row>
    <row r="357" spans="1:12" x14ac:dyDescent="0.25">
      <c r="A357" s="88" t="str">
        <f t="shared" si="25"/>
        <v>12-2023</v>
      </c>
      <c r="B357" s="86">
        <v>45283</v>
      </c>
      <c r="C357" t="str">
        <f t="shared" si="28"/>
        <v>SAB</v>
      </c>
      <c r="D357" t="str">
        <f t="shared" si="29"/>
        <v>Sábado</v>
      </c>
      <c r="I357" t="str">
        <f t="shared" si="26"/>
        <v>11-2032DOM</v>
      </c>
      <c r="J357" t="s">
        <v>202</v>
      </c>
      <c r="K357" t="s">
        <v>43</v>
      </c>
      <c r="L357">
        <f t="shared" si="27"/>
        <v>4</v>
      </c>
    </row>
    <row r="358" spans="1:12" x14ac:dyDescent="0.25">
      <c r="A358" s="88" t="str">
        <f t="shared" si="25"/>
        <v>12-2023</v>
      </c>
      <c r="B358" s="86">
        <v>45284</v>
      </c>
      <c r="C358" t="str">
        <f t="shared" si="28"/>
        <v>DOM</v>
      </c>
      <c r="D358" t="str">
        <f t="shared" si="29"/>
        <v>Domingo</v>
      </c>
      <c r="I358" t="str">
        <f t="shared" si="26"/>
        <v>12-2032L-V</v>
      </c>
      <c r="J358" t="s">
        <v>203</v>
      </c>
      <c r="K358" t="s">
        <v>40</v>
      </c>
      <c r="L358">
        <f t="shared" si="27"/>
        <v>23</v>
      </c>
    </row>
    <row r="359" spans="1:12" x14ac:dyDescent="0.25">
      <c r="A359" s="88" t="str">
        <f t="shared" si="25"/>
        <v>12-2023</v>
      </c>
      <c r="B359" s="86">
        <v>45285</v>
      </c>
      <c r="C359" t="str">
        <f t="shared" si="28"/>
        <v>L-V</v>
      </c>
      <c r="D359" t="str">
        <f t="shared" si="29"/>
        <v>Lunes</v>
      </c>
      <c r="I359" t="str">
        <f t="shared" si="26"/>
        <v>12-2032SAB</v>
      </c>
      <c r="J359" t="s">
        <v>203</v>
      </c>
      <c r="K359" t="s">
        <v>41</v>
      </c>
      <c r="L359">
        <f t="shared" si="27"/>
        <v>4</v>
      </c>
    </row>
    <row r="360" spans="1:12" x14ac:dyDescent="0.25">
      <c r="A360" s="88" t="str">
        <f t="shared" si="25"/>
        <v>12-2023</v>
      </c>
      <c r="B360" s="86">
        <v>45286</v>
      </c>
      <c r="C360" t="str">
        <f t="shared" si="28"/>
        <v>L-V</v>
      </c>
      <c r="D360" t="str">
        <f t="shared" si="29"/>
        <v>Martes</v>
      </c>
      <c r="I360" t="str">
        <f t="shared" si="26"/>
        <v>12-2032DOM</v>
      </c>
      <c r="J360" t="s">
        <v>203</v>
      </c>
      <c r="K360" t="s">
        <v>43</v>
      </c>
      <c r="L360">
        <f t="shared" si="27"/>
        <v>4</v>
      </c>
    </row>
    <row r="361" spans="1:12" x14ac:dyDescent="0.25">
      <c r="A361" s="88" t="str">
        <f t="shared" si="25"/>
        <v>12-2023</v>
      </c>
      <c r="B361" s="86">
        <v>45287</v>
      </c>
      <c r="C361" t="str">
        <f t="shared" si="28"/>
        <v>L-V</v>
      </c>
      <c r="D361" t="str">
        <f t="shared" si="29"/>
        <v>Miércoles</v>
      </c>
      <c r="I361" t="str">
        <f t="shared" si="26"/>
        <v>1-2033SAB</v>
      </c>
      <c r="J361" t="s">
        <v>204</v>
      </c>
      <c r="K361" t="s">
        <v>41</v>
      </c>
      <c r="L361">
        <f t="shared" si="27"/>
        <v>5</v>
      </c>
    </row>
    <row r="362" spans="1:12" x14ac:dyDescent="0.25">
      <c r="A362" s="88" t="str">
        <f t="shared" si="25"/>
        <v>12-2023</v>
      </c>
      <c r="B362" s="86">
        <v>45288</v>
      </c>
      <c r="C362" t="str">
        <f t="shared" si="28"/>
        <v>L-V</v>
      </c>
      <c r="D362" t="str">
        <f t="shared" si="29"/>
        <v>Jueves</v>
      </c>
      <c r="I362" t="str">
        <f t="shared" si="26"/>
        <v>1-2033DOM</v>
      </c>
      <c r="J362" t="s">
        <v>204</v>
      </c>
      <c r="K362" t="s">
        <v>43</v>
      </c>
      <c r="L362">
        <f t="shared" si="27"/>
        <v>5</v>
      </c>
    </row>
    <row r="363" spans="1:12" x14ac:dyDescent="0.25">
      <c r="A363" s="88" t="str">
        <f t="shared" si="25"/>
        <v>12-2023</v>
      </c>
      <c r="B363" s="86">
        <v>45289</v>
      </c>
      <c r="C363" t="str">
        <f t="shared" si="28"/>
        <v>L-V</v>
      </c>
      <c r="D363" t="str">
        <f t="shared" si="29"/>
        <v>Viernes</v>
      </c>
      <c r="I363" t="str">
        <f t="shared" si="26"/>
        <v>1-2033L-V</v>
      </c>
      <c r="J363" t="s">
        <v>204</v>
      </c>
      <c r="K363" t="s">
        <v>40</v>
      </c>
      <c r="L363">
        <f t="shared" si="27"/>
        <v>21</v>
      </c>
    </row>
    <row r="364" spans="1:12" x14ac:dyDescent="0.25">
      <c r="A364" s="88" t="str">
        <f t="shared" si="25"/>
        <v>12-2023</v>
      </c>
      <c r="B364" s="86">
        <v>45290</v>
      </c>
      <c r="C364" t="str">
        <f t="shared" si="28"/>
        <v>SAB</v>
      </c>
      <c r="D364" t="str">
        <f t="shared" si="29"/>
        <v>Sábado</v>
      </c>
      <c r="I364" t="str">
        <f t="shared" si="26"/>
        <v>2-2033L-V</v>
      </c>
      <c r="J364" t="s">
        <v>205</v>
      </c>
      <c r="K364" t="s">
        <v>40</v>
      </c>
      <c r="L364">
        <f t="shared" si="27"/>
        <v>20</v>
      </c>
    </row>
    <row r="365" spans="1:12" x14ac:dyDescent="0.25">
      <c r="A365" s="88" t="str">
        <f t="shared" si="25"/>
        <v>12-2023</v>
      </c>
      <c r="B365" s="86">
        <v>45291</v>
      </c>
      <c r="C365" t="str">
        <f t="shared" si="28"/>
        <v>DOM</v>
      </c>
      <c r="D365" t="str">
        <f t="shared" si="29"/>
        <v>Domingo</v>
      </c>
      <c r="I365" t="str">
        <f t="shared" si="26"/>
        <v>2-2033SAB</v>
      </c>
      <c r="J365" t="s">
        <v>205</v>
      </c>
      <c r="K365" t="s">
        <v>41</v>
      </c>
      <c r="L365">
        <f t="shared" si="27"/>
        <v>4</v>
      </c>
    </row>
    <row r="366" spans="1:12" x14ac:dyDescent="0.25">
      <c r="A366" s="88" t="str">
        <f t="shared" si="25"/>
        <v>1-2024</v>
      </c>
      <c r="B366" s="86">
        <v>45292</v>
      </c>
      <c r="C366" t="str">
        <f t="shared" si="28"/>
        <v>L-V</v>
      </c>
      <c r="D366" t="str">
        <f t="shared" si="29"/>
        <v>Lunes</v>
      </c>
      <c r="I366" t="str">
        <f t="shared" si="26"/>
        <v>2-2033DOM</v>
      </c>
      <c r="J366" t="s">
        <v>205</v>
      </c>
      <c r="K366" t="s">
        <v>43</v>
      </c>
      <c r="L366">
        <f t="shared" si="27"/>
        <v>4</v>
      </c>
    </row>
    <row r="367" spans="1:12" x14ac:dyDescent="0.25">
      <c r="A367" s="88" t="str">
        <f t="shared" si="25"/>
        <v>1-2024</v>
      </c>
      <c r="B367" s="86">
        <v>45293</v>
      </c>
      <c r="C367" t="str">
        <f t="shared" si="28"/>
        <v>L-V</v>
      </c>
      <c r="D367" t="str">
        <f t="shared" si="29"/>
        <v>Martes</v>
      </c>
      <c r="I367" t="str">
        <f t="shared" si="26"/>
        <v>3-2033L-V</v>
      </c>
      <c r="J367" t="s">
        <v>206</v>
      </c>
      <c r="K367" t="s">
        <v>40</v>
      </c>
      <c r="L367">
        <f t="shared" si="27"/>
        <v>23</v>
      </c>
    </row>
    <row r="368" spans="1:12" x14ac:dyDescent="0.25">
      <c r="A368" s="88" t="str">
        <f t="shared" si="25"/>
        <v>1-2024</v>
      </c>
      <c r="B368" s="86">
        <v>45294</v>
      </c>
      <c r="C368" t="str">
        <f t="shared" si="28"/>
        <v>L-V</v>
      </c>
      <c r="D368" t="str">
        <f t="shared" si="29"/>
        <v>Miércoles</v>
      </c>
      <c r="I368" t="str">
        <f t="shared" si="26"/>
        <v>3-2033SAB</v>
      </c>
      <c r="J368" t="s">
        <v>206</v>
      </c>
      <c r="K368" t="s">
        <v>41</v>
      </c>
      <c r="L368">
        <f t="shared" si="27"/>
        <v>4</v>
      </c>
    </row>
    <row r="369" spans="1:12" x14ac:dyDescent="0.25">
      <c r="A369" s="88" t="str">
        <f t="shared" si="25"/>
        <v>1-2024</v>
      </c>
      <c r="B369" s="86">
        <v>45295</v>
      </c>
      <c r="C369" t="str">
        <f t="shared" si="28"/>
        <v>L-V</v>
      </c>
      <c r="D369" t="str">
        <f t="shared" si="29"/>
        <v>Jueves</v>
      </c>
      <c r="I369" t="str">
        <f t="shared" si="26"/>
        <v>3-2033DOM</v>
      </c>
      <c r="J369" t="s">
        <v>206</v>
      </c>
      <c r="K369" t="s">
        <v>43</v>
      </c>
      <c r="L369">
        <f t="shared" si="27"/>
        <v>4</v>
      </c>
    </row>
    <row r="370" spans="1:12" x14ac:dyDescent="0.25">
      <c r="A370" s="88" t="str">
        <f t="shared" si="25"/>
        <v>1-2024</v>
      </c>
      <c r="B370" s="86">
        <v>45296</v>
      </c>
      <c r="C370" t="str">
        <f t="shared" si="28"/>
        <v>L-V</v>
      </c>
      <c r="D370" t="str">
        <f t="shared" si="29"/>
        <v>Viernes</v>
      </c>
      <c r="I370" t="str">
        <f t="shared" si="26"/>
        <v>4-2033L-V</v>
      </c>
      <c r="J370" t="s">
        <v>207</v>
      </c>
      <c r="K370" t="s">
        <v>40</v>
      </c>
      <c r="L370">
        <f t="shared" si="27"/>
        <v>21</v>
      </c>
    </row>
    <row r="371" spans="1:12" x14ac:dyDescent="0.25">
      <c r="A371" s="88" t="str">
        <f t="shared" si="25"/>
        <v>1-2024</v>
      </c>
      <c r="B371" s="86">
        <v>45297</v>
      </c>
      <c r="C371" t="str">
        <f t="shared" si="28"/>
        <v>SAB</v>
      </c>
      <c r="D371" t="str">
        <f t="shared" si="29"/>
        <v>Sábado</v>
      </c>
      <c r="I371" t="str">
        <f t="shared" si="26"/>
        <v>4-2033SAB</v>
      </c>
      <c r="J371" t="s">
        <v>207</v>
      </c>
      <c r="K371" t="s">
        <v>41</v>
      </c>
      <c r="L371">
        <f t="shared" si="27"/>
        <v>5</v>
      </c>
    </row>
    <row r="372" spans="1:12" x14ac:dyDescent="0.25">
      <c r="A372" s="88" t="str">
        <f t="shared" si="25"/>
        <v>1-2024</v>
      </c>
      <c r="B372" s="86">
        <v>45298</v>
      </c>
      <c r="C372" t="str">
        <f t="shared" si="28"/>
        <v>DOM</v>
      </c>
      <c r="D372" t="str">
        <f t="shared" si="29"/>
        <v>Domingo</v>
      </c>
      <c r="I372" t="str">
        <f t="shared" si="26"/>
        <v>4-2033DOM</v>
      </c>
      <c r="J372" t="s">
        <v>207</v>
      </c>
      <c r="K372" t="s">
        <v>43</v>
      </c>
      <c r="L372">
        <f t="shared" si="27"/>
        <v>4</v>
      </c>
    </row>
    <row r="373" spans="1:12" x14ac:dyDescent="0.25">
      <c r="A373" s="88" t="str">
        <f t="shared" si="25"/>
        <v>1-2024</v>
      </c>
      <c r="B373" s="86">
        <v>45299</v>
      </c>
      <c r="C373" t="str">
        <f t="shared" si="28"/>
        <v>L-V</v>
      </c>
      <c r="D373" t="str">
        <f t="shared" si="29"/>
        <v>Lunes</v>
      </c>
      <c r="I373" t="str">
        <f t="shared" si="26"/>
        <v>5-2033DOM</v>
      </c>
      <c r="J373" t="s">
        <v>208</v>
      </c>
      <c r="K373" t="s">
        <v>43</v>
      </c>
      <c r="L373">
        <f t="shared" si="27"/>
        <v>5</v>
      </c>
    </row>
    <row r="374" spans="1:12" x14ac:dyDescent="0.25">
      <c r="A374" s="88" t="str">
        <f t="shared" si="25"/>
        <v>1-2024</v>
      </c>
      <c r="B374" s="86">
        <v>45300</v>
      </c>
      <c r="C374" t="str">
        <f t="shared" si="28"/>
        <v>L-V</v>
      </c>
      <c r="D374" t="str">
        <f t="shared" si="29"/>
        <v>Martes</v>
      </c>
      <c r="I374" t="str">
        <f t="shared" si="26"/>
        <v>5-2033L-V</v>
      </c>
      <c r="J374" t="s">
        <v>208</v>
      </c>
      <c r="K374" t="s">
        <v>40</v>
      </c>
      <c r="L374">
        <f t="shared" si="27"/>
        <v>22</v>
      </c>
    </row>
    <row r="375" spans="1:12" x14ac:dyDescent="0.25">
      <c r="A375" s="88" t="str">
        <f t="shared" si="25"/>
        <v>1-2024</v>
      </c>
      <c r="B375" s="86">
        <v>45301</v>
      </c>
      <c r="C375" t="str">
        <f t="shared" si="28"/>
        <v>L-V</v>
      </c>
      <c r="D375" t="str">
        <f t="shared" si="29"/>
        <v>Miércoles</v>
      </c>
      <c r="I375" t="str">
        <f t="shared" si="26"/>
        <v>5-2033SAB</v>
      </c>
      <c r="J375" t="s">
        <v>208</v>
      </c>
      <c r="K375" t="s">
        <v>41</v>
      </c>
      <c r="L375">
        <f t="shared" si="27"/>
        <v>4</v>
      </c>
    </row>
    <row r="376" spans="1:12" x14ac:dyDescent="0.25">
      <c r="A376" s="88" t="str">
        <f t="shared" si="25"/>
        <v>1-2024</v>
      </c>
      <c r="B376" s="86">
        <v>45302</v>
      </c>
      <c r="C376" t="str">
        <f t="shared" si="28"/>
        <v>L-V</v>
      </c>
      <c r="D376" t="str">
        <f t="shared" si="29"/>
        <v>Jueves</v>
      </c>
      <c r="I376" t="str">
        <f t="shared" si="26"/>
        <v>6-2033L-V</v>
      </c>
      <c r="J376" t="s">
        <v>209</v>
      </c>
      <c r="K376" t="s">
        <v>40</v>
      </c>
      <c r="L376">
        <f t="shared" si="27"/>
        <v>22</v>
      </c>
    </row>
    <row r="377" spans="1:12" x14ac:dyDescent="0.25">
      <c r="A377" s="88" t="str">
        <f t="shared" si="25"/>
        <v>1-2024</v>
      </c>
      <c r="B377" s="86">
        <v>45303</v>
      </c>
      <c r="C377" t="str">
        <f t="shared" si="28"/>
        <v>L-V</v>
      </c>
      <c r="D377" t="str">
        <f t="shared" si="29"/>
        <v>Viernes</v>
      </c>
      <c r="I377" t="str">
        <f t="shared" si="26"/>
        <v>6-2033SAB</v>
      </c>
      <c r="J377" t="s">
        <v>209</v>
      </c>
      <c r="K377" t="s">
        <v>41</v>
      </c>
      <c r="L377">
        <f t="shared" si="27"/>
        <v>4</v>
      </c>
    </row>
    <row r="378" spans="1:12" x14ac:dyDescent="0.25">
      <c r="A378" s="88" t="str">
        <f t="shared" si="25"/>
        <v>1-2024</v>
      </c>
      <c r="B378" s="86">
        <v>45304</v>
      </c>
      <c r="C378" t="str">
        <f t="shared" si="28"/>
        <v>SAB</v>
      </c>
      <c r="D378" t="str">
        <f t="shared" si="29"/>
        <v>Sábado</v>
      </c>
      <c r="I378" t="str">
        <f t="shared" si="26"/>
        <v>6-2033DOM</v>
      </c>
      <c r="J378" t="s">
        <v>209</v>
      </c>
      <c r="K378" t="s">
        <v>43</v>
      </c>
      <c r="L378">
        <f t="shared" si="27"/>
        <v>4</v>
      </c>
    </row>
    <row r="379" spans="1:12" x14ac:dyDescent="0.25">
      <c r="A379" s="88" t="str">
        <f t="shared" si="25"/>
        <v>1-2024</v>
      </c>
      <c r="B379" s="86">
        <v>45305</v>
      </c>
      <c r="C379" t="str">
        <f t="shared" si="28"/>
        <v>DOM</v>
      </c>
      <c r="D379" t="str">
        <f t="shared" si="29"/>
        <v>Domingo</v>
      </c>
      <c r="I379" t="str">
        <f t="shared" si="26"/>
        <v>7-2033L-V</v>
      </c>
      <c r="J379" t="s">
        <v>210</v>
      </c>
      <c r="K379" t="s">
        <v>40</v>
      </c>
      <c r="L379">
        <f t="shared" si="27"/>
        <v>21</v>
      </c>
    </row>
    <row r="380" spans="1:12" x14ac:dyDescent="0.25">
      <c r="A380" s="88" t="str">
        <f t="shared" si="25"/>
        <v>1-2024</v>
      </c>
      <c r="B380" s="86">
        <v>45306</v>
      </c>
      <c r="C380" t="str">
        <f t="shared" si="28"/>
        <v>L-V</v>
      </c>
      <c r="D380" t="str">
        <f t="shared" si="29"/>
        <v>Lunes</v>
      </c>
      <c r="I380" t="str">
        <f t="shared" si="26"/>
        <v>7-2033SAB</v>
      </c>
      <c r="J380" t="s">
        <v>210</v>
      </c>
      <c r="K380" t="s">
        <v>41</v>
      </c>
      <c r="L380">
        <f t="shared" si="27"/>
        <v>5</v>
      </c>
    </row>
    <row r="381" spans="1:12" x14ac:dyDescent="0.25">
      <c r="A381" s="88" t="str">
        <f t="shared" si="25"/>
        <v>1-2024</v>
      </c>
      <c r="B381" s="86">
        <v>45307</v>
      </c>
      <c r="C381" t="str">
        <f t="shared" si="28"/>
        <v>L-V</v>
      </c>
      <c r="D381" t="str">
        <f t="shared" si="29"/>
        <v>Martes</v>
      </c>
      <c r="I381" t="str">
        <f t="shared" si="26"/>
        <v>7-2033DOM</v>
      </c>
      <c r="J381" t="s">
        <v>210</v>
      </c>
      <c r="K381" t="s">
        <v>43</v>
      </c>
      <c r="L381">
        <f t="shared" si="27"/>
        <v>5</v>
      </c>
    </row>
    <row r="382" spans="1:12" x14ac:dyDescent="0.25">
      <c r="A382" s="88" t="str">
        <f t="shared" si="25"/>
        <v>1-2024</v>
      </c>
      <c r="B382" s="86">
        <v>45308</v>
      </c>
      <c r="C382" t="str">
        <f t="shared" si="28"/>
        <v>L-V</v>
      </c>
      <c r="D382" t="str">
        <f t="shared" si="29"/>
        <v>Miércoles</v>
      </c>
      <c r="I382" t="str">
        <f t="shared" si="26"/>
        <v>8-2033L-V</v>
      </c>
      <c r="J382" t="s">
        <v>211</v>
      </c>
      <c r="K382" t="s">
        <v>40</v>
      </c>
      <c r="L382">
        <f t="shared" si="27"/>
        <v>23</v>
      </c>
    </row>
    <row r="383" spans="1:12" x14ac:dyDescent="0.25">
      <c r="A383" s="88" t="str">
        <f t="shared" si="25"/>
        <v>1-2024</v>
      </c>
      <c r="B383" s="86">
        <v>45309</v>
      </c>
      <c r="C383" t="str">
        <f t="shared" si="28"/>
        <v>L-V</v>
      </c>
      <c r="D383" t="str">
        <f t="shared" si="29"/>
        <v>Jueves</v>
      </c>
      <c r="I383" t="str">
        <f t="shared" si="26"/>
        <v>8-2033SAB</v>
      </c>
      <c r="J383" t="s">
        <v>211</v>
      </c>
      <c r="K383" t="s">
        <v>41</v>
      </c>
      <c r="L383">
        <f t="shared" si="27"/>
        <v>4</v>
      </c>
    </row>
    <row r="384" spans="1:12" x14ac:dyDescent="0.25">
      <c r="A384" s="88" t="str">
        <f t="shared" si="25"/>
        <v>1-2024</v>
      </c>
      <c r="B384" s="86">
        <v>45310</v>
      </c>
      <c r="C384" t="str">
        <f t="shared" si="28"/>
        <v>L-V</v>
      </c>
      <c r="D384" t="str">
        <f t="shared" si="29"/>
        <v>Viernes</v>
      </c>
      <c r="I384" t="str">
        <f t="shared" si="26"/>
        <v>8-2033DOM</v>
      </c>
      <c r="J384" t="s">
        <v>211</v>
      </c>
      <c r="K384" t="s">
        <v>43</v>
      </c>
      <c r="L384">
        <f t="shared" si="27"/>
        <v>4</v>
      </c>
    </row>
    <row r="385" spans="1:12" x14ac:dyDescent="0.25">
      <c r="A385" s="88" t="str">
        <f t="shared" si="25"/>
        <v>1-2024</v>
      </c>
      <c r="B385" s="86">
        <v>45311</v>
      </c>
      <c r="C385" t="str">
        <f t="shared" si="28"/>
        <v>SAB</v>
      </c>
      <c r="D385" t="str">
        <f t="shared" si="29"/>
        <v>Sábado</v>
      </c>
      <c r="I385" t="str">
        <f t="shared" si="26"/>
        <v>9-2033L-V</v>
      </c>
      <c r="J385" t="s">
        <v>212</v>
      </c>
      <c r="K385" t="s">
        <v>40</v>
      </c>
      <c r="L385">
        <f t="shared" si="27"/>
        <v>22</v>
      </c>
    </row>
    <row r="386" spans="1:12" x14ac:dyDescent="0.25">
      <c r="A386" s="88" t="str">
        <f t="shared" ref="A386:A449" si="30">MONTH(B386)&amp;"-"&amp;YEAR(B386)</f>
        <v>1-2024</v>
      </c>
      <c r="B386" s="86">
        <v>45312</v>
      </c>
      <c r="C386" t="str">
        <f t="shared" si="28"/>
        <v>DOM</v>
      </c>
      <c r="D386" t="str">
        <f t="shared" si="29"/>
        <v>Domingo</v>
      </c>
      <c r="I386" t="str">
        <f t="shared" ref="I386:I441" si="31">J386&amp;K386</f>
        <v>9-2033SAB</v>
      </c>
      <c r="J386" t="s">
        <v>212</v>
      </c>
      <c r="K386" t="s">
        <v>41</v>
      </c>
      <c r="L386">
        <f t="shared" ref="L386:L441" si="32">COUNTIFS(C:C,K386,A:A,J386)</f>
        <v>4</v>
      </c>
    </row>
    <row r="387" spans="1:12" x14ac:dyDescent="0.25">
      <c r="A387" s="88" t="str">
        <f t="shared" si="30"/>
        <v>1-2024</v>
      </c>
      <c r="B387" s="86">
        <v>45313</v>
      </c>
      <c r="C387" t="str">
        <f t="shared" ref="C387:C450" si="33">VLOOKUP(WEEKDAY(B387,2),$F$1:$H$7,2)</f>
        <v>L-V</v>
      </c>
      <c r="D387" t="str">
        <f t="shared" ref="D387:D450" si="34">VLOOKUP(WEEKDAY($B387,2),$F$1:$H$7,3)</f>
        <v>Lunes</v>
      </c>
      <c r="I387" t="str">
        <f t="shared" si="31"/>
        <v>9-2033DOM</v>
      </c>
      <c r="J387" t="s">
        <v>212</v>
      </c>
      <c r="K387" t="s">
        <v>43</v>
      </c>
      <c r="L387">
        <f t="shared" si="32"/>
        <v>4</v>
      </c>
    </row>
    <row r="388" spans="1:12" x14ac:dyDescent="0.25">
      <c r="A388" s="88" t="str">
        <f t="shared" si="30"/>
        <v>1-2024</v>
      </c>
      <c r="B388" s="86">
        <v>45314</v>
      </c>
      <c r="C388" t="str">
        <f t="shared" si="33"/>
        <v>L-V</v>
      </c>
      <c r="D388" t="str">
        <f t="shared" si="34"/>
        <v>Martes</v>
      </c>
      <c r="I388" t="str">
        <f t="shared" si="31"/>
        <v>10-2033SAB</v>
      </c>
      <c r="J388" t="s">
        <v>213</v>
      </c>
      <c r="K388" t="s">
        <v>41</v>
      </c>
      <c r="L388">
        <f t="shared" si="32"/>
        <v>5</v>
      </c>
    </row>
    <row r="389" spans="1:12" x14ac:dyDescent="0.25">
      <c r="A389" s="88" t="str">
        <f t="shared" si="30"/>
        <v>1-2024</v>
      </c>
      <c r="B389" s="86">
        <v>45315</v>
      </c>
      <c r="C389" t="str">
        <f t="shared" si="33"/>
        <v>L-V</v>
      </c>
      <c r="D389" t="str">
        <f t="shared" si="34"/>
        <v>Miércoles</v>
      </c>
      <c r="I389" t="str">
        <f t="shared" si="31"/>
        <v>10-2033DOM</v>
      </c>
      <c r="J389" t="s">
        <v>213</v>
      </c>
      <c r="K389" t="s">
        <v>43</v>
      </c>
      <c r="L389">
        <f t="shared" si="32"/>
        <v>5</v>
      </c>
    </row>
    <row r="390" spans="1:12" x14ac:dyDescent="0.25">
      <c r="A390" s="88" t="str">
        <f t="shared" si="30"/>
        <v>1-2024</v>
      </c>
      <c r="B390" s="86">
        <v>45316</v>
      </c>
      <c r="C390" t="str">
        <f t="shared" si="33"/>
        <v>L-V</v>
      </c>
      <c r="D390" t="str">
        <f t="shared" si="34"/>
        <v>Jueves</v>
      </c>
      <c r="I390" t="str">
        <f t="shared" si="31"/>
        <v>10-2033L-V</v>
      </c>
      <c r="J390" t="s">
        <v>213</v>
      </c>
      <c r="K390" t="s">
        <v>40</v>
      </c>
      <c r="L390">
        <f t="shared" si="32"/>
        <v>21</v>
      </c>
    </row>
    <row r="391" spans="1:12" x14ac:dyDescent="0.25">
      <c r="A391" s="88" t="str">
        <f t="shared" si="30"/>
        <v>1-2024</v>
      </c>
      <c r="B391" s="86">
        <v>45317</v>
      </c>
      <c r="C391" t="str">
        <f t="shared" si="33"/>
        <v>L-V</v>
      </c>
      <c r="D391" t="str">
        <f t="shared" si="34"/>
        <v>Viernes</v>
      </c>
      <c r="I391" t="str">
        <f t="shared" si="31"/>
        <v>11-2033L-V</v>
      </c>
      <c r="J391" t="s">
        <v>214</v>
      </c>
      <c r="K391" t="s">
        <v>40</v>
      </c>
      <c r="L391">
        <f t="shared" si="32"/>
        <v>22</v>
      </c>
    </row>
    <row r="392" spans="1:12" x14ac:dyDescent="0.25">
      <c r="A392" s="88" t="str">
        <f t="shared" si="30"/>
        <v>1-2024</v>
      </c>
      <c r="B392" s="86">
        <v>45318</v>
      </c>
      <c r="C392" t="str">
        <f t="shared" si="33"/>
        <v>SAB</v>
      </c>
      <c r="D392" t="str">
        <f t="shared" si="34"/>
        <v>Sábado</v>
      </c>
      <c r="I392" t="str">
        <f t="shared" si="31"/>
        <v>11-2033SAB</v>
      </c>
      <c r="J392" t="s">
        <v>214</v>
      </c>
      <c r="K392" t="s">
        <v>41</v>
      </c>
      <c r="L392">
        <f t="shared" si="32"/>
        <v>4</v>
      </c>
    </row>
    <row r="393" spans="1:12" x14ac:dyDescent="0.25">
      <c r="A393" s="88" t="str">
        <f t="shared" si="30"/>
        <v>1-2024</v>
      </c>
      <c r="B393" s="86">
        <v>45319</v>
      </c>
      <c r="C393" t="str">
        <f t="shared" si="33"/>
        <v>DOM</v>
      </c>
      <c r="D393" t="str">
        <f t="shared" si="34"/>
        <v>Domingo</v>
      </c>
      <c r="I393" t="str">
        <f t="shared" si="31"/>
        <v>11-2033DOM</v>
      </c>
      <c r="J393" t="s">
        <v>214</v>
      </c>
      <c r="K393" t="s">
        <v>43</v>
      </c>
      <c r="L393">
        <f t="shared" si="32"/>
        <v>4</v>
      </c>
    </row>
    <row r="394" spans="1:12" x14ac:dyDescent="0.25">
      <c r="A394" s="88" t="str">
        <f t="shared" si="30"/>
        <v>1-2024</v>
      </c>
      <c r="B394" s="86">
        <v>45320</v>
      </c>
      <c r="C394" t="str">
        <f t="shared" si="33"/>
        <v>L-V</v>
      </c>
      <c r="D394" t="str">
        <f t="shared" si="34"/>
        <v>Lunes</v>
      </c>
      <c r="I394" t="str">
        <f t="shared" si="31"/>
        <v>12-2033L-V</v>
      </c>
      <c r="J394" t="s">
        <v>215</v>
      </c>
      <c r="K394" t="s">
        <v>40</v>
      </c>
      <c r="L394">
        <f t="shared" si="32"/>
        <v>22</v>
      </c>
    </row>
    <row r="395" spans="1:12" x14ac:dyDescent="0.25">
      <c r="A395" s="88" t="str">
        <f t="shared" si="30"/>
        <v>1-2024</v>
      </c>
      <c r="B395" s="86">
        <v>45321</v>
      </c>
      <c r="C395" t="str">
        <f t="shared" si="33"/>
        <v>L-V</v>
      </c>
      <c r="D395" t="str">
        <f t="shared" si="34"/>
        <v>Martes</v>
      </c>
      <c r="I395" t="str">
        <f t="shared" si="31"/>
        <v>12-2033SAB</v>
      </c>
      <c r="J395" t="s">
        <v>215</v>
      </c>
      <c r="K395" t="s">
        <v>41</v>
      </c>
      <c r="L395">
        <f t="shared" si="32"/>
        <v>5</v>
      </c>
    </row>
    <row r="396" spans="1:12" x14ac:dyDescent="0.25">
      <c r="A396" s="88" t="str">
        <f t="shared" si="30"/>
        <v>1-2024</v>
      </c>
      <c r="B396" s="86">
        <v>45322</v>
      </c>
      <c r="C396" t="str">
        <f t="shared" si="33"/>
        <v>L-V</v>
      </c>
      <c r="D396" t="str">
        <f t="shared" si="34"/>
        <v>Miércoles</v>
      </c>
      <c r="I396" t="str">
        <f t="shared" si="31"/>
        <v>12-2033DOM</v>
      </c>
      <c r="J396" t="s">
        <v>215</v>
      </c>
      <c r="K396" t="s">
        <v>43</v>
      </c>
      <c r="L396">
        <f t="shared" si="32"/>
        <v>4</v>
      </c>
    </row>
    <row r="397" spans="1:12" x14ac:dyDescent="0.25">
      <c r="A397" s="88" t="str">
        <f t="shared" si="30"/>
        <v>2-2024</v>
      </c>
      <c r="B397" s="86">
        <v>45323</v>
      </c>
      <c r="C397" t="str">
        <f t="shared" si="33"/>
        <v>L-V</v>
      </c>
      <c r="D397" t="str">
        <f t="shared" si="34"/>
        <v>Jueves</v>
      </c>
      <c r="I397" t="str">
        <f t="shared" si="31"/>
        <v>1-2034DOM</v>
      </c>
      <c r="J397" t="s">
        <v>216</v>
      </c>
      <c r="K397" t="s">
        <v>43</v>
      </c>
      <c r="L397">
        <f t="shared" si="32"/>
        <v>5</v>
      </c>
    </row>
    <row r="398" spans="1:12" x14ac:dyDescent="0.25">
      <c r="A398" s="88" t="str">
        <f t="shared" si="30"/>
        <v>2-2024</v>
      </c>
      <c r="B398" s="86">
        <v>45324</v>
      </c>
      <c r="C398" t="str">
        <f t="shared" si="33"/>
        <v>L-V</v>
      </c>
      <c r="D398" t="str">
        <f t="shared" si="34"/>
        <v>Viernes</v>
      </c>
      <c r="I398" t="str">
        <f t="shared" si="31"/>
        <v>1-2034L-V</v>
      </c>
      <c r="J398" t="s">
        <v>216</v>
      </c>
      <c r="K398" t="s">
        <v>40</v>
      </c>
      <c r="L398">
        <f t="shared" si="32"/>
        <v>22</v>
      </c>
    </row>
    <row r="399" spans="1:12" x14ac:dyDescent="0.25">
      <c r="A399" s="88" t="str">
        <f t="shared" si="30"/>
        <v>2-2024</v>
      </c>
      <c r="B399" s="86">
        <v>45325</v>
      </c>
      <c r="C399" t="str">
        <f t="shared" si="33"/>
        <v>SAB</v>
      </c>
      <c r="D399" t="str">
        <f t="shared" si="34"/>
        <v>Sábado</v>
      </c>
      <c r="I399" t="str">
        <f t="shared" si="31"/>
        <v>1-2034SAB</v>
      </c>
      <c r="J399" t="s">
        <v>216</v>
      </c>
      <c r="K399" t="s">
        <v>41</v>
      </c>
      <c r="L399">
        <f t="shared" si="32"/>
        <v>4</v>
      </c>
    </row>
    <row r="400" spans="1:12" x14ac:dyDescent="0.25">
      <c r="A400" s="88" t="str">
        <f t="shared" si="30"/>
        <v>2-2024</v>
      </c>
      <c r="B400" s="86">
        <v>45326</v>
      </c>
      <c r="C400" t="str">
        <f t="shared" si="33"/>
        <v>DOM</v>
      </c>
      <c r="D400" t="str">
        <f t="shared" si="34"/>
        <v>Domingo</v>
      </c>
      <c r="I400" t="str">
        <f t="shared" si="31"/>
        <v>2-2034L-V</v>
      </c>
      <c r="J400" t="s">
        <v>217</v>
      </c>
      <c r="K400" t="s">
        <v>40</v>
      </c>
      <c r="L400">
        <f t="shared" si="32"/>
        <v>20</v>
      </c>
    </row>
    <row r="401" spans="1:12" x14ac:dyDescent="0.25">
      <c r="A401" s="88" t="str">
        <f t="shared" si="30"/>
        <v>2-2024</v>
      </c>
      <c r="B401" s="86">
        <v>45327</v>
      </c>
      <c r="C401" t="str">
        <f t="shared" si="33"/>
        <v>L-V</v>
      </c>
      <c r="D401" t="str">
        <f t="shared" si="34"/>
        <v>Lunes</v>
      </c>
      <c r="I401" t="str">
        <f t="shared" si="31"/>
        <v>2-2034SAB</v>
      </c>
      <c r="J401" t="s">
        <v>217</v>
      </c>
      <c r="K401" t="s">
        <v>41</v>
      </c>
      <c r="L401">
        <f t="shared" si="32"/>
        <v>4</v>
      </c>
    </row>
    <row r="402" spans="1:12" x14ac:dyDescent="0.25">
      <c r="A402" s="88" t="str">
        <f t="shared" si="30"/>
        <v>2-2024</v>
      </c>
      <c r="B402" s="86">
        <v>45328</v>
      </c>
      <c r="C402" t="str">
        <f t="shared" si="33"/>
        <v>L-V</v>
      </c>
      <c r="D402" t="str">
        <f t="shared" si="34"/>
        <v>Martes</v>
      </c>
      <c r="I402" t="str">
        <f t="shared" si="31"/>
        <v>2-2034DOM</v>
      </c>
      <c r="J402" t="s">
        <v>217</v>
      </c>
      <c r="K402" t="s">
        <v>43</v>
      </c>
      <c r="L402">
        <f t="shared" si="32"/>
        <v>4</v>
      </c>
    </row>
    <row r="403" spans="1:12" x14ac:dyDescent="0.25">
      <c r="A403" s="88" t="str">
        <f t="shared" si="30"/>
        <v>2-2024</v>
      </c>
      <c r="B403" s="86">
        <v>45329</v>
      </c>
      <c r="C403" t="str">
        <f t="shared" si="33"/>
        <v>L-V</v>
      </c>
      <c r="D403" t="str">
        <f t="shared" si="34"/>
        <v>Miércoles</v>
      </c>
      <c r="I403" t="str">
        <f t="shared" si="31"/>
        <v>3-2034L-V</v>
      </c>
      <c r="J403" t="s">
        <v>218</v>
      </c>
      <c r="K403" t="s">
        <v>40</v>
      </c>
      <c r="L403">
        <f t="shared" si="32"/>
        <v>23</v>
      </c>
    </row>
    <row r="404" spans="1:12" x14ac:dyDescent="0.25">
      <c r="A404" s="88" t="str">
        <f t="shared" si="30"/>
        <v>2-2024</v>
      </c>
      <c r="B404" s="86">
        <v>45330</v>
      </c>
      <c r="C404" t="str">
        <f t="shared" si="33"/>
        <v>L-V</v>
      </c>
      <c r="D404" t="str">
        <f t="shared" si="34"/>
        <v>Jueves</v>
      </c>
      <c r="I404" t="str">
        <f t="shared" si="31"/>
        <v>3-2034SAB</v>
      </c>
      <c r="J404" t="s">
        <v>218</v>
      </c>
      <c r="K404" t="s">
        <v>41</v>
      </c>
      <c r="L404">
        <f t="shared" si="32"/>
        <v>4</v>
      </c>
    </row>
    <row r="405" spans="1:12" x14ac:dyDescent="0.25">
      <c r="A405" s="88" t="str">
        <f t="shared" si="30"/>
        <v>2-2024</v>
      </c>
      <c r="B405" s="86">
        <v>45331</v>
      </c>
      <c r="C405" t="str">
        <f t="shared" si="33"/>
        <v>L-V</v>
      </c>
      <c r="D405" t="str">
        <f t="shared" si="34"/>
        <v>Viernes</v>
      </c>
      <c r="I405" t="str">
        <f t="shared" si="31"/>
        <v>3-2034DOM</v>
      </c>
      <c r="J405" t="s">
        <v>218</v>
      </c>
      <c r="K405" t="s">
        <v>43</v>
      </c>
      <c r="L405">
        <f t="shared" si="32"/>
        <v>4</v>
      </c>
    </row>
    <row r="406" spans="1:12" x14ac:dyDescent="0.25">
      <c r="A406" s="88" t="str">
        <f t="shared" si="30"/>
        <v>2-2024</v>
      </c>
      <c r="B406" s="86">
        <v>45332</v>
      </c>
      <c r="C406" t="str">
        <f t="shared" si="33"/>
        <v>SAB</v>
      </c>
      <c r="D406" t="str">
        <f t="shared" si="34"/>
        <v>Sábado</v>
      </c>
      <c r="I406" t="str">
        <f t="shared" si="31"/>
        <v>4-2034SAB</v>
      </c>
      <c r="J406" t="s">
        <v>219</v>
      </c>
      <c r="K406" t="s">
        <v>41</v>
      </c>
      <c r="L406">
        <f t="shared" si="32"/>
        <v>5</v>
      </c>
    </row>
    <row r="407" spans="1:12" x14ac:dyDescent="0.25">
      <c r="A407" s="88" t="str">
        <f t="shared" si="30"/>
        <v>2-2024</v>
      </c>
      <c r="B407" s="86">
        <v>45333</v>
      </c>
      <c r="C407" t="str">
        <f t="shared" si="33"/>
        <v>DOM</v>
      </c>
      <c r="D407" t="str">
        <f t="shared" si="34"/>
        <v>Domingo</v>
      </c>
      <c r="I407" t="str">
        <f t="shared" si="31"/>
        <v>4-2034DOM</v>
      </c>
      <c r="J407" t="s">
        <v>219</v>
      </c>
      <c r="K407" t="s">
        <v>43</v>
      </c>
      <c r="L407">
        <f t="shared" si="32"/>
        <v>5</v>
      </c>
    </row>
    <row r="408" spans="1:12" x14ac:dyDescent="0.25">
      <c r="A408" s="88" t="str">
        <f t="shared" si="30"/>
        <v>2-2024</v>
      </c>
      <c r="B408" s="86">
        <v>45334</v>
      </c>
      <c r="C408" t="str">
        <f t="shared" si="33"/>
        <v>L-V</v>
      </c>
      <c r="D408" t="str">
        <f t="shared" si="34"/>
        <v>Lunes</v>
      </c>
      <c r="I408" t="str">
        <f t="shared" si="31"/>
        <v>4-2034L-V</v>
      </c>
      <c r="J408" t="s">
        <v>219</v>
      </c>
      <c r="K408" t="s">
        <v>40</v>
      </c>
      <c r="L408">
        <f t="shared" si="32"/>
        <v>20</v>
      </c>
    </row>
    <row r="409" spans="1:12" x14ac:dyDescent="0.25">
      <c r="A409" s="88" t="str">
        <f t="shared" si="30"/>
        <v>2-2024</v>
      </c>
      <c r="B409" s="86">
        <v>45335</v>
      </c>
      <c r="C409" t="str">
        <f t="shared" si="33"/>
        <v>L-V</v>
      </c>
      <c r="D409" t="str">
        <f t="shared" si="34"/>
        <v>Martes</v>
      </c>
      <c r="I409" t="str">
        <f t="shared" si="31"/>
        <v>5-2034L-V</v>
      </c>
      <c r="J409" t="s">
        <v>220</v>
      </c>
      <c r="K409" t="s">
        <v>40</v>
      </c>
      <c r="L409">
        <f t="shared" si="32"/>
        <v>23</v>
      </c>
    </row>
    <row r="410" spans="1:12" x14ac:dyDescent="0.25">
      <c r="A410" s="88" t="str">
        <f t="shared" si="30"/>
        <v>2-2024</v>
      </c>
      <c r="B410" s="86">
        <v>45336</v>
      </c>
      <c r="C410" t="str">
        <f t="shared" si="33"/>
        <v>L-V</v>
      </c>
      <c r="D410" t="str">
        <f t="shared" si="34"/>
        <v>Miércoles</v>
      </c>
      <c r="I410" t="str">
        <f t="shared" si="31"/>
        <v>5-2034SAB</v>
      </c>
      <c r="J410" t="s">
        <v>220</v>
      </c>
      <c r="K410" t="s">
        <v>41</v>
      </c>
      <c r="L410">
        <f t="shared" si="32"/>
        <v>4</v>
      </c>
    </row>
    <row r="411" spans="1:12" x14ac:dyDescent="0.25">
      <c r="A411" s="88" t="str">
        <f t="shared" si="30"/>
        <v>2-2024</v>
      </c>
      <c r="B411" s="86">
        <v>45337</v>
      </c>
      <c r="C411" t="str">
        <f t="shared" si="33"/>
        <v>L-V</v>
      </c>
      <c r="D411" t="str">
        <f t="shared" si="34"/>
        <v>Jueves</v>
      </c>
      <c r="I411" t="str">
        <f t="shared" si="31"/>
        <v>5-2034DOM</v>
      </c>
      <c r="J411" t="s">
        <v>220</v>
      </c>
      <c r="K411" t="s">
        <v>43</v>
      </c>
      <c r="L411">
        <f t="shared" si="32"/>
        <v>4</v>
      </c>
    </row>
    <row r="412" spans="1:12" x14ac:dyDescent="0.25">
      <c r="A412" s="88" t="str">
        <f t="shared" si="30"/>
        <v>2-2024</v>
      </c>
      <c r="B412" s="86">
        <v>45338</v>
      </c>
      <c r="C412" t="str">
        <f t="shared" si="33"/>
        <v>L-V</v>
      </c>
      <c r="D412" t="str">
        <f t="shared" si="34"/>
        <v>Viernes</v>
      </c>
      <c r="I412" t="str">
        <f t="shared" si="31"/>
        <v>6-2034L-V</v>
      </c>
      <c r="J412" t="s">
        <v>221</v>
      </c>
      <c r="K412" t="s">
        <v>40</v>
      </c>
      <c r="L412">
        <f t="shared" si="32"/>
        <v>22</v>
      </c>
    </row>
    <row r="413" spans="1:12" x14ac:dyDescent="0.25">
      <c r="A413" s="88" t="str">
        <f t="shared" si="30"/>
        <v>2-2024</v>
      </c>
      <c r="B413" s="86">
        <v>45339</v>
      </c>
      <c r="C413" t="str">
        <f t="shared" si="33"/>
        <v>SAB</v>
      </c>
      <c r="D413" t="str">
        <f t="shared" si="34"/>
        <v>Sábado</v>
      </c>
      <c r="I413" t="str">
        <f t="shared" si="31"/>
        <v>6-2034SAB</v>
      </c>
      <c r="J413" t="s">
        <v>221</v>
      </c>
      <c r="K413" t="s">
        <v>41</v>
      </c>
      <c r="L413">
        <f t="shared" si="32"/>
        <v>4</v>
      </c>
    </row>
    <row r="414" spans="1:12" x14ac:dyDescent="0.25">
      <c r="A414" s="88" t="str">
        <f t="shared" si="30"/>
        <v>2-2024</v>
      </c>
      <c r="B414" s="86">
        <v>45340</v>
      </c>
      <c r="C414" t="str">
        <f t="shared" si="33"/>
        <v>DOM</v>
      </c>
      <c r="D414" t="str">
        <f t="shared" si="34"/>
        <v>Domingo</v>
      </c>
      <c r="I414" t="str">
        <f t="shared" si="31"/>
        <v>6-2034DOM</v>
      </c>
      <c r="J414" t="s">
        <v>221</v>
      </c>
      <c r="K414" t="s">
        <v>43</v>
      </c>
      <c r="L414">
        <f t="shared" si="32"/>
        <v>4</v>
      </c>
    </row>
    <row r="415" spans="1:12" x14ac:dyDescent="0.25">
      <c r="A415" s="88" t="str">
        <f t="shared" si="30"/>
        <v>2-2024</v>
      </c>
      <c r="B415" s="86">
        <v>45341</v>
      </c>
      <c r="C415" t="str">
        <f t="shared" si="33"/>
        <v>L-V</v>
      </c>
      <c r="D415" t="str">
        <f t="shared" si="34"/>
        <v>Lunes</v>
      </c>
      <c r="I415" t="str">
        <f t="shared" si="31"/>
        <v>7-2034SAB</v>
      </c>
      <c r="J415" t="s">
        <v>222</v>
      </c>
      <c r="K415" t="s">
        <v>41</v>
      </c>
      <c r="L415">
        <f t="shared" si="32"/>
        <v>5</v>
      </c>
    </row>
    <row r="416" spans="1:12" x14ac:dyDescent="0.25">
      <c r="A416" s="88" t="str">
        <f t="shared" si="30"/>
        <v>2-2024</v>
      </c>
      <c r="B416" s="86">
        <v>45342</v>
      </c>
      <c r="C416" t="str">
        <f t="shared" si="33"/>
        <v>L-V</v>
      </c>
      <c r="D416" t="str">
        <f t="shared" si="34"/>
        <v>Martes</v>
      </c>
      <c r="I416" t="str">
        <f t="shared" si="31"/>
        <v>7-2034DOM</v>
      </c>
      <c r="J416" t="s">
        <v>222</v>
      </c>
      <c r="K416" t="s">
        <v>43</v>
      </c>
      <c r="L416">
        <f t="shared" si="32"/>
        <v>5</v>
      </c>
    </row>
    <row r="417" spans="1:12" x14ac:dyDescent="0.25">
      <c r="A417" s="88" t="str">
        <f t="shared" si="30"/>
        <v>2-2024</v>
      </c>
      <c r="B417" s="86">
        <v>45343</v>
      </c>
      <c r="C417" t="str">
        <f t="shared" si="33"/>
        <v>L-V</v>
      </c>
      <c r="D417" t="str">
        <f t="shared" si="34"/>
        <v>Miércoles</v>
      </c>
      <c r="I417" t="str">
        <f t="shared" si="31"/>
        <v>7-2034L-V</v>
      </c>
      <c r="J417" t="s">
        <v>222</v>
      </c>
      <c r="K417" t="s">
        <v>40</v>
      </c>
      <c r="L417">
        <f t="shared" si="32"/>
        <v>21</v>
      </c>
    </row>
    <row r="418" spans="1:12" x14ac:dyDescent="0.25">
      <c r="A418" s="88" t="str">
        <f t="shared" si="30"/>
        <v>2-2024</v>
      </c>
      <c r="B418" s="86">
        <v>45344</v>
      </c>
      <c r="C418" t="str">
        <f t="shared" si="33"/>
        <v>L-V</v>
      </c>
      <c r="D418" t="str">
        <f t="shared" si="34"/>
        <v>Jueves</v>
      </c>
      <c r="I418" t="str">
        <f t="shared" si="31"/>
        <v>8-2034L-V</v>
      </c>
      <c r="J418" t="s">
        <v>223</v>
      </c>
      <c r="K418" t="s">
        <v>40</v>
      </c>
      <c r="L418">
        <f t="shared" si="32"/>
        <v>23</v>
      </c>
    </row>
    <row r="419" spans="1:12" x14ac:dyDescent="0.25">
      <c r="A419" s="88" t="str">
        <f t="shared" si="30"/>
        <v>2-2024</v>
      </c>
      <c r="B419" s="86">
        <v>45345</v>
      </c>
      <c r="C419" t="str">
        <f t="shared" si="33"/>
        <v>L-V</v>
      </c>
      <c r="D419" t="str">
        <f t="shared" si="34"/>
        <v>Viernes</v>
      </c>
      <c r="I419" t="str">
        <f t="shared" si="31"/>
        <v>8-2034SAB</v>
      </c>
      <c r="J419" t="s">
        <v>223</v>
      </c>
      <c r="K419" t="s">
        <v>41</v>
      </c>
      <c r="L419">
        <f t="shared" si="32"/>
        <v>4</v>
      </c>
    </row>
    <row r="420" spans="1:12" x14ac:dyDescent="0.25">
      <c r="A420" s="88" t="str">
        <f t="shared" si="30"/>
        <v>2-2024</v>
      </c>
      <c r="B420" s="86">
        <v>45346</v>
      </c>
      <c r="C420" t="str">
        <f t="shared" si="33"/>
        <v>SAB</v>
      </c>
      <c r="D420" t="str">
        <f t="shared" si="34"/>
        <v>Sábado</v>
      </c>
      <c r="I420" t="str">
        <f t="shared" si="31"/>
        <v>8-2034DOM</v>
      </c>
      <c r="J420" t="s">
        <v>223</v>
      </c>
      <c r="K420" t="s">
        <v>43</v>
      </c>
      <c r="L420">
        <f t="shared" si="32"/>
        <v>4</v>
      </c>
    </row>
    <row r="421" spans="1:12" x14ac:dyDescent="0.25">
      <c r="A421" s="88" t="str">
        <f t="shared" si="30"/>
        <v>2-2024</v>
      </c>
      <c r="B421" s="86">
        <v>45347</v>
      </c>
      <c r="C421" t="str">
        <f t="shared" si="33"/>
        <v>DOM</v>
      </c>
      <c r="D421" t="str">
        <f t="shared" si="34"/>
        <v>Domingo</v>
      </c>
      <c r="I421" t="str">
        <f t="shared" si="31"/>
        <v>9-2034L-V</v>
      </c>
      <c r="J421" t="s">
        <v>224</v>
      </c>
      <c r="K421" t="s">
        <v>40</v>
      </c>
      <c r="L421">
        <f t="shared" si="32"/>
        <v>21</v>
      </c>
    </row>
    <row r="422" spans="1:12" x14ac:dyDescent="0.25">
      <c r="A422" s="88" t="str">
        <f t="shared" si="30"/>
        <v>2-2024</v>
      </c>
      <c r="B422" s="86">
        <v>45348</v>
      </c>
      <c r="C422" t="str">
        <f t="shared" si="33"/>
        <v>L-V</v>
      </c>
      <c r="D422" t="str">
        <f t="shared" si="34"/>
        <v>Lunes</v>
      </c>
      <c r="I422" t="str">
        <f t="shared" si="31"/>
        <v>9-2034SAB</v>
      </c>
      <c r="J422" t="s">
        <v>224</v>
      </c>
      <c r="K422" t="s">
        <v>41</v>
      </c>
      <c r="L422">
        <f t="shared" si="32"/>
        <v>5</v>
      </c>
    </row>
    <row r="423" spans="1:12" x14ac:dyDescent="0.25">
      <c r="A423" s="88" t="str">
        <f t="shared" si="30"/>
        <v>2-2024</v>
      </c>
      <c r="B423" s="86">
        <v>45349</v>
      </c>
      <c r="C423" t="str">
        <f t="shared" si="33"/>
        <v>L-V</v>
      </c>
      <c r="D423" t="str">
        <f t="shared" si="34"/>
        <v>Martes</v>
      </c>
      <c r="I423" t="str">
        <f t="shared" si="31"/>
        <v>9-2034DOM</v>
      </c>
      <c r="J423" t="s">
        <v>224</v>
      </c>
      <c r="K423" t="s">
        <v>43</v>
      </c>
      <c r="L423">
        <f t="shared" si="32"/>
        <v>4</v>
      </c>
    </row>
    <row r="424" spans="1:12" x14ac:dyDescent="0.25">
      <c r="A424" s="88" t="str">
        <f t="shared" si="30"/>
        <v>2-2024</v>
      </c>
      <c r="B424" s="86">
        <v>45350</v>
      </c>
      <c r="C424" t="str">
        <f t="shared" si="33"/>
        <v>L-V</v>
      </c>
      <c r="D424" t="str">
        <f t="shared" si="34"/>
        <v>Miércoles</v>
      </c>
      <c r="I424" t="str">
        <f t="shared" si="31"/>
        <v>10-2034DOM</v>
      </c>
      <c r="J424" t="s">
        <v>225</v>
      </c>
      <c r="K424" t="s">
        <v>43</v>
      </c>
      <c r="L424">
        <f t="shared" si="32"/>
        <v>5</v>
      </c>
    </row>
    <row r="425" spans="1:12" x14ac:dyDescent="0.25">
      <c r="A425" s="88" t="str">
        <f t="shared" si="30"/>
        <v>2-2024</v>
      </c>
      <c r="B425" s="86">
        <v>45351</v>
      </c>
      <c r="C425" t="str">
        <f t="shared" si="33"/>
        <v>L-V</v>
      </c>
      <c r="D425" t="str">
        <f t="shared" si="34"/>
        <v>Jueves</v>
      </c>
      <c r="I425" t="str">
        <f t="shared" si="31"/>
        <v>10-2034L-V</v>
      </c>
      <c r="J425" t="s">
        <v>225</v>
      </c>
      <c r="K425" t="s">
        <v>40</v>
      </c>
      <c r="L425">
        <f t="shared" si="32"/>
        <v>22</v>
      </c>
    </row>
    <row r="426" spans="1:12" x14ac:dyDescent="0.25">
      <c r="A426" s="88" t="str">
        <f t="shared" si="30"/>
        <v>3-2024</v>
      </c>
      <c r="B426" s="86">
        <v>45352</v>
      </c>
      <c r="C426" t="str">
        <f t="shared" si="33"/>
        <v>L-V</v>
      </c>
      <c r="D426" t="str">
        <f t="shared" si="34"/>
        <v>Viernes</v>
      </c>
      <c r="I426" t="str">
        <f t="shared" si="31"/>
        <v>10-2034SAB</v>
      </c>
      <c r="J426" s="108" t="s">
        <v>225</v>
      </c>
      <c r="K426" t="s">
        <v>41</v>
      </c>
      <c r="L426">
        <f t="shared" si="32"/>
        <v>4</v>
      </c>
    </row>
    <row r="427" spans="1:12" x14ac:dyDescent="0.25">
      <c r="A427" s="88" t="str">
        <f t="shared" si="30"/>
        <v>3-2024</v>
      </c>
      <c r="B427" s="86">
        <v>45353</v>
      </c>
      <c r="C427" t="str">
        <f t="shared" si="33"/>
        <v>SAB</v>
      </c>
      <c r="D427" t="str">
        <f t="shared" si="34"/>
        <v>Sábado</v>
      </c>
      <c r="I427" t="str">
        <f t="shared" si="31"/>
        <v>11-2034L-V</v>
      </c>
      <c r="J427" t="s">
        <v>226</v>
      </c>
      <c r="K427" t="s">
        <v>40</v>
      </c>
      <c r="L427">
        <f t="shared" si="32"/>
        <v>22</v>
      </c>
    </row>
    <row r="428" spans="1:12" x14ac:dyDescent="0.25">
      <c r="A428" s="88" t="str">
        <f t="shared" si="30"/>
        <v>3-2024</v>
      </c>
      <c r="B428" s="86">
        <v>45354</v>
      </c>
      <c r="C428" t="str">
        <f t="shared" si="33"/>
        <v>DOM</v>
      </c>
      <c r="D428" t="str">
        <f t="shared" si="34"/>
        <v>Domingo</v>
      </c>
      <c r="I428" t="str">
        <f t="shared" si="31"/>
        <v>11-2034SAB</v>
      </c>
      <c r="J428" t="s">
        <v>226</v>
      </c>
      <c r="K428" t="s">
        <v>41</v>
      </c>
      <c r="L428">
        <f t="shared" si="32"/>
        <v>4</v>
      </c>
    </row>
    <row r="429" spans="1:12" x14ac:dyDescent="0.25">
      <c r="A429" s="88" t="str">
        <f t="shared" si="30"/>
        <v>3-2024</v>
      </c>
      <c r="B429" s="86">
        <v>45355</v>
      </c>
      <c r="C429" t="str">
        <f t="shared" si="33"/>
        <v>L-V</v>
      </c>
      <c r="D429" t="str">
        <f t="shared" si="34"/>
        <v>Lunes</v>
      </c>
      <c r="I429" t="str">
        <f t="shared" si="31"/>
        <v>11-2034DOM</v>
      </c>
      <c r="J429" t="s">
        <v>226</v>
      </c>
      <c r="K429" t="s">
        <v>43</v>
      </c>
      <c r="L429">
        <f t="shared" si="32"/>
        <v>4</v>
      </c>
    </row>
    <row r="430" spans="1:12" x14ac:dyDescent="0.25">
      <c r="A430" s="88" t="str">
        <f t="shared" si="30"/>
        <v>3-2024</v>
      </c>
      <c r="B430" s="86">
        <v>45356</v>
      </c>
      <c r="C430" t="str">
        <f t="shared" si="33"/>
        <v>L-V</v>
      </c>
      <c r="D430" t="str">
        <f t="shared" si="34"/>
        <v>Martes</v>
      </c>
      <c r="I430" t="str">
        <f t="shared" si="31"/>
        <v>12-2034L-V</v>
      </c>
      <c r="J430" t="s">
        <v>227</v>
      </c>
      <c r="K430" t="s">
        <v>40</v>
      </c>
      <c r="L430">
        <f t="shared" si="32"/>
        <v>21</v>
      </c>
    </row>
    <row r="431" spans="1:12" x14ac:dyDescent="0.25">
      <c r="A431" s="88" t="str">
        <f t="shared" si="30"/>
        <v>3-2024</v>
      </c>
      <c r="B431" s="86">
        <v>45357</v>
      </c>
      <c r="C431" t="str">
        <f t="shared" si="33"/>
        <v>L-V</v>
      </c>
      <c r="D431" t="str">
        <f t="shared" si="34"/>
        <v>Miércoles</v>
      </c>
      <c r="I431" t="str">
        <f t="shared" si="31"/>
        <v>12-2034SAB</v>
      </c>
      <c r="J431" t="s">
        <v>227</v>
      </c>
      <c r="K431" t="s">
        <v>41</v>
      </c>
      <c r="L431">
        <f t="shared" si="32"/>
        <v>5</v>
      </c>
    </row>
    <row r="432" spans="1:12" x14ac:dyDescent="0.25">
      <c r="A432" s="88" t="str">
        <f t="shared" si="30"/>
        <v>3-2024</v>
      </c>
      <c r="B432" s="86">
        <v>45358</v>
      </c>
      <c r="C432" t="str">
        <f t="shared" si="33"/>
        <v>L-V</v>
      </c>
      <c r="D432" t="str">
        <f t="shared" si="34"/>
        <v>Jueves</v>
      </c>
      <c r="I432" t="str">
        <f t="shared" si="31"/>
        <v>12-2034DOM</v>
      </c>
      <c r="J432" t="s">
        <v>227</v>
      </c>
      <c r="K432" t="s">
        <v>43</v>
      </c>
      <c r="L432">
        <f t="shared" si="32"/>
        <v>5</v>
      </c>
    </row>
    <row r="433" spans="1:12" x14ac:dyDescent="0.25">
      <c r="A433" s="88" t="str">
        <f t="shared" si="30"/>
        <v>3-2024</v>
      </c>
      <c r="B433" s="86">
        <v>45359</v>
      </c>
      <c r="C433" t="str">
        <f t="shared" si="33"/>
        <v>L-V</v>
      </c>
      <c r="D433" t="str">
        <f t="shared" si="34"/>
        <v>Viernes</v>
      </c>
      <c r="I433" t="str">
        <f t="shared" si="31"/>
        <v>1-2035L-V</v>
      </c>
      <c r="J433" t="s">
        <v>228</v>
      </c>
      <c r="K433" t="s">
        <v>40</v>
      </c>
      <c r="L433">
        <f t="shared" si="32"/>
        <v>23</v>
      </c>
    </row>
    <row r="434" spans="1:12" x14ac:dyDescent="0.25">
      <c r="A434" s="88" t="str">
        <f t="shared" si="30"/>
        <v>3-2024</v>
      </c>
      <c r="B434" s="86">
        <v>45360</v>
      </c>
      <c r="C434" t="str">
        <f t="shared" si="33"/>
        <v>SAB</v>
      </c>
      <c r="D434" t="str">
        <f t="shared" si="34"/>
        <v>Sábado</v>
      </c>
      <c r="I434" t="str">
        <f t="shared" si="31"/>
        <v>1-2035SAB</v>
      </c>
      <c r="J434" t="s">
        <v>228</v>
      </c>
      <c r="K434" t="s">
        <v>41</v>
      </c>
      <c r="L434">
        <f t="shared" si="32"/>
        <v>4</v>
      </c>
    </row>
    <row r="435" spans="1:12" x14ac:dyDescent="0.25">
      <c r="A435" s="88" t="str">
        <f t="shared" si="30"/>
        <v>3-2024</v>
      </c>
      <c r="B435" s="86">
        <v>45361</v>
      </c>
      <c r="C435" t="str">
        <f t="shared" si="33"/>
        <v>DOM</v>
      </c>
      <c r="D435" t="str">
        <f t="shared" si="34"/>
        <v>Domingo</v>
      </c>
      <c r="I435" t="str">
        <f t="shared" si="31"/>
        <v>1-2035DOM</v>
      </c>
      <c r="J435" t="s">
        <v>228</v>
      </c>
      <c r="K435" t="s">
        <v>43</v>
      </c>
      <c r="L435">
        <f t="shared" si="32"/>
        <v>4</v>
      </c>
    </row>
    <row r="436" spans="1:12" x14ac:dyDescent="0.25">
      <c r="A436" s="88" t="str">
        <f t="shared" si="30"/>
        <v>3-2024</v>
      </c>
      <c r="B436" s="86">
        <v>45362</v>
      </c>
      <c r="C436" t="str">
        <f t="shared" si="33"/>
        <v>L-V</v>
      </c>
      <c r="D436" t="str">
        <f t="shared" si="34"/>
        <v>Lunes</v>
      </c>
      <c r="I436" t="str">
        <f t="shared" si="31"/>
        <v>2-2035L-V</v>
      </c>
      <c r="J436" t="s">
        <v>229</v>
      </c>
      <c r="K436" t="s">
        <v>40</v>
      </c>
      <c r="L436">
        <f t="shared" si="32"/>
        <v>20</v>
      </c>
    </row>
    <row r="437" spans="1:12" x14ac:dyDescent="0.25">
      <c r="A437" s="88" t="str">
        <f t="shared" si="30"/>
        <v>3-2024</v>
      </c>
      <c r="B437" s="86">
        <v>45363</v>
      </c>
      <c r="C437" t="str">
        <f t="shared" si="33"/>
        <v>L-V</v>
      </c>
      <c r="D437" t="str">
        <f t="shared" si="34"/>
        <v>Martes</v>
      </c>
      <c r="I437" t="str">
        <f t="shared" si="31"/>
        <v>2-2035SAB</v>
      </c>
      <c r="J437" t="s">
        <v>229</v>
      </c>
      <c r="K437" t="s">
        <v>41</v>
      </c>
      <c r="L437">
        <f t="shared" si="32"/>
        <v>4</v>
      </c>
    </row>
    <row r="438" spans="1:12" x14ac:dyDescent="0.25">
      <c r="A438" s="88" t="str">
        <f t="shared" si="30"/>
        <v>3-2024</v>
      </c>
      <c r="B438" s="86">
        <v>45364</v>
      </c>
      <c r="C438" t="str">
        <f t="shared" si="33"/>
        <v>L-V</v>
      </c>
      <c r="D438" t="str">
        <f t="shared" si="34"/>
        <v>Miércoles</v>
      </c>
      <c r="I438" t="str">
        <f t="shared" si="31"/>
        <v>2-2035DOM</v>
      </c>
      <c r="J438" t="s">
        <v>229</v>
      </c>
      <c r="K438" t="s">
        <v>43</v>
      </c>
      <c r="L438">
        <f t="shared" si="32"/>
        <v>4</v>
      </c>
    </row>
    <row r="439" spans="1:12" x14ac:dyDescent="0.25">
      <c r="A439" s="88" t="str">
        <f t="shared" si="30"/>
        <v>3-2024</v>
      </c>
      <c r="B439" s="86">
        <v>45365</v>
      </c>
      <c r="C439" t="str">
        <f t="shared" si="33"/>
        <v>L-V</v>
      </c>
      <c r="D439" t="str">
        <f t="shared" si="34"/>
        <v>Jueves</v>
      </c>
      <c r="I439" t="str">
        <f t="shared" si="31"/>
        <v>3-2035L-V</v>
      </c>
      <c r="J439" t="s">
        <v>230</v>
      </c>
      <c r="K439" t="s">
        <v>40</v>
      </c>
      <c r="L439">
        <f t="shared" si="32"/>
        <v>22</v>
      </c>
    </row>
    <row r="440" spans="1:12" x14ac:dyDescent="0.25">
      <c r="A440" s="88" t="str">
        <f t="shared" si="30"/>
        <v>3-2024</v>
      </c>
      <c r="B440" s="86">
        <v>45366</v>
      </c>
      <c r="C440" t="str">
        <f t="shared" si="33"/>
        <v>L-V</v>
      </c>
      <c r="D440" t="str">
        <f t="shared" si="34"/>
        <v>Viernes</v>
      </c>
      <c r="I440" t="str">
        <f t="shared" si="31"/>
        <v>3-2035SAB</v>
      </c>
      <c r="J440" t="s">
        <v>230</v>
      </c>
      <c r="K440" t="s">
        <v>41</v>
      </c>
      <c r="L440">
        <f t="shared" si="32"/>
        <v>5</v>
      </c>
    </row>
    <row r="441" spans="1:12" x14ac:dyDescent="0.25">
      <c r="A441" s="88" t="str">
        <f t="shared" si="30"/>
        <v>3-2024</v>
      </c>
      <c r="B441" s="86">
        <v>45367</v>
      </c>
      <c r="C441" t="str">
        <f t="shared" si="33"/>
        <v>SAB</v>
      </c>
      <c r="D441" t="str">
        <f t="shared" si="34"/>
        <v>Sábado</v>
      </c>
      <c r="I441" t="str">
        <f t="shared" si="31"/>
        <v>3-2035DOM</v>
      </c>
      <c r="J441" t="s">
        <v>230</v>
      </c>
      <c r="K441" t="s">
        <v>43</v>
      </c>
      <c r="L441">
        <f t="shared" si="32"/>
        <v>4</v>
      </c>
    </row>
    <row r="442" spans="1:12" x14ac:dyDescent="0.25">
      <c r="A442" s="88" t="str">
        <f t="shared" si="30"/>
        <v>3-2024</v>
      </c>
      <c r="B442" s="86">
        <v>45368</v>
      </c>
      <c r="C442" t="str">
        <f t="shared" si="33"/>
        <v>DOM</v>
      </c>
      <c r="D442" t="str">
        <f t="shared" si="34"/>
        <v>Domingo</v>
      </c>
      <c r="I442" t="str">
        <f t="shared" ref="I442:I505" si="35">J442&amp;K442</f>
        <v>4-2035DOM</v>
      </c>
      <c r="J442" t="s">
        <v>235</v>
      </c>
      <c r="K442" t="s">
        <v>43</v>
      </c>
      <c r="L442">
        <f t="shared" ref="L442:L505" si="36">COUNTIFS(C:C,K442,A:A,J442)</f>
        <v>5</v>
      </c>
    </row>
    <row r="443" spans="1:12" x14ac:dyDescent="0.25">
      <c r="A443" s="88" t="str">
        <f t="shared" si="30"/>
        <v>3-2024</v>
      </c>
      <c r="B443" s="86">
        <v>45369</v>
      </c>
      <c r="C443" t="str">
        <f t="shared" si="33"/>
        <v>L-V</v>
      </c>
      <c r="D443" t="str">
        <f t="shared" si="34"/>
        <v>Lunes</v>
      </c>
      <c r="I443" t="str">
        <f t="shared" si="35"/>
        <v>4-2035L-V</v>
      </c>
      <c r="J443" t="s">
        <v>235</v>
      </c>
      <c r="K443" t="s">
        <v>40</v>
      </c>
      <c r="L443">
        <f t="shared" si="36"/>
        <v>21</v>
      </c>
    </row>
    <row r="444" spans="1:12" x14ac:dyDescent="0.25">
      <c r="A444" s="88" t="str">
        <f t="shared" si="30"/>
        <v>3-2024</v>
      </c>
      <c r="B444" s="86">
        <v>45370</v>
      </c>
      <c r="C444" t="str">
        <f t="shared" si="33"/>
        <v>L-V</v>
      </c>
      <c r="D444" t="str">
        <f t="shared" si="34"/>
        <v>Martes</v>
      </c>
      <c r="I444" t="str">
        <f t="shared" si="35"/>
        <v>4-2035SAB</v>
      </c>
      <c r="J444" t="s">
        <v>235</v>
      </c>
      <c r="K444" t="s">
        <v>41</v>
      </c>
      <c r="L444">
        <f t="shared" si="36"/>
        <v>4</v>
      </c>
    </row>
    <row r="445" spans="1:12" x14ac:dyDescent="0.25">
      <c r="A445" s="88" t="str">
        <f t="shared" si="30"/>
        <v>3-2024</v>
      </c>
      <c r="B445" s="86">
        <v>45371</v>
      </c>
      <c r="C445" t="str">
        <f t="shared" si="33"/>
        <v>L-V</v>
      </c>
      <c r="D445" t="str">
        <f t="shared" si="34"/>
        <v>Miércoles</v>
      </c>
      <c r="I445" t="str">
        <f t="shared" si="35"/>
        <v>5-2035L-V</v>
      </c>
      <c r="J445" t="s">
        <v>236</v>
      </c>
      <c r="K445" t="s">
        <v>40</v>
      </c>
      <c r="L445">
        <f t="shared" si="36"/>
        <v>23</v>
      </c>
    </row>
    <row r="446" spans="1:12" x14ac:dyDescent="0.25">
      <c r="A446" s="88" t="str">
        <f t="shared" si="30"/>
        <v>3-2024</v>
      </c>
      <c r="B446" s="86">
        <v>45372</v>
      </c>
      <c r="C446" t="str">
        <f t="shared" si="33"/>
        <v>L-V</v>
      </c>
      <c r="D446" t="str">
        <f t="shared" si="34"/>
        <v>Jueves</v>
      </c>
      <c r="I446" t="str">
        <f t="shared" si="35"/>
        <v>5-2035SAB</v>
      </c>
      <c r="J446" t="s">
        <v>236</v>
      </c>
      <c r="K446" t="s">
        <v>41</v>
      </c>
      <c r="L446">
        <f t="shared" si="36"/>
        <v>4</v>
      </c>
    </row>
    <row r="447" spans="1:12" x14ac:dyDescent="0.25">
      <c r="A447" s="88" t="str">
        <f t="shared" si="30"/>
        <v>3-2024</v>
      </c>
      <c r="B447" s="86">
        <v>45373</v>
      </c>
      <c r="C447" t="str">
        <f t="shared" si="33"/>
        <v>L-V</v>
      </c>
      <c r="D447" t="str">
        <f t="shared" si="34"/>
        <v>Viernes</v>
      </c>
      <c r="I447" t="str">
        <f t="shared" si="35"/>
        <v>5-2035DOM</v>
      </c>
      <c r="J447" t="s">
        <v>236</v>
      </c>
      <c r="K447" t="s">
        <v>43</v>
      </c>
      <c r="L447">
        <f t="shared" si="36"/>
        <v>4</v>
      </c>
    </row>
    <row r="448" spans="1:12" x14ac:dyDescent="0.25">
      <c r="A448" s="88" t="str">
        <f t="shared" si="30"/>
        <v>3-2024</v>
      </c>
      <c r="B448" s="86">
        <v>45374</v>
      </c>
      <c r="C448" t="str">
        <f t="shared" si="33"/>
        <v>SAB</v>
      </c>
      <c r="D448" t="str">
        <f t="shared" si="34"/>
        <v>Sábado</v>
      </c>
      <c r="I448" t="str">
        <f t="shared" si="35"/>
        <v>6-2035L-V</v>
      </c>
      <c r="J448" t="s">
        <v>237</v>
      </c>
      <c r="K448" t="s">
        <v>40</v>
      </c>
      <c r="L448">
        <f t="shared" si="36"/>
        <v>21</v>
      </c>
    </row>
    <row r="449" spans="1:12" x14ac:dyDescent="0.25">
      <c r="A449" s="88" t="str">
        <f t="shared" si="30"/>
        <v>3-2024</v>
      </c>
      <c r="B449" s="86">
        <v>45375</v>
      </c>
      <c r="C449" t="str">
        <f t="shared" si="33"/>
        <v>DOM</v>
      </c>
      <c r="D449" t="str">
        <f t="shared" si="34"/>
        <v>Domingo</v>
      </c>
      <c r="I449" t="str">
        <f t="shared" si="35"/>
        <v>6-2035SAB</v>
      </c>
      <c r="J449" t="s">
        <v>237</v>
      </c>
      <c r="K449" t="s">
        <v>41</v>
      </c>
      <c r="L449">
        <f t="shared" si="36"/>
        <v>5</v>
      </c>
    </row>
    <row r="450" spans="1:12" x14ac:dyDescent="0.25">
      <c r="A450" s="88" t="str">
        <f t="shared" ref="A450:A513" si="37">MONTH(B450)&amp;"-"&amp;YEAR(B450)</f>
        <v>3-2024</v>
      </c>
      <c r="B450" s="86">
        <v>45376</v>
      </c>
      <c r="C450" t="str">
        <f t="shared" si="33"/>
        <v>L-V</v>
      </c>
      <c r="D450" t="str">
        <f t="shared" si="34"/>
        <v>Lunes</v>
      </c>
      <c r="I450" t="str">
        <f t="shared" si="35"/>
        <v>6-2035DOM</v>
      </c>
      <c r="J450" t="s">
        <v>237</v>
      </c>
      <c r="K450" t="s">
        <v>43</v>
      </c>
      <c r="L450">
        <f t="shared" si="36"/>
        <v>4</v>
      </c>
    </row>
    <row r="451" spans="1:12" x14ac:dyDescent="0.25">
      <c r="A451" s="88" t="str">
        <f t="shared" si="37"/>
        <v>3-2024</v>
      </c>
      <c r="B451" s="86">
        <v>45377</v>
      </c>
      <c r="C451" t="str">
        <f t="shared" ref="C451:C514" si="38">VLOOKUP(WEEKDAY(B451,2),$F$1:$H$7,2)</f>
        <v>L-V</v>
      </c>
      <c r="D451" t="str">
        <f t="shared" ref="D451:D514" si="39">VLOOKUP(WEEKDAY($B451,2),$F$1:$H$7,3)</f>
        <v>Martes</v>
      </c>
      <c r="I451" t="str">
        <f t="shared" si="35"/>
        <v>7-2035DOM</v>
      </c>
      <c r="J451" t="s">
        <v>238</v>
      </c>
      <c r="K451" t="s">
        <v>43</v>
      </c>
      <c r="L451">
        <f t="shared" si="36"/>
        <v>5</v>
      </c>
    </row>
    <row r="452" spans="1:12" x14ac:dyDescent="0.25">
      <c r="A452" s="88" t="str">
        <f t="shared" si="37"/>
        <v>3-2024</v>
      </c>
      <c r="B452" s="86">
        <v>45378</v>
      </c>
      <c r="C452" t="str">
        <f t="shared" si="38"/>
        <v>L-V</v>
      </c>
      <c r="D452" t="str">
        <f t="shared" si="39"/>
        <v>Miércoles</v>
      </c>
      <c r="I452" t="str">
        <f t="shared" si="35"/>
        <v>7-2035L-V</v>
      </c>
      <c r="J452" t="s">
        <v>238</v>
      </c>
      <c r="K452" t="s">
        <v>40</v>
      </c>
      <c r="L452">
        <f t="shared" si="36"/>
        <v>22</v>
      </c>
    </row>
    <row r="453" spans="1:12" x14ac:dyDescent="0.25">
      <c r="A453" s="88" t="str">
        <f t="shared" si="37"/>
        <v>3-2024</v>
      </c>
      <c r="B453" s="86">
        <v>45379</v>
      </c>
      <c r="C453" t="str">
        <f t="shared" si="38"/>
        <v>L-V</v>
      </c>
      <c r="D453" t="str">
        <f t="shared" si="39"/>
        <v>Jueves</v>
      </c>
      <c r="I453" t="str">
        <f t="shared" si="35"/>
        <v>7-2035SAB</v>
      </c>
      <c r="J453" t="s">
        <v>238</v>
      </c>
      <c r="K453" t="s">
        <v>41</v>
      </c>
      <c r="L453">
        <f t="shared" si="36"/>
        <v>4</v>
      </c>
    </row>
    <row r="454" spans="1:12" x14ac:dyDescent="0.25">
      <c r="A454" s="88" t="str">
        <f t="shared" si="37"/>
        <v>3-2024</v>
      </c>
      <c r="B454" s="86">
        <v>45380</v>
      </c>
      <c r="C454" t="str">
        <f t="shared" si="38"/>
        <v>L-V</v>
      </c>
      <c r="D454" t="str">
        <f t="shared" si="39"/>
        <v>Viernes</v>
      </c>
      <c r="I454" t="str">
        <f t="shared" si="35"/>
        <v>8-2035L-V</v>
      </c>
      <c r="J454" t="s">
        <v>239</v>
      </c>
      <c r="K454" t="s">
        <v>40</v>
      </c>
      <c r="L454">
        <f t="shared" si="36"/>
        <v>23</v>
      </c>
    </row>
    <row r="455" spans="1:12" x14ac:dyDescent="0.25">
      <c r="A455" s="88" t="str">
        <f t="shared" si="37"/>
        <v>3-2024</v>
      </c>
      <c r="B455" s="86">
        <v>45381</v>
      </c>
      <c r="C455" t="str">
        <f t="shared" si="38"/>
        <v>SAB</v>
      </c>
      <c r="D455" t="str">
        <f t="shared" si="39"/>
        <v>Sábado</v>
      </c>
      <c r="I455" t="str">
        <f t="shared" si="35"/>
        <v>8-2035SAB</v>
      </c>
      <c r="J455" t="s">
        <v>239</v>
      </c>
      <c r="K455" t="s">
        <v>41</v>
      </c>
      <c r="L455">
        <f t="shared" si="36"/>
        <v>4</v>
      </c>
    </row>
    <row r="456" spans="1:12" x14ac:dyDescent="0.25">
      <c r="A456" s="88" t="str">
        <f t="shared" si="37"/>
        <v>3-2024</v>
      </c>
      <c r="B456" s="86">
        <v>45382</v>
      </c>
      <c r="C456" t="str">
        <f t="shared" si="38"/>
        <v>DOM</v>
      </c>
      <c r="D456" t="str">
        <f t="shared" si="39"/>
        <v>Domingo</v>
      </c>
      <c r="I456" t="str">
        <f t="shared" si="35"/>
        <v>8-2035DOM</v>
      </c>
      <c r="J456" t="s">
        <v>239</v>
      </c>
      <c r="K456" t="s">
        <v>43</v>
      </c>
      <c r="L456">
        <f t="shared" si="36"/>
        <v>4</v>
      </c>
    </row>
    <row r="457" spans="1:12" x14ac:dyDescent="0.25">
      <c r="A457" s="88" t="str">
        <f t="shared" si="37"/>
        <v>4-2024</v>
      </c>
      <c r="B457" s="86">
        <v>45383</v>
      </c>
      <c r="C457" t="str">
        <f t="shared" si="38"/>
        <v>L-V</v>
      </c>
      <c r="D457" t="str">
        <f t="shared" si="39"/>
        <v>Lunes</v>
      </c>
      <c r="I457" t="str">
        <f t="shared" si="35"/>
        <v>9-2035SAB</v>
      </c>
      <c r="J457" t="s">
        <v>240</v>
      </c>
      <c r="K457" t="s">
        <v>41</v>
      </c>
      <c r="L457">
        <f t="shared" si="36"/>
        <v>5</v>
      </c>
    </row>
    <row r="458" spans="1:12" x14ac:dyDescent="0.25">
      <c r="A458" s="88" t="str">
        <f t="shared" si="37"/>
        <v>4-2024</v>
      </c>
      <c r="B458" s="86">
        <v>45384</v>
      </c>
      <c r="C458" t="str">
        <f t="shared" si="38"/>
        <v>L-V</v>
      </c>
      <c r="D458" t="str">
        <f t="shared" si="39"/>
        <v>Martes</v>
      </c>
      <c r="I458" t="str">
        <f t="shared" si="35"/>
        <v>9-2035DOM</v>
      </c>
      <c r="J458" t="s">
        <v>240</v>
      </c>
      <c r="K458" t="s">
        <v>43</v>
      </c>
      <c r="L458">
        <f t="shared" si="36"/>
        <v>5</v>
      </c>
    </row>
    <row r="459" spans="1:12" x14ac:dyDescent="0.25">
      <c r="A459" s="88" t="str">
        <f t="shared" si="37"/>
        <v>4-2024</v>
      </c>
      <c r="B459" s="86">
        <v>45385</v>
      </c>
      <c r="C459" t="str">
        <f t="shared" si="38"/>
        <v>L-V</v>
      </c>
      <c r="D459" t="str">
        <f t="shared" si="39"/>
        <v>Miércoles</v>
      </c>
      <c r="I459" t="str">
        <f t="shared" si="35"/>
        <v>9-2035L-V</v>
      </c>
      <c r="J459" t="s">
        <v>240</v>
      </c>
      <c r="K459" t="s">
        <v>40</v>
      </c>
      <c r="L459">
        <f t="shared" si="36"/>
        <v>20</v>
      </c>
    </row>
    <row r="460" spans="1:12" x14ac:dyDescent="0.25">
      <c r="A460" s="88" t="str">
        <f t="shared" si="37"/>
        <v>4-2024</v>
      </c>
      <c r="B460" s="86">
        <v>45386</v>
      </c>
      <c r="C460" t="str">
        <f t="shared" si="38"/>
        <v>L-V</v>
      </c>
      <c r="D460" t="str">
        <f t="shared" si="39"/>
        <v>Jueves</v>
      </c>
      <c r="I460" t="str">
        <f t="shared" si="35"/>
        <v>10-2035L-V</v>
      </c>
      <c r="J460" t="s">
        <v>241</v>
      </c>
      <c r="K460" t="s">
        <v>40</v>
      </c>
      <c r="L460">
        <f t="shared" si="36"/>
        <v>23</v>
      </c>
    </row>
    <row r="461" spans="1:12" x14ac:dyDescent="0.25">
      <c r="A461" s="88" t="str">
        <f t="shared" si="37"/>
        <v>4-2024</v>
      </c>
      <c r="B461" s="86">
        <v>45387</v>
      </c>
      <c r="C461" t="str">
        <f t="shared" si="38"/>
        <v>L-V</v>
      </c>
      <c r="D461" t="str">
        <f t="shared" si="39"/>
        <v>Viernes</v>
      </c>
      <c r="I461" t="str">
        <f t="shared" si="35"/>
        <v>10-2035SAB</v>
      </c>
      <c r="J461" t="s">
        <v>241</v>
      </c>
      <c r="K461" t="s">
        <v>41</v>
      </c>
      <c r="L461">
        <f t="shared" si="36"/>
        <v>4</v>
      </c>
    </row>
    <row r="462" spans="1:12" x14ac:dyDescent="0.25">
      <c r="A462" s="88" t="str">
        <f t="shared" si="37"/>
        <v>4-2024</v>
      </c>
      <c r="B462" s="86">
        <v>45388</v>
      </c>
      <c r="C462" t="str">
        <f t="shared" si="38"/>
        <v>SAB</v>
      </c>
      <c r="D462" t="str">
        <f t="shared" si="39"/>
        <v>Sábado</v>
      </c>
      <c r="I462" t="str">
        <f t="shared" si="35"/>
        <v>10-2035DOM</v>
      </c>
      <c r="J462" t="s">
        <v>241</v>
      </c>
      <c r="K462" t="s">
        <v>43</v>
      </c>
      <c r="L462">
        <f t="shared" si="36"/>
        <v>4</v>
      </c>
    </row>
    <row r="463" spans="1:12" x14ac:dyDescent="0.25">
      <c r="A463" s="88" t="str">
        <f t="shared" si="37"/>
        <v>4-2024</v>
      </c>
      <c r="B463" s="86">
        <v>45389</v>
      </c>
      <c r="C463" t="str">
        <f t="shared" si="38"/>
        <v>DOM</v>
      </c>
      <c r="D463" t="str">
        <f t="shared" si="39"/>
        <v>Domingo</v>
      </c>
      <c r="I463" t="str">
        <f t="shared" si="35"/>
        <v>11-2035L-V</v>
      </c>
      <c r="J463" t="s">
        <v>242</v>
      </c>
      <c r="K463" t="s">
        <v>40</v>
      </c>
      <c r="L463">
        <f t="shared" si="36"/>
        <v>22</v>
      </c>
    </row>
    <row r="464" spans="1:12" x14ac:dyDescent="0.25">
      <c r="A464" s="88" t="str">
        <f t="shared" si="37"/>
        <v>4-2024</v>
      </c>
      <c r="B464" s="86">
        <v>45390</v>
      </c>
      <c r="C464" t="str">
        <f t="shared" si="38"/>
        <v>L-V</v>
      </c>
      <c r="D464" t="str">
        <f t="shared" si="39"/>
        <v>Lunes</v>
      </c>
      <c r="I464" t="str">
        <f t="shared" si="35"/>
        <v>11-2035SAB</v>
      </c>
      <c r="J464" t="s">
        <v>242</v>
      </c>
      <c r="K464" t="s">
        <v>41</v>
      </c>
      <c r="L464">
        <f t="shared" si="36"/>
        <v>4</v>
      </c>
    </row>
    <row r="465" spans="1:12" x14ac:dyDescent="0.25">
      <c r="A465" s="88" t="str">
        <f t="shared" si="37"/>
        <v>4-2024</v>
      </c>
      <c r="B465" s="86">
        <v>45391</v>
      </c>
      <c r="C465" t="str">
        <f t="shared" si="38"/>
        <v>L-V</v>
      </c>
      <c r="D465" t="str">
        <f t="shared" si="39"/>
        <v>Martes</v>
      </c>
      <c r="I465" t="str">
        <f t="shared" si="35"/>
        <v>11-2035DOM</v>
      </c>
      <c r="J465" t="s">
        <v>242</v>
      </c>
      <c r="K465" t="s">
        <v>43</v>
      </c>
      <c r="L465">
        <f t="shared" si="36"/>
        <v>4</v>
      </c>
    </row>
    <row r="466" spans="1:12" x14ac:dyDescent="0.25">
      <c r="A466" s="88" t="str">
        <f t="shared" si="37"/>
        <v>4-2024</v>
      </c>
      <c r="B466" s="86">
        <v>45392</v>
      </c>
      <c r="C466" t="str">
        <f t="shared" si="38"/>
        <v>L-V</v>
      </c>
      <c r="D466" t="str">
        <f t="shared" si="39"/>
        <v>Miércoles</v>
      </c>
      <c r="I466" t="str">
        <f t="shared" si="35"/>
        <v>12-2035SAB</v>
      </c>
      <c r="J466" t="s">
        <v>243</v>
      </c>
      <c r="K466" t="s">
        <v>41</v>
      </c>
      <c r="L466">
        <f t="shared" si="36"/>
        <v>5</v>
      </c>
    </row>
    <row r="467" spans="1:12" x14ac:dyDescent="0.25">
      <c r="A467" s="88" t="str">
        <f t="shared" si="37"/>
        <v>4-2024</v>
      </c>
      <c r="B467" s="86">
        <v>45393</v>
      </c>
      <c r="C467" t="str">
        <f t="shared" si="38"/>
        <v>L-V</v>
      </c>
      <c r="D467" t="str">
        <f t="shared" si="39"/>
        <v>Jueves</v>
      </c>
      <c r="I467" t="str">
        <f t="shared" si="35"/>
        <v>12-2035DOM</v>
      </c>
      <c r="J467" t="s">
        <v>243</v>
      </c>
      <c r="K467" t="s">
        <v>43</v>
      </c>
      <c r="L467">
        <f t="shared" si="36"/>
        <v>5</v>
      </c>
    </row>
    <row r="468" spans="1:12" x14ac:dyDescent="0.25">
      <c r="A468" s="88" t="str">
        <f t="shared" si="37"/>
        <v>4-2024</v>
      </c>
      <c r="B468" s="86">
        <v>45394</v>
      </c>
      <c r="C468" t="str">
        <f t="shared" si="38"/>
        <v>L-V</v>
      </c>
      <c r="D468" t="str">
        <f t="shared" si="39"/>
        <v>Viernes</v>
      </c>
      <c r="I468" t="str">
        <f t="shared" si="35"/>
        <v>12-2035L-V</v>
      </c>
      <c r="J468" t="s">
        <v>243</v>
      </c>
      <c r="K468" t="s">
        <v>40</v>
      </c>
      <c r="L468">
        <f t="shared" si="36"/>
        <v>21</v>
      </c>
    </row>
    <row r="469" spans="1:12" x14ac:dyDescent="0.25">
      <c r="A469" s="88" t="str">
        <f t="shared" si="37"/>
        <v>4-2024</v>
      </c>
      <c r="B469" s="86">
        <v>45395</v>
      </c>
      <c r="C469" t="str">
        <f t="shared" si="38"/>
        <v>SAB</v>
      </c>
      <c r="D469" t="str">
        <f t="shared" si="39"/>
        <v>Sábado</v>
      </c>
      <c r="I469" t="str">
        <f t="shared" si="35"/>
        <v>1-2036L-V</v>
      </c>
      <c r="J469" t="s">
        <v>244</v>
      </c>
      <c r="K469" t="s">
        <v>40</v>
      </c>
      <c r="L469">
        <f t="shared" si="36"/>
        <v>23</v>
      </c>
    </row>
    <row r="470" spans="1:12" x14ac:dyDescent="0.25">
      <c r="A470" s="88" t="str">
        <f t="shared" si="37"/>
        <v>4-2024</v>
      </c>
      <c r="B470" s="86">
        <v>45396</v>
      </c>
      <c r="C470" t="str">
        <f t="shared" si="38"/>
        <v>DOM</v>
      </c>
      <c r="D470" t="str">
        <f t="shared" si="39"/>
        <v>Domingo</v>
      </c>
      <c r="I470" t="str">
        <f t="shared" si="35"/>
        <v>1-2036SAB</v>
      </c>
      <c r="J470" t="s">
        <v>244</v>
      </c>
      <c r="K470" t="s">
        <v>41</v>
      </c>
      <c r="L470">
        <f t="shared" si="36"/>
        <v>4</v>
      </c>
    </row>
    <row r="471" spans="1:12" x14ac:dyDescent="0.25">
      <c r="A471" s="88" t="str">
        <f t="shared" si="37"/>
        <v>4-2024</v>
      </c>
      <c r="B471" s="86">
        <v>45397</v>
      </c>
      <c r="C471" t="str">
        <f t="shared" si="38"/>
        <v>L-V</v>
      </c>
      <c r="D471" t="str">
        <f t="shared" si="39"/>
        <v>Lunes</v>
      </c>
      <c r="I471" t="str">
        <f t="shared" si="35"/>
        <v>1-2036DOM</v>
      </c>
      <c r="J471" t="s">
        <v>244</v>
      </c>
      <c r="K471" t="s">
        <v>43</v>
      </c>
      <c r="L471">
        <f t="shared" si="36"/>
        <v>4</v>
      </c>
    </row>
    <row r="472" spans="1:12" x14ac:dyDescent="0.25">
      <c r="A472" s="88" t="str">
        <f t="shared" si="37"/>
        <v>4-2024</v>
      </c>
      <c r="B472" s="86">
        <v>45398</v>
      </c>
      <c r="C472" t="str">
        <f t="shared" si="38"/>
        <v>L-V</v>
      </c>
      <c r="D472" t="str">
        <f t="shared" si="39"/>
        <v>Martes</v>
      </c>
      <c r="I472" t="str">
        <f t="shared" si="35"/>
        <v>2-2036L-V</v>
      </c>
      <c r="J472" t="s">
        <v>245</v>
      </c>
      <c r="K472" t="s">
        <v>40</v>
      </c>
      <c r="L472">
        <f t="shared" si="36"/>
        <v>21</v>
      </c>
    </row>
    <row r="473" spans="1:12" x14ac:dyDescent="0.25">
      <c r="A473" s="88" t="str">
        <f t="shared" si="37"/>
        <v>4-2024</v>
      </c>
      <c r="B473" s="86">
        <v>45399</v>
      </c>
      <c r="C473" t="str">
        <f t="shared" si="38"/>
        <v>L-V</v>
      </c>
      <c r="D473" t="str">
        <f t="shared" si="39"/>
        <v>Miércoles</v>
      </c>
      <c r="I473" t="str">
        <f t="shared" si="35"/>
        <v>2-2036SAB</v>
      </c>
      <c r="J473" t="s">
        <v>245</v>
      </c>
      <c r="K473" t="s">
        <v>41</v>
      </c>
      <c r="L473">
        <f t="shared" si="36"/>
        <v>4</v>
      </c>
    </row>
    <row r="474" spans="1:12" x14ac:dyDescent="0.25">
      <c r="A474" s="88" t="str">
        <f t="shared" si="37"/>
        <v>4-2024</v>
      </c>
      <c r="B474" s="86">
        <v>45400</v>
      </c>
      <c r="C474" t="str">
        <f t="shared" si="38"/>
        <v>L-V</v>
      </c>
      <c r="D474" t="str">
        <f t="shared" si="39"/>
        <v>Jueves</v>
      </c>
      <c r="I474" t="str">
        <f t="shared" si="35"/>
        <v>2-2036DOM</v>
      </c>
      <c r="J474" t="s">
        <v>245</v>
      </c>
      <c r="K474" t="s">
        <v>43</v>
      </c>
      <c r="L474">
        <f t="shared" si="36"/>
        <v>4</v>
      </c>
    </row>
    <row r="475" spans="1:12" x14ac:dyDescent="0.25">
      <c r="A475" s="88" t="str">
        <f t="shared" si="37"/>
        <v>4-2024</v>
      </c>
      <c r="B475" s="86">
        <v>45401</v>
      </c>
      <c r="C475" t="str">
        <f t="shared" si="38"/>
        <v>L-V</v>
      </c>
      <c r="D475" t="str">
        <f t="shared" si="39"/>
        <v>Viernes</v>
      </c>
      <c r="I475" t="str">
        <f t="shared" si="35"/>
        <v>3-2036SAB</v>
      </c>
      <c r="J475" t="s">
        <v>232</v>
      </c>
      <c r="K475" t="s">
        <v>41</v>
      </c>
      <c r="L475">
        <f t="shared" si="36"/>
        <v>5</v>
      </c>
    </row>
    <row r="476" spans="1:12" x14ac:dyDescent="0.25">
      <c r="A476" s="88" t="str">
        <f t="shared" si="37"/>
        <v>4-2024</v>
      </c>
      <c r="B476" s="86">
        <v>45402</v>
      </c>
      <c r="C476" t="str">
        <f t="shared" si="38"/>
        <v>SAB</v>
      </c>
      <c r="D476" t="str">
        <f t="shared" si="39"/>
        <v>Sábado</v>
      </c>
      <c r="I476" t="str">
        <f t="shared" si="35"/>
        <v>3-2036DOM</v>
      </c>
      <c r="J476" t="s">
        <v>232</v>
      </c>
      <c r="K476" t="s">
        <v>43</v>
      </c>
      <c r="L476">
        <f t="shared" si="36"/>
        <v>5</v>
      </c>
    </row>
    <row r="477" spans="1:12" x14ac:dyDescent="0.25">
      <c r="A477" s="88" t="str">
        <f t="shared" si="37"/>
        <v>4-2024</v>
      </c>
      <c r="B477" s="86">
        <v>45403</v>
      </c>
      <c r="C477" t="str">
        <f t="shared" si="38"/>
        <v>DOM</v>
      </c>
      <c r="D477" t="str">
        <f t="shared" si="39"/>
        <v>Domingo</v>
      </c>
      <c r="I477" t="str">
        <f t="shared" si="35"/>
        <v>3-2036L-V</v>
      </c>
      <c r="J477" t="s">
        <v>232</v>
      </c>
      <c r="K477" t="s">
        <v>40</v>
      </c>
      <c r="L477">
        <f t="shared" si="36"/>
        <v>21</v>
      </c>
    </row>
    <row r="478" spans="1:12" x14ac:dyDescent="0.25">
      <c r="A478" s="88" t="str">
        <f t="shared" si="37"/>
        <v>4-2024</v>
      </c>
      <c r="B478" s="86">
        <v>45404</v>
      </c>
      <c r="C478" t="str">
        <f t="shared" si="38"/>
        <v>L-V</v>
      </c>
      <c r="D478" t="str">
        <f t="shared" si="39"/>
        <v>Lunes</v>
      </c>
      <c r="I478" t="str">
        <f t="shared" si="35"/>
        <v>4-2036L-V</v>
      </c>
      <c r="J478" t="s">
        <v>246</v>
      </c>
      <c r="K478" t="s">
        <v>40</v>
      </c>
      <c r="L478">
        <f t="shared" si="36"/>
        <v>22</v>
      </c>
    </row>
    <row r="479" spans="1:12" x14ac:dyDescent="0.25">
      <c r="A479" s="88" t="str">
        <f t="shared" si="37"/>
        <v>4-2024</v>
      </c>
      <c r="B479" s="86">
        <v>45405</v>
      </c>
      <c r="C479" t="str">
        <f t="shared" si="38"/>
        <v>L-V</v>
      </c>
      <c r="D479" t="str">
        <f t="shared" si="39"/>
        <v>Martes</v>
      </c>
      <c r="I479" t="str">
        <f t="shared" si="35"/>
        <v>4-2036SAB</v>
      </c>
      <c r="J479" t="s">
        <v>246</v>
      </c>
      <c r="K479" t="s">
        <v>41</v>
      </c>
      <c r="L479">
        <f t="shared" si="36"/>
        <v>4</v>
      </c>
    </row>
    <row r="480" spans="1:12" x14ac:dyDescent="0.25">
      <c r="A480" s="88" t="str">
        <f t="shared" si="37"/>
        <v>4-2024</v>
      </c>
      <c r="B480" s="86">
        <v>45406</v>
      </c>
      <c r="C480" t="str">
        <f t="shared" si="38"/>
        <v>L-V</v>
      </c>
      <c r="D480" t="str">
        <f t="shared" si="39"/>
        <v>Miércoles</v>
      </c>
      <c r="I480" t="str">
        <f t="shared" si="35"/>
        <v>4-2036DOM</v>
      </c>
      <c r="J480" t="s">
        <v>246</v>
      </c>
      <c r="K480" t="s">
        <v>43</v>
      </c>
      <c r="L480">
        <f t="shared" si="36"/>
        <v>4</v>
      </c>
    </row>
    <row r="481" spans="1:12" x14ac:dyDescent="0.25">
      <c r="A481" s="88" t="str">
        <f t="shared" si="37"/>
        <v>4-2024</v>
      </c>
      <c r="B481" s="86">
        <v>45407</v>
      </c>
      <c r="C481" t="str">
        <f t="shared" si="38"/>
        <v>L-V</v>
      </c>
      <c r="D481" t="str">
        <f t="shared" si="39"/>
        <v>Jueves</v>
      </c>
      <c r="I481" t="str">
        <f t="shared" si="35"/>
        <v>5-2036L-V</v>
      </c>
      <c r="J481" t="s">
        <v>247</v>
      </c>
      <c r="K481" t="s">
        <v>40</v>
      </c>
      <c r="L481">
        <f t="shared" si="36"/>
        <v>22</v>
      </c>
    </row>
    <row r="482" spans="1:12" x14ac:dyDescent="0.25">
      <c r="A482" s="88" t="str">
        <f t="shared" si="37"/>
        <v>4-2024</v>
      </c>
      <c r="B482" s="86">
        <v>45408</v>
      </c>
      <c r="C482" t="str">
        <f t="shared" si="38"/>
        <v>L-V</v>
      </c>
      <c r="D482" t="str">
        <f t="shared" si="39"/>
        <v>Viernes</v>
      </c>
      <c r="I482" t="str">
        <f t="shared" si="35"/>
        <v>5-2036SAB</v>
      </c>
      <c r="J482" t="s">
        <v>247</v>
      </c>
      <c r="K482" t="s">
        <v>41</v>
      </c>
      <c r="L482">
        <f t="shared" si="36"/>
        <v>5</v>
      </c>
    </row>
    <row r="483" spans="1:12" x14ac:dyDescent="0.25">
      <c r="A483" s="88" t="str">
        <f t="shared" si="37"/>
        <v>4-2024</v>
      </c>
      <c r="B483" s="86">
        <v>45409</v>
      </c>
      <c r="C483" t="str">
        <f t="shared" si="38"/>
        <v>SAB</v>
      </c>
      <c r="D483" t="str">
        <f t="shared" si="39"/>
        <v>Sábado</v>
      </c>
      <c r="I483" t="str">
        <f t="shared" si="35"/>
        <v>5-2036DOM</v>
      </c>
      <c r="J483" t="s">
        <v>247</v>
      </c>
      <c r="K483" t="s">
        <v>43</v>
      </c>
      <c r="L483">
        <f t="shared" si="36"/>
        <v>4</v>
      </c>
    </row>
    <row r="484" spans="1:12" x14ac:dyDescent="0.25">
      <c r="A484" s="88" t="str">
        <f t="shared" si="37"/>
        <v>4-2024</v>
      </c>
      <c r="B484" s="86">
        <v>45410</v>
      </c>
      <c r="C484" t="str">
        <f t="shared" si="38"/>
        <v>DOM</v>
      </c>
      <c r="D484" t="str">
        <f t="shared" si="39"/>
        <v>Domingo</v>
      </c>
      <c r="I484" t="str">
        <f t="shared" si="35"/>
        <v>6-2036DOM</v>
      </c>
      <c r="J484" t="s">
        <v>248</v>
      </c>
      <c r="K484" t="s">
        <v>43</v>
      </c>
      <c r="L484">
        <f t="shared" si="36"/>
        <v>5</v>
      </c>
    </row>
    <row r="485" spans="1:12" x14ac:dyDescent="0.25">
      <c r="A485" s="88" t="str">
        <f t="shared" si="37"/>
        <v>4-2024</v>
      </c>
      <c r="B485" s="86">
        <v>45411</v>
      </c>
      <c r="C485" t="str">
        <f t="shared" si="38"/>
        <v>L-V</v>
      </c>
      <c r="D485" t="str">
        <f t="shared" si="39"/>
        <v>Lunes</v>
      </c>
      <c r="I485" t="str">
        <f t="shared" si="35"/>
        <v>6-2036L-V</v>
      </c>
      <c r="J485" t="s">
        <v>248</v>
      </c>
      <c r="K485" t="s">
        <v>40</v>
      </c>
      <c r="L485">
        <f t="shared" si="36"/>
        <v>21</v>
      </c>
    </row>
    <row r="486" spans="1:12" x14ac:dyDescent="0.25">
      <c r="A486" s="88" t="str">
        <f t="shared" si="37"/>
        <v>4-2024</v>
      </c>
      <c r="B486" s="86">
        <v>45412</v>
      </c>
      <c r="C486" t="str">
        <f t="shared" si="38"/>
        <v>L-V</v>
      </c>
      <c r="D486" t="str">
        <f t="shared" si="39"/>
        <v>Martes</v>
      </c>
      <c r="I486" t="str">
        <f t="shared" si="35"/>
        <v>6-2036SAB</v>
      </c>
      <c r="J486" t="s">
        <v>248</v>
      </c>
      <c r="K486" t="s">
        <v>41</v>
      </c>
      <c r="L486">
        <f t="shared" si="36"/>
        <v>4</v>
      </c>
    </row>
    <row r="487" spans="1:12" x14ac:dyDescent="0.25">
      <c r="A487" s="88" t="str">
        <f t="shared" si="37"/>
        <v>5-2024</v>
      </c>
      <c r="B487" s="86">
        <v>45413</v>
      </c>
      <c r="C487" t="str">
        <f t="shared" si="38"/>
        <v>L-V</v>
      </c>
      <c r="D487" t="str">
        <f t="shared" si="39"/>
        <v>Miércoles</v>
      </c>
      <c r="I487" t="str">
        <f t="shared" si="35"/>
        <v>7-2036L-V</v>
      </c>
      <c r="J487" t="s">
        <v>249</v>
      </c>
      <c r="K487" t="s">
        <v>40</v>
      </c>
      <c r="L487">
        <f t="shared" si="36"/>
        <v>23</v>
      </c>
    </row>
    <row r="488" spans="1:12" x14ac:dyDescent="0.25">
      <c r="A488" s="88" t="str">
        <f t="shared" si="37"/>
        <v>5-2024</v>
      </c>
      <c r="B488" s="86">
        <v>45414</v>
      </c>
      <c r="C488" t="str">
        <f t="shared" si="38"/>
        <v>L-V</v>
      </c>
      <c r="D488" t="str">
        <f t="shared" si="39"/>
        <v>Jueves</v>
      </c>
      <c r="I488" t="str">
        <f t="shared" si="35"/>
        <v>7-2036SAB</v>
      </c>
      <c r="J488" t="s">
        <v>249</v>
      </c>
      <c r="K488" t="s">
        <v>41</v>
      </c>
      <c r="L488">
        <f t="shared" si="36"/>
        <v>4</v>
      </c>
    </row>
    <row r="489" spans="1:12" x14ac:dyDescent="0.25">
      <c r="A489" s="88" t="str">
        <f t="shared" si="37"/>
        <v>5-2024</v>
      </c>
      <c r="B489" s="86">
        <v>45415</v>
      </c>
      <c r="C489" t="str">
        <f t="shared" si="38"/>
        <v>L-V</v>
      </c>
      <c r="D489" t="str">
        <f t="shared" si="39"/>
        <v>Viernes</v>
      </c>
      <c r="I489" t="str">
        <f t="shared" si="35"/>
        <v>7-2036DOM</v>
      </c>
      <c r="J489" t="s">
        <v>249</v>
      </c>
      <c r="K489" t="s">
        <v>43</v>
      </c>
      <c r="L489">
        <f t="shared" si="36"/>
        <v>4</v>
      </c>
    </row>
    <row r="490" spans="1:12" x14ac:dyDescent="0.25">
      <c r="A490" s="88" t="str">
        <f t="shared" si="37"/>
        <v>5-2024</v>
      </c>
      <c r="B490" s="86">
        <v>45416</v>
      </c>
      <c r="C490" t="str">
        <f t="shared" si="38"/>
        <v>SAB</v>
      </c>
      <c r="D490" t="str">
        <f t="shared" si="39"/>
        <v>Sábado</v>
      </c>
      <c r="I490" t="str">
        <f t="shared" si="35"/>
        <v>8-2036L-V</v>
      </c>
      <c r="J490" t="s">
        <v>250</v>
      </c>
      <c r="K490" t="s">
        <v>40</v>
      </c>
      <c r="L490">
        <f t="shared" si="36"/>
        <v>21</v>
      </c>
    </row>
    <row r="491" spans="1:12" x14ac:dyDescent="0.25">
      <c r="A491" s="88" t="str">
        <f t="shared" si="37"/>
        <v>5-2024</v>
      </c>
      <c r="B491" s="86">
        <v>45417</v>
      </c>
      <c r="C491" t="str">
        <f t="shared" si="38"/>
        <v>DOM</v>
      </c>
      <c r="D491" t="str">
        <f t="shared" si="39"/>
        <v>Domingo</v>
      </c>
      <c r="I491" t="str">
        <f t="shared" si="35"/>
        <v>8-2036SAB</v>
      </c>
      <c r="J491" t="s">
        <v>250</v>
      </c>
      <c r="K491" t="s">
        <v>41</v>
      </c>
      <c r="L491">
        <f t="shared" si="36"/>
        <v>5</v>
      </c>
    </row>
    <row r="492" spans="1:12" x14ac:dyDescent="0.25">
      <c r="A492" s="88" t="str">
        <f t="shared" si="37"/>
        <v>5-2024</v>
      </c>
      <c r="B492" s="86">
        <v>45418</v>
      </c>
      <c r="C492" t="str">
        <f t="shared" si="38"/>
        <v>L-V</v>
      </c>
      <c r="D492" t="str">
        <f t="shared" si="39"/>
        <v>Lunes</v>
      </c>
      <c r="I492" t="str">
        <f t="shared" si="35"/>
        <v>8-2036DOM</v>
      </c>
      <c r="J492" t="s">
        <v>250</v>
      </c>
      <c r="K492" t="s">
        <v>43</v>
      </c>
      <c r="L492">
        <f t="shared" si="36"/>
        <v>5</v>
      </c>
    </row>
    <row r="493" spans="1:12" x14ac:dyDescent="0.25">
      <c r="A493" s="88" t="str">
        <f t="shared" si="37"/>
        <v>5-2024</v>
      </c>
      <c r="B493" s="86">
        <v>45419</v>
      </c>
      <c r="C493" t="str">
        <f t="shared" si="38"/>
        <v>L-V</v>
      </c>
      <c r="D493" t="str">
        <f t="shared" si="39"/>
        <v>Martes</v>
      </c>
      <c r="I493" t="str">
        <f t="shared" si="35"/>
        <v>9-2036L-V</v>
      </c>
      <c r="J493" t="s">
        <v>251</v>
      </c>
      <c r="K493" t="s">
        <v>40</v>
      </c>
      <c r="L493">
        <f t="shared" si="36"/>
        <v>22</v>
      </c>
    </row>
    <row r="494" spans="1:12" x14ac:dyDescent="0.25">
      <c r="A494" s="88" t="str">
        <f t="shared" si="37"/>
        <v>5-2024</v>
      </c>
      <c r="B494" s="86">
        <v>45420</v>
      </c>
      <c r="C494" t="str">
        <f t="shared" si="38"/>
        <v>L-V</v>
      </c>
      <c r="D494" t="str">
        <f t="shared" si="39"/>
        <v>Miércoles</v>
      </c>
      <c r="I494" t="str">
        <f t="shared" si="35"/>
        <v>9-2036SAB</v>
      </c>
      <c r="J494" t="s">
        <v>251</v>
      </c>
      <c r="K494" t="s">
        <v>41</v>
      </c>
      <c r="L494">
        <f t="shared" si="36"/>
        <v>4</v>
      </c>
    </row>
    <row r="495" spans="1:12" x14ac:dyDescent="0.25">
      <c r="A495" s="88" t="str">
        <f t="shared" si="37"/>
        <v>5-2024</v>
      </c>
      <c r="B495" s="86">
        <v>45421</v>
      </c>
      <c r="C495" t="str">
        <f t="shared" si="38"/>
        <v>L-V</v>
      </c>
      <c r="D495" t="str">
        <f t="shared" si="39"/>
        <v>Jueves</v>
      </c>
      <c r="I495" t="str">
        <f t="shared" si="35"/>
        <v>9-2036DOM</v>
      </c>
      <c r="J495" t="s">
        <v>251</v>
      </c>
      <c r="K495" t="s">
        <v>43</v>
      </c>
      <c r="L495">
        <f t="shared" si="36"/>
        <v>4</v>
      </c>
    </row>
    <row r="496" spans="1:12" x14ac:dyDescent="0.25">
      <c r="A496" s="88" t="str">
        <f t="shared" si="37"/>
        <v>5-2024</v>
      </c>
      <c r="B496" s="86">
        <v>45422</v>
      </c>
      <c r="C496" t="str">
        <f t="shared" si="38"/>
        <v>L-V</v>
      </c>
      <c r="D496" t="str">
        <f t="shared" si="39"/>
        <v>Viernes</v>
      </c>
      <c r="I496" t="str">
        <f t="shared" si="35"/>
        <v>10-2036L-V</v>
      </c>
      <c r="J496" t="s">
        <v>252</v>
      </c>
      <c r="K496" t="s">
        <v>40</v>
      </c>
      <c r="L496">
        <f t="shared" si="36"/>
        <v>23</v>
      </c>
    </row>
    <row r="497" spans="1:12" x14ac:dyDescent="0.25">
      <c r="A497" s="88" t="str">
        <f t="shared" si="37"/>
        <v>5-2024</v>
      </c>
      <c r="B497" s="86">
        <v>45423</v>
      </c>
      <c r="C497" t="str">
        <f t="shared" si="38"/>
        <v>SAB</v>
      </c>
      <c r="D497" t="str">
        <f t="shared" si="39"/>
        <v>Sábado</v>
      </c>
      <c r="I497" t="str">
        <f t="shared" si="35"/>
        <v>10-2036SAB</v>
      </c>
      <c r="J497" t="s">
        <v>252</v>
      </c>
      <c r="K497" t="s">
        <v>41</v>
      </c>
      <c r="L497">
        <f t="shared" si="36"/>
        <v>4</v>
      </c>
    </row>
    <row r="498" spans="1:12" x14ac:dyDescent="0.25">
      <c r="A498" s="88" t="str">
        <f t="shared" si="37"/>
        <v>5-2024</v>
      </c>
      <c r="B498" s="86">
        <v>45424</v>
      </c>
      <c r="C498" t="str">
        <f t="shared" si="38"/>
        <v>DOM</v>
      </c>
      <c r="D498" t="str">
        <f t="shared" si="39"/>
        <v>Domingo</v>
      </c>
      <c r="I498" t="str">
        <f t="shared" si="35"/>
        <v>10-2036DOM</v>
      </c>
      <c r="J498" t="s">
        <v>252</v>
      </c>
      <c r="K498" t="s">
        <v>43</v>
      </c>
      <c r="L498">
        <f t="shared" si="36"/>
        <v>4</v>
      </c>
    </row>
    <row r="499" spans="1:12" x14ac:dyDescent="0.25">
      <c r="A499" s="88" t="str">
        <f t="shared" si="37"/>
        <v>5-2024</v>
      </c>
      <c r="B499" s="86">
        <v>45425</v>
      </c>
      <c r="C499" t="str">
        <f t="shared" si="38"/>
        <v>L-V</v>
      </c>
      <c r="D499" t="str">
        <f t="shared" si="39"/>
        <v>Lunes</v>
      </c>
      <c r="I499" t="str">
        <f t="shared" si="35"/>
        <v>11-2036SAB</v>
      </c>
      <c r="J499" t="s">
        <v>253</v>
      </c>
      <c r="K499" t="s">
        <v>41</v>
      </c>
      <c r="L499">
        <f t="shared" si="36"/>
        <v>5</v>
      </c>
    </row>
    <row r="500" spans="1:12" x14ac:dyDescent="0.25">
      <c r="A500" s="88" t="str">
        <f t="shared" si="37"/>
        <v>5-2024</v>
      </c>
      <c r="B500" s="86">
        <v>45426</v>
      </c>
      <c r="C500" t="str">
        <f t="shared" si="38"/>
        <v>L-V</v>
      </c>
      <c r="D500" t="str">
        <f t="shared" si="39"/>
        <v>Martes</v>
      </c>
      <c r="I500" t="str">
        <f t="shared" si="35"/>
        <v>11-2036DOM</v>
      </c>
      <c r="J500" t="s">
        <v>253</v>
      </c>
      <c r="K500" t="s">
        <v>43</v>
      </c>
      <c r="L500">
        <f t="shared" si="36"/>
        <v>5</v>
      </c>
    </row>
    <row r="501" spans="1:12" x14ac:dyDescent="0.25">
      <c r="A501" s="88" t="str">
        <f t="shared" si="37"/>
        <v>5-2024</v>
      </c>
      <c r="B501" s="86">
        <v>45427</v>
      </c>
      <c r="C501" t="str">
        <f t="shared" si="38"/>
        <v>L-V</v>
      </c>
      <c r="D501" t="str">
        <f t="shared" si="39"/>
        <v>Miércoles</v>
      </c>
      <c r="I501" t="str">
        <f t="shared" si="35"/>
        <v>11-2036L-V</v>
      </c>
      <c r="J501" t="s">
        <v>253</v>
      </c>
      <c r="K501" t="s">
        <v>40</v>
      </c>
      <c r="L501">
        <f t="shared" si="36"/>
        <v>20</v>
      </c>
    </row>
    <row r="502" spans="1:12" x14ac:dyDescent="0.25">
      <c r="A502" s="88" t="str">
        <f t="shared" si="37"/>
        <v>5-2024</v>
      </c>
      <c r="B502" s="86">
        <v>45428</v>
      </c>
      <c r="C502" t="str">
        <f t="shared" si="38"/>
        <v>L-V</v>
      </c>
      <c r="D502" t="str">
        <f t="shared" si="39"/>
        <v>Jueves</v>
      </c>
      <c r="I502" t="str">
        <f t="shared" si="35"/>
        <v>12-2036L-V</v>
      </c>
      <c r="J502" t="s">
        <v>254</v>
      </c>
      <c r="K502" t="s">
        <v>40</v>
      </c>
      <c r="L502">
        <f t="shared" si="36"/>
        <v>23</v>
      </c>
    </row>
    <row r="503" spans="1:12" x14ac:dyDescent="0.25">
      <c r="A503" s="88" t="str">
        <f t="shared" si="37"/>
        <v>5-2024</v>
      </c>
      <c r="B503" s="86">
        <v>45429</v>
      </c>
      <c r="C503" t="str">
        <f t="shared" si="38"/>
        <v>L-V</v>
      </c>
      <c r="D503" t="str">
        <f t="shared" si="39"/>
        <v>Viernes</v>
      </c>
      <c r="I503" t="str">
        <f t="shared" si="35"/>
        <v>12-2036SAB</v>
      </c>
      <c r="J503" t="s">
        <v>254</v>
      </c>
      <c r="K503" t="s">
        <v>41</v>
      </c>
      <c r="L503">
        <f t="shared" si="36"/>
        <v>4</v>
      </c>
    </row>
    <row r="504" spans="1:12" x14ac:dyDescent="0.25">
      <c r="A504" s="88" t="str">
        <f t="shared" si="37"/>
        <v>5-2024</v>
      </c>
      <c r="B504" s="86">
        <v>45430</v>
      </c>
      <c r="C504" t="str">
        <f t="shared" si="38"/>
        <v>SAB</v>
      </c>
      <c r="D504" t="str">
        <f t="shared" si="39"/>
        <v>Sábado</v>
      </c>
      <c r="I504" t="str">
        <f t="shared" si="35"/>
        <v>12-2036DOM</v>
      </c>
      <c r="J504" t="s">
        <v>254</v>
      </c>
      <c r="K504" t="s">
        <v>43</v>
      </c>
      <c r="L504">
        <f t="shared" si="36"/>
        <v>4</v>
      </c>
    </row>
    <row r="505" spans="1:12" x14ac:dyDescent="0.25">
      <c r="A505" s="88" t="str">
        <f t="shared" si="37"/>
        <v>5-2024</v>
      </c>
      <c r="B505" s="86">
        <v>45431</v>
      </c>
      <c r="C505" t="str">
        <f t="shared" si="38"/>
        <v>DOM</v>
      </c>
      <c r="D505" t="str">
        <f t="shared" si="39"/>
        <v>Domingo</v>
      </c>
      <c r="I505" t="str">
        <f t="shared" si="35"/>
        <v>1-2037L-V</v>
      </c>
      <c r="J505" t="s">
        <v>255</v>
      </c>
      <c r="K505" t="s">
        <v>40</v>
      </c>
      <c r="L505">
        <f t="shared" si="36"/>
        <v>22</v>
      </c>
    </row>
    <row r="506" spans="1:12" x14ac:dyDescent="0.25">
      <c r="A506" s="88" t="str">
        <f t="shared" si="37"/>
        <v>5-2024</v>
      </c>
      <c r="B506" s="86">
        <v>45432</v>
      </c>
      <c r="C506" t="str">
        <f t="shared" si="38"/>
        <v>L-V</v>
      </c>
      <c r="D506" t="str">
        <f t="shared" si="39"/>
        <v>Lunes</v>
      </c>
      <c r="I506" t="str">
        <f t="shared" ref="I506:I569" si="40">J506&amp;K506</f>
        <v>1-2037SAB</v>
      </c>
      <c r="J506" t="s">
        <v>255</v>
      </c>
      <c r="K506" t="s">
        <v>41</v>
      </c>
      <c r="L506">
        <f t="shared" ref="L506:L569" si="41">COUNTIFS(C:C,K506,A:A,J506)</f>
        <v>5</v>
      </c>
    </row>
    <row r="507" spans="1:12" x14ac:dyDescent="0.25">
      <c r="A507" s="88" t="str">
        <f t="shared" si="37"/>
        <v>5-2024</v>
      </c>
      <c r="B507" s="86">
        <v>45433</v>
      </c>
      <c r="C507" t="str">
        <f t="shared" si="38"/>
        <v>L-V</v>
      </c>
      <c r="D507" t="str">
        <f t="shared" si="39"/>
        <v>Martes</v>
      </c>
      <c r="I507" t="str">
        <f t="shared" si="40"/>
        <v>1-2037DOM</v>
      </c>
      <c r="J507" t="s">
        <v>255</v>
      </c>
      <c r="K507" t="s">
        <v>43</v>
      </c>
      <c r="L507">
        <f t="shared" si="41"/>
        <v>4</v>
      </c>
    </row>
    <row r="508" spans="1:12" x14ac:dyDescent="0.25">
      <c r="A508" s="88" t="str">
        <f t="shared" si="37"/>
        <v>5-2024</v>
      </c>
      <c r="B508" s="86">
        <v>45434</v>
      </c>
      <c r="C508" t="str">
        <f t="shared" si="38"/>
        <v>L-V</v>
      </c>
      <c r="D508" t="str">
        <f t="shared" si="39"/>
        <v>Miércoles</v>
      </c>
      <c r="I508" t="str">
        <f t="shared" si="40"/>
        <v>2-2037DOM</v>
      </c>
      <c r="J508" t="s">
        <v>256</v>
      </c>
      <c r="K508" t="s">
        <v>43</v>
      </c>
      <c r="L508">
        <f t="shared" si="41"/>
        <v>4</v>
      </c>
    </row>
    <row r="509" spans="1:12" x14ac:dyDescent="0.25">
      <c r="A509" s="88" t="str">
        <f t="shared" si="37"/>
        <v>5-2024</v>
      </c>
      <c r="B509" s="86">
        <v>45435</v>
      </c>
      <c r="C509" t="str">
        <f t="shared" si="38"/>
        <v>L-V</v>
      </c>
      <c r="D509" t="str">
        <f t="shared" si="39"/>
        <v>Jueves</v>
      </c>
      <c r="I509" t="str">
        <f t="shared" si="40"/>
        <v>2-2037L-V</v>
      </c>
      <c r="J509" t="s">
        <v>256</v>
      </c>
      <c r="K509" t="s">
        <v>40</v>
      </c>
      <c r="L509">
        <f t="shared" si="41"/>
        <v>20</v>
      </c>
    </row>
    <row r="510" spans="1:12" x14ac:dyDescent="0.25">
      <c r="A510" s="88" t="str">
        <f t="shared" si="37"/>
        <v>5-2024</v>
      </c>
      <c r="B510" s="86">
        <v>45436</v>
      </c>
      <c r="C510" t="str">
        <f t="shared" si="38"/>
        <v>L-V</v>
      </c>
      <c r="D510" t="str">
        <f t="shared" si="39"/>
        <v>Viernes</v>
      </c>
      <c r="I510" t="str">
        <f t="shared" si="40"/>
        <v>2-2037SAB</v>
      </c>
      <c r="J510" t="s">
        <v>256</v>
      </c>
      <c r="K510" t="s">
        <v>41</v>
      </c>
      <c r="L510">
        <f t="shared" si="41"/>
        <v>4</v>
      </c>
    </row>
    <row r="511" spans="1:12" x14ac:dyDescent="0.25">
      <c r="A511" s="88" t="str">
        <f t="shared" si="37"/>
        <v>5-2024</v>
      </c>
      <c r="B511" s="86">
        <v>45437</v>
      </c>
      <c r="C511" t="str">
        <f t="shared" si="38"/>
        <v>SAB</v>
      </c>
      <c r="D511" t="str">
        <f t="shared" si="39"/>
        <v>Sábado</v>
      </c>
      <c r="I511" t="str">
        <f t="shared" si="40"/>
        <v>3-2037DOM</v>
      </c>
      <c r="J511" t="s">
        <v>233</v>
      </c>
      <c r="K511" t="s">
        <v>43</v>
      </c>
      <c r="L511">
        <f t="shared" si="41"/>
        <v>5</v>
      </c>
    </row>
    <row r="512" spans="1:12" x14ac:dyDescent="0.25">
      <c r="A512" s="88" t="str">
        <f t="shared" si="37"/>
        <v>5-2024</v>
      </c>
      <c r="B512" s="86">
        <v>45438</v>
      </c>
      <c r="C512" t="str">
        <f t="shared" si="38"/>
        <v>DOM</v>
      </c>
      <c r="D512" t="str">
        <f t="shared" si="39"/>
        <v>Domingo</v>
      </c>
      <c r="I512" t="str">
        <f t="shared" si="40"/>
        <v>3-2037L-V</v>
      </c>
      <c r="J512" t="s">
        <v>233</v>
      </c>
      <c r="K512" t="s">
        <v>40</v>
      </c>
      <c r="L512">
        <f t="shared" si="41"/>
        <v>22</v>
      </c>
    </row>
    <row r="513" spans="1:12" x14ac:dyDescent="0.25">
      <c r="A513" s="88" t="str">
        <f t="shared" si="37"/>
        <v>5-2024</v>
      </c>
      <c r="B513" s="86">
        <v>45439</v>
      </c>
      <c r="C513" t="str">
        <f t="shared" si="38"/>
        <v>L-V</v>
      </c>
      <c r="D513" t="str">
        <f t="shared" si="39"/>
        <v>Lunes</v>
      </c>
      <c r="I513" t="str">
        <f t="shared" si="40"/>
        <v>3-2037SAB</v>
      </c>
      <c r="J513" t="s">
        <v>233</v>
      </c>
      <c r="K513" t="s">
        <v>41</v>
      </c>
      <c r="L513">
        <f t="shared" si="41"/>
        <v>4</v>
      </c>
    </row>
    <row r="514" spans="1:12" x14ac:dyDescent="0.25">
      <c r="A514" s="88" t="str">
        <f t="shared" ref="A514:A577" si="42">MONTH(B514)&amp;"-"&amp;YEAR(B514)</f>
        <v>5-2024</v>
      </c>
      <c r="B514" s="86">
        <v>45440</v>
      </c>
      <c r="C514" t="str">
        <f t="shared" si="38"/>
        <v>L-V</v>
      </c>
      <c r="D514" t="str">
        <f t="shared" si="39"/>
        <v>Martes</v>
      </c>
      <c r="I514" t="str">
        <f t="shared" si="40"/>
        <v>4-2037L-V</v>
      </c>
      <c r="J514" t="s">
        <v>257</v>
      </c>
      <c r="K514" t="s">
        <v>40</v>
      </c>
      <c r="L514">
        <f t="shared" si="41"/>
        <v>22</v>
      </c>
    </row>
    <row r="515" spans="1:12" x14ac:dyDescent="0.25">
      <c r="A515" s="88" t="str">
        <f t="shared" si="42"/>
        <v>5-2024</v>
      </c>
      <c r="B515" s="86">
        <v>45441</v>
      </c>
      <c r="C515" t="str">
        <f t="shared" ref="C515:C578" si="43">VLOOKUP(WEEKDAY(B515,2),$F$1:$H$7,2)</f>
        <v>L-V</v>
      </c>
      <c r="D515" t="str">
        <f t="shared" ref="D515:D578" si="44">VLOOKUP(WEEKDAY($B515,2),$F$1:$H$7,3)</f>
        <v>Miércoles</v>
      </c>
      <c r="I515" t="str">
        <f t="shared" si="40"/>
        <v>4-2037SAB</v>
      </c>
      <c r="J515" t="s">
        <v>257</v>
      </c>
      <c r="K515" t="s">
        <v>41</v>
      </c>
      <c r="L515">
        <f t="shared" si="41"/>
        <v>4</v>
      </c>
    </row>
    <row r="516" spans="1:12" x14ac:dyDescent="0.25">
      <c r="A516" s="88" t="str">
        <f t="shared" si="42"/>
        <v>5-2024</v>
      </c>
      <c r="B516" s="86">
        <v>45442</v>
      </c>
      <c r="C516" t="str">
        <f t="shared" si="43"/>
        <v>L-V</v>
      </c>
      <c r="D516" t="str">
        <f t="shared" si="44"/>
        <v>Jueves</v>
      </c>
      <c r="I516" t="str">
        <f t="shared" si="40"/>
        <v>4-2037DOM</v>
      </c>
      <c r="J516" t="s">
        <v>257</v>
      </c>
      <c r="K516" t="s">
        <v>43</v>
      </c>
      <c r="L516">
        <f t="shared" si="41"/>
        <v>4</v>
      </c>
    </row>
    <row r="517" spans="1:12" x14ac:dyDescent="0.25">
      <c r="A517" s="88" t="str">
        <f t="shared" si="42"/>
        <v>5-2024</v>
      </c>
      <c r="B517" s="86">
        <v>45443</v>
      </c>
      <c r="C517" t="str">
        <f t="shared" si="43"/>
        <v>L-V</v>
      </c>
      <c r="D517" t="str">
        <f t="shared" si="44"/>
        <v>Viernes</v>
      </c>
      <c r="I517" t="str">
        <f t="shared" si="40"/>
        <v>5-2037L-V</v>
      </c>
      <c r="J517" t="s">
        <v>258</v>
      </c>
      <c r="K517" t="s">
        <v>40</v>
      </c>
      <c r="L517">
        <f t="shared" si="41"/>
        <v>21</v>
      </c>
    </row>
    <row r="518" spans="1:12" x14ac:dyDescent="0.25">
      <c r="A518" s="88" t="str">
        <f t="shared" si="42"/>
        <v>6-2024</v>
      </c>
      <c r="B518" s="86">
        <v>45444</v>
      </c>
      <c r="C518" t="str">
        <f t="shared" si="43"/>
        <v>SAB</v>
      </c>
      <c r="D518" t="str">
        <f t="shared" si="44"/>
        <v>Sábado</v>
      </c>
      <c r="I518" t="str">
        <f t="shared" si="40"/>
        <v>5-2037SAB</v>
      </c>
      <c r="J518" t="s">
        <v>258</v>
      </c>
      <c r="K518" t="s">
        <v>41</v>
      </c>
      <c r="L518">
        <f t="shared" si="41"/>
        <v>5</v>
      </c>
    </row>
    <row r="519" spans="1:12" x14ac:dyDescent="0.25">
      <c r="A519" s="88" t="str">
        <f t="shared" si="42"/>
        <v>6-2024</v>
      </c>
      <c r="B519" s="86">
        <v>45445</v>
      </c>
      <c r="C519" t="str">
        <f t="shared" si="43"/>
        <v>DOM</v>
      </c>
      <c r="D519" t="str">
        <f t="shared" si="44"/>
        <v>Domingo</v>
      </c>
      <c r="I519" t="str">
        <f t="shared" si="40"/>
        <v>5-2037DOM</v>
      </c>
      <c r="J519" t="s">
        <v>258</v>
      </c>
      <c r="K519" t="s">
        <v>43</v>
      </c>
      <c r="L519">
        <f t="shared" si="41"/>
        <v>5</v>
      </c>
    </row>
    <row r="520" spans="1:12" x14ac:dyDescent="0.25">
      <c r="A520" s="88" t="str">
        <f t="shared" si="42"/>
        <v>6-2024</v>
      </c>
      <c r="B520" s="86">
        <v>45446</v>
      </c>
      <c r="C520" t="str">
        <f t="shared" si="43"/>
        <v>L-V</v>
      </c>
      <c r="D520" t="str">
        <f t="shared" si="44"/>
        <v>Lunes</v>
      </c>
      <c r="I520" t="str">
        <f t="shared" si="40"/>
        <v>6-2037L-V</v>
      </c>
      <c r="J520" t="s">
        <v>259</v>
      </c>
      <c r="K520" t="s">
        <v>40</v>
      </c>
      <c r="L520">
        <f t="shared" si="41"/>
        <v>22</v>
      </c>
    </row>
    <row r="521" spans="1:12" x14ac:dyDescent="0.25">
      <c r="A521" s="88" t="str">
        <f t="shared" si="42"/>
        <v>6-2024</v>
      </c>
      <c r="B521" s="86">
        <v>45447</v>
      </c>
      <c r="C521" t="str">
        <f t="shared" si="43"/>
        <v>L-V</v>
      </c>
      <c r="D521" t="str">
        <f t="shared" si="44"/>
        <v>Martes</v>
      </c>
      <c r="I521" t="str">
        <f t="shared" si="40"/>
        <v>6-2037SAB</v>
      </c>
      <c r="J521" t="s">
        <v>259</v>
      </c>
      <c r="K521" t="s">
        <v>41</v>
      </c>
      <c r="L521">
        <f t="shared" si="41"/>
        <v>4</v>
      </c>
    </row>
    <row r="522" spans="1:12" x14ac:dyDescent="0.25">
      <c r="A522" s="88" t="str">
        <f t="shared" si="42"/>
        <v>6-2024</v>
      </c>
      <c r="B522" s="86">
        <v>45448</v>
      </c>
      <c r="C522" t="str">
        <f t="shared" si="43"/>
        <v>L-V</v>
      </c>
      <c r="D522" t="str">
        <f t="shared" si="44"/>
        <v>Miércoles</v>
      </c>
      <c r="I522" t="str">
        <f t="shared" si="40"/>
        <v>6-2037DOM</v>
      </c>
      <c r="J522" t="s">
        <v>259</v>
      </c>
      <c r="K522" t="s">
        <v>43</v>
      </c>
      <c r="L522">
        <f t="shared" si="41"/>
        <v>4</v>
      </c>
    </row>
    <row r="523" spans="1:12" x14ac:dyDescent="0.25">
      <c r="A523" s="88" t="str">
        <f t="shared" si="42"/>
        <v>6-2024</v>
      </c>
      <c r="B523" s="86">
        <v>45449</v>
      </c>
      <c r="C523" t="str">
        <f t="shared" si="43"/>
        <v>L-V</v>
      </c>
      <c r="D523" t="str">
        <f t="shared" si="44"/>
        <v>Jueves</v>
      </c>
      <c r="I523" t="str">
        <f t="shared" si="40"/>
        <v>7-2037L-V</v>
      </c>
      <c r="J523" t="s">
        <v>260</v>
      </c>
      <c r="K523" t="s">
        <v>40</v>
      </c>
      <c r="L523">
        <f t="shared" si="41"/>
        <v>23</v>
      </c>
    </row>
    <row r="524" spans="1:12" x14ac:dyDescent="0.25">
      <c r="A524" s="88" t="str">
        <f t="shared" si="42"/>
        <v>6-2024</v>
      </c>
      <c r="B524" s="86">
        <v>45450</v>
      </c>
      <c r="C524" t="str">
        <f t="shared" si="43"/>
        <v>L-V</v>
      </c>
      <c r="D524" t="str">
        <f t="shared" si="44"/>
        <v>Viernes</v>
      </c>
      <c r="I524" t="str">
        <f t="shared" si="40"/>
        <v>7-2037SAB</v>
      </c>
      <c r="J524" t="s">
        <v>260</v>
      </c>
      <c r="K524" t="s">
        <v>41</v>
      </c>
      <c r="L524">
        <f t="shared" si="41"/>
        <v>4</v>
      </c>
    </row>
    <row r="525" spans="1:12" x14ac:dyDescent="0.25">
      <c r="A525" s="88" t="str">
        <f t="shared" si="42"/>
        <v>6-2024</v>
      </c>
      <c r="B525" s="86">
        <v>45451</v>
      </c>
      <c r="C525" t="str">
        <f t="shared" si="43"/>
        <v>SAB</v>
      </c>
      <c r="D525" t="str">
        <f t="shared" si="44"/>
        <v>Sábado</v>
      </c>
      <c r="I525" t="str">
        <f t="shared" si="40"/>
        <v>7-2037DOM</v>
      </c>
      <c r="J525" t="s">
        <v>260</v>
      </c>
      <c r="K525" t="s">
        <v>43</v>
      </c>
      <c r="L525">
        <f t="shared" si="41"/>
        <v>4</v>
      </c>
    </row>
    <row r="526" spans="1:12" x14ac:dyDescent="0.25">
      <c r="A526" s="88" t="str">
        <f t="shared" si="42"/>
        <v>6-2024</v>
      </c>
      <c r="B526" s="86">
        <v>45452</v>
      </c>
      <c r="C526" t="str">
        <f t="shared" si="43"/>
        <v>DOM</v>
      </c>
      <c r="D526" t="str">
        <f t="shared" si="44"/>
        <v>Domingo</v>
      </c>
      <c r="I526" t="str">
        <f t="shared" si="40"/>
        <v>8-2037SAB</v>
      </c>
      <c r="J526" t="s">
        <v>261</v>
      </c>
      <c r="K526" t="s">
        <v>41</v>
      </c>
      <c r="L526">
        <f t="shared" si="41"/>
        <v>5</v>
      </c>
    </row>
    <row r="527" spans="1:12" x14ac:dyDescent="0.25">
      <c r="A527" s="88" t="str">
        <f t="shared" si="42"/>
        <v>6-2024</v>
      </c>
      <c r="B527" s="86">
        <v>45453</v>
      </c>
      <c r="C527" t="str">
        <f t="shared" si="43"/>
        <v>L-V</v>
      </c>
      <c r="D527" t="str">
        <f t="shared" si="44"/>
        <v>Lunes</v>
      </c>
      <c r="I527" t="str">
        <f t="shared" si="40"/>
        <v>8-2037DOM</v>
      </c>
      <c r="J527" t="s">
        <v>261</v>
      </c>
      <c r="K527" t="s">
        <v>43</v>
      </c>
      <c r="L527">
        <f t="shared" si="41"/>
        <v>5</v>
      </c>
    </row>
    <row r="528" spans="1:12" x14ac:dyDescent="0.25">
      <c r="A528" s="88" t="str">
        <f t="shared" si="42"/>
        <v>6-2024</v>
      </c>
      <c r="B528" s="86">
        <v>45454</v>
      </c>
      <c r="C528" t="str">
        <f t="shared" si="43"/>
        <v>L-V</v>
      </c>
      <c r="D528" t="str">
        <f t="shared" si="44"/>
        <v>Martes</v>
      </c>
      <c r="I528" t="str">
        <f t="shared" si="40"/>
        <v>8-2037L-V</v>
      </c>
      <c r="J528" t="s">
        <v>261</v>
      </c>
      <c r="K528" t="s">
        <v>40</v>
      </c>
      <c r="L528">
        <f t="shared" si="41"/>
        <v>21</v>
      </c>
    </row>
    <row r="529" spans="1:12" x14ac:dyDescent="0.25">
      <c r="A529" s="88" t="str">
        <f t="shared" si="42"/>
        <v>6-2024</v>
      </c>
      <c r="B529" s="86">
        <v>45455</v>
      </c>
      <c r="C529" t="str">
        <f t="shared" si="43"/>
        <v>L-V</v>
      </c>
      <c r="D529" t="str">
        <f t="shared" si="44"/>
        <v>Miércoles</v>
      </c>
      <c r="I529" t="str">
        <f t="shared" si="40"/>
        <v>9-2037L-V</v>
      </c>
      <c r="J529" t="s">
        <v>262</v>
      </c>
      <c r="K529" t="s">
        <v>40</v>
      </c>
      <c r="L529">
        <f t="shared" si="41"/>
        <v>22</v>
      </c>
    </row>
    <row r="530" spans="1:12" x14ac:dyDescent="0.25">
      <c r="A530" s="88" t="str">
        <f t="shared" si="42"/>
        <v>6-2024</v>
      </c>
      <c r="B530" s="86">
        <v>45456</v>
      </c>
      <c r="C530" t="str">
        <f t="shared" si="43"/>
        <v>L-V</v>
      </c>
      <c r="D530" t="str">
        <f t="shared" si="44"/>
        <v>Jueves</v>
      </c>
      <c r="I530" t="str">
        <f t="shared" si="40"/>
        <v>9-2037SAB</v>
      </c>
      <c r="J530" t="s">
        <v>262</v>
      </c>
      <c r="K530" t="s">
        <v>41</v>
      </c>
      <c r="L530">
        <f t="shared" si="41"/>
        <v>4</v>
      </c>
    </row>
    <row r="531" spans="1:12" x14ac:dyDescent="0.25">
      <c r="A531" s="88" t="str">
        <f t="shared" si="42"/>
        <v>6-2024</v>
      </c>
      <c r="B531" s="86">
        <v>45457</v>
      </c>
      <c r="C531" t="str">
        <f t="shared" si="43"/>
        <v>L-V</v>
      </c>
      <c r="D531" t="str">
        <f t="shared" si="44"/>
        <v>Viernes</v>
      </c>
      <c r="I531" t="str">
        <f t="shared" si="40"/>
        <v>9-2037DOM</v>
      </c>
      <c r="J531" t="s">
        <v>262</v>
      </c>
      <c r="K531" t="s">
        <v>43</v>
      </c>
      <c r="L531">
        <f t="shared" si="41"/>
        <v>4</v>
      </c>
    </row>
    <row r="532" spans="1:12" x14ac:dyDescent="0.25">
      <c r="A532" s="88" t="str">
        <f t="shared" si="42"/>
        <v>6-2024</v>
      </c>
      <c r="B532" s="86">
        <v>45458</v>
      </c>
      <c r="C532" t="str">
        <f t="shared" si="43"/>
        <v>SAB</v>
      </c>
      <c r="D532" t="str">
        <f t="shared" si="44"/>
        <v>Sábado</v>
      </c>
      <c r="I532" t="str">
        <f t="shared" si="40"/>
        <v>10-2037L-V</v>
      </c>
      <c r="J532" t="s">
        <v>263</v>
      </c>
      <c r="K532" t="s">
        <v>40</v>
      </c>
      <c r="L532">
        <f t="shared" si="41"/>
        <v>22</v>
      </c>
    </row>
    <row r="533" spans="1:12" x14ac:dyDescent="0.25">
      <c r="A533" s="88" t="str">
        <f t="shared" si="42"/>
        <v>6-2024</v>
      </c>
      <c r="B533" s="86">
        <v>45459</v>
      </c>
      <c r="C533" t="str">
        <f t="shared" si="43"/>
        <v>DOM</v>
      </c>
      <c r="D533" t="str">
        <f t="shared" si="44"/>
        <v>Domingo</v>
      </c>
      <c r="I533" t="str">
        <f t="shared" si="40"/>
        <v>10-2037SAB</v>
      </c>
      <c r="J533" t="s">
        <v>263</v>
      </c>
      <c r="K533" t="s">
        <v>41</v>
      </c>
      <c r="L533">
        <f t="shared" si="41"/>
        <v>5</v>
      </c>
    </row>
    <row r="534" spans="1:12" x14ac:dyDescent="0.25">
      <c r="A534" s="88" t="str">
        <f t="shared" si="42"/>
        <v>6-2024</v>
      </c>
      <c r="B534" s="86">
        <v>45460</v>
      </c>
      <c r="C534" t="str">
        <f t="shared" si="43"/>
        <v>L-V</v>
      </c>
      <c r="D534" t="str">
        <f t="shared" si="44"/>
        <v>Lunes</v>
      </c>
      <c r="I534" t="str">
        <f t="shared" si="40"/>
        <v>10-2037DOM</v>
      </c>
      <c r="J534" t="s">
        <v>263</v>
      </c>
      <c r="K534" t="s">
        <v>43</v>
      </c>
      <c r="L534">
        <f t="shared" si="41"/>
        <v>4</v>
      </c>
    </row>
    <row r="535" spans="1:12" x14ac:dyDescent="0.25">
      <c r="A535" s="88" t="str">
        <f t="shared" si="42"/>
        <v>6-2024</v>
      </c>
      <c r="B535" s="86">
        <v>45461</v>
      </c>
      <c r="C535" t="str">
        <f t="shared" si="43"/>
        <v>L-V</v>
      </c>
      <c r="D535" t="str">
        <f t="shared" si="44"/>
        <v>Martes</v>
      </c>
      <c r="I535" t="str">
        <f t="shared" si="40"/>
        <v>11-2037DOM</v>
      </c>
      <c r="J535" t="s">
        <v>264</v>
      </c>
      <c r="K535" t="s">
        <v>43</v>
      </c>
      <c r="L535">
        <f t="shared" si="41"/>
        <v>5</v>
      </c>
    </row>
    <row r="536" spans="1:12" x14ac:dyDescent="0.25">
      <c r="A536" s="88" t="str">
        <f t="shared" si="42"/>
        <v>6-2024</v>
      </c>
      <c r="B536" s="86">
        <v>45462</v>
      </c>
      <c r="C536" t="str">
        <f t="shared" si="43"/>
        <v>L-V</v>
      </c>
      <c r="D536" t="str">
        <f t="shared" si="44"/>
        <v>Miércoles</v>
      </c>
      <c r="I536" t="str">
        <f t="shared" si="40"/>
        <v>11-2037L-V</v>
      </c>
      <c r="J536" t="s">
        <v>264</v>
      </c>
      <c r="K536" t="s">
        <v>40</v>
      </c>
      <c r="L536">
        <f t="shared" si="41"/>
        <v>21</v>
      </c>
    </row>
    <row r="537" spans="1:12" x14ac:dyDescent="0.25">
      <c r="A537" s="88" t="str">
        <f t="shared" si="42"/>
        <v>6-2024</v>
      </c>
      <c r="B537" s="86">
        <v>45463</v>
      </c>
      <c r="C537" t="str">
        <f t="shared" si="43"/>
        <v>L-V</v>
      </c>
      <c r="D537" t="str">
        <f t="shared" si="44"/>
        <v>Jueves</v>
      </c>
      <c r="I537" t="str">
        <f t="shared" si="40"/>
        <v>11-2037SAB</v>
      </c>
      <c r="J537" t="s">
        <v>264</v>
      </c>
      <c r="K537" t="s">
        <v>41</v>
      </c>
      <c r="L537">
        <f t="shared" si="41"/>
        <v>4</v>
      </c>
    </row>
    <row r="538" spans="1:12" x14ac:dyDescent="0.25">
      <c r="A538" s="88" t="str">
        <f t="shared" si="42"/>
        <v>6-2024</v>
      </c>
      <c r="B538" s="86">
        <v>45464</v>
      </c>
      <c r="C538" t="str">
        <f t="shared" si="43"/>
        <v>L-V</v>
      </c>
      <c r="D538" t="str">
        <f t="shared" si="44"/>
        <v>Viernes</v>
      </c>
      <c r="I538" t="str">
        <f t="shared" si="40"/>
        <v>12-2037L-V</v>
      </c>
      <c r="J538" t="s">
        <v>265</v>
      </c>
      <c r="K538" t="s">
        <v>40</v>
      </c>
      <c r="L538">
        <f t="shared" si="41"/>
        <v>23</v>
      </c>
    </row>
    <row r="539" spans="1:12" x14ac:dyDescent="0.25">
      <c r="A539" s="88" t="str">
        <f t="shared" si="42"/>
        <v>6-2024</v>
      </c>
      <c r="B539" s="86">
        <v>45465</v>
      </c>
      <c r="C539" t="str">
        <f t="shared" si="43"/>
        <v>SAB</v>
      </c>
      <c r="D539" t="str">
        <f t="shared" si="44"/>
        <v>Sábado</v>
      </c>
      <c r="I539" t="str">
        <f t="shared" si="40"/>
        <v>12-2037SAB</v>
      </c>
      <c r="J539" t="s">
        <v>265</v>
      </c>
      <c r="K539" t="s">
        <v>41</v>
      </c>
      <c r="L539">
        <f t="shared" si="41"/>
        <v>4</v>
      </c>
    </row>
    <row r="540" spans="1:12" x14ac:dyDescent="0.25">
      <c r="A540" s="88" t="str">
        <f t="shared" si="42"/>
        <v>6-2024</v>
      </c>
      <c r="B540" s="86">
        <v>45466</v>
      </c>
      <c r="C540" t="str">
        <f t="shared" si="43"/>
        <v>DOM</v>
      </c>
      <c r="D540" t="str">
        <f t="shared" si="44"/>
        <v>Domingo</v>
      </c>
      <c r="I540" t="str">
        <f t="shared" si="40"/>
        <v>12-2037DOM</v>
      </c>
      <c r="J540" t="s">
        <v>265</v>
      </c>
      <c r="K540" t="s">
        <v>43</v>
      </c>
      <c r="L540">
        <f t="shared" si="41"/>
        <v>4</v>
      </c>
    </row>
    <row r="541" spans="1:12" x14ac:dyDescent="0.25">
      <c r="A541" s="88" t="str">
        <f t="shared" si="42"/>
        <v>6-2024</v>
      </c>
      <c r="B541" s="86">
        <v>45467</v>
      </c>
      <c r="C541" t="str">
        <f t="shared" si="43"/>
        <v>L-V</v>
      </c>
      <c r="D541" t="str">
        <f t="shared" si="44"/>
        <v>Lunes</v>
      </c>
      <c r="I541" t="str">
        <f t="shared" si="40"/>
        <v>1-2038L-V</v>
      </c>
      <c r="J541" t="s">
        <v>266</v>
      </c>
      <c r="K541" t="s">
        <v>40</v>
      </c>
      <c r="L541">
        <f t="shared" si="41"/>
        <v>21</v>
      </c>
    </row>
    <row r="542" spans="1:12" x14ac:dyDescent="0.25">
      <c r="A542" s="88" t="str">
        <f t="shared" si="42"/>
        <v>6-2024</v>
      </c>
      <c r="B542" s="86">
        <v>45468</v>
      </c>
      <c r="C542" t="str">
        <f t="shared" si="43"/>
        <v>L-V</v>
      </c>
      <c r="D542" t="str">
        <f t="shared" si="44"/>
        <v>Martes</v>
      </c>
      <c r="I542" t="str">
        <f t="shared" si="40"/>
        <v>1-2038SAB</v>
      </c>
      <c r="J542" t="s">
        <v>266</v>
      </c>
      <c r="K542" t="s">
        <v>41</v>
      </c>
      <c r="L542">
        <f t="shared" si="41"/>
        <v>5</v>
      </c>
    </row>
    <row r="543" spans="1:12" x14ac:dyDescent="0.25">
      <c r="A543" s="88" t="str">
        <f t="shared" si="42"/>
        <v>6-2024</v>
      </c>
      <c r="B543" s="86">
        <v>45469</v>
      </c>
      <c r="C543" t="str">
        <f t="shared" si="43"/>
        <v>L-V</v>
      </c>
      <c r="D543" t="str">
        <f t="shared" si="44"/>
        <v>Miércoles</v>
      </c>
      <c r="I543" t="str">
        <f t="shared" si="40"/>
        <v>1-2038DOM</v>
      </c>
      <c r="J543" t="s">
        <v>266</v>
      </c>
      <c r="K543" t="s">
        <v>43</v>
      </c>
      <c r="L543">
        <f t="shared" si="41"/>
        <v>5</v>
      </c>
    </row>
    <row r="544" spans="1:12" x14ac:dyDescent="0.25">
      <c r="A544" s="88" t="str">
        <f t="shared" si="42"/>
        <v>6-2024</v>
      </c>
      <c r="B544" s="86">
        <v>45470</v>
      </c>
      <c r="C544" t="str">
        <f t="shared" si="43"/>
        <v>L-V</v>
      </c>
      <c r="D544" t="str">
        <f t="shared" si="44"/>
        <v>Jueves</v>
      </c>
      <c r="I544" t="str">
        <f t="shared" si="40"/>
        <v>2-2038L-V</v>
      </c>
      <c r="J544" t="s">
        <v>267</v>
      </c>
      <c r="K544" t="s">
        <v>40</v>
      </c>
      <c r="L544">
        <f t="shared" si="41"/>
        <v>20</v>
      </c>
    </row>
    <row r="545" spans="1:12" x14ac:dyDescent="0.25">
      <c r="A545" s="88" t="str">
        <f t="shared" si="42"/>
        <v>6-2024</v>
      </c>
      <c r="B545" s="86">
        <v>45471</v>
      </c>
      <c r="C545" t="str">
        <f t="shared" si="43"/>
        <v>L-V</v>
      </c>
      <c r="D545" t="str">
        <f t="shared" si="44"/>
        <v>Viernes</v>
      </c>
      <c r="I545" t="str">
        <f t="shared" si="40"/>
        <v>2-2038SAB</v>
      </c>
      <c r="J545" t="s">
        <v>267</v>
      </c>
      <c r="K545" t="s">
        <v>41</v>
      </c>
      <c r="L545">
        <f t="shared" si="41"/>
        <v>4</v>
      </c>
    </row>
    <row r="546" spans="1:12" x14ac:dyDescent="0.25">
      <c r="A546" s="88" t="str">
        <f t="shared" si="42"/>
        <v>6-2024</v>
      </c>
      <c r="B546" s="86">
        <v>45472</v>
      </c>
      <c r="C546" t="str">
        <f t="shared" si="43"/>
        <v>SAB</v>
      </c>
      <c r="D546" t="str">
        <f t="shared" si="44"/>
        <v>Sábado</v>
      </c>
      <c r="I546" t="str">
        <f t="shared" si="40"/>
        <v>2-2038DOM</v>
      </c>
      <c r="J546" t="s">
        <v>267</v>
      </c>
      <c r="K546" t="s">
        <v>43</v>
      </c>
      <c r="L546">
        <f t="shared" si="41"/>
        <v>4</v>
      </c>
    </row>
    <row r="547" spans="1:12" x14ac:dyDescent="0.25">
      <c r="A547" s="88" t="str">
        <f t="shared" si="42"/>
        <v>6-2024</v>
      </c>
      <c r="B547" s="86">
        <v>45473</v>
      </c>
      <c r="C547" t="str">
        <f t="shared" si="43"/>
        <v>DOM</v>
      </c>
      <c r="D547" t="str">
        <f t="shared" si="44"/>
        <v>Domingo</v>
      </c>
      <c r="I547" t="str">
        <f t="shared" si="40"/>
        <v>3-2038L-V</v>
      </c>
      <c r="J547" t="s">
        <v>234</v>
      </c>
      <c r="K547" t="s">
        <v>40</v>
      </c>
      <c r="L547">
        <f t="shared" si="41"/>
        <v>23</v>
      </c>
    </row>
    <row r="548" spans="1:12" x14ac:dyDescent="0.25">
      <c r="A548" s="88" t="str">
        <f t="shared" si="42"/>
        <v>7-2024</v>
      </c>
      <c r="B548" s="86">
        <v>45474</v>
      </c>
      <c r="C548" t="str">
        <f t="shared" si="43"/>
        <v>L-V</v>
      </c>
      <c r="D548" t="str">
        <f t="shared" si="44"/>
        <v>Lunes</v>
      </c>
      <c r="I548" t="str">
        <f t="shared" si="40"/>
        <v>3-2038SAB</v>
      </c>
      <c r="J548" t="s">
        <v>234</v>
      </c>
      <c r="K548" t="s">
        <v>41</v>
      </c>
      <c r="L548">
        <f t="shared" si="41"/>
        <v>4</v>
      </c>
    </row>
    <row r="549" spans="1:12" x14ac:dyDescent="0.25">
      <c r="A549" s="88" t="str">
        <f t="shared" si="42"/>
        <v>7-2024</v>
      </c>
      <c r="B549" s="86">
        <v>45475</v>
      </c>
      <c r="C549" t="str">
        <f t="shared" si="43"/>
        <v>L-V</v>
      </c>
      <c r="D549" t="str">
        <f t="shared" si="44"/>
        <v>Martes</v>
      </c>
      <c r="I549" t="str">
        <f t="shared" si="40"/>
        <v>3-2038DOM</v>
      </c>
      <c r="J549" t="s">
        <v>234</v>
      </c>
      <c r="K549" t="s">
        <v>43</v>
      </c>
      <c r="L549">
        <f t="shared" si="41"/>
        <v>4</v>
      </c>
    </row>
    <row r="550" spans="1:12" x14ac:dyDescent="0.25">
      <c r="A550" s="88" t="str">
        <f t="shared" si="42"/>
        <v>7-2024</v>
      </c>
      <c r="B550" s="86">
        <v>45476</v>
      </c>
      <c r="C550" t="str">
        <f t="shared" si="43"/>
        <v>L-V</v>
      </c>
      <c r="D550" t="str">
        <f t="shared" si="44"/>
        <v>Miércoles</v>
      </c>
      <c r="I550" t="str">
        <f t="shared" si="40"/>
        <v>4-2038L-V</v>
      </c>
      <c r="J550" t="s">
        <v>268</v>
      </c>
      <c r="K550" t="s">
        <v>40</v>
      </c>
      <c r="L550">
        <f t="shared" si="41"/>
        <v>22</v>
      </c>
    </row>
    <row r="551" spans="1:12" x14ac:dyDescent="0.25">
      <c r="A551" s="88" t="str">
        <f t="shared" si="42"/>
        <v>7-2024</v>
      </c>
      <c r="B551" s="86">
        <v>45477</v>
      </c>
      <c r="C551" t="str">
        <f t="shared" si="43"/>
        <v>L-V</v>
      </c>
      <c r="D551" t="str">
        <f t="shared" si="44"/>
        <v>Jueves</v>
      </c>
      <c r="I551" t="str">
        <f t="shared" si="40"/>
        <v>4-2038SAB</v>
      </c>
      <c r="J551" t="s">
        <v>268</v>
      </c>
      <c r="K551" t="s">
        <v>41</v>
      </c>
      <c r="L551">
        <f t="shared" si="41"/>
        <v>4</v>
      </c>
    </row>
    <row r="552" spans="1:12" x14ac:dyDescent="0.25">
      <c r="A552" s="88" t="str">
        <f t="shared" si="42"/>
        <v>7-2024</v>
      </c>
      <c r="B552" s="86">
        <v>45478</v>
      </c>
      <c r="C552" t="str">
        <f t="shared" si="43"/>
        <v>L-V</v>
      </c>
      <c r="D552" t="str">
        <f t="shared" si="44"/>
        <v>Viernes</v>
      </c>
      <c r="I552" t="str">
        <f t="shared" si="40"/>
        <v>4-2038DOM</v>
      </c>
      <c r="J552" t="s">
        <v>268</v>
      </c>
      <c r="K552" t="s">
        <v>43</v>
      </c>
      <c r="L552">
        <f t="shared" si="41"/>
        <v>4</v>
      </c>
    </row>
    <row r="553" spans="1:12" x14ac:dyDescent="0.25">
      <c r="A553" s="88" t="str">
        <f t="shared" si="42"/>
        <v>7-2024</v>
      </c>
      <c r="B553" s="86">
        <v>45479</v>
      </c>
      <c r="C553" t="str">
        <f t="shared" si="43"/>
        <v>SAB</v>
      </c>
      <c r="D553" t="str">
        <f t="shared" si="44"/>
        <v>Sábado</v>
      </c>
      <c r="I553" t="str">
        <f t="shared" si="40"/>
        <v>5-2038SAB</v>
      </c>
      <c r="J553" t="s">
        <v>269</v>
      </c>
      <c r="K553" t="s">
        <v>41</v>
      </c>
      <c r="L553">
        <f t="shared" si="41"/>
        <v>5</v>
      </c>
    </row>
    <row r="554" spans="1:12" x14ac:dyDescent="0.25">
      <c r="A554" s="88" t="str">
        <f t="shared" si="42"/>
        <v>7-2024</v>
      </c>
      <c r="B554" s="86">
        <v>45480</v>
      </c>
      <c r="C554" t="str">
        <f t="shared" si="43"/>
        <v>DOM</v>
      </c>
      <c r="D554" t="str">
        <f t="shared" si="44"/>
        <v>Domingo</v>
      </c>
      <c r="I554" t="str">
        <f t="shared" si="40"/>
        <v>5-2038DOM</v>
      </c>
      <c r="J554" t="s">
        <v>269</v>
      </c>
      <c r="K554" t="s">
        <v>43</v>
      </c>
      <c r="L554">
        <f t="shared" si="41"/>
        <v>5</v>
      </c>
    </row>
    <row r="555" spans="1:12" x14ac:dyDescent="0.25">
      <c r="A555" s="88" t="str">
        <f t="shared" si="42"/>
        <v>7-2024</v>
      </c>
      <c r="B555" s="86">
        <v>45481</v>
      </c>
      <c r="C555" t="str">
        <f t="shared" si="43"/>
        <v>L-V</v>
      </c>
      <c r="D555" t="str">
        <f t="shared" si="44"/>
        <v>Lunes</v>
      </c>
      <c r="I555" t="str">
        <f t="shared" si="40"/>
        <v>5-2038L-V</v>
      </c>
      <c r="J555" t="s">
        <v>269</v>
      </c>
      <c r="K555" t="s">
        <v>40</v>
      </c>
      <c r="L555">
        <f t="shared" si="41"/>
        <v>21</v>
      </c>
    </row>
    <row r="556" spans="1:12" x14ac:dyDescent="0.25">
      <c r="A556" s="88" t="str">
        <f t="shared" si="42"/>
        <v>7-2024</v>
      </c>
      <c r="B556" s="86">
        <v>45482</v>
      </c>
      <c r="C556" t="str">
        <f t="shared" si="43"/>
        <v>L-V</v>
      </c>
      <c r="D556" t="str">
        <f t="shared" si="44"/>
        <v>Martes</v>
      </c>
      <c r="I556" t="str">
        <f t="shared" si="40"/>
        <v>6-2038L-V</v>
      </c>
      <c r="J556" t="s">
        <v>270</v>
      </c>
      <c r="K556" t="s">
        <v>40</v>
      </c>
      <c r="L556">
        <f t="shared" si="41"/>
        <v>22</v>
      </c>
    </row>
    <row r="557" spans="1:12" x14ac:dyDescent="0.25">
      <c r="A557" s="88" t="str">
        <f t="shared" si="42"/>
        <v>7-2024</v>
      </c>
      <c r="B557" s="86">
        <v>45483</v>
      </c>
      <c r="C557" t="str">
        <f t="shared" si="43"/>
        <v>L-V</v>
      </c>
      <c r="D557" t="str">
        <f t="shared" si="44"/>
        <v>Miércoles</v>
      </c>
      <c r="I557" t="str">
        <f t="shared" si="40"/>
        <v>6-2038SAB</v>
      </c>
      <c r="J557" t="s">
        <v>270</v>
      </c>
      <c r="K557" t="s">
        <v>41</v>
      </c>
      <c r="L557">
        <f t="shared" si="41"/>
        <v>4</v>
      </c>
    </row>
    <row r="558" spans="1:12" x14ac:dyDescent="0.25">
      <c r="A558" s="88" t="str">
        <f t="shared" si="42"/>
        <v>7-2024</v>
      </c>
      <c r="B558" s="86">
        <v>45484</v>
      </c>
      <c r="C558" t="str">
        <f t="shared" si="43"/>
        <v>L-V</v>
      </c>
      <c r="D558" t="str">
        <f t="shared" si="44"/>
        <v>Jueves</v>
      </c>
      <c r="I558" t="str">
        <f t="shared" si="40"/>
        <v>6-2038DOM</v>
      </c>
      <c r="J558" t="s">
        <v>270</v>
      </c>
      <c r="K558" t="s">
        <v>43</v>
      </c>
      <c r="L558">
        <f t="shared" si="41"/>
        <v>4</v>
      </c>
    </row>
    <row r="559" spans="1:12" x14ac:dyDescent="0.25">
      <c r="A559" s="88" t="str">
        <f t="shared" si="42"/>
        <v>7-2024</v>
      </c>
      <c r="B559" s="86">
        <v>45485</v>
      </c>
      <c r="C559" t="str">
        <f t="shared" si="43"/>
        <v>L-V</v>
      </c>
      <c r="D559" t="str">
        <f t="shared" si="44"/>
        <v>Viernes</v>
      </c>
      <c r="I559" t="str">
        <f t="shared" si="40"/>
        <v>7-2038L-V</v>
      </c>
      <c r="J559" t="s">
        <v>271</v>
      </c>
      <c r="K559" t="s">
        <v>40</v>
      </c>
      <c r="L559">
        <f t="shared" si="41"/>
        <v>22</v>
      </c>
    </row>
    <row r="560" spans="1:12" x14ac:dyDescent="0.25">
      <c r="A560" s="88" t="str">
        <f t="shared" si="42"/>
        <v>7-2024</v>
      </c>
      <c r="B560" s="86">
        <v>45486</v>
      </c>
      <c r="C560" t="str">
        <f t="shared" si="43"/>
        <v>SAB</v>
      </c>
      <c r="D560" t="str">
        <f t="shared" si="44"/>
        <v>Sábado</v>
      </c>
      <c r="I560" t="str">
        <f t="shared" si="40"/>
        <v>7-2038SAB</v>
      </c>
      <c r="J560" t="s">
        <v>271</v>
      </c>
      <c r="K560" t="s">
        <v>41</v>
      </c>
      <c r="L560">
        <f t="shared" si="41"/>
        <v>5</v>
      </c>
    </row>
    <row r="561" spans="1:12" x14ac:dyDescent="0.25">
      <c r="A561" s="88" t="str">
        <f t="shared" si="42"/>
        <v>7-2024</v>
      </c>
      <c r="B561" s="86">
        <v>45487</v>
      </c>
      <c r="C561" t="str">
        <f t="shared" si="43"/>
        <v>DOM</v>
      </c>
      <c r="D561" t="str">
        <f t="shared" si="44"/>
        <v>Domingo</v>
      </c>
      <c r="I561" t="str">
        <f t="shared" si="40"/>
        <v>7-2038DOM</v>
      </c>
      <c r="J561" t="s">
        <v>271</v>
      </c>
      <c r="K561" t="s">
        <v>43</v>
      </c>
      <c r="L561">
        <f t="shared" si="41"/>
        <v>4</v>
      </c>
    </row>
    <row r="562" spans="1:12" x14ac:dyDescent="0.25">
      <c r="A562" s="88" t="str">
        <f t="shared" si="42"/>
        <v>7-2024</v>
      </c>
      <c r="B562" s="86">
        <v>45488</v>
      </c>
      <c r="C562" t="str">
        <f t="shared" si="43"/>
        <v>L-V</v>
      </c>
      <c r="D562" t="str">
        <f t="shared" si="44"/>
        <v>Lunes</v>
      </c>
      <c r="I562" t="str">
        <f t="shared" si="40"/>
        <v>8-2038DOM</v>
      </c>
      <c r="J562" t="s">
        <v>272</v>
      </c>
      <c r="K562" t="s">
        <v>43</v>
      </c>
      <c r="L562">
        <f t="shared" si="41"/>
        <v>5</v>
      </c>
    </row>
    <row r="563" spans="1:12" x14ac:dyDescent="0.25">
      <c r="A563" s="88" t="str">
        <f t="shared" si="42"/>
        <v>7-2024</v>
      </c>
      <c r="B563" s="86">
        <v>45489</v>
      </c>
      <c r="C563" t="str">
        <f t="shared" si="43"/>
        <v>L-V</v>
      </c>
      <c r="D563" t="str">
        <f t="shared" si="44"/>
        <v>Martes</v>
      </c>
      <c r="I563" t="str">
        <f t="shared" si="40"/>
        <v>8-2038L-V</v>
      </c>
      <c r="J563" t="s">
        <v>272</v>
      </c>
      <c r="K563" t="s">
        <v>40</v>
      </c>
      <c r="L563">
        <f t="shared" si="41"/>
        <v>22</v>
      </c>
    </row>
    <row r="564" spans="1:12" x14ac:dyDescent="0.25">
      <c r="A564" s="88" t="str">
        <f t="shared" si="42"/>
        <v>7-2024</v>
      </c>
      <c r="B564" s="86">
        <v>45490</v>
      </c>
      <c r="C564" t="str">
        <f t="shared" si="43"/>
        <v>L-V</v>
      </c>
      <c r="D564" t="str">
        <f t="shared" si="44"/>
        <v>Miércoles</v>
      </c>
      <c r="I564" t="str">
        <f t="shared" si="40"/>
        <v>8-2038SAB</v>
      </c>
      <c r="J564" t="s">
        <v>272</v>
      </c>
      <c r="K564" t="s">
        <v>41</v>
      </c>
      <c r="L564">
        <f t="shared" si="41"/>
        <v>4</v>
      </c>
    </row>
    <row r="565" spans="1:12" x14ac:dyDescent="0.25">
      <c r="A565" s="88" t="str">
        <f t="shared" si="42"/>
        <v>7-2024</v>
      </c>
      <c r="B565" s="86">
        <v>45491</v>
      </c>
      <c r="C565" t="str">
        <f t="shared" si="43"/>
        <v>L-V</v>
      </c>
      <c r="D565" t="str">
        <f t="shared" si="44"/>
        <v>Jueves</v>
      </c>
      <c r="I565" t="str">
        <f t="shared" si="40"/>
        <v>9-2038L-V</v>
      </c>
      <c r="J565" t="s">
        <v>273</v>
      </c>
      <c r="K565" t="s">
        <v>40</v>
      </c>
      <c r="L565">
        <f t="shared" si="41"/>
        <v>22</v>
      </c>
    </row>
    <row r="566" spans="1:12" x14ac:dyDescent="0.25">
      <c r="A566" s="88" t="str">
        <f t="shared" si="42"/>
        <v>7-2024</v>
      </c>
      <c r="B566" s="86">
        <v>45492</v>
      </c>
      <c r="C566" t="str">
        <f t="shared" si="43"/>
        <v>L-V</v>
      </c>
      <c r="D566" t="str">
        <f t="shared" si="44"/>
        <v>Viernes</v>
      </c>
      <c r="I566" t="str">
        <f t="shared" si="40"/>
        <v>9-2038SAB</v>
      </c>
      <c r="J566" t="s">
        <v>273</v>
      </c>
      <c r="K566" t="s">
        <v>41</v>
      </c>
      <c r="L566">
        <f t="shared" si="41"/>
        <v>4</v>
      </c>
    </row>
    <row r="567" spans="1:12" x14ac:dyDescent="0.25">
      <c r="A567" s="88" t="str">
        <f t="shared" si="42"/>
        <v>7-2024</v>
      </c>
      <c r="B567" s="86">
        <v>45493</v>
      </c>
      <c r="C567" t="str">
        <f t="shared" si="43"/>
        <v>SAB</v>
      </c>
      <c r="D567" t="str">
        <f t="shared" si="44"/>
        <v>Sábado</v>
      </c>
      <c r="I567" t="str">
        <f t="shared" si="40"/>
        <v>9-2038DOM</v>
      </c>
      <c r="J567" t="s">
        <v>273</v>
      </c>
      <c r="K567" t="s">
        <v>43</v>
      </c>
      <c r="L567">
        <f t="shared" si="41"/>
        <v>4</v>
      </c>
    </row>
    <row r="568" spans="1:12" x14ac:dyDescent="0.25">
      <c r="A568" s="88" t="str">
        <f t="shared" si="42"/>
        <v>7-2024</v>
      </c>
      <c r="B568" s="86">
        <v>45494</v>
      </c>
      <c r="C568" t="str">
        <f t="shared" si="43"/>
        <v>DOM</v>
      </c>
      <c r="D568" t="str">
        <f t="shared" si="44"/>
        <v>Domingo</v>
      </c>
      <c r="I568" t="str">
        <f t="shared" si="40"/>
        <v>10-2038L-V</v>
      </c>
      <c r="J568" t="s">
        <v>274</v>
      </c>
      <c r="K568" t="s">
        <v>40</v>
      </c>
      <c r="L568">
        <f t="shared" si="41"/>
        <v>21</v>
      </c>
    </row>
    <row r="569" spans="1:12" x14ac:dyDescent="0.25">
      <c r="A569" s="88" t="str">
        <f t="shared" si="42"/>
        <v>7-2024</v>
      </c>
      <c r="B569" s="86">
        <v>45495</v>
      </c>
      <c r="C569" t="str">
        <f t="shared" si="43"/>
        <v>L-V</v>
      </c>
      <c r="D569" t="str">
        <f t="shared" si="44"/>
        <v>Lunes</v>
      </c>
      <c r="I569" t="str">
        <f t="shared" si="40"/>
        <v>10-2038SAB</v>
      </c>
      <c r="J569" t="s">
        <v>274</v>
      </c>
      <c r="K569" t="s">
        <v>41</v>
      </c>
      <c r="L569">
        <f t="shared" si="41"/>
        <v>5</v>
      </c>
    </row>
    <row r="570" spans="1:12" x14ac:dyDescent="0.25">
      <c r="A570" s="88" t="str">
        <f t="shared" si="42"/>
        <v>7-2024</v>
      </c>
      <c r="B570" s="86">
        <v>45496</v>
      </c>
      <c r="C570" t="str">
        <f t="shared" si="43"/>
        <v>L-V</v>
      </c>
      <c r="D570" t="str">
        <f t="shared" si="44"/>
        <v>Martes</v>
      </c>
      <c r="I570" t="str">
        <f t="shared" ref="I570:I582" si="45">J570&amp;K570</f>
        <v>10-2038DOM</v>
      </c>
      <c r="J570" t="s">
        <v>274</v>
      </c>
      <c r="K570" t="s">
        <v>43</v>
      </c>
      <c r="L570">
        <f t="shared" ref="L570:L582" si="46">COUNTIFS(C:C,K570,A:A,J570)</f>
        <v>5</v>
      </c>
    </row>
    <row r="571" spans="1:12" x14ac:dyDescent="0.25">
      <c r="A571" s="88" t="str">
        <f t="shared" si="42"/>
        <v>7-2024</v>
      </c>
      <c r="B571" s="86">
        <v>45497</v>
      </c>
      <c r="C571" t="str">
        <f t="shared" si="43"/>
        <v>L-V</v>
      </c>
      <c r="D571" t="str">
        <f t="shared" si="44"/>
        <v>Miércoles</v>
      </c>
      <c r="I571" t="str">
        <f t="shared" si="45"/>
        <v>11-2038L-V</v>
      </c>
      <c r="J571" t="s">
        <v>275</v>
      </c>
      <c r="K571" t="s">
        <v>40</v>
      </c>
      <c r="L571">
        <f t="shared" si="46"/>
        <v>22</v>
      </c>
    </row>
    <row r="572" spans="1:12" x14ac:dyDescent="0.25">
      <c r="A572" s="88" t="str">
        <f t="shared" si="42"/>
        <v>7-2024</v>
      </c>
      <c r="B572" s="86">
        <v>45498</v>
      </c>
      <c r="C572" t="str">
        <f t="shared" si="43"/>
        <v>L-V</v>
      </c>
      <c r="D572" t="str">
        <f t="shared" si="44"/>
        <v>Jueves</v>
      </c>
      <c r="I572" t="str">
        <f t="shared" si="45"/>
        <v>11-2038SAB</v>
      </c>
      <c r="J572" t="s">
        <v>275</v>
      </c>
      <c r="K572" t="s">
        <v>41</v>
      </c>
      <c r="L572">
        <f t="shared" si="46"/>
        <v>4</v>
      </c>
    </row>
    <row r="573" spans="1:12" x14ac:dyDescent="0.25">
      <c r="A573" s="88" t="str">
        <f t="shared" si="42"/>
        <v>7-2024</v>
      </c>
      <c r="B573" s="86">
        <v>45499</v>
      </c>
      <c r="C573" t="str">
        <f t="shared" si="43"/>
        <v>L-V</v>
      </c>
      <c r="D573" t="str">
        <f t="shared" si="44"/>
        <v>Viernes</v>
      </c>
      <c r="I573" t="str">
        <f t="shared" si="45"/>
        <v>11-2038DOM</v>
      </c>
      <c r="J573" t="s">
        <v>275</v>
      </c>
      <c r="K573" t="s">
        <v>43</v>
      </c>
      <c r="L573">
        <f t="shared" si="46"/>
        <v>4</v>
      </c>
    </row>
    <row r="574" spans="1:12" x14ac:dyDescent="0.25">
      <c r="A574" s="88" t="str">
        <f t="shared" si="42"/>
        <v>7-2024</v>
      </c>
      <c r="B574" s="86">
        <v>45500</v>
      </c>
      <c r="C574" t="str">
        <f t="shared" si="43"/>
        <v>SAB</v>
      </c>
      <c r="D574" t="str">
        <f t="shared" si="44"/>
        <v>Sábado</v>
      </c>
      <c r="I574" t="str">
        <f t="shared" si="45"/>
        <v>12-2038L-V</v>
      </c>
      <c r="J574" t="s">
        <v>276</v>
      </c>
      <c r="K574" t="s">
        <v>40</v>
      </c>
      <c r="L574">
        <f t="shared" si="46"/>
        <v>23</v>
      </c>
    </row>
    <row r="575" spans="1:12" x14ac:dyDescent="0.25">
      <c r="A575" s="88" t="str">
        <f t="shared" si="42"/>
        <v>7-2024</v>
      </c>
      <c r="B575" s="86">
        <v>45501</v>
      </c>
      <c r="C575" t="str">
        <f t="shared" si="43"/>
        <v>DOM</v>
      </c>
      <c r="D575" t="str">
        <f t="shared" si="44"/>
        <v>Domingo</v>
      </c>
      <c r="I575" t="str">
        <f t="shared" si="45"/>
        <v>12-2038SAB</v>
      </c>
      <c r="J575" t="s">
        <v>276</v>
      </c>
      <c r="K575" t="s">
        <v>41</v>
      </c>
      <c r="L575">
        <f t="shared" si="46"/>
        <v>4</v>
      </c>
    </row>
    <row r="576" spans="1:12" x14ac:dyDescent="0.25">
      <c r="A576" s="88" t="str">
        <f t="shared" si="42"/>
        <v>7-2024</v>
      </c>
      <c r="B576" s="86">
        <v>45502</v>
      </c>
      <c r="C576" t="str">
        <f t="shared" si="43"/>
        <v>L-V</v>
      </c>
      <c r="D576" t="str">
        <f t="shared" si="44"/>
        <v>Lunes</v>
      </c>
      <c r="I576" t="str">
        <f t="shared" si="45"/>
        <v>12-2038DOM</v>
      </c>
      <c r="J576" t="s">
        <v>276</v>
      </c>
      <c r="K576" t="s">
        <v>43</v>
      </c>
      <c r="L576">
        <f t="shared" si="46"/>
        <v>4</v>
      </c>
    </row>
    <row r="577" spans="1:12" x14ac:dyDescent="0.25">
      <c r="A577" s="88" t="str">
        <f t="shared" si="42"/>
        <v>7-2024</v>
      </c>
      <c r="B577" s="86">
        <v>45503</v>
      </c>
      <c r="C577" t="str">
        <f t="shared" si="43"/>
        <v>L-V</v>
      </c>
      <c r="D577" t="str">
        <f t="shared" si="44"/>
        <v>Martes</v>
      </c>
      <c r="I577" t="str">
        <f t="shared" si="45"/>
        <v>1-2039SAB</v>
      </c>
      <c r="J577" t="s">
        <v>277</v>
      </c>
      <c r="K577" t="s">
        <v>41</v>
      </c>
      <c r="L577">
        <f t="shared" si="46"/>
        <v>5</v>
      </c>
    </row>
    <row r="578" spans="1:12" x14ac:dyDescent="0.25">
      <c r="A578" s="88" t="str">
        <f t="shared" ref="A578:A641" si="47">MONTH(B578)&amp;"-"&amp;YEAR(B578)</f>
        <v>7-2024</v>
      </c>
      <c r="B578" s="86">
        <v>45504</v>
      </c>
      <c r="C578" t="str">
        <f t="shared" si="43"/>
        <v>L-V</v>
      </c>
      <c r="D578" t="str">
        <f t="shared" si="44"/>
        <v>Miércoles</v>
      </c>
      <c r="I578" t="str">
        <f t="shared" si="45"/>
        <v>1-2039DOM</v>
      </c>
      <c r="J578" t="s">
        <v>277</v>
      </c>
      <c r="K578" t="s">
        <v>43</v>
      </c>
      <c r="L578">
        <f t="shared" si="46"/>
        <v>5</v>
      </c>
    </row>
    <row r="579" spans="1:12" x14ac:dyDescent="0.25">
      <c r="A579" s="88" t="str">
        <f t="shared" si="47"/>
        <v>8-2024</v>
      </c>
      <c r="B579" s="86">
        <v>45505</v>
      </c>
      <c r="C579" t="str">
        <f t="shared" ref="C579:C642" si="48">VLOOKUP(WEEKDAY(B579,2),$F$1:$H$7,2)</f>
        <v>L-V</v>
      </c>
      <c r="D579" t="str">
        <f t="shared" ref="D579:D642" si="49">VLOOKUP(WEEKDAY($B579,2),$F$1:$H$7,3)</f>
        <v>Jueves</v>
      </c>
      <c r="I579" t="str">
        <f t="shared" si="45"/>
        <v>1-2039L-V</v>
      </c>
      <c r="J579" t="s">
        <v>277</v>
      </c>
      <c r="K579" t="s">
        <v>40</v>
      </c>
      <c r="L579">
        <f t="shared" si="46"/>
        <v>21</v>
      </c>
    </row>
    <row r="580" spans="1:12" x14ac:dyDescent="0.25">
      <c r="A580" s="88" t="str">
        <f t="shared" si="47"/>
        <v>8-2024</v>
      </c>
      <c r="B580" s="86">
        <v>45506</v>
      </c>
      <c r="C580" t="str">
        <f t="shared" si="48"/>
        <v>L-V</v>
      </c>
      <c r="D580" t="str">
        <f t="shared" si="49"/>
        <v>Viernes</v>
      </c>
      <c r="I580" t="str">
        <f t="shared" si="45"/>
        <v>2-2039L-V</v>
      </c>
      <c r="J580" t="s">
        <v>278</v>
      </c>
      <c r="K580" t="s">
        <v>40</v>
      </c>
      <c r="L580">
        <f t="shared" si="46"/>
        <v>19</v>
      </c>
    </row>
    <row r="581" spans="1:12" x14ac:dyDescent="0.25">
      <c r="A581" s="88" t="str">
        <f t="shared" si="47"/>
        <v>8-2024</v>
      </c>
      <c r="B581" s="86">
        <v>45507</v>
      </c>
      <c r="C581" t="str">
        <f t="shared" si="48"/>
        <v>SAB</v>
      </c>
      <c r="D581" t="str">
        <f t="shared" si="49"/>
        <v>Sábado</v>
      </c>
      <c r="I581" t="str">
        <f t="shared" si="45"/>
        <v>2-2039SAB</v>
      </c>
      <c r="J581" t="s">
        <v>278</v>
      </c>
      <c r="K581" t="s">
        <v>41</v>
      </c>
      <c r="L581">
        <f t="shared" si="46"/>
        <v>4</v>
      </c>
    </row>
    <row r="582" spans="1:12" x14ac:dyDescent="0.25">
      <c r="A582" s="88" t="str">
        <f t="shared" si="47"/>
        <v>8-2024</v>
      </c>
      <c r="B582" s="86">
        <v>45508</v>
      </c>
      <c r="C582" t="str">
        <f t="shared" si="48"/>
        <v>DOM</v>
      </c>
      <c r="D582" t="str">
        <f t="shared" si="49"/>
        <v>Domingo</v>
      </c>
      <c r="I582" t="str">
        <f t="shared" si="45"/>
        <v>2-2039DOM</v>
      </c>
      <c r="J582" t="s">
        <v>278</v>
      </c>
      <c r="K582" t="s">
        <v>43</v>
      </c>
      <c r="L582">
        <f t="shared" si="46"/>
        <v>4</v>
      </c>
    </row>
    <row r="583" spans="1:12" x14ac:dyDescent="0.25">
      <c r="A583" s="88" t="str">
        <f t="shared" si="47"/>
        <v>8-2024</v>
      </c>
      <c r="B583" s="86">
        <v>45509</v>
      </c>
      <c r="C583" t="str">
        <f t="shared" si="48"/>
        <v>L-V</v>
      </c>
      <c r="D583" t="str">
        <f t="shared" si="49"/>
        <v>Lunes</v>
      </c>
    </row>
    <row r="584" spans="1:12" x14ac:dyDescent="0.25">
      <c r="A584" s="88" t="str">
        <f t="shared" si="47"/>
        <v>8-2024</v>
      </c>
      <c r="B584" s="86">
        <v>45510</v>
      </c>
      <c r="C584" t="str">
        <f t="shared" si="48"/>
        <v>L-V</v>
      </c>
      <c r="D584" t="str">
        <f t="shared" si="49"/>
        <v>Martes</v>
      </c>
    </row>
    <row r="585" spans="1:12" x14ac:dyDescent="0.25">
      <c r="A585" s="88" t="str">
        <f t="shared" si="47"/>
        <v>8-2024</v>
      </c>
      <c r="B585" s="86">
        <v>45511</v>
      </c>
      <c r="C585" t="str">
        <f t="shared" si="48"/>
        <v>L-V</v>
      </c>
      <c r="D585" t="str">
        <f t="shared" si="49"/>
        <v>Miércoles</v>
      </c>
    </row>
    <row r="586" spans="1:12" x14ac:dyDescent="0.25">
      <c r="A586" s="88" t="str">
        <f t="shared" si="47"/>
        <v>8-2024</v>
      </c>
      <c r="B586" s="86">
        <v>45512</v>
      </c>
      <c r="C586" t="str">
        <f t="shared" si="48"/>
        <v>L-V</v>
      </c>
      <c r="D586" t="str">
        <f t="shared" si="49"/>
        <v>Jueves</v>
      </c>
    </row>
    <row r="587" spans="1:12" x14ac:dyDescent="0.25">
      <c r="A587" s="88" t="str">
        <f t="shared" si="47"/>
        <v>8-2024</v>
      </c>
      <c r="B587" s="86">
        <v>45513</v>
      </c>
      <c r="C587" t="str">
        <f t="shared" si="48"/>
        <v>L-V</v>
      </c>
      <c r="D587" t="str">
        <f t="shared" si="49"/>
        <v>Viernes</v>
      </c>
    </row>
    <row r="588" spans="1:12" x14ac:dyDescent="0.25">
      <c r="A588" s="88" t="str">
        <f t="shared" si="47"/>
        <v>8-2024</v>
      </c>
      <c r="B588" s="86">
        <v>45514</v>
      </c>
      <c r="C588" t="str">
        <f t="shared" si="48"/>
        <v>SAB</v>
      </c>
      <c r="D588" t="str">
        <f t="shared" si="49"/>
        <v>Sábado</v>
      </c>
    </row>
    <row r="589" spans="1:12" x14ac:dyDescent="0.25">
      <c r="A589" s="88" t="str">
        <f t="shared" si="47"/>
        <v>8-2024</v>
      </c>
      <c r="B589" s="86">
        <v>45515</v>
      </c>
      <c r="C589" t="str">
        <f t="shared" si="48"/>
        <v>DOM</v>
      </c>
      <c r="D589" t="str">
        <f t="shared" si="49"/>
        <v>Domingo</v>
      </c>
    </row>
    <row r="590" spans="1:12" x14ac:dyDescent="0.25">
      <c r="A590" s="88" t="str">
        <f t="shared" si="47"/>
        <v>8-2024</v>
      </c>
      <c r="B590" s="86">
        <v>45516</v>
      </c>
      <c r="C590" t="str">
        <f t="shared" si="48"/>
        <v>L-V</v>
      </c>
      <c r="D590" t="str">
        <f t="shared" si="49"/>
        <v>Lunes</v>
      </c>
    </row>
    <row r="591" spans="1:12" x14ac:dyDescent="0.25">
      <c r="A591" s="88" t="str">
        <f t="shared" si="47"/>
        <v>8-2024</v>
      </c>
      <c r="B591" s="86">
        <v>45517</v>
      </c>
      <c r="C591" t="str">
        <f t="shared" si="48"/>
        <v>L-V</v>
      </c>
      <c r="D591" t="str">
        <f t="shared" si="49"/>
        <v>Martes</v>
      </c>
    </row>
    <row r="592" spans="1:12" x14ac:dyDescent="0.25">
      <c r="A592" s="88" t="str">
        <f t="shared" si="47"/>
        <v>8-2024</v>
      </c>
      <c r="B592" s="86">
        <v>45518</v>
      </c>
      <c r="C592" t="str">
        <f t="shared" si="48"/>
        <v>L-V</v>
      </c>
      <c r="D592" t="str">
        <f t="shared" si="49"/>
        <v>Miércoles</v>
      </c>
    </row>
    <row r="593" spans="1:4" x14ac:dyDescent="0.25">
      <c r="A593" s="88" t="str">
        <f t="shared" si="47"/>
        <v>8-2024</v>
      </c>
      <c r="B593" s="86">
        <v>45519</v>
      </c>
      <c r="C593" t="str">
        <f t="shared" si="48"/>
        <v>L-V</v>
      </c>
      <c r="D593" t="str">
        <f t="shared" si="49"/>
        <v>Jueves</v>
      </c>
    </row>
    <row r="594" spans="1:4" x14ac:dyDescent="0.25">
      <c r="A594" s="88" t="str">
        <f t="shared" si="47"/>
        <v>8-2024</v>
      </c>
      <c r="B594" s="86">
        <v>45520</v>
      </c>
      <c r="C594" t="str">
        <f t="shared" si="48"/>
        <v>L-V</v>
      </c>
      <c r="D594" t="str">
        <f t="shared" si="49"/>
        <v>Viernes</v>
      </c>
    </row>
    <row r="595" spans="1:4" x14ac:dyDescent="0.25">
      <c r="A595" s="88" t="str">
        <f t="shared" si="47"/>
        <v>8-2024</v>
      </c>
      <c r="B595" s="86">
        <v>45521</v>
      </c>
      <c r="C595" t="str">
        <f t="shared" si="48"/>
        <v>SAB</v>
      </c>
      <c r="D595" t="str">
        <f t="shared" si="49"/>
        <v>Sábado</v>
      </c>
    </row>
    <row r="596" spans="1:4" x14ac:dyDescent="0.25">
      <c r="A596" s="88" t="str">
        <f t="shared" si="47"/>
        <v>8-2024</v>
      </c>
      <c r="B596" s="86">
        <v>45522</v>
      </c>
      <c r="C596" t="str">
        <f t="shared" si="48"/>
        <v>DOM</v>
      </c>
      <c r="D596" t="str">
        <f t="shared" si="49"/>
        <v>Domingo</v>
      </c>
    </row>
    <row r="597" spans="1:4" x14ac:dyDescent="0.25">
      <c r="A597" s="88" t="str">
        <f t="shared" si="47"/>
        <v>8-2024</v>
      </c>
      <c r="B597" s="86">
        <v>45523</v>
      </c>
      <c r="C597" t="str">
        <f t="shared" si="48"/>
        <v>L-V</v>
      </c>
      <c r="D597" t="str">
        <f t="shared" si="49"/>
        <v>Lunes</v>
      </c>
    </row>
    <row r="598" spans="1:4" x14ac:dyDescent="0.25">
      <c r="A598" s="88" t="str">
        <f t="shared" si="47"/>
        <v>8-2024</v>
      </c>
      <c r="B598" s="86">
        <v>45524</v>
      </c>
      <c r="C598" t="str">
        <f t="shared" si="48"/>
        <v>L-V</v>
      </c>
      <c r="D598" t="str">
        <f t="shared" si="49"/>
        <v>Martes</v>
      </c>
    </row>
    <row r="599" spans="1:4" x14ac:dyDescent="0.25">
      <c r="A599" s="88" t="str">
        <f t="shared" si="47"/>
        <v>8-2024</v>
      </c>
      <c r="B599" s="86">
        <v>45525</v>
      </c>
      <c r="C599" t="str">
        <f t="shared" si="48"/>
        <v>L-V</v>
      </c>
      <c r="D599" t="str">
        <f t="shared" si="49"/>
        <v>Miércoles</v>
      </c>
    </row>
    <row r="600" spans="1:4" x14ac:dyDescent="0.25">
      <c r="A600" s="88" t="str">
        <f t="shared" si="47"/>
        <v>8-2024</v>
      </c>
      <c r="B600" s="86">
        <v>45526</v>
      </c>
      <c r="C600" t="str">
        <f t="shared" si="48"/>
        <v>L-V</v>
      </c>
      <c r="D600" t="str">
        <f t="shared" si="49"/>
        <v>Jueves</v>
      </c>
    </row>
    <row r="601" spans="1:4" x14ac:dyDescent="0.25">
      <c r="A601" s="88" t="str">
        <f t="shared" si="47"/>
        <v>8-2024</v>
      </c>
      <c r="B601" s="86">
        <v>45527</v>
      </c>
      <c r="C601" t="str">
        <f t="shared" si="48"/>
        <v>L-V</v>
      </c>
      <c r="D601" t="str">
        <f t="shared" si="49"/>
        <v>Viernes</v>
      </c>
    </row>
    <row r="602" spans="1:4" x14ac:dyDescent="0.25">
      <c r="A602" s="88" t="str">
        <f t="shared" si="47"/>
        <v>8-2024</v>
      </c>
      <c r="B602" s="86">
        <v>45528</v>
      </c>
      <c r="C602" t="str">
        <f t="shared" si="48"/>
        <v>SAB</v>
      </c>
      <c r="D602" t="str">
        <f t="shared" si="49"/>
        <v>Sábado</v>
      </c>
    </row>
    <row r="603" spans="1:4" x14ac:dyDescent="0.25">
      <c r="A603" s="88" t="str">
        <f t="shared" si="47"/>
        <v>8-2024</v>
      </c>
      <c r="B603" s="86">
        <v>45529</v>
      </c>
      <c r="C603" t="str">
        <f t="shared" si="48"/>
        <v>DOM</v>
      </c>
      <c r="D603" t="str">
        <f t="shared" si="49"/>
        <v>Domingo</v>
      </c>
    </row>
    <row r="604" spans="1:4" x14ac:dyDescent="0.25">
      <c r="A604" s="88" t="str">
        <f t="shared" si="47"/>
        <v>8-2024</v>
      </c>
      <c r="B604" s="86">
        <v>45530</v>
      </c>
      <c r="C604" t="str">
        <f t="shared" si="48"/>
        <v>L-V</v>
      </c>
      <c r="D604" t="str">
        <f t="shared" si="49"/>
        <v>Lunes</v>
      </c>
    </row>
    <row r="605" spans="1:4" x14ac:dyDescent="0.25">
      <c r="A605" s="88" t="str">
        <f t="shared" si="47"/>
        <v>8-2024</v>
      </c>
      <c r="B605" s="86">
        <v>45531</v>
      </c>
      <c r="C605" t="str">
        <f t="shared" si="48"/>
        <v>L-V</v>
      </c>
      <c r="D605" t="str">
        <f t="shared" si="49"/>
        <v>Martes</v>
      </c>
    </row>
    <row r="606" spans="1:4" x14ac:dyDescent="0.25">
      <c r="A606" s="88" t="str">
        <f t="shared" si="47"/>
        <v>8-2024</v>
      </c>
      <c r="B606" s="86">
        <v>45532</v>
      </c>
      <c r="C606" t="str">
        <f t="shared" si="48"/>
        <v>L-V</v>
      </c>
      <c r="D606" t="str">
        <f t="shared" si="49"/>
        <v>Miércoles</v>
      </c>
    </row>
    <row r="607" spans="1:4" x14ac:dyDescent="0.25">
      <c r="A607" s="88" t="str">
        <f t="shared" si="47"/>
        <v>8-2024</v>
      </c>
      <c r="B607" s="86">
        <v>45533</v>
      </c>
      <c r="C607" t="str">
        <f t="shared" si="48"/>
        <v>L-V</v>
      </c>
      <c r="D607" t="str">
        <f t="shared" si="49"/>
        <v>Jueves</v>
      </c>
    </row>
    <row r="608" spans="1:4" x14ac:dyDescent="0.25">
      <c r="A608" s="88" t="str">
        <f t="shared" si="47"/>
        <v>8-2024</v>
      </c>
      <c r="B608" s="86">
        <v>45534</v>
      </c>
      <c r="C608" t="str">
        <f t="shared" si="48"/>
        <v>L-V</v>
      </c>
      <c r="D608" t="str">
        <f t="shared" si="49"/>
        <v>Viernes</v>
      </c>
    </row>
    <row r="609" spans="1:4" x14ac:dyDescent="0.25">
      <c r="A609" s="88" t="str">
        <f t="shared" si="47"/>
        <v>8-2024</v>
      </c>
      <c r="B609" s="86">
        <v>45535</v>
      </c>
      <c r="C609" t="str">
        <f t="shared" si="48"/>
        <v>SAB</v>
      </c>
      <c r="D609" t="str">
        <f t="shared" si="49"/>
        <v>Sábado</v>
      </c>
    </row>
    <row r="610" spans="1:4" x14ac:dyDescent="0.25">
      <c r="A610" s="88" t="str">
        <f t="shared" si="47"/>
        <v>9-2024</v>
      </c>
      <c r="B610" s="86">
        <v>45536</v>
      </c>
      <c r="C610" t="str">
        <f t="shared" si="48"/>
        <v>DOM</v>
      </c>
      <c r="D610" t="str">
        <f t="shared" si="49"/>
        <v>Domingo</v>
      </c>
    </row>
    <row r="611" spans="1:4" x14ac:dyDescent="0.25">
      <c r="A611" s="88" t="str">
        <f t="shared" si="47"/>
        <v>9-2024</v>
      </c>
      <c r="B611" s="86">
        <v>45537</v>
      </c>
      <c r="C611" t="str">
        <f t="shared" si="48"/>
        <v>L-V</v>
      </c>
      <c r="D611" t="str">
        <f t="shared" si="49"/>
        <v>Lunes</v>
      </c>
    </row>
    <row r="612" spans="1:4" x14ac:dyDescent="0.25">
      <c r="A612" s="88" t="str">
        <f t="shared" si="47"/>
        <v>9-2024</v>
      </c>
      <c r="B612" s="86">
        <v>45538</v>
      </c>
      <c r="C612" t="str">
        <f t="shared" si="48"/>
        <v>L-V</v>
      </c>
      <c r="D612" t="str">
        <f t="shared" si="49"/>
        <v>Martes</v>
      </c>
    </row>
    <row r="613" spans="1:4" x14ac:dyDescent="0.25">
      <c r="A613" s="88" t="str">
        <f t="shared" si="47"/>
        <v>9-2024</v>
      </c>
      <c r="B613" s="86">
        <v>45539</v>
      </c>
      <c r="C613" t="str">
        <f t="shared" si="48"/>
        <v>L-V</v>
      </c>
      <c r="D613" t="str">
        <f t="shared" si="49"/>
        <v>Miércoles</v>
      </c>
    </row>
    <row r="614" spans="1:4" x14ac:dyDescent="0.25">
      <c r="A614" s="88" t="str">
        <f t="shared" si="47"/>
        <v>9-2024</v>
      </c>
      <c r="B614" s="86">
        <v>45540</v>
      </c>
      <c r="C614" t="str">
        <f t="shared" si="48"/>
        <v>L-V</v>
      </c>
      <c r="D614" t="str">
        <f t="shared" si="49"/>
        <v>Jueves</v>
      </c>
    </row>
    <row r="615" spans="1:4" x14ac:dyDescent="0.25">
      <c r="A615" s="88" t="str">
        <f t="shared" si="47"/>
        <v>9-2024</v>
      </c>
      <c r="B615" s="86">
        <v>45541</v>
      </c>
      <c r="C615" t="str">
        <f t="shared" si="48"/>
        <v>L-V</v>
      </c>
      <c r="D615" t="str">
        <f t="shared" si="49"/>
        <v>Viernes</v>
      </c>
    </row>
    <row r="616" spans="1:4" x14ac:dyDescent="0.25">
      <c r="A616" s="88" t="str">
        <f t="shared" si="47"/>
        <v>9-2024</v>
      </c>
      <c r="B616" s="86">
        <v>45542</v>
      </c>
      <c r="C616" t="str">
        <f t="shared" si="48"/>
        <v>SAB</v>
      </c>
      <c r="D616" t="str">
        <f t="shared" si="49"/>
        <v>Sábado</v>
      </c>
    </row>
    <row r="617" spans="1:4" x14ac:dyDescent="0.25">
      <c r="A617" s="88" t="str">
        <f t="shared" si="47"/>
        <v>9-2024</v>
      </c>
      <c r="B617" s="86">
        <v>45543</v>
      </c>
      <c r="C617" t="str">
        <f t="shared" si="48"/>
        <v>DOM</v>
      </c>
      <c r="D617" t="str">
        <f t="shared" si="49"/>
        <v>Domingo</v>
      </c>
    </row>
    <row r="618" spans="1:4" x14ac:dyDescent="0.25">
      <c r="A618" s="88" t="str">
        <f t="shared" si="47"/>
        <v>9-2024</v>
      </c>
      <c r="B618" s="86">
        <v>45544</v>
      </c>
      <c r="C618" t="str">
        <f t="shared" si="48"/>
        <v>L-V</v>
      </c>
      <c r="D618" t="str">
        <f t="shared" si="49"/>
        <v>Lunes</v>
      </c>
    </row>
    <row r="619" spans="1:4" x14ac:dyDescent="0.25">
      <c r="A619" s="88" t="str">
        <f t="shared" si="47"/>
        <v>9-2024</v>
      </c>
      <c r="B619" s="86">
        <v>45545</v>
      </c>
      <c r="C619" t="str">
        <f t="shared" si="48"/>
        <v>L-V</v>
      </c>
      <c r="D619" t="str">
        <f t="shared" si="49"/>
        <v>Martes</v>
      </c>
    </row>
    <row r="620" spans="1:4" x14ac:dyDescent="0.25">
      <c r="A620" s="88" t="str">
        <f t="shared" si="47"/>
        <v>9-2024</v>
      </c>
      <c r="B620" s="86">
        <v>45546</v>
      </c>
      <c r="C620" t="str">
        <f t="shared" si="48"/>
        <v>L-V</v>
      </c>
      <c r="D620" t="str">
        <f t="shared" si="49"/>
        <v>Miércoles</v>
      </c>
    </row>
    <row r="621" spans="1:4" x14ac:dyDescent="0.25">
      <c r="A621" s="88" t="str">
        <f t="shared" si="47"/>
        <v>9-2024</v>
      </c>
      <c r="B621" s="86">
        <v>45547</v>
      </c>
      <c r="C621" t="str">
        <f t="shared" si="48"/>
        <v>L-V</v>
      </c>
      <c r="D621" t="str">
        <f t="shared" si="49"/>
        <v>Jueves</v>
      </c>
    </row>
    <row r="622" spans="1:4" x14ac:dyDescent="0.25">
      <c r="A622" s="88" t="str">
        <f t="shared" si="47"/>
        <v>9-2024</v>
      </c>
      <c r="B622" s="86">
        <v>45548</v>
      </c>
      <c r="C622" t="str">
        <f t="shared" si="48"/>
        <v>L-V</v>
      </c>
      <c r="D622" t="str">
        <f t="shared" si="49"/>
        <v>Viernes</v>
      </c>
    </row>
    <row r="623" spans="1:4" x14ac:dyDescent="0.25">
      <c r="A623" s="88" t="str">
        <f t="shared" si="47"/>
        <v>9-2024</v>
      </c>
      <c r="B623" s="86">
        <v>45549</v>
      </c>
      <c r="C623" t="str">
        <f t="shared" si="48"/>
        <v>SAB</v>
      </c>
      <c r="D623" t="str">
        <f t="shared" si="49"/>
        <v>Sábado</v>
      </c>
    </row>
    <row r="624" spans="1:4" x14ac:dyDescent="0.25">
      <c r="A624" s="88" t="str">
        <f t="shared" si="47"/>
        <v>9-2024</v>
      </c>
      <c r="B624" s="86">
        <v>45550</v>
      </c>
      <c r="C624" t="str">
        <f t="shared" si="48"/>
        <v>DOM</v>
      </c>
      <c r="D624" t="str">
        <f t="shared" si="49"/>
        <v>Domingo</v>
      </c>
    </row>
    <row r="625" spans="1:4" x14ac:dyDescent="0.25">
      <c r="A625" s="88" t="str">
        <f t="shared" si="47"/>
        <v>9-2024</v>
      </c>
      <c r="B625" s="86">
        <v>45551</v>
      </c>
      <c r="C625" t="str">
        <f t="shared" si="48"/>
        <v>L-V</v>
      </c>
      <c r="D625" t="str">
        <f t="shared" si="49"/>
        <v>Lunes</v>
      </c>
    </row>
    <row r="626" spans="1:4" x14ac:dyDescent="0.25">
      <c r="A626" s="88" t="str">
        <f t="shared" si="47"/>
        <v>9-2024</v>
      </c>
      <c r="B626" s="86">
        <v>45552</v>
      </c>
      <c r="C626" t="str">
        <f t="shared" si="48"/>
        <v>L-V</v>
      </c>
      <c r="D626" t="str">
        <f t="shared" si="49"/>
        <v>Martes</v>
      </c>
    </row>
    <row r="627" spans="1:4" x14ac:dyDescent="0.25">
      <c r="A627" s="88" t="str">
        <f t="shared" si="47"/>
        <v>9-2024</v>
      </c>
      <c r="B627" s="86">
        <v>45553</v>
      </c>
      <c r="C627" t="str">
        <f t="shared" si="48"/>
        <v>L-V</v>
      </c>
      <c r="D627" t="str">
        <f t="shared" si="49"/>
        <v>Miércoles</v>
      </c>
    </row>
    <row r="628" spans="1:4" x14ac:dyDescent="0.25">
      <c r="A628" s="88" t="str">
        <f t="shared" si="47"/>
        <v>9-2024</v>
      </c>
      <c r="B628" s="86">
        <v>45554</v>
      </c>
      <c r="C628" t="str">
        <f t="shared" si="48"/>
        <v>L-V</v>
      </c>
      <c r="D628" t="str">
        <f t="shared" si="49"/>
        <v>Jueves</v>
      </c>
    </row>
    <row r="629" spans="1:4" x14ac:dyDescent="0.25">
      <c r="A629" s="88" t="str">
        <f t="shared" si="47"/>
        <v>9-2024</v>
      </c>
      <c r="B629" s="86">
        <v>45555</v>
      </c>
      <c r="C629" t="str">
        <f t="shared" si="48"/>
        <v>L-V</v>
      </c>
      <c r="D629" t="str">
        <f t="shared" si="49"/>
        <v>Viernes</v>
      </c>
    </row>
    <row r="630" spans="1:4" x14ac:dyDescent="0.25">
      <c r="A630" s="88" t="str">
        <f t="shared" si="47"/>
        <v>9-2024</v>
      </c>
      <c r="B630" s="86">
        <v>45556</v>
      </c>
      <c r="C630" t="str">
        <f t="shared" si="48"/>
        <v>SAB</v>
      </c>
      <c r="D630" t="str">
        <f t="shared" si="49"/>
        <v>Sábado</v>
      </c>
    </row>
    <row r="631" spans="1:4" x14ac:dyDescent="0.25">
      <c r="A631" s="88" t="str">
        <f t="shared" si="47"/>
        <v>9-2024</v>
      </c>
      <c r="B631" s="86">
        <v>45557</v>
      </c>
      <c r="C631" t="str">
        <f t="shared" si="48"/>
        <v>DOM</v>
      </c>
      <c r="D631" t="str">
        <f t="shared" si="49"/>
        <v>Domingo</v>
      </c>
    </row>
    <row r="632" spans="1:4" x14ac:dyDescent="0.25">
      <c r="A632" s="88" t="str">
        <f t="shared" si="47"/>
        <v>9-2024</v>
      </c>
      <c r="B632" s="86">
        <v>45558</v>
      </c>
      <c r="C632" t="str">
        <f t="shared" si="48"/>
        <v>L-V</v>
      </c>
      <c r="D632" t="str">
        <f t="shared" si="49"/>
        <v>Lunes</v>
      </c>
    </row>
    <row r="633" spans="1:4" x14ac:dyDescent="0.25">
      <c r="A633" s="88" t="str">
        <f t="shared" si="47"/>
        <v>9-2024</v>
      </c>
      <c r="B633" s="86">
        <v>45559</v>
      </c>
      <c r="C633" t="str">
        <f t="shared" si="48"/>
        <v>L-V</v>
      </c>
      <c r="D633" t="str">
        <f t="shared" si="49"/>
        <v>Martes</v>
      </c>
    </row>
    <row r="634" spans="1:4" x14ac:dyDescent="0.25">
      <c r="A634" s="88" t="str">
        <f t="shared" si="47"/>
        <v>9-2024</v>
      </c>
      <c r="B634" s="86">
        <v>45560</v>
      </c>
      <c r="C634" t="str">
        <f t="shared" si="48"/>
        <v>L-V</v>
      </c>
      <c r="D634" t="str">
        <f t="shared" si="49"/>
        <v>Miércoles</v>
      </c>
    </row>
    <row r="635" spans="1:4" x14ac:dyDescent="0.25">
      <c r="A635" s="88" t="str">
        <f t="shared" si="47"/>
        <v>9-2024</v>
      </c>
      <c r="B635" s="86">
        <v>45561</v>
      </c>
      <c r="C635" t="str">
        <f t="shared" si="48"/>
        <v>L-V</v>
      </c>
      <c r="D635" t="str">
        <f t="shared" si="49"/>
        <v>Jueves</v>
      </c>
    </row>
    <row r="636" spans="1:4" x14ac:dyDescent="0.25">
      <c r="A636" s="88" t="str">
        <f t="shared" si="47"/>
        <v>9-2024</v>
      </c>
      <c r="B636" s="86">
        <v>45562</v>
      </c>
      <c r="C636" t="str">
        <f t="shared" si="48"/>
        <v>L-V</v>
      </c>
      <c r="D636" t="str">
        <f t="shared" si="49"/>
        <v>Viernes</v>
      </c>
    </row>
    <row r="637" spans="1:4" x14ac:dyDescent="0.25">
      <c r="A637" s="88" t="str">
        <f t="shared" si="47"/>
        <v>9-2024</v>
      </c>
      <c r="B637" s="86">
        <v>45563</v>
      </c>
      <c r="C637" t="str">
        <f t="shared" si="48"/>
        <v>SAB</v>
      </c>
      <c r="D637" t="str">
        <f t="shared" si="49"/>
        <v>Sábado</v>
      </c>
    </row>
    <row r="638" spans="1:4" x14ac:dyDescent="0.25">
      <c r="A638" s="88" t="str">
        <f t="shared" si="47"/>
        <v>9-2024</v>
      </c>
      <c r="B638" s="86">
        <v>45564</v>
      </c>
      <c r="C638" t="str">
        <f t="shared" si="48"/>
        <v>DOM</v>
      </c>
      <c r="D638" t="str">
        <f t="shared" si="49"/>
        <v>Domingo</v>
      </c>
    </row>
    <row r="639" spans="1:4" x14ac:dyDescent="0.25">
      <c r="A639" s="88" t="str">
        <f t="shared" si="47"/>
        <v>9-2024</v>
      </c>
      <c r="B639" s="86">
        <v>45565</v>
      </c>
      <c r="C639" t="str">
        <f t="shared" si="48"/>
        <v>L-V</v>
      </c>
      <c r="D639" t="str">
        <f t="shared" si="49"/>
        <v>Lunes</v>
      </c>
    </row>
    <row r="640" spans="1:4" x14ac:dyDescent="0.25">
      <c r="A640" s="88" t="str">
        <f t="shared" si="47"/>
        <v>10-2024</v>
      </c>
      <c r="B640" s="86">
        <v>45566</v>
      </c>
      <c r="C640" t="str">
        <f t="shared" si="48"/>
        <v>L-V</v>
      </c>
      <c r="D640" t="str">
        <f t="shared" si="49"/>
        <v>Martes</v>
      </c>
    </row>
    <row r="641" spans="1:4" x14ac:dyDescent="0.25">
      <c r="A641" s="88" t="str">
        <f t="shared" si="47"/>
        <v>10-2024</v>
      </c>
      <c r="B641" s="86">
        <v>45567</v>
      </c>
      <c r="C641" t="str">
        <f t="shared" si="48"/>
        <v>L-V</v>
      </c>
      <c r="D641" t="str">
        <f t="shared" si="49"/>
        <v>Miércoles</v>
      </c>
    </row>
    <row r="642" spans="1:4" x14ac:dyDescent="0.25">
      <c r="A642" s="88" t="str">
        <f t="shared" ref="A642:A705" si="50">MONTH(B642)&amp;"-"&amp;YEAR(B642)</f>
        <v>10-2024</v>
      </c>
      <c r="B642" s="86">
        <v>45568</v>
      </c>
      <c r="C642" t="str">
        <f t="shared" si="48"/>
        <v>L-V</v>
      </c>
      <c r="D642" t="str">
        <f t="shared" si="49"/>
        <v>Jueves</v>
      </c>
    </row>
    <row r="643" spans="1:4" x14ac:dyDescent="0.25">
      <c r="A643" s="88" t="str">
        <f t="shared" si="50"/>
        <v>10-2024</v>
      </c>
      <c r="B643" s="86">
        <v>45569</v>
      </c>
      <c r="C643" t="str">
        <f t="shared" ref="C643:C706" si="51">VLOOKUP(WEEKDAY(B643,2),$F$1:$H$7,2)</f>
        <v>L-V</v>
      </c>
      <c r="D643" t="str">
        <f t="shared" ref="D643:D706" si="52">VLOOKUP(WEEKDAY($B643,2),$F$1:$H$7,3)</f>
        <v>Viernes</v>
      </c>
    </row>
    <row r="644" spans="1:4" x14ac:dyDescent="0.25">
      <c r="A644" s="88" t="str">
        <f t="shared" si="50"/>
        <v>10-2024</v>
      </c>
      <c r="B644" s="86">
        <v>45570</v>
      </c>
      <c r="C644" t="str">
        <f t="shared" si="51"/>
        <v>SAB</v>
      </c>
      <c r="D644" t="str">
        <f t="shared" si="52"/>
        <v>Sábado</v>
      </c>
    </row>
    <row r="645" spans="1:4" x14ac:dyDescent="0.25">
      <c r="A645" s="88" t="str">
        <f t="shared" si="50"/>
        <v>10-2024</v>
      </c>
      <c r="B645" s="86">
        <v>45571</v>
      </c>
      <c r="C645" t="str">
        <f t="shared" si="51"/>
        <v>DOM</v>
      </c>
      <c r="D645" t="str">
        <f t="shared" si="52"/>
        <v>Domingo</v>
      </c>
    </row>
    <row r="646" spans="1:4" x14ac:dyDescent="0.25">
      <c r="A646" s="88" t="str">
        <f t="shared" si="50"/>
        <v>10-2024</v>
      </c>
      <c r="B646" s="86">
        <v>45572</v>
      </c>
      <c r="C646" t="str">
        <f t="shared" si="51"/>
        <v>L-V</v>
      </c>
      <c r="D646" t="str">
        <f t="shared" si="52"/>
        <v>Lunes</v>
      </c>
    </row>
    <row r="647" spans="1:4" x14ac:dyDescent="0.25">
      <c r="A647" s="88" t="str">
        <f t="shared" si="50"/>
        <v>10-2024</v>
      </c>
      <c r="B647" s="86">
        <v>45573</v>
      </c>
      <c r="C647" t="str">
        <f t="shared" si="51"/>
        <v>L-V</v>
      </c>
      <c r="D647" t="str">
        <f t="shared" si="52"/>
        <v>Martes</v>
      </c>
    </row>
    <row r="648" spans="1:4" x14ac:dyDescent="0.25">
      <c r="A648" s="88" t="str">
        <f t="shared" si="50"/>
        <v>10-2024</v>
      </c>
      <c r="B648" s="86">
        <v>45574</v>
      </c>
      <c r="C648" t="str">
        <f t="shared" si="51"/>
        <v>L-V</v>
      </c>
      <c r="D648" t="str">
        <f t="shared" si="52"/>
        <v>Miércoles</v>
      </c>
    </row>
    <row r="649" spans="1:4" x14ac:dyDescent="0.25">
      <c r="A649" s="88" t="str">
        <f t="shared" si="50"/>
        <v>10-2024</v>
      </c>
      <c r="B649" s="86">
        <v>45575</v>
      </c>
      <c r="C649" t="str">
        <f t="shared" si="51"/>
        <v>L-V</v>
      </c>
      <c r="D649" t="str">
        <f t="shared" si="52"/>
        <v>Jueves</v>
      </c>
    </row>
    <row r="650" spans="1:4" x14ac:dyDescent="0.25">
      <c r="A650" s="88" t="str">
        <f t="shared" si="50"/>
        <v>10-2024</v>
      </c>
      <c r="B650" s="86">
        <v>45576</v>
      </c>
      <c r="C650" t="str">
        <f t="shared" si="51"/>
        <v>L-V</v>
      </c>
      <c r="D650" t="str">
        <f t="shared" si="52"/>
        <v>Viernes</v>
      </c>
    </row>
    <row r="651" spans="1:4" x14ac:dyDescent="0.25">
      <c r="A651" s="88" t="str">
        <f t="shared" si="50"/>
        <v>10-2024</v>
      </c>
      <c r="B651" s="86">
        <v>45577</v>
      </c>
      <c r="C651" t="str">
        <f t="shared" si="51"/>
        <v>SAB</v>
      </c>
      <c r="D651" t="str">
        <f t="shared" si="52"/>
        <v>Sábado</v>
      </c>
    </row>
    <row r="652" spans="1:4" x14ac:dyDescent="0.25">
      <c r="A652" s="88" t="str">
        <f t="shared" si="50"/>
        <v>10-2024</v>
      </c>
      <c r="B652" s="86">
        <v>45578</v>
      </c>
      <c r="C652" t="str">
        <f t="shared" si="51"/>
        <v>DOM</v>
      </c>
      <c r="D652" t="str">
        <f t="shared" si="52"/>
        <v>Domingo</v>
      </c>
    </row>
    <row r="653" spans="1:4" x14ac:dyDescent="0.25">
      <c r="A653" s="88" t="str">
        <f t="shared" si="50"/>
        <v>10-2024</v>
      </c>
      <c r="B653" s="86">
        <v>45579</v>
      </c>
      <c r="C653" t="str">
        <f t="shared" si="51"/>
        <v>L-V</v>
      </c>
      <c r="D653" t="str">
        <f t="shared" si="52"/>
        <v>Lunes</v>
      </c>
    </row>
    <row r="654" spans="1:4" x14ac:dyDescent="0.25">
      <c r="A654" s="88" t="str">
        <f t="shared" si="50"/>
        <v>10-2024</v>
      </c>
      <c r="B654" s="86">
        <v>45580</v>
      </c>
      <c r="C654" t="str">
        <f t="shared" si="51"/>
        <v>L-V</v>
      </c>
      <c r="D654" t="str">
        <f t="shared" si="52"/>
        <v>Martes</v>
      </c>
    </row>
    <row r="655" spans="1:4" x14ac:dyDescent="0.25">
      <c r="A655" s="88" t="str">
        <f t="shared" si="50"/>
        <v>10-2024</v>
      </c>
      <c r="B655" s="86">
        <v>45581</v>
      </c>
      <c r="C655" t="str">
        <f t="shared" si="51"/>
        <v>L-V</v>
      </c>
      <c r="D655" t="str">
        <f t="shared" si="52"/>
        <v>Miércoles</v>
      </c>
    </row>
    <row r="656" spans="1:4" x14ac:dyDescent="0.25">
      <c r="A656" s="88" t="str">
        <f t="shared" si="50"/>
        <v>10-2024</v>
      </c>
      <c r="B656" s="86">
        <v>45582</v>
      </c>
      <c r="C656" t="str">
        <f t="shared" si="51"/>
        <v>L-V</v>
      </c>
      <c r="D656" t="str">
        <f t="shared" si="52"/>
        <v>Jueves</v>
      </c>
    </row>
    <row r="657" spans="1:4" x14ac:dyDescent="0.25">
      <c r="A657" s="88" t="str">
        <f t="shared" si="50"/>
        <v>10-2024</v>
      </c>
      <c r="B657" s="86">
        <v>45583</v>
      </c>
      <c r="C657" t="str">
        <f t="shared" si="51"/>
        <v>L-V</v>
      </c>
      <c r="D657" t="str">
        <f t="shared" si="52"/>
        <v>Viernes</v>
      </c>
    </row>
    <row r="658" spans="1:4" x14ac:dyDescent="0.25">
      <c r="A658" s="88" t="str">
        <f t="shared" si="50"/>
        <v>10-2024</v>
      </c>
      <c r="B658" s="86">
        <v>45584</v>
      </c>
      <c r="C658" t="str">
        <f t="shared" si="51"/>
        <v>SAB</v>
      </c>
      <c r="D658" t="str">
        <f t="shared" si="52"/>
        <v>Sábado</v>
      </c>
    </row>
    <row r="659" spans="1:4" x14ac:dyDescent="0.25">
      <c r="A659" s="88" t="str">
        <f t="shared" si="50"/>
        <v>10-2024</v>
      </c>
      <c r="B659" s="86">
        <v>45585</v>
      </c>
      <c r="C659" t="str">
        <f t="shared" si="51"/>
        <v>DOM</v>
      </c>
      <c r="D659" t="str">
        <f t="shared" si="52"/>
        <v>Domingo</v>
      </c>
    </row>
    <row r="660" spans="1:4" x14ac:dyDescent="0.25">
      <c r="A660" s="88" t="str">
        <f t="shared" si="50"/>
        <v>10-2024</v>
      </c>
      <c r="B660" s="86">
        <v>45586</v>
      </c>
      <c r="C660" t="str">
        <f t="shared" si="51"/>
        <v>L-V</v>
      </c>
      <c r="D660" t="str">
        <f t="shared" si="52"/>
        <v>Lunes</v>
      </c>
    </row>
    <row r="661" spans="1:4" x14ac:dyDescent="0.25">
      <c r="A661" s="88" t="str">
        <f t="shared" si="50"/>
        <v>10-2024</v>
      </c>
      <c r="B661" s="86">
        <v>45587</v>
      </c>
      <c r="C661" t="str">
        <f t="shared" si="51"/>
        <v>L-V</v>
      </c>
      <c r="D661" t="str">
        <f t="shared" si="52"/>
        <v>Martes</v>
      </c>
    </row>
    <row r="662" spans="1:4" x14ac:dyDescent="0.25">
      <c r="A662" s="88" t="str">
        <f t="shared" si="50"/>
        <v>10-2024</v>
      </c>
      <c r="B662" s="86">
        <v>45588</v>
      </c>
      <c r="C662" t="str">
        <f t="shared" si="51"/>
        <v>L-V</v>
      </c>
      <c r="D662" t="str">
        <f t="shared" si="52"/>
        <v>Miércoles</v>
      </c>
    </row>
    <row r="663" spans="1:4" x14ac:dyDescent="0.25">
      <c r="A663" s="88" t="str">
        <f t="shared" si="50"/>
        <v>10-2024</v>
      </c>
      <c r="B663" s="86">
        <v>45589</v>
      </c>
      <c r="C663" t="str">
        <f t="shared" si="51"/>
        <v>L-V</v>
      </c>
      <c r="D663" t="str">
        <f t="shared" si="52"/>
        <v>Jueves</v>
      </c>
    </row>
    <row r="664" spans="1:4" x14ac:dyDescent="0.25">
      <c r="A664" s="88" t="str">
        <f t="shared" si="50"/>
        <v>10-2024</v>
      </c>
      <c r="B664" s="86">
        <v>45590</v>
      </c>
      <c r="C664" t="str">
        <f t="shared" si="51"/>
        <v>L-V</v>
      </c>
      <c r="D664" t="str">
        <f t="shared" si="52"/>
        <v>Viernes</v>
      </c>
    </row>
    <row r="665" spans="1:4" x14ac:dyDescent="0.25">
      <c r="A665" s="88" t="str">
        <f t="shared" si="50"/>
        <v>10-2024</v>
      </c>
      <c r="B665" s="86">
        <v>45591</v>
      </c>
      <c r="C665" t="str">
        <f t="shared" si="51"/>
        <v>SAB</v>
      </c>
      <c r="D665" t="str">
        <f t="shared" si="52"/>
        <v>Sábado</v>
      </c>
    </row>
    <row r="666" spans="1:4" x14ac:dyDescent="0.25">
      <c r="A666" s="88" t="str">
        <f t="shared" si="50"/>
        <v>10-2024</v>
      </c>
      <c r="B666" s="86">
        <v>45592</v>
      </c>
      <c r="C666" t="str">
        <f t="shared" si="51"/>
        <v>DOM</v>
      </c>
      <c r="D666" t="str">
        <f t="shared" si="52"/>
        <v>Domingo</v>
      </c>
    </row>
    <row r="667" spans="1:4" x14ac:dyDescent="0.25">
      <c r="A667" s="88" t="str">
        <f t="shared" si="50"/>
        <v>10-2024</v>
      </c>
      <c r="B667" s="86">
        <v>45593</v>
      </c>
      <c r="C667" t="str">
        <f t="shared" si="51"/>
        <v>L-V</v>
      </c>
      <c r="D667" t="str">
        <f t="shared" si="52"/>
        <v>Lunes</v>
      </c>
    </row>
    <row r="668" spans="1:4" x14ac:dyDescent="0.25">
      <c r="A668" s="88" t="str">
        <f t="shared" si="50"/>
        <v>10-2024</v>
      </c>
      <c r="B668" s="86">
        <v>45594</v>
      </c>
      <c r="C668" t="str">
        <f t="shared" si="51"/>
        <v>L-V</v>
      </c>
      <c r="D668" t="str">
        <f t="shared" si="52"/>
        <v>Martes</v>
      </c>
    </row>
    <row r="669" spans="1:4" x14ac:dyDescent="0.25">
      <c r="A669" s="88" t="str">
        <f t="shared" si="50"/>
        <v>10-2024</v>
      </c>
      <c r="B669" s="86">
        <v>45595</v>
      </c>
      <c r="C669" t="str">
        <f t="shared" si="51"/>
        <v>L-V</v>
      </c>
      <c r="D669" t="str">
        <f t="shared" si="52"/>
        <v>Miércoles</v>
      </c>
    </row>
    <row r="670" spans="1:4" x14ac:dyDescent="0.25">
      <c r="A670" s="88" t="str">
        <f t="shared" si="50"/>
        <v>10-2024</v>
      </c>
      <c r="B670" s="86">
        <v>45596</v>
      </c>
      <c r="C670" t="str">
        <f t="shared" si="51"/>
        <v>L-V</v>
      </c>
      <c r="D670" t="str">
        <f t="shared" si="52"/>
        <v>Jueves</v>
      </c>
    </row>
    <row r="671" spans="1:4" x14ac:dyDescent="0.25">
      <c r="A671" s="88" t="str">
        <f t="shared" si="50"/>
        <v>11-2024</v>
      </c>
      <c r="B671" s="86">
        <v>45597</v>
      </c>
      <c r="C671" t="str">
        <f t="shared" si="51"/>
        <v>L-V</v>
      </c>
      <c r="D671" t="str">
        <f t="shared" si="52"/>
        <v>Viernes</v>
      </c>
    </row>
    <row r="672" spans="1:4" x14ac:dyDescent="0.25">
      <c r="A672" s="88" t="str">
        <f t="shared" si="50"/>
        <v>11-2024</v>
      </c>
      <c r="B672" s="86">
        <v>45598</v>
      </c>
      <c r="C672" t="str">
        <f t="shared" si="51"/>
        <v>SAB</v>
      </c>
      <c r="D672" t="str">
        <f t="shared" si="52"/>
        <v>Sábado</v>
      </c>
    </row>
    <row r="673" spans="1:4" x14ac:dyDescent="0.25">
      <c r="A673" s="88" t="str">
        <f t="shared" si="50"/>
        <v>11-2024</v>
      </c>
      <c r="B673" s="86">
        <v>45599</v>
      </c>
      <c r="C673" t="str">
        <f t="shared" si="51"/>
        <v>DOM</v>
      </c>
      <c r="D673" t="str">
        <f t="shared" si="52"/>
        <v>Domingo</v>
      </c>
    </row>
    <row r="674" spans="1:4" x14ac:dyDescent="0.25">
      <c r="A674" s="88" t="str">
        <f t="shared" si="50"/>
        <v>11-2024</v>
      </c>
      <c r="B674" s="86">
        <v>45600</v>
      </c>
      <c r="C674" t="str">
        <f t="shared" si="51"/>
        <v>L-V</v>
      </c>
      <c r="D674" t="str">
        <f t="shared" si="52"/>
        <v>Lunes</v>
      </c>
    </row>
    <row r="675" spans="1:4" x14ac:dyDescent="0.25">
      <c r="A675" s="88" t="str">
        <f t="shared" si="50"/>
        <v>11-2024</v>
      </c>
      <c r="B675" s="86">
        <v>45601</v>
      </c>
      <c r="C675" t="str">
        <f t="shared" si="51"/>
        <v>L-V</v>
      </c>
      <c r="D675" t="str">
        <f t="shared" si="52"/>
        <v>Martes</v>
      </c>
    </row>
    <row r="676" spans="1:4" x14ac:dyDescent="0.25">
      <c r="A676" s="88" t="str">
        <f t="shared" si="50"/>
        <v>11-2024</v>
      </c>
      <c r="B676" s="86">
        <v>45602</v>
      </c>
      <c r="C676" t="str">
        <f t="shared" si="51"/>
        <v>L-V</v>
      </c>
      <c r="D676" t="str">
        <f t="shared" si="52"/>
        <v>Miércoles</v>
      </c>
    </row>
    <row r="677" spans="1:4" x14ac:dyDescent="0.25">
      <c r="A677" s="88" t="str">
        <f t="shared" si="50"/>
        <v>11-2024</v>
      </c>
      <c r="B677" s="86">
        <v>45603</v>
      </c>
      <c r="C677" t="str">
        <f t="shared" si="51"/>
        <v>L-V</v>
      </c>
      <c r="D677" t="str">
        <f t="shared" si="52"/>
        <v>Jueves</v>
      </c>
    </row>
    <row r="678" spans="1:4" x14ac:dyDescent="0.25">
      <c r="A678" s="88" t="str">
        <f t="shared" si="50"/>
        <v>11-2024</v>
      </c>
      <c r="B678" s="86">
        <v>45604</v>
      </c>
      <c r="C678" t="str">
        <f t="shared" si="51"/>
        <v>L-V</v>
      </c>
      <c r="D678" t="str">
        <f t="shared" si="52"/>
        <v>Viernes</v>
      </c>
    </row>
    <row r="679" spans="1:4" x14ac:dyDescent="0.25">
      <c r="A679" s="88" t="str">
        <f t="shared" si="50"/>
        <v>11-2024</v>
      </c>
      <c r="B679" s="86">
        <v>45605</v>
      </c>
      <c r="C679" t="str">
        <f t="shared" si="51"/>
        <v>SAB</v>
      </c>
      <c r="D679" t="str">
        <f t="shared" si="52"/>
        <v>Sábado</v>
      </c>
    </row>
    <row r="680" spans="1:4" x14ac:dyDescent="0.25">
      <c r="A680" s="88" t="str">
        <f t="shared" si="50"/>
        <v>11-2024</v>
      </c>
      <c r="B680" s="86">
        <v>45606</v>
      </c>
      <c r="C680" t="str">
        <f t="shared" si="51"/>
        <v>DOM</v>
      </c>
      <c r="D680" t="str">
        <f t="shared" si="52"/>
        <v>Domingo</v>
      </c>
    </row>
    <row r="681" spans="1:4" x14ac:dyDescent="0.25">
      <c r="A681" s="88" t="str">
        <f t="shared" si="50"/>
        <v>11-2024</v>
      </c>
      <c r="B681" s="86">
        <v>45607</v>
      </c>
      <c r="C681" t="str">
        <f t="shared" si="51"/>
        <v>L-V</v>
      </c>
      <c r="D681" t="str">
        <f t="shared" si="52"/>
        <v>Lunes</v>
      </c>
    </row>
    <row r="682" spans="1:4" x14ac:dyDescent="0.25">
      <c r="A682" s="88" t="str">
        <f t="shared" si="50"/>
        <v>11-2024</v>
      </c>
      <c r="B682" s="86">
        <v>45608</v>
      </c>
      <c r="C682" t="str">
        <f t="shared" si="51"/>
        <v>L-V</v>
      </c>
      <c r="D682" t="str">
        <f t="shared" si="52"/>
        <v>Martes</v>
      </c>
    </row>
    <row r="683" spans="1:4" x14ac:dyDescent="0.25">
      <c r="A683" s="88" t="str">
        <f t="shared" si="50"/>
        <v>11-2024</v>
      </c>
      <c r="B683" s="86">
        <v>45609</v>
      </c>
      <c r="C683" t="str">
        <f t="shared" si="51"/>
        <v>L-V</v>
      </c>
      <c r="D683" t="str">
        <f t="shared" si="52"/>
        <v>Miércoles</v>
      </c>
    </row>
    <row r="684" spans="1:4" x14ac:dyDescent="0.25">
      <c r="A684" s="88" t="str">
        <f t="shared" si="50"/>
        <v>11-2024</v>
      </c>
      <c r="B684" s="86">
        <v>45610</v>
      </c>
      <c r="C684" t="str">
        <f t="shared" si="51"/>
        <v>L-V</v>
      </c>
      <c r="D684" t="str">
        <f t="shared" si="52"/>
        <v>Jueves</v>
      </c>
    </row>
    <row r="685" spans="1:4" x14ac:dyDescent="0.25">
      <c r="A685" s="88" t="str">
        <f t="shared" si="50"/>
        <v>11-2024</v>
      </c>
      <c r="B685" s="86">
        <v>45611</v>
      </c>
      <c r="C685" t="str">
        <f t="shared" si="51"/>
        <v>L-V</v>
      </c>
      <c r="D685" t="str">
        <f t="shared" si="52"/>
        <v>Viernes</v>
      </c>
    </row>
    <row r="686" spans="1:4" x14ac:dyDescent="0.25">
      <c r="A686" s="88" t="str">
        <f t="shared" si="50"/>
        <v>11-2024</v>
      </c>
      <c r="B686" s="86">
        <v>45612</v>
      </c>
      <c r="C686" t="str">
        <f t="shared" si="51"/>
        <v>SAB</v>
      </c>
      <c r="D686" t="str">
        <f t="shared" si="52"/>
        <v>Sábado</v>
      </c>
    </row>
    <row r="687" spans="1:4" x14ac:dyDescent="0.25">
      <c r="A687" s="88" t="str">
        <f t="shared" si="50"/>
        <v>11-2024</v>
      </c>
      <c r="B687" s="86">
        <v>45613</v>
      </c>
      <c r="C687" t="str">
        <f t="shared" si="51"/>
        <v>DOM</v>
      </c>
      <c r="D687" t="str">
        <f t="shared" si="52"/>
        <v>Domingo</v>
      </c>
    </row>
    <row r="688" spans="1:4" x14ac:dyDescent="0.25">
      <c r="A688" s="88" t="str">
        <f t="shared" si="50"/>
        <v>11-2024</v>
      </c>
      <c r="B688" s="86">
        <v>45614</v>
      </c>
      <c r="C688" t="str">
        <f t="shared" si="51"/>
        <v>L-V</v>
      </c>
      <c r="D688" t="str">
        <f t="shared" si="52"/>
        <v>Lunes</v>
      </c>
    </row>
    <row r="689" spans="1:4" x14ac:dyDescent="0.25">
      <c r="A689" s="88" t="str">
        <f t="shared" si="50"/>
        <v>11-2024</v>
      </c>
      <c r="B689" s="86">
        <v>45615</v>
      </c>
      <c r="C689" t="str">
        <f t="shared" si="51"/>
        <v>L-V</v>
      </c>
      <c r="D689" t="str">
        <f t="shared" si="52"/>
        <v>Martes</v>
      </c>
    </row>
    <row r="690" spans="1:4" x14ac:dyDescent="0.25">
      <c r="A690" s="88" t="str">
        <f t="shared" si="50"/>
        <v>11-2024</v>
      </c>
      <c r="B690" s="86">
        <v>45616</v>
      </c>
      <c r="C690" t="str">
        <f t="shared" si="51"/>
        <v>L-V</v>
      </c>
      <c r="D690" t="str">
        <f t="shared" si="52"/>
        <v>Miércoles</v>
      </c>
    </row>
    <row r="691" spans="1:4" x14ac:dyDescent="0.25">
      <c r="A691" s="88" t="str">
        <f t="shared" si="50"/>
        <v>11-2024</v>
      </c>
      <c r="B691" s="86">
        <v>45617</v>
      </c>
      <c r="C691" t="str">
        <f t="shared" si="51"/>
        <v>L-V</v>
      </c>
      <c r="D691" t="str">
        <f t="shared" si="52"/>
        <v>Jueves</v>
      </c>
    </row>
    <row r="692" spans="1:4" x14ac:dyDescent="0.25">
      <c r="A692" s="88" t="str">
        <f t="shared" si="50"/>
        <v>11-2024</v>
      </c>
      <c r="B692" s="86">
        <v>45618</v>
      </c>
      <c r="C692" t="str">
        <f t="shared" si="51"/>
        <v>L-V</v>
      </c>
      <c r="D692" t="str">
        <f t="shared" si="52"/>
        <v>Viernes</v>
      </c>
    </row>
    <row r="693" spans="1:4" x14ac:dyDescent="0.25">
      <c r="A693" s="88" t="str">
        <f t="shared" si="50"/>
        <v>11-2024</v>
      </c>
      <c r="B693" s="86">
        <v>45619</v>
      </c>
      <c r="C693" t="str">
        <f t="shared" si="51"/>
        <v>SAB</v>
      </c>
      <c r="D693" t="str">
        <f t="shared" si="52"/>
        <v>Sábado</v>
      </c>
    </row>
    <row r="694" spans="1:4" x14ac:dyDescent="0.25">
      <c r="A694" s="88" t="str">
        <f t="shared" si="50"/>
        <v>11-2024</v>
      </c>
      <c r="B694" s="86">
        <v>45620</v>
      </c>
      <c r="C694" t="str">
        <f t="shared" si="51"/>
        <v>DOM</v>
      </c>
      <c r="D694" t="str">
        <f t="shared" si="52"/>
        <v>Domingo</v>
      </c>
    </row>
    <row r="695" spans="1:4" x14ac:dyDescent="0.25">
      <c r="A695" s="88" t="str">
        <f t="shared" si="50"/>
        <v>11-2024</v>
      </c>
      <c r="B695" s="86">
        <v>45621</v>
      </c>
      <c r="C695" t="str">
        <f t="shared" si="51"/>
        <v>L-V</v>
      </c>
      <c r="D695" t="str">
        <f t="shared" si="52"/>
        <v>Lunes</v>
      </c>
    </row>
    <row r="696" spans="1:4" x14ac:dyDescent="0.25">
      <c r="A696" s="88" t="str">
        <f t="shared" si="50"/>
        <v>11-2024</v>
      </c>
      <c r="B696" s="86">
        <v>45622</v>
      </c>
      <c r="C696" t="str">
        <f t="shared" si="51"/>
        <v>L-V</v>
      </c>
      <c r="D696" t="str">
        <f t="shared" si="52"/>
        <v>Martes</v>
      </c>
    </row>
    <row r="697" spans="1:4" x14ac:dyDescent="0.25">
      <c r="A697" s="88" t="str">
        <f t="shared" si="50"/>
        <v>11-2024</v>
      </c>
      <c r="B697" s="86">
        <v>45623</v>
      </c>
      <c r="C697" t="str">
        <f t="shared" si="51"/>
        <v>L-V</v>
      </c>
      <c r="D697" t="str">
        <f t="shared" si="52"/>
        <v>Miércoles</v>
      </c>
    </row>
    <row r="698" spans="1:4" x14ac:dyDescent="0.25">
      <c r="A698" s="88" t="str">
        <f t="shared" si="50"/>
        <v>11-2024</v>
      </c>
      <c r="B698" s="86">
        <v>45624</v>
      </c>
      <c r="C698" t="str">
        <f t="shared" si="51"/>
        <v>L-V</v>
      </c>
      <c r="D698" t="str">
        <f t="shared" si="52"/>
        <v>Jueves</v>
      </c>
    </row>
    <row r="699" spans="1:4" x14ac:dyDescent="0.25">
      <c r="A699" s="88" t="str">
        <f t="shared" si="50"/>
        <v>11-2024</v>
      </c>
      <c r="B699" s="86">
        <v>45625</v>
      </c>
      <c r="C699" t="str">
        <f t="shared" si="51"/>
        <v>L-V</v>
      </c>
      <c r="D699" t="str">
        <f t="shared" si="52"/>
        <v>Viernes</v>
      </c>
    </row>
    <row r="700" spans="1:4" x14ac:dyDescent="0.25">
      <c r="A700" s="88" t="str">
        <f t="shared" si="50"/>
        <v>11-2024</v>
      </c>
      <c r="B700" s="86">
        <v>45626</v>
      </c>
      <c r="C700" t="str">
        <f t="shared" si="51"/>
        <v>SAB</v>
      </c>
      <c r="D700" t="str">
        <f t="shared" si="52"/>
        <v>Sábado</v>
      </c>
    </row>
    <row r="701" spans="1:4" x14ac:dyDescent="0.25">
      <c r="A701" s="88" t="str">
        <f t="shared" si="50"/>
        <v>12-2024</v>
      </c>
      <c r="B701" s="86">
        <v>45627</v>
      </c>
      <c r="C701" t="str">
        <f t="shared" si="51"/>
        <v>DOM</v>
      </c>
      <c r="D701" t="str">
        <f t="shared" si="52"/>
        <v>Domingo</v>
      </c>
    </row>
    <row r="702" spans="1:4" x14ac:dyDescent="0.25">
      <c r="A702" s="88" t="str">
        <f t="shared" si="50"/>
        <v>12-2024</v>
      </c>
      <c r="B702" s="86">
        <v>45628</v>
      </c>
      <c r="C702" t="str">
        <f t="shared" si="51"/>
        <v>L-V</v>
      </c>
      <c r="D702" t="str">
        <f t="shared" si="52"/>
        <v>Lunes</v>
      </c>
    </row>
    <row r="703" spans="1:4" x14ac:dyDescent="0.25">
      <c r="A703" s="88" t="str">
        <f t="shared" si="50"/>
        <v>12-2024</v>
      </c>
      <c r="B703" s="86">
        <v>45629</v>
      </c>
      <c r="C703" t="str">
        <f t="shared" si="51"/>
        <v>L-V</v>
      </c>
      <c r="D703" t="str">
        <f t="shared" si="52"/>
        <v>Martes</v>
      </c>
    </row>
    <row r="704" spans="1:4" x14ac:dyDescent="0.25">
      <c r="A704" s="88" t="str">
        <f t="shared" si="50"/>
        <v>12-2024</v>
      </c>
      <c r="B704" s="86">
        <v>45630</v>
      </c>
      <c r="C704" t="str">
        <f t="shared" si="51"/>
        <v>L-V</v>
      </c>
      <c r="D704" t="str">
        <f t="shared" si="52"/>
        <v>Miércoles</v>
      </c>
    </row>
    <row r="705" spans="1:4" x14ac:dyDescent="0.25">
      <c r="A705" s="88" t="str">
        <f t="shared" si="50"/>
        <v>12-2024</v>
      </c>
      <c r="B705" s="86">
        <v>45631</v>
      </c>
      <c r="C705" t="str">
        <f t="shared" si="51"/>
        <v>L-V</v>
      </c>
      <c r="D705" t="str">
        <f t="shared" si="52"/>
        <v>Jueves</v>
      </c>
    </row>
    <row r="706" spans="1:4" x14ac:dyDescent="0.25">
      <c r="A706" s="88" t="str">
        <f t="shared" ref="A706:A769" si="53">MONTH(B706)&amp;"-"&amp;YEAR(B706)</f>
        <v>12-2024</v>
      </c>
      <c r="B706" s="86">
        <v>45632</v>
      </c>
      <c r="C706" t="str">
        <f t="shared" si="51"/>
        <v>L-V</v>
      </c>
      <c r="D706" t="str">
        <f t="shared" si="52"/>
        <v>Viernes</v>
      </c>
    </row>
    <row r="707" spans="1:4" x14ac:dyDescent="0.25">
      <c r="A707" s="88" t="str">
        <f t="shared" si="53"/>
        <v>12-2024</v>
      </c>
      <c r="B707" s="86">
        <v>45633</v>
      </c>
      <c r="C707" t="str">
        <f t="shared" ref="C707:C770" si="54">VLOOKUP(WEEKDAY(B707,2),$F$1:$H$7,2)</f>
        <v>SAB</v>
      </c>
      <c r="D707" t="str">
        <f t="shared" ref="D707:D770" si="55">VLOOKUP(WEEKDAY($B707,2),$F$1:$H$7,3)</f>
        <v>Sábado</v>
      </c>
    </row>
    <row r="708" spans="1:4" x14ac:dyDescent="0.25">
      <c r="A708" s="88" t="str">
        <f t="shared" si="53"/>
        <v>12-2024</v>
      </c>
      <c r="B708" s="86">
        <v>45634</v>
      </c>
      <c r="C708" t="str">
        <f t="shared" si="54"/>
        <v>DOM</v>
      </c>
      <c r="D708" t="str">
        <f t="shared" si="55"/>
        <v>Domingo</v>
      </c>
    </row>
    <row r="709" spans="1:4" x14ac:dyDescent="0.25">
      <c r="A709" s="88" t="str">
        <f t="shared" si="53"/>
        <v>12-2024</v>
      </c>
      <c r="B709" s="86">
        <v>45635</v>
      </c>
      <c r="C709" t="str">
        <f t="shared" si="54"/>
        <v>L-V</v>
      </c>
      <c r="D709" t="str">
        <f t="shared" si="55"/>
        <v>Lunes</v>
      </c>
    </row>
    <row r="710" spans="1:4" x14ac:dyDescent="0.25">
      <c r="A710" s="88" t="str">
        <f t="shared" si="53"/>
        <v>12-2024</v>
      </c>
      <c r="B710" s="86">
        <v>45636</v>
      </c>
      <c r="C710" t="str">
        <f t="shared" si="54"/>
        <v>L-V</v>
      </c>
      <c r="D710" t="str">
        <f t="shared" si="55"/>
        <v>Martes</v>
      </c>
    </row>
    <row r="711" spans="1:4" x14ac:dyDescent="0.25">
      <c r="A711" s="88" t="str">
        <f t="shared" si="53"/>
        <v>12-2024</v>
      </c>
      <c r="B711" s="86">
        <v>45637</v>
      </c>
      <c r="C711" t="str">
        <f t="shared" si="54"/>
        <v>L-V</v>
      </c>
      <c r="D711" t="str">
        <f t="shared" si="55"/>
        <v>Miércoles</v>
      </c>
    </row>
    <row r="712" spans="1:4" x14ac:dyDescent="0.25">
      <c r="A712" s="88" t="str">
        <f t="shared" si="53"/>
        <v>12-2024</v>
      </c>
      <c r="B712" s="86">
        <v>45638</v>
      </c>
      <c r="C712" t="str">
        <f t="shared" si="54"/>
        <v>L-V</v>
      </c>
      <c r="D712" t="str">
        <f t="shared" si="55"/>
        <v>Jueves</v>
      </c>
    </row>
    <row r="713" spans="1:4" x14ac:dyDescent="0.25">
      <c r="A713" s="88" t="str">
        <f t="shared" si="53"/>
        <v>12-2024</v>
      </c>
      <c r="B713" s="86">
        <v>45639</v>
      </c>
      <c r="C713" t="str">
        <f t="shared" si="54"/>
        <v>L-V</v>
      </c>
      <c r="D713" t="str">
        <f t="shared" si="55"/>
        <v>Viernes</v>
      </c>
    </row>
    <row r="714" spans="1:4" x14ac:dyDescent="0.25">
      <c r="A714" s="88" t="str">
        <f t="shared" si="53"/>
        <v>12-2024</v>
      </c>
      <c r="B714" s="86">
        <v>45640</v>
      </c>
      <c r="C714" t="str">
        <f t="shared" si="54"/>
        <v>SAB</v>
      </c>
      <c r="D714" t="str">
        <f t="shared" si="55"/>
        <v>Sábado</v>
      </c>
    </row>
    <row r="715" spans="1:4" x14ac:dyDescent="0.25">
      <c r="A715" s="88" t="str">
        <f t="shared" si="53"/>
        <v>12-2024</v>
      </c>
      <c r="B715" s="86">
        <v>45641</v>
      </c>
      <c r="C715" t="str">
        <f t="shared" si="54"/>
        <v>DOM</v>
      </c>
      <c r="D715" t="str">
        <f t="shared" si="55"/>
        <v>Domingo</v>
      </c>
    </row>
    <row r="716" spans="1:4" x14ac:dyDescent="0.25">
      <c r="A716" s="88" t="str">
        <f t="shared" si="53"/>
        <v>12-2024</v>
      </c>
      <c r="B716" s="86">
        <v>45642</v>
      </c>
      <c r="C716" t="str">
        <f t="shared" si="54"/>
        <v>L-V</v>
      </c>
      <c r="D716" t="str">
        <f t="shared" si="55"/>
        <v>Lunes</v>
      </c>
    </row>
    <row r="717" spans="1:4" x14ac:dyDescent="0.25">
      <c r="A717" s="88" t="str">
        <f t="shared" si="53"/>
        <v>12-2024</v>
      </c>
      <c r="B717" s="86">
        <v>45643</v>
      </c>
      <c r="C717" t="str">
        <f t="shared" si="54"/>
        <v>L-V</v>
      </c>
      <c r="D717" t="str">
        <f t="shared" si="55"/>
        <v>Martes</v>
      </c>
    </row>
    <row r="718" spans="1:4" x14ac:dyDescent="0.25">
      <c r="A718" s="88" t="str">
        <f t="shared" si="53"/>
        <v>12-2024</v>
      </c>
      <c r="B718" s="86">
        <v>45644</v>
      </c>
      <c r="C718" t="str">
        <f t="shared" si="54"/>
        <v>L-V</v>
      </c>
      <c r="D718" t="str">
        <f t="shared" si="55"/>
        <v>Miércoles</v>
      </c>
    </row>
    <row r="719" spans="1:4" x14ac:dyDescent="0.25">
      <c r="A719" s="88" t="str">
        <f t="shared" si="53"/>
        <v>12-2024</v>
      </c>
      <c r="B719" s="86">
        <v>45645</v>
      </c>
      <c r="C719" t="str">
        <f t="shared" si="54"/>
        <v>L-V</v>
      </c>
      <c r="D719" t="str">
        <f t="shared" si="55"/>
        <v>Jueves</v>
      </c>
    </row>
    <row r="720" spans="1:4" x14ac:dyDescent="0.25">
      <c r="A720" s="88" t="str">
        <f t="shared" si="53"/>
        <v>12-2024</v>
      </c>
      <c r="B720" s="86">
        <v>45646</v>
      </c>
      <c r="C720" t="str">
        <f t="shared" si="54"/>
        <v>L-V</v>
      </c>
      <c r="D720" t="str">
        <f t="shared" si="55"/>
        <v>Viernes</v>
      </c>
    </row>
    <row r="721" spans="1:4" x14ac:dyDescent="0.25">
      <c r="A721" s="88" t="str">
        <f t="shared" si="53"/>
        <v>12-2024</v>
      </c>
      <c r="B721" s="86">
        <v>45647</v>
      </c>
      <c r="C721" t="str">
        <f t="shared" si="54"/>
        <v>SAB</v>
      </c>
      <c r="D721" t="str">
        <f t="shared" si="55"/>
        <v>Sábado</v>
      </c>
    </row>
    <row r="722" spans="1:4" x14ac:dyDescent="0.25">
      <c r="A722" s="88" t="str">
        <f t="shared" si="53"/>
        <v>12-2024</v>
      </c>
      <c r="B722" s="86">
        <v>45648</v>
      </c>
      <c r="C722" t="str">
        <f t="shared" si="54"/>
        <v>DOM</v>
      </c>
      <c r="D722" t="str">
        <f t="shared" si="55"/>
        <v>Domingo</v>
      </c>
    </row>
    <row r="723" spans="1:4" x14ac:dyDescent="0.25">
      <c r="A723" s="88" t="str">
        <f t="shared" si="53"/>
        <v>12-2024</v>
      </c>
      <c r="B723" s="86">
        <v>45649</v>
      </c>
      <c r="C723" t="str">
        <f t="shared" si="54"/>
        <v>L-V</v>
      </c>
      <c r="D723" t="str">
        <f t="shared" si="55"/>
        <v>Lunes</v>
      </c>
    </row>
    <row r="724" spans="1:4" x14ac:dyDescent="0.25">
      <c r="A724" s="88" t="str">
        <f t="shared" si="53"/>
        <v>12-2024</v>
      </c>
      <c r="B724" s="86">
        <v>45650</v>
      </c>
      <c r="C724" t="str">
        <f t="shared" si="54"/>
        <v>L-V</v>
      </c>
      <c r="D724" t="str">
        <f t="shared" si="55"/>
        <v>Martes</v>
      </c>
    </row>
    <row r="725" spans="1:4" x14ac:dyDescent="0.25">
      <c r="A725" s="88" t="str">
        <f t="shared" si="53"/>
        <v>12-2024</v>
      </c>
      <c r="B725" s="86">
        <v>45651</v>
      </c>
      <c r="C725" t="str">
        <f t="shared" si="54"/>
        <v>L-V</v>
      </c>
      <c r="D725" t="str">
        <f t="shared" si="55"/>
        <v>Miércoles</v>
      </c>
    </row>
    <row r="726" spans="1:4" x14ac:dyDescent="0.25">
      <c r="A726" s="88" t="str">
        <f t="shared" si="53"/>
        <v>12-2024</v>
      </c>
      <c r="B726" s="86">
        <v>45652</v>
      </c>
      <c r="C726" t="str">
        <f t="shared" si="54"/>
        <v>L-V</v>
      </c>
      <c r="D726" t="str">
        <f t="shared" si="55"/>
        <v>Jueves</v>
      </c>
    </row>
    <row r="727" spans="1:4" x14ac:dyDescent="0.25">
      <c r="A727" s="88" t="str">
        <f t="shared" si="53"/>
        <v>12-2024</v>
      </c>
      <c r="B727" s="86">
        <v>45653</v>
      </c>
      <c r="C727" t="str">
        <f t="shared" si="54"/>
        <v>L-V</v>
      </c>
      <c r="D727" t="str">
        <f t="shared" si="55"/>
        <v>Viernes</v>
      </c>
    </row>
    <row r="728" spans="1:4" x14ac:dyDescent="0.25">
      <c r="A728" s="88" t="str">
        <f t="shared" si="53"/>
        <v>12-2024</v>
      </c>
      <c r="B728" s="86">
        <v>45654</v>
      </c>
      <c r="C728" t="str">
        <f t="shared" si="54"/>
        <v>SAB</v>
      </c>
      <c r="D728" t="str">
        <f t="shared" si="55"/>
        <v>Sábado</v>
      </c>
    </row>
    <row r="729" spans="1:4" x14ac:dyDescent="0.25">
      <c r="A729" s="88" t="str">
        <f t="shared" si="53"/>
        <v>12-2024</v>
      </c>
      <c r="B729" s="86">
        <v>45655</v>
      </c>
      <c r="C729" t="str">
        <f t="shared" si="54"/>
        <v>DOM</v>
      </c>
      <c r="D729" t="str">
        <f t="shared" si="55"/>
        <v>Domingo</v>
      </c>
    </row>
    <row r="730" spans="1:4" x14ac:dyDescent="0.25">
      <c r="A730" s="88" t="str">
        <f t="shared" si="53"/>
        <v>12-2024</v>
      </c>
      <c r="B730" s="86">
        <v>45656</v>
      </c>
      <c r="C730" t="str">
        <f t="shared" si="54"/>
        <v>L-V</v>
      </c>
      <c r="D730" t="str">
        <f t="shared" si="55"/>
        <v>Lunes</v>
      </c>
    </row>
    <row r="731" spans="1:4" x14ac:dyDescent="0.25">
      <c r="A731" s="88" t="str">
        <f t="shared" si="53"/>
        <v>12-2024</v>
      </c>
      <c r="B731" s="86">
        <v>45657</v>
      </c>
      <c r="C731" t="str">
        <f t="shared" si="54"/>
        <v>L-V</v>
      </c>
      <c r="D731" t="str">
        <f t="shared" si="55"/>
        <v>Martes</v>
      </c>
    </row>
    <row r="732" spans="1:4" x14ac:dyDescent="0.25">
      <c r="A732" s="88" t="str">
        <f t="shared" si="53"/>
        <v>1-2025</v>
      </c>
      <c r="B732" s="86">
        <v>45658</v>
      </c>
      <c r="C732" t="str">
        <f t="shared" si="54"/>
        <v>L-V</v>
      </c>
      <c r="D732" t="str">
        <f t="shared" si="55"/>
        <v>Miércoles</v>
      </c>
    </row>
    <row r="733" spans="1:4" x14ac:dyDescent="0.25">
      <c r="A733" s="88" t="str">
        <f t="shared" si="53"/>
        <v>1-2025</v>
      </c>
      <c r="B733" s="86">
        <v>45659</v>
      </c>
      <c r="C733" t="str">
        <f t="shared" si="54"/>
        <v>L-V</v>
      </c>
      <c r="D733" t="str">
        <f t="shared" si="55"/>
        <v>Jueves</v>
      </c>
    </row>
    <row r="734" spans="1:4" x14ac:dyDescent="0.25">
      <c r="A734" s="88" t="str">
        <f t="shared" si="53"/>
        <v>1-2025</v>
      </c>
      <c r="B734" s="86">
        <v>45660</v>
      </c>
      <c r="C734" t="str">
        <f t="shared" si="54"/>
        <v>L-V</v>
      </c>
      <c r="D734" t="str">
        <f t="shared" si="55"/>
        <v>Viernes</v>
      </c>
    </row>
    <row r="735" spans="1:4" x14ac:dyDescent="0.25">
      <c r="A735" s="88" t="str">
        <f t="shared" si="53"/>
        <v>1-2025</v>
      </c>
      <c r="B735" s="86">
        <v>45661</v>
      </c>
      <c r="C735" t="str">
        <f t="shared" si="54"/>
        <v>SAB</v>
      </c>
      <c r="D735" t="str">
        <f t="shared" si="55"/>
        <v>Sábado</v>
      </c>
    </row>
    <row r="736" spans="1:4" x14ac:dyDescent="0.25">
      <c r="A736" s="88" t="str">
        <f t="shared" si="53"/>
        <v>1-2025</v>
      </c>
      <c r="B736" s="86">
        <v>45662</v>
      </c>
      <c r="C736" t="str">
        <f t="shared" si="54"/>
        <v>DOM</v>
      </c>
      <c r="D736" t="str">
        <f t="shared" si="55"/>
        <v>Domingo</v>
      </c>
    </row>
    <row r="737" spans="1:4" x14ac:dyDescent="0.25">
      <c r="A737" s="88" t="str">
        <f t="shared" si="53"/>
        <v>1-2025</v>
      </c>
      <c r="B737" s="86">
        <v>45663</v>
      </c>
      <c r="C737" t="str">
        <f t="shared" si="54"/>
        <v>L-V</v>
      </c>
      <c r="D737" t="str">
        <f t="shared" si="55"/>
        <v>Lunes</v>
      </c>
    </row>
    <row r="738" spans="1:4" x14ac:dyDescent="0.25">
      <c r="A738" s="88" t="str">
        <f t="shared" si="53"/>
        <v>1-2025</v>
      </c>
      <c r="B738" s="86">
        <v>45664</v>
      </c>
      <c r="C738" t="str">
        <f t="shared" si="54"/>
        <v>L-V</v>
      </c>
      <c r="D738" t="str">
        <f t="shared" si="55"/>
        <v>Martes</v>
      </c>
    </row>
    <row r="739" spans="1:4" x14ac:dyDescent="0.25">
      <c r="A739" s="88" t="str">
        <f t="shared" si="53"/>
        <v>1-2025</v>
      </c>
      <c r="B739" s="86">
        <v>45665</v>
      </c>
      <c r="C739" t="str">
        <f t="shared" si="54"/>
        <v>L-V</v>
      </c>
      <c r="D739" t="str">
        <f t="shared" si="55"/>
        <v>Miércoles</v>
      </c>
    </row>
    <row r="740" spans="1:4" x14ac:dyDescent="0.25">
      <c r="A740" s="88" t="str">
        <f t="shared" si="53"/>
        <v>1-2025</v>
      </c>
      <c r="B740" s="86">
        <v>45666</v>
      </c>
      <c r="C740" t="str">
        <f t="shared" si="54"/>
        <v>L-V</v>
      </c>
      <c r="D740" t="str">
        <f t="shared" si="55"/>
        <v>Jueves</v>
      </c>
    </row>
    <row r="741" spans="1:4" x14ac:dyDescent="0.25">
      <c r="A741" s="88" t="str">
        <f t="shared" si="53"/>
        <v>1-2025</v>
      </c>
      <c r="B741" s="86">
        <v>45667</v>
      </c>
      <c r="C741" t="str">
        <f t="shared" si="54"/>
        <v>L-V</v>
      </c>
      <c r="D741" t="str">
        <f t="shared" si="55"/>
        <v>Viernes</v>
      </c>
    </row>
    <row r="742" spans="1:4" x14ac:dyDescent="0.25">
      <c r="A742" s="88" t="str">
        <f t="shared" si="53"/>
        <v>1-2025</v>
      </c>
      <c r="B742" s="86">
        <v>45668</v>
      </c>
      <c r="C742" t="str">
        <f t="shared" si="54"/>
        <v>SAB</v>
      </c>
      <c r="D742" t="str">
        <f t="shared" si="55"/>
        <v>Sábado</v>
      </c>
    </row>
    <row r="743" spans="1:4" x14ac:dyDescent="0.25">
      <c r="A743" s="88" t="str">
        <f t="shared" si="53"/>
        <v>1-2025</v>
      </c>
      <c r="B743" s="86">
        <v>45669</v>
      </c>
      <c r="C743" t="str">
        <f t="shared" si="54"/>
        <v>DOM</v>
      </c>
      <c r="D743" t="str">
        <f t="shared" si="55"/>
        <v>Domingo</v>
      </c>
    </row>
    <row r="744" spans="1:4" x14ac:dyDescent="0.25">
      <c r="A744" s="88" t="str">
        <f t="shared" si="53"/>
        <v>1-2025</v>
      </c>
      <c r="B744" s="86">
        <v>45670</v>
      </c>
      <c r="C744" t="str">
        <f t="shared" si="54"/>
        <v>L-V</v>
      </c>
      <c r="D744" t="str">
        <f t="shared" si="55"/>
        <v>Lunes</v>
      </c>
    </row>
    <row r="745" spans="1:4" x14ac:dyDescent="0.25">
      <c r="A745" s="88" t="str">
        <f t="shared" si="53"/>
        <v>1-2025</v>
      </c>
      <c r="B745" s="86">
        <v>45671</v>
      </c>
      <c r="C745" t="str">
        <f t="shared" si="54"/>
        <v>L-V</v>
      </c>
      <c r="D745" t="str">
        <f t="shared" si="55"/>
        <v>Martes</v>
      </c>
    </row>
    <row r="746" spans="1:4" x14ac:dyDescent="0.25">
      <c r="A746" s="88" t="str">
        <f t="shared" si="53"/>
        <v>1-2025</v>
      </c>
      <c r="B746" s="86">
        <v>45672</v>
      </c>
      <c r="C746" t="str">
        <f t="shared" si="54"/>
        <v>L-V</v>
      </c>
      <c r="D746" t="str">
        <f t="shared" si="55"/>
        <v>Miércoles</v>
      </c>
    </row>
    <row r="747" spans="1:4" x14ac:dyDescent="0.25">
      <c r="A747" s="88" t="str">
        <f t="shared" si="53"/>
        <v>1-2025</v>
      </c>
      <c r="B747" s="86">
        <v>45673</v>
      </c>
      <c r="C747" t="str">
        <f t="shared" si="54"/>
        <v>L-V</v>
      </c>
      <c r="D747" t="str">
        <f t="shared" si="55"/>
        <v>Jueves</v>
      </c>
    </row>
    <row r="748" spans="1:4" x14ac:dyDescent="0.25">
      <c r="A748" s="88" t="str">
        <f t="shared" si="53"/>
        <v>1-2025</v>
      </c>
      <c r="B748" s="86">
        <v>45674</v>
      </c>
      <c r="C748" t="str">
        <f t="shared" si="54"/>
        <v>L-V</v>
      </c>
      <c r="D748" t="str">
        <f t="shared" si="55"/>
        <v>Viernes</v>
      </c>
    </row>
    <row r="749" spans="1:4" x14ac:dyDescent="0.25">
      <c r="A749" s="88" t="str">
        <f t="shared" si="53"/>
        <v>1-2025</v>
      </c>
      <c r="B749" s="86">
        <v>45675</v>
      </c>
      <c r="C749" t="str">
        <f t="shared" si="54"/>
        <v>SAB</v>
      </c>
      <c r="D749" t="str">
        <f t="shared" si="55"/>
        <v>Sábado</v>
      </c>
    </row>
    <row r="750" spans="1:4" x14ac:dyDescent="0.25">
      <c r="A750" s="88" t="str">
        <f t="shared" si="53"/>
        <v>1-2025</v>
      </c>
      <c r="B750" s="86">
        <v>45676</v>
      </c>
      <c r="C750" t="str">
        <f t="shared" si="54"/>
        <v>DOM</v>
      </c>
      <c r="D750" t="str">
        <f t="shared" si="55"/>
        <v>Domingo</v>
      </c>
    </row>
    <row r="751" spans="1:4" x14ac:dyDescent="0.25">
      <c r="A751" s="88" t="str">
        <f t="shared" si="53"/>
        <v>1-2025</v>
      </c>
      <c r="B751" s="86">
        <v>45677</v>
      </c>
      <c r="C751" t="str">
        <f t="shared" si="54"/>
        <v>L-V</v>
      </c>
      <c r="D751" t="str">
        <f t="shared" si="55"/>
        <v>Lunes</v>
      </c>
    </row>
    <row r="752" spans="1:4" x14ac:dyDescent="0.25">
      <c r="A752" s="88" t="str">
        <f t="shared" si="53"/>
        <v>1-2025</v>
      </c>
      <c r="B752" s="86">
        <v>45678</v>
      </c>
      <c r="C752" t="str">
        <f t="shared" si="54"/>
        <v>L-V</v>
      </c>
      <c r="D752" t="str">
        <f t="shared" si="55"/>
        <v>Martes</v>
      </c>
    </row>
    <row r="753" spans="1:4" x14ac:dyDescent="0.25">
      <c r="A753" s="88" t="str">
        <f t="shared" si="53"/>
        <v>1-2025</v>
      </c>
      <c r="B753" s="86">
        <v>45679</v>
      </c>
      <c r="C753" t="str">
        <f t="shared" si="54"/>
        <v>L-V</v>
      </c>
      <c r="D753" t="str">
        <f t="shared" si="55"/>
        <v>Miércoles</v>
      </c>
    </row>
    <row r="754" spans="1:4" x14ac:dyDescent="0.25">
      <c r="A754" s="88" t="str">
        <f t="shared" si="53"/>
        <v>1-2025</v>
      </c>
      <c r="B754" s="86">
        <v>45680</v>
      </c>
      <c r="C754" t="str">
        <f t="shared" si="54"/>
        <v>L-V</v>
      </c>
      <c r="D754" t="str">
        <f t="shared" si="55"/>
        <v>Jueves</v>
      </c>
    </row>
    <row r="755" spans="1:4" x14ac:dyDescent="0.25">
      <c r="A755" s="88" t="str">
        <f t="shared" si="53"/>
        <v>1-2025</v>
      </c>
      <c r="B755" s="86">
        <v>45681</v>
      </c>
      <c r="C755" t="str">
        <f t="shared" si="54"/>
        <v>L-V</v>
      </c>
      <c r="D755" t="str">
        <f t="shared" si="55"/>
        <v>Viernes</v>
      </c>
    </row>
    <row r="756" spans="1:4" x14ac:dyDescent="0.25">
      <c r="A756" s="88" t="str">
        <f t="shared" si="53"/>
        <v>1-2025</v>
      </c>
      <c r="B756" s="86">
        <v>45682</v>
      </c>
      <c r="C756" t="str">
        <f t="shared" si="54"/>
        <v>SAB</v>
      </c>
      <c r="D756" t="str">
        <f t="shared" si="55"/>
        <v>Sábado</v>
      </c>
    </row>
    <row r="757" spans="1:4" x14ac:dyDescent="0.25">
      <c r="A757" s="88" t="str">
        <f t="shared" si="53"/>
        <v>1-2025</v>
      </c>
      <c r="B757" s="86">
        <v>45683</v>
      </c>
      <c r="C757" t="str">
        <f t="shared" si="54"/>
        <v>DOM</v>
      </c>
      <c r="D757" t="str">
        <f t="shared" si="55"/>
        <v>Domingo</v>
      </c>
    </row>
    <row r="758" spans="1:4" x14ac:dyDescent="0.25">
      <c r="A758" s="88" t="str">
        <f t="shared" si="53"/>
        <v>1-2025</v>
      </c>
      <c r="B758" s="86">
        <v>45684</v>
      </c>
      <c r="C758" t="str">
        <f t="shared" si="54"/>
        <v>L-V</v>
      </c>
      <c r="D758" t="str">
        <f t="shared" si="55"/>
        <v>Lunes</v>
      </c>
    </row>
    <row r="759" spans="1:4" x14ac:dyDescent="0.25">
      <c r="A759" s="88" t="str">
        <f t="shared" si="53"/>
        <v>1-2025</v>
      </c>
      <c r="B759" s="86">
        <v>45685</v>
      </c>
      <c r="C759" t="str">
        <f t="shared" si="54"/>
        <v>L-V</v>
      </c>
      <c r="D759" t="str">
        <f t="shared" si="55"/>
        <v>Martes</v>
      </c>
    </row>
    <row r="760" spans="1:4" x14ac:dyDescent="0.25">
      <c r="A760" s="88" t="str">
        <f t="shared" si="53"/>
        <v>1-2025</v>
      </c>
      <c r="B760" s="86">
        <v>45686</v>
      </c>
      <c r="C760" t="str">
        <f t="shared" si="54"/>
        <v>L-V</v>
      </c>
      <c r="D760" t="str">
        <f t="shared" si="55"/>
        <v>Miércoles</v>
      </c>
    </row>
    <row r="761" spans="1:4" x14ac:dyDescent="0.25">
      <c r="A761" s="88" t="str">
        <f t="shared" si="53"/>
        <v>1-2025</v>
      </c>
      <c r="B761" s="86">
        <v>45687</v>
      </c>
      <c r="C761" t="str">
        <f t="shared" si="54"/>
        <v>L-V</v>
      </c>
      <c r="D761" t="str">
        <f t="shared" si="55"/>
        <v>Jueves</v>
      </c>
    </row>
    <row r="762" spans="1:4" x14ac:dyDescent="0.25">
      <c r="A762" s="88" t="str">
        <f t="shared" si="53"/>
        <v>1-2025</v>
      </c>
      <c r="B762" s="86">
        <v>45688</v>
      </c>
      <c r="C762" t="str">
        <f t="shared" si="54"/>
        <v>L-V</v>
      </c>
      <c r="D762" t="str">
        <f t="shared" si="55"/>
        <v>Viernes</v>
      </c>
    </row>
    <row r="763" spans="1:4" x14ac:dyDescent="0.25">
      <c r="A763" s="88" t="str">
        <f t="shared" si="53"/>
        <v>2-2025</v>
      </c>
      <c r="B763" s="86">
        <v>45689</v>
      </c>
      <c r="C763" t="str">
        <f t="shared" si="54"/>
        <v>SAB</v>
      </c>
      <c r="D763" t="str">
        <f t="shared" si="55"/>
        <v>Sábado</v>
      </c>
    </row>
    <row r="764" spans="1:4" x14ac:dyDescent="0.25">
      <c r="A764" s="88" t="str">
        <f t="shared" si="53"/>
        <v>2-2025</v>
      </c>
      <c r="B764" s="86">
        <v>45690</v>
      </c>
      <c r="C764" t="str">
        <f t="shared" si="54"/>
        <v>DOM</v>
      </c>
      <c r="D764" t="str">
        <f t="shared" si="55"/>
        <v>Domingo</v>
      </c>
    </row>
    <row r="765" spans="1:4" x14ac:dyDescent="0.25">
      <c r="A765" s="88" t="str">
        <f t="shared" si="53"/>
        <v>2-2025</v>
      </c>
      <c r="B765" s="86">
        <v>45691</v>
      </c>
      <c r="C765" t="str">
        <f t="shared" si="54"/>
        <v>L-V</v>
      </c>
      <c r="D765" t="str">
        <f t="shared" si="55"/>
        <v>Lunes</v>
      </c>
    </row>
    <row r="766" spans="1:4" x14ac:dyDescent="0.25">
      <c r="A766" s="88" t="str">
        <f t="shared" si="53"/>
        <v>2-2025</v>
      </c>
      <c r="B766" s="86">
        <v>45692</v>
      </c>
      <c r="C766" t="str">
        <f t="shared" si="54"/>
        <v>L-V</v>
      </c>
      <c r="D766" t="str">
        <f t="shared" si="55"/>
        <v>Martes</v>
      </c>
    </row>
    <row r="767" spans="1:4" x14ac:dyDescent="0.25">
      <c r="A767" s="88" t="str">
        <f t="shared" si="53"/>
        <v>2-2025</v>
      </c>
      <c r="B767" s="86">
        <v>45693</v>
      </c>
      <c r="C767" t="str">
        <f t="shared" si="54"/>
        <v>L-V</v>
      </c>
      <c r="D767" t="str">
        <f t="shared" si="55"/>
        <v>Miércoles</v>
      </c>
    </row>
    <row r="768" spans="1:4" x14ac:dyDescent="0.25">
      <c r="A768" s="88" t="str">
        <f t="shared" si="53"/>
        <v>2-2025</v>
      </c>
      <c r="B768" s="86">
        <v>45694</v>
      </c>
      <c r="C768" t="str">
        <f t="shared" si="54"/>
        <v>L-V</v>
      </c>
      <c r="D768" t="str">
        <f t="shared" si="55"/>
        <v>Jueves</v>
      </c>
    </row>
    <row r="769" spans="1:4" x14ac:dyDescent="0.25">
      <c r="A769" s="88" t="str">
        <f t="shared" si="53"/>
        <v>2-2025</v>
      </c>
      <c r="B769" s="86">
        <v>45695</v>
      </c>
      <c r="C769" t="str">
        <f t="shared" si="54"/>
        <v>L-V</v>
      </c>
      <c r="D769" t="str">
        <f t="shared" si="55"/>
        <v>Viernes</v>
      </c>
    </row>
    <row r="770" spans="1:4" x14ac:dyDescent="0.25">
      <c r="A770" s="88" t="str">
        <f t="shared" ref="A770:A833" si="56">MONTH(B770)&amp;"-"&amp;YEAR(B770)</f>
        <v>2-2025</v>
      </c>
      <c r="B770" s="86">
        <v>45696</v>
      </c>
      <c r="C770" t="str">
        <f t="shared" si="54"/>
        <v>SAB</v>
      </c>
      <c r="D770" t="str">
        <f t="shared" si="55"/>
        <v>Sábado</v>
      </c>
    </row>
    <row r="771" spans="1:4" x14ac:dyDescent="0.25">
      <c r="A771" s="88" t="str">
        <f t="shared" si="56"/>
        <v>2-2025</v>
      </c>
      <c r="B771" s="86">
        <v>45697</v>
      </c>
      <c r="C771" t="str">
        <f t="shared" ref="C771:C834" si="57">VLOOKUP(WEEKDAY(B771,2),$F$1:$H$7,2)</f>
        <v>DOM</v>
      </c>
      <c r="D771" t="str">
        <f t="shared" ref="D771:D834" si="58">VLOOKUP(WEEKDAY($B771,2),$F$1:$H$7,3)</f>
        <v>Domingo</v>
      </c>
    </row>
    <row r="772" spans="1:4" x14ac:dyDescent="0.25">
      <c r="A772" s="88" t="str">
        <f t="shared" si="56"/>
        <v>2-2025</v>
      </c>
      <c r="B772" s="86">
        <v>45698</v>
      </c>
      <c r="C772" t="str">
        <f t="shared" si="57"/>
        <v>L-V</v>
      </c>
      <c r="D772" t="str">
        <f t="shared" si="58"/>
        <v>Lunes</v>
      </c>
    </row>
    <row r="773" spans="1:4" x14ac:dyDescent="0.25">
      <c r="A773" s="88" t="str">
        <f t="shared" si="56"/>
        <v>2-2025</v>
      </c>
      <c r="B773" s="86">
        <v>45699</v>
      </c>
      <c r="C773" t="str">
        <f t="shared" si="57"/>
        <v>L-V</v>
      </c>
      <c r="D773" t="str">
        <f t="shared" si="58"/>
        <v>Martes</v>
      </c>
    </row>
    <row r="774" spans="1:4" x14ac:dyDescent="0.25">
      <c r="A774" s="88" t="str">
        <f t="shared" si="56"/>
        <v>2-2025</v>
      </c>
      <c r="B774" s="86">
        <v>45700</v>
      </c>
      <c r="C774" t="str">
        <f t="shared" si="57"/>
        <v>L-V</v>
      </c>
      <c r="D774" t="str">
        <f t="shared" si="58"/>
        <v>Miércoles</v>
      </c>
    </row>
    <row r="775" spans="1:4" x14ac:dyDescent="0.25">
      <c r="A775" s="88" t="str">
        <f t="shared" si="56"/>
        <v>2-2025</v>
      </c>
      <c r="B775" s="86">
        <v>45701</v>
      </c>
      <c r="C775" t="str">
        <f t="shared" si="57"/>
        <v>L-V</v>
      </c>
      <c r="D775" t="str">
        <f t="shared" si="58"/>
        <v>Jueves</v>
      </c>
    </row>
    <row r="776" spans="1:4" x14ac:dyDescent="0.25">
      <c r="A776" s="88" t="str">
        <f t="shared" si="56"/>
        <v>2-2025</v>
      </c>
      <c r="B776" s="86">
        <v>45702</v>
      </c>
      <c r="C776" t="str">
        <f t="shared" si="57"/>
        <v>L-V</v>
      </c>
      <c r="D776" t="str">
        <f t="shared" si="58"/>
        <v>Viernes</v>
      </c>
    </row>
    <row r="777" spans="1:4" x14ac:dyDescent="0.25">
      <c r="A777" s="88" t="str">
        <f t="shared" si="56"/>
        <v>2-2025</v>
      </c>
      <c r="B777" s="86">
        <v>45703</v>
      </c>
      <c r="C777" t="str">
        <f t="shared" si="57"/>
        <v>SAB</v>
      </c>
      <c r="D777" t="str">
        <f t="shared" si="58"/>
        <v>Sábado</v>
      </c>
    </row>
    <row r="778" spans="1:4" x14ac:dyDescent="0.25">
      <c r="A778" s="88" t="str">
        <f t="shared" si="56"/>
        <v>2-2025</v>
      </c>
      <c r="B778" s="86">
        <v>45704</v>
      </c>
      <c r="C778" t="str">
        <f t="shared" si="57"/>
        <v>DOM</v>
      </c>
      <c r="D778" t="str">
        <f t="shared" si="58"/>
        <v>Domingo</v>
      </c>
    </row>
    <row r="779" spans="1:4" x14ac:dyDescent="0.25">
      <c r="A779" s="88" t="str">
        <f t="shared" si="56"/>
        <v>2-2025</v>
      </c>
      <c r="B779" s="86">
        <v>45705</v>
      </c>
      <c r="C779" t="str">
        <f t="shared" si="57"/>
        <v>L-V</v>
      </c>
      <c r="D779" t="str">
        <f t="shared" si="58"/>
        <v>Lunes</v>
      </c>
    </row>
    <row r="780" spans="1:4" x14ac:dyDescent="0.25">
      <c r="A780" s="88" t="str">
        <f t="shared" si="56"/>
        <v>2-2025</v>
      </c>
      <c r="B780" s="86">
        <v>45706</v>
      </c>
      <c r="C780" t="str">
        <f t="shared" si="57"/>
        <v>L-V</v>
      </c>
      <c r="D780" t="str">
        <f t="shared" si="58"/>
        <v>Martes</v>
      </c>
    </row>
    <row r="781" spans="1:4" x14ac:dyDescent="0.25">
      <c r="A781" s="88" t="str">
        <f t="shared" si="56"/>
        <v>2-2025</v>
      </c>
      <c r="B781" s="86">
        <v>45707</v>
      </c>
      <c r="C781" t="str">
        <f t="shared" si="57"/>
        <v>L-V</v>
      </c>
      <c r="D781" t="str">
        <f t="shared" si="58"/>
        <v>Miércoles</v>
      </c>
    </row>
    <row r="782" spans="1:4" x14ac:dyDescent="0.25">
      <c r="A782" s="88" t="str">
        <f t="shared" si="56"/>
        <v>2-2025</v>
      </c>
      <c r="B782" s="86">
        <v>45708</v>
      </c>
      <c r="C782" t="str">
        <f t="shared" si="57"/>
        <v>L-V</v>
      </c>
      <c r="D782" t="str">
        <f t="shared" si="58"/>
        <v>Jueves</v>
      </c>
    </row>
    <row r="783" spans="1:4" x14ac:dyDescent="0.25">
      <c r="A783" s="88" t="str">
        <f t="shared" si="56"/>
        <v>2-2025</v>
      </c>
      <c r="B783" s="86">
        <v>45709</v>
      </c>
      <c r="C783" t="str">
        <f t="shared" si="57"/>
        <v>L-V</v>
      </c>
      <c r="D783" t="str">
        <f t="shared" si="58"/>
        <v>Viernes</v>
      </c>
    </row>
    <row r="784" spans="1:4" x14ac:dyDescent="0.25">
      <c r="A784" s="88" t="str">
        <f t="shared" si="56"/>
        <v>2-2025</v>
      </c>
      <c r="B784" s="86">
        <v>45710</v>
      </c>
      <c r="C784" t="str">
        <f t="shared" si="57"/>
        <v>SAB</v>
      </c>
      <c r="D784" t="str">
        <f t="shared" si="58"/>
        <v>Sábado</v>
      </c>
    </row>
    <row r="785" spans="1:4" x14ac:dyDescent="0.25">
      <c r="A785" s="88" t="str">
        <f t="shared" si="56"/>
        <v>2-2025</v>
      </c>
      <c r="B785" s="86">
        <v>45711</v>
      </c>
      <c r="C785" t="str">
        <f t="shared" si="57"/>
        <v>DOM</v>
      </c>
      <c r="D785" t="str">
        <f t="shared" si="58"/>
        <v>Domingo</v>
      </c>
    </row>
    <row r="786" spans="1:4" x14ac:dyDescent="0.25">
      <c r="A786" s="88" t="str">
        <f t="shared" si="56"/>
        <v>2-2025</v>
      </c>
      <c r="B786" s="86">
        <v>45712</v>
      </c>
      <c r="C786" t="str">
        <f t="shared" si="57"/>
        <v>L-V</v>
      </c>
      <c r="D786" t="str">
        <f t="shared" si="58"/>
        <v>Lunes</v>
      </c>
    </row>
    <row r="787" spans="1:4" x14ac:dyDescent="0.25">
      <c r="A787" s="88" t="str">
        <f t="shared" si="56"/>
        <v>2-2025</v>
      </c>
      <c r="B787" s="86">
        <v>45713</v>
      </c>
      <c r="C787" t="str">
        <f t="shared" si="57"/>
        <v>L-V</v>
      </c>
      <c r="D787" t="str">
        <f t="shared" si="58"/>
        <v>Martes</v>
      </c>
    </row>
    <row r="788" spans="1:4" x14ac:dyDescent="0.25">
      <c r="A788" s="88" t="str">
        <f t="shared" si="56"/>
        <v>2-2025</v>
      </c>
      <c r="B788" s="86">
        <v>45714</v>
      </c>
      <c r="C788" t="str">
        <f t="shared" si="57"/>
        <v>L-V</v>
      </c>
      <c r="D788" t="str">
        <f t="shared" si="58"/>
        <v>Miércoles</v>
      </c>
    </row>
    <row r="789" spans="1:4" x14ac:dyDescent="0.25">
      <c r="A789" s="88" t="str">
        <f t="shared" si="56"/>
        <v>2-2025</v>
      </c>
      <c r="B789" s="86">
        <v>45715</v>
      </c>
      <c r="C789" t="str">
        <f t="shared" si="57"/>
        <v>L-V</v>
      </c>
      <c r="D789" t="str">
        <f t="shared" si="58"/>
        <v>Jueves</v>
      </c>
    </row>
    <row r="790" spans="1:4" x14ac:dyDescent="0.25">
      <c r="A790" s="88" t="str">
        <f t="shared" si="56"/>
        <v>2-2025</v>
      </c>
      <c r="B790" s="86">
        <v>45716</v>
      </c>
      <c r="C790" t="str">
        <f t="shared" si="57"/>
        <v>L-V</v>
      </c>
      <c r="D790" t="str">
        <f t="shared" si="58"/>
        <v>Viernes</v>
      </c>
    </row>
    <row r="791" spans="1:4" x14ac:dyDescent="0.25">
      <c r="A791" s="88" t="str">
        <f t="shared" si="56"/>
        <v>3-2025</v>
      </c>
      <c r="B791" s="86">
        <v>45717</v>
      </c>
      <c r="C791" t="str">
        <f t="shared" si="57"/>
        <v>SAB</v>
      </c>
      <c r="D791" t="str">
        <f t="shared" si="58"/>
        <v>Sábado</v>
      </c>
    </row>
    <row r="792" spans="1:4" x14ac:dyDescent="0.25">
      <c r="A792" s="88" t="str">
        <f t="shared" si="56"/>
        <v>3-2025</v>
      </c>
      <c r="B792" s="86">
        <v>45718</v>
      </c>
      <c r="C792" t="str">
        <f t="shared" si="57"/>
        <v>DOM</v>
      </c>
      <c r="D792" t="str">
        <f t="shared" si="58"/>
        <v>Domingo</v>
      </c>
    </row>
    <row r="793" spans="1:4" x14ac:dyDescent="0.25">
      <c r="A793" s="88" t="str">
        <f t="shared" si="56"/>
        <v>3-2025</v>
      </c>
      <c r="B793" s="86">
        <v>45719</v>
      </c>
      <c r="C793" t="str">
        <f t="shared" si="57"/>
        <v>L-V</v>
      </c>
      <c r="D793" t="str">
        <f t="shared" si="58"/>
        <v>Lunes</v>
      </c>
    </row>
    <row r="794" spans="1:4" x14ac:dyDescent="0.25">
      <c r="A794" s="88" t="str">
        <f t="shared" si="56"/>
        <v>3-2025</v>
      </c>
      <c r="B794" s="86">
        <v>45720</v>
      </c>
      <c r="C794" t="str">
        <f t="shared" si="57"/>
        <v>L-V</v>
      </c>
      <c r="D794" t="str">
        <f t="shared" si="58"/>
        <v>Martes</v>
      </c>
    </row>
    <row r="795" spans="1:4" x14ac:dyDescent="0.25">
      <c r="A795" s="88" t="str">
        <f t="shared" si="56"/>
        <v>3-2025</v>
      </c>
      <c r="B795" s="86">
        <v>45721</v>
      </c>
      <c r="C795" t="str">
        <f t="shared" si="57"/>
        <v>L-V</v>
      </c>
      <c r="D795" t="str">
        <f t="shared" si="58"/>
        <v>Miércoles</v>
      </c>
    </row>
    <row r="796" spans="1:4" x14ac:dyDescent="0.25">
      <c r="A796" s="88" t="str">
        <f t="shared" si="56"/>
        <v>3-2025</v>
      </c>
      <c r="B796" s="86">
        <v>45722</v>
      </c>
      <c r="C796" t="str">
        <f t="shared" si="57"/>
        <v>L-V</v>
      </c>
      <c r="D796" t="str">
        <f t="shared" si="58"/>
        <v>Jueves</v>
      </c>
    </row>
    <row r="797" spans="1:4" x14ac:dyDescent="0.25">
      <c r="A797" s="88" t="str">
        <f t="shared" si="56"/>
        <v>3-2025</v>
      </c>
      <c r="B797" s="86">
        <v>45723</v>
      </c>
      <c r="C797" t="str">
        <f t="shared" si="57"/>
        <v>L-V</v>
      </c>
      <c r="D797" t="str">
        <f t="shared" si="58"/>
        <v>Viernes</v>
      </c>
    </row>
    <row r="798" spans="1:4" x14ac:dyDescent="0.25">
      <c r="A798" s="88" t="str">
        <f t="shared" si="56"/>
        <v>3-2025</v>
      </c>
      <c r="B798" s="86">
        <v>45724</v>
      </c>
      <c r="C798" t="str">
        <f t="shared" si="57"/>
        <v>SAB</v>
      </c>
      <c r="D798" t="str">
        <f t="shared" si="58"/>
        <v>Sábado</v>
      </c>
    </row>
    <row r="799" spans="1:4" x14ac:dyDescent="0.25">
      <c r="A799" s="88" t="str">
        <f t="shared" si="56"/>
        <v>3-2025</v>
      </c>
      <c r="B799" s="86">
        <v>45725</v>
      </c>
      <c r="C799" t="str">
        <f t="shared" si="57"/>
        <v>DOM</v>
      </c>
      <c r="D799" t="str">
        <f t="shared" si="58"/>
        <v>Domingo</v>
      </c>
    </row>
    <row r="800" spans="1:4" x14ac:dyDescent="0.25">
      <c r="A800" s="88" t="str">
        <f t="shared" si="56"/>
        <v>3-2025</v>
      </c>
      <c r="B800" s="86">
        <v>45726</v>
      </c>
      <c r="C800" t="str">
        <f t="shared" si="57"/>
        <v>L-V</v>
      </c>
      <c r="D800" t="str">
        <f t="shared" si="58"/>
        <v>Lunes</v>
      </c>
    </row>
    <row r="801" spans="1:4" x14ac:dyDescent="0.25">
      <c r="A801" s="88" t="str">
        <f t="shared" si="56"/>
        <v>3-2025</v>
      </c>
      <c r="B801" s="86">
        <v>45727</v>
      </c>
      <c r="C801" t="str">
        <f t="shared" si="57"/>
        <v>L-V</v>
      </c>
      <c r="D801" t="str">
        <f t="shared" si="58"/>
        <v>Martes</v>
      </c>
    </row>
    <row r="802" spans="1:4" x14ac:dyDescent="0.25">
      <c r="A802" s="88" t="str">
        <f t="shared" si="56"/>
        <v>3-2025</v>
      </c>
      <c r="B802" s="86">
        <v>45728</v>
      </c>
      <c r="C802" t="str">
        <f t="shared" si="57"/>
        <v>L-V</v>
      </c>
      <c r="D802" t="str">
        <f t="shared" si="58"/>
        <v>Miércoles</v>
      </c>
    </row>
    <row r="803" spans="1:4" x14ac:dyDescent="0.25">
      <c r="A803" s="88" t="str">
        <f t="shared" si="56"/>
        <v>3-2025</v>
      </c>
      <c r="B803" s="86">
        <v>45729</v>
      </c>
      <c r="C803" t="str">
        <f t="shared" si="57"/>
        <v>L-V</v>
      </c>
      <c r="D803" t="str">
        <f t="shared" si="58"/>
        <v>Jueves</v>
      </c>
    </row>
    <row r="804" spans="1:4" x14ac:dyDescent="0.25">
      <c r="A804" s="88" t="str">
        <f t="shared" si="56"/>
        <v>3-2025</v>
      </c>
      <c r="B804" s="86">
        <v>45730</v>
      </c>
      <c r="C804" t="str">
        <f t="shared" si="57"/>
        <v>L-V</v>
      </c>
      <c r="D804" t="str">
        <f t="shared" si="58"/>
        <v>Viernes</v>
      </c>
    </row>
    <row r="805" spans="1:4" x14ac:dyDescent="0.25">
      <c r="A805" s="88" t="str">
        <f t="shared" si="56"/>
        <v>3-2025</v>
      </c>
      <c r="B805" s="86">
        <v>45731</v>
      </c>
      <c r="C805" t="str">
        <f t="shared" si="57"/>
        <v>SAB</v>
      </c>
      <c r="D805" t="str">
        <f t="shared" si="58"/>
        <v>Sábado</v>
      </c>
    </row>
    <row r="806" spans="1:4" x14ac:dyDescent="0.25">
      <c r="A806" s="88" t="str">
        <f t="shared" si="56"/>
        <v>3-2025</v>
      </c>
      <c r="B806" s="86">
        <v>45732</v>
      </c>
      <c r="C806" t="str">
        <f t="shared" si="57"/>
        <v>DOM</v>
      </c>
      <c r="D806" t="str">
        <f t="shared" si="58"/>
        <v>Domingo</v>
      </c>
    </row>
    <row r="807" spans="1:4" x14ac:dyDescent="0.25">
      <c r="A807" s="88" t="str">
        <f t="shared" si="56"/>
        <v>3-2025</v>
      </c>
      <c r="B807" s="86">
        <v>45733</v>
      </c>
      <c r="C807" t="str">
        <f t="shared" si="57"/>
        <v>L-V</v>
      </c>
      <c r="D807" t="str">
        <f t="shared" si="58"/>
        <v>Lunes</v>
      </c>
    </row>
    <row r="808" spans="1:4" x14ac:dyDescent="0.25">
      <c r="A808" s="88" t="str">
        <f t="shared" si="56"/>
        <v>3-2025</v>
      </c>
      <c r="B808" s="86">
        <v>45734</v>
      </c>
      <c r="C808" t="str">
        <f t="shared" si="57"/>
        <v>L-V</v>
      </c>
      <c r="D808" t="str">
        <f t="shared" si="58"/>
        <v>Martes</v>
      </c>
    </row>
    <row r="809" spans="1:4" x14ac:dyDescent="0.25">
      <c r="A809" s="88" t="str">
        <f t="shared" si="56"/>
        <v>3-2025</v>
      </c>
      <c r="B809" s="86">
        <v>45735</v>
      </c>
      <c r="C809" t="str">
        <f t="shared" si="57"/>
        <v>L-V</v>
      </c>
      <c r="D809" t="str">
        <f t="shared" si="58"/>
        <v>Miércoles</v>
      </c>
    </row>
    <row r="810" spans="1:4" x14ac:dyDescent="0.25">
      <c r="A810" s="88" t="str">
        <f t="shared" si="56"/>
        <v>3-2025</v>
      </c>
      <c r="B810" s="86">
        <v>45736</v>
      </c>
      <c r="C810" t="str">
        <f t="shared" si="57"/>
        <v>L-V</v>
      </c>
      <c r="D810" t="str">
        <f t="shared" si="58"/>
        <v>Jueves</v>
      </c>
    </row>
    <row r="811" spans="1:4" x14ac:dyDescent="0.25">
      <c r="A811" s="88" t="str">
        <f t="shared" si="56"/>
        <v>3-2025</v>
      </c>
      <c r="B811" s="86">
        <v>45737</v>
      </c>
      <c r="C811" t="str">
        <f t="shared" si="57"/>
        <v>L-V</v>
      </c>
      <c r="D811" t="str">
        <f t="shared" si="58"/>
        <v>Viernes</v>
      </c>
    </row>
    <row r="812" spans="1:4" x14ac:dyDescent="0.25">
      <c r="A812" s="88" t="str">
        <f t="shared" si="56"/>
        <v>3-2025</v>
      </c>
      <c r="B812" s="86">
        <v>45738</v>
      </c>
      <c r="C812" t="str">
        <f t="shared" si="57"/>
        <v>SAB</v>
      </c>
      <c r="D812" t="str">
        <f t="shared" si="58"/>
        <v>Sábado</v>
      </c>
    </row>
    <row r="813" spans="1:4" x14ac:dyDescent="0.25">
      <c r="A813" s="88" t="str">
        <f t="shared" si="56"/>
        <v>3-2025</v>
      </c>
      <c r="B813" s="86">
        <v>45739</v>
      </c>
      <c r="C813" t="str">
        <f t="shared" si="57"/>
        <v>DOM</v>
      </c>
      <c r="D813" t="str">
        <f t="shared" si="58"/>
        <v>Domingo</v>
      </c>
    </row>
    <row r="814" spans="1:4" x14ac:dyDescent="0.25">
      <c r="A814" s="88" t="str">
        <f t="shared" si="56"/>
        <v>3-2025</v>
      </c>
      <c r="B814" s="86">
        <v>45740</v>
      </c>
      <c r="C814" t="str">
        <f t="shared" si="57"/>
        <v>L-V</v>
      </c>
      <c r="D814" t="str">
        <f t="shared" si="58"/>
        <v>Lunes</v>
      </c>
    </row>
    <row r="815" spans="1:4" x14ac:dyDescent="0.25">
      <c r="A815" s="88" t="str">
        <f t="shared" si="56"/>
        <v>3-2025</v>
      </c>
      <c r="B815" s="86">
        <v>45741</v>
      </c>
      <c r="C815" t="str">
        <f t="shared" si="57"/>
        <v>L-V</v>
      </c>
      <c r="D815" t="str">
        <f t="shared" si="58"/>
        <v>Martes</v>
      </c>
    </row>
    <row r="816" spans="1:4" x14ac:dyDescent="0.25">
      <c r="A816" s="88" t="str">
        <f t="shared" si="56"/>
        <v>3-2025</v>
      </c>
      <c r="B816" s="86">
        <v>45742</v>
      </c>
      <c r="C816" t="str">
        <f t="shared" si="57"/>
        <v>L-V</v>
      </c>
      <c r="D816" t="str">
        <f t="shared" si="58"/>
        <v>Miércoles</v>
      </c>
    </row>
    <row r="817" spans="1:4" x14ac:dyDescent="0.25">
      <c r="A817" s="88" t="str">
        <f t="shared" si="56"/>
        <v>3-2025</v>
      </c>
      <c r="B817" s="86">
        <v>45743</v>
      </c>
      <c r="C817" t="str">
        <f t="shared" si="57"/>
        <v>L-V</v>
      </c>
      <c r="D817" t="str">
        <f t="shared" si="58"/>
        <v>Jueves</v>
      </c>
    </row>
    <row r="818" spans="1:4" x14ac:dyDescent="0.25">
      <c r="A818" s="88" t="str">
        <f t="shared" si="56"/>
        <v>3-2025</v>
      </c>
      <c r="B818" s="86">
        <v>45744</v>
      </c>
      <c r="C818" t="str">
        <f t="shared" si="57"/>
        <v>L-V</v>
      </c>
      <c r="D818" t="str">
        <f t="shared" si="58"/>
        <v>Viernes</v>
      </c>
    </row>
    <row r="819" spans="1:4" x14ac:dyDescent="0.25">
      <c r="A819" s="88" t="str">
        <f t="shared" si="56"/>
        <v>3-2025</v>
      </c>
      <c r="B819" s="86">
        <v>45745</v>
      </c>
      <c r="C819" t="str">
        <f t="shared" si="57"/>
        <v>SAB</v>
      </c>
      <c r="D819" t="str">
        <f t="shared" si="58"/>
        <v>Sábado</v>
      </c>
    </row>
    <row r="820" spans="1:4" x14ac:dyDescent="0.25">
      <c r="A820" s="88" t="str">
        <f t="shared" si="56"/>
        <v>3-2025</v>
      </c>
      <c r="B820" s="86">
        <v>45746</v>
      </c>
      <c r="C820" t="str">
        <f t="shared" si="57"/>
        <v>DOM</v>
      </c>
      <c r="D820" t="str">
        <f t="shared" si="58"/>
        <v>Domingo</v>
      </c>
    </row>
    <row r="821" spans="1:4" x14ac:dyDescent="0.25">
      <c r="A821" s="88" t="str">
        <f t="shared" si="56"/>
        <v>3-2025</v>
      </c>
      <c r="B821" s="86">
        <v>45747</v>
      </c>
      <c r="C821" t="str">
        <f t="shared" si="57"/>
        <v>L-V</v>
      </c>
      <c r="D821" t="str">
        <f t="shared" si="58"/>
        <v>Lunes</v>
      </c>
    </row>
    <row r="822" spans="1:4" x14ac:dyDescent="0.25">
      <c r="A822" s="88" t="str">
        <f t="shared" si="56"/>
        <v>4-2025</v>
      </c>
      <c r="B822" s="86">
        <v>45748</v>
      </c>
      <c r="C822" t="str">
        <f t="shared" si="57"/>
        <v>L-V</v>
      </c>
      <c r="D822" t="str">
        <f t="shared" si="58"/>
        <v>Martes</v>
      </c>
    </row>
    <row r="823" spans="1:4" x14ac:dyDescent="0.25">
      <c r="A823" s="88" t="str">
        <f t="shared" si="56"/>
        <v>4-2025</v>
      </c>
      <c r="B823" s="86">
        <v>45749</v>
      </c>
      <c r="C823" t="str">
        <f t="shared" si="57"/>
        <v>L-V</v>
      </c>
      <c r="D823" t="str">
        <f t="shared" si="58"/>
        <v>Miércoles</v>
      </c>
    </row>
    <row r="824" spans="1:4" x14ac:dyDescent="0.25">
      <c r="A824" s="88" t="str">
        <f t="shared" si="56"/>
        <v>4-2025</v>
      </c>
      <c r="B824" s="86">
        <v>45750</v>
      </c>
      <c r="C824" t="str">
        <f t="shared" si="57"/>
        <v>L-V</v>
      </c>
      <c r="D824" t="str">
        <f t="shared" si="58"/>
        <v>Jueves</v>
      </c>
    </row>
    <row r="825" spans="1:4" x14ac:dyDescent="0.25">
      <c r="A825" s="88" t="str">
        <f t="shared" si="56"/>
        <v>4-2025</v>
      </c>
      <c r="B825" s="86">
        <v>45751</v>
      </c>
      <c r="C825" t="str">
        <f t="shared" si="57"/>
        <v>L-V</v>
      </c>
      <c r="D825" t="str">
        <f t="shared" si="58"/>
        <v>Viernes</v>
      </c>
    </row>
    <row r="826" spans="1:4" x14ac:dyDescent="0.25">
      <c r="A826" s="88" t="str">
        <f t="shared" si="56"/>
        <v>4-2025</v>
      </c>
      <c r="B826" s="86">
        <v>45752</v>
      </c>
      <c r="C826" t="str">
        <f t="shared" si="57"/>
        <v>SAB</v>
      </c>
      <c r="D826" t="str">
        <f t="shared" si="58"/>
        <v>Sábado</v>
      </c>
    </row>
    <row r="827" spans="1:4" x14ac:dyDescent="0.25">
      <c r="A827" s="88" t="str">
        <f t="shared" si="56"/>
        <v>4-2025</v>
      </c>
      <c r="B827" s="86">
        <v>45753</v>
      </c>
      <c r="C827" t="str">
        <f t="shared" si="57"/>
        <v>DOM</v>
      </c>
      <c r="D827" t="str">
        <f t="shared" si="58"/>
        <v>Domingo</v>
      </c>
    </row>
    <row r="828" spans="1:4" x14ac:dyDescent="0.25">
      <c r="A828" s="88" t="str">
        <f t="shared" si="56"/>
        <v>4-2025</v>
      </c>
      <c r="B828" s="86">
        <v>45754</v>
      </c>
      <c r="C828" t="str">
        <f t="shared" si="57"/>
        <v>L-V</v>
      </c>
      <c r="D828" t="str">
        <f t="shared" si="58"/>
        <v>Lunes</v>
      </c>
    </row>
    <row r="829" spans="1:4" x14ac:dyDescent="0.25">
      <c r="A829" s="88" t="str">
        <f t="shared" si="56"/>
        <v>4-2025</v>
      </c>
      <c r="B829" s="86">
        <v>45755</v>
      </c>
      <c r="C829" t="str">
        <f t="shared" si="57"/>
        <v>L-V</v>
      </c>
      <c r="D829" t="str">
        <f t="shared" si="58"/>
        <v>Martes</v>
      </c>
    </row>
    <row r="830" spans="1:4" x14ac:dyDescent="0.25">
      <c r="A830" s="88" t="str">
        <f t="shared" si="56"/>
        <v>4-2025</v>
      </c>
      <c r="B830" s="86">
        <v>45756</v>
      </c>
      <c r="C830" t="str">
        <f t="shared" si="57"/>
        <v>L-V</v>
      </c>
      <c r="D830" t="str">
        <f t="shared" si="58"/>
        <v>Miércoles</v>
      </c>
    </row>
    <row r="831" spans="1:4" x14ac:dyDescent="0.25">
      <c r="A831" s="88" t="str">
        <f t="shared" si="56"/>
        <v>4-2025</v>
      </c>
      <c r="B831" s="86">
        <v>45757</v>
      </c>
      <c r="C831" t="str">
        <f t="shared" si="57"/>
        <v>L-V</v>
      </c>
      <c r="D831" t="str">
        <f t="shared" si="58"/>
        <v>Jueves</v>
      </c>
    </row>
    <row r="832" spans="1:4" x14ac:dyDescent="0.25">
      <c r="A832" s="88" t="str">
        <f t="shared" si="56"/>
        <v>4-2025</v>
      </c>
      <c r="B832" s="86">
        <v>45758</v>
      </c>
      <c r="C832" t="str">
        <f t="shared" si="57"/>
        <v>L-V</v>
      </c>
      <c r="D832" t="str">
        <f t="shared" si="58"/>
        <v>Viernes</v>
      </c>
    </row>
    <row r="833" spans="1:4" x14ac:dyDescent="0.25">
      <c r="A833" s="88" t="str">
        <f t="shared" si="56"/>
        <v>4-2025</v>
      </c>
      <c r="B833" s="86">
        <v>45759</v>
      </c>
      <c r="C833" t="str">
        <f t="shared" si="57"/>
        <v>SAB</v>
      </c>
      <c r="D833" t="str">
        <f t="shared" si="58"/>
        <v>Sábado</v>
      </c>
    </row>
    <row r="834" spans="1:4" x14ac:dyDescent="0.25">
      <c r="A834" s="88" t="str">
        <f t="shared" ref="A834:A897" si="59">MONTH(B834)&amp;"-"&amp;YEAR(B834)</f>
        <v>4-2025</v>
      </c>
      <c r="B834" s="86">
        <v>45760</v>
      </c>
      <c r="C834" t="str">
        <f t="shared" si="57"/>
        <v>DOM</v>
      </c>
      <c r="D834" t="str">
        <f t="shared" si="58"/>
        <v>Domingo</v>
      </c>
    </row>
    <row r="835" spans="1:4" x14ac:dyDescent="0.25">
      <c r="A835" s="88" t="str">
        <f t="shared" si="59"/>
        <v>4-2025</v>
      </c>
      <c r="B835" s="86">
        <v>45761</v>
      </c>
      <c r="C835" t="str">
        <f t="shared" ref="C835:C898" si="60">VLOOKUP(WEEKDAY(B835,2),$F$1:$H$7,2)</f>
        <v>L-V</v>
      </c>
      <c r="D835" t="str">
        <f t="shared" ref="D835:D898" si="61">VLOOKUP(WEEKDAY($B835,2),$F$1:$H$7,3)</f>
        <v>Lunes</v>
      </c>
    </row>
    <row r="836" spans="1:4" x14ac:dyDescent="0.25">
      <c r="A836" s="88" t="str">
        <f t="shared" si="59"/>
        <v>4-2025</v>
      </c>
      <c r="B836" s="86">
        <v>45762</v>
      </c>
      <c r="C836" t="str">
        <f t="shared" si="60"/>
        <v>L-V</v>
      </c>
      <c r="D836" t="str">
        <f t="shared" si="61"/>
        <v>Martes</v>
      </c>
    </row>
    <row r="837" spans="1:4" x14ac:dyDescent="0.25">
      <c r="A837" s="88" t="str">
        <f t="shared" si="59"/>
        <v>4-2025</v>
      </c>
      <c r="B837" s="86">
        <v>45763</v>
      </c>
      <c r="C837" t="str">
        <f t="shared" si="60"/>
        <v>L-V</v>
      </c>
      <c r="D837" t="str">
        <f t="shared" si="61"/>
        <v>Miércoles</v>
      </c>
    </row>
    <row r="838" spans="1:4" x14ac:dyDescent="0.25">
      <c r="A838" s="88" t="str">
        <f t="shared" si="59"/>
        <v>4-2025</v>
      </c>
      <c r="B838" s="86">
        <v>45764</v>
      </c>
      <c r="C838" t="str">
        <f t="shared" si="60"/>
        <v>L-V</v>
      </c>
      <c r="D838" t="str">
        <f t="shared" si="61"/>
        <v>Jueves</v>
      </c>
    </row>
    <row r="839" spans="1:4" x14ac:dyDescent="0.25">
      <c r="A839" s="88" t="str">
        <f t="shared" si="59"/>
        <v>4-2025</v>
      </c>
      <c r="B839" s="86">
        <v>45765</v>
      </c>
      <c r="C839" t="str">
        <f t="shared" si="60"/>
        <v>L-V</v>
      </c>
      <c r="D839" t="str">
        <f t="shared" si="61"/>
        <v>Viernes</v>
      </c>
    </row>
    <row r="840" spans="1:4" x14ac:dyDescent="0.25">
      <c r="A840" s="88" t="str">
        <f t="shared" si="59"/>
        <v>4-2025</v>
      </c>
      <c r="B840" s="86">
        <v>45766</v>
      </c>
      <c r="C840" t="str">
        <f t="shared" si="60"/>
        <v>SAB</v>
      </c>
      <c r="D840" t="str">
        <f t="shared" si="61"/>
        <v>Sábado</v>
      </c>
    </row>
    <row r="841" spans="1:4" x14ac:dyDescent="0.25">
      <c r="A841" s="88" t="str">
        <f t="shared" si="59"/>
        <v>4-2025</v>
      </c>
      <c r="B841" s="86">
        <v>45767</v>
      </c>
      <c r="C841" t="str">
        <f t="shared" si="60"/>
        <v>DOM</v>
      </c>
      <c r="D841" t="str">
        <f t="shared" si="61"/>
        <v>Domingo</v>
      </c>
    </row>
    <row r="842" spans="1:4" x14ac:dyDescent="0.25">
      <c r="A842" s="88" t="str">
        <f t="shared" si="59"/>
        <v>4-2025</v>
      </c>
      <c r="B842" s="86">
        <v>45768</v>
      </c>
      <c r="C842" t="str">
        <f t="shared" si="60"/>
        <v>L-V</v>
      </c>
      <c r="D842" t="str">
        <f t="shared" si="61"/>
        <v>Lunes</v>
      </c>
    </row>
    <row r="843" spans="1:4" x14ac:dyDescent="0.25">
      <c r="A843" s="88" t="str">
        <f t="shared" si="59"/>
        <v>4-2025</v>
      </c>
      <c r="B843" s="86">
        <v>45769</v>
      </c>
      <c r="C843" t="str">
        <f t="shared" si="60"/>
        <v>L-V</v>
      </c>
      <c r="D843" t="str">
        <f t="shared" si="61"/>
        <v>Martes</v>
      </c>
    </row>
    <row r="844" spans="1:4" x14ac:dyDescent="0.25">
      <c r="A844" s="88" t="str">
        <f t="shared" si="59"/>
        <v>4-2025</v>
      </c>
      <c r="B844" s="86">
        <v>45770</v>
      </c>
      <c r="C844" t="str">
        <f t="shared" si="60"/>
        <v>L-V</v>
      </c>
      <c r="D844" t="str">
        <f t="shared" si="61"/>
        <v>Miércoles</v>
      </c>
    </row>
    <row r="845" spans="1:4" x14ac:dyDescent="0.25">
      <c r="A845" s="88" t="str">
        <f t="shared" si="59"/>
        <v>4-2025</v>
      </c>
      <c r="B845" s="86">
        <v>45771</v>
      </c>
      <c r="C845" t="str">
        <f t="shared" si="60"/>
        <v>L-V</v>
      </c>
      <c r="D845" t="str">
        <f t="shared" si="61"/>
        <v>Jueves</v>
      </c>
    </row>
    <row r="846" spans="1:4" x14ac:dyDescent="0.25">
      <c r="A846" s="88" t="str">
        <f t="shared" si="59"/>
        <v>4-2025</v>
      </c>
      <c r="B846" s="86">
        <v>45772</v>
      </c>
      <c r="C846" t="str">
        <f t="shared" si="60"/>
        <v>L-V</v>
      </c>
      <c r="D846" t="str">
        <f t="shared" si="61"/>
        <v>Viernes</v>
      </c>
    </row>
    <row r="847" spans="1:4" x14ac:dyDescent="0.25">
      <c r="A847" s="88" t="str">
        <f t="shared" si="59"/>
        <v>4-2025</v>
      </c>
      <c r="B847" s="86">
        <v>45773</v>
      </c>
      <c r="C847" t="str">
        <f t="shared" si="60"/>
        <v>SAB</v>
      </c>
      <c r="D847" t="str">
        <f t="shared" si="61"/>
        <v>Sábado</v>
      </c>
    </row>
    <row r="848" spans="1:4" x14ac:dyDescent="0.25">
      <c r="A848" s="88" t="str">
        <f t="shared" si="59"/>
        <v>4-2025</v>
      </c>
      <c r="B848" s="86">
        <v>45774</v>
      </c>
      <c r="C848" t="str">
        <f t="shared" si="60"/>
        <v>DOM</v>
      </c>
      <c r="D848" t="str">
        <f t="shared" si="61"/>
        <v>Domingo</v>
      </c>
    </row>
    <row r="849" spans="1:4" x14ac:dyDescent="0.25">
      <c r="A849" s="88" t="str">
        <f t="shared" si="59"/>
        <v>4-2025</v>
      </c>
      <c r="B849" s="86">
        <v>45775</v>
      </c>
      <c r="C849" t="str">
        <f t="shared" si="60"/>
        <v>L-V</v>
      </c>
      <c r="D849" t="str">
        <f t="shared" si="61"/>
        <v>Lunes</v>
      </c>
    </row>
    <row r="850" spans="1:4" x14ac:dyDescent="0.25">
      <c r="A850" s="88" t="str">
        <f t="shared" si="59"/>
        <v>4-2025</v>
      </c>
      <c r="B850" s="86">
        <v>45776</v>
      </c>
      <c r="C850" t="str">
        <f t="shared" si="60"/>
        <v>L-V</v>
      </c>
      <c r="D850" t="str">
        <f t="shared" si="61"/>
        <v>Martes</v>
      </c>
    </row>
    <row r="851" spans="1:4" x14ac:dyDescent="0.25">
      <c r="A851" s="88" t="str">
        <f t="shared" si="59"/>
        <v>4-2025</v>
      </c>
      <c r="B851" s="86">
        <v>45777</v>
      </c>
      <c r="C851" t="str">
        <f t="shared" si="60"/>
        <v>L-V</v>
      </c>
      <c r="D851" t="str">
        <f t="shared" si="61"/>
        <v>Miércoles</v>
      </c>
    </row>
    <row r="852" spans="1:4" x14ac:dyDescent="0.25">
      <c r="A852" s="88" t="str">
        <f t="shared" si="59"/>
        <v>5-2025</v>
      </c>
      <c r="B852" s="86">
        <v>45778</v>
      </c>
      <c r="C852" t="str">
        <f t="shared" si="60"/>
        <v>L-V</v>
      </c>
      <c r="D852" t="str">
        <f t="shared" si="61"/>
        <v>Jueves</v>
      </c>
    </row>
    <row r="853" spans="1:4" x14ac:dyDescent="0.25">
      <c r="A853" s="88" t="str">
        <f t="shared" si="59"/>
        <v>5-2025</v>
      </c>
      <c r="B853" s="86">
        <v>45779</v>
      </c>
      <c r="C853" t="str">
        <f t="shared" si="60"/>
        <v>L-V</v>
      </c>
      <c r="D853" t="str">
        <f t="shared" si="61"/>
        <v>Viernes</v>
      </c>
    </row>
    <row r="854" spans="1:4" x14ac:dyDescent="0.25">
      <c r="A854" s="88" t="str">
        <f t="shared" si="59"/>
        <v>5-2025</v>
      </c>
      <c r="B854" s="86">
        <v>45780</v>
      </c>
      <c r="C854" t="str">
        <f t="shared" si="60"/>
        <v>SAB</v>
      </c>
      <c r="D854" t="str">
        <f t="shared" si="61"/>
        <v>Sábado</v>
      </c>
    </row>
    <row r="855" spans="1:4" x14ac:dyDescent="0.25">
      <c r="A855" s="88" t="str">
        <f t="shared" si="59"/>
        <v>5-2025</v>
      </c>
      <c r="B855" s="86">
        <v>45781</v>
      </c>
      <c r="C855" t="str">
        <f t="shared" si="60"/>
        <v>DOM</v>
      </c>
      <c r="D855" t="str">
        <f t="shared" si="61"/>
        <v>Domingo</v>
      </c>
    </row>
    <row r="856" spans="1:4" x14ac:dyDescent="0.25">
      <c r="A856" s="88" t="str">
        <f t="shared" si="59"/>
        <v>5-2025</v>
      </c>
      <c r="B856" s="86">
        <v>45782</v>
      </c>
      <c r="C856" t="str">
        <f t="shared" si="60"/>
        <v>L-V</v>
      </c>
      <c r="D856" t="str">
        <f t="shared" si="61"/>
        <v>Lunes</v>
      </c>
    </row>
    <row r="857" spans="1:4" x14ac:dyDescent="0.25">
      <c r="A857" s="88" t="str">
        <f t="shared" si="59"/>
        <v>5-2025</v>
      </c>
      <c r="B857" s="86">
        <v>45783</v>
      </c>
      <c r="C857" t="str">
        <f t="shared" si="60"/>
        <v>L-V</v>
      </c>
      <c r="D857" t="str">
        <f t="shared" si="61"/>
        <v>Martes</v>
      </c>
    </row>
    <row r="858" spans="1:4" x14ac:dyDescent="0.25">
      <c r="A858" s="88" t="str">
        <f t="shared" si="59"/>
        <v>5-2025</v>
      </c>
      <c r="B858" s="86">
        <v>45784</v>
      </c>
      <c r="C858" t="str">
        <f t="shared" si="60"/>
        <v>L-V</v>
      </c>
      <c r="D858" t="str">
        <f t="shared" si="61"/>
        <v>Miércoles</v>
      </c>
    </row>
    <row r="859" spans="1:4" x14ac:dyDescent="0.25">
      <c r="A859" s="88" t="str">
        <f t="shared" si="59"/>
        <v>5-2025</v>
      </c>
      <c r="B859" s="86">
        <v>45785</v>
      </c>
      <c r="C859" t="str">
        <f t="shared" si="60"/>
        <v>L-V</v>
      </c>
      <c r="D859" t="str">
        <f t="shared" si="61"/>
        <v>Jueves</v>
      </c>
    </row>
    <row r="860" spans="1:4" x14ac:dyDescent="0.25">
      <c r="A860" s="88" t="str">
        <f t="shared" si="59"/>
        <v>5-2025</v>
      </c>
      <c r="B860" s="86">
        <v>45786</v>
      </c>
      <c r="C860" t="str">
        <f t="shared" si="60"/>
        <v>L-V</v>
      </c>
      <c r="D860" t="str">
        <f t="shared" si="61"/>
        <v>Viernes</v>
      </c>
    </row>
    <row r="861" spans="1:4" x14ac:dyDescent="0.25">
      <c r="A861" s="88" t="str">
        <f t="shared" si="59"/>
        <v>5-2025</v>
      </c>
      <c r="B861" s="86">
        <v>45787</v>
      </c>
      <c r="C861" t="str">
        <f t="shared" si="60"/>
        <v>SAB</v>
      </c>
      <c r="D861" t="str">
        <f t="shared" si="61"/>
        <v>Sábado</v>
      </c>
    </row>
    <row r="862" spans="1:4" x14ac:dyDescent="0.25">
      <c r="A862" s="88" t="str">
        <f t="shared" si="59"/>
        <v>5-2025</v>
      </c>
      <c r="B862" s="86">
        <v>45788</v>
      </c>
      <c r="C862" t="str">
        <f t="shared" si="60"/>
        <v>DOM</v>
      </c>
      <c r="D862" t="str">
        <f t="shared" si="61"/>
        <v>Domingo</v>
      </c>
    </row>
    <row r="863" spans="1:4" x14ac:dyDescent="0.25">
      <c r="A863" s="88" t="str">
        <f t="shared" si="59"/>
        <v>5-2025</v>
      </c>
      <c r="B863" s="86">
        <v>45789</v>
      </c>
      <c r="C863" t="str">
        <f t="shared" si="60"/>
        <v>L-V</v>
      </c>
      <c r="D863" t="str">
        <f t="shared" si="61"/>
        <v>Lunes</v>
      </c>
    </row>
    <row r="864" spans="1:4" x14ac:dyDescent="0.25">
      <c r="A864" s="88" t="str">
        <f t="shared" si="59"/>
        <v>5-2025</v>
      </c>
      <c r="B864" s="86">
        <v>45790</v>
      </c>
      <c r="C864" t="str">
        <f t="shared" si="60"/>
        <v>L-V</v>
      </c>
      <c r="D864" t="str">
        <f t="shared" si="61"/>
        <v>Martes</v>
      </c>
    </row>
    <row r="865" spans="1:4" x14ac:dyDescent="0.25">
      <c r="A865" s="88" t="str">
        <f t="shared" si="59"/>
        <v>5-2025</v>
      </c>
      <c r="B865" s="86">
        <v>45791</v>
      </c>
      <c r="C865" t="str">
        <f t="shared" si="60"/>
        <v>L-V</v>
      </c>
      <c r="D865" t="str">
        <f t="shared" si="61"/>
        <v>Miércoles</v>
      </c>
    </row>
    <row r="866" spans="1:4" x14ac:dyDescent="0.25">
      <c r="A866" s="88" t="str">
        <f t="shared" si="59"/>
        <v>5-2025</v>
      </c>
      <c r="B866" s="86">
        <v>45792</v>
      </c>
      <c r="C866" t="str">
        <f t="shared" si="60"/>
        <v>L-V</v>
      </c>
      <c r="D866" t="str">
        <f t="shared" si="61"/>
        <v>Jueves</v>
      </c>
    </row>
    <row r="867" spans="1:4" x14ac:dyDescent="0.25">
      <c r="A867" s="88" t="str">
        <f t="shared" si="59"/>
        <v>5-2025</v>
      </c>
      <c r="B867" s="86">
        <v>45793</v>
      </c>
      <c r="C867" t="str">
        <f t="shared" si="60"/>
        <v>L-V</v>
      </c>
      <c r="D867" t="str">
        <f t="shared" si="61"/>
        <v>Viernes</v>
      </c>
    </row>
    <row r="868" spans="1:4" x14ac:dyDescent="0.25">
      <c r="A868" s="88" t="str">
        <f t="shared" si="59"/>
        <v>5-2025</v>
      </c>
      <c r="B868" s="86">
        <v>45794</v>
      </c>
      <c r="C868" t="str">
        <f t="shared" si="60"/>
        <v>SAB</v>
      </c>
      <c r="D868" t="str">
        <f t="shared" si="61"/>
        <v>Sábado</v>
      </c>
    </row>
    <row r="869" spans="1:4" x14ac:dyDescent="0.25">
      <c r="A869" s="88" t="str">
        <f t="shared" si="59"/>
        <v>5-2025</v>
      </c>
      <c r="B869" s="86">
        <v>45795</v>
      </c>
      <c r="C869" t="str">
        <f t="shared" si="60"/>
        <v>DOM</v>
      </c>
      <c r="D869" t="str">
        <f t="shared" si="61"/>
        <v>Domingo</v>
      </c>
    </row>
    <row r="870" spans="1:4" x14ac:dyDescent="0.25">
      <c r="A870" s="88" t="str">
        <f t="shared" si="59"/>
        <v>5-2025</v>
      </c>
      <c r="B870" s="86">
        <v>45796</v>
      </c>
      <c r="C870" t="str">
        <f t="shared" si="60"/>
        <v>L-V</v>
      </c>
      <c r="D870" t="str">
        <f t="shared" si="61"/>
        <v>Lunes</v>
      </c>
    </row>
    <row r="871" spans="1:4" x14ac:dyDescent="0.25">
      <c r="A871" s="88" t="str">
        <f t="shared" si="59"/>
        <v>5-2025</v>
      </c>
      <c r="B871" s="86">
        <v>45797</v>
      </c>
      <c r="C871" t="str">
        <f t="shared" si="60"/>
        <v>L-V</v>
      </c>
      <c r="D871" t="str">
        <f t="shared" si="61"/>
        <v>Martes</v>
      </c>
    </row>
    <row r="872" spans="1:4" x14ac:dyDescent="0.25">
      <c r="A872" s="88" t="str">
        <f t="shared" si="59"/>
        <v>5-2025</v>
      </c>
      <c r="B872" s="86">
        <v>45798</v>
      </c>
      <c r="C872" t="str">
        <f t="shared" si="60"/>
        <v>L-V</v>
      </c>
      <c r="D872" t="str">
        <f t="shared" si="61"/>
        <v>Miércoles</v>
      </c>
    </row>
    <row r="873" spans="1:4" x14ac:dyDescent="0.25">
      <c r="A873" s="88" t="str">
        <f t="shared" si="59"/>
        <v>5-2025</v>
      </c>
      <c r="B873" s="86">
        <v>45799</v>
      </c>
      <c r="C873" t="str">
        <f t="shared" si="60"/>
        <v>L-V</v>
      </c>
      <c r="D873" t="str">
        <f t="shared" si="61"/>
        <v>Jueves</v>
      </c>
    </row>
    <row r="874" spans="1:4" x14ac:dyDescent="0.25">
      <c r="A874" s="88" t="str">
        <f t="shared" si="59"/>
        <v>5-2025</v>
      </c>
      <c r="B874" s="86">
        <v>45800</v>
      </c>
      <c r="C874" t="str">
        <f t="shared" si="60"/>
        <v>L-V</v>
      </c>
      <c r="D874" t="str">
        <f t="shared" si="61"/>
        <v>Viernes</v>
      </c>
    </row>
    <row r="875" spans="1:4" x14ac:dyDescent="0.25">
      <c r="A875" s="88" t="str">
        <f t="shared" si="59"/>
        <v>5-2025</v>
      </c>
      <c r="B875" s="86">
        <v>45801</v>
      </c>
      <c r="C875" t="str">
        <f t="shared" si="60"/>
        <v>SAB</v>
      </c>
      <c r="D875" t="str">
        <f t="shared" si="61"/>
        <v>Sábado</v>
      </c>
    </row>
    <row r="876" spans="1:4" x14ac:dyDescent="0.25">
      <c r="A876" s="88" t="str">
        <f t="shared" si="59"/>
        <v>5-2025</v>
      </c>
      <c r="B876" s="86">
        <v>45802</v>
      </c>
      <c r="C876" t="str">
        <f t="shared" si="60"/>
        <v>DOM</v>
      </c>
      <c r="D876" t="str">
        <f t="shared" si="61"/>
        <v>Domingo</v>
      </c>
    </row>
    <row r="877" spans="1:4" x14ac:dyDescent="0.25">
      <c r="A877" s="88" t="str">
        <f t="shared" si="59"/>
        <v>5-2025</v>
      </c>
      <c r="B877" s="86">
        <v>45803</v>
      </c>
      <c r="C877" t="str">
        <f t="shared" si="60"/>
        <v>L-V</v>
      </c>
      <c r="D877" t="str">
        <f t="shared" si="61"/>
        <v>Lunes</v>
      </c>
    </row>
    <row r="878" spans="1:4" x14ac:dyDescent="0.25">
      <c r="A878" s="88" t="str">
        <f t="shared" si="59"/>
        <v>5-2025</v>
      </c>
      <c r="B878" s="86">
        <v>45804</v>
      </c>
      <c r="C878" t="str">
        <f t="shared" si="60"/>
        <v>L-V</v>
      </c>
      <c r="D878" t="str">
        <f t="shared" si="61"/>
        <v>Martes</v>
      </c>
    </row>
    <row r="879" spans="1:4" x14ac:dyDescent="0.25">
      <c r="A879" s="88" t="str">
        <f t="shared" si="59"/>
        <v>5-2025</v>
      </c>
      <c r="B879" s="86">
        <v>45805</v>
      </c>
      <c r="C879" t="str">
        <f t="shared" si="60"/>
        <v>L-V</v>
      </c>
      <c r="D879" t="str">
        <f t="shared" si="61"/>
        <v>Miércoles</v>
      </c>
    </row>
    <row r="880" spans="1:4" x14ac:dyDescent="0.25">
      <c r="A880" s="88" t="str">
        <f t="shared" si="59"/>
        <v>5-2025</v>
      </c>
      <c r="B880" s="86">
        <v>45806</v>
      </c>
      <c r="C880" t="str">
        <f t="shared" si="60"/>
        <v>L-V</v>
      </c>
      <c r="D880" t="str">
        <f t="shared" si="61"/>
        <v>Jueves</v>
      </c>
    </row>
    <row r="881" spans="1:4" x14ac:dyDescent="0.25">
      <c r="A881" s="88" t="str">
        <f t="shared" si="59"/>
        <v>5-2025</v>
      </c>
      <c r="B881" s="86">
        <v>45807</v>
      </c>
      <c r="C881" t="str">
        <f t="shared" si="60"/>
        <v>L-V</v>
      </c>
      <c r="D881" t="str">
        <f t="shared" si="61"/>
        <v>Viernes</v>
      </c>
    </row>
    <row r="882" spans="1:4" x14ac:dyDescent="0.25">
      <c r="A882" s="88" t="str">
        <f t="shared" si="59"/>
        <v>5-2025</v>
      </c>
      <c r="B882" s="86">
        <v>45808</v>
      </c>
      <c r="C882" t="str">
        <f t="shared" si="60"/>
        <v>SAB</v>
      </c>
      <c r="D882" t="str">
        <f t="shared" si="61"/>
        <v>Sábado</v>
      </c>
    </row>
    <row r="883" spans="1:4" x14ac:dyDescent="0.25">
      <c r="A883" s="88" t="str">
        <f t="shared" si="59"/>
        <v>6-2025</v>
      </c>
      <c r="B883" s="86">
        <v>45809</v>
      </c>
      <c r="C883" t="str">
        <f t="shared" si="60"/>
        <v>DOM</v>
      </c>
      <c r="D883" t="str">
        <f t="shared" si="61"/>
        <v>Domingo</v>
      </c>
    </row>
    <row r="884" spans="1:4" x14ac:dyDescent="0.25">
      <c r="A884" s="88" t="str">
        <f t="shared" si="59"/>
        <v>6-2025</v>
      </c>
      <c r="B884" s="86">
        <v>45810</v>
      </c>
      <c r="C884" t="str">
        <f t="shared" si="60"/>
        <v>L-V</v>
      </c>
      <c r="D884" t="str">
        <f t="shared" si="61"/>
        <v>Lunes</v>
      </c>
    </row>
    <row r="885" spans="1:4" x14ac:dyDescent="0.25">
      <c r="A885" s="88" t="str">
        <f t="shared" si="59"/>
        <v>6-2025</v>
      </c>
      <c r="B885" s="86">
        <v>45811</v>
      </c>
      <c r="C885" t="str">
        <f t="shared" si="60"/>
        <v>L-V</v>
      </c>
      <c r="D885" t="str">
        <f t="shared" si="61"/>
        <v>Martes</v>
      </c>
    </row>
    <row r="886" spans="1:4" x14ac:dyDescent="0.25">
      <c r="A886" s="88" t="str">
        <f t="shared" si="59"/>
        <v>6-2025</v>
      </c>
      <c r="B886" s="86">
        <v>45812</v>
      </c>
      <c r="C886" t="str">
        <f t="shared" si="60"/>
        <v>L-V</v>
      </c>
      <c r="D886" t="str">
        <f t="shared" si="61"/>
        <v>Miércoles</v>
      </c>
    </row>
    <row r="887" spans="1:4" x14ac:dyDescent="0.25">
      <c r="A887" s="88" t="str">
        <f t="shared" si="59"/>
        <v>6-2025</v>
      </c>
      <c r="B887" s="86">
        <v>45813</v>
      </c>
      <c r="C887" t="str">
        <f t="shared" si="60"/>
        <v>L-V</v>
      </c>
      <c r="D887" t="str">
        <f t="shared" si="61"/>
        <v>Jueves</v>
      </c>
    </row>
    <row r="888" spans="1:4" x14ac:dyDescent="0.25">
      <c r="A888" s="88" t="str">
        <f t="shared" si="59"/>
        <v>6-2025</v>
      </c>
      <c r="B888" s="86">
        <v>45814</v>
      </c>
      <c r="C888" t="str">
        <f t="shared" si="60"/>
        <v>L-V</v>
      </c>
      <c r="D888" t="str">
        <f t="shared" si="61"/>
        <v>Viernes</v>
      </c>
    </row>
    <row r="889" spans="1:4" x14ac:dyDescent="0.25">
      <c r="A889" s="88" t="str">
        <f t="shared" si="59"/>
        <v>6-2025</v>
      </c>
      <c r="B889" s="86">
        <v>45815</v>
      </c>
      <c r="C889" t="str">
        <f t="shared" si="60"/>
        <v>SAB</v>
      </c>
      <c r="D889" t="str">
        <f t="shared" si="61"/>
        <v>Sábado</v>
      </c>
    </row>
    <row r="890" spans="1:4" x14ac:dyDescent="0.25">
      <c r="A890" s="88" t="str">
        <f t="shared" si="59"/>
        <v>6-2025</v>
      </c>
      <c r="B890" s="86">
        <v>45816</v>
      </c>
      <c r="C890" t="str">
        <f t="shared" si="60"/>
        <v>DOM</v>
      </c>
      <c r="D890" t="str">
        <f t="shared" si="61"/>
        <v>Domingo</v>
      </c>
    </row>
    <row r="891" spans="1:4" x14ac:dyDescent="0.25">
      <c r="A891" s="88" t="str">
        <f t="shared" si="59"/>
        <v>6-2025</v>
      </c>
      <c r="B891" s="86">
        <v>45817</v>
      </c>
      <c r="C891" t="str">
        <f t="shared" si="60"/>
        <v>L-V</v>
      </c>
      <c r="D891" t="str">
        <f t="shared" si="61"/>
        <v>Lunes</v>
      </c>
    </row>
    <row r="892" spans="1:4" x14ac:dyDescent="0.25">
      <c r="A892" s="88" t="str">
        <f t="shared" si="59"/>
        <v>6-2025</v>
      </c>
      <c r="B892" s="86">
        <v>45818</v>
      </c>
      <c r="C892" t="str">
        <f t="shared" si="60"/>
        <v>L-V</v>
      </c>
      <c r="D892" t="str">
        <f t="shared" si="61"/>
        <v>Martes</v>
      </c>
    </row>
    <row r="893" spans="1:4" x14ac:dyDescent="0.25">
      <c r="A893" s="88" t="str">
        <f t="shared" si="59"/>
        <v>6-2025</v>
      </c>
      <c r="B893" s="86">
        <v>45819</v>
      </c>
      <c r="C893" t="str">
        <f t="shared" si="60"/>
        <v>L-V</v>
      </c>
      <c r="D893" t="str">
        <f t="shared" si="61"/>
        <v>Miércoles</v>
      </c>
    </row>
    <row r="894" spans="1:4" x14ac:dyDescent="0.25">
      <c r="A894" s="88" t="str">
        <f t="shared" si="59"/>
        <v>6-2025</v>
      </c>
      <c r="B894" s="86">
        <v>45820</v>
      </c>
      <c r="C894" t="str">
        <f t="shared" si="60"/>
        <v>L-V</v>
      </c>
      <c r="D894" t="str">
        <f t="shared" si="61"/>
        <v>Jueves</v>
      </c>
    </row>
    <row r="895" spans="1:4" x14ac:dyDescent="0.25">
      <c r="A895" s="88" t="str">
        <f t="shared" si="59"/>
        <v>6-2025</v>
      </c>
      <c r="B895" s="86">
        <v>45821</v>
      </c>
      <c r="C895" t="str">
        <f t="shared" si="60"/>
        <v>L-V</v>
      </c>
      <c r="D895" t="str">
        <f t="shared" si="61"/>
        <v>Viernes</v>
      </c>
    </row>
    <row r="896" spans="1:4" x14ac:dyDescent="0.25">
      <c r="A896" s="88" t="str">
        <f t="shared" si="59"/>
        <v>6-2025</v>
      </c>
      <c r="B896" s="86">
        <v>45822</v>
      </c>
      <c r="C896" t="str">
        <f t="shared" si="60"/>
        <v>SAB</v>
      </c>
      <c r="D896" t="str">
        <f t="shared" si="61"/>
        <v>Sábado</v>
      </c>
    </row>
    <row r="897" spans="1:4" x14ac:dyDescent="0.25">
      <c r="A897" s="88" t="str">
        <f t="shared" si="59"/>
        <v>6-2025</v>
      </c>
      <c r="B897" s="86">
        <v>45823</v>
      </c>
      <c r="C897" t="str">
        <f t="shared" si="60"/>
        <v>DOM</v>
      </c>
      <c r="D897" t="str">
        <f t="shared" si="61"/>
        <v>Domingo</v>
      </c>
    </row>
    <row r="898" spans="1:4" x14ac:dyDescent="0.25">
      <c r="A898" s="88" t="str">
        <f t="shared" ref="A898:A961" si="62">MONTH(B898)&amp;"-"&amp;YEAR(B898)</f>
        <v>6-2025</v>
      </c>
      <c r="B898" s="86">
        <v>45824</v>
      </c>
      <c r="C898" t="str">
        <f t="shared" si="60"/>
        <v>L-V</v>
      </c>
      <c r="D898" t="str">
        <f t="shared" si="61"/>
        <v>Lunes</v>
      </c>
    </row>
    <row r="899" spans="1:4" x14ac:dyDescent="0.25">
      <c r="A899" s="88" t="str">
        <f t="shared" si="62"/>
        <v>6-2025</v>
      </c>
      <c r="B899" s="86">
        <v>45825</v>
      </c>
      <c r="C899" t="str">
        <f t="shared" ref="C899:C962" si="63">VLOOKUP(WEEKDAY(B899,2),$F$1:$H$7,2)</f>
        <v>L-V</v>
      </c>
      <c r="D899" t="str">
        <f t="shared" ref="D899:D962" si="64">VLOOKUP(WEEKDAY($B899,2),$F$1:$H$7,3)</f>
        <v>Martes</v>
      </c>
    </row>
    <row r="900" spans="1:4" x14ac:dyDescent="0.25">
      <c r="A900" s="88" t="str">
        <f t="shared" si="62"/>
        <v>6-2025</v>
      </c>
      <c r="B900" s="86">
        <v>45826</v>
      </c>
      <c r="C900" t="str">
        <f t="shared" si="63"/>
        <v>L-V</v>
      </c>
      <c r="D900" t="str">
        <f t="shared" si="64"/>
        <v>Miércoles</v>
      </c>
    </row>
    <row r="901" spans="1:4" x14ac:dyDescent="0.25">
      <c r="A901" s="88" t="str">
        <f t="shared" si="62"/>
        <v>6-2025</v>
      </c>
      <c r="B901" s="86">
        <v>45827</v>
      </c>
      <c r="C901" t="str">
        <f t="shared" si="63"/>
        <v>L-V</v>
      </c>
      <c r="D901" t="str">
        <f t="shared" si="64"/>
        <v>Jueves</v>
      </c>
    </row>
    <row r="902" spans="1:4" x14ac:dyDescent="0.25">
      <c r="A902" s="88" t="str">
        <f t="shared" si="62"/>
        <v>6-2025</v>
      </c>
      <c r="B902" s="86">
        <v>45828</v>
      </c>
      <c r="C902" t="str">
        <f t="shared" si="63"/>
        <v>L-V</v>
      </c>
      <c r="D902" t="str">
        <f t="shared" si="64"/>
        <v>Viernes</v>
      </c>
    </row>
    <row r="903" spans="1:4" x14ac:dyDescent="0.25">
      <c r="A903" s="88" t="str">
        <f t="shared" si="62"/>
        <v>6-2025</v>
      </c>
      <c r="B903" s="86">
        <v>45829</v>
      </c>
      <c r="C903" t="str">
        <f t="shared" si="63"/>
        <v>SAB</v>
      </c>
      <c r="D903" t="str">
        <f t="shared" si="64"/>
        <v>Sábado</v>
      </c>
    </row>
    <row r="904" spans="1:4" x14ac:dyDescent="0.25">
      <c r="A904" s="88" t="str">
        <f t="shared" si="62"/>
        <v>6-2025</v>
      </c>
      <c r="B904" s="86">
        <v>45830</v>
      </c>
      <c r="C904" t="str">
        <f t="shared" si="63"/>
        <v>DOM</v>
      </c>
      <c r="D904" t="str">
        <f t="shared" si="64"/>
        <v>Domingo</v>
      </c>
    </row>
    <row r="905" spans="1:4" x14ac:dyDescent="0.25">
      <c r="A905" s="88" t="str">
        <f t="shared" si="62"/>
        <v>6-2025</v>
      </c>
      <c r="B905" s="86">
        <v>45831</v>
      </c>
      <c r="C905" t="str">
        <f t="shared" si="63"/>
        <v>L-V</v>
      </c>
      <c r="D905" t="str">
        <f t="shared" si="64"/>
        <v>Lunes</v>
      </c>
    </row>
    <row r="906" spans="1:4" x14ac:dyDescent="0.25">
      <c r="A906" s="88" t="str">
        <f t="shared" si="62"/>
        <v>6-2025</v>
      </c>
      <c r="B906" s="86">
        <v>45832</v>
      </c>
      <c r="C906" t="str">
        <f t="shared" si="63"/>
        <v>L-V</v>
      </c>
      <c r="D906" t="str">
        <f t="shared" si="64"/>
        <v>Martes</v>
      </c>
    </row>
    <row r="907" spans="1:4" x14ac:dyDescent="0.25">
      <c r="A907" s="88" t="str">
        <f t="shared" si="62"/>
        <v>6-2025</v>
      </c>
      <c r="B907" s="86">
        <v>45833</v>
      </c>
      <c r="C907" t="str">
        <f t="shared" si="63"/>
        <v>L-V</v>
      </c>
      <c r="D907" t="str">
        <f t="shared" si="64"/>
        <v>Miércoles</v>
      </c>
    </row>
    <row r="908" spans="1:4" x14ac:dyDescent="0.25">
      <c r="A908" s="88" t="str">
        <f t="shared" si="62"/>
        <v>6-2025</v>
      </c>
      <c r="B908" s="86">
        <v>45834</v>
      </c>
      <c r="C908" t="str">
        <f t="shared" si="63"/>
        <v>L-V</v>
      </c>
      <c r="D908" t="str">
        <f t="shared" si="64"/>
        <v>Jueves</v>
      </c>
    </row>
    <row r="909" spans="1:4" x14ac:dyDescent="0.25">
      <c r="A909" s="88" t="str">
        <f t="shared" si="62"/>
        <v>6-2025</v>
      </c>
      <c r="B909" s="86">
        <v>45835</v>
      </c>
      <c r="C909" t="str">
        <f t="shared" si="63"/>
        <v>L-V</v>
      </c>
      <c r="D909" t="str">
        <f t="shared" si="64"/>
        <v>Viernes</v>
      </c>
    </row>
    <row r="910" spans="1:4" x14ac:dyDescent="0.25">
      <c r="A910" s="88" t="str">
        <f t="shared" si="62"/>
        <v>6-2025</v>
      </c>
      <c r="B910" s="86">
        <v>45836</v>
      </c>
      <c r="C910" t="str">
        <f t="shared" si="63"/>
        <v>SAB</v>
      </c>
      <c r="D910" t="str">
        <f t="shared" si="64"/>
        <v>Sábado</v>
      </c>
    </row>
    <row r="911" spans="1:4" x14ac:dyDescent="0.25">
      <c r="A911" s="88" t="str">
        <f t="shared" si="62"/>
        <v>6-2025</v>
      </c>
      <c r="B911" s="86">
        <v>45837</v>
      </c>
      <c r="C911" t="str">
        <f t="shared" si="63"/>
        <v>DOM</v>
      </c>
      <c r="D911" t="str">
        <f t="shared" si="64"/>
        <v>Domingo</v>
      </c>
    </row>
    <row r="912" spans="1:4" x14ac:dyDescent="0.25">
      <c r="A912" s="88" t="str">
        <f t="shared" si="62"/>
        <v>6-2025</v>
      </c>
      <c r="B912" s="86">
        <v>45838</v>
      </c>
      <c r="C912" t="str">
        <f t="shared" si="63"/>
        <v>L-V</v>
      </c>
      <c r="D912" t="str">
        <f t="shared" si="64"/>
        <v>Lunes</v>
      </c>
    </row>
    <row r="913" spans="1:4" x14ac:dyDescent="0.25">
      <c r="A913" s="88" t="str">
        <f t="shared" si="62"/>
        <v>7-2025</v>
      </c>
      <c r="B913" s="86">
        <v>45839</v>
      </c>
      <c r="C913" t="str">
        <f t="shared" si="63"/>
        <v>L-V</v>
      </c>
      <c r="D913" t="str">
        <f t="shared" si="64"/>
        <v>Martes</v>
      </c>
    </row>
    <row r="914" spans="1:4" x14ac:dyDescent="0.25">
      <c r="A914" s="88" t="str">
        <f t="shared" si="62"/>
        <v>7-2025</v>
      </c>
      <c r="B914" s="86">
        <v>45840</v>
      </c>
      <c r="C914" t="str">
        <f t="shared" si="63"/>
        <v>L-V</v>
      </c>
      <c r="D914" t="str">
        <f t="shared" si="64"/>
        <v>Miércoles</v>
      </c>
    </row>
    <row r="915" spans="1:4" x14ac:dyDescent="0.25">
      <c r="A915" s="88" t="str">
        <f t="shared" si="62"/>
        <v>7-2025</v>
      </c>
      <c r="B915" s="86">
        <v>45841</v>
      </c>
      <c r="C915" t="str">
        <f t="shared" si="63"/>
        <v>L-V</v>
      </c>
      <c r="D915" t="str">
        <f t="shared" si="64"/>
        <v>Jueves</v>
      </c>
    </row>
    <row r="916" spans="1:4" x14ac:dyDescent="0.25">
      <c r="A916" s="88" t="str">
        <f t="shared" si="62"/>
        <v>7-2025</v>
      </c>
      <c r="B916" s="86">
        <v>45842</v>
      </c>
      <c r="C916" t="str">
        <f t="shared" si="63"/>
        <v>L-V</v>
      </c>
      <c r="D916" t="str">
        <f t="shared" si="64"/>
        <v>Viernes</v>
      </c>
    </row>
    <row r="917" spans="1:4" x14ac:dyDescent="0.25">
      <c r="A917" s="88" t="str">
        <f t="shared" si="62"/>
        <v>7-2025</v>
      </c>
      <c r="B917" s="86">
        <v>45843</v>
      </c>
      <c r="C917" t="str">
        <f t="shared" si="63"/>
        <v>SAB</v>
      </c>
      <c r="D917" t="str">
        <f t="shared" si="64"/>
        <v>Sábado</v>
      </c>
    </row>
    <row r="918" spans="1:4" x14ac:dyDescent="0.25">
      <c r="A918" s="88" t="str">
        <f t="shared" si="62"/>
        <v>7-2025</v>
      </c>
      <c r="B918" s="86">
        <v>45844</v>
      </c>
      <c r="C918" t="str">
        <f t="shared" si="63"/>
        <v>DOM</v>
      </c>
      <c r="D918" t="str">
        <f t="shared" si="64"/>
        <v>Domingo</v>
      </c>
    </row>
    <row r="919" spans="1:4" x14ac:dyDescent="0.25">
      <c r="A919" s="88" t="str">
        <f t="shared" si="62"/>
        <v>7-2025</v>
      </c>
      <c r="B919" s="86">
        <v>45845</v>
      </c>
      <c r="C919" t="str">
        <f t="shared" si="63"/>
        <v>L-V</v>
      </c>
      <c r="D919" t="str">
        <f t="shared" si="64"/>
        <v>Lunes</v>
      </c>
    </row>
    <row r="920" spans="1:4" x14ac:dyDescent="0.25">
      <c r="A920" s="88" t="str">
        <f t="shared" si="62"/>
        <v>7-2025</v>
      </c>
      <c r="B920" s="86">
        <v>45846</v>
      </c>
      <c r="C920" t="str">
        <f t="shared" si="63"/>
        <v>L-V</v>
      </c>
      <c r="D920" t="str">
        <f t="shared" si="64"/>
        <v>Martes</v>
      </c>
    </row>
    <row r="921" spans="1:4" x14ac:dyDescent="0.25">
      <c r="A921" s="88" t="str">
        <f t="shared" si="62"/>
        <v>7-2025</v>
      </c>
      <c r="B921" s="86">
        <v>45847</v>
      </c>
      <c r="C921" t="str">
        <f t="shared" si="63"/>
        <v>L-V</v>
      </c>
      <c r="D921" t="str">
        <f t="shared" si="64"/>
        <v>Miércoles</v>
      </c>
    </row>
    <row r="922" spans="1:4" x14ac:dyDescent="0.25">
      <c r="A922" s="88" t="str">
        <f t="shared" si="62"/>
        <v>7-2025</v>
      </c>
      <c r="B922" s="86">
        <v>45848</v>
      </c>
      <c r="C922" t="str">
        <f t="shared" si="63"/>
        <v>L-V</v>
      </c>
      <c r="D922" t="str">
        <f t="shared" si="64"/>
        <v>Jueves</v>
      </c>
    </row>
    <row r="923" spans="1:4" x14ac:dyDescent="0.25">
      <c r="A923" s="88" t="str">
        <f t="shared" si="62"/>
        <v>7-2025</v>
      </c>
      <c r="B923" s="86">
        <v>45849</v>
      </c>
      <c r="C923" t="str">
        <f t="shared" si="63"/>
        <v>L-V</v>
      </c>
      <c r="D923" t="str">
        <f t="shared" si="64"/>
        <v>Viernes</v>
      </c>
    </row>
    <row r="924" spans="1:4" x14ac:dyDescent="0.25">
      <c r="A924" s="88" t="str">
        <f t="shared" si="62"/>
        <v>7-2025</v>
      </c>
      <c r="B924" s="86">
        <v>45850</v>
      </c>
      <c r="C924" t="str">
        <f t="shared" si="63"/>
        <v>SAB</v>
      </c>
      <c r="D924" t="str">
        <f t="shared" si="64"/>
        <v>Sábado</v>
      </c>
    </row>
    <row r="925" spans="1:4" x14ac:dyDescent="0.25">
      <c r="A925" s="88" t="str">
        <f t="shared" si="62"/>
        <v>7-2025</v>
      </c>
      <c r="B925" s="86">
        <v>45851</v>
      </c>
      <c r="C925" t="str">
        <f t="shared" si="63"/>
        <v>DOM</v>
      </c>
      <c r="D925" t="str">
        <f t="shared" si="64"/>
        <v>Domingo</v>
      </c>
    </row>
    <row r="926" spans="1:4" x14ac:dyDescent="0.25">
      <c r="A926" s="88" t="str">
        <f t="shared" si="62"/>
        <v>7-2025</v>
      </c>
      <c r="B926" s="86">
        <v>45852</v>
      </c>
      <c r="C926" t="str">
        <f t="shared" si="63"/>
        <v>L-V</v>
      </c>
      <c r="D926" t="str">
        <f t="shared" si="64"/>
        <v>Lunes</v>
      </c>
    </row>
    <row r="927" spans="1:4" x14ac:dyDescent="0.25">
      <c r="A927" s="88" t="str">
        <f t="shared" si="62"/>
        <v>7-2025</v>
      </c>
      <c r="B927" s="86">
        <v>45853</v>
      </c>
      <c r="C927" t="str">
        <f t="shared" si="63"/>
        <v>L-V</v>
      </c>
      <c r="D927" t="str">
        <f t="shared" si="64"/>
        <v>Martes</v>
      </c>
    </row>
    <row r="928" spans="1:4" x14ac:dyDescent="0.25">
      <c r="A928" s="88" t="str">
        <f t="shared" si="62"/>
        <v>7-2025</v>
      </c>
      <c r="B928" s="86">
        <v>45854</v>
      </c>
      <c r="C928" t="str">
        <f t="shared" si="63"/>
        <v>L-V</v>
      </c>
      <c r="D928" t="str">
        <f t="shared" si="64"/>
        <v>Miércoles</v>
      </c>
    </row>
    <row r="929" spans="1:4" x14ac:dyDescent="0.25">
      <c r="A929" s="88" t="str">
        <f t="shared" si="62"/>
        <v>7-2025</v>
      </c>
      <c r="B929" s="86">
        <v>45855</v>
      </c>
      <c r="C929" t="str">
        <f t="shared" si="63"/>
        <v>L-V</v>
      </c>
      <c r="D929" t="str">
        <f t="shared" si="64"/>
        <v>Jueves</v>
      </c>
    </row>
    <row r="930" spans="1:4" x14ac:dyDescent="0.25">
      <c r="A930" s="88" t="str">
        <f t="shared" si="62"/>
        <v>7-2025</v>
      </c>
      <c r="B930" s="86">
        <v>45856</v>
      </c>
      <c r="C930" t="str">
        <f t="shared" si="63"/>
        <v>L-V</v>
      </c>
      <c r="D930" t="str">
        <f t="shared" si="64"/>
        <v>Viernes</v>
      </c>
    </row>
    <row r="931" spans="1:4" x14ac:dyDescent="0.25">
      <c r="A931" s="88" t="str">
        <f t="shared" si="62"/>
        <v>7-2025</v>
      </c>
      <c r="B931" s="86">
        <v>45857</v>
      </c>
      <c r="C931" t="str">
        <f t="shared" si="63"/>
        <v>SAB</v>
      </c>
      <c r="D931" t="str">
        <f t="shared" si="64"/>
        <v>Sábado</v>
      </c>
    </row>
    <row r="932" spans="1:4" x14ac:dyDescent="0.25">
      <c r="A932" s="88" t="str">
        <f t="shared" si="62"/>
        <v>7-2025</v>
      </c>
      <c r="B932" s="86">
        <v>45858</v>
      </c>
      <c r="C932" t="str">
        <f t="shared" si="63"/>
        <v>DOM</v>
      </c>
      <c r="D932" t="str">
        <f t="shared" si="64"/>
        <v>Domingo</v>
      </c>
    </row>
    <row r="933" spans="1:4" x14ac:dyDescent="0.25">
      <c r="A933" s="88" t="str">
        <f t="shared" si="62"/>
        <v>7-2025</v>
      </c>
      <c r="B933" s="86">
        <v>45859</v>
      </c>
      <c r="C933" t="str">
        <f t="shared" si="63"/>
        <v>L-V</v>
      </c>
      <c r="D933" t="str">
        <f t="shared" si="64"/>
        <v>Lunes</v>
      </c>
    </row>
    <row r="934" spans="1:4" x14ac:dyDescent="0.25">
      <c r="A934" s="88" t="str">
        <f t="shared" si="62"/>
        <v>7-2025</v>
      </c>
      <c r="B934" s="86">
        <v>45860</v>
      </c>
      <c r="C934" t="str">
        <f t="shared" si="63"/>
        <v>L-V</v>
      </c>
      <c r="D934" t="str">
        <f t="shared" si="64"/>
        <v>Martes</v>
      </c>
    </row>
    <row r="935" spans="1:4" x14ac:dyDescent="0.25">
      <c r="A935" s="88" t="str">
        <f t="shared" si="62"/>
        <v>7-2025</v>
      </c>
      <c r="B935" s="86">
        <v>45861</v>
      </c>
      <c r="C935" t="str">
        <f t="shared" si="63"/>
        <v>L-V</v>
      </c>
      <c r="D935" t="str">
        <f t="shared" si="64"/>
        <v>Miércoles</v>
      </c>
    </row>
    <row r="936" spans="1:4" x14ac:dyDescent="0.25">
      <c r="A936" s="88" t="str">
        <f t="shared" si="62"/>
        <v>7-2025</v>
      </c>
      <c r="B936" s="86">
        <v>45862</v>
      </c>
      <c r="C936" t="str">
        <f t="shared" si="63"/>
        <v>L-V</v>
      </c>
      <c r="D936" t="str">
        <f t="shared" si="64"/>
        <v>Jueves</v>
      </c>
    </row>
    <row r="937" spans="1:4" x14ac:dyDescent="0.25">
      <c r="A937" s="88" t="str">
        <f t="shared" si="62"/>
        <v>7-2025</v>
      </c>
      <c r="B937" s="86">
        <v>45863</v>
      </c>
      <c r="C937" t="str">
        <f t="shared" si="63"/>
        <v>L-V</v>
      </c>
      <c r="D937" t="str">
        <f t="shared" si="64"/>
        <v>Viernes</v>
      </c>
    </row>
    <row r="938" spans="1:4" x14ac:dyDescent="0.25">
      <c r="A938" s="88" t="str">
        <f t="shared" si="62"/>
        <v>7-2025</v>
      </c>
      <c r="B938" s="86">
        <v>45864</v>
      </c>
      <c r="C938" t="str">
        <f t="shared" si="63"/>
        <v>SAB</v>
      </c>
      <c r="D938" t="str">
        <f t="shared" si="64"/>
        <v>Sábado</v>
      </c>
    </row>
    <row r="939" spans="1:4" x14ac:dyDescent="0.25">
      <c r="A939" s="88" t="str">
        <f t="shared" si="62"/>
        <v>7-2025</v>
      </c>
      <c r="B939" s="86">
        <v>45865</v>
      </c>
      <c r="C939" t="str">
        <f t="shared" si="63"/>
        <v>DOM</v>
      </c>
      <c r="D939" t="str">
        <f t="shared" si="64"/>
        <v>Domingo</v>
      </c>
    </row>
    <row r="940" spans="1:4" x14ac:dyDescent="0.25">
      <c r="A940" s="88" t="str">
        <f t="shared" si="62"/>
        <v>7-2025</v>
      </c>
      <c r="B940" s="86">
        <v>45866</v>
      </c>
      <c r="C940" t="str">
        <f t="shared" si="63"/>
        <v>L-V</v>
      </c>
      <c r="D940" t="str">
        <f t="shared" si="64"/>
        <v>Lunes</v>
      </c>
    </row>
    <row r="941" spans="1:4" x14ac:dyDescent="0.25">
      <c r="A941" s="88" t="str">
        <f t="shared" si="62"/>
        <v>7-2025</v>
      </c>
      <c r="B941" s="86">
        <v>45867</v>
      </c>
      <c r="C941" t="str">
        <f t="shared" si="63"/>
        <v>L-V</v>
      </c>
      <c r="D941" t="str">
        <f t="shared" si="64"/>
        <v>Martes</v>
      </c>
    </row>
    <row r="942" spans="1:4" x14ac:dyDescent="0.25">
      <c r="A942" s="88" t="str">
        <f t="shared" si="62"/>
        <v>7-2025</v>
      </c>
      <c r="B942" s="86">
        <v>45868</v>
      </c>
      <c r="C942" t="str">
        <f t="shared" si="63"/>
        <v>L-V</v>
      </c>
      <c r="D942" t="str">
        <f t="shared" si="64"/>
        <v>Miércoles</v>
      </c>
    </row>
    <row r="943" spans="1:4" x14ac:dyDescent="0.25">
      <c r="A943" s="88" t="str">
        <f t="shared" si="62"/>
        <v>7-2025</v>
      </c>
      <c r="B943" s="86">
        <v>45869</v>
      </c>
      <c r="C943" t="str">
        <f t="shared" si="63"/>
        <v>L-V</v>
      </c>
      <c r="D943" t="str">
        <f t="shared" si="64"/>
        <v>Jueves</v>
      </c>
    </row>
    <row r="944" spans="1:4" x14ac:dyDescent="0.25">
      <c r="A944" s="88" t="str">
        <f t="shared" si="62"/>
        <v>8-2025</v>
      </c>
      <c r="B944" s="86">
        <v>45870</v>
      </c>
      <c r="C944" t="str">
        <f t="shared" si="63"/>
        <v>L-V</v>
      </c>
      <c r="D944" t="str">
        <f t="shared" si="64"/>
        <v>Viernes</v>
      </c>
    </row>
    <row r="945" spans="1:4" x14ac:dyDescent="0.25">
      <c r="A945" s="88" t="str">
        <f t="shared" si="62"/>
        <v>8-2025</v>
      </c>
      <c r="B945" s="86">
        <v>45871</v>
      </c>
      <c r="C945" t="str">
        <f t="shared" si="63"/>
        <v>SAB</v>
      </c>
      <c r="D945" t="str">
        <f t="shared" si="64"/>
        <v>Sábado</v>
      </c>
    </row>
    <row r="946" spans="1:4" x14ac:dyDescent="0.25">
      <c r="A946" s="88" t="str">
        <f t="shared" si="62"/>
        <v>8-2025</v>
      </c>
      <c r="B946" s="86">
        <v>45872</v>
      </c>
      <c r="C946" t="str">
        <f t="shared" si="63"/>
        <v>DOM</v>
      </c>
      <c r="D946" t="str">
        <f t="shared" si="64"/>
        <v>Domingo</v>
      </c>
    </row>
    <row r="947" spans="1:4" x14ac:dyDescent="0.25">
      <c r="A947" s="88" t="str">
        <f t="shared" si="62"/>
        <v>8-2025</v>
      </c>
      <c r="B947" s="86">
        <v>45873</v>
      </c>
      <c r="C947" t="str">
        <f t="shared" si="63"/>
        <v>L-V</v>
      </c>
      <c r="D947" t="str">
        <f t="shared" si="64"/>
        <v>Lunes</v>
      </c>
    </row>
    <row r="948" spans="1:4" x14ac:dyDescent="0.25">
      <c r="A948" s="88" t="str">
        <f t="shared" si="62"/>
        <v>8-2025</v>
      </c>
      <c r="B948" s="86">
        <v>45874</v>
      </c>
      <c r="C948" t="str">
        <f t="shared" si="63"/>
        <v>L-V</v>
      </c>
      <c r="D948" t="str">
        <f t="shared" si="64"/>
        <v>Martes</v>
      </c>
    </row>
    <row r="949" spans="1:4" x14ac:dyDescent="0.25">
      <c r="A949" s="88" t="str">
        <f t="shared" si="62"/>
        <v>8-2025</v>
      </c>
      <c r="B949" s="86">
        <v>45875</v>
      </c>
      <c r="C949" t="str">
        <f t="shared" si="63"/>
        <v>L-V</v>
      </c>
      <c r="D949" t="str">
        <f t="shared" si="64"/>
        <v>Miércoles</v>
      </c>
    </row>
    <row r="950" spans="1:4" x14ac:dyDescent="0.25">
      <c r="A950" s="88" t="str">
        <f t="shared" si="62"/>
        <v>8-2025</v>
      </c>
      <c r="B950" s="86">
        <v>45876</v>
      </c>
      <c r="C950" t="str">
        <f t="shared" si="63"/>
        <v>L-V</v>
      </c>
      <c r="D950" t="str">
        <f t="shared" si="64"/>
        <v>Jueves</v>
      </c>
    </row>
    <row r="951" spans="1:4" x14ac:dyDescent="0.25">
      <c r="A951" s="88" t="str">
        <f t="shared" si="62"/>
        <v>8-2025</v>
      </c>
      <c r="B951" s="86">
        <v>45877</v>
      </c>
      <c r="C951" t="str">
        <f t="shared" si="63"/>
        <v>L-V</v>
      </c>
      <c r="D951" t="str">
        <f t="shared" si="64"/>
        <v>Viernes</v>
      </c>
    </row>
    <row r="952" spans="1:4" x14ac:dyDescent="0.25">
      <c r="A952" s="88" t="str">
        <f t="shared" si="62"/>
        <v>8-2025</v>
      </c>
      <c r="B952" s="86">
        <v>45878</v>
      </c>
      <c r="C952" t="str">
        <f t="shared" si="63"/>
        <v>SAB</v>
      </c>
      <c r="D952" t="str">
        <f t="shared" si="64"/>
        <v>Sábado</v>
      </c>
    </row>
    <row r="953" spans="1:4" x14ac:dyDescent="0.25">
      <c r="A953" s="88" t="str">
        <f t="shared" si="62"/>
        <v>8-2025</v>
      </c>
      <c r="B953" s="86">
        <v>45879</v>
      </c>
      <c r="C953" t="str">
        <f t="shared" si="63"/>
        <v>DOM</v>
      </c>
      <c r="D953" t="str">
        <f t="shared" si="64"/>
        <v>Domingo</v>
      </c>
    </row>
    <row r="954" spans="1:4" x14ac:dyDescent="0.25">
      <c r="A954" s="88" t="str">
        <f t="shared" si="62"/>
        <v>8-2025</v>
      </c>
      <c r="B954" s="86">
        <v>45880</v>
      </c>
      <c r="C954" t="str">
        <f t="shared" si="63"/>
        <v>L-V</v>
      </c>
      <c r="D954" t="str">
        <f t="shared" si="64"/>
        <v>Lunes</v>
      </c>
    </row>
    <row r="955" spans="1:4" x14ac:dyDescent="0.25">
      <c r="A955" s="88" t="str">
        <f t="shared" si="62"/>
        <v>8-2025</v>
      </c>
      <c r="B955" s="86">
        <v>45881</v>
      </c>
      <c r="C955" t="str">
        <f t="shared" si="63"/>
        <v>L-V</v>
      </c>
      <c r="D955" t="str">
        <f t="shared" si="64"/>
        <v>Martes</v>
      </c>
    </row>
    <row r="956" spans="1:4" x14ac:dyDescent="0.25">
      <c r="A956" s="88" t="str">
        <f t="shared" si="62"/>
        <v>8-2025</v>
      </c>
      <c r="B956" s="86">
        <v>45882</v>
      </c>
      <c r="C956" t="str">
        <f t="shared" si="63"/>
        <v>L-V</v>
      </c>
      <c r="D956" t="str">
        <f t="shared" si="64"/>
        <v>Miércoles</v>
      </c>
    </row>
    <row r="957" spans="1:4" x14ac:dyDescent="0.25">
      <c r="A957" s="88" t="str">
        <f t="shared" si="62"/>
        <v>8-2025</v>
      </c>
      <c r="B957" s="86">
        <v>45883</v>
      </c>
      <c r="C957" t="str">
        <f t="shared" si="63"/>
        <v>L-V</v>
      </c>
      <c r="D957" t="str">
        <f t="shared" si="64"/>
        <v>Jueves</v>
      </c>
    </row>
    <row r="958" spans="1:4" x14ac:dyDescent="0.25">
      <c r="A958" s="88" t="str">
        <f t="shared" si="62"/>
        <v>8-2025</v>
      </c>
      <c r="B958" s="86">
        <v>45884</v>
      </c>
      <c r="C958" t="str">
        <f t="shared" si="63"/>
        <v>L-V</v>
      </c>
      <c r="D958" t="str">
        <f t="shared" si="64"/>
        <v>Viernes</v>
      </c>
    </row>
    <row r="959" spans="1:4" x14ac:dyDescent="0.25">
      <c r="A959" s="88" t="str">
        <f t="shared" si="62"/>
        <v>8-2025</v>
      </c>
      <c r="B959" s="86">
        <v>45885</v>
      </c>
      <c r="C959" t="str">
        <f t="shared" si="63"/>
        <v>SAB</v>
      </c>
      <c r="D959" t="str">
        <f t="shared" si="64"/>
        <v>Sábado</v>
      </c>
    </row>
    <row r="960" spans="1:4" x14ac:dyDescent="0.25">
      <c r="A960" s="88" t="str">
        <f t="shared" si="62"/>
        <v>8-2025</v>
      </c>
      <c r="B960" s="86">
        <v>45886</v>
      </c>
      <c r="C960" t="str">
        <f t="shared" si="63"/>
        <v>DOM</v>
      </c>
      <c r="D960" t="str">
        <f t="shared" si="64"/>
        <v>Domingo</v>
      </c>
    </row>
    <row r="961" spans="1:4" x14ac:dyDescent="0.25">
      <c r="A961" s="88" t="str">
        <f t="shared" si="62"/>
        <v>8-2025</v>
      </c>
      <c r="B961" s="86">
        <v>45887</v>
      </c>
      <c r="C961" t="str">
        <f t="shared" si="63"/>
        <v>L-V</v>
      </c>
      <c r="D961" t="str">
        <f t="shared" si="64"/>
        <v>Lunes</v>
      </c>
    </row>
    <row r="962" spans="1:4" x14ac:dyDescent="0.25">
      <c r="A962" s="88" t="str">
        <f t="shared" ref="A962:A1025" si="65">MONTH(B962)&amp;"-"&amp;YEAR(B962)</f>
        <v>8-2025</v>
      </c>
      <c r="B962" s="86">
        <v>45888</v>
      </c>
      <c r="C962" t="str">
        <f t="shared" si="63"/>
        <v>L-V</v>
      </c>
      <c r="D962" t="str">
        <f t="shared" si="64"/>
        <v>Martes</v>
      </c>
    </row>
    <row r="963" spans="1:4" x14ac:dyDescent="0.25">
      <c r="A963" s="88" t="str">
        <f t="shared" si="65"/>
        <v>8-2025</v>
      </c>
      <c r="B963" s="86">
        <v>45889</v>
      </c>
      <c r="C963" t="str">
        <f t="shared" ref="C963:C1026" si="66">VLOOKUP(WEEKDAY(B963,2),$F$1:$H$7,2)</f>
        <v>L-V</v>
      </c>
      <c r="D963" t="str">
        <f t="shared" ref="D963:D1026" si="67">VLOOKUP(WEEKDAY($B963,2),$F$1:$H$7,3)</f>
        <v>Miércoles</v>
      </c>
    </row>
    <row r="964" spans="1:4" x14ac:dyDescent="0.25">
      <c r="A964" s="88" t="str">
        <f t="shared" si="65"/>
        <v>8-2025</v>
      </c>
      <c r="B964" s="86">
        <v>45890</v>
      </c>
      <c r="C964" t="str">
        <f t="shared" si="66"/>
        <v>L-V</v>
      </c>
      <c r="D964" t="str">
        <f t="shared" si="67"/>
        <v>Jueves</v>
      </c>
    </row>
    <row r="965" spans="1:4" x14ac:dyDescent="0.25">
      <c r="A965" s="88" t="str">
        <f t="shared" si="65"/>
        <v>8-2025</v>
      </c>
      <c r="B965" s="86">
        <v>45891</v>
      </c>
      <c r="C965" t="str">
        <f t="shared" si="66"/>
        <v>L-V</v>
      </c>
      <c r="D965" t="str">
        <f t="shared" si="67"/>
        <v>Viernes</v>
      </c>
    </row>
    <row r="966" spans="1:4" x14ac:dyDescent="0.25">
      <c r="A966" s="88" t="str">
        <f t="shared" si="65"/>
        <v>8-2025</v>
      </c>
      <c r="B966" s="86">
        <v>45892</v>
      </c>
      <c r="C966" t="str">
        <f t="shared" si="66"/>
        <v>SAB</v>
      </c>
      <c r="D966" t="str">
        <f t="shared" si="67"/>
        <v>Sábado</v>
      </c>
    </row>
    <row r="967" spans="1:4" x14ac:dyDescent="0.25">
      <c r="A967" s="88" t="str">
        <f t="shared" si="65"/>
        <v>8-2025</v>
      </c>
      <c r="B967" s="86">
        <v>45893</v>
      </c>
      <c r="C967" t="str">
        <f t="shared" si="66"/>
        <v>DOM</v>
      </c>
      <c r="D967" t="str">
        <f t="shared" si="67"/>
        <v>Domingo</v>
      </c>
    </row>
    <row r="968" spans="1:4" x14ac:dyDescent="0.25">
      <c r="A968" s="88" t="str">
        <f t="shared" si="65"/>
        <v>8-2025</v>
      </c>
      <c r="B968" s="86">
        <v>45894</v>
      </c>
      <c r="C968" t="str">
        <f t="shared" si="66"/>
        <v>L-V</v>
      </c>
      <c r="D968" t="str">
        <f t="shared" si="67"/>
        <v>Lunes</v>
      </c>
    </row>
    <row r="969" spans="1:4" x14ac:dyDescent="0.25">
      <c r="A969" s="88" t="str">
        <f t="shared" si="65"/>
        <v>8-2025</v>
      </c>
      <c r="B969" s="86">
        <v>45895</v>
      </c>
      <c r="C969" t="str">
        <f t="shared" si="66"/>
        <v>L-V</v>
      </c>
      <c r="D969" t="str">
        <f t="shared" si="67"/>
        <v>Martes</v>
      </c>
    </row>
    <row r="970" spans="1:4" x14ac:dyDescent="0.25">
      <c r="A970" s="88" t="str">
        <f t="shared" si="65"/>
        <v>8-2025</v>
      </c>
      <c r="B970" s="86">
        <v>45896</v>
      </c>
      <c r="C970" t="str">
        <f t="shared" si="66"/>
        <v>L-V</v>
      </c>
      <c r="D970" t="str">
        <f t="shared" si="67"/>
        <v>Miércoles</v>
      </c>
    </row>
    <row r="971" spans="1:4" x14ac:dyDescent="0.25">
      <c r="A971" s="88" t="str">
        <f t="shared" si="65"/>
        <v>8-2025</v>
      </c>
      <c r="B971" s="86">
        <v>45897</v>
      </c>
      <c r="C971" t="str">
        <f t="shared" si="66"/>
        <v>L-V</v>
      </c>
      <c r="D971" t="str">
        <f t="shared" si="67"/>
        <v>Jueves</v>
      </c>
    </row>
    <row r="972" spans="1:4" x14ac:dyDescent="0.25">
      <c r="A972" s="88" t="str">
        <f t="shared" si="65"/>
        <v>8-2025</v>
      </c>
      <c r="B972" s="86">
        <v>45898</v>
      </c>
      <c r="C972" t="str">
        <f t="shared" si="66"/>
        <v>L-V</v>
      </c>
      <c r="D972" t="str">
        <f t="shared" si="67"/>
        <v>Viernes</v>
      </c>
    </row>
    <row r="973" spans="1:4" x14ac:dyDescent="0.25">
      <c r="A973" s="88" t="str">
        <f t="shared" si="65"/>
        <v>8-2025</v>
      </c>
      <c r="B973" s="86">
        <v>45899</v>
      </c>
      <c r="C973" t="str">
        <f t="shared" si="66"/>
        <v>SAB</v>
      </c>
      <c r="D973" t="str">
        <f t="shared" si="67"/>
        <v>Sábado</v>
      </c>
    </row>
    <row r="974" spans="1:4" x14ac:dyDescent="0.25">
      <c r="A974" s="88" t="str">
        <f t="shared" si="65"/>
        <v>8-2025</v>
      </c>
      <c r="B974" s="86">
        <v>45900</v>
      </c>
      <c r="C974" t="str">
        <f t="shared" si="66"/>
        <v>DOM</v>
      </c>
      <c r="D974" t="str">
        <f t="shared" si="67"/>
        <v>Domingo</v>
      </c>
    </row>
    <row r="975" spans="1:4" x14ac:dyDescent="0.25">
      <c r="A975" s="88" t="str">
        <f t="shared" si="65"/>
        <v>9-2025</v>
      </c>
      <c r="B975" s="86">
        <v>45901</v>
      </c>
      <c r="C975" t="str">
        <f t="shared" si="66"/>
        <v>L-V</v>
      </c>
      <c r="D975" t="str">
        <f t="shared" si="67"/>
        <v>Lunes</v>
      </c>
    </row>
    <row r="976" spans="1:4" x14ac:dyDescent="0.25">
      <c r="A976" s="88" t="str">
        <f t="shared" si="65"/>
        <v>9-2025</v>
      </c>
      <c r="B976" s="86">
        <v>45902</v>
      </c>
      <c r="C976" t="str">
        <f t="shared" si="66"/>
        <v>L-V</v>
      </c>
      <c r="D976" t="str">
        <f t="shared" si="67"/>
        <v>Martes</v>
      </c>
    </row>
    <row r="977" spans="1:4" x14ac:dyDescent="0.25">
      <c r="A977" s="88" t="str">
        <f t="shared" si="65"/>
        <v>9-2025</v>
      </c>
      <c r="B977" s="86">
        <v>45903</v>
      </c>
      <c r="C977" t="str">
        <f t="shared" si="66"/>
        <v>L-V</v>
      </c>
      <c r="D977" t="str">
        <f t="shared" si="67"/>
        <v>Miércoles</v>
      </c>
    </row>
    <row r="978" spans="1:4" x14ac:dyDescent="0.25">
      <c r="A978" s="88" t="str">
        <f t="shared" si="65"/>
        <v>9-2025</v>
      </c>
      <c r="B978" s="86">
        <v>45904</v>
      </c>
      <c r="C978" t="str">
        <f t="shared" si="66"/>
        <v>L-V</v>
      </c>
      <c r="D978" t="str">
        <f t="shared" si="67"/>
        <v>Jueves</v>
      </c>
    </row>
    <row r="979" spans="1:4" x14ac:dyDescent="0.25">
      <c r="A979" s="88" t="str">
        <f t="shared" si="65"/>
        <v>9-2025</v>
      </c>
      <c r="B979" s="86">
        <v>45905</v>
      </c>
      <c r="C979" t="str">
        <f t="shared" si="66"/>
        <v>L-V</v>
      </c>
      <c r="D979" t="str">
        <f t="shared" si="67"/>
        <v>Viernes</v>
      </c>
    </row>
    <row r="980" spans="1:4" x14ac:dyDescent="0.25">
      <c r="A980" s="88" t="str">
        <f t="shared" si="65"/>
        <v>9-2025</v>
      </c>
      <c r="B980" s="86">
        <v>45906</v>
      </c>
      <c r="C980" t="str">
        <f t="shared" si="66"/>
        <v>SAB</v>
      </c>
      <c r="D980" t="str">
        <f t="shared" si="67"/>
        <v>Sábado</v>
      </c>
    </row>
    <row r="981" spans="1:4" x14ac:dyDescent="0.25">
      <c r="A981" s="88" t="str">
        <f t="shared" si="65"/>
        <v>9-2025</v>
      </c>
      <c r="B981" s="86">
        <v>45907</v>
      </c>
      <c r="C981" t="str">
        <f t="shared" si="66"/>
        <v>DOM</v>
      </c>
      <c r="D981" t="str">
        <f t="shared" si="67"/>
        <v>Domingo</v>
      </c>
    </row>
    <row r="982" spans="1:4" x14ac:dyDescent="0.25">
      <c r="A982" s="88" t="str">
        <f t="shared" si="65"/>
        <v>9-2025</v>
      </c>
      <c r="B982" s="86">
        <v>45908</v>
      </c>
      <c r="C982" t="str">
        <f t="shared" si="66"/>
        <v>L-V</v>
      </c>
      <c r="D982" t="str">
        <f t="shared" si="67"/>
        <v>Lunes</v>
      </c>
    </row>
    <row r="983" spans="1:4" x14ac:dyDescent="0.25">
      <c r="A983" s="88" t="str">
        <f t="shared" si="65"/>
        <v>9-2025</v>
      </c>
      <c r="B983" s="86">
        <v>45909</v>
      </c>
      <c r="C983" t="str">
        <f t="shared" si="66"/>
        <v>L-V</v>
      </c>
      <c r="D983" t="str">
        <f t="shared" si="67"/>
        <v>Martes</v>
      </c>
    </row>
    <row r="984" spans="1:4" x14ac:dyDescent="0.25">
      <c r="A984" s="88" t="str">
        <f t="shared" si="65"/>
        <v>9-2025</v>
      </c>
      <c r="B984" s="86">
        <v>45910</v>
      </c>
      <c r="C984" t="str">
        <f t="shared" si="66"/>
        <v>L-V</v>
      </c>
      <c r="D984" t="str">
        <f t="shared" si="67"/>
        <v>Miércoles</v>
      </c>
    </row>
    <row r="985" spans="1:4" x14ac:dyDescent="0.25">
      <c r="A985" s="88" t="str">
        <f t="shared" si="65"/>
        <v>9-2025</v>
      </c>
      <c r="B985" s="86">
        <v>45911</v>
      </c>
      <c r="C985" t="str">
        <f t="shared" si="66"/>
        <v>L-V</v>
      </c>
      <c r="D985" t="str">
        <f t="shared" si="67"/>
        <v>Jueves</v>
      </c>
    </row>
    <row r="986" spans="1:4" x14ac:dyDescent="0.25">
      <c r="A986" s="88" t="str">
        <f t="shared" si="65"/>
        <v>9-2025</v>
      </c>
      <c r="B986" s="86">
        <v>45912</v>
      </c>
      <c r="C986" t="str">
        <f t="shared" si="66"/>
        <v>L-V</v>
      </c>
      <c r="D986" t="str">
        <f t="shared" si="67"/>
        <v>Viernes</v>
      </c>
    </row>
    <row r="987" spans="1:4" x14ac:dyDescent="0.25">
      <c r="A987" s="88" t="str">
        <f t="shared" si="65"/>
        <v>9-2025</v>
      </c>
      <c r="B987" s="86">
        <v>45913</v>
      </c>
      <c r="C987" t="str">
        <f t="shared" si="66"/>
        <v>SAB</v>
      </c>
      <c r="D987" t="str">
        <f t="shared" si="67"/>
        <v>Sábado</v>
      </c>
    </row>
    <row r="988" spans="1:4" x14ac:dyDescent="0.25">
      <c r="A988" s="88" t="str">
        <f t="shared" si="65"/>
        <v>9-2025</v>
      </c>
      <c r="B988" s="86">
        <v>45914</v>
      </c>
      <c r="C988" t="str">
        <f t="shared" si="66"/>
        <v>DOM</v>
      </c>
      <c r="D988" t="str">
        <f t="shared" si="67"/>
        <v>Domingo</v>
      </c>
    </row>
    <row r="989" spans="1:4" x14ac:dyDescent="0.25">
      <c r="A989" s="88" t="str">
        <f t="shared" si="65"/>
        <v>9-2025</v>
      </c>
      <c r="B989" s="86">
        <v>45915</v>
      </c>
      <c r="C989" t="str">
        <f t="shared" si="66"/>
        <v>L-V</v>
      </c>
      <c r="D989" t="str">
        <f t="shared" si="67"/>
        <v>Lunes</v>
      </c>
    </row>
    <row r="990" spans="1:4" x14ac:dyDescent="0.25">
      <c r="A990" s="88" t="str">
        <f t="shared" si="65"/>
        <v>9-2025</v>
      </c>
      <c r="B990" s="86">
        <v>45916</v>
      </c>
      <c r="C990" t="str">
        <f t="shared" si="66"/>
        <v>L-V</v>
      </c>
      <c r="D990" t="str">
        <f t="shared" si="67"/>
        <v>Martes</v>
      </c>
    </row>
    <row r="991" spans="1:4" x14ac:dyDescent="0.25">
      <c r="A991" s="88" t="str">
        <f t="shared" si="65"/>
        <v>9-2025</v>
      </c>
      <c r="B991" s="86">
        <v>45917</v>
      </c>
      <c r="C991" t="str">
        <f t="shared" si="66"/>
        <v>L-V</v>
      </c>
      <c r="D991" t="str">
        <f t="shared" si="67"/>
        <v>Miércoles</v>
      </c>
    </row>
    <row r="992" spans="1:4" x14ac:dyDescent="0.25">
      <c r="A992" s="88" t="str">
        <f t="shared" si="65"/>
        <v>9-2025</v>
      </c>
      <c r="B992" s="86">
        <v>45918</v>
      </c>
      <c r="C992" t="str">
        <f t="shared" si="66"/>
        <v>L-V</v>
      </c>
      <c r="D992" t="str">
        <f t="shared" si="67"/>
        <v>Jueves</v>
      </c>
    </row>
    <row r="993" spans="1:4" x14ac:dyDescent="0.25">
      <c r="A993" s="88" t="str">
        <f t="shared" si="65"/>
        <v>9-2025</v>
      </c>
      <c r="B993" s="86">
        <v>45919</v>
      </c>
      <c r="C993" t="str">
        <f t="shared" si="66"/>
        <v>L-V</v>
      </c>
      <c r="D993" t="str">
        <f t="shared" si="67"/>
        <v>Viernes</v>
      </c>
    </row>
    <row r="994" spans="1:4" x14ac:dyDescent="0.25">
      <c r="A994" s="88" t="str">
        <f t="shared" si="65"/>
        <v>9-2025</v>
      </c>
      <c r="B994" s="86">
        <v>45920</v>
      </c>
      <c r="C994" t="str">
        <f t="shared" si="66"/>
        <v>SAB</v>
      </c>
      <c r="D994" t="str">
        <f t="shared" si="67"/>
        <v>Sábado</v>
      </c>
    </row>
    <row r="995" spans="1:4" x14ac:dyDescent="0.25">
      <c r="A995" s="88" t="str">
        <f t="shared" si="65"/>
        <v>9-2025</v>
      </c>
      <c r="B995" s="86">
        <v>45921</v>
      </c>
      <c r="C995" t="str">
        <f t="shared" si="66"/>
        <v>DOM</v>
      </c>
      <c r="D995" t="str">
        <f t="shared" si="67"/>
        <v>Domingo</v>
      </c>
    </row>
    <row r="996" spans="1:4" x14ac:dyDescent="0.25">
      <c r="A996" s="88" t="str">
        <f t="shared" si="65"/>
        <v>9-2025</v>
      </c>
      <c r="B996" s="86">
        <v>45922</v>
      </c>
      <c r="C996" t="str">
        <f t="shared" si="66"/>
        <v>L-V</v>
      </c>
      <c r="D996" t="str">
        <f t="shared" si="67"/>
        <v>Lunes</v>
      </c>
    </row>
    <row r="997" spans="1:4" x14ac:dyDescent="0.25">
      <c r="A997" s="88" t="str">
        <f t="shared" si="65"/>
        <v>9-2025</v>
      </c>
      <c r="B997" s="86">
        <v>45923</v>
      </c>
      <c r="C997" t="str">
        <f t="shared" si="66"/>
        <v>L-V</v>
      </c>
      <c r="D997" t="str">
        <f t="shared" si="67"/>
        <v>Martes</v>
      </c>
    </row>
    <row r="998" spans="1:4" x14ac:dyDescent="0.25">
      <c r="A998" s="88" t="str">
        <f t="shared" si="65"/>
        <v>9-2025</v>
      </c>
      <c r="B998" s="86">
        <v>45924</v>
      </c>
      <c r="C998" t="str">
        <f t="shared" si="66"/>
        <v>L-V</v>
      </c>
      <c r="D998" t="str">
        <f t="shared" si="67"/>
        <v>Miércoles</v>
      </c>
    </row>
    <row r="999" spans="1:4" x14ac:dyDescent="0.25">
      <c r="A999" s="88" t="str">
        <f t="shared" si="65"/>
        <v>9-2025</v>
      </c>
      <c r="B999" s="86">
        <v>45925</v>
      </c>
      <c r="C999" t="str">
        <f t="shared" si="66"/>
        <v>L-V</v>
      </c>
      <c r="D999" t="str">
        <f t="shared" si="67"/>
        <v>Jueves</v>
      </c>
    </row>
    <row r="1000" spans="1:4" x14ac:dyDescent="0.25">
      <c r="A1000" s="88" t="str">
        <f t="shared" si="65"/>
        <v>9-2025</v>
      </c>
      <c r="B1000" s="86">
        <v>45926</v>
      </c>
      <c r="C1000" t="str">
        <f t="shared" si="66"/>
        <v>L-V</v>
      </c>
      <c r="D1000" t="str">
        <f t="shared" si="67"/>
        <v>Viernes</v>
      </c>
    </row>
    <row r="1001" spans="1:4" x14ac:dyDescent="0.25">
      <c r="A1001" s="88" t="str">
        <f t="shared" si="65"/>
        <v>9-2025</v>
      </c>
      <c r="B1001" s="86">
        <v>45927</v>
      </c>
      <c r="C1001" t="str">
        <f t="shared" si="66"/>
        <v>SAB</v>
      </c>
      <c r="D1001" t="str">
        <f t="shared" si="67"/>
        <v>Sábado</v>
      </c>
    </row>
    <row r="1002" spans="1:4" x14ac:dyDescent="0.25">
      <c r="A1002" s="88" t="str">
        <f t="shared" si="65"/>
        <v>9-2025</v>
      </c>
      <c r="B1002" s="86">
        <v>45928</v>
      </c>
      <c r="C1002" t="str">
        <f t="shared" si="66"/>
        <v>DOM</v>
      </c>
      <c r="D1002" t="str">
        <f t="shared" si="67"/>
        <v>Domingo</v>
      </c>
    </row>
    <row r="1003" spans="1:4" x14ac:dyDescent="0.25">
      <c r="A1003" s="88" t="str">
        <f t="shared" si="65"/>
        <v>9-2025</v>
      </c>
      <c r="B1003" s="86">
        <v>45929</v>
      </c>
      <c r="C1003" t="str">
        <f t="shared" si="66"/>
        <v>L-V</v>
      </c>
      <c r="D1003" t="str">
        <f t="shared" si="67"/>
        <v>Lunes</v>
      </c>
    </row>
    <row r="1004" spans="1:4" x14ac:dyDescent="0.25">
      <c r="A1004" s="88" t="str">
        <f t="shared" si="65"/>
        <v>9-2025</v>
      </c>
      <c r="B1004" s="86">
        <v>45930</v>
      </c>
      <c r="C1004" t="str">
        <f t="shared" si="66"/>
        <v>L-V</v>
      </c>
      <c r="D1004" t="str">
        <f t="shared" si="67"/>
        <v>Martes</v>
      </c>
    </row>
    <row r="1005" spans="1:4" x14ac:dyDescent="0.25">
      <c r="A1005" s="88" t="str">
        <f t="shared" si="65"/>
        <v>10-2025</v>
      </c>
      <c r="B1005" s="86">
        <v>45931</v>
      </c>
      <c r="C1005" t="str">
        <f t="shared" si="66"/>
        <v>L-V</v>
      </c>
      <c r="D1005" t="str">
        <f t="shared" si="67"/>
        <v>Miércoles</v>
      </c>
    </row>
    <row r="1006" spans="1:4" x14ac:dyDescent="0.25">
      <c r="A1006" s="88" t="str">
        <f t="shared" si="65"/>
        <v>10-2025</v>
      </c>
      <c r="B1006" s="86">
        <v>45932</v>
      </c>
      <c r="C1006" t="str">
        <f t="shared" si="66"/>
        <v>L-V</v>
      </c>
      <c r="D1006" t="str">
        <f t="shared" si="67"/>
        <v>Jueves</v>
      </c>
    </row>
    <row r="1007" spans="1:4" x14ac:dyDescent="0.25">
      <c r="A1007" s="88" t="str">
        <f t="shared" si="65"/>
        <v>10-2025</v>
      </c>
      <c r="B1007" s="86">
        <v>45933</v>
      </c>
      <c r="C1007" t="str">
        <f t="shared" si="66"/>
        <v>L-V</v>
      </c>
      <c r="D1007" t="str">
        <f t="shared" si="67"/>
        <v>Viernes</v>
      </c>
    </row>
    <row r="1008" spans="1:4" x14ac:dyDescent="0.25">
      <c r="A1008" s="88" t="str">
        <f t="shared" si="65"/>
        <v>10-2025</v>
      </c>
      <c r="B1008" s="86">
        <v>45934</v>
      </c>
      <c r="C1008" t="str">
        <f t="shared" si="66"/>
        <v>SAB</v>
      </c>
      <c r="D1008" t="str">
        <f t="shared" si="67"/>
        <v>Sábado</v>
      </c>
    </row>
    <row r="1009" spans="1:4" x14ac:dyDescent="0.25">
      <c r="A1009" s="88" t="str">
        <f t="shared" si="65"/>
        <v>10-2025</v>
      </c>
      <c r="B1009" s="86">
        <v>45935</v>
      </c>
      <c r="C1009" t="str">
        <f t="shared" si="66"/>
        <v>DOM</v>
      </c>
      <c r="D1009" t="str">
        <f t="shared" si="67"/>
        <v>Domingo</v>
      </c>
    </row>
    <row r="1010" spans="1:4" x14ac:dyDescent="0.25">
      <c r="A1010" s="88" t="str">
        <f t="shared" si="65"/>
        <v>10-2025</v>
      </c>
      <c r="B1010" s="86">
        <v>45936</v>
      </c>
      <c r="C1010" t="str">
        <f t="shared" si="66"/>
        <v>L-V</v>
      </c>
      <c r="D1010" t="str">
        <f t="shared" si="67"/>
        <v>Lunes</v>
      </c>
    </row>
    <row r="1011" spans="1:4" x14ac:dyDescent="0.25">
      <c r="A1011" s="88" t="str">
        <f t="shared" si="65"/>
        <v>10-2025</v>
      </c>
      <c r="B1011" s="86">
        <v>45937</v>
      </c>
      <c r="C1011" t="str">
        <f t="shared" si="66"/>
        <v>L-V</v>
      </c>
      <c r="D1011" t="str">
        <f t="shared" si="67"/>
        <v>Martes</v>
      </c>
    </row>
    <row r="1012" spans="1:4" x14ac:dyDescent="0.25">
      <c r="A1012" s="88" t="str">
        <f t="shared" si="65"/>
        <v>10-2025</v>
      </c>
      <c r="B1012" s="86">
        <v>45938</v>
      </c>
      <c r="C1012" t="str">
        <f t="shared" si="66"/>
        <v>L-V</v>
      </c>
      <c r="D1012" t="str">
        <f t="shared" si="67"/>
        <v>Miércoles</v>
      </c>
    </row>
    <row r="1013" spans="1:4" x14ac:dyDescent="0.25">
      <c r="A1013" s="88" t="str">
        <f t="shared" si="65"/>
        <v>10-2025</v>
      </c>
      <c r="B1013" s="86">
        <v>45939</v>
      </c>
      <c r="C1013" t="str">
        <f t="shared" si="66"/>
        <v>L-V</v>
      </c>
      <c r="D1013" t="str">
        <f t="shared" si="67"/>
        <v>Jueves</v>
      </c>
    </row>
    <row r="1014" spans="1:4" x14ac:dyDescent="0.25">
      <c r="A1014" s="88" t="str">
        <f t="shared" si="65"/>
        <v>10-2025</v>
      </c>
      <c r="B1014" s="86">
        <v>45940</v>
      </c>
      <c r="C1014" t="str">
        <f t="shared" si="66"/>
        <v>L-V</v>
      </c>
      <c r="D1014" t="str">
        <f t="shared" si="67"/>
        <v>Viernes</v>
      </c>
    </row>
    <row r="1015" spans="1:4" x14ac:dyDescent="0.25">
      <c r="A1015" s="88" t="str">
        <f t="shared" si="65"/>
        <v>10-2025</v>
      </c>
      <c r="B1015" s="86">
        <v>45941</v>
      </c>
      <c r="C1015" t="str">
        <f t="shared" si="66"/>
        <v>SAB</v>
      </c>
      <c r="D1015" t="str">
        <f t="shared" si="67"/>
        <v>Sábado</v>
      </c>
    </row>
    <row r="1016" spans="1:4" x14ac:dyDescent="0.25">
      <c r="A1016" s="88" t="str">
        <f t="shared" si="65"/>
        <v>10-2025</v>
      </c>
      <c r="B1016" s="86">
        <v>45942</v>
      </c>
      <c r="C1016" t="str">
        <f t="shared" si="66"/>
        <v>DOM</v>
      </c>
      <c r="D1016" t="str">
        <f t="shared" si="67"/>
        <v>Domingo</v>
      </c>
    </row>
    <row r="1017" spans="1:4" x14ac:dyDescent="0.25">
      <c r="A1017" s="88" t="str">
        <f t="shared" si="65"/>
        <v>10-2025</v>
      </c>
      <c r="B1017" s="86">
        <v>45943</v>
      </c>
      <c r="C1017" t="str">
        <f t="shared" si="66"/>
        <v>L-V</v>
      </c>
      <c r="D1017" t="str">
        <f t="shared" si="67"/>
        <v>Lunes</v>
      </c>
    </row>
    <row r="1018" spans="1:4" x14ac:dyDescent="0.25">
      <c r="A1018" s="88" t="str">
        <f t="shared" si="65"/>
        <v>10-2025</v>
      </c>
      <c r="B1018" s="86">
        <v>45944</v>
      </c>
      <c r="C1018" t="str">
        <f t="shared" si="66"/>
        <v>L-V</v>
      </c>
      <c r="D1018" t="str">
        <f t="shared" si="67"/>
        <v>Martes</v>
      </c>
    </row>
    <row r="1019" spans="1:4" x14ac:dyDescent="0.25">
      <c r="A1019" s="88" t="str">
        <f t="shared" si="65"/>
        <v>10-2025</v>
      </c>
      <c r="B1019" s="86">
        <v>45945</v>
      </c>
      <c r="C1019" t="str">
        <f t="shared" si="66"/>
        <v>L-V</v>
      </c>
      <c r="D1019" t="str">
        <f t="shared" si="67"/>
        <v>Miércoles</v>
      </c>
    </row>
    <row r="1020" spans="1:4" x14ac:dyDescent="0.25">
      <c r="A1020" s="88" t="str">
        <f t="shared" si="65"/>
        <v>10-2025</v>
      </c>
      <c r="B1020" s="86">
        <v>45946</v>
      </c>
      <c r="C1020" t="str">
        <f t="shared" si="66"/>
        <v>L-V</v>
      </c>
      <c r="D1020" t="str">
        <f t="shared" si="67"/>
        <v>Jueves</v>
      </c>
    </row>
    <row r="1021" spans="1:4" x14ac:dyDescent="0.25">
      <c r="A1021" s="88" t="str">
        <f t="shared" si="65"/>
        <v>10-2025</v>
      </c>
      <c r="B1021" s="86">
        <v>45947</v>
      </c>
      <c r="C1021" t="str">
        <f t="shared" si="66"/>
        <v>L-V</v>
      </c>
      <c r="D1021" t="str">
        <f t="shared" si="67"/>
        <v>Viernes</v>
      </c>
    </row>
    <row r="1022" spans="1:4" x14ac:dyDescent="0.25">
      <c r="A1022" s="88" t="str">
        <f t="shared" si="65"/>
        <v>10-2025</v>
      </c>
      <c r="B1022" s="86">
        <v>45948</v>
      </c>
      <c r="C1022" t="str">
        <f t="shared" si="66"/>
        <v>SAB</v>
      </c>
      <c r="D1022" t="str">
        <f t="shared" si="67"/>
        <v>Sábado</v>
      </c>
    </row>
    <row r="1023" spans="1:4" x14ac:dyDescent="0.25">
      <c r="A1023" s="88" t="str">
        <f t="shared" si="65"/>
        <v>10-2025</v>
      </c>
      <c r="B1023" s="86">
        <v>45949</v>
      </c>
      <c r="C1023" t="str">
        <f t="shared" si="66"/>
        <v>DOM</v>
      </c>
      <c r="D1023" t="str">
        <f t="shared" si="67"/>
        <v>Domingo</v>
      </c>
    </row>
    <row r="1024" spans="1:4" x14ac:dyDescent="0.25">
      <c r="A1024" s="88" t="str">
        <f t="shared" si="65"/>
        <v>10-2025</v>
      </c>
      <c r="B1024" s="86">
        <v>45950</v>
      </c>
      <c r="C1024" t="str">
        <f t="shared" si="66"/>
        <v>L-V</v>
      </c>
      <c r="D1024" t="str">
        <f t="shared" si="67"/>
        <v>Lunes</v>
      </c>
    </row>
    <row r="1025" spans="1:4" x14ac:dyDescent="0.25">
      <c r="A1025" s="88" t="str">
        <f t="shared" si="65"/>
        <v>10-2025</v>
      </c>
      <c r="B1025" s="86">
        <v>45951</v>
      </c>
      <c r="C1025" t="str">
        <f t="shared" si="66"/>
        <v>L-V</v>
      </c>
      <c r="D1025" t="str">
        <f t="shared" si="67"/>
        <v>Martes</v>
      </c>
    </row>
    <row r="1026" spans="1:4" x14ac:dyDescent="0.25">
      <c r="A1026" s="88" t="str">
        <f t="shared" ref="A1026:A1089" si="68">MONTH(B1026)&amp;"-"&amp;YEAR(B1026)</f>
        <v>10-2025</v>
      </c>
      <c r="B1026" s="86">
        <v>45952</v>
      </c>
      <c r="C1026" t="str">
        <f t="shared" si="66"/>
        <v>L-V</v>
      </c>
      <c r="D1026" t="str">
        <f t="shared" si="67"/>
        <v>Miércoles</v>
      </c>
    </row>
    <row r="1027" spans="1:4" x14ac:dyDescent="0.25">
      <c r="A1027" s="88" t="str">
        <f t="shared" si="68"/>
        <v>10-2025</v>
      </c>
      <c r="B1027" s="86">
        <v>45953</v>
      </c>
      <c r="C1027" t="str">
        <f t="shared" ref="C1027:C1090" si="69">VLOOKUP(WEEKDAY(B1027,2),$F$1:$H$7,2)</f>
        <v>L-V</v>
      </c>
      <c r="D1027" t="str">
        <f t="shared" ref="D1027:D1090" si="70">VLOOKUP(WEEKDAY($B1027,2),$F$1:$H$7,3)</f>
        <v>Jueves</v>
      </c>
    </row>
    <row r="1028" spans="1:4" x14ac:dyDescent="0.25">
      <c r="A1028" s="88" t="str">
        <f t="shared" si="68"/>
        <v>10-2025</v>
      </c>
      <c r="B1028" s="86">
        <v>45954</v>
      </c>
      <c r="C1028" t="str">
        <f t="shared" si="69"/>
        <v>L-V</v>
      </c>
      <c r="D1028" t="str">
        <f t="shared" si="70"/>
        <v>Viernes</v>
      </c>
    </row>
    <row r="1029" spans="1:4" x14ac:dyDescent="0.25">
      <c r="A1029" s="88" t="str">
        <f t="shared" si="68"/>
        <v>10-2025</v>
      </c>
      <c r="B1029" s="86">
        <v>45955</v>
      </c>
      <c r="C1029" t="str">
        <f t="shared" si="69"/>
        <v>SAB</v>
      </c>
      <c r="D1029" t="str">
        <f t="shared" si="70"/>
        <v>Sábado</v>
      </c>
    </row>
    <row r="1030" spans="1:4" x14ac:dyDescent="0.25">
      <c r="A1030" s="88" t="str">
        <f t="shared" si="68"/>
        <v>10-2025</v>
      </c>
      <c r="B1030" s="86">
        <v>45956</v>
      </c>
      <c r="C1030" t="str">
        <f t="shared" si="69"/>
        <v>DOM</v>
      </c>
      <c r="D1030" t="str">
        <f t="shared" si="70"/>
        <v>Domingo</v>
      </c>
    </row>
    <row r="1031" spans="1:4" x14ac:dyDescent="0.25">
      <c r="A1031" s="88" t="str">
        <f t="shared" si="68"/>
        <v>10-2025</v>
      </c>
      <c r="B1031" s="86">
        <v>45957</v>
      </c>
      <c r="C1031" t="str">
        <f t="shared" si="69"/>
        <v>L-V</v>
      </c>
      <c r="D1031" t="str">
        <f t="shared" si="70"/>
        <v>Lunes</v>
      </c>
    </row>
    <row r="1032" spans="1:4" x14ac:dyDescent="0.25">
      <c r="A1032" s="88" t="str">
        <f t="shared" si="68"/>
        <v>10-2025</v>
      </c>
      <c r="B1032" s="86">
        <v>45958</v>
      </c>
      <c r="C1032" t="str">
        <f t="shared" si="69"/>
        <v>L-V</v>
      </c>
      <c r="D1032" t="str">
        <f t="shared" si="70"/>
        <v>Martes</v>
      </c>
    </row>
    <row r="1033" spans="1:4" x14ac:dyDescent="0.25">
      <c r="A1033" s="88" t="str">
        <f t="shared" si="68"/>
        <v>10-2025</v>
      </c>
      <c r="B1033" s="86">
        <v>45959</v>
      </c>
      <c r="C1033" t="str">
        <f t="shared" si="69"/>
        <v>L-V</v>
      </c>
      <c r="D1033" t="str">
        <f t="shared" si="70"/>
        <v>Miércoles</v>
      </c>
    </row>
    <row r="1034" spans="1:4" x14ac:dyDescent="0.25">
      <c r="A1034" s="88" t="str">
        <f t="shared" si="68"/>
        <v>10-2025</v>
      </c>
      <c r="B1034" s="86">
        <v>45960</v>
      </c>
      <c r="C1034" t="str">
        <f t="shared" si="69"/>
        <v>L-V</v>
      </c>
      <c r="D1034" t="str">
        <f t="shared" si="70"/>
        <v>Jueves</v>
      </c>
    </row>
    <row r="1035" spans="1:4" x14ac:dyDescent="0.25">
      <c r="A1035" s="88" t="str">
        <f t="shared" si="68"/>
        <v>10-2025</v>
      </c>
      <c r="B1035" s="86">
        <v>45961</v>
      </c>
      <c r="C1035" t="str">
        <f t="shared" si="69"/>
        <v>L-V</v>
      </c>
      <c r="D1035" t="str">
        <f t="shared" si="70"/>
        <v>Viernes</v>
      </c>
    </row>
    <row r="1036" spans="1:4" x14ac:dyDescent="0.25">
      <c r="A1036" s="88" t="str">
        <f t="shared" si="68"/>
        <v>11-2025</v>
      </c>
      <c r="B1036" s="86">
        <v>45962</v>
      </c>
      <c r="C1036" t="str">
        <f t="shared" si="69"/>
        <v>SAB</v>
      </c>
      <c r="D1036" t="str">
        <f t="shared" si="70"/>
        <v>Sábado</v>
      </c>
    </row>
    <row r="1037" spans="1:4" x14ac:dyDescent="0.25">
      <c r="A1037" s="88" t="str">
        <f t="shared" si="68"/>
        <v>11-2025</v>
      </c>
      <c r="B1037" s="86">
        <v>45963</v>
      </c>
      <c r="C1037" t="str">
        <f t="shared" si="69"/>
        <v>DOM</v>
      </c>
      <c r="D1037" t="str">
        <f t="shared" si="70"/>
        <v>Domingo</v>
      </c>
    </row>
    <row r="1038" spans="1:4" x14ac:dyDescent="0.25">
      <c r="A1038" s="88" t="str">
        <f t="shared" si="68"/>
        <v>11-2025</v>
      </c>
      <c r="B1038" s="86">
        <v>45964</v>
      </c>
      <c r="C1038" t="str">
        <f t="shared" si="69"/>
        <v>L-V</v>
      </c>
      <c r="D1038" t="str">
        <f t="shared" si="70"/>
        <v>Lunes</v>
      </c>
    </row>
    <row r="1039" spans="1:4" x14ac:dyDescent="0.25">
      <c r="A1039" s="88" t="str">
        <f t="shared" si="68"/>
        <v>11-2025</v>
      </c>
      <c r="B1039" s="86">
        <v>45965</v>
      </c>
      <c r="C1039" t="str">
        <f t="shared" si="69"/>
        <v>L-V</v>
      </c>
      <c r="D1039" t="str">
        <f t="shared" si="70"/>
        <v>Martes</v>
      </c>
    </row>
    <row r="1040" spans="1:4" x14ac:dyDescent="0.25">
      <c r="A1040" s="88" t="str">
        <f t="shared" si="68"/>
        <v>11-2025</v>
      </c>
      <c r="B1040" s="86">
        <v>45966</v>
      </c>
      <c r="C1040" t="str">
        <f t="shared" si="69"/>
        <v>L-V</v>
      </c>
      <c r="D1040" t="str">
        <f t="shared" si="70"/>
        <v>Miércoles</v>
      </c>
    </row>
    <row r="1041" spans="1:4" x14ac:dyDescent="0.25">
      <c r="A1041" s="88" t="str">
        <f t="shared" si="68"/>
        <v>11-2025</v>
      </c>
      <c r="B1041" s="86">
        <v>45967</v>
      </c>
      <c r="C1041" t="str">
        <f t="shared" si="69"/>
        <v>L-V</v>
      </c>
      <c r="D1041" t="str">
        <f t="shared" si="70"/>
        <v>Jueves</v>
      </c>
    </row>
    <row r="1042" spans="1:4" x14ac:dyDescent="0.25">
      <c r="A1042" s="88" t="str">
        <f t="shared" si="68"/>
        <v>11-2025</v>
      </c>
      <c r="B1042" s="86">
        <v>45968</v>
      </c>
      <c r="C1042" t="str">
        <f t="shared" si="69"/>
        <v>L-V</v>
      </c>
      <c r="D1042" t="str">
        <f t="shared" si="70"/>
        <v>Viernes</v>
      </c>
    </row>
    <row r="1043" spans="1:4" x14ac:dyDescent="0.25">
      <c r="A1043" s="88" t="str">
        <f t="shared" si="68"/>
        <v>11-2025</v>
      </c>
      <c r="B1043" s="86">
        <v>45969</v>
      </c>
      <c r="C1043" t="str">
        <f t="shared" si="69"/>
        <v>SAB</v>
      </c>
      <c r="D1043" t="str">
        <f t="shared" si="70"/>
        <v>Sábado</v>
      </c>
    </row>
    <row r="1044" spans="1:4" x14ac:dyDescent="0.25">
      <c r="A1044" s="88" t="str">
        <f t="shared" si="68"/>
        <v>11-2025</v>
      </c>
      <c r="B1044" s="86">
        <v>45970</v>
      </c>
      <c r="C1044" t="str">
        <f t="shared" si="69"/>
        <v>DOM</v>
      </c>
      <c r="D1044" t="str">
        <f t="shared" si="70"/>
        <v>Domingo</v>
      </c>
    </row>
    <row r="1045" spans="1:4" x14ac:dyDescent="0.25">
      <c r="A1045" s="88" t="str">
        <f t="shared" si="68"/>
        <v>11-2025</v>
      </c>
      <c r="B1045" s="86">
        <v>45971</v>
      </c>
      <c r="C1045" t="str">
        <f t="shared" si="69"/>
        <v>L-V</v>
      </c>
      <c r="D1045" t="str">
        <f t="shared" si="70"/>
        <v>Lunes</v>
      </c>
    </row>
    <row r="1046" spans="1:4" x14ac:dyDescent="0.25">
      <c r="A1046" s="88" t="str">
        <f t="shared" si="68"/>
        <v>11-2025</v>
      </c>
      <c r="B1046" s="86">
        <v>45972</v>
      </c>
      <c r="C1046" t="str">
        <f t="shared" si="69"/>
        <v>L-V</v>
      </c>
      <c r="D1046" t="str">
        <f t="shared" si="70"/>
        <v>Martes</v>
      </c>
    </row>
    <row r="1047" spans="1:4" x14ac:dyDescent="0.25">
      <c r="A1047" s="88" t="str">
        <f t="shared" si="68"/>
        <v>11-2025</v>
      </c>
      <c r="B1047" s="86">
        <v>45973</v>
      </c>
      <c r="C1047" t="str">
        <f t="shared" si="69"/>
        <v>L-V</v>
      </c>
      <c r="D1047" t="str">
        <f t="shared" si="70"/>
        <v>Miércoles</v>
      </c>
    </row>
    <row r="1048" spans="1:4" x14ac:dyDescent="0.25">
      <c r="A1048" s="88" t="str">
        <f t="shared" si="68"/>
        <v>11-2025</v>
      </c>
      <c r="B1048" s="86">
        <v>45974</v>
      </c>
      <c r="C1048" t="str">
        <f t="shared" si="69"/>
        <v>L-V</v>
      </c>
      <c r="D1048" t="str">
        <f t="shared" si="70"/>
        <v>Jueves</v>
      </c>
    </row>
    <row r="1049" spans="1:4" x14ac:dyDescent="0.25">
      <c r="A1049" s="88" t="str">
        <f t="shared" si="68"/>
        <v>11-2025</v>
      </c>
      <c r="B1049" s="86">
        <v>45975</v>
      </c>
      <c r="C1049" t="str">
        <f t="shared" si="69"/>
        <v>L-V</v>
      </c>
      <c r="D1049" t="str">
        <f t="shared" si="70"/>
        <v>Viernes</v>
      </c>
    </row>
    <row r="1050" spans="1:4" x14ac:dyDescent="0.25">
      <c r="A1050" s="88" t="str">
        <f t="shared" si="68"/>
        <v>11-2025</v>
      </c>
      <c r="B1050" s="86">
        <v>45976</v>
      </c>
      <c r="C1050" t="str">
        <f t="shared" si="69"/>
        <v>SAB</v>
      </c>
      <c r="D1050" t="str">
        <f t="shared" si="70"/>
        <v>Sábado</v>
      </c>
    </row>
    <row r="1051" spans="1:4" x14ac:dyDescent="0.25">
      <c r="A1051" s="88" t="str">
        <f t="shared" si="68"/>
        <v>11-2025</v>
      </c>
      <c r="B1051" s="86">
        <v>45977</v>
      </c>
      <c r="C1051" t="str">
        <f t="shared" si="69"/>
        <v>DOM</v>
      </c>
      <c r="D1051" t="str">
        <f t="shared" si="70"/>
        <v>Domingo</v>
      </c>
    </row>
    <row r="1052" spans="1:4" x14ac:dyDescent="0.25">
      <c r="A1052" s="88" t="str">
        <f t="shared" si="68"/>
        <v>11-2025</v>
      </c>
      <c r="B1052" s="86">
        <v>45978</v>
      </c>
      <c r="C1052" t="str">
        <f t="shared" si="69"/>
        <v>L-V</v>
      </c>
      <c r="D1052" t="str">
        <f t="shared" si="70"/>
        <v>Lunes</v>
      </c>
    </row>
    <row r="1053" spans="1:4" x14ac:dyDescent="0.25">
      <c r="A1053" s="88" t="str">
        <f t="shared" si="68"/>
        <v>11-2025</v>
      </c>
      <c r="B1053" s="86">
        <v>45979</v>
      </c>
      <c r="C1053" t="str">
        <f t="shared" si="69"/>
        <v>L-V</v>
      </c>
      <c r="D1053" t="str">
        <f t="shared" si="70"/>
        <v>Martes</v>
      </c>
    </row>
    <row r="1054" spans="1:4" x14ac:dyDescent="0.25">
      <c r="A1054" s="88" t="str">
        <f t="shared" si="68"/>
        <v>11-2025</v>
      </c>
      <c r="B1054" s="86">
        <v>45980</v>
      </c>
      <c r="C1054" t="str">
        <f t="shared" si="69"/>
        <v>L-V</v>
      </c>
      <c r="D1054" t="str">
        <f t="shared" si="70"/>
        <v>Miércoles</v>
      </c>
    </row>
    <row r="1055" spans="1:4" x14ac:dyDescent="0.25">
      <c r="A1055" s="88" t="str">
        <f t="shared" si="68"/>
        <v>11-2025</v>
      </c>
      <c r="B1055" s="86">
        <v>45981</v>
      </c>
      <c r="C1055" t="str">
        <f t="shared" si="69"/>
        <v>L-V</v>
      </c>
      <c r="D1055" t="str">
        <f t="shared" si="70"/>
        <v>Jueves</v>
      </c>
    </row>
    <row r="1056" spans="1:4" x14ac:dyDescent="0.25">
      <c r="A1056" s="88" t="str">
        <f t="shared" si="68"/>
        <v>11-2025</v>
      </c>
      <c r="B1056" s="86">
        <v>45982</v>
      </c>
      <c r="C1056" t="str">
        <f t="shared" si="69"/>
        <v>L-V</v>
      </c>
      <c r="D1056" t="str">
        <f t="shared" si="70"/>
        <v>Viernes</v>
      </c>
    </row>
    <row r="1057" spans="1:4" x14ac:dyDescent="0.25">
      <c r="A1057" s="88" t="str">
        <f t="shared" si="68"/>
        <v>11-2025</v>
      </c>
      <c r="B1057" s="86">
        <v>45983</v>
      </c>
      <c r="C1057" t="str">
        <f t="shared" si="69"/>
        <v>SAB</v>
      </c>
      <c r="D1057" t="str">
        <f t="shared" si="70"/>
        <v>Sábado</v>
      </c>
    </row>
    <row r="1058" spans="1:4" x14ac:dyDescent="0.25">
      <c r="A1058" s="88" t="str">
        <f t="shared" si="68"/>
        <v>11-2025</v>
      </c>
      <c r="B1058" s="86">
        <v>45984</v>
      </c>
      <c r="C1058" t="str">
        <f t="shared" si="69"/>
        <v>DOM</v>
      </c>
      <c r="D1058" t="str">
        <f t="shared" si="70"/>
        <v>Domingo</v>
      </c>
    </row>
    <row r="1059" spans="1:4" x14ac:dyDescent="0.25">
      <c r="A1059" s="88" t="str">
        <f t="shared" si="68"/>
        <v>11-2025</v>
      </c>
      <c r="B1059" s="86">
        <v>45985</v>
      </c>
      <c r="C1059" t="str">
        <f t="shared" si="69"/>
        <v>L-V</v>
      </c>
      <c r="D1059" t="str">
        <f t="shared" si="70"/>
        <v>Lunes</v>
      </c>
    </row>
    <row r="1060" spans="1:4" x14ac:dyDescent="0.25">
      <c r="A1060" s="88" t="str">
        <f t="shared" si="68"/>
        <v>11-2025</v>
      </c>
      <c r="B1060" s="86">
        <v>45986</v>
      </c>
      <c r="C1060" t="str">
        <f t="shared" si="69"/>
        <v>L-V</v>
      </c>
      <c r="D1060" t="str">
        <f t="shared" si="70"/>
        <v>Martes</v>
      </c>
    </row>
    <row r="1061" spans="1:4" x14ac:dyDescent="0.25">
      <c r="A1061" s="88" t="str">
        <f t="shared" si="68"/>
        <v>11-2025</v>
      </c>
      <c r="B1061" s="86">
        <v>45987</v>
      </c>
      <c r="C1061" t="str">
        <f t="shared" si="69"/>
        <v>L-V</v>
      </c>
      <c r="D1061" t="str">
        <f t="shared" si="70"/>
        <v>Miércoles</v>
      </c>
    </row>
    <row r="1062" spans="1:4" x14ac:dyDescent="0.25">
      <c r="A1062" s="88" t="str">
        <f t="shared" si="68"/>
        <v>11-2025</v>
      </c>
      <c r="B1062" s="86">
        <v>45988</v>
      </c>
      <c r="C1062" t="str">
        <f t="shared" si="69"/>
        <v>L-V</v>
      </c>
      <c r="D1062" t="str">
        <f t="shared" si="70"/>
        <v>Jueves</v>
      </c>
    </row>
    <row r="1063" spans="1:4" x14ac:dyDescent="0.25">
      <c r="A1063" s="88" t="str">
        <f t="shared" si="68"/>
        <v>11-2025</v>
      </c>
      <c r="B1063" s="86">
        <v>45989</v>
      </c>
      <c r="C1063" t="str">
        <f t="shared" si="69"/>
        <v>L-V</v>
      </c>
      <c r="D1063" t="str">
        <f t="shared" si="70"/>
        <v>Viernes</v>
      </c>
    </row>
    <row r="1064" spans="1:4" x14ac:dyDescent="0.25">
      <c r="A1064" s="88" t="str">
        <f t="shared" si="68"/>
        <v>11-2025</v>
      </c>
      <c r="B1064" s="86">
        <v>45990</v>
      </c>
      <c r="C1064" t="str">
        <f t="shared" si="69"/>
        <v>SAB</v>
      </c>
      <c r="D1064" t="str">
        <f t="shared" si="70"/>
        <v>Sábado</v>
      </c>
    </row>
    <row r="1065" spans="1:4" x14ac:dyDescent="0.25">
      <c r="A1065" s="88" t="str">
        <f t="shared" si="68"/>
        <v>11-2025</v>
      </c>
      <c r="B1065" s="86">
        <v>45991</v>
      </c>
      <c r="C1065" t="str">
        <f t="shared" si="69"/>
        <v>DOM</v>
      </c>
      <c r="D1065" t="str">
        <f t="shared" si="70"/>
        <v>Domingo</v>
      </c>
    </row>
    <row r="1066" spans="1:4" x14ac:dyDescent="0.25">
      <c r="A1066" s="88" t="str">
        <f t="shared" si="68"/>
        <v>12-2025</v>
      </c>
      <c r="B1066" s="86">
        <v>45992</v>
      </c>
      <c r="C1066" t="str">
        <f t="shared" si="69"/>
        <v>L-V</v>
      </c>
      <c r="D1066" t="str">
        <f t="shared" si="70"/>
        <v>Lunes</v>
      </c>
    </row>
    <row r="1067" spans="1:4" x14ac:dyDescent="0.25">
      <c r="A1067" s="88" t="str">
        <f t="shared" si="68"/>
        <v>12-2025</v>
      </c>
      <c r="B1067" s="86">
        <v>45993</v>
      </c>
      <c r="C1067" t="str">
        <f t="shared" si="69"/>
        <v>L-V</v>
      </c>
      <c r="D1067" t="str">
        <f t="shared" si="70"/>
        <v>Martes</v>
      </c>
    </row>
    <row r="1068" spans="1:4" x14ac:dyDescent="0.25">
      <c r="A1068" s="88" t="str">
        <f t="shared" si="68"/>
        <v>12-2025</v>
      </c>
      <c r="B1068" s="86">
        <v>45994</v>
      </c>
      <c r="C1068" t="str">
        <f t="shared" si="69"/>
        <v>L-V</v>
      </c>
      <c r="D1068" t="str">
        <f t="shared" si="70"/>
        <v>Miércoles</v>
      </c>
    </row>
    <row r="1069" spans="1:4" x14ac:dyDescent="0.25">
      <c r="A1069" s="88" t="str">
        <f t="shared" si="68"/>
        <v>12-2025</v>
      </c>
      <c r="B1069" s="86">
        <v>45995</v>
      </c>
      <c r="C1069" t="str">
        <f t="shared" si="69"/>
        <v>L-V</v>
      </c>
      <c r="D1069" t="str">
        <f t="shared" si="70"/>
        <v>Jueves</v>
      </c>
    </row>
    <row r="1070" spans="1:4" x14ac:dyDescent="0.25">
      <c r="A1070" s="88" t="str">
        <f t="shared" si="68"/>
        <v>12-2025</v>
      </c>
      <c r="B1070" s="86">
        <v>45996</v>
      </c>
      <c r="C1070" t="str">
        <f t="shared" si="69"/>
        <v>L-V</v>
      </c>
      <c r="D1070" t="str">
        <f t="shared" si="70"/>
        <v>Viernes</v>
      </c>
    </row>
    <row r="1071" spans="1:4" x14ac:dyDescent="0.25">
      <c r="A1071" s="88" t="str">
        <f t="shared" si="68"/>
        <v>12-2025</v>
      </c>
      <c r="B1071" s="86">
        <v>45997</v>
      </c>
      <c r="C1071" t="str">
        <f t="shared" si="69"/>
        <v>SAB</v>
      </c>
      <c r="D1071" t="str">
        <f t="shared" si="70"/>
        <v>Sábado</v>
      </c>
    </row>
    <row r="1072" spans="1:4" x14ac:dyDescent="0.25">
      <c r="A1072" s="88" t="str">
        <f t="shared" si="68"/>
        <v>12-2025</v>
      </c>
      <c r="B1072" s="86">
        <v>45998</v>
      </c>
      <c r="C1072" t="str">
        <f t="shared" si="69"/>
        <v>DOM</v>
      </c>
      <c r="D1072" t="str">
        <f t="shared" si="70"/>
        <v>Domingo</v>
      </c>
    </row>
    <row r="1073" spans="1:4" x14ac:dyDescent="0.25">
      <c r="A1073" s="88" t="str">
        <f t="shared" si="68"/>
        <v>12-2025</v>
      </c>
      <c r="B1073" s="86">
        <v>45999</v>
      </c>
      <c r="C1073" t="str">
        <f t="shared" si="69"/>
        <v>L-V</v>
      </c>
      <c r="D1073" t="str">
        <f t="shared" si="70"/>
        <v>Lunes</v>
      </c>
    </row>
    <row r="1074" spans="1:4" x14ac:dyDescent="0.25">
      <c r="A1074" s="88" t="str">
        <f t="shared" si="68"/>
        <v>12-2025</v>
      </c>
      <c r="B1074" s="86">
        <v>46000</v>
      </c>
      <c r="C1074" t="str">
        <f t="shared" si="69"/>
        <v>L-V</v>
      </c>
      <c r="D1074" t="str">
        <f t="shared" si="70"/>
        <v>Martes</v>
      </c>
    </row>
    <row r="1075" spans="1:4" x14ac:dyDescent="0.25">
      <c r="A1075" s="88" t="str">
        <f t="shared" si="68"/>
        <v>12-2025</v>
      </c>
      <c r="B1075" s="86">
        <v>46001</v>
      </c>
      <c r="C1075" t="str">
        <f t="shared" si="69"/>
        <v>L-V</v>
      </c>
      <c r="D1075" t="str">
        <f t="shared" si="70"/>
        <v>Miércoles</v>
      </c>
    </row>
    <row r="1076" spans="1:4" x14ac:dyDescent="0.25">
      <c r="A1076" s="88" t="str">
        <f t="shared" si="68"/>
        <v>12-2025</v>
      </c>
      <c r="B1076" s="86">
        <v>46002</v>
      </c>
      <c r="C1076" t="str">
        <f t="shared" si="69"/>
        <v>L-V</v>
      </c>
      <c r="D1076" t="str">
        <f t="shared" si="70"/>
        <v>Jueves</v>
      </c>
    </row>
    <row r="1077" spans="1:4" x14ac:dyDescent="0.25">
      <c r="A1077" s="88" t="str">
        <f t="shared" si="68"/>
        <v>12-2025</v>
      </c>
      <c r="B1077" s="86">
        <v>46003</v>
      </c>
      <c r="C1077" t="str">
        <f t="shared" si="69"/>
        <v>L-V</v>
      </c>
      <c r="D1077" t="str">
        <f t="shared" si="70"/>
        <v>Viernes</v>
      </c>
    </row>
    <row r="1078" spans="1:4" x14ac:dyDescent="0.25">
      <c r="A1078" s="88" t="str">
        <f t="shared" si="68"/>
        <v>12-2025</v>
      </c>
      <c r="B1078" s="86">
        <v>46004</v>
      </c>
      <c r="C1078" t="str">
        <f t="shared" si="69"/>
        <v>SAB</v>
      </c>
      <c r="D1078" t="str">
        <f t="shared" si="70"/>
        <v>Sábado</v>
      </c>
    </row>
    <row r="1079" spans="1:4" x14ac:dyDescent="0.25">
      <c r="A1079" s="88" t="str">
        <f t="shared" si="68"/>
        <v>12-2025</v>
      </c>
      <c r="B1079" s="86">
        <v>46005</v>
      </c>
      <c r="C1079" t="str">
        <f t="shared" si="69"/>
        <v>DOM</v>
      </c>
      <c r="D1079" t="str">
        <f t="shared" si="70"/>
        <v>Domingo</v>
      </c>
    </row>
    <row r="1080" spans="1:4" x14ac:dyDescent="0.25">
      <c r="A1080" s="88" t="str">
        <f t="shared" si="68"/>
        <v>12-2025</v>
      </c>
      <c r="B1080" s="86">
        <v>46006</v>
      </c>
      <c r="C1080" t="str">
        <f t="shared" si="69"/>
        <v>L-V</v>
      </c>
      <c r="D1080" t="str">
        <f t="shared" si="70"/>
        <v>Lunes</v>
      </c>
    </row>
    <row r="1081" spans="1:4" x14ac:dyDescent="0.25">
      <c r="A1081" s="88" t="str">
        <f t="shared" si="68"/>
        <v>12-2025</v>
      </c>
      <c r="B1081" s="86">
        <v>46007</v>
      </c>
      <c r="C1081" t="str">
        <f t="shared" si="69"/>
        <v>L-V</v>
      </c>
      <c r="D1081" t="str">
        <f t="shared" si="70"/>
        <v>Martes</v>
      </c>
    </row>
    <row r="1082" spans="1:4" x14ac:dyDescent="0.25">
      <c r="A1082" s="88" t="str">
        <f t="shared" si="68"/>
        <v>12-2025</v>
      </c>
      <c r="B1082" s="86">
        <v>46008</v>
      </c>
      <c r="C1082" t="str">
        <f t="shared" si="69"/>
        <v>L-V</v>
      </c>
      <c r="D1082" t="str">
        <f t="shared" si="70"/>
        <v>Miércoles</v>
      </c>
    </row>
    <row r="1083" spans="1:4" x14ac:dyDescent="0.25">
      <c r="A1083" s="88" t="str">
        <f t="shared" si="68"/>
        <v>12-2025</v>
      </c>
      <c r="B1083" s="86">
        <v>46009</v>
      </c>
      <c r="C1083" t="str">
        <f t="shared" si="69"/>
        <v>L-V</v>
      </c>
      <c r="D1083" t="str">
        <f t="shared" si="70"/>
        <v>Jueves</v>
      </c>
    </row>
    <row r="1084" spans="1:4" x14ac:dyDescent="0.25">
      <c r="A1084" s="88" t="str">
        <f t="shared" si="68"/>
        <v>12-2025</v>
      </c>
      <c r="B1084" s="86">
        <v>46010</v>
      </c>
      <c r="C1084" t="str">
        <f t="shared" si="69"/>
        <v>L-V</v>
      </c>
      <c r="D1084" t="str">
        <f t="shared" si="70"/>
        <v>Viernes</v>
      </c>
    </row>
    <row r="1085" spans="1:4" x14ac:dyDescent="0.25">
      <c r="A1085" s="88" t="str">
        <f t="shared" si="68"/>
        <v>12-2025</v>
      </c>
      <c r="B1085" s="86">
        <v>46011</v>
      </c>
      <c r="C1085" t="str">
        <f t="shared" si="69"/>
        <v>SAB</v>
      </c>
      <c r="D1085" t="str">
        <f t="shared" si="70"/>
        <v>Sábado</v>
      </c>
    </row>
    <row r="1086" spans="1:4" x14ac:dyDescent="0.25">
      <c r="A1086" s="88" t="str">
        <f t="shared" si="68"/>
        <v>12-2025</v>
      </c>
      <c r="B1086" s="86">
        <v>46012</v>
      </c>
      <c r="C1086" t="str">
        <f t="shared" si="69"/>
        <v>DOM</v>
      </c>
      <c r="D1086" t="str">
        <f t="shared" si="70"/>
        <v>Domingo</v>
      </c>
    </row>
    <row r="1087" spans="1:4" x14ac:dyDescent="0.25">
      <c r="A1087" s="88" t="str">
        <f t="shared" si="68"/>
        <v>12-2025</v>
      </c>
      <c r="B1087" s="86">
        <v>46013</v>
      </c>
      <c r="C1087" t="str">
        <f t="shared" si="69"/>
        <v>L-V</v>
      </c>
      <c r="D1087" t="str">
        <f t="shared" si="70"/>
        <v>Lunes</v>
      </c>
    </row>
    <row r="1088" spans="1:4" x14ac:dyDescent="0.25">
      <c r="A1088" s="88" t="str">
        <f t="shared" si="68"/>
        <v>12-2025</v>
      </c>
      <c r="B1088" s="86">
        <v>46014</v>
      </c>
      <c r="C1088" t="str">
        <f t="shared" si="69"/>
        <v>L-V</v>
      </c>
      <c r="D1088" t="str">
        <f t="shared" si="70"/>
        <v>Martes</v>
      </c>
    </row>
    <row r="1089" spans="1:4" x14ac:dyDescent="0.25">
      <c r="A1089" s="88" t="str">
        <f t="shared" si="68"/>
        <v>12-2025</v>
      </c>
      <c r="B1089" s="86">
        <v>46015</v>
      </c>
      <c r="C1089" t="str">
        <f t="shared" si="69"/>
        <v>L-V</v>
      </c>
      <c r="D1089" t="str">
        <f t="shared" si="70"/>
        <v>Miércoles</v>
      </c>
    </row>
    <row r="1090" spans="1:4" x14ac:dyDescent="0.25">
      <c r="A1090" s="88" t="str">
        <f t="shared" ref="A1090:A1153" si="71">MONTH(B1090)&amp;"-"&amp;YEAR(B1090)</f>
        <v>12-2025</v>
      </c>
      <c r="B1090" s="86">
        <v>46016</v>
      </c>
      <c r="C1090" t="str">
        <f t="shared" si="69"/>
        <v>L-V</v>
      </c>
      <c r="D1090" t="str">
        <f t="shared" si="70"/>
        <v>Jueves</v>
      </c>
    </row>
    <row r="1091" spans="1:4" x14ac:dyDescent="0.25">
      <c r="A1091" s="88" t="str">
        <f t="shared" si="71"/>
        <v>12-2025</v>
      </c>
      <c r="B1091" s="86">
        <v>46017</v>
      </c>
      <c r="C1091" t="str">
        <f t="shared" ref="C1091:C1154" si="72">VLOOKUP(WEEKDAY(B1091,2),$F$1:$H$7,2)</f>
        <v>L-V</v>
      </c>
      <c r="D1091" t="str">
        <f t="shared" ref="D1091:D1154" si="73">VLOOKUP(WEEKDAY($B1091,2),$F$1:$H$7,3)</f>
        <v>Viernes</v>
      </c>
    </row>
    <row r="1092" spans="1:4" x14ac:dyDescent="0.25">
      <c r="A1092" s="88" t="str">
        <f t="shared" si="71"/>
        <v>12-2025</v>
      </c>
      <c r="B1092" s="86">
        <v>46018</v>
      </c>
      <c r="C1092" t="str">
        <f t="shared" si="72"/>
        <v>SAB</v>
      </c>
      <c r="D1092" t="str">
        <f t="shared" si="73"/>
        <v>Sábado</v>
      </c>
    </row>
    <row r="1093" spans="1:4" x14ac:dyDescent="0.25">
      <c r="A1093" s="88" t="str">
        <f t="shared" si="71"/>
        <v>12-2025</v>
      </c>
      <c r="B1093" s="86">
        <v>46019</v>
      </c>
      <c r="C1093" t="str">
        <f t="shared" si="72"/>
        <v>DOM</v>
      </c>
      <c r="D1093" t="str">
        <f t="shared" si="73"/>
        <v>Domingo</v>
      </c>
    </row>
    <row r="1094" spans="1:4" x14ac:dyDescent="0.25">
      <c r="A1094" s="88" t="str">
        <f t="shared" si="71"/>
        <v>12-2025</v>
      </c>
      <c r="B1094" s="86">
        <v>46020</v>
      </c>
      <c r="C1094" t="str">
        <f t="shared" si="72"/>
        <v>L-V</v>
      </c>
      <c r="D1094" t="str">
        <f t="shared" si="73"/>
        <v>Lunes</v>
      </c>
    </row>
    <row r="1095" spans="1:4" x14ac:dyDescent="0.25">
      <c r="A1095" s="88" t="str">
        <f t="shared" si="71"/>
        <v>12-2025</v>
      </c>
      <c r="B1095" s="86">
        <v>46021</v>
      </c>
      <c r="C1095" t="str">
        <f t="shared" si="72"/>
        <v>L-V</v>
      </c>
      <c r="D1095" t="str">
        <f t="shared" si="73"/>
        <v>Martes</v>
      </c>
    </row>
    <row r="1096" spans="1:4" x14ac:dyDescent="0.25">
      <c r="A1096" s="88" t="str">
        <f t="shared" si="71"/>
        <v>12-2025</v>
      </c>
      <c r="B1096" s="86">
        <v>46022</v>
      </c>
      <c r="C1096" t="str">
        <f t="shared" si="72"/>
        <v>L-V</v>
      </c>
      <c r="D1096" t="str">
        <f t="shared" si="73"/>
        <v>Miércoles</v>
      </c>
    </row>
    <row r="1097" spans="1:4" x14ac:dyDescent="0.25">
      <c r="A1097" s="88" t="str">
        <f t="shared" si="71"/>
        <v>1-2026</v>
      </c>
      <c r="B1097" s="86">
        <v>46023</v>
      </c>
      <c r="C1097" t="str">
        <f t="shared" si="72"/>
        <v>L-V</v>
      </c>
      <c r="D1097" t="str">
        <f t="shared" si="73"/>
        <v>Jueves</v>
      </c>
    </row>
    <row r="1098" spans="1:4" x14ac:dyDescent="0.25">
      <c r="A1098" s="88" t="str">
        <f t="shared" si="71"/>
        <v>1-2026</v>
      </c>
      <c r="B1098" s="86">
        <v>46024</v>
      </c>
      <c r="C1098" t="str">
        <f t="shared" si="72"/>
        <v>L-V</v>
      </c>
      <c r="D1098" t="str">
        <f t="shared" si="73"/>
        <v>Viernes</v>
      </c>
    </row>
    <row r="1099" spans="1:4" x14ac:dyDescent="0.25">
      <c r="A1099" s="88" t="str">
        <f t="shared" si="71"/>
        <v>1-2026</v>
      </c>
      <c r="B1099" s="86">
        <v>46025</v>
      </c>
      <c r="C1099" t="str">
        <f t="shared" si="72"/>
        <v>SAB</v>
      </c>
      <c r="D1099" t="str">
        <f t="shared" si="73"/>
        <v>Sábado</v>
      </c>
    </row>
    <row r="1100" spans="1:4" x14ac:dyDescent="0.25">
      <c r="A1100" s="88" t="str">
        <f t="shared" si="71"/>
        <v>1-2026</v>
      </c>
      <c r="B1100" s="86">
        <v>46026</v>
      </c>
      <c r="C1100" t="str">
        <f t="shared" si="72"/>
        <v>DOM</v>
      </c>
      <c r="D1100" t="str">
        <f t="shared" si="73"/>
        <v>Domingo</v>
      </c>
    </row>
    <row r="1101" spans="1:4" x14ac:dyDescent="0.25">
      <c r="A1101" s="88" t="str">
        <f t="shared" si="71"/>
        <v>1-2026</v>
      </c>
      <c r="B1101" s="86">
        <v>46027</v>
      </c>
      <c r="C1101" t="str">
        <f t="shared" si="72"/>
        <v>L-V</v>
      </c>
      <c r="D1101" t="str">
        <f t="shared" si="73"/>
        <v>Lunes</v>
      </c>
    </row>
    <row r="1102" spans="1:4" x14ac:dyDescent="0.25">
      <c r="A1102" s="88" t="str">
        <f t="shared" si="71"/>
        <v>1-2026</v>
      </c>
      <c r="B1102" s="86">
        <v>46028</v>
      </c>
      <c r="C1102" t="str">
        <f t="shared" si="72"/>
        <v>L-V</v>
      </c>
      <c r="D1102" t="str">
        <f t="shared" si="73"/>
        <v>Martes</v>
      </c>
    </row>
    <row r="1103" spans="1:4" x14ac:dyDescent="0.25">
      <c r="A1103" s="88" t="str">
        <f t="shared" si="71"/>
        <v>1-2026</v>
      </c>
      <c r="B1103" s="86">
        <v>46029</v>
      </c>
      <c r="C1103" t="str">
        <f t="shared" si="72"/>
        <v>L-V</v>
      </c>
      <c r="D1103" t="str">
        <f t="shared" si="73"/>
        <v>Miércoles</v>
      </c>
    </row>
    <row r="1104" spans="1:4" x14ac:dyDescent="0.25">
      <c r="A1104" s="88" t="str">
        <f t="shared" si="71"/>
        <v>1-2026</v>
      </c>
      <c r="B1104" s="86">
        <v>46030</v>
      </c>
      <c r="C1104" t="str">
        <f t="shared" si="72"/>
        <v>L-V</v>
      </c>
      <c r="D1104" t="str">
        <f t="shared" si="73"/>
        <v>Jueves</v>
      </c>
    </row>
    <row r="1105" spans="1:4" x14ac:dyDescent="0.25">
      <c r="A1105" s="88" t="str">
        <f t="shared" si="71"/>
        <v>1-2026</v>
      </c>
      <c r="B1105" s="86">
        <v>46031</v>
      </c>
      <c r="C1105" t="str">
        <f t="shared" si="72"/>
        <v>L-V</v>
      </c>
      <c r="D1105" t="str">
        <f t="shared" si="73"/>
        <v>Viernes</v>
      </c>
    </row>
    <row r="1106" spans="1:4" x14ac:dyDescent="0.25">
      <c r="A1106" s="88" t="str">
        <f t="shared" si="71"/>
        <v>1-2026</v>
      </c>
      <c r="B1106" s="86">
        <v>46032</v>
      </c>
      <c r="C1106" t="str">
        <f t="shared" si="72"/>
        <v>SAB</v>
      </c>
      <c r="D1106" t="str">
        <f t="shared" si="73"/>
        <v>Sábado</v>
      </c>
    </row>
    <row r="1107" spans="1:4" x14ac:dyDescent="0.25">
      <c r="A1107" s="88" t="str">
        <f t="shared" si="71"/>
        <v>1-2026</v>
      </c>
      <c r="B1107" s="86">
        <v>46033</v>
      </c>
      <c r="C1107" t="str">
        <f t="shared" si="72"/>
        <v>DOM</v>
      </c>
      <c r="D1107" t="str">
        <f t="shared" si="73"/>
        <v>Domingo</v>
      </c>
    </row>
    <row r="1108" spans="1:4" x14ac:dyDescent="0.25">
      <c r="A1108" s="88" t="str">
        <f t="shared" si="71"/>
        <v>1-2026</v>
      </c>
      <c r="B1108" s="86">
        <v>46034</v>
      </c>
      <c r="C1108" t="str">
        <f t="shared" si="72"/>
        <v>L-V</v>
      </c>
      <c r="D1108" t="str">
        <f t="shared" si="73"/>
        <v>Lunes</v>
      </c>
    </row>
    <row r="1109" spans="1:4" x14ac:dyDescent="0.25">
      <c r="A1109" s="88" t="str">
        <f t="shared" si="71"/>
        <v>1-2026</v>
      </c>
      <c r="B1109" s="86">
        <v>46035</v>
      </c>
      <c r="C1109" t="str">
        <f t="shared" si="72"/>
        <v>L-V</v>
      </c>
      <c r="D1109" t="str">
        <f t="shared" si="73"/>
        <v>Martes</v>
      </c>
    </row>
    <row r="1110" spans="1:4" x14ac:dyDescent="0.25">
      <c r="A1110" s="88" t="str">
        <f t="shared" si="71"/>
        <v>1-2026</v>
      </c>
      <c r="B1110" s="86">
        <v>46036</v>
      </c>
      <c r="C1110" t="str">
        <f t="shared" si="72"/>
        <v>L-V</v>
      </c>
      <c r="D1110" t="str">
        <f t="shared" si="73"/>
        <v>Miércoles</v>
      </c>
    </row>
    <row r="1111" spans="1:4" x14ac:dyDescent="0.25">
      <c r="A1111" s="88" t="str">
        <f t="shared" si="71"/>
        <v>1-2026</v>
      </c>
      <c r="B1111" s="86">
        <v>46037</v>
      </c>
      <c r="C1111" t="str">
        <f t="shared" si="72"/>
        <v>L-V</v>
      </c>
      <c r="D1111" t="str">
        <f t="shared" si="73"/>
        <v>Jueves</v>
      </c>
    </row>
    <row r="1112" spans="1:4" x14ac:dyDescent="0.25">
      <c r="A1112" s="88" t="str">
        <f t="shared" si="71"/>
        <v>1-2026</v>
      </c>
      <c r="B1112" s="86">
        <v>46038</v>
      </c>
      <c r="C1112" t="str">
        <f t="shared" si="72"/>
        <v>L-V</v>
      </c>
      <c r="D1112" t="str">
        <f t="shared" si="73"/>
        <v>Viernes</v>
      </c>
    </row>
    <row r="1113" spans="1:4" x14ac:dyDescent="0.25">
      <c r="A1113" s="88" t="str">
        <f t="shared" si="71"/>
        <v>1-2026</v>
      </c>
      <c r="B1113" s="86">
        <v>46039</v>
      </c>
      <c r="C1113" t="str">
        <f t="shared" si="72"/>
        <v>SAB</v>
      </c>
      <c r="D1113" t="str">
        <f t="shared" si="73"/>
        <v>Sábado</v>
      </c>
    </row>
    <row r="1114" spans="1:4" x14ac:dyDescent="0.25">
      <c r="A1114" s="88" t="str">
        <f t="shared" si="71"/>
        <v>1-2026</v>
      </c>
      <c r="B1114" s="86">
        <v>46040</v>
      </c>
      <c r="C1114" t="str">
        <f t="shared" si="72"/>
        <v>DOM</v>
      </c>
      <c r="D1114" t="str">
        <f t="shared" si="73"/>
        <v>Domingo</v>
      </c>
    </row>
    <row r="1115" spans="1:4" x14ac:dyDescent="0.25">
      <c r="A1115" s="88" t="str">
        <f t="shared" si="71"/>
        <v>1-2026</v>
      </c>
      <c r="B1115" s="86">
        <v>46041</v>
      </c>
      <c r="C1115" t="str">
        <f t="shared" si="72"/>
        <v>L-V</v>
      </c>
      <c r="D1115" t="str">
        <f t="shared" si="73"/>
        <v>Lunes</v>
      </c>
    </row>
    <row r="1116" spans="1:4" x14ac:dyDescent="0.25">
      <c r="A1116" s="88" t="str">
        <f t="shared" si="71"/>
        <v>1-2026</v>
      </c>
      <c r="B1116" s="86">
        <v>46042</v>
      </c>
      <c r="C1116" t="str">
        <f t="shared" si="72"/>
        <v>L-V</v>
      </c>
      <c r="D1116" t="str">
        <f t="shared" si="73"/>
        <v>Martes</v>
      </c>
    </row>
    <row r="1117" spans="1:4" x14ac:dyDescent="0.25">
      <c r="A1117" s="88" t="str">
        <f t="shared" si="71"/>
        <v>1-2026</v>
      </c>
      <c r="B1117" s="86">
        <v>46043</v>
      </c>
      <c r="C1117" t="str">
        <f t="shared" si="72"/>
        <v>L-V</v>
      </c>
      <c r="D1117" t="str">
        <f t="shared" si="73"/>
        <v>Miércoles</v>
      </c>
    </row>
    <row r="1118" spans="1:4" x14ac:dyDescent="0.25">
      <c r="A1118" s="88" t="str">
        <f t="shared" si="71"/>
        <v>1-2026</v>
      </c>
      <c r="B1118" s="86">
        <v>46044</v>
      </c>
      <c r="C1118" t="str">
        <f t="shared" si="72"/>
        <v>L-V</v>
      </c>
      <c r="D1118" t="str">
        <f t="shared" si="73"/>
        <v>Jueves</v>
      </c>
    </row>
    <row r="1119" spans="1:4" x14ac:dyDescent="0.25">
      <c r="A1119" s="88" t="str">
        <f t="shared" si="71"/>
        <v>1-2026</v>
      </c>
      <c r="B1119" s="86">
        <v>46045</v>
      </c>
      <c r="C1119" t="str">
        <f t="shared" si="72"/>
        <v>L-V</v>
      </c>
      <c r="D1119" t="str">
        <f t="shared" si="73"/>
        <v>Viernes</v>
      </c>
    </row>
    <row r="1120" spans="1:4" x14ac:dyDescent="0.25">
      <c r="A1120" s="88" t="str">
        <f t="shared" si="71"/>
        <v>1-2026</v>
      </c>
      <c r="B1120" s="86">
        <v>46046</v>
      </c>
      <c r="C1120" t="str">
        <f t="shared" si="72"/>
        <v>SAB</v>
      </c>
      <c r="D1120" t="str">
        <f t="shared" si="73"/>
        <v>Sábado</v>
      </c>
    </row>
    <row r="1121" spans="1:4" x14ac:dyDescent="0.25">
      <c r="A1121" s="88" t="str">
        <f t="shared" si="71"/>
        <v>1-2026</v>
      </c>
      <c r="B1121" s="86">
        <v>46047</v>
      </c>
      <c r="C1121" t="str">
        <f t="shared" si="72"/>
        <v>DOM</v>
      </c>
      <c r="D1121" t="str">
        <f t="shared" si="73"/>
        <v>Domingo</v>
      </c>
    </row>
    <row r="1122" spans="1:4" x14ac:dyDescent="0.25">
      <c r="A1122" s="88" t="str">
        <f t="shared" si="71"/>
        <v>1-2026</v>
      </c>
      <c r="B1122" s="86">
        <v>46048</v>
      </c>
      <c r="C1122" t="str">
        <f t="shared" si="72"/>
        <v>L-V</v>
      </c>
      <c r="D1122" t="str">
        <f t="shared" si="73"/>
        <v>Lunes</v>
      </c>
    </row>
    <row r="1123" spans="1:4" x14ac:dyDescent="0.25">
      <c r="A1123" s="88" t="str">
        <f t="shared" si="71"/>
        <v>1-2026</v>
      </c>
      <c r="B1123" s="86">
        <v>46049</v>
      </c>
      <c r="C1123" t="str">
        <f t="shared" si="72"/>
        <v>L-V</v>
      </c>
      <c r="D1123" t="str">
        <f t="shared" si="73"/>
        <v>Martes</v>
      </c>
    </row>
    <row r="1124" spans="1:4" x14ac:dyDescent="0.25">
      <c r="A1124" s="88" t="str">
        <f t="shared" si="71"/>
        <v>1-2026</v>
      </c>
      <c r="B1124" s="86">
        <v>46050</v>
      </c>
      <c r="C1124" t="str">
        <f t="shared" si="72"/>
        <v>L-V</v>
      </c>
      <c r="D1124" t="str">
        <f t="shared" si="73"/>
        <v>Miércoles</v>
      </c>
    </row>
    <row r="1125" spans="1:4" x14ac:dyDescent="0.25">
      <c r="A1125" s="88" t="str">
        <f t="shared" si="71"/>
        <v>1-2026</v>
      </c>
      <c r="B1125" s="86">
        <v>46051</v>
      </c>
      <c r="C1125" t="str">
        <f t="shared" si="72"/>
        <v>L-V</v>
      </c>
      <c r="D1125" t="str">
        <f t="shared" si="73"/>
        <v>Jueves</v>
      </c>
    </row>
    <row r="1126" spans="1:4" x14ac:dyDescent="0.25">
      <c r="A1126" s="88" t="str">
        <f t="shared" si="71"/>
        <v>1-2026</v>
      </c>
      <c r="B1126" s="86">
        <v>46052</v>
      </c>
      <c r="C1126" t="str">
        <f t="shared" si="72"/>
        <v>L-V</v>
      </c>
      <c r="D1126" t="str">
        <f t="shared" si="73"/>
        <v>Viernes</v>
      </c>
    </row>
    <row r="1127" spans="1:4" x14ac:dyDescent="0.25">
      <c r="A1127" s="88" t="str">
        <f t="shared" si="71"/>
        <v>1-2026</v>
      </c>
      <c r="B1127" s="86">
        <v>46053</v>
      </c>
      <c r="C1127" t="str">
        <f t="shared" si="72"/>
        <v>SAB</v>
      </c>
      <c r="D1127" t="str">
        <f t="shared" si="73"/>
        <v>Sábado</v>
      </c>
    </row>
    <row r="1128" spans="1:4" x14ac:dyDescent="0.25">
      <c r="A1128" s="88" t="str">
        <f t="shared" si="71"/>
        <v>2-2026</v>
      </c>
      <c r="B1128" s="86">
        <v>46054</v>
      </c>
      <c r="C1128" t="str">
        <f t="shared" si="72"/>
        <v>DOM</v>
      </c>
      <c r="D1128" t="str">
        <f t="shared" si="73"/>
        <v>Domingo</v>
      </c>
    </row>
    <row r="1129" spans="1:4" x14ac:dyDescent="0.25">
      <c r="A1129" s="88" t="str">
        <f t="shared" si="71"/>
        <v>2-2026</v>
      </c>
      <c r="B1129" s="86">
        <v>46055</v>
      </c>
      <c r="C1129" t="str">
        <f t="shared" si="72"/>
        <v>L-V</v>
      </c>
      <c r="D1129" t="str">
        <f t="shared" si="73"/>
        <v>Lunes</v>
      </c>
    </row>
    <row r="1130" spans="1:4" x14ac:dyDescent="0.25">
      <c r="A1130" s="88" t="str">
        <f t="shared" si="71"/>
        <v>2-2026</v>
      </c>
      <c r="B1130" s="86">
        <v>46056</v>
      </c>
      <c r="C1130" t="str">
        <f t="shared" si="72"/>
        <v>L-V</v>
      </c>
      <c r="D1130" t="str">
        <f t="shared" si="73"/>
        <v>Martes</v>
      </c>
    </row>
    <row r="1131" spans="1:4" x14ac:dyDescent="0.25">
      <c r="A1131" s="88" t="str">
        <f t="shared" si="71"/>
        <v>2-2026</v>
      </c>
      <c r="B1131" s="86">
        <v>46057</v>
      </c>
      <c r="C1131" t="str">
        <f t="shared" si="72"/>
        <v>L-V</v>
      </c>
      <c r="D1131" t="str">
        <f t="shared" si="73"/>
        <v>Miércoles</v>
      </c>
    </row>
    <row r="1132" spans="1:4" x14ac:dyDescent="0.25">
      <c r="A1132" s="88" t="str">
        <f t="shared" si="71"/>
        <v>2-2026</v>
      </c>
      <c r="B1132" s="86">
        <v>46058</v>
      </c>
      <c r="C1132" t="str">
        <f t="shared" si="72"/>
        <v>L-V</v>
      </c>
      <c r="D1132" t="str">
        <f t="shared" si="73"/>
        <v>Jueves</v>
      </c>
    </row>
    <row r="1133" spans="1:4" x14ac:dyDescent="0.25">
      <c r="A1133" s="88" t="str">
        <f t="shared" si="71"/>
        <v>2-2026</v>
      </c>
      <c r="B1133" s="86">
        <v>46059</v>
      </c>
      <c r="C1133" t="str">
        <f t="shared" si="72"/>
        <v>L-V</v>
      </c>
      <c r="D1133" t="str">
        <f t="shared" si="73"/>
        <v>Viernes</v>
      </c>
    </row>
    <row r="1134" spans="1:4" x14ac:dyDescent="0.25">
      <c r="A1134" s="88" t="str">
        <f t="shared" si="71"/>
        <v>2-2026</v>
      </c>
      <c r="B1134" s="86">
        <v>46060</v>
      </c>
      <c r="C1134" t="str">
        <f t="shared" si="72"/>
        <v>SAB</v>
      </c>
      <c r="D1134" t="str">
        <f t="shared" si="73"/>
        <v>Sábado</v>
      </c>
    </row>
    <row r="1135" spans="1:4" x14ac:dyDescent="0.25">
      <c r="A1135" s="88" t="str">
        <f t="shared" si="71"/>
        <v>2-2026</v>
      </c>
      <c r="B1135" s="86">
        <v>46061</v>
      </c>
      <c r="C1135" t="str">
        <f t="shared" si="72"/>
        <v>DOM</v>
      </c>
      <c r="D1135" t="str">
        <f t="shared" si="73"/>
        <v>Domingo</v>
      </c>
    </row>
    <row r="1136" spans="1:4" x14ac:dyDescent="0.25">
      <c r="A1136" s="88" t="str">
        <f t="shared" si="71"/>
        <v>2-2026</v>
      </c>
      <c r="B1136" s="86">
        <v>46062</v>
      </c>
      <c r="C1136" t="str">
        <f t="shared" si="72"/>
        <v>L-V</v>
      </c>
      <c r="D1136" t="str">
        <f t="shared" si="73"/>
        <v>Lunes</v>
      </c>
    </row>
    <row r="1137" spans="1:4" x14ac:dyDescent="0.25">
      <c r="A1137" s="88" t="str">
        <f t="shared" si="71"/>
        <v>2-2026</v>
      </c>
      <c r="B1137" s="86">
        <v>46063</v>
      </c>
      <c r="C1137" t="str">
        <f t="shared" si="72"/>
        <v>L-V</v>
      </c>
      <c r="D1137" t="str">
        <f t="shared" si="73"/>
        <v>Martes</v>
      </c>
    </row>
    <row r="1138" spans="1:4" x14ac:dyDescent="0.25">
      <c r="A1138" s="88" t="str">
        <f t="shared" si="71"/>
        <v>2-2026</v>
      </c>
      <c r="B1138" s="86">
        <v>46064</v>
      </c>
      <c r="C1138" t="str">
        <f t="shared" si="72"/>
        <v>L-V</v>
      </c>
      <c r="D1138" t="str">
        <f t="shared" si="73"/>
        <v>Miércoles</v>
      </c>
    </row>
    <row r="1139" spans="1:4" x14ac:dyDescent="0.25">
      <c r="A1139" s="88" t="str">
        <f t="shared" si="71"/>
        <v>2-2026</v>
      </c>
      <c r="B1139" s="86">
        <v>46065</v>
      </c>
      <c r="C1139" t="str">
        <f t="shared" si="72"/>
        <v>L-V</v>
      </c>
      <c r="D1139" t="str">
        <f t="shared" si="73"/>
        <v>Jueves</v>
      </c>
    </row>
    <row r="1140" spans="1:4" x14ac:dyDescent="0.25">
      <c r="A1140" s="88" t="str">
        <f t="shared" si="71"/>
        <v>2-2026</v>
      </c>
      <c r="B1140" s="86">
        <v>46066</v>
      </c>
      <c r="C1140" t="str">
        <f t="shared" si="72"/>
        <v>L-V</v>
      </c>
      <c r="D1140" t="str">
        <f t="shared" si="73"/>
        <v>Viernes</v>
      </c>
    </row>
    <row r="1141" spans="1:4" x14ac:dyDescent="0.25">
      <c r="A1141" s="88" t="str">
        <f t="shared" si="71"/>
        <v>2-2026</v>
      </c>
      <c r="B1141" s="86">
        <v>46067</v>
      </c>
      <c r="C1141" t="str">
        <f t="shared" si="72"/>
        <v>SAB</v>
      </c>
      <c r="D1141" t="str">
        <f t="shared" si="73"/>
        <v>Sábado</v>
      </c>
    </row>
    <row r="1142" spans="1:4" x14ac:dyDescent="0.25">
      <c r="A1142" s="88" t="str">
        <f t="shared" si="71"/>
        <v>2-2026</v>
      </c>
      <c r="B1142" s="86">
        <v>46068</v>
      </c>
      <c r="C1142" t="str">
        <f t="shared" si="72"/>
        <v>DOM</v>
      </c>
      <c r="D1142" t="str">
        <f t="shared" si="73"/>
        <v>Domingo</v>
      </c>
    </row>
    <row r="1143" spans="1:4" x14ac:dyDescent="0.25">
      <c r="A1143" s="88" t="str">
        <f t="shared" si="71"/>
        <v>2-2026</v>
      </c>
      <c r="B1143" s="86">
        <v>46069</v>
      </c>
      <c r="C1143" t="str">
        <f t="shared" si="72"/>
        <v>L-V</v>
      </c>
      <c r="D1143" t="str">
        <f t="shared" si="73"/>
        <v>Lunes</v>
      </c>
    </row>
    <row r="1144" spans="1:4" x14ac:dyDescent="0.25">
      <c r="A1144" s="88" t="str">
        <f t="shared" si="71"/>
        <v>2-2026</v>
      </c>
      <c r="B1144" s="86">
        <v>46070</v>
      </c>
      <c r="C1144" t="str">
        <f t="shared" si="72"/>
        <v>L-V</v>
      </c>
      <c r="D1144" t="str">
        <f t="shared" si="73"/>
        <v>Martes</v>
      </c>
    </row>
    <row r="1145" spans="1:4" x14ac:dyDescent="0.25">
      <c r="A1145" s="88" t="str">
        <f t="shared" si="71"/>
        <v>2-2026</v>
      </c>
      <c r="B1145" s="86">
        <v>46071</v>
      </c>
      <c r="C1145" t="str">
        <f t="shared" si="72"/>
        <v>L-V</v>
      </c>
      <c r="D1145" t="str">
        <f t="shared" si="73"/>
        <v>Miércoles</v>
      </c>
    </row>
    <row r="1146" spans="1:4" x14ac:dyDescent="0.25">
      <c r="A1146" s="88" t="str">
        <f t="shared" si="71"/>
        <v>2-2026</v>
      </c>
      <c r="B1146" s="86">
        <v>46072</v>
      </c>
      <c r="C1146" t="str">
        <f t="shared" si="72"/>
        <v>L-V</v>
      </c>
      <c r="D1146" t="str">
        <f t="shared" si="73"/>
        <v>Jueves</v>
      </c>
    </row>
    <row r="1147" spans="1:4" x14ac:dyDescent="0.25">
      <c r="A1147" s="88" t="str">
        <f t="shared" si="71"/>
        <v>2-2026</v>
      </c>
      <c r="B1147" s="86">
        <v>46073</v>
      </c>
      <c r="C1147" t="str">
        <f t="shared" si="72"/>
        <v>L-V</v>
      </c>
      <c r="D1147" t="str">
        <f t="shared" si="73"/>
        <v>Viernes</v>
      </c>
    </row>
    <row r="1148" spans="1:4" x14ac:dyDescent="0.25">
      <c r="A1148" s="88" t="str">
        <f t="shared" si="71"/>
        <v>2-2026</v>
      </c>
      <c r="B1148" s="86">
        <v>46074</v>
      </c>
      <c r="C1148" t="str">
        <f t="shared" si="72"/>
        <v>SAB</v>
      </c>
      <c r="D1148" t="str">
        <f t="shared" si="73"/>
        <v>Sábado</v>
      </c>
    </row>
    <row r="1149" spans="1:4" x14ac:dyDescent="0.25">
      <c r="A1149" s="88" t="str">
        <f t="shared" si="71"/>
        <v>2-2026</v>
      </c>
      <c r="B1149" s="86">
        <v>46075</v>
      </c>
      <c r="C1149" t="str">
        <f t="shared" si="72"/>
        <v>DOM</v>
      </c>
      <c r="D1149" t="str">
        <f t="shared" si="73"/>
        <v>Domingo</v>
      </c>
    </row>
    <row r="1150" spans="1:4" x14ac:dyDescent="0.25">
      <c r="A1150" s="88" t="str">
        <f t="shared" si="71"/>
        <v>2-2026</v>
      </c>
      <c r="B1150" s="86">
        <v>46076</v>
      </c>
      <c r="C1150" t="str">
        <f t="shared" si="72"/>
        <v>L-V</v>
      </c>
      <c r="D1150" t="str">
        <f t="shared" si="73"/>
        <v>Lunes</v>
      </c>
    </row>
    <row r="1151" spans="1:4" x14ac:dyDescent="0.25">
      <c r="A1151" s="88" t="str">
        <f t="shared" si="71"/>
        <v>2-2026</v>
      </c>
      <c r="B1151" s="86">
        <v>46077</v>
      </c>
      <c r="C1151" t="str">
        <f t="shared" si="72"/>
        <v>L-V</v>
      </c>
      <c r="D1151" t="str">
        <f t="shared" si="73"/>
        <v>Martes</v>
      </c>
    </row>
    <row r="1152" spans="1:4" x14ac:dyDescent="0.25">
      <c r="A1152" s="88" t="str">
        <f t="shared" si="71"/>
        <v>2-2026</v>
      </c>
      <c r="B1152" s="86">
        <v>46078</v>
      </c>
      <c r="C1152" t="str">
        <f t="shared" si="72"/>
        <v>L-V</v>
      </c>
      <c r="D1152" t="str">
        <f t="shared" si="73"/>
        <v>Miércoles</v>
      </c>
    </row>
    <row r="1153" spans="1:4" x14ac:dyDescent="0.25">
      <c r="A1153" s="88" t="str">
        <f t="shared" si="71"/>
        <v>2-2026</v>
      </c>
      <c r="B1153" s="86">
        <v>46079</v>
      </c>
      <c r="C1153" t="str">
        <f t="shared" si="72"/>
        <v>L-V</v>
      </c>
      <c r="D1153" t="str">
        <f t="shared" si="73"/>
        <v>Jueves</v>
      </c>
    </row>
    <row r="1154" spans="1:4" x14ac:dyDescent="0.25">
      <c r="A1154" s="88" t="str">
        <f t="shared" ref="A1154:A1217" si="74">MONTH(B1154)&amp;"-"&amp;YEAR(B1154)</f>
        <v>2-2026</v>
      </c>
      <c r="B1154" s="86">
        <v>46080</v>
      </c>
      <c r="C1154" t="str">
        <f t="shared" si="72"/>
        <v>L-V</v>
      </c>
      <c r="D1154" t="str">
        <f t="shared" si="73"/>
        <v>Viernes</v>
      </c>
    </row>
    <row r="1155" spans="1:4" x14ac:dyDescent="0.25">
      <c r="A1155" s="88" t="str">
        <f t="shared" si="74"/>
        <v>2-2026</v>
      </c>
      <c r="B1155" s="86">
        <v>46081</v>
      </c>
      <c r="C1155" t="str">
        <f t="shared" ref="C1155:C1218" si="75">VLOOKUP(WEEKDAY(B1155,2),$F$1:$H$7,2)</f>
        <v>SAB</v>
      </c>
      <c r="D1155" t="str">
        <f t="shared" ref="D1155:D1218" si="76">VLOOKUP(WEEKDAY($B1155,2),$F$1:$H$7,3)</f>
        <v>Sábado</v>
      </c>
    </row>
    <row r="1156" spans="1:4" x14ac:dyDescent="0.25">
      <c r="A1156" s="88" t="str">
        <f t="shared" si="74"/>
        <v>3-2026</v>
      </c>
      <c r="B1156" s="86">
        <v>46082</v>
      </c>
      <c r="C1156" t="str">
        <f t="shared" si="75"/>
        <v>DOM</v>
      </c>
      <c r="D1156" t="str">
        <f t="shared" si="76"/>
        <v>Domingo</v>
      </c>
    </row>
    <row r="1157" spans="1:4" x14ac:dyDescent="0.25">
      <c r="A1157" s="88" t="str">
        <f t="shared" si="74"/>
        <v>3-2026</v>
      </c>
      <c r="B1157" s="86">
        <v>46083</v>
      </c>
      <c r="C1157" t="str">
        <f t="shared" si="75"/>
        <v>L-V</v>
      </c>
      <c r="D1157" t="str">
        <f t="shared" si="76"/>
        <v>Lunes</v>
      </c>
    </row>
    <row r="1158" spans="1:4" x14ac:dyDescent="0.25">
      <c r="A1158" s="88" t="str">
        <f t="shared" si="74"/>
        <v>3-2026</v>
      </c>
      <c r="B1158" s="86">
        <v>46084</v>
      </c>
      <c r="C1158" t="str">
        <f t="shared" si="75"/>
        <v>L-V</v>
      </c>
      <c r="D1158" t="str">
        <f t="shared" si="76"/>
        <v>Martes</v>
      </c>
    </row>
    <row r="1159" spans="1:4" x14ac:dyDescent="0.25">
      <c r="A1159" s="88" t="str">
        <f t="shared" si="74"/>
        <v>3-2026</v>
      </c>
      <c r="B1159" s="86">
        <v>46085</v>
      </c>
      <c r="C1159" t="str">
        <f t="shared" si="75"/>
        <v>L-V</v>
      </c>
      <c r="D1159" t="str">
        <f t="shared" si="76"/>
        <v>Miércoles</v>
      </c>
    </row>
    <row r="1160" spans="1:4" x14ac:dyDescent="0.25">
      <c r="A1160" s="88" t="str">
        <f t="shared" si="74"/>
        <v>3-2026</v>
      </c>
      <c r="B1160" s="86">
        <v>46086</v>
      </c>
      <c r="C1160" t="str">
        <f t="shared" si="75"/>
        <v>L-V</v>
      </c>
      <c r="D1160" t="str">
        <f t="shared" si="76"/>
        <v>Jueves</v>
      </c>
    </row>
    <row r="1161" spans="1:4" x14ac:dyDescent="0.25">
      <c r="A1161" s="88" t="str">
        <f t="shared" si="74"/>
        <v>3-2026</v>
      </c>
      <c r="B1161" s="86">
        <v>46087</v>
      </c>
      <c r="C1161" t="str">
        <f t="shared" si="75"/>
        <v>L-V</v>
      </c>
      <c r="D1161" t="str">
        <f t="shared" si="76"/>
        <v>Viernes</v>
      </c>
    </row>
    <row r="1162" spans="1:4" x14ac:dyDescent="0.25">
      <c r="A1162" s="88" t="str">
        <f t="shared" si="74"/>
        <v>3-2026</v>
      </c>
      <c r="B1162" s="86">
        <v>46088</v>
      </c>
      <c r="C1162" t="str">
        <f t="shared" si="75"/>
        <v>SAB</v>
      </c>
      <c r="D1162" t="str">
        <f t="shared" si="76"/>
        <v>Sábado</v>
      </c>
    </row>
    <row r="1163" spans="1:4" x14ac:dyDescent="0.25">
      <c r="A1163" s="88" t="str">
        <f t="shared" si="74"/>
        <v>3-2026</v>
      </c>
      <c r="B1163" s="86">
        <v>46089</v>
      </c>
      <c r="C1163" t="str">
        <f t="shared" si="75"/>
        <v>DOM</v>
      </c>
      <c r="D1163" t="str">
        <f t="shared" si="76"/>
        <v>Domingo</v>
      </c>
    </row>
    <row r="1164" spans="1:4" x14ac:dyDescent="0.25">
      <c r="A1164" s="88" t="str">
        <f t="shared" si="74"/>
        <v>3-2026</v>
      </c>
      <c r="B1164" s="86">
        <v>46090</v>
      </c>
      <c r="C1164" t="str">
        <f t="shared" si="75"/>
        <v>L-V</v>
      </c>
      <c r="D1164" t="str">
        <f t="shared" si="76"/>
        <v>Lunes</v>
      </c>
    </row>
    <row r="1165" spans="1:4" x14ac:dyDescent="0.25">
      <c r="A1165" s="88" t="str">
        <f t="shared" si="74"/>
        <v>3-2026</v>
      </c>
      <c r="B1165" s="86">
        <v>46091</v>
      </c>
      <c r="C1165" t="str">
        <f t="shared" si="75"/>
        <v>L-V</v>
      </c>
      <c r="D1165" t="str">
        <f t="shared" si="76"/>
        <v>Martes</v>
      </c>
    </row>
    <row r="1166" spans="1:4" x14ac:dyDescent="0.25">
      <c r="A1166" s="88" t="str">
        <f t="shared" si="74"/>
        <v>3-2026</v>
      </c>
      <c r="B1166" s="86">
        <v>46092</v>
      </c>
      <c r="C1166" t="str">
        <f t="shared" si="75"/>
        <v>L-V</v>
      </c>
      <c r="D1166" t="str">
        <f t="shared" si="76"/>
        <v>Miércoles</v>
      </c>
    </row>
    <row r="1167" spans="1:4" x14ac:dyDescent="0.25">
      <c r="A1167" s="88" t="str">
        <f t="shared" si="74"/>
        <v>3-2026</v>
      </c>
      <c r="B1167" s="86">
        <v>46093</v>
      </c>
      <c r="C1167" t="str">
        <f t="shared" si="75"/>
        <v>L-V</v>
      </c>
      <c r="D1167" t="str">
        <f t="shared" si="76"/>
        <v>Jueves</v>
      </c>
    </row>
    <row r="1168" spans="1:4" x14ac:dyDescent="0.25">
      <c r="A1168" s="88" t="str">
        <f t="shared" si="74"/>
        <v>3-2026</v>
      </c>
      <c r="B1168" s="86">
        <v>46094</v>
      </c>
      <c r="C1168" t="str">
        <f t="shared" si="75"/>
        <v>L-V</v>
      </c>
      <c r="D1168" t="str">
        <f t="shared" si="76"/>
        <v>Viernes</v>
      </c>
    </row>
    <row r="1169" spans="1:4" x14ac:dyDescent="0.25">
      <c r="A1169" s="88" t="str">
        <f t="shared" si="74"/>
        <v>3-2026</v>
      </c>
      <c r="B1169" s="86">
        <v>46095</v>
      </c>
      <c r="C1169" t="str">
        <f t="shared" si="75"/>
        <v>SAB</v>
      </c>
      <c r="D1169" t="str">
        <f t="shared" si="76"/>
        <v>Sábado</v>
      </c>
    </row>
    <row r="1170" spans="1:4" x14ac:dyDescent="0.25">
      <c r="A1170" s="88" t="str">
        <f t="shared" si="74"/>
        <v>3-2026</v>
      </c>
      <c r="B1170" s="86">
        <v>46096</v>
      </c>
      <c r="C1170" t="str">
        <f t="shared" si="75"/>
        <v>DOM</v>
      </c>
      <c r="D1170" t="str">
        <f t="shared" si="76"/>
        <v>Domingo</v>
      </c>
    </row>
    <row r="1171" spans="1:4" x14ac:dyDescent="0.25">
      <c r="A1171" s="88" t="str">
        <f t="shared" si="74"/>
        <v>3-2026</v>
      </c>
      <c r="B1171" s="86">
        <v>46097</v>
      </c>
      <c r="C1171" t="str">
        <f t="shared" si="75"/>
        <v>L-V</v>
      </c>
      <c r="D1171" t="str">
        <f t="shared" si="76"/>
        <v>Lunes</v>
      </c>
    </row>
    <row r="1172" spans="1:4" x14ac:dyDescent="0.25">
      <c r="A1172" s="88" t="str">
        <f t="shared" si="74"/>
        <v>3-2026</v>
      </c>
      <c r="B1172" s="86">
        <v>46098</v>
      </c>
      <c r="C1172" t="str">
        <f t="shared" si="75"/>
        <v>L-V</v>
      </c>
      <c r="D1172" t="str">
        <f t="shared" si="76"/>
        <v>Martes</v>
      </c>
    </row>
    <row r="1173" spans="1:4" x14ac:dyDescent="0.25">
      <c r="A1173" s="88" t="str">
        <f t="shared" si="74"/>
        <v>3-2026</v>
      </c>
      <c r="B1173" s="86">
        <v>46099</v>
      </c>
      <c r="C1173" t="str">
        <f t="shared" si="75"/>
        <v>L-V</v>
      </c>
      <c r="D1173" t="str">
        <f t="shared" si="76"/>
        <v>Miércoles</v>
      </c>
    </row>
    <row r="1174" spans="1:4" x14ac:dyDescent="0.25">
      <c r="A1174" s="88" t="str">
        <f t="shared" si="74"/>
        <v>3-2026</v>
      </c>
      <c r="B1174" s="86">
        <v>46100</v>
      </c>
      <c r="C1174" t="str">
        <f t="shared" si="75"/>
        <v>L-V</v>
      </c>
      <c r="D1174" t="str">
        <f t="shared" si="76"/>
        <v>Jueves</v>
      </c>
    </row>
    <row r="1175" spans="1:4" x14ac:dyDescent="0.25">
      <c r="A1175" s="88" t="str">
        <f t="shared" si="74"/>
        <v>3-2026</v>
      </c>
      <c r="B1175" s="86">
        <v>46101</v>
      </c>
      <c r="C1175" t="str">
        <f t="shared" si="75"/>
        <v>L-V</v>
      </c>
      <c r="D1175" t="str">
        <f t="shared" si="76"/>
        <v>Viernes</v>
      </c>
    </row>
    <row r="1176" spans="1:4" x14ac:dyDescent="0.25">
      <c r="A1176" s="88" t="str">
        <f t="shared" si="74"/>
        <v>3-2026</v>
      </c>
      <c r="B1176" s="86">
        <v>46102</v>
      </c>
      <c r="C1176" t="str">
        <f t="shared" si="75"/>
        <v>SAB</v>
      </c>
      <c r="D1176" t="str">
        <f t="shared" si="76"/>
        <v>Sábado</v>
      </c>
    </row>
    <row r="1177" spans="1:4" x14ac:dyDescent="0.25">
      <c r="A1177" s="88" t="str">
        <f t="shared" si="74"/>
        <v>3-2026</v>
      </c>
      <c r="B1177" s="86">
        <v>46103</v>
      </c>
      <c r="C1177" t="str">
        <f t="shared" si="75"/>
        <v>DOM</v>
      </c>
      <c r="D1177" t="str">
        <f t="shared" si="76"/>
        <v>Domingo</v>
      </c>
    </row>
    <row r="1178" spans="1:4" x14ac:dyDescent="0.25">
      <c r="A1178" s="88" t="str">
        <f t="shared" si="74"/>
        <v>3-2026</v>
      </c>
      <c r="B1178" s="86">
        <v>46104</v>
      </c>
      <c r="C1178" t="str">
        <f t="shared" si="75"/>
        <v>L-V</v>
      </c>
      <c r="D1178" t="str">
        <f t="shared" si="76"/>
        <v>Lunes</v>
      </c>
    </row>
    <row r="1179" spans="1:4" x14ac:dyDescent="0.25">
      <c r="A1179" s="88" t="str">
        <f t="shared" si="74"/>
        <v>3-2026</v>
      </c>
      <c r="B1179" s="86">
        <v>46105</v>
      </c>
      <c r="C1179" t="str">
        <f t="shared" si="75"/>
        <v>L-V</v>
      </c>
      <c r="D1179" t="str">
        <f t="shared" si="76"/>
        <v>Martes</v>
      </c>
    </row>
    <row r="1180" spans="1:4" x14ac:dyDescent="0.25">
      <c r="A1180" s="88" t="str">
        <f t="shared" si="74"/>
        <v>3-2026</v>
      </c>
      <c r="B1180" s="86">
        <v>46106</v>
      </c>
      <c r="C1180" t="str">
        <f t="shared" si="75"/>
        <v>L-V</v>
      </c>
      <c r="D1180" t="str">
        <f t="shared" si="76"/>
        <v>Miércoles</v>
      </c>
    </row>
    <row r="1181" spans="1:4" x14ac:dyDescent="0.25">
      <c r="A1181" s="88" t="str">
        <f t="shared" si="74"/>
        <v>3-2026</v>
      </c>
      <c r="B1181" s="86">
        <v>46107</v>
      </c>
      <c r="C1181" t="str">
        <f t="shared" si="75"/>
        <v>L-V</v>
      </c>
      <c r="D1181" t="str">
        <f t="shared" si="76"/>
        <v>Jueves</v>
      </c>
    </row>
    <row r="1182" spans="1:4" x14ac:dyDescent="0.25">
      <c r="A1182" s="88" t="str">
        <f t="shared" si="74"/>
        <v>3-2026</v>
      </c>
      <c r="B1182" s="86">
        <v>46108</v>
      </c>
      <c r="C1182" t="str">
        <f t="shared" si="75"/>
        <v>L-V</v>
      </c>
      <c r="D1182" t="str">
        <f t="shared" si="76"/>
        <v>Viernes</v>
      </c>
    </row>
    <row r="1183" spans="1:4" x14ac:dyDescent="0.25">
      <c r="A1183" s="88" t="str">
        <f t="shared" si="74"/>
        <v>3-2026</v>
      </c>
      <c r="B1183" s="86">
        <v>46109</v>
      </c>
      <c r="C1183" t="str">
        <f t="shared" si="75"/>
        <v>SAB</v>
      </c>
      <c r="D1183" t="str">
        <f t="shared" si="76"/>
        <v>Sábado</v>
      </c>
    </row>
    <row r="1184" spans="1:4" x14ac:dyDescent="0.25">
      <c r="A1184" s="88" t="str">
        <f t="shared" si="74"/>
        <v>3-2026</v>
      </c>
      <c r="B1184" s="86">
        <v>46110</v>
      </c>
      <c r="C1184" t="str">
        <f t="shared" si="75"/>
        <v>DOM</v>
      </c>
      <c r="D1184" t="str">
        <f t="shared" si="76"/>
        <v>Domingo</v>
      </c>
    </row>
    <row r="1185" spans="1:4" x14ac:dyDescent="0.25">
      <c r="A1185" s="88" t="str">
        <f t="shared" si="74"/>
        <v>3-2026</v>
      </c>
      <c r="B1185" s="86">
        <v>46111</v>
      </c>
      <c r="C1185" t="str">
        <f t="shared" si="75"/>
        <v>L-V</v>
      </c>
      <c r="D1185" t="str">
        <f t="shared" si="76"/>
        <v>Lunes</v>
      </c>
    </row>
    <row r="1186" spans="1:4" x14ac:dyDescent="0.25">
      <c r="A1186" s="88" t="str">
        <f t="shared" si="74"/>
        <v>3-2026</v>
      </c>
      <c r="B1186" s="86">
        <v>46112</v>
      </c>
      <c r="C1186" t="str">
        <f t="shared" si="75"/>
        <v>L-V</v>
      </c>
      <c r="D1186" t="str">
        <f t="shared" si="76"/>
        <v>Martes</v>
      </c>
    </row>
    <row r="1187" spans="1:4" x14ac:dyDescent="0.25">
      <c r="A1187" s="88" t="str">
        <f t="shared" si="74"/>
        <v>4-2026</v>
      </c>
      <c r="B1187" s="86">
        <v>46113</v>
      </c>
      <c r="C1187" t="str">
        <f t="shared" si="75"/>
        <v>L-V</v>
      </c>
      <c r="D1187" t="str">
        <f t="shared" si="76"/>
        <v>Miércoles</v>
      </c>
    </row>
    <row r="1188" spans="1:4" x14ac:dyDescent="0.25">
      <c r="A1188" s="88" t="str">
        <f t="shared" si="74"/>
        <v>4-2026</v>
      </c>
      <c r="B1188" s="86">
        <v>46114</v>
      </c>
      <c r="C1188" t="str">
        <f t="shared" si="75"/>
        <v>L-V</v>
      </c>
      <c r="D1188" t="str">
        <f t="shared" si="76"/>
        <v>Jueves</v>
      </c>
    </row>
    <row r="1189" spans="1:4" x14ac:dyDescent="0.25">
      <c r="A1189" s="88" t="str">
        <f t="shared" si="74"/>
        <v>4-2026</v>
      </c>
      <c r="B1189" s="86">
        <v>46115</v>
      </c>
      <c r="C1189" t="str">
        <f t="shared" si="75"/>
        <v>L-V</v>
      </c>
      <c r="D1189" t="str">
        <f t="shared" si="76"/>
        <v>Viernes</v>
      </c>
    </row>
    <row r="1190" spans="1:4" x14ac:dyDescent="0.25">
      <c r="A1190" s="88" t="str">
        <f t="shared" si="74"/>
        <v>4-2026</v>
      </c>
      <c r="B1190" s="86">
        <v>46116</v>
      </c>
      <c r="C1190" t="str">
        <f t="shared" si="75"/>
        <v>SAB</v>
      </c>
      <c r="D1190" t="str">
        <f t="shared" si="76"/>
        <v>Sábado</v>
      </c>
    </row>
    <row r="1191" spans="1:4" x14ac:dyDescent="0.25">
      <c r="A1191" s="88" t="str">
        <f t="shared" si="74"/>
        <v>4-2026</v>
      </c>
      <c r="B1191" s="86">
        <v>46117</v>
      </c>
      <c r="C1191" t="str">
        <f t="shared" si="75"/>
        <v>DOM</v>
      </c>
      <c r="D1191" t="str">
        <f t="shared" si="76"/>
        <v>Domingo</v>
      </c>
    </row>
    <row r="1192" spans="1:4" x14ac:dyDescent="0.25">
      <c r="A1192" s="88" t="str">
        <f t="shared" si="74"/>
        <v>4-2026</v>
      </c>
      <c r="B1192" s="86">
        <v>46118</v>
      </c>
      <c r="C1192" t="str">
        <f t="shared" si="75"/>
        <v>L-V</v>
      </c>
      <c r="D1192" t="str">
        <f t="shared" si="76"/>
        <v>Lunes</v>
      </c>
    </row>
    <row r="1193" spans="1:4" x14ac:dyDescent="0.25">
      <c r="A1193" s="88" t="str">
        <f t="shared" si="74"/>
        <v>4-2026</v>
      </c>
      <c r="B1193" s="86">
        <v>46119</v>
      </c>
      <c r="C1193" t="str">
        <f t="shared" si="75"/>
        <v>L-V</v>
      </c>
      <c r="D1193" t="str">
        <f t="shared" si="76"/>
        <v>Martes</v>
      </c>
    </row>
    <row r="1194" spans="1:4" x14ac:dyDescent="0.25">
      <c r="A1194" s="88" t="str">
        <f t="shared" si="74"/>
        <v>4-2026</v>
      </c>
      <c r="B1194" s="86">
        <v>46120</v>
      </c>
      <c r="C1194" t="str">
        <f t="shared" si="75"/>
        <v>L-V</v>
      </c>
      <c r="D1194" t="str">
        <f t="shared" si="76"/>
        <v>Miércoles</v>
      </c>
    </row>
    <row r="1195" spans="1:4" x14ac:dyDescent="0.25">
      <c r="A1195" s="88" t="str">
        <f t="shared" si="74"/>
        <v>4-2026</v>
      </c>
      <c r="B1195" s="86">
        <v>46121</v>
      </c>
      <c r="C1195" t="str">
        <f t="shared" si="75"/>
        <v>L-V</v>
      </c>
      <c r="D1195" t="str">
        <f t="shared" si="76"/>
        <v>Jueves</v>
      </c>
    </row>
    <row r="1196" spans="1:4" x14ac:dyDescent="0.25">
      <c r="A1196" s="88" t="str">
        <f t="shared" si="74"/>
        <v>4-2026</v>
      </c>
      <c r="B1196" s="86">
        <v>46122</v>
      </c>
      <c r="C1196" t="str">
        <f t="shared" si="75"/>
        <v>L-V</v>
      </c>
      <c r="D1196" t="str">
        <f t="shared" si="76"/>
        <v>Viernes</v>
      </c>
    </row>
    <row r="1197" spans="1:4" x14ac:dyDescent="0.25">
      <c r="A1197" s="88" t="str">
        <f t="shared" si="74"/>
        <v>4-2026</v>
      </c>
      <c r="B1197" s="86">
        <v>46123</v>
      </c>
      <c r="C1197" t="str">
        <f t="shared" si="75"/>
        <v>SAB</v>
      </c>
      <c r="D1197" t="str">
        <f t="shared" si="76"/>
        <v>Sábado</v>
      </c>
    </row>
    <row r="1198" spans="1:4" x14ac:dyDescent="0.25">
      <c r="A1198" s="88" t="str">
        <f t="shared" si="74"/>
        <v>4-2026</v>
      </c>
      <c r="B1198" s="86">
        <v>46124</v>
      </c>
      <c r="C1198" t="str">
        <f t="shared" si="75"/>
        <v>DOM</v>
      </c>
      <c r="D1198" t="str">
        <f t="shared" si="76"/>
        <v>Domingo</v>
      </c>
    </row>
    <row r="1199" spans="1:4" x14ac:dyDescent="0.25">
      <c r="A1199" s="88" t="str">
        <f t="shared" si="74"/>
        <v>4-2026</v>
      </c>
      <c r="B1199" s="86">
        <v>46125</v>
      </c>
      <c r="C1199" t="str">
        <f t="shared" si="75"/>
        <v>L-V</v>
      </c>
      <c r="D1199" t="str">
        <f t="shared" si="76"/>
        <v>Lunes</v>
      </c>
    </row>
    <row r="1200" spans="1:4" x14ac:dyDescent="0.25">
      <c r="A1200" s="88" t="str">
        <f t="shared" si="74"/>
        <v>4-2026</v>
      </c>
      <c r="B1200" s="86">
        <v>46126</v>
      </c>
      <c r="C1200" t="str">
        <f t="shared" si="75"/>
        <v>L-V</v>
      </c>
      <c r="D1200" t="str">
        <f t="shared" si="76"/>
        <v>Martes</v>
      </c>
    </row>
    <row r="1201" spans="1:4" x14ac:dyDescent="0.25">
      <c r="A1201" s="88" t="str">
        <f t="shared" si="74"/>
        <v>4-2026</v>
      </c>
      <c r="B1201" s="86">
        <v>46127</v>
      </c>
      <c r="C1201" t="str">
        <f t="shared" si="75"/>
        <v>L-V</v>
      </c>
      <c r="D1201" t="str">
        <f t="shared" si="76"/>
        <v>Miércoles</v>
      </c>
    </row>
    <row r="1202" spans="1:4" x14ac:dyDescent="0.25">
      <c r="A1202" s="88" t="str">
        <f t="shared" si="74"/>
        <v>4-2026</v>
      </c>
      <c r="B1202" s="86">
        <v>46128</v>
      </c>
      <c r="C1202" t="str">
        <f t="shared" si="75"/>
        <v>L-V</v>
      </c>
      <c r="D1202" t="str">
        <f t="shared" si="76"/>
        <v>Jueves</v>
      </c>
    </row>
    <row r="1203" spans="1:4" x14ac:dyDescent="0.25">
      <c r="A1203" s="88" t="str">
        <f t="shared" si="74"/>
        <v>4-2026</v>
      </c>
      <c r="B1203" s="86">
        <v>46129</v>
      </c>
      <c r="C1203" t="str">
        <f t="shared" si="75"/>
        <v>L-V</v>
      </c>
      <c r="D1203" t="str">
        <f t="shared" si="76"/>
        <v>Viernes</v>
      </c>
    </row>
    <row r="1204" spans="1:4" x14ac:dyDescent="0.25">
      <c r="A1204" s="88" t="str">
        <f t="shared" si="74"/>
        <v>4-2026</v>
      </c>
      <c r="B1204" s="86">
        <v>46130</v>
      </c>
      <c r="C1204" t="str">
        <f t="shared" si="75"/>
        <v>SAB</v>
      </c>
      <c r="D1204" t="str">
        <f t="shared" si="76"/>
        <v>Sábado</v>
      </c>
    </row>
    <row r="1205" spans="1:4" x14ac:dyDescent="0.25">
      <c r="A1205" s="88" t="str">
        <f t="shared" si="74"/>
        <v>4-2026</v>
      </c>
      <c r="B1205" s="86">
        <v>46131</v>
      </c>
      <c r="C1205" t="str">
        <f t="shared" si="75"/>
        <v>DOM</v>
      </c>
      <c r="D1205" t="str">
        <f t="shared" si="76"/>
        <v>Domingo</v>
      </c>
    </row>
    <row r="1206" spans="1:4" x14ac:dyDescent="0.25">
      <c r="A1206" s="88" t="str">
        <f t="shared" si="74"/>
        <v>4-2026</v>
      </c>
      <c r="B1206" s="86">
        <v>46132</v>
      </c>
      <c r="C1206" t="str">
        <f t="shared" si="75"/>
        <v>L-V</v>
      </c>
      <c r="D1206" t="str">
        <f t="shared" si="76"/>
        <v>Lunes</v>
      </c>
    </row>
    <row r="1207" spans="1:4" x14ac:dyDescent="0.25">
      <c r="A1207" s="88" t="str">
        <f t="shared" si="74"/>
        <v>4-2026</v>
      </c>
      <c r="B1207" s="86">
        <v>46133</v>
      </c>
      <c r="C1207" t="str">
        <f t="shared" si="75"/>
        <v>L-V</v>
      </c>
      <c r="D1207" t="str">
        <f t="shared" si="76"/>
        <v>Martes</v>
      </c>
    </row>
    <row r="1208" spans="1:4" x14ac:dyDescent="0.25">
      <c r="A1208" s="88" t="str">
        <f t="shared" si="74"/>
        <v>4-2026</v>
      </c>
      <c r="B1208" s="86">
        <v>46134</v>
      </c>
      <c r="C1208" t="str">
        <f t="shared" si="75"/>
        <v>L-V</v>
      </c>
      <c r="D1208" t="str">
        <f t="shared" si="76"/>
        <v>Miércoles</v>
      </c>
    </row>
    <row r="1209" spans="1:4" x14ac:dyDescent="0.25">
      <c r="A1209" s="88" t="str">
        <f t="shared" si="74"/>
        <v>4-2026</v>
      </c>
      <c r="B1209" s="86">
        <v>46135</v>
      </c>
      <c r="C1209" t="str">
        <f t="shared" si="75"/>
        <v>L-V</v>
      </c>
      <c r="D1209" t="str">
        <f t="shared" si="76"/>
        <v>Jueves</v>
      </c>
    </row>
    <row r="1210" spans="1:4" x14ac:dyDescent="0.25">
      <c r="A1210" s="88" t="str">
        <f t="shared" si="74"/>
        <v>4-2026</v>
      </c>
      <c r="B1210" s="86">
        <v>46136</v>
      </c>
      <c r="C1210" t="str">
        <f t="shared" si="75"/>
        <v>L-V</v>
      </c>
      <c r="D1210" t="str">
        <f t="shared" si="76"/>
        <v>Viernes</v>
      </c>
    </row>
    <row r="1211" spans="1:4" x14ac:dyDescent="0.25">
      <c r="A1211" s="88" t="str">
        <f t="shared" si="74"/>
        <v>4-2026</v>
      </c>
      <c r="B1211" s="86">
        <v>46137</v>
      </c>
      <c r="C1211" t="str">
        <f t="shared" si="75"/>
        <v>SAB</v>
      </c>
      <c r="D1211" t="str">
        <f t="shared" si="76"/>
        <v>Sábado</v>
      </c>
    </row>
    <row r="1212" spans="1:4" x14ac:dyDescent="0.25">
      <c r="A1212" s="88" t="str">
        <f t="shared" si="74"/>
        <v>4-2026</v>
      </c>
      <c r="B1212" s="86">
        <v>46138</v>
      </c>
      <c r="C1212" t="str">
        <f t="shared" si="75"/>
        <v>DOM</v>
      </c>
      <c r="D1212" t="str">
        <f t="shared" si="76"/>
        <v>Domingo</v>
      </c>
    </row>
    <row r="1213" spans="1:4" x14ac:dyDescent="0.25">
      <c r="A1213" s="88" t="str">
        <f t="shared" si="74"/>
        <v>4-2026</v>
      </c>
      <c r="B1213" s="86">
        <v>46139</v>
      </c>
      <c r="C1213" t="str">
        <f t="shared" si="75"/>
        <v>L-V</v>
      </c>
      <c r="D1213" t="str">
        <f t="shared" si="76"/>
        <v>Lunes</v>
      </c>
    </row>
    <row r="1214" spans="1:4" x14ac:dyDescent="0.25">
      <c r="A1214" s="88" t="str">
        <f t="shared" si="74"/>
        <v>4-2026</v>
      </c>
      <c r="B1214" s="86">
        <v>46140</v>
      </c>
      <c r="C1214" t="str">
        <f t="shared" si="75"/>
        <v>L-V</v>
      </c>
      <c r="D1214" t="str">
        <f t="shared" si="76"/>
        <v>Martes</v>
      </c>
    </row>
    <row r="1215" spans="1:4" x14ac:dyDescent="0.25">
      <c r="A1215" s="88" t="str">
        <f t="shared" si="74"/>
        <v>4-2026</v>
      </c>
      <c r="B1215" s="86">
        <v>46141</v>
      </c>
      <c r="C1215" t="str">
        <f t="shared" si="75"/>
        <v>L-V</v>
      </c>
      <c r="D1215" t="str">
        <f t="shared" si="76"/>
        <v>Miércoles</v>
      </c>
    </row>
    <row r="1216" spans="1:4" x14ac:dyDescent="0.25">
      <c r="A1216" s="88" t="str">
        <f t="shared" si="74"/>
        <v>4-2026</v>
      </c>
      <c r="B1216" s="86">
        <v>46142</v>
      </c>
      <c r="C1216" t="str">
        <f t="shared" si="75"/>
        <v>L-V</v>
      </c>
      <c r="D1216" t="str">
        <f t="shared" si="76"/>
        <v>Jueves</v>
      </c>
    </row>
    <row r="1217" spans="1:4" x14ac:dyDescent="0.25">
      <c r="A1217" s="88" t="str">
        <f t="shared" si="74"/>
        <v>5-2026</v>
      </c>
      <c r="B1217" s="86">
        <v>46143</v>
      </c>
      <c r="C1217" t="str">
        <f t="shared" si="75"/>
        <v>L-V</v>
      </c>
      <c r="D1217" t="str">
        <f t="shared" si="76"/>
        <v>Viernes</v>
      </c>
    </row>
    <row r="1218" spans="1:4" x14ac:dyDescent="0.25">
      <c r="A1218" s="88" t="str">
        <f t="shared" ref="A1218:A1281" si="77">MONTH(B1218)&amp;"-"&amp;YEAR(B1218)</f>
        <v>5-2026</v>
      </c>
      <c r="B1218" s="86">
        <v>46144</v>
      </c>
      <c r="C1218" t="str">
        <f t="shared" si="75"/>
        <v>SAB</v>
      </c>
      <c r="D1218" t="str">
        <f t="shared" si="76"/>
        <v>Sábado</v>
      </c>
    </row>
    <row r="1219" spans="1:4" x14ac:dyDescent="0.25">
      <c r="A1219" s="88" t="str">
        <f t="shared" si="77"/>
        <v>5-2026</v>
      </c>
      <c r="B1219" s="86">
        <v>46145</v>
      </c>
      <c r="C1219" t="str">
        <f t="shared" ref="C1219:C1282" si="78">VLOOKUP(WEEKDAY(B1219,2),$F$1:$H$7,2)</f>
        <v>DOM</v>
      </c>
      <c r="D1219" t="str">
        <f t="shared" ref="D1219:D1282" si="79">VLOOKUP(WEEKDAY($B1219,2),$F$1:$H$7,3)</f>
        <v>Domingo</v>
      </c>
    </row>
    <row r="1220" spans="1:4" x14ac:dyDescent="0.25">
      <c r="A1220" s="88" t="str">
        <f t="shared" si="77"/>
        <v>5-2026</v>
      </c>
      <c r="B1220" s="86">
        <v>46146</v>
      </c>
      <c r="C1220" t="str">
        <f t="shared" si="78"/>
        <v>L-V</v>
      </c>
      <c r="D1220" t="str">
        <f t="shared" si="79"/>
        <v>Lunes</v>
      </c>
    </row>
    <row r="1221" spans="1:4" x14ac:dyDescent="0.25">
      <c r="A1221" s="88" t="str">
        <f t="shared" si="77"/>
        <v>5-2026</v>
      </c>
      <c r="B1221" s="86">
        <v>46147</v>
      </c>
      <c r="C1221" t="str">
        <f t="shared" si="78"/>
        <v>L-V</v>
      </c>
      <c r="D1221" t="str">
        <f t="shared" si="79"/>
        <v>Martes</v>
      </c>
    </row>
    <row r="1222" spans="1:4" x14ac:dyDescent="0.25">
      <c r="A1222" s="88" t="str">
        <f t="shared" si="77"/>
        <v>5-2026</v>
      </c>
      <c r="B1222" s="86">
        <v>46148</v>
      </c>
      <c r="C1222" t="str">
        <f t="shared" si="78"/>
        <v>L-V</v>
      </c>
      <c r="D1222" t="str">
        <f t="shared" si="79"/>
        <v>Miércoles</v>
      </c>
    </row>
    <row r="1223" spans="1:4" x14ac:dyDescent="0.25">
      <c r="A1223" s="88" t="str">
        <f t="shared" si="77"/>
        <v>5-2026</v>
      </c>
      <c r="B1223" s="86">
        <v>46149</v>
      </c>
      <c r="C1223" t="str">
        <f t="shared" si="78"/>
        <v>L-V</v>
      </c>
      <c r="D1223" t="str">
        <f t="shared" si="79"/>
        <v>Jueves</v>
      </c>
    </row>
    <row r="1224" spans="1:4" x14ac:dyDescent="0.25">
      <c r="A1224" s="88" t="str">
        <f t="shared" si="77"/>
        <v>5-2026</v>
      </c>
      <c r="B1224" s="86">
        <v>46150</v>
      </c>
      <c r="C1224" t="str">
        <f t="shared" si="78"/>
        <v>L-V</v>
      </c>
      <c r="D1224" t="str">
        <f t="shared" si="79"/>
        <v>Viernes</v>
      </c>
    </row>
    <row r="1225" spans="1:4" x14ac:dyDescent="0.25">
      <c r="A1225" s="88" t="str">
        <f t="shared" si="77"/>
        <v>5-2026</v>
      </c>
      <c r="B1225" s="86">
        <v>46151</v>
      </c>
      <c r="C1225" t="str">
        <f t="shared" si="78"/>
        <v>SAB</v>
      </c>
      <c r="D1225" t="str">
        <f t="shared" si="79"/>
        <v>Sábado</v>
      </c>
    </row>
    <row r="1226" spans="1:4" x14ac:dyDescent="0.25">
      <c r="A1226" s="88" t="str">
        <f t="shared" si="77"/>
        <v>5-2026</v>
      </c>
      <c r="B1226" s="86">
        <v>46152</v>
      </c>
      <c r="C1226" t="str">
        <f t="shared" si="78"/>
        <v>DOM</v>
      </c>
      <c r="D1226" t="str">
        <f t="shared" si="79"/>
        <v>Domingo</v>
      </c>
    </row>
    <row r="1227" spans="1:4" x14ac:dyDescent="0.25">
      <c r="A1227" s="88" t="str">
        <f t="shared" si="77"/>
        <v>5-2026</v>
      </c>
      <c r="B1227" s="86">
        <v>46153</v>
      </c>
      <c r="C1227" t="str">
        <f t="shared" si="78"/>
        <v>L-V</v>
      </c>
      <c r="D1227" t="str">
        <f t="shared" si="79"/>
        <v>Lunes</v>
      </c>
    </row>
    <row r="1228" spans="1:4" x14ac:dyDescent="0.25">
      <c r="A1228" s="88" t="str">
        <f t="shared" si="77"/>
        <v>5-2026</v>
      </c>
      <c r="B1228" s="86">
        <v>46154</v>
      </c>
      <c r="C1228" t="str">
        <f t="shared" si="78"/>
        <v>L-V</v>
      </c>
      <c r="D1228" t="str">
        <f t="shared" si="79"/>
        <v>Martes</v>
      </c>
    </row>
    <row r="1229" spans="1:4" x14ac:dyDescent="0.25">
      <c r="A1229" s="88" t="str">
        <f t="shared" si="77"/>
        <v>5-2026</v>
      </c>
      <c r="B1229" s="86">
        <v>46155</v>
      </c>
      <c r="C1229" t="str">
        <f t="shared" si="78"/>
        <v>L-V</v>
      </c>
      <c r="D1229" t="str">
        <f t="shared" si="79"/>
        <v>Miércoles</v>
      </c>
    </row>
    <row r="1230" spans="1:4" x14ac:dyDescent="0.25">
      <c r="A1230" s="88" t="str">
        <f t="shared" si="77"/>
        <v>5-2026</v>
      </c>
      <c r="B1230" s="86">
        <v>46156</v>
      </c>
      <c r="C1230" t="str">
        <f t="shared" si="78"/>
        <v>L-V</v>
      </c>
      <c r="D1230" t="str">
        <f t="shared" si="79"/>
        <v>Jueves</v>
      </c>
    </row>
    <row r="1231" spans="1:4" x14ac:dyDescent="0.25">
      <c r="A1231" s="88" t="str">
        <f t="shared" si="77"/>
        <v>5-2026</v>
      </c>
      <c r="B1231" s="86">
        <v>46157</v>
      </c>
      <c r="C1231" t="str">
        <f t="shared" si="78"/>
        <v>L-V</v>
      </c>
      <c r="D1231" t="str">
        <f t="shared" si="79"/>
        <v>Viernes</v>
      </c>
    </row>
    <row r="1232" spans="1:4" x14ac:dyDescent="0.25">
      <c r="A1232" s="88" t="str">
        <f t="shared" si="77"/>
        <v>5-2026</v>
      </c>
      <c r="B1232" s="86">
        <v>46158</v>
      </c>
      <c r="C1232" t="str">
        <f t="shared" si="78"/>
        <v>SAB</v>
      </c>
      <c r="D1232" t="str">
        <f t="shared" si="79"/>
        <v>Sábado</v>
      </c>
    </row>
    <row r="1233" spans="1:4" x14ac:dyDescent="0.25">
      <c r="A1233" s="88" t="str">
        <f t="shared" si="77"/>
        <v>5-2026</v>
      </c>
      <c r="B1233" s="86">
        <v>46159</v>
      </c>
      <c r="C1233" t="str">
        <f t="shared" si="78"/>
        <v>DOM</v>
      </c>
      <c r="D1233" t="str">
        <f t="shared" si="79"/>
        <v>Domingo</v>
      </c>
    </row>
    <row r="1234" spans="1:4" x14ac:dyDescent="0.25">
      <c r="A1234" s="88" t="str">
        <f t="shared" si="77"/>
        <v>5-2026</v>
      </c>
      <c r="B1234" s="86">
        <v>46160</v>
      </c>
      <c r="C1234" t="str">
        <f t="shared" si="78"/>
        <v>L-V</v>
      </c>
      <c r="D1234" t="str">
        <f t="shared" si="79"/>
        <v>Lunes</v>
      </c>
    </row>
    <row r="1235" spans="1:4" x14ac:dyDescent="0.25">
      <c r="A1235" s="88" t="str">
        <f t="shared" si="77"/>
        <v>5-2026</v>
      </c>
      <c r="B1235" s="86">
        <v>46161</v>
      </c>
      <c r="C1235" t="str">
        <f t="shared" si="78"/>
        <v>L-V</v>
      </c>
      <c r="D1235" t="str">
        <f t="shared" si="79"/>
        <v>Martes</v>
      </c>
    </row>
    <row r="1236" spans="1:4" x14ac:dyDescent="0.25">
      <c r="A1236" s="88" t="str">
        <f t="shared" si="77"/>
        <v>5-2026</v>
      </c>
      <c r="B1236" s="86">
        <v>46162</v>
      </c>
      <c r="C1236" t="str">
        <f t="shared" si="78"/>
        <v>L-V</v>
      </c>
      <c r="D1236" t="str">
        <f t="shared" si="79"/>
        <v>Miércoles</v>
      </c>
    </row>
    <row r="1237" spans="1:4" x14ac:dyDescent="0.25">
      <c r="A1237" s="88" t="str">
        <f t="shared" si="77"/>
        <v>5-2026</v>
      </c>
      <c r="B1237" s="86">
        <v>46163</v>
      </c>
      <c r="C1237" t="str">
        <f t="shared" si="78"/>
        <v>L-V</v>
      </c>
      <c r="D1237" t="str">
        <f t="shared" si="79"/>
        <v>Jueves</v>
      </c>
    </row>
    <row r="1238" spans="1:4" x14ac:dyDescent="0.25">
      <c r="A1238" s="88" t="str">
        <f t="shared" si="77"/>
        <v>5-2026</v>
      </c>
      <c r="B1238" s="86">
        <v>46164</v>
      </c>
      <c r="C1238" t="str">
        <f t="shared" si="78"/>
        <v>L-V</v>
      </c>
      <c r="D1238" t="str">
        <f t="shared" si="79"/>
        <v>Viernes</v>
      </c>
    </row>
    <row r="1239" spans="1:4" x14ac:dyDescent="0.25">
      <c r="A1239" s="88" t="str">
        <f t="shared" si="77"/>
        <v>5-2026</v>
      </c>
      <c r="B1239" s="86">
        <v>46165</v>
      </c>
      <c r="C1239" t="str">
        <f t="shared" si="78"/>
        <v>SAB</v>
      </c>
      <c r="D1239" t="str">
        <f t="shared" si="79"/>
        <v>Sábado</v>
      </c>
    </row>
    <row r="1240" spans="1:4" x14ac:dyDescent="0.25">
      <c r="A1240" s="88" t="str">
        <f t="shared" si="77"/>
        <v>5-2026</v>
      </c>
      <c r="B1240" s="86">
        <v>46166</v>
      </c>
      <c r="C1240" t="str">
        <f t="shared" si="78"/>
        <v>DOM</v>
      </c>
      <c r="D1240" t="str">
        <f t="shared" si="79"/>
        <v>Domingo</v>
      </c>
    </row>
    <row r="1241" spans="1:4" x14ac:dyDescent="0.25">
      <c r="A1241" s="88" t="str">
        <f t="shared" si="77"/>
        <v>5-2026</v>
      </c>
      <c r="B1241" s="86">
        <v>46167</v>
      </c>
      <c r="C1241" t="str">
        <f t="shared" si="78"/>
        <v>L-V</v>
      </c>
      <c r="D1241" t="str">
        <f t="shared" si="79"/>
        <v>Lunes</v>
      </c>
    </row>
    <row r="1242" spans="1:4" x14ac:dyDescent="0.25">
      <c r="A1242" s="88" t="str">
        <f t="shared" si="77"/>
        <v>5-2026</v>
      </c>
      <c r="B1242" s="86">
        <v>46168</v>
      </c>
      <c r="C1242" t="str">
        <f t="shared" si="78"/>
        <v>L-V</v>
      </c>
      <c r="D1242" t="str">
        <f t="shared" si="79"/>
        <v>Martes</v>
      </c>
    </row>
    <row r="1243" spans="1:4" x14ac:dyDescent="0.25">
      <c r="A1243" s="88" t="str">
        <f t="shared" si="77"/>
        <v>5-2026</v>
      </c>
      <c r="B1243" s="86">
        <v>46169</v>
      </c>
      <c r="C1243" t="str">
        <f t="shared" si="78"/>
        <v>L-V</v>
      </c>
      <c r="D1243" t="str">
        <f t="shared" si="79"/>
        <v>Miércoles</v>
      </c>
    </row>
    <row r="1244" spans="1:4" x14ac:dyDescent="0.25">
      <c r="A1244" s="88" t="str">
        <f t="shared" si="77"/>
        <v>5-2026</v>
      </c>
      <c r="B1244" s="86">
        <v>46170</v>
      </c>
      <c r="C1244" t="str">
        <f t="shared" si="78"/>
        <v>L-V</v>
      </c>
      <c r="D1244" t="str">
        <f t="shared" si="79"/>
        <v>Jueves</v>
      </c>
    </row>
    <row r="1245" spans="1:4" x14ac:dyDescent="0.25">
      <c r="A1245" s="88" t="str">
        <f t="shared" si="77"/>
        <v>5-2026</v>
      </c>
      <c r="B1245" s="86">
        <v>46171</v>
      </c>
      <c r="C1245" t="str">
        <f t="shared" si="78"/>
        <v>L-V</v>
      </c>
      <c r="D1245" t="str">
        <f t="shared" si="79"/>
        <v>Viernes</v>
      </c>
    </row>
    <row r="1246" spans="1:4" x14ac:dyDescent="0.25">
      <c r="A1246" s="88" t="str">
        <f t="shared" si="77"/>
        <v>5-2026</v>
      </c>
      <c r="B1246" s="86">
        <v>46172</v>
      </c>
      <c r="C1246" t="str">
        <f t="shared" si="78"/>
        <v>SAB</v>
      </c>
      <c r="D1246" t="str">
        <f t="shared" si="79"/>
        <v>Sábado</v>
      </c>
    </row>
    <row r="1247" spans="1:4" x14ac:dyDescent="0.25">
      <c r="A1247" s="88" t="str">
        <f t="shared" si="77"/>
        <v>5-2026</v>
      </c>
      <c r="B1247" s="86">
        <v>46173</v>
      </c>
      <c r="C1247" t="str">
        <f t="shared" si="78"/>
        <v>DOM</v>
      </c>
      <c r="D1247" t="str">
        <f t="shared" si="79"/>
        <v>Domingo</v>
      </c>
    </row>
    <row r="1248" spans="1:4" x14ac:dyDescent="0.25">
      <c r="A1248" s="88" t="str">
        <f t="shared" si="77"/>
        <v>6-2026</v>
      </c>
      <c r="B1248" s="86">
        <v>46174</v>
      </c>
      <c r="C1248" t="str">
        <f t="shared" si="78"/>
        <v>L-V</v>
      </c>
      <c r="D1248" t="str">
        <f t="shared" si="79"/>
        <v>Lunes</v>
      </c>
    </row>
    <row r="1249" spans="1:4" x14ac:dyDescent="0.25">
      <c r="A1249" s="88" t="str">
        <f t="shared" si="77"/>
        <v>6-2026</v>
      </c>
      <c r="B1249" s="86">
        <v>46175</v>
      </c>
      <c r="C1249" t="str">
        <f t="shared" si="78"/>
        <v>L-V</v>
      </c>
      <c r="D1249" t="str">
        <f t="shared" si="79"/>
        <v>Martes</v>
      </c>
    </row>
    <row r="1250" spans="1:4" x14ac:dyDescent="0.25">
      <c r="A1250" s="88" t="str">
        <f t="shared" si="77"/>
        <v>6-2026</v>
      </c>
      <c r="B1250" s="86">
        <v>46176</v>
      </c>
      <c r="C1250" t="str">
        <f t="shared" si="78"/>
        <v>L-V</v>
      </c>
      <c r="D1250" t="str">
        <f t="shared" si="79"/>
        <v>Miércoles</v>
      </c>
    </row>
    <row r="1251" spans="1:4" x14ac:dyDescent="0.25">
      <c r="A1251" s="88" t="str">
        <f t="shared" si="77"/>
        <v>6-2026</v>
      </c>
      <c r="B1251" s="86">
        <v>46177</v>
      </c>
      <c r="C1251" t="str">
        <f t="shared" si="78"/>
        <v>L-V</v>
      </c>
      <c r="D1251" t="str">
        <f t="shared" si="79"/>
        <v>Jueves</v>
      </c>
    </row>
    <row r="1252" spans="1:4" x14ac:dyDescent="0.25">
      <c r="A1252" s="88" t="str">
        <f t="shared" si="77"/>
        <v>6-2026</v>
      </c>
      <c r="B1252" s="86">
        <v>46178</v>
      </c>
      <c r="C1252" t="str">
        <f t="shared" si="78"/>
        <v>L-V</v>
      </c>
      <c r="D1252" t="str">
        <f t="shared" si="79"/>
        <v>Viernes</v>
      </c>
    </row>
    <row r="1253" spans="1:4" x14ac:dyDescent="0.25">
      <c r="A1253" s="88" t="str">
        <f t="shared" si="77"/>
        <v>6-2026</v>
      </c>
      <c r="B1253" s="86">
        <v>46179</v>
      </c>
      <c r="C1253" t="str">
        <f t="shared" si="78"/>
        <v>SAB</v>
      </c>
      <c r="D1253" t="str">
        <f t="shared" si="79"/>
        <v>Sábado</v>
      </c>
    </row>
    <row r="1254" spans="1:4" x14ac:dyDescent="0.25">
      <c r="A1254" s="88" t="str">
        <f t="shared" si="77"/>
        <v>6-2026</v>
      </c>
      <c r="B1254" s="86">
        <v>46180</v>
      </c>
      <c r="C1254" t="str">
        <f t="shared" si="78"/>
        <v>DOM</v>
      </c>
      <c r="D1254" t="str">
        <f t="shared" si="79"/>
        <v>Domingo</v>
      </c>
    </row>
    <row r="1255" spans="1:4" x14ac:dyDescent="0.25">
      <c r="A1255" s="88" t="str">
        <f t="shared" si="77"/>
        <v>6-2026</v>
      </c>
      <c r="B1255" s="86">
        <v>46181</v>
      </c>
      <c r="C1255" t="str">
        <f t="shared" si="78"/>
        <v>L-V</v>
      </c>
      <c r="D1255" t="str">
        <f t="shared" si="79"/>
        <v>Lunes</v>
      </c>
    </row>
    <row r="1256" spans="1:4" x14ac:dyDescent="0.25">
      <c r="A1256" s="88" t="str">
        <f t="shared" si="77"/>
        <v>6-2026</v>
      </c>
      <c r="B1256" s="86">
        <v>46182</v>
      </c>
      <c r="C1256" t="str">
        <f t="shared" si="78"/>
        <v>L-V</v>
      </c>
      <c r="D1256" t="str">
        <f t="shared" si="79"/>
        <v>Martes</v>
      </c>
    </row>
    <row r="1257" spans="1:4" x14ac:dyDescent="0.25">
      <c r="A1257" s="88" t="str">
        <f t="shared" si="77"/>
        <v>6-2026</v>
      </c>
      <c r="B1257" s="86">
        <v>46183</v>
      </c>
      <c r="C1257" t="str">
        <f t="shared" si="78"/>
        <v>L-V</v>
      </c>
      <c r="D1257" t="str">
        <f t="shared" si="79"/>
        <v>Miércoles</v>
      </c>
    </row>
    <row r="1258" spans="1:4" x14ac:dyDescent="0.25">
      <c r="A1258" s="88" t="str">
        <f t="shared" si="77"/>
        <v>6-2026</v>
      </c>
      <c r="B1258" s="86">
        <v>46184</v>
      </c>
      <c r="C1258" t="str">
        <f t="shared" si="78"/>
        <v>L-V</v>
      </c>
      <c r="D1258" t="str">
        <f t="shared" si="79"/>
        <v>Jueves</v>
      </c>
    </row>
    <row r="1259" spans="1:4" x14ac:dyDescent="0.25">
      <c r="A1259" s="88" t="str">
        <f t="shared" si="77"/>
        <v>6-2026</v>
      </c>
      <c r="B1259" s="86">
        <v>46185</v>
      </c>
      <c r="C1259" t="str">
        <f t="shared" si="78"/>
        <v>L-V</v>
      </c>
      <c r="D1259" t="str">
        <f t="shared" si="79"/>
        <v>Viernes</v>
      </c>
    </row>
    <row r="1260" spans="1:4" x14ac:dyDescent="0.25">
      <c r="A1260" s="88" t="str">
        <f t="shared" si="77"/>
        <v>6-2026</v>
      </c>
      <c r="B1260" s="86">
        <v>46186</v>
      </c>
      <c r="C1260" t="str">
        <f t="shared" si="78"/>
        <v>SAB</v>
      </c>
      <c r="D1260" t="str">
        <f t="shared" si="79"/>
        <v>Sábado</v>
      </c>
    </row>
    <row r="1261" spans="1:4" x14ac:dyDescent="0.25">
      <c r="A1261" s="88" t="str">
        <f t="shared" si="77"/>
        <v>6-2026</v>
      </c>
      <c r="B1261" s="86">
        <v>46187</v>
      </c>
      <c r="C1261" t="str">
        <f t="shared" si="78"/>
        <v>DOM</v>
      </c>
      <c r="D1261" t="str">
        <f t="shared" si="79"/>
        <v>Domingo</v>
      </c>
    </row>
    <row r="1262" spans="1:4" x14ac:dyDescent="0.25">
      <c r="A1262" s="88" t="str">
        <f t="shared" si="77"/>
        <v>6-2026</v>
      </c>
      <c r="B1262" s="86">
        <v>46188</v>
      </c>
      <c r="C1262" t="str">
        <f t="shared" si="78"/>
        <v>L-V</v>
      </c>
      <c r="D1262" t="str">
        <f t="shared" si="79"/>
        <v>Lunes</v>
      </c>
    </row>
    <row r="1263" spans="1:4" x14ac:dyDescent="0.25">
      <c r="A1263" s="88" t="str">
        <f t="shared" si="77"/>
        <v>6-2026</v>
      </c>
      <c r="B1263" s="86">
        <v>46189</v>
      </c>
      <c r="C1263" t="str">
        <f t="shared" si="78"/>
        <v>L-V</v>
      </c>
      <c r="D1263" t="str">
        <f t="shared" si="79"/>
        <v>Martes</v>
      </c>
    </row>
    <row r="1264" spans="1:4" x14ac:dyDescent="0.25">
      <c r="A1264" s="88" t="str">
        <f t="shared" si="77"/>
        <v>6-2026</v>
      </c>
      <c r="B1264" s="86">
        <v>46190</v>
      </c>
      <c r="C1264" t="str">
        <f t="shared" si="78"/>
        <v>L-V</v>
      </c>
      <c r="D1264" t="str">
        <f t="shared" si="79"/>
        <v>Miércoles</v>
      </c>
    </row>
    <row r="1265" spans="1:4" x14ac:dyDescent="0.25">
      <c r="A1265" s="88" t="str">
        <f t="shared" si="77"/>
        <v>6-2026</v>
      </c>
      <c r="B1265" s="86">
        <v>46191</v>
      </c>
      <c r="C1265" t="str">
        <f t="shared" si="78"/>
        <v>L-V</v>
      </c>
      <c r="D1265" t="str">
        <f t="shared" si="79"/>
        <v>Jueves</v>
      </c>
    </row>
    <row r="1266" spans="1:4" x14ac:dyDescent="0.25">
      <c r="A1266" s="88" t="str">
        <f t="shared" si="77"/>
        <v>6-2026</v>
      </c>
      <c r="B1266" s="86">
        <v>46192</v>
      </c>
      <c r="C1266" t="str">
        <f t="shared" si="78"/>
        <v>L-V</v>
      </c>
      <c r="D1266" t="str">
        <f t="shared" si="79"/>
        <v>Viernes</v>
      </c>
    </row>
    <row r="1267" spans="1:4" x14ac:dyDescent="0.25">
      <c r="A1267" s="88" t="str">
        <f t="shared" si="77"/>
        <v>6-2026</v>
      </c>
      <c r="B1267" s="86">
        <v>46193</v>
      </c>
      <c r="C1267" t="str">
        <f t="shared" si="78"/>
        <v>SAB</v>
      </c>
      <c r="D1267" t="str">
        <f t="shared" si="79"/>
        <v>Sábado</v>
      </c>
    </row>
    <row r="1268" spans="1:4" x14ac:dyDescent="0.25">
      <c r="A1268" s="88" t="str">
        <f t="shared" si="77"/>
        <v>6-2026</v>
      </c>
      <c r="B1268" s="86">
        <v>46194</v>
      </c>
      <c r="C1268" t="str">
        <f t="shared" si="78"/>
        <v>DOM</v>
      </c>
      <c r="D1268" t="str">
        <f t="shared" si="79"/>
        <v>Domingo</v>
      </c>
    </row>
    <row r="1269" spans="1:4" x14ac:dyDescent="0.25">
      <c r="A1269" s="88" t="str">
        <f t="shared" si="77"/>
        <v>6-2026</v>
      </c>
      <c r="B1269" s="86">
        <v>46195</v>
      </c>
      <c r="C1269" t="str">
        <f t="shared" si="78"/>
        <v>L-V</v>
      </c>
      <c r="D1269" t="str">
        <f t="shared" si="79"/>
        <v>Lunes</v>
      </c>
    </row>
    <row r="1270" spans="1:4" x14ac:dyDescent="0.25">
      <c r="A1270" s="88" t="str">
        <f t="shared" si="77"/>
        <v>6-2026</v>
      </c>
      <c r="B1270" s="86">
        <v>46196</v>
      </c>
      <c r="C1270" t="str">
        <f t="shared" si="78"/>
        <v>L-V</v>
      </c>
      <c r="D1270" t="str">
        <f t="shared" si="79"/>
        <v>Martes</v>
      </c>
    </row>
    <row r="1271" spans="1:4" x14ac:dyDescent="0.25">
      <c r="A1271" s="88" t="str">
        <f t="shared" si="77"/>
        <v>6-2026</v>
      </c>
      <c r="B1271" s="86">
        <v>46197</v>
      </c>
      <c r="C1271" t="str">
        <f t="shared" si="78"/>
        <v>L-V</v>
      </c>
      <c r="D1271" t="str">
        <f t="shared" si="79"/>
        <v>Miércoles</v>
      </c>
    </row>
    <row r="1272" spans="1:4" x14ac:dyDescent="0.25">
      <c r="A1272" s="88" t="str">
        <f t="shared" si="77"/>
        <v>6-2026</v>
      </c>
      <c r="B1272" s="86">
        <v>46198</v>
      </c>
      <c r="C1272" t="str">
        <f t="shared" si="78"/>
        <v>L-V</v>
      </c>
      <c r="D1272" t="str">
        <f t="shared" si="79"/>
        <v>Jueves</v>
      </c>
    </row>
    <row r="1273" spans="1:4" x14ac:dyDescent="0.25">
      <c r="A1273" s="88" t="str">
        <f t="shared" si="77"/>
        <v>6-2026</v>
      </c>
      <c r="B1273" s="86">
        <v>46199</v>
      </c>
      <c r="C1273" t="str">
        <f t="shared" si="78"/>
        <v>L-V</v>
      </c>
      <c r="D1273" t="str">
        <f t="shared" si="79"/>
        <v>Viernes</v>
      </c>
    </row>
    <row r="1274" spans="1:4" x14ac:dyDescent="0.25">
      <c r="A1274" s="88" t="str">
        <f t="shared" si="77"/>
        <v>6-2026</v>
      </c>
      <c r="B1274" s="86">
        <v>46200</v>
      </c>
      <c r="C1274" t="str">
        <f t="shared" si="78"/>
        <v>SAB</v>
      </c>
      <c r="D1274" t="str">
        <f t="shared" si="79"/>
        <v>Sábado</v>
      </c>
    </row>
    <row r="1275" spans="1:4" x14ac:dyDescent="0.25">
      <c r="A1275" s="88" t="str">
        <f t="shared" si="77"/>
        <v>6-2026</v>
      </c>
      <c r="B1275" s="86">
        <v>46201</v>
      </c>
      <c r="C1275" t="str">
        <f t="shared" si="78"/>
        <v>DOM</v>
      </c>
      <c r="D1275" t="str">
        <f t="shared" si="79"/>
        <v>Domingo</v>
      </c>
    </row>
    <row r="1276" spans="1:4" x14ac:dyDescent="0.25">
      <c r="A1276" s="88" t="str">
        <f t="shared" si="77"/>
        <v>6-2026</v>
      </c>
      <c r="B1276" s="86">
        <v>46202</v>
      </c>
      <c r="C1276" t="str">
        <f t="shared" si="78"/>
        <v>L-V</v>
      </c>
      <c r="D1276" t="str">
        <f t="shared" si="79"/>
        <v>Lunes</v>
      </c>
    </row>
    <row r="1277" spans="1:4" x14ac:dyDescent="0.25">
      <c r="A1277" s="88" t="str">
        <f t="shared" si="77"/>
        <v>6-2026</v>
      </c>
      <c r="B1277" s="86">
        <v>46203</v>
      </c>
      <c r="C1277" t="str">
        <f t="shared" si="78"/>
        <v>L-V</v>
      </c>
      <c r="D1277" t="str">
        <f t="shared" si="79"/>
        <v>Martes</v>
      </c>
    </row>
    <row r="1278" spans="1:4" x14ac:dyDescent="0.25">
      <c r="A1278" s="88" t="str">
        <f t="shared" si="77"/>
        <v>7-2026</v>
      </c>
      <c r="B1278" s="86">
        <v>46204</v>
      </c>
      <c r="C1278" t="str">
        <f t="shared" si="78"/>
        <v>L-V</v>
      </c>
      <c r="D1278" t="str">
        <f t="shared" si="79"/>
        <v>Miércoles</v>
      </c>
    </row>
    <row r="1279" spans="1:4" x14ac:dyDescent="0.25">
      <c r="A1279" s="88" t="str">
        <f t="shared" si="77"/>
        <v>7-2026</v>
      </c>
      <c r="B1279" s="86">
        <v>46205</v>
      </c>
      <c r="C1279" t="str">
        <f t="shared" si="78"/>
        <v>L-V</v>
      </c>
      <c r="D1279" t="str">
        <f t="shared" si="79"/>
        <v>Jueves</v>
      </c>
    </row>
    <row r="1280" spans="1:4" x14ac:dyDescent="0.25">
      <c r="A1280" s="88" t="str">
        <f t="shared" si="77"/>
        <v>7-2026</v>
      </c>
      <c r="B1280" s="86">
        <v>46206</v>
      </c>
      <c r="C1280" t="str">
        <f t="shared" si="78"/>
        <v>L-V</v>
      </c>
      <c r="D1280" t="str">
        <f t="shared" si="79"/>
        <v>Viernes</v>
      </c>
    </row>
    <row r="1281" spans="1:4" x14ac:dyDescent="0.25">
      <c r="A1281" s="88" t="str">
        <f t="shared" si="77"/>
        <v>7-2026</v>
      </c>
      <c r="B1281" s="86">
        <v>46207</v>
      </c>
      <c r="C1281" t="str">
        <f t="shared" si="78"/>
        <v>SAB</v>
      </c>
      <c r="D1281" t="str">
        <f t="shared" si="79"/>
        <v>Sábado</v>
      </c>
    </row>
    <row r="1282" spans="1:4" x14ac:dyDescent="0.25">
      <c r="A1282" s="88" t="str">
        <f t="shared" ref="A1282:A1345" si="80">MONTH(B1282)&amp;"-"&amp;YEAR(B1282)</f>
        <v>7-2026</v>
      </c>
      <c r="B1282" s="86">
        <v>46208</v>
      </c>
      <c r="C1282" t="str">
        <f t="shared" si="78"/>
        <v>DOM</v>
      </c>
      <c r="D1282" t="str">
        <f t="shared" si="79"/>
        <v>Domingo</v>
      </c>
    </row>
    <row r="1283" spans="1:4" x14ac:dyDescent="0.25">
      <c r="A1283" s="88" t="str">
        <f t="shared" si="80"/>
        <v>7-2026</v>
      </c>
      <c r="B1283" s="86">
        <v>46209</v>
      </c>
      <c r="C1283" t="str">
        <f t="shared" ref="C1283:C1346" si="81">VLOOKUP(WEEKDAY(B1283,2),$F$1:$H$7,2)</f>
        <v>L-V</v>
      </c>
      <c r="D1283" t="str">
        <f t="shared" ref="D1283:D1346" si="82">VLOOKUP(WEEKDAY($B1283,2),$F$1:$H$7,3)</f>
        <v>Lunes</v>
      </c>
    </row>
    <row r="1284" spans="1:4" x14ac:dyDescent="0.25">
      <c r="A1284" s="88" t="str">
        <f t="shared" si="80"/>
        <v>7-2026</v>
      </c>
      <c r="B1284" s="86">
        <v>46210</v>
      </c>
      <c r="C1284" t="str">
        <f t="shared" si="81"/>
        <v>L-V</v>
      </c>
      <c r="D1284" t="str">
        <f t="shared" si="82"/>
        <v>Martes</v>
      </c>
    </row>
    <row r="1285" spans="1:4" x14ac:dyDescent="0.25">
      <c r="A1285" s="88" t="str">
        <f t="shared" si="80"/>
        <v>7-2026</v>
      </c>
      <c r="B1285" s="86">
        <v>46211</v>
      </c>
      <c r="C1285" t="str">
        <f t="shared" si="81"/>
        <v>L-V</v>
      </c>
      <c r="D1285" t="str">
        <f t="shared" si="82"/>
        <v>Miércoles</v>
      </c>
    </row>
    <row r="1286" spans="1:4" x14ac:dyDescent="0.25">
      <c r="A1286" s="88" t="str">
        <f t="shared" si="80"/>
        <v>7-2026</v>
      </c>
      <c r="B1286" s="86">
        <v>46212</v>
      </c>
      <c r="C1286" t="str">
        <f t="shared" si="81"/>
        <v>L-V</v>
      </c>
      <c r="D1286" t="str">
        <f t="shared" si="82"/>
        <v>Jueves</v>
      </c>
    </row>
    <row r="1287" spans="1:4" x14ac:dyDescent="0.25">
      <c r="A1287" s="88" t="str">
        <f t="shared" si="80"/>
        <v>7-2026</v>
      </c>
      <c r="B1287" s="86">
        <v>46213</v>
      </c>
      <c r="C1287" t="str">
        <f t="shared" si="81"/>
        <v>L-V</v>
      </c>
      <c r="D1287" t="str">
        <f t="shared" si="82"/>
        <v>Viernes</v>
      </c>
    </row>
    <row r="1288" spans="1:4" x14ac:dyDescent="0.25">
      <c r="A1288" s="88" t="str">
        <f t="shared" si="80"/>
        <v>7-2026</v>
      </c>
      <c r="B1288" s="86">
        <v>46214</v>
      </c>
      <c r="C1288" t="str">
        <f t="shared" si="81"/>
        <v>SAB</v>
      </c>
      <c r="D1288" t="str">
        <f t="shared" si="82"/>
        <v>Sábado</v>
      </c>
    </row>
    <row r="1289" spans="1:4" x14ac:dyDescent="0.25">
      <c r="A1289" s="88" t="str">
        <f t="shared" si="80"/>
        <v>7-2026</v>
      </c>
      <c r="B1289" s="86">
        <v>46215</v>
      </c>
      <c r="C1289" t="str">
        <f t="shared" si="81"/>
        <v>DOM</v>
      </c>
      <c r="D1289" t="str">
        <f t="shared" si="82"/>
        <v>Domingo</v>
      </c>
    </row>
    <row r="1290" spans="1:4" x14ac:dyDescent="0.25">
      <c r="A1290" s="88" t="str">
        <f t="shared" si="80"/>
        <v>7-2026</v>
      </c>
      <c r="B1290" s="86">
        <v>46216</v>
      </c>
      <c r="C1290" t="str">
        <f t="shared" si="81"/>
        <v>L-V</v>
      </c>
      <c r="D1290" t="str">
        <f t="shared" si="82"/>
        <v>Lunes</v>
      </c>
    </row>
    <row r="1291" spans="1:4" x14ac:dyDescent="0.25">
      <c r="A1291" s="88" t="str">
        <f t="shared" si="80"/>
        <v>7-2026</v>
      </c>
      <c r="B1291" s="86">
        <v>46217</v>
      </c>
      <c r="C1291" t="str">
        <f t="shared" si="81"/>
        <v>L-V</v>
      </c>
      <c r="D1291" t="str">
        <f t="shared" si="82"/>
        <v>Martes</v>
      </c>
    </row>
    <row r="1292" spans="1:4" x14ac:dyDescent="0.25">
      <c r="A1292" s="88" t="str">
        <f t="shared" si="80"/>
        <v>7-2026</v>
      </c>
      <c r="B1292" s="86">
        <v>46218</v>
      </c>
      <c r="C1292" t="str">
        <f t="shared" si="81"/>
        <v>L-V</v>
      </c>
      <c r="D1292" t="str">
        <f t="shared" si="82"/>
        <v>Miércoles</v>
      </c>
    </row>
    <row r="1293" spans="1:4" x14ac:dyDescent="0.25">
      <c r="A1293" s="88" t="str">
        <f t="shared" si="80"/>
        <v>7-2026</v>
      </c>
      <c r="B1293" s="86">
        <v>46219</v>
      </c>
      <c r="C1293" t="str">
        <f t="shared" si="81"/>
        <v>L-V</v>
      </c>
      <c r="D1293" t="str">
        <f t="shared" si="82"/>
        <v>Jueves</v>
      </c>
    </row>
    <row r="1294" spans="1:4" x14ac:dyDescent="0.25">
      <c r="A1294" s="88" t="str">
        <f t="shared" si="80"/>
        <v>7-2026</v>
      </c>
      <c r="B1294" s="86">
        <v>46220</v>
      </c>
      <c r="C1294" t="str">
        <f t="shared" si="81"/>
        <v>L-V</v>
      </c>
      <c r="D1294" t="str">
        <f t="shared" si="82"/>
        <v>Viernes</v>
      </c>
    </row>
    <row r="1295" spans="1:4" x14ac:dyDescent="0.25">
      <c r="A1295" s="88" t="str">
        <f t="shared" si="80"/>
        <v>7-2026</v>
      </c>
      <c r="B1295" s="86">
        <v>46221</v>
      </c>
      <c r="C1295" t="str">
        <f t="shared" si="81"/>
        <v>SAB</v>
      </c>
      <c r="D1295" t="str">
        <f t="shared" si="82"/>
        <v>Sábado</v>
      </c>
    </row>
    <row r="1296" spans="1:4" x14ac:dyDescent="0.25">
      <c r="A1296" s="88" t="str">
        <f t="shared" si="80"/>
        <v>7-2026</v>
      </c>
      <c r="B1296" s="86">
        <v>46222</v>
      </c>
      <c r="C1296" t="str">
        <f t="shared" si="81"/>
        <v>DOM</v>
      </c>
      <c r="D1296" t="str">
        <f t="shared" si="82"/>
        <v>Domingo</v>
      </c>
    </row>
    <row r="1297" spans="1:4" x14ac:dyDescent="0.25">
      <c r="A1297" s="88" t="str">
        <f t="shared" si="80"/>
        <v>7-2026</v>
      </c>
      <c r="B1297" s="86">
        <v>46223</v>
      </c>
      <c r="C1297" t="str">
        <f t="shared" si="81"/>
        <v>L-V</v>
      </c>
      <c r="D1297" t="str">
        <f t="shared" si="82"/>
        <v>Lunes</v>
      </c>
    </row>
    <row r="1298" spans="1:4" x14ac:dyDescent="0.25">
      <c r="A1298" s="88" t="str">
        <f t="shared" si="80"/>
        <v>7-2026</v>
      </c>
      <c r="B1298" s="86">
        <v>46224</v>
      </c>
      <c r="C1298" t="str">
        <f t="shared" si="81"/>
        <v>L-V</v>
      </c>
      <c r="D1298" t="str">
        <f t="shared" si="82"/>
        <v>Martes</v>
      </c>
    </row>
    <row r="1299" spans="1:4" x14ac:dyDescent="0.25">
      <c r="A1299" s="88" t="str">
        <f t="shared" si="80"/>
        <v>7-2026</v>
      </c>
      <c r="B1299" s="86">
        <v>46225</v>
      </c>
      <c r="C1299" t="str">
        <f t="shared" si="81"/>
        <v>L-V</v>
      </c>
      <c r="D1299" t="str">
        <f t="shared" si="82"/>
        <v>Miércoles</v>
      </c>
    </row>
    <row r="1300" spans="1:4" x14ac:dyDescent="0.25">
      <c r="A1300" s="88" t="str">
        <f t="shared" si="80"/>
        <v>7-2026</v>
      </c>
      <c r="B1300" s="86">
        <v>46226</v>
      </c>
      <c r="C1300" t="str">
        <f t="shared" si="81"/>
        <v>L-V</v>
      </c>
      <c r="D1300" t="str">
        <f t="shared" si="82"/>
        <v>Jueves</v>
      </c>
    </row>
    <row r="1301" spans="1:4" x14ac:dyDescent="0.25">
      <c r="A1301" s="88" t="str">
        <f t="shared" si="80"/>
        <v>7-2026</v>
      </c>
      <c r="B1301" s="86">
        <v>46227</v>
      </c>
      <c r="C1301" t="str">
        <f t="shared" si="81"/>
        <v>L-V</v>
      </c>
      <c r="D1301" t="str">
        <f t="shared" si="82"/>
        <v>Viernes</v>
      </c>
    </row>
    <row r="1302" spans="1:4" x14ac:dyDescent="0.25">
      <c r="A1302" s="88" t="str">
        <f t="shared" si="80"/>
        <v>7-2026</v>
      </c>
      <c r="B1302" s="86">
        <v>46228</v>
      </c>
      <c r="C1302" t="str">
        <f t="shared" si="81"/>
        <v>SAB</v>
      </c>
      <c r="D1302" t="str">
        <f t="shared" si="82"/>
        <v>Sábado</v>
      </c>
    </row>
    <row r="1303" spans="1:4" x14ac:dyDescent="0.25">
      <c r="A1303" s="88" t="str">
        <f t="shared" si="80"/>
        <v>7-2026</v>
      </c>
      <c r="B1303" s="86">
        <v>46229</v>
      </c>
      <c r="C1303" t="str">
        <f t="shared" si="81"/>
        <v>DOM</v>
      </c>
      <c r="D1303" t="str">
        <f t="shared" si="82"/>
        <v>Domingo</v>
      </c>
    </row>
    <row r="1304" spans="1:4" x14ac:dyDescent="0.25">
      <c r="A1304" s="88" t="str">
        <f t="shared" si="80"/>
        <v>7-2026</v>
      </c>
      <c r="B1304" s="86">
        <v>46230</v>
      </c>
      <c r="C1304" t="str">
        <f t="shared" si="81"/>
        <v>L-V</v>
      </c>
      <c r="D1304" t="str">
        <f t="shared" si="82"/>
        <v>Lunes</v>
      </c>
    </row>
    <row r="1305" spans="1:4" x14ac:dyDescent="0.25">
      <c r="A1305" s="88" t="str">
        <f t="shared" si="80"/>
        <v>7-2026</v>
      </c>
      <c r="B1305" s="86">
        <v>46231</v>
      </c>
      <c r="C1305" t="str">
        <f t="shared" si="81"/>
        <v>L-V</v>
      </c>
      <c r="D1305" t="str">
        <f t="shared" si="82"/>
        <v>Martes</v>
      </c>
    </row>
    <row r="1306" spans="1:4" x14ac:dyDescent="0.25">
      <c r="A1306" s="88" t="str">
        <f t="shared" si="80"/>
        <v>7-2026</v>
      </c>
      <c r="B1306" s="86">
        <v>46232</v>
      </c>
      <c r="C1306" t="str">
        <f t="shared" si="81"/>
        <v>L-V</v>
      </c>
      <c r="D1306" t="str">
        <f t="shared" si="82"/>
        <v>Miércoles</v>
      </c>
    </row>
    <row r="1307" spans="1:4" x14ac:dyDescent="0.25">
      <c r="A1307" s="88" t="str">
        <f t="shared" si="80"/>
        <v>7-2026</v>
      </c>
      <c r="B1307" s="86">
        <v>46233</v>
      </c>
      <c r="C1307" t="str">
        <f t="shared" si="81"/>
        <v>L-V</v>
      </c>
      <c r="D1307" t="str">
        <f t="shared" si="82"/>
        <v>Jueves</v>
      </c>
    </row>
    <row r="1308" spans="1:4" x14ac:dyDescent="0.25">
      <c r="A1308" s="88" t="str">
        <f t="shared" si="80"/>
        <v>7-2026</v>
      </c>
      <c r="B1308" s="86">
        <v>46234</v>
      </c>
      <c r="C1308" t="str">
        <f t="shared" si="81"/>
        <v>L-V</v>
      </c>
      <c r="D1308" t="str">
        <f t="shared" si="82"/>
        <v>Viernes</v>
      </c>
    </row>
    <row r="1309" spans="1:4" x14ac:dyDescent="0.25">
      <c r="A1309" s="88" t="str">
        <f t="shared" si="80"/>
        <v>8-2026</v>
      </c>
      <c r="B1309" s="86">
        <v>46235</v>
      </c>
      <c r="C1309" t="str">
        <f t="shared" si="81"/>
        <v>SAB</v>
      </c>
      <c r="D1309" t="str">
        <f t="shared" si="82"/>
        <v>Sábado</v>
      </c>
    </row>
    <row r="1310" spans="1:4" x14ac:dyDescent="0.25">
      <c r="A1310" s="88" t="str">
        <f t="shared" si="80"/>
        <v>8-2026</v>
      </c>
      <c r="B1310" s="86">
        <v>46236</v>
      </c>
      <c r="C1310" t="str">
        <f t="shared" si="81"/>
        <v>DOM</v>
      </c>
      <c r="D1310" t="str">
        <f t="shared" si="82"/>
        <v>Domingo</v>
      </c>
    </row>
    <row r="1311" spans="1:4" x14ac:dyDescent="0.25">
      <c r="A1311" s="88" t="str">
        <f t="shared" si="80"/>
        <v>8-2026</v>
      </c>
      <c r="B1311" s="86">
        <v>46237</v>
      </c>
      <c r="C1311" t="str">
        <f t="shared" si="81"/>
        <v>L-V</v>
      </c>
      <c r="D1311" t="str">
        <f t="shared" si="82"/>
        <v>Lunes</v>
      </c>
    </row>
    <row r="1312" spans="1:4" x14ac:dyDescent="0.25">
      <c r="A1312" s="88" t="str">
        <f t="shared" si="80"/>
        <v>8-2026</v>
      </c>
      <c r="B1312" s="86">
        <v>46238</v>
      </c>
      <c r="C1312" t="str">
        <f t="shared" si="81"/>
        <v>L-V</v>
      </c>
      <c r="D1312" t="str">
        <f t="shared" si="82"/>
        <v>Martes</v>
      </c>
    </row>
    <row r="1313" spans="1:4" x14ac:dyDescent="0.25">
      <c r="A1313" s="88" t="str">
        <f t="shared" si="80"/>
        <v>8-2026</v>
      </c>
      <c r="B1313" s="86">
        <v>46239</v>
      </c>
      <c r="C1313" t="str">
        <f t="shared" si="81"/>
        <v>L-V</v>
      </c>
      <c r="D1313" t="str">
        <f t="shared" si="82"/>
        <v>Miércoles</v>
      </c>
    </row>
    <row r="1314" spans="1:4" x14ac:dyDescent="0.25">
      <c r="A1314" s="88" t="str">
        <f t="shared" si="80"/>
        <v>8-2026</v>
      </c>
      <c r="B1314" s="86">
        <v>46240</v>
      </c>
      <c r="C1314" t="str">
        <f t="shared" si="81"/>
        <v>L-V</v>
      </c>
      <c r="D1314" t="str">
        <f t="shared" si="82"/>
        <v>Jueves</v>
      </c>
    </row>
    <row r="1315" spans="1:4" x14ac:dyDescent="0.25">
      <c r="A1315" s="88" t="str">
        <f t="shared" si="80"/>
        <v>8-2026</v>
      </c>
      <c r="B1315" s="86">
        <v>46241</v>
      </c>
      <c r="C1315" t="str">
        <f t="shared" si="81"/>
        <v>L-V</v>
      </c>
      <c r="D1315" t="str">
        <f t="shared" si="82"/>
        <v>Viernes</v>
      </c>
    </row>
    <row r="1316" spans="1:4" x14ac:dyDescent="0.25">
      <c r="A1316" s="88" t="str">
        <f t="shared" si="80"/>
        <v>8-2026</v>
      </c>
      <c r="B1316" s="86">
        <v>46242</v>
      </c>
      <c r="C1316" t="str">
        <f t="shared" si="81"/>
        <v>SAB</v>
      </c>
      <c r="D1316" t="str">
        <f t="shared" si="82"/>
        <v>Sábado</v>
      </c>
    </row>
    <row r="1317" spans="1:4" x14ac:dyDescent="0.25">
      <c r="A1317" s="88" t="str">
        <f t="shared" si="80"/>
        <v>8-2026</v>
      </c>
      <c r="B1317" s="86">
        <v>46243</v>
      </c>
      <c r="C1317" t="str">
        <f t="shared" si="81"/>
        <v>DOM</v>
      </c>
      <c r="D1317" t="str">
        <f t="shared" si="82"/>
        <v>Domingo</v>
      </c>
    </row>
    <row r="1318" spans="1:4" x14ac:dyDescent="0.25">
      <c r="A1318" s="88" t="str">
        <f t="shared" si="80"/>
        <v>8-2026</v>
      </c>
      <c r="B1318" s="86">
        <v>46244</v>
      </c>
      <c r="C1318" t="str">
        <f t="shared" si="81"/>
        <v>L-V</v>
      </c>
      <c r="D1318" t="str">
        <f t="shared" si="82"/>
        <v>Lunes</v>
      </c>
    </row>
    <row r="1319" spans="1:4" x14ac:dyDescent="0.25">
      <c r="A1319" s="88" t="str">
        <f t="shared" si="80"/>
        <v>8-2026</v>
      </c>
      <c r="B1319" s="86">
        <v>46245</v>
      </c>
      <c r="C1319" t="str">
        <f t="shared" si="81"/>
        <v>L-V</v>
      </c>
      <c r="D1319" t="str">
        <f t="shared" si="82"/>
        <v>Martes</v>
      </c>
    </row>
    <row r="1320" spans="1:4" x14ac:dyDescent="0.25">
      <c r="A1320" s="88" t="str">
        <f t="shared" si="80"/>
        <v>8-2026</v>
      </c>
      <c r="B1320" s="86">
        <v>46246</v>
      </c>
      <c r="C1320" t="str">
        <f t="shared" si="81"/>
        <v>L-V</v>
      </c>
      <c r="D1320" t="str">
        <f t="shared" si="82"/>
        <v>Miércoles</v>
      </c>
    </row>
    <row r="1321" spans="1:4" x14ac:dyDescent="0.25">
      <c r="A1321" s="88" t="str">
        <f t="shared" si="80"/>
        <v>8-2026</v>
      </c>
      <c r="B1321" s="86">
        <v>46247</v>
      </c>
      <c r="C1321" t="str">
        <f t="shared" si="81"/>
        <v>L-V</v>
      </c>
      <c r="D1321" t="str">
        <f t="shared" si="82"/>
        <v>Jueves</v>
      </c>
    </row>
    <row r="1322" spans="1:4" x14ac:dyDescent="0.25">
      <c r="A1322" s="88" t="str">
        <f t="shared" si="80"/>
        <v>8-2026</v>
      </c>
      <c r="B1322" s="86">
        <v>46248</v>
      </c>
      <c r="C1322" t="str">
        <f t="shared" si="81"/>
        <v>L-V</v>
      </c>
      <c r="D1322" t="str">
        <f t="shared" si="82"/>
        <v>Viernes</v>
      </c>
    </row>
    <row r="1323" spans="1:4" x14ac:dyDescent="0.25">
      <c r="A1323" s="88" t="str">
        <f t="shared" si="80"/>
        <v>8-2026</v>
      </c>
      <c r="B1323" s="86">
        <v>46249</v>
      </c>
      <c r="C1323" t="str">
        <f t="shared" si="81"/>
        <v>SAB</v>
      </c>
      <c r="D1323" t="str">
        <f t="shared" si="82"/>
        <v>Sábado</v>
      </c>
    </row>
    <row r="1324" spans="1:4" x14ac:dyDescent="0.25">
      <c r="A1324" s="88" t="str">
        <f t="shared" si="80"/>
        <v>8-2026</v>
      </c>
      <c r="B1324" s="86">
        <v>46250</v>
      </c>
      <c r="C1324" t="str">
        <f t="shared" si="81"/>
        <v>DOM</v>
      </c>
      <c r="D1324" t="str">
        <f t="shared" si="82"/>
        <v>Domingo</v>
      </c>
    </row>
    <row r="1325" spans="1:4" x14ac:dyDescent="0.25">
      <c r="A1325" s="88" t="str">
        <f t="shared" si="80"/>
        <v>8-2026</v>
      </c>
      <c r="B1325" s="86">
        <v>46251</v>
      </c>
      <c r="C1325" t="str">
        <f t="shared" si="81"/>
        <v>L-V</v>
      </c>
      <c r="D1325" t="str">
        <f t="shared" si="82"/>
        <v>Lunes</v>
      </c>
    </row>
    <row r="1326" spans="1:4" x14ac:dyDescent="0.25">
      <c r="A1326" s="88" t="str">
        <f t="shared" si="80"/>
        <v>8-2026</v>
      </c>
      <c r="B1326" s="86">
        <v>46252</v>
      </c>
      <c r="C1326" t="str">
        <f t="shared" si="81"/>
        <v>L-V</v>
      </c>
      <c r="D1326" t="str">
        <f t="shared" si="82"/>
        <v>Martes</v>
      </c>
    </row>
    <row r="1327" spans="1:4" x14ac:dyDescent="0.25">
      <c r="A1327" s="88" t="str">
        <f t="shared" si="80"/>
        <v>8-2026</v>
      </c>
      <c r="B1327" s="86">
        <v>46253</v>
      </c>
      <c r="C1327" t="str">
        <f t="shared" si="81"/>
        <v>L-V</v>
      </c>
      <c r="D1327" t="str">
        <f t="shared" si="82"/>
        <v>Miércoles</v>
      </c>
    </row>
    <row r="1328" spans="1:4" x14ac:dyDescent="0.25">
      <c r="A1328" s="88" t="str">
        <f t="shared" si="80"/>
        <v>8-2026</v>
      </c>
      <c r="B1328" s="86">
        <v>46254</v>
      </c>
      <c r="C1328" t="str">
        <f t="shared" si="81"/>
        <v>L-V</v>
      </c>
      <c r="D1328" t="str">
        <f t="shared" si="82"/>
        <v>Jueves</v>
      </c>
    </row>
    <row r="1329" spans="1:4" x14ac:dyDescent="0.25">
      <c r="A1329" s="88" t="str">
        <f t="shared" si="80"/>
        <v>8-2026</v>
      </c>
      <c r="B1329" s="86">
        <v>46255</v>
      </c>
      <c r="C1329" t="str">
        <f t="shared" si="81"/>
        <v>L-V</v>
      </c>
      <c r="D1329" t="str">
        <f t="shared" si="82"/>
        <v>Viernes</v>
      </c>
    </row>
    <row r="1330" spans="1:4" x14ac:dyDescent="0.25">
      <c r="A1330" s="88" t="str">
        <f t="shared" si="80"/>
        <v>8-2026</v>
      </c>
      <c r="B1330" s="86">
        <v>46256</v>
      </c>
      <c r="C1330" t="str">
        <f t="shared" si="81"/>
        <v>SAB</v>
      </c>
      <c r="D1330" t="str">
        <f t="shared" si="82"/>
        <v>Sábado</v>
      </c>
    </row>
    <row r="1331" spans="1:4" x14ac:dyDescent="0.25">
      <c r="A1331" s="88" t="str">
        <f t="shared" si="80"/>
        <v>8-2026</v>
      </c>
      <c r="B1331" s="86">
        <v>46257</v>
      </c>
      <c r="C1331" t="str">
        <f t="shared" si="81"/>
        <v>DOM</v>
      </c>
      <c r="D1331" t="str">
        <f t="shared" si="82"/>
        <v>Domingo</v>
      </c>
    </row>
    <row r="1332" spans="1:4" x14ac:dyDescent="0.25">
      <c r="A1332" s="88" t="str">
        <f t="shared" si="80"/>
        <v>8-2026</v>
      </c>
      <c r="B1332" s="86">
        <v>46258</v>
      </c>
      <c r="C1332" t="str">
        <f t="shared" si="81"/>
        <v>L-V</v>
      </c>
      <c r="D1332" t="str">
        <f t="shared" si="82"/>
        <v>Lunes</v>
      </c>
    </row>
    <row r="1333" spans="1:4" x14ac:dyDescent="0.25">
      <c r="A1333" s="88" t="str">
        <f t="shared" si="80"/>
        <v>8-2026</v>
      </c>
      <c r="B1333" s="86">
        <v>46259</v>
      </c>
      <c r="C1333" t="str">
        <f t="shared" si="81"/>
        <v>L-V</v>
      </c>
      <c r="D1333" t="str">
        <f t="shared" si="82"/>
        <v>Martes</v>
      </c>
    </row>
    <row r="1334" spans="1:4" x14ac:dyDescent="0.25">
      <c r="A1334" s="88" t="str">
        <f t="shared" si="80"/>
        <v>8-2026</v>
      </c>
      <c r="B1334" s="86">
        <v>46260</v>
      </c>
      <c r="C1334" t="str">
        <f t="shared" si="81"/>
        <v>L-V</v>
      </c>
      <c r="D1334" t="str">
        <f t="shared" si="82"/>
        <v>Miércoles</v>
      </c>
    </row>
    <row r="1335" spans="1:4" x14ac:dyDescent="0.25">
      <c r="A1335" s="88" t="str">
        <f t="shared" si="80"/>
        <v>8-2026</v>
      </c>
      <c r="B1335" s="86">
        <v>46261</v>
      </c>
      <c r="C1335" t="str">
        <f t="shared" si="81"/>
        <v>L-V</v>
      </c>
      <c r="D1335" t="str">
        <f t="shared" si="82"/>
        <v>Jueves</v>
      </c>
    </row>
    <row r="1336" spans="1:4" x14ac:dyDescent="0.25">
      <c r="A1336" s="88" t="str">
        <f t="shared" si="80"/>
        <v>8-2026</v>
      </c>
      <c r="B1336" s="86">
        <v>46262</v>
      </c>
      <c r="C1336" t="str">
        <f t="shared" si="81"/>
        <v>L-V</v>
      </c>
      <c r="D1336" t="str">
        <f t="shared" si="82"/>
        <v>Viernes</v>
      </c>
    </row>
    <row r="1337" spans="1:4" x14ac:dyDescent="0.25">
      <c r="A1337" s="88" t="str">
        <f t="shared" si="80"/>
        <v>8-2026</v>
      </c>
      <c r="B1337" s="86">
        <v>46263</v>
      </c>
      <c r="C1337" t="str">
        <f t="shared" si="81"/>
        <v>SAB</v>
      </c>
      <c r="D1337" t="str">
        <f t="shared" si="82"/>
        <v>Sábado</v>
      </c>
    </row>
    <row r="1338" spans="1:4" x14ac:dyDescent="0.25">
      <c r="A1338" s="88" t="str">
        <f t="shared" si="80"/>
        <v>8-2026</v>
      </c>
      <c r="B1338" s="86">
        <v>46264</v>
      </c>
      <c r="C1338" t="str">
        <f t="shared" si="81"/>
        <v>DOM</v>
      </c>
      <c r="D1338" t="str">
        <f t="shared" si="82"/>
        <v>Domingo</v>
      </c>
    </row>
    <row r="1339" spans="1:4" x14ac:dyDescent="0.25">
      <c r="A1339" s="88" t="str">
        <f t="shared" si="80"/>
        <v>8-2026</v>
      </c>
      <c r="B1339" s="86">
        <v>46265</v>
      </c>
      <c r="C1339" t="str">
        <f t="shared" si="81"/>
        <v>L-V</v>
      </c>
      <c r="D1339" t="str">
        <f t="shared" si="82"/>
        <v>Lunes</v>
      </c>
    </row>
    <row r="1340" spans="1:4" x14ac:dyDescent="0.25">
      <c r="A1340" s="88" t="str">
        <f t="shared" si="80"/>
        <v>9-2026</v>
      </c>
      <c r="B1340" s="86">
        <v>46266</v>
      </c>
      <c r="C1340" t="str">
        <f t="shared" si="81"/>
        <v>L-V</v>
      </c>
      <c r="D1340" t="str">
        <f t="shared" si="82"/>
        <v>Martes</v>
      </c>
    </row>
    <row r="1341" spans="1:4" x14ac:dyDescent="0.25">
      <c r="A1341" s="88" t="str">
        <f t="shared" si="80"/>
        <v>9-2026</v>
      </c>
      <c r="B1341" s="86">
        <v>46267</v>
      </c>
      <c r="C1341" t="str">
        <f t="shared" si="81"/>
        <v>L-V</v>
      </c>
      <c r="D1341" t="str">
        <f t="shared" si="82"/>
        <v>Miércoles</v>
      </c>
    </row>
    <row r="1342" spans="1:4" x14ac:dyDescent="0.25">
      <c r="A1342" s="88" t="str">
        <f t="shared" si="80"/>
        <v>9-2026</v>
      </c>
      <c r="B1342" s="86">
        <v>46268</v>
      </c>
      <c r="C1342" t="str">
        <f t="shared" si="81"/>
        <v>L-V</v>
      </c>
      <c r="D1342" t="str">
        <f t="shared" si="82"/>
        <v>Jueves</v>
      </c>
    </row>
    <row r="1343" spans="1:4" x14ac:dyDescent="0.25">
      <c r="A1343" s="88" t="str">
        <f t="shared" si="80"/>
        <v>9-2026</v>
      </c>
      <c r="B1343" s="86">
        <v>46269</v>
      </c>
      <c r="C1343" t="str">
        <f t="shared" si="81"/>
        <v>L-V</v>
      </c>
      <c r="D1343" t="str">
        <f t="shared" si="82"/>
        <v>Viernes</v>
      </c>
    </row>
    <row r="1344" spans="1:4" x14ac:dyDescent="0.25">
      <c r="A1344" s="88" t="str">
        <f t="shared" si="80"/>
        <v>9-2026</v>
      </c>
      <c r="B1344" s="86">
        <v>46270</v>
      </c>
      <c r="C1344" t="str">
        <f t="shared" si="81"/>
        <v>SAB</v>
      </c>
      <c r="D1344" t="str">
        <f t="shared" si="82"/>
        <v>Sábado</v>
      </c>
    </row>
    <row r="1345" spans="1:4" x14ac:dyDescent="0.25">
      <c r="A1345" s="88" t="str">
        <f t="shared" si="80"/>
        <v>9-2026</v>
      </c>
      <c r="B1345" s="86">
        <v>46271</v>
      </c>
      <c r="C1345" t="str">
        <f t="shared" si="81"/>
        <v>DOM</v>
      </c>
      <c r="D1345" t="str">
        <f t="shared" si="82"/>
        <v>Domingo</v>
      </c>
    </row>
    <row r="1346" spans="1:4" x14ac:dyDescent="0.25">
      <c r="A1346" s="88" t="str">
        <f t="shared" ref="A1346:A1409" si="83">MONTH(B1346)&amp;"-"&amp;YEAR(B1346)</f>
        <v>9-2026</v>
      </c>
      <c r="B1346" s="86">
        <v>46272</v>
      </c>
      <c r="C1346" t="str">
        <f t="shared" si="81"/>
        <v>L-V</v>
      </c>
      <c r="D1346" t="str">
        <f t="shared" si="82"/>
        <v>Lunes</v>
      </c>
    </row>
    <row r="1347" spans="1:4" x14ac:dyDescent="0.25">
      <c r="A1347" s="88" t="str">
        <f t="shared" si="83"/>
        <v>9-2026</v>
      </c>
      <c r="B1347" s="86">
        <v>46273</v>
      </c>
      <c r="C1347" t="str">
        <f t="shared" ref="C1347:C1410" si="84">VLOOKUP(WEEKDAY(B1347,2),$F$1:$H$7,2)</f>
        <v>L-V</v>
      </c>
      <c r="D1347" t="str">
        <f t="shared" ref="D1347:D1410" si="85">VLOOKUP(WEEKDAY($B1347,2),$F$1:$H$7,3)</f>
        <v>Martes</v>
      </c>
    </row>
    <row r="1348" spans="1:4" x14ac:dyDescent="0.25">
      <c r="A1348" s="88" t="str">
        <f t="shared" si="83"/>
        <v>9-2026</v>
      </c>
      <c r="B1348" s="86">
        <v>46274</v>
      </c>
      <c r="C1348" t="str">
        <f t="shared" si="84"/>
        <v>L-V</v>
      </c>
      <c r="D1348" t="str">
        <f t="shared" si="85"/>
        <v>Miércoles</v>
      </c>
    </row>
    <row r="1349" spans="1:4" x14ac:dyDescent="0.25">
      <c r="A1349" s="88" t="str">
        <f t="shared" si="83"/>
        <v>9-2026</v>
      </c>
      <c r="B1349" s="86">
        <v>46275</v>
      </c>
      <c r="C1349" t="str">
        <f t="shared" si="84"/>
        <v>L-V</v>
      </c>
      <c r="D1349" t="str">
        <f t="shared" si="85"/>
        <v>Jueves</v>
      </c>
    </row>
    <row r="1350" spans="1:4" x14ac:dyDescent="0.25">
      <c r="A1350" s="88" t="str">
        <f t="shared" si="83"/>
        <v>9-2026</v>
      </c>
      <c r="B1350" s="86">
        <v>46276</v>
      </c>
      <c r="C1350" t="str">
        <f t="shared" si="84"/>
        <v>L-V</v>
      </c>
      <c r="D1350" t="str">
        <f t="shared" si="85"/>
        <v>Viernes</v>
      </c>
    </row>
    <row r="1351" spans="1:4" x14ac:dyDescent="0.25">
      <c r="A1351" s="88" t="str">
        <f t="shared" si="83"/>
        <v>9-2026</v>
      </c>
      <c r="B1351" s="86">
        <v>46277</v>
      </c>
      <c r="C1351" t="str">
        <f t="shared" si="84"/>
        <v>SAB</v>
      </c>
      <c r="D1351" t="str">
        <f t="shared" si="85"/>
        <v>Sábado</v>
      </c>
    </row>
    <row r="1352" spans="1:4" x14ac:dyDescent="0.25">
      <c r="A1352" s="88" t="str">
        <f t="shared" si="83"/>
        <v>9-2026</v>
      </c>
      <c r="B1352" s="86">
        <v>46278</v>
      </c>
      <c r="C1352" t="str">
        <f t="shared" si="84"/>
        <v>DOM</v>
      </c>
      <c r="D1352" t="str">
        <f t="shared" si="85"/>
        <v>Domingo</v>
      </c>
    </row>
    <row r="1353" spans="1:4" x14ac:dyDescent="0.25">
      <c r="A1353" s="88" t="str">
        <f t="shared" si="83"/>
        <v>9-2026</v>
      </c>
      <c r="B1353" s="86">
        <v>46279</v>
      </c>
      <c r="C1353" t="str">
        <f t="shared" si="84"/>
        <v>L-V</v>
      </c>
      <c r="D1353" t="str">
        <f t="shared" si="85"/>
        <v>Lunes</v>
      </c>
    </row>
    <row r="1354" spans="1:4" x14ac:dyDescent="0.25">
      <c r="A1354" s="88" t="str">
        <f t="shared" si="83"/>
        <v>9-2026</v>
      </c>
      <c r="B1354" s="86">
        <v>46280</v>
      </c>
      <c r="C1354" t="str">
        <f t="shared" si="84"/>
        <v>L-V</v>
      </c>
      <c r="D1354" t="str">
        <f t="shared" si="85"/>
        <v>Martes</v>
      </c>
    </row>
    <row r="1355" spans="1:4" x14ac:dyDescent="0.25">
      <c r="A1355" s="88" t="str">
        <f t="shared" si="83"/>
        <v>9-2026</v>
      </c>
      <c r="B1355" s="86">
        <v>46281</v>
      </c>
      <c r="C1355" t="str">
        <f t="shared" si="84"/>
        <v>L-V</v>
      </c>
      <c r="D1355" t="str">
        <f t="shared" si="85"/>
        <v>Miércoles</v>
      </c>
    </row>
    <row r="1356" spans="1:4" x14ac:dyDescent="0.25">
      <c r="A1356" s="88" t="str">
        <f t="shared" si="83"/>
        <v>9-2026</v>
      </c>
      <c r="B1356" s="86">
        <v>46282</v>
      </c>
      <c r="C1356" t="str">
        <f t="shared" si="84"/>
        <v>L-V</v>
      </c>
      <c r="D1356" t="str">
        <f t="shared" si="85"/>
        <v>Jueves</v>
      </c>
    </row>
    <row r="1357" spans="1:4" x14ac:dyDescent="0.25">
      <c r="A1357" s="88" t="str">
        <f t="shared" si="83"/>
        <v>9-2026</v>
      </c>
      <c r="B1357" s="86">
        <v>46283</v>
      </c>
      <c r="C1357" t="str">
        <f t="shared" si="84"/>
        <v>L-V</v>
      </c>
      <c r="D1357" t="str">
        <f t="shared" si="85"/>
        <v>Viernes</v>
      </c>
    </row>
    <row r="1358" spans="1:4" x14ac:dyDescent="0.25">
      <c r="A1358" s="88" t="str">
        <f t="shared" si="83"/>
        <v>9-2026</v>
      </c>
      <c r="B1358" s="86">
        <v>46284</v>
      </c>
      <c r="C1358" t="str">
        <f t="shared" si="84"/>
        <v>SAB</v>
      </c>
      <c r="D1358" t="str">
        <f t="shared" si="85"/>
        <v>Sábado</v>
      </c>
    </row>
    <row r="1359" spans="1:4" x14ac:dyDescent="0.25">
      <c r="A1359" s="88" t="str">
        <f t="shared" si="83"/>
        <v>9-2026</v>
      </c>
      <c r="B1359" s="86">
        <v>46285</v>
      </c>
      <c r="C1359" t="str">
        <f t="shared" si="84"/>
        <v>DOM</v>
      </c>
      <c r="D1359" t="str">
        <f t="shared" si="85"/>
        <v>Domingo</v>
      </c>
    </row>
    <row r="1360" spans="1:4" x14ac:dyDescent="0.25">
      <c r="A1360" s="88" t="str">
        <f t="shared" si="83"/>
        <v>9-2026</v>
      </c>
      <c r="B1360" s="86">
        <v>46286</v>
      </c>
      <c r="C1360" t="str">
        <f t="shared" si="84"/>
        <v>L-V</v>
      </c>
      <c r="D1360" t="str">
        <f t="shared" si="85"/>
        <v>Lunes</v>
      </c>
    </row>
    <row r="1361" spans="1:4" x14ac:dyDescent="0.25">
      <c r="A1361" s="88" t="str">
        <f t="shared" si="83"/>
        <v>9-2026</v>
      </c>
      <c r="B1361" s="86">
        <v>46287</v>
      </c>
      <c r="C1361" t="str">
        <f t="shared" si="84"/>
        <v>L-V</v>
      </c>
      <c r="D1361" t="str">
        <f t="shared" si="85"/>
        <v>Martes</v>
      </c>
    </row>
    <row r="1362" spans="1:4" x14ac:dyDescent="0.25">
      <c r="A1362" s="88" t="str">
        <f t="shared" si="83"/>
        <v>9-2026</v>
      </c>
      <c r="B1362" s="86">
        <v>46288</v>
      </c>
      <c r="C1362" t="str">
        <f t="shared" si="84"/>
        <v>L-V</v>
      </c>
      <c r="D1362" t="str">
        <f t="shared" si="85"/>
        <v>Miércoles</v>
      </c>
    </row>
    <row r="1363" spans="1:4" x14ac:dyDescent="0.25">
      <c r="A1363" s="88" t="str">
        <f t="shared" si="83"/>
        <v>9-2026</v>
      </c>
      <c r="B1363" s="86">
        <v>46289</v>
      </c>
      <c r="C1363" t="str">
        <f t="shared" si="84"/>
        <v>L-V</v>
      </c>
      <c r="D1363" t="str">
        <f t="shared" si="85"/>
        <v>Jueves</v>
      </c>
    </row>
    <row r="1364" spans="1:4" x14ac:dyDescent="0.25">
      <c r="A1364" s="88" t="str">
        <f t="shared" si="83"/>
        <v>9-2026</v>
      </c>
      <c r="B1364" s="86">
        <v>46290</v>
      </c>
      <c r="C1364" t="str">
        <f t="shared" si="84"/>
        <v>L-V</v>
      </c>
      <c r="D1364" t="str">
        <f t="shared" si="85"/>
        <v>Viernes</v>
      </c>
    </row>
    <row r="1365" spans="1:4" x14ac:dyDescent="0.25">
      <c r="A1365" s="88" t="str">
        <f t="shared" si="83"/>
        <v>9-2026</v>
      </c>
      <c r="B1365" s="86">
        <v>46291</v>
      </c>
      <c r="C1365" t="str">
        <f t="shared" si="84"/>
        <v>SAB</v>
      </c>
      <c r="D1365" t="str">
        <f t="shared" si="85"/>
        <v>Sábado</v>
      </c>
    </row>
    <row r="1366" spans="1:4" x14ac:dyDescent="0.25">
      <c r="A1366" s="88" t="str">
        <f t="shared" si="83"/>
        <v>9-2026</v>
      </c>
      <c r="B1366" s="86">
        <v>46292</v>
      </c>
      <c r="C1366" t="str">
        <f t="shared" si="84"/>
        <v>DOM</v>
      </c>
      <c r="D1366" t="str">
        <f t="shared" si="85"/>
        <v>Domingo</v>
      </c>
    </row>
    <row r="1367" spans="1:4" x14ac:dyDescent="0.25">
      <c r="A1367" s="88" t="str">
        <f t="shared" si="83"/>
        <v>9-2026</v>
      </c>
      <c r="B1367" s="86">
        <v>46293</v>
      </c>
      <c r="C1367" t="str">
        <f t="shared" si="84"/>
        <v>L-V</v>
      </c>
      <c r="D1367" t="str">
        <f t="shared" si="85"/>
        <v>Lunes</v>
      </c>
    </row>
    <row r="1368" spans="1:4" x14ac:dyDescent="0.25">
      <c r="A1368" s="88" t="str">
        <f t="shared" si="83"/>
        <v>9-2026</v>
      </c>
      <c r="B1368" s="86">
        <v>46294</v>
      </c>
      <c r="C1368" t="str">
        <f t="shared" si="84"/>
        <v>L-V</v>
      </c>
      <c r="D1368" t="str">
        <f t="shared" si="85"/>
        <v>Martes</v>
      </c>
    </row>
    <row r="1369" spans="1:4" x14ac:dyDescent="0.25">
      <c r="A1369" s="88" t="str">
        <f t="shared" si="83"/>
        <v>9-2026</v>
      </c>
      <c r="B1369" s="86">
        <v>46295</v>
      </c>
      <c r="C1369" t="str">
        <f t="shared" si="84"/>
        <v>L-V</v>
      </c>
      <c r="D1369" t="str">
        <f t="shared" si="85"/>
        <v>Miércoles</v>
      </c>
    </row>
    <row r="1370" spans="1:4" x14ac:dyDescent="0.25">
      <c r="A1370" s="88" t="str">
        <f t="shared" si="83"/>
        <v>10-2026</v>
      </c>
      <c r="B1370" s="86">
        <v>46296</v>
      </c>
      <c r="C1370" t="str">
        <f t="shared" si="84"/>
        <v>L-V</v>
      </c>
      <c r="D1370" t="str">
        <f t="shared" si="85"/>
        <v>Jueves</v>
      </c>
    </row>
    <row r="1371" spans="1:4" x14ac:dyDescent="0.25">
      <c r="A1371" s="88" t="str">
        <f t="shared" si="83"/>
        <v>10-2026</v>
      </c>
      <c r="B1371" s="86">
        <v>46297</v>
      </c>
      <c r="C1371" t="str">
        <f t="shared" si="84"/>
        <v>L-V</v>
      </c>
      <c r="D1371" t="str">
        <f t="shared" si="85"/>
        <v>Viernes</v>
      </c>
    </row>
    <row r="1372" spans="1:4" x14ac:dyDescent="0.25">
      <c r="A1372" s="88" t="str">
        <f t="shared" si="83"/>
        <v>10-2026</v>
      </c>
      <c r="B1372" s="86">
        <v>46298</v>
      </c>
      <c r="C1372" t="str">
        <f t="shared" si="84"/>
        <v>SAB</v>
      </c>
      <c r="D1372" t="str">
        <f t="shared" si="85"/>
        <v>Sábado</v>
      </c>
    </row>
    <row r="1373" spans="1:4" x14ac:dyDescent="0.25">
      <c r="A1373" s="88" t="str">
        <f t="shared" si="83"/>
        <v>10-2026</v>
      </c>
      <c r="B1373" s="86">
        <v>46299</v>
      </c>
      <c r="C1373" t="str">
        <f t="shared" si="84"/>
        <v>DOM</v>
      </c>
      <c r="D1373" t="str">
        <f t="shared" si="85"/>
        <v>Domingo</v>
      </c>
    </row>
    <row r="1374" spans="1:4" x14ac:dyDescent="0.25">
      <c r="A1374" s="88" t="str">
        <f t="shared" si="83"/>
        <v>10-2026</v>
      </c>
      <c r="B1374" s="86">
        <v>46300</v>
      </c>
      <c r="C1374" t="str">
        <f t="shared" si="84"/>
        <v>L-V</v>
      </c>
      <c r="D1374" t="str">
        <f t="shared" si="85"/>
        <v>Lunes</v>
      </c>
    </row>
    <row r="1375" spans="1:4" x14ac:dyDescent="0.25">
      <c r="A1375" s="88" t="str">
        <f t="shared" si="83"/>
        <v>10-2026</v>
      </c>
      <c r="B1375" s="86">
        <v>46301</v>
      </c>
      <c r="C1375" t="str">
        <f t="shared" si="84"/>
        <v>L-V</v>
      </c>
      <c r="D1375" t="str">
        <f t="shared" si="85"/>
        <v>Martes</v>
      </c>
    </row>
    <row r="1376" spans="1:4" x14ac:dyDescent="0.25">
      <c r="A1376" s="88" t="str">
        <f t="shared" si="83"/>
        <v>10-2026</v>
      </c>
      <c r="B1376" s="86">
        <v>46302</v>
      </c>
      <c r="C1376" t="str">
        <f t="shared" si="84"/>
        <v>L-V</v>
      </c>
      <c r="D1376" t="str">
        <f t="shared" si="85"/>
        <v>Miércoles</v>
      </c>
    </row>
    <row r="1377" spans="1:4" x14ac:dyDescent="0.25">
      <c r="A1377" s="88" t="str">
        <f t="shared" si="83"/>
        <v>10-2026</v>
      </c>
      <c r="B1377" s="86">
        <v>46303</v>
      </c>
      <c r="C1377" t="str">
        <f t="shared" si="84"/>
        <v>L-V</v>
      </c>
      <c r="D1377" t="str">
        <f t="shared" si="85"/>
        <v>Jueves</v>
      </c>
    </row>
    <row r="1378" spans="1:4" x14ac:dyDescent="0.25">
      <c r="A1378" s="88" t="str">
        <f t="shared" si="83"/>
        <v>10-2026</v>
      </c>
      <c r="B1378" s="86">
        <v>46304</v>
      </c>
      <c r="C1378" t="str">
        <f t="shared" si="84"/>
        <v>L-V</v>
      </c>
      <c r="D1378" t="str">
        <f t="shared" si="85"/>
        <v>Viernes</v>
      </c>
    </row>
    <row r="1379" spans="1:4" x14ac:dyDescent="0.25">
      <c r="A1379" s="88" t="str">
        <f t="shared" si="83"/>
        <v>10-2026</v>
      </c>
      <c r="B1379" s="86">
        <v>46305</v>
      </c>
      <c r="C1379" t="str">
        <f t="shared" si="84"/>
        <v>SAB</v>
      </c>
      <c r="D1379" t="str">
        <f t="shared" si="85"/>
        <v>Sábado</v>
      </c>
    </row>
    <row r="1380" spans="1:4" x14ac:dyDescent="0.25">
      <c r="A1380" s="88" t="str">
        <f t="shared" si="83"/>
        <v>10-2026</v>
      </c>
      <c r="B1380" s="86">
        <v>46306</v>
      </c>
      <c r="C1380" t="str">
        <f t="shared" si="84"/>
        <v>DOM</v>
      </c>
      <c r="D1380" t="str">
        <f t="shared" si="85"/>
        <v>Domingo</v>
      </c>
    </row>
    <row r="1381" spans="1:4" x14ac:dyDescent="0.25">
      <c r="A1381" s="88" t="str">
        <f t="shared" si="83"/>
        <v>10-2026</v>
      </c>
      <c r="B1381" s="86">
        <v>46307</v>
      </c>
      <c r="C1381" t="str">
        <f t="shared" si="84"/>
        <v>L-V</v>
      </c>
      <c r="D1381" t="str">
        <f t="shared" si="85"/>
        <v>Lunes</v>
      </c>
    </row>
    <row r="1382" spans="1:4" x14ac:dyDescent="0.25">
      <c r="A1382" s="88" t="str">
        <f t="shared" si="83"/>
        <v>10-2026</v>
      </c>
      <c r="B1382" s="86">
        <v>46308</v>
      </c>
      <c r="C1382" t="str">
        <f t="shared" si="84"/>
        <v>L-V</v>
      </c>
      <c r="D1382" t="str">
        <f t="shared" si="85"/>
        <v>Martes</v>
      </c>
    </row>
    <row r="1383" spans="1:4" x14ac:dyDescent="0.25">
      <c r="A1383" s="88" t="str">
        <f t="shared" si="83"/>
        <v>10-2026</v>
      </c>
      <c r="B1383" s="86">
        <v>46309</v>
      </c>
      <c r="C1383" t="str">
        <f t="shared" si="84"/>
        <v>L-V</v>
      </c>
      <c r="D1383" t="str">
        <f t="shared" si="85"/>
        <v>Miércoles</v>
      </c>
    </row>
    <row r="1384" spans="1:4" x14ac:dyDescent="0.25">
      <c r="A1384" s="88" t="str">
        <f t="shared" si="83"/>
        <v>10-2026</v>
      </c>
      <c r="B1384" s="86">
        <v>46310</v>
      </c>
      <c r="C1384" t="str">
        <f t="shared" si="84"/>
        <v>L-V</v>
      </c>
      <c r="D1384" t="str">
        <f t="shared" si="85"/>
        <v>Jueves</v>
      </c>
    </row>
    <row r="1385" spans="1:4" x14ac:dyDescent="0.25">
      <c r="A1385" s="88" t="str">
        <f t="shared" si="83"/>
        <v>10-2026</v>
      </c>
      <c r="B1385" s="86">
        <v>46311</v>
      </c>
      <c r="C1385" t="str">
        <f t="shared" si="84"/>
        <v>L-V</v>
      </c>
      <c r="D1385" t="str">
        <f t="shared" si="85"/>
        <v>Viernes</v>
      </c>
    </row>
    <row r="1386" spans="1:4" x14ac:dyDescent="0.25">
      <c r="A1386" s="88" t="str">
        <f t="shared" si="83"/>
        <v>10-2026</v>
      </c>
      <c r="B1386" s="86">
        <v>46312</v>
      </c>
      <c r="C1386" t="str">
        <f t="shared" si="84"/>
        <v>SAB</v>
      </c>
      <c r="D1386" t="str">
        <f t="shared" si="85"/>
        <v>Sábado</v>
      </c>
    </row>
    <row r="1387" spans="1:4" x14ac:dyDescent="0.25">
      <c r="A1387" s="88" t="str">
        <f t="shared" si="83"/>
        <v>10-2026</v>
      </c>
      <c r="B1387" s="86">
        <v>46313</v>
      </c>
      <c r="C1387" t="str">
        <f t="shared" si="84"/>
        <v>DOM</v>
      </c>
      <c r="D1387" t="str">
        <f t="shared" si="85"/>
        <v>Domingo</v>
      </c>
    </row>
    <row r="1388" spans="1:4" x14ac:dyDescent="0.25">
      <c r="A1388" s="88" t="str">
        <f t="shared" si="83"/>
        <v>10-2026</v>
      </c>
      <c r="B1388" s="86">
        <v>46314</v>
      </c>
      <c r="C1388" t="str">
        <f t="shared" si="84"/>
        <v>L-V</v>
      </c>
      <c r="D1388" t="str">
        <f t="shared" si="85"/>
        <v>Lunes</v>
      </c>
    </row>
    <row r="1389" spans="1:4" x14ac:dyDescent="0.25">
      <c r="A1389" s="88" t="str">
        <f t="shared" si="83"/>
        <v>10-2026</v>
      </c>
      <c r="B1389" s="86">
        <v>46315</v>
      </c>
      <c r="C1389" t="str">
        <f t="shared" si="84"/>
        <v>L-V</v>
      </c>
      <c r="D1389" t="str">
        <f t="shared" si="85"/>
        <v>Martes</v>
      </c>
    </row>
    <row r="1390" spans="1:4" x14ac:dyDescent="0.25">
      <c r="A1390" s="88" t="str">
        <f t="shared" si="83"/>
        <v>10-2026</v>
      </c>
      <c r="B1390" s="86">
        <v>46316</v>
      </c>
      <c r="C1390" t="str">
        <f t="shared" si="84"/>
        <v>L-V</v>
      </c>
      <c r="D1390" t="str">
        <f t="shared" si="85"/>
        <v>Miércoles</v>
      </c>
    </row>
    <row r="1391" spans="1:4" x14ac:dyDescent="0.25">
      <c r="A1391" s="88" t="str">
        <f t="shared" si="83"/>
        <v>10-2026</v>
      </c>
      <c r="B1391" s="86">
        <v>46317</v>
      </c>
      <c r="C1391" t="str">
        <f t="shared" si="84"/>
        <v>L-V</v>
      </c>
      <c r="D1391" t="str">
        <f t="shared" si="85"/>
        <v>Jueves</v>
      </c>
    </row>
    <row r="1392" spans="1:4" x14ac:dyDescent="0.25">
      <c r="A1392" s="88" t="str">
        <f t="shared" si="83"/>
        <v>10-2026</v>
      </c>
      <c r="B1392" s="86">
        <v>46318</v>
      </c>
      <c r="C1392" t="str">
        <f t="shared" si="84"/>
        <v>L-V</v>
      </c>
      <c r="D1392" t="str">
        <f t="shared" si="85"/>
        <v>Viernes</v>
      </c>
    </row>
    <row r="1393" spans="1:4" x14ac:dyDescent="0.25">
      <c r="A1393" s="88" t="str">
        <f t="shared" si="83"/>
        <v>10-2026</v>
      </c>
      <c r="B1393" s="86">
        <v>46319</v>
      </c>
      <c r="C1393" t="str">
        <f t="shared" si="84"/>
        <v>SAB</v>
      </c>
      <c r="D1393" t="str">
        <f t="shared" si="85"/>
        <v>Sábado</v>
      </c>
    </row>
    <row r="1394" spans="1:4" x14ac:dyDescent="0.25">
      <c r="A1394" s="88" t="str">
        <f t="shared" si="83"/>
        <v>10-2026</v>
      </c>
      <c r="B1394" s="86">
        <v>46320</v>
      </c>
      <c r="C1394" t="str">
        <f t="shared" si="84"/>
        <v>DOM</v>
      </c>
      <c r="D1394" t="str">
        <f t="shared" si="85"/>
        <v>Domingo</v>
      </c>
    </row>
    <row r="1395" spans="1:4" x14ac:dyDescent="0.25">
      <c r="A1395" s="88" t="str">
        <f t="shared" si="83"/>
        <v>10-2026</v>
      </c>
      <c r="B1395" s="86">
        <v>46321</v>
      </c>
      <c r="C1395" t="str">
        <f t="shared" si="84"/>
        <v>L-V</v>
      </c>
      <c r="D1395" t="str">
        <f t="shared" si="85"/>
        <v>Lunes</v>
      </c>
    </row>
    <row r="1396" spans="1:4" x14ac:dyDescent="0.25">
      <c r="A1396" s="88" t="str">
        <f t="shared" si="83"/>
        <v>10-2026</v>
      </c>
      <c r="B1396" s="86">
        <v>46322</v>
      </c>
      <c r="C1396" t="str">
        <f t="shared" si="84"/>
        <v>L-V</v>
      </c>
      <c r="D1396" t="str">
        <f t="shared" si="85"/>
        <v>Martes</v>
      </c>
    </row>
    <row r="1397" spans="1:4" x14ac:dyDescent="0.25">
      <c r="A1397" s="88" t="str">
        <f t="shared" si="83"/>
        <v>10-2026</v>
      </c>
      <c r="B1397" s="86">
        <v>46323</v>
      </c>
      <c r="C1397" t="str">
        <f t="shared" si="84"/>
        <v>L-V</v>
      </c>
      <c r="D1397" t="str">
        <f t="shared" si="85"/>
        <v>Miércoles</v>
      </c>
    </row>
    <row r="1398" spans="1:4" x14ac:dyDescent="0.25">
      <c r="A1398" s="88" t="str">
        <f t="shared" si="83"/>
        <v>10-2026</v>
      </c>
      <c r="B1398" s="86">
        <v>46324</v>
      </c>
      <c r="C1398" t="str">
        <f t="shared" si="84"/>
        <v>L-V</v>
      </c>
      <c r="D1398" t="str">
        <f t="shared" si="85"/>
        <v>Jueves</v>
      </c>
    </row>
    <row r="1399" spans="1:4" x14ac:dyDescent="0.25">
      <c r="A1399" s="88" t="str">
        <f t="shared" si="83"/>
        <v>10-2026</v>
      </c>
      <c r="B1399" s="86">
        <v>46325</v>
      </c>
      <c r="C1399" t="str">
        <f t="shared" si="84"/>
        <v>L-V</v>
      </c>
      <c r="D1399" t="str">
        <f t="shared" si="85"/>
        <v>Viernes</v>
      </c>
    </row>
    <row r="1400" spans="1:4" x14ac:dyDescent="0.25">
      <c r="A1400" s="88" t="str">
        <f t="shared" si="83"/>
        <v>10-2026</v>
      </c>
      <c r="B1400" s="86">
        <v>46326</v>
      </c>
      <c r="C1400" t="str">
        <f t="shared" si="84"/>
        <v>SAB</v>
      </c>
      <c r="D1400" t="str">
        <f t="shared" si="85"/>
        <v>Sábado</v>
      </c>
    </row>
    <row r="1401" spans="1:4" x14ac:dyDescent="0.25">
      <c r="A1401" s="88" t="str">
        <f t="shared" si="83"/>
        <v>11-2026</v>
      </c>
      <c r="B1401" s="86">
        <v>46327</v>
      </c>
      <c r="C1401" t="str">
        <f t="shared" si="84"/>
        <v>DOM</v>
      </c>
      <c r="D1401" t="str">
        <f t="shared" si="85"/>
        <v>Domingo</v>
      </c>
    </row>
    <row r="1402" spans="1:4" x14ac:dyDescent="0.25">
      <c r="A1402" s="88" t="str">
        <f t="shared" si="83"/>
        <v>11-2026</v>
      </c>
      <c r="B1402" s="86">
        <v>46328</v>
      </c>
      <c r="C1402" t="str">
        <f t="shared" si="84"/>
        <v>L-V</v>
      </c>
      <c r="D1402" t="str">
        <f t="shared" si="85"/>
        <v>Lunes</v>
      </c>
    </row>
    <row r="1403" spans="1:4" x14ac:dyDescent="0.25">
      <c r="A1403" s="88" t="str">
        <f t="shared" si="83"/>
        <v>11-2026</v>
      </c>
      <c r="B1403" s="86">
        <v>46329</v>
      </c>
      <c r="C1403" t="str">
        <f t="shared" si="84"/>
        <v>L-V</v>
      </c>
      <c r="D1403" t="str">
        <f t="shared" si="85"/>
        <v>Martes</v>
      </c>
    </row>
    <row r="1404" spans="1:4" x14ac:dyDescent="0.25">
      <c r="A1404" s="88" t="str">
        <f t="shared" si="83"/>
        <v>11-2026</v>
      </c>
      <c r="B1404" s="86">
        <v>46330</v>
      </c>
      <c r="C1404" t="str">
        <f t="shared" si="84"/>
        <v>L-V</v>
      </c>
      <c r="D1404" t="str">
        <f t="shared" si="85"/>
        <v>Miércoles</v>
      </c>
    </row>
    <row r="1405" spans="1:4" x14ac:dyDescent="0.25">
      <c r="A1405" s="88" t="str">
        <f t="shared" si="83"/>
        <v>11-2026</v>
      </c>
      <c r="B1405" s="86">
        <v>46331</v>
      </c>
      <c r="C1405" t="str">
        <f t="shared" si="84"/>
        <v>L-V</v>
      </c>
      <c r="D1405" t="str">
        <f t="shared" si="85"/>
        <v>Jueves</v>
      </c>
    </row>
    <row r="1406" spans="1:4" x14ac:dyDescent="0.25">
      <c r="A1406" s="88" t="str">
        <f t="shared" si="83"/>
        <v>11-2026</v>
      </c>
      <c r="B1406" s="86">
        <v>46332</v>
      </c>
      <c r="C1406" t="str">
        <f t="shared" si="84"/>
        <v>L-V</v>
      </c>
      <c r="D1406" t="str">
        <f t="shared" si="85"/>
        <v>Viernes</v>
      </c>
    </row>
    <row r="1407" spans="1:4" x14ac:dyDescent="0.25">
      <c r="A1407" s="88" t="str">
        <f t="shared" si="83"/>
        <v>11-2026</v>
      </c>
      <c r="B1407" s="86">
        <v>46333</v>
      </c>
      <c r="C1407" t="str">
        <f t="shared" si="84"/>
        <v>SAB</v>
      </c>
      <c r="D1407" t="str">
        <f t="shared" si="85"/>
        <v>Sábado</v>
      </c>
    </row>
    <row r="1408" spans="1:4" x14ac:dyDescent="0.25">
      <c r="A1408" s="88" t="str">
        <f t="shared" si="83"/>
        <v>11-2026</v>
      </c>
      <c r="B1408" s="86">
        <v>46334</v>
      </c>
      <c r="C1408" t="str">
        <f t="shared" si="84"/>
        <v>DOM</v>
      </c>
      <c r="D1408" t="str">
        <f t="shared" si="85"/>
        <v>Domingo</v>
      </c>
    </row>
    <row r="1409" spans="1:4" x14ac:dyDescent="0.25">
      <c r="A1409" s="88" t="str">
        <f t="shared" si="83"/>
        <v>11-2026</v>
      </c>
      <c r="B1409" s="86">
        <v>46335</v>
      </c>
      <c r="C1409" t="str">
        <f t="shared" si="84"/>
        <v>L-V</v>
      </c>
      <c r="D1409" t="str">
        <f t="shared" si="85"/>
        <v>Lunes</v>
      </c>
    </row>
    <row r="1410" spans="1:4" x14ac:dyDescent="0.25">
      <c r="A1410" s="88" t="str">
        <f t="shared" ref="A1410:A1473" si="86">MONTH(B1410)&amp;"-"&amp;YEAR(B1410)</f>
        <v>11-2026</v>
      </c>
      <c r="B1410" s="86">
        <v>46336</v>
      </c>
      <c r="C1410" t="str">
        <f t="shared" si="84"/>
        <v>L-V</v>
      </c>
      <c r="D1410" t="str">
        <f t="shared" si="85"/>
        <v>Martes</v>
      </c>
    </row>
    <row r="1411" spans="1:4" x14ac:dyDescent="0.25">
      <c r="A1411" s="88" t="str">
        <f t="shared" si="86"/>
        <v>11-2026</v>
      </c>
      <c r="B1411" s="86">
        <v>46337</v>
      </c>
      <c r="C1411" t="str">
        <f t="shared" ref="C1411:C1474" si="87">VLOOKUP(WEEKDAY(B1411,2),$F$1:$H$7,2)</f>
        <v>L-V</v>
      </c>
      <c r="D1411" t="str">
        <f t="shared" ref="D1411:D1474" si="88">VLOOKUP(WEEKDAY($B1411,2),$F$1:$H$7,3)</f>
        <v>Miércoles</v>
      </c>
    </row>
    <row r="1412" spans="1:4" x14ac:dyDescent="0.25">
      <c r="A1412" s="88" t="str">
        <f t="shared" si="86"/>
        <v>11-2026</v>
      </c>
      <c r="B1412" s="86">
        <v>46338</v>
      </c>
      <c r="C1412" t="str">
        <f t="shared" si="87"/>
        <v>L-V</v>
      </c>
      <c r="D1412" t="str">
        <f t="shared" si="88"/>
        <v>Jueves</v>
      </c>
    </row>
    <row r="1413" spans="1:4" x14ac:dyDescent="0.25">
      <c r="A1413" s="88" t="str">
        <f t="shared" si="86"/>
        <v>11-2026</v>
      </c>
      <c r="B1413" s="86">
        <v>46339</v>
      </c>
      <c r="C1413" t="str">
        <f t="shared" si="87"/>
        <v>L-V</v>
      </c>
      <c r="D1413" t="str">
        <f t="shared" si="88"/>
        <v>Viernes</v>
      </c>
    </row>
    <row r="1414" spans="1:4" x14ac:dyDescent="0.25">
      <c r="A1414" s="88" t="str">
        <f t="shared" si="86"/>
        <v>11-2026</v>
      </c>
      <c r="B1414" s="86">
        <v>46340</v>
      </c>
      <c r="C1414" t="str">
        <f t="shared" si="87"/>
        <v>SAB</v>
      </c>
      <c r="D1414" t="str">
        <f t="shared" si="88"/>
        <v>Sábado</v>
      </c>
    </row>
    <row r="1415" spans="1:4" x14ac:dyDescent="0.25">
      <c r="A1415" s="88" t="str">
        <f t="shared" si="86"/>
        <v>11-2026</v>
      </c>
      <c r="B1415" s="86">
        <v>46341</v>
      </c>
      <c r="C1415" t="str">
        <f t="shared" si="87"/>
        <v>DOM</v>
      </c>
      <c r="D1415" t="str">
        <f t="shared" si="88"/>
        <v>Domingo</v>
      </c>
    </row>
    <row r="1416" spans="1:4" x14ac:dyDescent="0.25">
      <c r="A1416" s="88" t="str">
        <f t="shared" si="86"/>
        <v>11-2026</v>
      </c>
      <c r="B1416" s="86">
        <v>46342</v>
      </c>
      <c r="C1416" t="str">
        <f t="shared" si="87"/>
        <v>L-V</v>
      </c>
      <c r="D1416" t="str">
        <f t="shared" si="88"/>
        <v>Lunes</v>
      </c>
    </row>
    <row r="1417" spans="1:4" x14ac:dyDescent="0.25">
      <c r="A1417" s="88" t="str">
        <f t="shared" si="86"/>
        <v>11-2026</v>
      </c>
      <c r="B1417" s="86">
        <v>46343</v>
      </c>
      <c r="C1417" t="str">
        <f t="shared" si="87"/>
        <v>L-V</v>
      </c>
      <c r="D1417" t="str">
        <f t="shared" si="88"/>
        <v>Martes</v>
      </c>
    </row>
    <row r="1418" spans="1:4" x14ac:dyDescent="0.25">
      <c r="A1418" s="88" t="str">
        <f t="shared" si="86"/>
        <v>11-2026</v>
      </c>
      <c r="B1418" s="86">
        <v>46344</v>
      </c>
      <c r="C1418" t="str">
        <f t="shared" si="87"/>
        <v>L-V</v>
      </c>
      <c r="D1418" t="str">
        <f t="shared" si="88"/>
        <v>Miércoles</v>
      </c>
    </row>
    <row r="1419" spans="1:4" x14ac:dyDescent="0.25">
      <c r="A1419" s="88" t="str">
        <f t="shared" si="86"/>
        <v>11-2026</v>
      </c>
      <c r="B1419" s="86">
        <v>46345</v>
      </c>
      <c r="C1419" t="str">
        <f t="shared" si="87"/>
        <v>L-V</v>
      </c>
      <c r="D1419" t="str">
        <f t="shared" si="88"/>
        <v>Jueves</v>
      </c>
    </row>
    <row r="1420" spans="1:4" x14ac:dyDescent="0.25">
      <c r="A1420" s="88" t="str">
        <f t="shared" si="86"/>
        <v>11-2026</v>
      </c>
      <c r="B1420" s="86">
        <v>46346</v>
      </c>
      <c r="C1420" t="str">
        <f t="shared" si="87"/>
        <v>L-V</v>
      </c>
      <c r="D1420" t="str">
        <f t="shared" si="88"/>
        <v>Viernes</v>
      </c>
    </row>
    <row r="1421" spans="1:4" x14ac:dyDescent="0.25">
      <c r="A1421" s="88" t="str">
        <f t="shared" si="86"/>
        <v>11-2026</v>
      </c>
      <c r="B1421" s="86">
        <v>46347</v>
      </c>
      <c r="C1421" t="str">
        <f t="shared" si="87"/>
        <v>SAB</v>
      </c>
      <c r="D1421" t="str">
        <f t="shared" si="88"/>
        <v>Sábado</v>
      </c>
    </row>
    <row r="1422" spans="1:4" x14ac:dyDescent="0.25">
      <c r="A1422" s="88" t="str">
        <f t="shared" si="86"/>
        <v>11-2026</v>
      </c>
      <c r="B1422" s="86">
        <v>46348</v>
      </c>
      <c r="C1422" t="str">
        <f t="shared" si="87"/>
        <v>DOM</v>
      </c>
      <c r="D1422" t="str">
        <f t="shared" si="88"/>
        <v>Domingo</v>
      </c>
    </row>
    <row r="1423" spans="1:4" x14ac:dyDescent="0.25">
      <c r="A1423" s="88" t="str">
        <f t="shared" si="86"/>
        <v>11-2026</v>
      </c>
      <c r="B1423" s="86">
        <v>46349</v>
      </c>
      <c r="C1423" t="str">
        <f t="shared" si="87"/>
        <v>L-V</v>
      </c>
      <c r="D1423" t="str">
        <f t="shared" si="88"/>
        <v>Lunes</v>
      </c>
    </row>
    <row r="1424" spans="1:4" x14ac:dyDescent="0.25">
      <c r="A1424" s="88" t="str">
        <f t="shared" si="86"/>
        <v>11-2026</v>
      </c>
      <c r="B1424" s="86">
        <v>46350</v>
      </c>
      <c r="C1424" t="str">
        <f t="shared" si="87"/>
        <v>L-V</v>
      </c>
      <c r="D1424" t="str">
        <f t="shared" si="88"/>
        <v>Martes</v>
      </c>
    </row>
    <row r="1425" spans="1:4" x14ac:dyDescent="0.25">
      <c r="A1425" s="88" t="str">
        <f t="shared" si="86"/>
        <v>11-2026</v>
      </c>
      <c r="B1425" s="86">
        <v>46351</v>
      </c>
      <c r="C1425" t="str">
        <f t="shared" si="87"/>
        <v>L-V</v>
      </c>
      <c r="D1425" t="str">
        <f t="shared" si="88"/>
        <v>Miércoles</v>
      </c>
    </row>
    <row r="1426" spans="1:4" x14ac:dyDescent="0.25">
      <c r="A1426" s="88" t="str">
        <f t="shared" si="86"/>
        <v>11-2026</v>
      </c>
      <c r="B1426" s="86">
        <v>46352</v>
      </c>
      <c r="C1426" t="str">
        <f t="shared" si="87"/>
        <v>L-V</v>
      </c>
      <c r="D1426" t="str">
        <f t="shared" si="88"/>
        <v>Jueves</v>
      </c>
    </row>
    <row r="1427" spans="1:4" x14ac:dyDescent="0.25">
      <c r="A1427" s="88" t="str">
        <f t="shared" si="86"/>
        <v>11-2026</v>
      </c>
      <c r="B1427" s="86">
        <v>46353</v>
      </c>
      <c r="C1427" t="str">
        <f t="shared" si="87"/>
        <v>L-V</v>
      </c>
      <c r="D1427" t="str">
        <f t="shared" si="88"/>
        <v>Viernes</v>
      </c>
    </row>
    <row r="1428" spans="1:4" x14ac:dyDescent="0.25">
      <c r="A1428" s="88" t="str">
        <f t="shared" si="86"/>
        <v>11-2026</v>
      </c>
      <c r="B1428" s="86">
        <v>46354</v>
      </c>
      <c r="C1428" t="str">
        <f t="shared" si="87"/>
        <v>SAB</v>
      </c>
      <c r="D1428" t="str">
        <f t="shared" si="88"/>
        <v>Sábado</v>
      </c>
    </row>
    <row r="1429" spans="1:4" x14ac:dyDescent="0.25">
      <c r="A1429" s="88" t="str">
        <f t="shared" si="86"/>
        <v>11-2026</v>
      </c>
      <c r="B1429" s="86">
        <v>46355</v>
      </c>
      <c r="C1429" t="str">
        <f t="shared" si="87"/>
        <v>DOM</v>
      </c>
      <c r="D1429" t="str">
        <f t="shared" si="88"/>
        <v>Domingo</v>
      </c>
    </row>
    <row r="1430" spans="1:4" x14ac:dyDescent="0.25">
      <c r="A1430" s="88" t="str">
        <f t="shared" si="86"/>
        <v>11-2026</v>
      </c>
      <c r="B1430" s="86">
        <v>46356</v>
      </c>
      <c r="C1430" t="str">
        <f t="shared" si="87"/>
        <v>L-V</v>
      </c>
      <c r="D1430" t="str">
        <f t="shared" si="88"/>
        <v>Lunes</v>
      </c>
    </row>
    <row r="1431" spans="1:4" x14ac:dyDescent="0.25">
      <c r="A1431" s="88" t="str">
        <f t="shared" si="86"/>
        <v>12-2026</v>
      </c>
      <c r="B1431" s="86">
        <v>46357</v>
      </c>
      <c r="C1431" t="str">
        <f t="shared" si="87"/>
        <v>L-V</v>
      </c>
      <c r="D1431" t="str">
        <f t="shared" si="88"/>
        <v>Martes</v>
      </c>
    </row>
    <row r="1432" spans="1:4" x14ac:dyDescent="0.25">
      <c r="A1432" s="88" t="str">
        <f t="shared" si="86"/>
        <v>12-2026</v>
      </c>
      <c r="B1432" s="86">
        <v>46358</v>
      </c>
      <c r="C1432" t="str">
        <f t="shared" si="87"/>
        <v>L-V</v>
      </c>
      <c r="D1432" t="str">
        <f t="shared" si="88"/>
        <v>Miércoles</v>
      </c>
    </row>
    <row r="1433" spans="1:4" x14ac:dyDescent="0.25">
      <c r="A1433" s="88" t="str">
        <f t="shared" si="86"/>
        <v>12-2026</v>
      </c>
      <c r="B1433" s="86">
        <v>46359</v>
      </c>
      <c r="C1433" t="str">
        <f t="shared" si="87"/>
        <v>L-V</v>
      </c>
      <c r="D1433" t="str">
        <f t="shared" si="88"/>
        <v>Jueves</v>
      </c>
    </row>
    <row r="1434" spans="1:4" x14ac:dyDescent="0.25">
      <c r="A1434" s="88" t="str">
        <f t="shared" si="86"/>
        <v>12-2026</v>
      </c>
      <c r="B1434" s="86">
        <v>46360</v>
      </c>
      <c r="C1434" t="str">
        <f t="shared" si="87"/>
        <v>L-V</v>
      </c>
      <c r="D1434" t="str">
        <f t="shared" si="88"/>
        <v>Viernes</v>
      </c>
    </row>
    <row r="1435" spans="1:4" x14ac:dyDescent="0.25">
      <c r="A1435" s="88" t="str">
        <f t="shared" si="86"/>
        <v>12-2026</v>
      </c>
      <c r="B1435" s="86">
        <v>46361</v>
      </c>
      <c r="C1435" t="str">
        <f t="shared" si="87"/>
        <v>SAB</v>
      </c>
      <c r="D1435" t="str">
        <f t="shared" si="88"/>
        <v>Sábado</v>
      </c>
    </row>
    <row r="1436" spans="1:4" x14ac:dyDescent="0.25">
      <c r="A1436" s="88" t="str">
        <f t="shared" si="86"/>
        <v>12-2026</v>
      </c>
      <c r="B1436" s="86">
        <v>46362</v>
      </c>
      <c r="C1436" t="str">
        <f t="shared" si="87"/>
        <v>DOM</v>
      </c>
      <c r="D1436" t="str">
        <f t="shared" si="88"/>
        <v>Domingo</v>
      </c>
    </row>
    <row r="1437" spans="1:4" x14ac:dyDescent="0.25">
      <c r="A1437" s="88" t="str">
        <f t="shared" si="86"/>
        <v>12-2026</v>
      </c>
      <c r="B1437" s="86">
        <v>46363</v>
      </c>
      <c r="C1437" t="str">
        <f t="shared" si="87"/>
        <v>L-V</v>
      </c>
      <c r="D1437" t="str">
        <f t="shared" si="88"/>
        <v>Lunes</v>
      </c>
    </row>
    <row r="1438" spans="1:4" x14ac:dyDescent="0.25">
      <c r="A1438" s="88" t="str">
        <f t="shared" si="86"/>
        <v>12-2026</v>
      </c>
      <c r="B1438" s="86">
        <v>46364</v>
      </c>
      <c r="C1438" t="str">
        <f t="shared" si="87"/>
        <v>L-V</v>
      </c>
      <c r="D1438" t="str">
        <f t="shared" si="88"/>
        <v>Martes</v>
      </c>
    </row>
    <row r="1439" spans="1:4" x14ac:dyDescent="0.25">
      <c r="A1439" s="88" t="str">
        <f t="shared" si="86"/>
        <v>12-2026</v>
      </c>
      <c r="B1439" s="86">
        <v>46365</v>
      </c>
      <c r="C1439" t="str">
        <f t="shared" si="87"/>
        <v>L-V</v>
      </c>
      <c r="D1439" t="str">
        <f t="shared" si="88"/>
        <v>Miércoles</v>
      </c>
    </row>
    <row r="1440" spans="1:4" x14ac:dyDescent="0.25">
      <c r="A1440" s="88" t="str">
        <f t="shared" si="86"/>
        <v>12-2026</v>
      </c>
      <c r="B1440" s="86">
        <v>46366</v>
      </c>
      <c r="C1440" t="str">
        <f t="shared" si="87"/>
        <v>L-V</v>
      </c>
      <c r="D1440" t="str">
        <f t="shared" si="88"/>
        <v>Jueves</v>
      </c>
    </row>
    <row r="1441" spans="1:4" x14ac:dyDescent="0.25">
      <c r="A1441" s="88" t="str">
        <f t="shared" si="86"/>
        <v>12-2026</v>
      </c>
      <c r="B1441" s="86">
        <v>46367</v>
      </c>
      <c r="C1441" t="str">
        <f t="shared" si="87"/>
        <v>L-V</v>
      </c>
      <c r="D1441" t="str">
        <f t="shared" si="88"/>
        <v>Viernes</v>
      </c>
    </row>
    <row r="1442" spans="1:4" x14ac:dyDescent="0.25">
      <c r="A1442" s="88" t="str">
        <f t="shared" si="86"/>
        <v>12-2026</v>
      </c>
      <c r="B1442" s="86">
        <v>46368</v>
      </c>
      <c r="C1442" t="str">
        <f t="shared" si="87"/>
        <v>SAB</v>
      </c>
      <c r="D1442" t="str">
        <f t="shared" si="88"/>
        <v>Sábado</v>
      </c>
    </row>
    <row r="1443" spans="1:4" x14ac:dyDescent="0.25">
      <c r="A1443" s="88" t="str">
        <f t="shared" si="86"/>
        <v>12-2026</v>
      </c>
      <c r="B1443" s="86">
        <v>46369</v>
      </c>
      <c r="C1443" t="str">
        <f t="shared" si="87"/>
        <v>DOM</v>
      </c>
      <c r="D1443" t="str">
        <f t="shared" si="88"/>
        <v>Domingo</v>
      </c>
    </row>
    <row r="1444" spans="1:4" x14ac:dyDescent="0.25">
      <c r="A1444" s="88" t="str">
        <f t="shared" si="86"/>
        <v>12-2026</v>
      </c>
      <c r="B1444" s="86">
        <v>46370</v>
      </c>
      <c r="C1444" t="str">
        <f t="shared" si="87"/>
        <v>L-V</v>
      </c>
      <c r="D1444" t="str">
        <f t="shared" si="88"/>
        <v>Lunes</v>
      </c>
    </row>
    <row r="1445" spans="1:4" x14ac:dyDescent="0.25">
      <c r="A1445" s="88" t="str">
        <f t="shared" si="86"/>
        <v>12-2026</v>
      </c>
      <c r="B1445" s="86">
        <v>46371</v>
      </c>
      <c r="C1445" t="str">
        <f t="shared" si="87"/>
        <v>L-V</v>
      </c>
      <c r="D1445" t="str">
        <f t="shared" si="88"/>
        <v>Martes</v>
      </c>
    </row>
    <row r="1446" spans="1:4" x14ac:dyDescent="0.25">
      <c r="A1446" s="88" t="str">
        <f t="shared" si="86"/>
        <v>12-2026</v>
      </c>
      <c r="B1446" s="86">
        <v>46372</v>
      </c>
      <c r="C1446" t="str">
        <f t="shared" si="87"/>
        <v>L-V</v>
      </c>
      <c r="D1446" t="str">
        <f t="shared" si="88"/>
        <v>Miércoles</v>
      </c>
    </row>
    <row r="1447" spans="1:4" x14ac:dyDescent="0.25">
      <c r="A1447" s="88" t="str">
        <f t="shared" si="86"/>
        <v>12-2026</v>
      </c>
      <c r="B1447" s="86">
        <v>46373</v>
      </c>
      <c r="C1447" t="str">
        <f t="shared" si="87"/>
        <v>L-V</v>
      </c>
      <c r="D1447" t="str">
        <f t="shared" si="88"/>
        <v>Jueves</v>
      </c>
    </row>
    <row r="1448" spans="1:4" x14ac:dyDescent="0.25">
      <c r="A1448" s="88" t="str">
        <f t="shared" si="86"/>
        <v>12-2026</v>
      </c>
      <c r="B1448" s="86">
        <v>46374</v>
      </c>
      <c r="C1448" t="str">
        <f t="shared" si="87"/>
        <v>L-V</v>
      </c>
      <c r="D1448" t="str">
        <f t="shared" si="88"/>
        <v>Viernes</v>
      </c>
    </row>
    <row r="1449" spans="1:4" x14ac:dyDescent="0.25">
      <c r="A1449" s="88" t="str">
        <f t="shared" si="86"/>
        <v>12-2026</v>
      </c>
      <c r="B1449" s="86">
        <v>46375</v>
      </c>
      <c r="C1449" t="str">
        <f t="shared" si="87"/>
        <v>SAB</v>
      </c>
      <c r="D1449" t="str">
        <f t="shared" si="88"/>
        <v>Sábado</v>
      </c>
    </row>
    <row r="1450" spans="1:4" x14ac:dyDescent="0.25">
      <c r="A1450" s="88" t="str">
        <f t="shared" si="86"/>
        <v>12-2026</v>
      </c>
      <c r="B1450" s="86">
        <v>46376</v>
      </c>
      <c r="C1450" t="str">
        <f t="shared" si="87"/>
        <v>DOM</v>
      </c>
      <c r="D1450" t="str">
        <f t="shared" si="88"/>
        <v>Domingo</v>
      </c>
    </row>
    <row r="1451" spans="1:4" x14ac:dyDescent="0.25">
      <c r="A1451" s="88" t="str">
        <f t="shared" si="86"/>
        <v>12-2026</v>
      </c>
      <c r="B1451" s="86">
        <v>46377</v>
      </c>
      <c r="C1451" t="str">
        <f t="shared" si="87"/>
        <v>L-V</v>
      </c>
      <c r="D1451" t="str">
        <f t="shared" si="88"/>
        <v>Lunes</v>
      </c>
    </row>
    <row r="1452" spans="1:4" x14ac:dyDescent="0.25">
      <c r="A1452" s="88" t="str">
        <f t="shared" si="86"/>
        <v>12-2026</v>
      </c>
      <c r="B1452" s="86">
        <v>46378</v>
      </c>
      <c r="C1452" t="str">
        <f t="shared" si="87"/>
        <v>L-V</v>
      </c>
      <c r="D1452" t="str">
        <f t="shared" si="88"/>
        <v>Martes</v>
      </c>
    </row>
    <row r="1453" spans="1:4" x14ac:dyDescent="0.25">
      <c r="A1453" s="88" t="str">
        <f t="shared" si="86"/>
        <v>12-2026</v>
      </c>
      <c r="B1453" s="86">
        <v>46379</v>
      </c>
      <c r="C1453" t="str">
        <f t="shared" si="87"/>
        <v>L-V</v>
      </c>
      <c r="D1453" t="str">
        <f t="shared" si="88"/>
        <v>Miércoles</v>
      </c>
    </row>
    <row r="1454" spans="1:4" x14ac:dyDescent="0.25">
      <c r="A1454" s="88" t="str">
        <f t="shared" si="86"/>
        <v>12-2026</v>
      </c>
      <c r="B1454" s="86">
        <v>46380</v>
      </c>
      <c r="C1454" t="str">
        <f t="shared" si="87"/>
        <v>L-V</v>
      </c>
      <c r="D1454" t="str">
        <f t="shared" si="88"/>
        <v>Jueves</v>
      </c>
    </row>
    <row r="1455" spans="1:4" x14ac:dyDescent="0.25">
      <c r="A1455" s="88" t="str">
        <f t="shared" si="86"/>
        <v>12-2026</v>
      </c>
      <c r="B1455" s="86">
        <v>46381</v>
      </c>
      <c r="C1455" t="str">
        <f t="shared" si="87"/>
        <v>L-V</v>
      </c>
      <c r="D1455" t="str">
        <f t="shared" si="88"/>
        <v>Viernes</v>
      </c>
    </row>
    <row r="1456" spans="1:4" x14ac:dyDescent="0.25">
      <c r="A1456" s="88" t="str">
        <f t="shared" si="86"/>
        <v>12-2026</v>
      </c>
      <c r="B1456" s="86">
        <v>46382</v>
      </c>
      <c r="C1456" t="str">
        <f t="shared" si="87"/>
        <v>SAB</v>
      </c>
      <c r="D1456" t="str">
        <f t="shared" si="88"/>
        <v>Sábado</v>
      </c>
    </row>
    <row r="1457" spans="1:4" x14ac:dyDescent="0.25">
      <c r="A1457" s="88" t="str">
        <f t="shared" si="86"/>
        <v>12-2026</v>
      </c>
      <c r="B1457" s="86">
        <v>46383</v>
      </c>
      <c r="C1457" t="str">
        <f t="shared" si="87"/>
        <v>DOM</v>
      </c>
      <c r="D1457" t="str">
        <f t="shared" si="88"/>
        <v>Domingo</v>
      </c>
    </row>
    <row r="1458" spans="1:4" x14ac:dyDescent="0.25">
      <c r="A1458" s="88" t="str">
        <f t="shared" si="86"/>
        <v>12-2026</v>
      </c>
      <c r="B1458" s="86">
        <v>46384</v>
      </c>
      <c r="C1458" t="str">
        <f t="shared" si="87"/>
        <v>L-V</v>
      </c>
      <c r="D1458" t="str">
        <f t="shared" si="88"/>
        <v>Lunes</v>
      </c>
    </row>
    <row r="1459" spans="1:4" x14ac:dyDescent="0.25">
      <c r="A1459" s="88" t="str">
        <f t="shared" si="86"/>
        <v>12-2026</v>
      </c>
      <c r="B1459" s="86">
        <v>46385</v>
      </c>
      <c r="C1459" t="str">
        <f t="shared" si="87"/>
        <v>L-V</v>
      </c>
      <c r="D1459" t="str">
        <f t="shared" si="88"/>
        <v>Martes</v>
      </c>
    </row>
    <row r="1460" spans="1:4" x14ac:dyDescent="0.25">
      <c r="A1460" s="88" t="str">
        <f t="shared" si="86"/>
        <v>12-2026</v>
      </c>
      <c r="B1460" s="86">
        <v>46386</v>
      </c>
      <c r="C1460" t="str">
        <f t="shared" si="87"/>
        <v>L-V</v>
      </c>
      <c r="D1460" t="str">
        <f t="shared" si="88"/>
        <v>Miércoles</v>
      </c>
    </row>
    <row r="1461" spans="1:4" x14ac:dyDescent="0.25">
      <c r="A1461" s="88" t="str">
        <f t="shared" si="86"/>
        <v>12-2026</v>
      </c>
      <c r="B1461" s="86">
        <v>46387</v>
      </c>
      <c r="C1461" t="str">
        <f t="shared" si="87"/>
        <v>L-V</v>
      </c>
      <c r="D1461" t="str">
        <f t="shared" si="88"/>
        <v>Jueves</v>
      </c>
    </row>
    <row r="1462" spans="1:4" x14ac:dyDescent="0.25">
      <c r="A1462" s="88" t="str">
        <f t="shared" si="86"/>
        <v>1-2027</v>
      </c>
      <c r="B1462" s="86">
        <v>46388</v>
      </c>
      <c r="C1462" t="str">
        <f t="shared" si="87"/>
        <v>L-V</v>
      </c>
      <c r="D1462" t="str">
        <f t="shared" si="88"/>
        <v>Viernes</v>
      </c>
    </row>
    <row r="1463" spans="1:4" x14ac:dyDescent="0.25">
      <c r="A1463" s="88" t="str">
        <f t="shared" si="86"/>
        <v>1-2027</v>
      </c>
      <c r="B1463" s="86">
        <v>46389</v>
      </c>
      <c r="C1463" t="str">
        <f t="shared" si="87"/>
        <v>SAB</v>
      </c>
      <c r="D1463" t="str">
        <f t="shared" si="88"/>
        <v>Sábado</v>
      </c>
    </row>
    <row r="1464" spans="1:4" x14ac:dyDescent="0.25">
      <c r="A1464" s="88" t="str">
        <f t="shared" si="86"/>
        <v>1-2027</v>
      </c>
      <c r="B1464" s="86">
        <v>46390</v>
      </c>
      <c r="C1464" t="str">
        <f t="shared" si="87"/>
        <v>DOM</v>
      </c>
      <c r="D1464" t="str">
        <f t="shared" si="88"/>
        <v>Domingo</v>
      </c>
    </row>
    <row r="1465" spans="1:4" x14ac:dyDescent="0.25">
      <c r="A1465" s="88" t="str">
        <f t="shared" si="86"/>
        <v>1-2027</v>
      </c>
      <c r="B1465" s="86">
        <v>46391</v>
      </c>
      <c r="C1465" t="str">
        <f t="shared" si="87"/>
        <v>L-V</v>
      </c>
      <c r="D1465" t="str">
        <f t="shared" si="88"/>
        <v>Lunes</v>
      </c>
    </row>
    <row r="1466" spans="1:4" x14ac:dyDescent="0.25">
      <c r="A1466" s="88" t="str">
        <f t="shared" si="86"/>
        <v>1-2027</v>
      </c>
      <c r="B1466" s="86">
        <v>46392</v>
      </c>
      <c r="C1466" t="str">
        <f t="shared" si="87"/>
        <v>L-V</v>
      </c>
      <c r="D1466" t="str">
        <f t="shared" si="88"/>
        <v>Martes</v>
      </c>
    </row>
    <row r="1467" spans="1:4" x14ac:dyDescent="0.25">
      <c r="A1467" s="88" t="str">
        <f t="shared" si="86"/>
        <v>1-2027</v>
      </c>
      <c r="B1467" s="86">
        <v>46393</v>
      </c>
      <c r="C1467" t="str">
        <f t="shared" si="87"/>
        <v>L-V</v>
      </c>
      <c r="D1467" t="str">
        <f t="shared" si="88"/>
        <v>Miércoles</v>
      </c>
    </row>
    <row r="1468" spans="1:4" x14ac:dyDescent="0.25">
      <c r="A1468" s="88" t="str">
        <f t="shared" si="86"/>
        <v>1-2027</v>
      </c>
      <c r="B1468" s="86">
        <v>46394</v>
      </c>
      <c r="C1468" t="str">
        <f t="shared" si="87"/>
        <v>L-V</v>
      </c>
      <c r="D1468" t="str">
        <f t="shared" si="88"/>
        <v>Jueves</v>
      </c>
    </row>
    <row r="1469" spans="1:4" x14ac:dyDescent="0.25">
      <c r="A1469" s="88" t="str">
        <f t="shared" si="86"/>
        <v>1-2027</v>
      </c>
      <c r="B1469" s="86">
        <v>46395</v>
      </c>
      <c r="C1469" t="str">
        <f t="shared" si="87"/>
        <v>L-V</v>
      </c>
      <c r="D1469" t="str">
        <f t="shared" si="88"/>
        <v>Viernes</v>
      </c>
    </row>
    <row r="1470" spans="1:4" x14ac:dyDescent="0.25">
      <c r="A1470" s="88" t="str">
        <f t="shared" si="86"/>
        <v>1-2027</v>
      </c>
      <c r="B1470" s="86">
        <v>46396</v>
      </c>
      <c r="C1470" t="str">
        <f t="shared" si="87"/>
        <v>SAB</v>
      </c>
      <c r="D1470" t="str">
        <f t="shared" si="88"/>
        <v>Sábado</v>
      </c>
    </row>
    <row r="1471" spans="1:4" x14ac:dyDescent="0.25">
      <c r="A1471" s="88" t="str">
        <f t="shared" si="86"/>
        <v>1-2027</v>
      </c>
      <c r="B1471" s="86">
        <v>46397</v>
      </c>
      <c r="C1471" t="str">
        <f t="shared" si="87"/>
        <v>DOM</v>
      </c>
      <c r="D1471" t="str">
        <f t="shared" si="88"/>
        <v>Domingo</v>
      </c>
    </row>
    <row r="1472" spans="1:4" x14ac:dyDescent="0.25">
      <c r="A1472" s="88" t="str">
        <f t="shared" si="86"/>
        <v>1-2027</v>
      </c>
      <c r="B1472" s="86">
        <v>46398</v>
      </c>
      <c r="C1472" t="str">
        <f t="shared" si="87"/>
        <v>L-V</v>
      </c>
      <c r="D1472" t="str">
        <f t="shared" si="88"/>
        <v>Lunes</v>
      </c>
    </row>
    <row r="1473" spans="1:4" x14ac:dyDescent="0.25">
      <c r="A1473" s="88" t="str">
        <f t="shared" si="86"/>
        <v>1-2027</v>
      </c>
      <c r="B1473" s="86">
        <v>46399</v>
      </c>
      <c r="C1473" t="str">
        <f t="shared" si="87"/>
        <v>L-V</v>
      </c>
      <c r="D1473" t="str">
        <f t="shared" si="88"/>
        <v>Martes</v>
      </c>
    </row>
    <row r="1474" spans="1:4" x14ac:dyDescent="0.25">
      <c r="A1474" s="88" t="str">
        <f t="shared" ref="A1474:A1537" si="89">MONTH(B1474)&amp;"-"&amp;YEAR(B1474)</f>
        <v>1-2027</v>
      </c>
      <c r="B1474" s="86">
        <v>46400</v>
      </c>
      <c r="C1474" t="str">
        <f t="shared" si="87"/>
        <v>L-V</v>
      </c>
      <c r="D1474" t="str">
        <f t="shared" si="88"/>
        <v>Miércoles</v>
      </c>
    </row>
    <row r="1475" spans="1:4" x14ac:dyDescent="0.25">
      <c r="A1475" s="88" t="str">
        <f t="shared" si="89"/>
        <v>1-2027</v>
      </c>
      <c r="B1475" s="86">
        <v>46401</v>
      </c>
      <c r="C1475" t="str">
        <f t="shared" ref="C1475:C1538" si="90">VLOOKUP(WEEKDAY(B1475,2),$F$1:$H$7,2)</f>
        <v>L-V</v>
      </c>
      <c r="D1475" t="str">
        <f t="shared" ref="D1475:D1538" si="91">VLOOKUP(WEEKDAY($B1475,2),$F$1:$H$7,3)</f>
        <v>Jueves</v>
      </c>
    </row>
    <row r="1476" spans="1:4" x14ac:dyDescent="0.25">
      <c r="A1476" s="88" t="str">
        <f t="shared" si="89"/>
        <v>1-2027</v>
      </c>
      <c r="B1476" s="86">
        <v>46402</v>
      </c>
      <c r="C1476" t="str">
        <f t="shared" si="90"/>
        <v>L-V</v>
      </c>
      <c r="D1476" t="str">
        <f t="shared" si="91"/>
        <v>Viernes</v>
      </c>
    </row>
    <row r="1477" spans="1:4" x14ac:dyDescent="0.25">
      <c r="A1477" s="88" t="str">
        <f t="shared" si="89"/>
        <v>1-2027</v>
      </c>
      <c r="B1477" s="86">
        <v>46403</v>
      </c>
      <c r="C1477" t="str">
        <f t="shared" si="90"/>
        <v>SAB</v>
      </c>
      <c r="D1477" t="str">
        <f t="shared" si="91"/>
        <v>Sábado</v>
      </c>
    </row>
    <row r="1478" spans="1:4" x14ac:dyDescent="0.25">
      <c r="A1478" s="88" t="str">
        <f t="shared" si="89"/>
        <v>1-2027</v>
      </c>
      <c r="B1478" s="86">
        <v>46404</v>
      </c>
      <c r="C1478" t="str">
        <f t="shared" si="90"/>
        <v>DOM</v>
      </c>
      <c r="D1478" t="str">
        <f t="shared" si="91"/>
        <v>Domingo</v>
      </c>
    </row>
    <row r="1479" spans="1:4" x14ac:dyDescent="0.25">
      <c r="A1479" s="88" t="str">
        <f t="shared" si="89"/>
        <v>1-2027</v>
      </c>
      <c r="B1479" s="86">
        <v>46405</v>
      </c>
      <c r="C1479" t="str">
        <f t="shared" si="90"/>
        <v>L-V</v>
      </c>
      <c r="D1479" t="str">
        <f t="shared" si="91"/>
        <v>Lunes</v>
      </c>
    </row>
    <row r="1480" spans="1:4" x14ac:dyDescent="0.25">
      <c r="A1480" s="88" t="str">
        <f t="shared" si="89"/>
        <v>1-2027</v>
      </c>
      <c r="B1480" s="86">
        <v>46406</v>
      </c>
      <c r="C1480" t="str">
        <f t="shared" si="90"/>
        <v>L-V</v>
      </c>
      <c r="D1480" t="str">
        <f t="shared" si="91"/>
        <v>Martes</v>
      </c>
    </row>
    <row r="1481" spans="1:4" x14ac:dyDescent="0.25">
      <c r="A1481" s="88" t="str">
        <f t="shared" si="89"/>
        <v>1-2027</v>
      </c>
      <c r="B1481" s="86">
        <v>46407</v>
      </c>
      <c r="C1481" t="str">
        <f t="shared" si="90"/>
        <v>L-V</v>
      </c>
      <c r="D1481" t="str">
        <f t="shared" si="91"/>
        <v>Miércoles</v>
      </c>
    </row>
    <row r="1482" spans="1:4" x14ac:dyDescent="0.25">
      <c r="A1482" s="88" t="str">
        <f t="shared" si="89"/>
        <v>1-2027</v>
      </c>
      <c r="B1482" s="86">
        <v>46408</v>
      </c>
      <c r="C1482" t="str">
        <f t="shared" si="90"/>
        <v>L-V</v>
      </c>
      <c r="D1482" t="str">
        <f t="shared" si="91"/>
        <v>Jueves</v>
      </c>
    </row>
    <row r="1483" spans="1:4" x14ac:dyDescent="0.25">
      <c r="A1483" s="88" t="str">
        <f t="shared" si="89"/>
        <v>1-2027</v>
      </c>
      <c r="B1483" s="86">
        <v>46409</v>
      </c>
      <c r="C1483" t="str">
        <f t="shared" si="90"/>
        <v>L-V</v>
      </c>
      <c r="D1483" t="str">
        <f t="shared" si="91"/>
        <v>Viernes</v>
      </c>
    </row>
    <row r="1484" spans="1:4" x14ac:dyDescent="0.25">
      <c r="A1484" s="88" t="str">
        <f t="shared" si="89"/>
        <v>1-2027</v>
      </c>
      <c r="B1484" s="86">
        <v>46410</v>
      </c>
      <c r="C1484" t="str">
        <f t="shared" si="90"/>
        <v>SAB</v>
      </c>
      <c r="D1484" t="str">
        <f t="shared" si="91"/>
        <v>Sábado</v>
      </c>
    </row>
    <row r="1485" spans="1:4" x14ac:dyDescent="0.25">
      <c r="A1485" s="88" t="str">
        <f t="shared" si="89"/>
        <v>1-2027</v>
      </c>
      <c r="B1485" s="86">
        <v>46411</v>
      </c>
      <c r="C1485" t="str">
        <f t="shared" si="90"/>
        <v>DOM</v>
      </c>
      <c r="D1485" t="str">
        <f t="shared" si="91"/>
        <v>Domingo</v>
      </c>
    </row>
    <row r="1486" spans="1:4" x14ac:dyDescent="0.25">
      <c r="A1486" s="88" t="str">
        <f t="shared" si="89"/>
        <v>1-2027</v>
      </c>
      <c r="B1486" s="86">
        <v>46412</v>
      </c>
      <c r="C1486" t="str">
        <f t="shared" si="90"/>
        <v>L-V</v>
      </c>
      <c r="D1486" t="str">
        <f t="shared" si="91"/>
        <v>Lunes</v>
      </c>
    </row>
    <row r="1487" spans="1:4" x14ac:dyDescent="0.25">
      <c r="A1487" s="88" t="str">
        <f t="shared" si="89"/>
        <v>1-2027</v>
      </c>
      <c r="B1487" s="86">
        <v>46413</v>
      </c>
      <c r="C1487" t="str">
        <f t="shared" si="90"/>
        <v>L-V</v>
      </c>
      <c r="D1487" t="str">
        <f t="shared" si="91"/>
        <v>Martes</v>
      </c>
    </row>
    <row r="1488" spans="1:4" x14ac:dyDescent="0.25">
      <c r="A1488" s="88" t="str">
        <f t="shared" si="89"/>
        <v>1-2027</v>
      </c>
      <c r="B1488" s="86">
        <v>46414</v>
      </c>
      <c r="C1488" t="str">
        <f t="shared" si="90"/>
        <v>L-V</v>
      </c>
      <c r="D1488" t="str">
        <f t="shared" si="91"/>
        <v>Miércoles</v>
      </c>
    </row>
    <row r="1489" spans="1:4" x14ac:dyDescent="0.25">
      <c r="A1489" s="88" t="str">
        <f t="shared" si="89"/>
        <v>1-2027</v>
      </c>
      <c r="B1489" s="86">
        <v>46415</v>
      </c>
      <c r="C1489" t="str">
        <f t="shared" si="90"/>
        <v>L-V</v>
      </c>
      <c r="D1489" t="str">
        <f t="shared" si="91"/>
        <v>Jueves</v>
      </c>
    </row>
    <row r="1490" spans="1:4" x14ac:dyDescent="0.25">
      <c r="A1490" s="88" t="str">
        <f t="shared" si="89"/>
        <v>1-2027</v>
      </c>
      <c r="B1490" s="86">
        <v>46416</v>
      </c>
      <c r="C1490" t="str">
        <f t="shared" si="90"/>
        <v>L-V</v>
      </c>
      <c r="D1490" t="str">
        <f t="shared" si="91"/>
        <v>Viernes</v>
      </c>
    </row>
    <row r="1491" spans="1:4" x14ac:dyDescent="0.25">
      <c r="A1491" s="88" t="str">
        <f t="shared" si="89"/>
        <v>1-2027</v>
      </c>
      <c r="B1491" s="86">
        <v>46417</v>
      </c>
      <c r="C1491" t="str">
        <f t="shared" si="90"/>
        <v>SAB</v>
      </c>
      <c r="D1491" t="str">
        <f t="shared" si="91"/>
        <v>Sábado</v>
      </c>
    </row>
    <row r="1492" spans="1:4" x14ac:dyDescent="0.25">
      <c r="A1492" s="88" t="str">
        <f t="shared" si="89"/>
        <v>1-2027</v>
      </c>
      <c r="B1492" s="86">
        <v>46418</v>
      </c>
      <c r="C1492" t="str">
        <f t="shared" si="90"/>
        <v>DOM</v>
      </c>
      <c r="D1492" t="str">
        <f t="shared" si="91"/>
        <v>Domingo</v>
      </c>
    </row>
    <row r="1493" spans="1:4" x14ac:dyDescent="0.25">
      <c r="A1493" s="88" t="str">
        <f t="shared" si="89"/>
        <v>2-2027</v>
      </c>
      <c r="B1493" s="86">
        <v>46419</v>
      </c>
      <c r="C1493" t="str">
        <f t="shared" si="90"/>
        <v>L-V</v>
      </c>
      <c r="D1493" t="str">
        <f t="shared" si="91"/>
        <v>Lunes</v>
      </c>
    </row>
    <row r="1494" spans="1:4" x14ac:dyDescent="0.25">
      <c r="A1494" s="88" t="str">
        <f t="shared" si="89"/>
        <v>2-2027</v>
      </c>
      <c r="B1494" s="86">
        <v>46420</v>
      </c>
      <c r="C1494" t="str">
        <f t="shared" si="90"/>
        <v>L-V</v>
      </c>
      <c r="D1494" t="str">
        <f t="shared" si="91"/>
        <v>Martes</v>
      </c>
    </row>
    <row r="1495" spans="1:4" x14ac:dyDescent="0.25">
      <c r="A1495" s="88" t="str">
        <f t="shared" si="89"/>
        <v>2-2027</v>
      </c>
      <c r="B1495" s="86">
        <v>46421</v>
      </c>
      <c r="C1495" t="str">
        <f t="shared" si="90"/>
        <v>L-V</v>
      </c>
      <c r="D1495" t="str">
        <f t="shared" si="91"/>
        <v>Miércoles</v>
      </c>
    </row>
    <row r="1496" spans="1:4" x14ac:dyDescent="0.25">
      <c r="A1496" s="88" t="str">
        <f t="shared" si="89"/>
        <v>2-2027</v>
      </c>
      <c r="B1496" s="86">
        <v>46422</v>
      </c>
      <c r="C1496" t="str">
        <f t="shared" si="90"/>
        <v>L-V</v>
      </c>
      <c r="D1496" t="str">
        <f t="shared" si="91"/>
        <v>Jueves</v>
      </c>
    </row>
    <row r="1497" spans="1:4" x14ac:dyDescent="0.25">
      <c r="A1497" s="88" t="str">
        <f t="shared" si="89"/>
        <v>2-2027</v>
      </c>
      <c r="B1497" s="86">
        <v>46423</v>
      </c>
      <c r="C1497" t="str">
        <f t="shared" si="90"/>
        <v>L-V</v>
      </c>
      <c r="D1497" t="str">
        <f t="shared" si="91"/>
        <v>Viernes</v>
      </c>
    </row>
    <row r="1498" spans="1:4" x14ac:dyDescent="0.25">
      <c r="A1498" s="88" t="str">
        <f t="shared" si="89"/>
        <v>2-2027</v>
      </c>
      <c r="B1498" s="86">
        <v>46424</v>
      </c>
      <c r="C1498" t="str">
        <f t="shared" si="90"/>
        <v>SAB</v>
      </c>
      <c r="D1498" t="str">
        <f t="shared" si="91"/>
        <v>Sábado</v>
      </c>
    </row>
    <row r="1499" spans="1:4" x14ac:dyDescent="0.25">
      <c r="A1499" s="88" t="str">
        <f t="shared" si="89"/>
        <v>2-2027</v>
      </c>
      <c r="B1499" s="86">
        <v>46425</v>
      </c>
      <c r="C1499" t="str">
        <f t="shared" si="90"/>
        <v>DOM</v>
      </c>
      <c r="D1499" t="str">
        <f t="shared" si="91"/>
        <v>Domingo</v>
      </c>
    </row>
    <row r="1500" spans="1:4" x14ac:dyDescent="0.25">
      <c r="A1500" s="88" t="str">
        <f t="shared" si="89"/>
        <v>2-2027</v>
      </c>
      <c r="B1500" s="86">
        <v>46426</v>
      </c>
      <c r="C1500" t="str">
        <f t="shared" si="90"/>
        <v>L-V</v>
      </c>
      <c r="D1500" t="str">
        <f t="shared" si="91"/>
        <v>Lunes</v>
      </c>
    </row>
    <row r="1501" spans="1:4" x14ac:dyDescent="0.25">
      <c r="A1501" s="88" t="str">
        <f t="shared" si="89"/>
        <v>2-2027</v>
      </c>
      <c r="B1501" s="86">
        <v>46427</v>
      </c>
      <c r="C1501" t="str">
        <f t="shared" si="90"/>
        <v>L-V</v>
      </c>
      <c r="D1501" t="str">
        <f t="shared" si="91"/>
        <v>Martes</v>
      </c>
    </row>
    <row r="1502" spans="1:4" x14ac:dyDescent="0.25">
      <c r="A1502" s="88" t="str">
        <f t="shared" si="89"/>
        <v>2-2027</v>
      </c>
      <c r="B1502" s="86">
        <v>46428</v>
      </c>
      <c r="C1502" t="str">
        <f t="shared" si="90"/>
        <v>L-V</v>
      </c>
      <c r="D1502" t="str">
        <f t="shared" si="91"/>
        <v>Miércoles</v>
      </c>
    </row>
    <row r="1503" spans="1:4" x14ac:dyDescent="0.25">
      <c r="A1503" s="88" t="str">
        <f t="shared" si="89"/>
        <v>2-2027</v>
      </c>
      <c r="B1503" s="86">
        <v>46429</v>
      </c>
      <c r="C1503" t="str">
        <f t="shared" si="90"/>
        <v>L-V</v>
      </c>
      <c r="D1503" t="str">
        <f t="shared" si="91"/>
        <v>Jueves</v>
      </c>
    </row>
    <row r="1504" spans="1:4" x14ac:dyDescent="0.25">
      <c r="A1504" s="88" t="str">
        <f t="shared" si="89"/>
        <v>2-2027</v>
      </c>
      <c r="B1504" s="86">
        <v>46430</v>
      </c>
      <c r="C1504" t="str">
        <f t="shared" si="90"/>
        <v>L-V</v>
      </c>
      <c r="D1504" t="str">
        <f t="shared" si="91"/>
        <v>Viernes</v>
      </c>
    </row>
    <row r="1505" spans="1:4" x14ac:dyDescent="0.25">
      <c r="A1505" s="88" t="str">
        <f t="shared" si="89"/>
        <v>2-2027</v>
      </c>
      <c r="B1505" s="86">
        <v>46431</v>
      </c>
      <c r="C1505" t="str">
        <f t="shared" si="90"/>
        <v>SAB</v>
      </c>
      <c r="D1505" t="str">
        <f t="shared" si="91"/>
        <v>Sábado</v>
      </c>
    </row>
    <row r="1506" spans="1:4" x14ac:dyDescent="0.25">
      <c r="A1506" s="88" t="str">
        <f t="shared" si="89"/>
        <v>2-2027</v>
      </c>
      <c r="B1506" s="86">
        <v>46432</v>
      </c>
      <c r="C1506" t="str">
        <f t="shared" si="90"/>
        <v>DOM</v>
      </c>
      <c r="D1506" t="str">
        <f t="shared" si="91"/>
        <v>Domingo</v>
      </c>
    </row>
    <row r="1507" spans="1:4" x14ac:dyDescent="0.25">
      <c r="A1507" s="88" t="str">
        <f t="shared" si="89"/>
        <v>2-2027</v>
      </c>
      <c r="B1507" s="86">
        <v>46433</v>
      </c>
      <c r="C1507" t="str">
        <f t="shared" si="90"/>
        <v>L-V</v>
      </c>
      <c r="D1507" t="str">
        <f t="shared" si="91"/>
        <v>Lunes</v>
      </c>
    </row>
    <row r="1508" spans="1:4" x14ac:dyDescent="0.25">
      <c r="A1508" s="88" t="str">
        <f t="shared" si="89"/>
        <v>2-2027</v>
      </c>
      <c r="B1508" s="86">
        <v>46434</v>
      </c>
      <c r="C1508" t="str">
        <f t="shared" si="90"/>
        <v>L-V</v>
      </c>
      <c r="D1508" t="str">
        <f t="shared" si="91"/>
        <v>Martes</v>
      </c>
    </row>
    <row r="1509" spans="1:4" x14ac:dyDescent="0.25">
      <c r="A1509" s="88" t="str">
        <f t="shared" si="89"/>
        <v>2-2027</v>
      </c>
      <c r="B1509" s="86">
        <v>46435</v>
      </c>
      <c r="C1509" t="str">
        <f t="shared" si="90"/>
        <v>L-V</v>
      </c>
      <c r="D1509" t="str">
        <f t="shared" si="91"/>
        <v>Miércoles</v>
      </c>
    </row>
    <row r="1510" spans="1:4" x14ac:dyDescent="0.25">
      <c r="A1510" s="88" t="str">
        <f t="shared" si="89"/>
        <v>2-2027</v>
      </c>
      <c r="B1510" s="86">
        <v>46436</v>
      </c>
      <c r="C1510" t="str">
        <f t="shared" si="90"/>
        <v>L-V</v>
      </c>
      <c r="D1510" t="str">
        <f t="shared" si="91"/>
        <v>Jueves</v>
      </c>
    </row>
    <row r="1511" spans="1:4" x14ac:dyDescent="0.25">
      <c r="A1511" s="88" t="str">
        <f t="shared" si="89"/>
        <v>2-2027</v>
      </c>
      <c r="B1511" s="86">
        <v>46437</v>
      </c>
      <c r="C1511" t="str">
        <f t="shared" si="90"/>
        <v>L-V</v>
      </c>
      <c r="D1511" t="str">
        <f t="shared" si="91"/>
        <v>Viernes</v>
      </c>
    </row>
    <row r="1512" spans="1:4" x14ac:dyDescent="0.25">
      <c r="A1512" s="88" t="str">
        <f t="shared" si="89"/>
        <v>2-2027</v>
      </c>
      <c r="B1512" s="86">
        <v>46438</v>
      </c>
      <c r="C1512" t="str">
        <f t="shared" si="90"/>
        <v>SAB</v>
      </c>
      <c r="D1512" t="str">
        <f t="shared" si="91"/>
        <v>Sábado</v>
      </c>
    </row>
    <row r="1513" spans="1:4" x14ac:dyDescent="0.25">
      <c r="A1513" s="88" t="str">
        <f t="shared" si="89"/>
        <v>2-2027</v>
      </c>
      <c r="B1513" s="86">
        <v>46439</v>
      </c>
      <c r="C1513" t="str">
        <f t="shared" si="90"/>
        <v>DOM</v>
      </c>
      <c r="D1513" t="str">
        <f t="shared" si="91"/>
        <v>Domingo</v>
      </c>
    </row>
    <row r="1514" spans="1:4" x14ac:dyDescent="0.25">
      <c r="A1514" s="88" t="str">
        <f t="shared" si="89"/>
        <v>2-2027</v>
      </c>
      <c r="B1514" s="86">
        <v>46440</v>
      </c>
      <c r="C1514" t="str">
        <f t="shared" si="90"/>
        <v>L-V</v>
      </c>
      <c r="D1514" t="str">
        <f t="shared" si="91"/>
        <v>Lunes</v>
      </c>
    </row>
    <row r="1515" spans="1:4" x14ac:dyDescent="0.25">
      <c r="A1515" s="88" t="str">
        <f t="shared" si="89"/>
        <v>2-2027</v>
      </c>
      <c r="B1515" s="86">
        <v>46441</v>
      </c>
      <c r="C1515" t="str">
        <f t="shared" si="90"/>
        <v>L-V</v>
      </c>
      <c r="D1515" t="str">
        <f t="shared" si="91"/>
        <v>Martes</v>
      </c>
    </row>
    <row r="1516" spans="1:4" x14ac:dyDescent="0.25">
      <c r="A1516" s="88" t="str">
        <f t="shared" si="89"/>
        <v>2-2027</v>
      </c>
      <c r="B1516" s="86">
        <v>46442</v>
      </c>
      <c r="C1516" t="str">
        <f t="shared" si="90"/>
        <v>L-V</v>
      </c>
      <c r="D1516" t="str">
        <f t="shared" si="91"/>
        <v>Miércoles</v>
      </c>
    </row>
    <row r="1517" spans="1:4" x14ac:dyDescent="0.25">
      <c r="A1517" s="88" t="str">
        <f t="shared" si="89"/>
        <v>2-2027</v>
      </c>
      <c r="B1517" s="86">
        <v>46443</v>
      </c>
      <c r="C1517" t="str">
        <f t="shared" si="90"/>
        <v>L-V</v>
      </c>
      <c r="D1517" t="str">
        <f t="shared" si="91"/>
        <v>Jueves</v>
      </c>
    </row>
    <row r="1518" spans="1:4" x14ac:dyDescent="0.25">
      <c r="A1518" s="88" t="str">
        <f t="shared" si="89"/>
        <v>2-2027</v>
      </c>
      <c r="B1518" s="86">
        <v>46444</v>
      </c>
      <c r="C1518" t="str">
        <f t="shared" si="90"/>
        <v>L-V</v>
      </c>
      <c r="D1518" t="str">
        <f t="shared" si="91"/>
        <v>Viernes</v>
      </c>
    </row>
    <row r="1519" spans="1:4" x14ac:dyDescent="0.25">
      <c r="A1519" s="88" t="str">
        <f t="shared" si="89"/>
        <v>2-2027</v>
      </c>
      <c r="B1519" s="86">
        <v>46445</v>
      </c>
      <c r="C1519" t="str">
        <f t="shared" si="90"/>
        <v>SAB</v>
      </c>
      <c r="D1519" t="str">
        <f t="shared" si="91"/>
        <v>Sábado</v>
      </c>
    </row>
    <row r="1520" spans="1:4" x14ac:dyDescent="0.25">
      <c r="A1520" s="88" t="str">
        <f t="shared" si="89"/>
        <v>2-2027</v>
      </c>
      <c r="B1520" s="86">
        <v>46446</v>
      </c>
      <c r="C1520" t="str">
        <f t="shared" si="90"/>
        <v>DOM</v>
      </c>
      <c r="D1520" t="str">
        <f t="shared" si="91"/>
        <v>Domingo</v>
      </c>
    </row>
    <row r="1521" spans="1:4" x14ac:dyDescent="0.25">
      <c r="A1521" s="88" t="str">
        <f t="shared" si="89"/>
        <v>3-2027</v>
      </c>
      <c r="B1521" s="86">
        <v>46447</v>
      </c>
      <c r="C1521" t="str">
        <f t="shared" si="90"/>
        <v>L-V</v>
      </c>
      <c r="D1521" t="str">
        <f t="shared" si="91"/>
        <v>Lunes</v>
      </c>
    </row>
    <row r="1522" spans="1:4" x14ac:dyDescent="0.25">
      <c r="A1522" s="88" t="str">
        <f t="shared" si="89"/>
        <v>3-2027</v>
      </c>
      <c r="B1522" s="86">
        <v>46448</v>
      </c>
      <c r="C1522" t="str">
        <f t="shared" si="90"/>
        <v>L-V</v>
      </c>
      <c r="D1522" t="str">
        <f t="shared" si="91"/>
        <v>Martes</v>
      </c>
    </row>
    <row r="1523" spans="1:4" x14ac:dyDescent="0.25">
      <c r="A1523" s="88" t="str">
        <f t="shared" si="89"/>
        <v>3-2027</v>
      </c>
      <c r="B1523" s="86">
        <v>46449</v>
      </c>
      <c r="C1523" t="str">
        <f t="shared" si="90"/>
        <v>L-V</v>
      </c>
      <c r="D1523" t="str">
        <f t="shared" si="91"/>
        <v>Miércoles</v>
      </c>
    </row>
    <row r="1524" spans="1:4" x14ac:dyDescent="0.25">
      <c r="A1524" s="88" t="str">
        <f t="shared" si="89"/>
        <v>3-2027</v>
      </c>
      <c r="B1524" s="86">
        <v>46450</v>
      </c>
      <c r="C1524" t="str">
        <f t="shared" si="90"/>
        <v>L-V</v>
      </c>
      <c r="D1524" t="str">
        <f t="shared" si="91"/>
        <v>Jueves</v>
      </c>
    </row>
    <row r="1525" spans="1:4" x14ac:dyDescent="0.25">
      <c r="A1525" s="88" t="str">
        <f t="shared" si="89"/>
        <v>3-2027</v>
      </c>
      <c r="B1525" s="86">
        <v>46451</v>
      </c>
      <c r="C1525" t="str">
        <f t="shared" si="90"/>
        <v>L-V</v>
      </c>
      <c r="D1525" t="str">
        <f t="shared" si="91"/>
        <v>Viernes</v>
      </c>
    </row>
    <row r="1526" spans="1:4" x14ac:dyDescent="0.25">
      <c r="A1526" s="88" t="str">
        <f t="shared" si="89"/>
        <v>3-2027</v>
      </c>
      <c r="B1526" s="86">
        <v>46452</v>
      </c>
      <c r="C1526" t="str">
        <f t="shared" si="90"/>
        <v>SAB</v>
      </c>
      <c r="D1526" t="str">
        <f t="shared" si="91"/>
        <v>Sábado</v>
      </c>
    </row>
    <row r="1527" spans="1:4" x14ac:dyDescent="0.25">
      <c r="A1527" s="88" t="str">
        <f t="shared" si="89"/>
        <v>3-2027</v>
      </c>
      <c r="B1527" s="86">
        <v>46453</v>
      </c>
      <c r="C1527" t="str">
        <f t="shared" si="90"/>
        <v>DOM</v>
      </c>
      <c r="D1527" t="str">
        <f t="shared" si="91"/>
        <v>Domingo</v>
      </c>
    </row>
    <row r="1528" spans="1:4" x14ac:dyDescent="0.25">
      <c r="A1528" s="88" t="str">
        <f t="shared" si="89"/>
        <v>3-2027</v>
      </c>
      <c r="B1528" s="86">
        <v>46454</v>
      </c>
      <c r="C1528" t="str">
        <f t="shared" si="90"/>
        <v>L-V</v>
      </c>
      <c r="D1528" t="str">
        <f t="shared" si="91"/>
        <v>Lunes</v>
      </c>
    </row>
    <row r="1529" spans="1:4" x14ac:dyDescent="0.25">
      <c r="A1529" s="88" t="str">
        <f t="shared" si="89"/>
        <v>3-2027</v>
      </c>
      <c r="B1529" s="86">
        <v>46455</v>
      </c>
      <c r="C1529" t="str">
        <f t="shared" si="90"/>
        <v>L-V</v>
      </c>
      <c r="D1529" t="str">
        <f t="shared" si="91"/>
        <v>Martes</v>
      </c>
    </row>
    <row r="1530" spans="1:4" x14ac:dyDescent="0.25">
      <c r="A1530" s="88" t="str">
        <f t="shared" si="89"/>
        <v>3-2027</v>
      </c>
      <c r="B1530" s="86">
        <v>46456</v>
      </c>
      <c r="C1530" t="str">
        <f t="shared" si="90"/>
        <v>L-V</v>
      </c>
      <c r="D1530" t="str">
        <f t="shared" si="91"/>
        <v>Miércoles</v>
      </c>
    </row>
    <row r="1531" spans="1:4" x14ac:dyDescent="0.25">
      <c r="A1531" s="88" t="str">
        <f t="shared" si="89"/>
        <v>3-2027</v>
      </c>
      <c r="B1531" s="86">
        <v>46457</v>
      </c>
      <c r="C1531" t="str">
        <f t="shared" si="90"/>
        <v>L-V</v>
      </c>
      <c r="D1531" t="str">
        <f t="shared" si="91"/>
        <v>Jueves</v>
      </c>
    </row>
    <row r="1532" spans="1:4" x14ac:dyDescent="0.25">
      <c r="A1532" s="88" t="str">
        <f t="shared" si="89"/>
        <v>3-2027</v>
      </c>
      <c r="B1532" s="86">
        <v>46458</v>
      </c>
      <c r="C1532" t="str">
        <f t="shared" si="90"/>
        <v>L-V</v>
      </c>
      <c r="D1532" t="str">
        <f t="shared" si="91"/>
        <v>Viernes</v>
      </c>
    </row>
    <row r="1533" spans="1:4" x14ac:dyDescent="0.25">
      <c r="A1533" s="88" t="str">
        <f t="shared" si="89"/>
        <v>3-2027</v>
      </c>
      <c r="B1533" s="86">
        <v>46459</v>
      </c>
      <c r="C1533" t="str">
        <f t="shared" si="90"/>
        <v>SAB</v>
      </c>
      <c r="D1533" t="str">
        <f t="shared" si="91"/>
        <v>Sábado</v>
      </c>
    </row>
    <row r="1534" spans="1:4" x14ac:dyDescent="0.25">
      <c r="A1534" s="88" t="str">
        <f t="shared" si="89"/>
        <v>3-2027</v>
      </c>
      <c r="B1534" s="86">
        <v>46460</v>
      </c>
      <c r="C1534" t="str">
        <f t="shared" si="90"/>
        <v>DOM</v>
      </c>
      <c r="D1534" t="str">
        <f t="shared" si="91"/>
        <v>Domingo</v>
      </c>
    </row>
    <row r="1535" spans="1:4" x14ac:dyDescent="0.25">
      <c r="A1535" s="88" t="str">
        <f t="shared" si="89"/>
        <v>3-2027</v>
      </c>
      <c r="B1535" s="86">
        <v>46461</v>
      </c>
      <c r="C1535" t="str">
        <f t="shared" si="90"/>
        <v>L-V</v>
      </c>
      <c r="D1535" t="str">
        <f t="shared" si="91"/>
        <v>Lunes</v>
      </c>
    </row>
    <row r="1536" spans="1:4" x14ac:dyDescent="0.25">
      <c r="A1536" s="88" t="str">
        <f t="shared" si="89"/>
        <v>3-2027</v>
      </c>
      <c r="B1536" s="86">
        <v>46462</v>
      </c>
      <c r="C1536" t="str">
        <f t="shared" si="90"/>
        <v>L-V</v>
      </c>
      <c r="D1536" t="str">
        <f t="shared" si="91"/>
        <v>Martes</v>
      </c>
    </row>
    <row r="1537" spans="1:4" x14ac:dyDescent="0.25">
      <c r="A1537" s="88" t="str">
        <f t="shared" si="89"/>
        <v>3-2027</v>
      </c>
      <c r="B1537" s="86">
        <v>46463</v>
      </c>
      <c r="C1537" t="str">
        <f t="shared" si="90"/>
        <v>L-V</v>
      </c>
      <c r="D1537" t="str">
        <f t="shared" si="91"/>
        <v>Miércoles</v>
      </c>
    </row>
    <row r="1538" spans="1:4" x14ac:dyDescent="0.25">
      <c r="A1538" s="88" t="str">
        <f t="shared" ref="A1538:A1601" si="92">MONTH(B1538)&amp;"-"&amp;YEAR(B1538)</f>
        <v>3-2027</v>
      </c>
      <c r="B1538" s="86">
        <v>46464</v>
      </c>
      <c r="C1538" t="str">
        <f t="shared" si="90"/>
        <v>L-V</v>
      </c>
      <c r="D1538" t="str">
        <f t="shared" si="91"/>
        <v>Jueves</v>
      </c>
    </row>
    <row r="1539" spans="1:4" x14ac:dyDescent="0.25">
      <c r="A1539" s="88" t="str">
        <f t="shared" si="92"/>
        <v>3-2027</v>
      </c>
      <c r="B1539" s="86">
        <v>46465</v>
      </c>
      <c r="C1539" t="str">
        <f t="shared" ref="C1539:C1602" si="93">VLOOKUP(WEEKDAY(B1539,2),$F$1:$H$7,2)</f>
        <v>L-V</v>
      </c>
      <c r="D1539" t="str">
        <f t="shared" ref="D1539:D1602" si="94">VLOOKUP(WEEKDAY($B1539,2),$F$1:$H$7,3)</f>
        <v>Viernes</v>
      </c>
    </row>
    <row r="1540" spans="1:4" x14ac:dyDescent="0.25">
      <c r="A1540" s="88" t="str">
        <f t="shared" si="92"/>
        <v>3-2027</v>
      </c>
      <c r="B1540" s="86">
        <v>46466</v>
      </c>
      <c r="C1540" t="str">
        <f t="shared" si="93"/>
        <v>SAB</v>
      </c>
      <c r="D1540" t="str">
        <f t="shared" si="94"/>
        <v>Sábado</v>
      </c>
    </row>
    <row r="1541" spans="1:4" x14ac:dyDescent="0.25">
      <c r="A1541" s="88" t="str">
        <f t="shared" si="92"/>
        <v>3-2027</v>
      </c>
      <c r="B1541" s="86">
        <v>46467</v>
      </c>
      <c r="C1541" t="str">
        <f t="shared" si="93"/>
        <v>DOM</v>
      </c>
      <c r="D1541" t="str">
        <f t="shared" si="94"/>
        <v>Domingo</v>
      </c>
    </row>
    <row r="1542" spans="1:4" x14ac:dyDescent="0.25">
      <c r="A1542" s="88" t="str">
        <f t="shared" si="92"/>
        <v>3-2027</v>
      </c>
      <c r="B1542" s="86">
        <v>46468</v>
      </c>
      <c r="C1542" t="str">
        <f t="shared" si="93"/>
        <v>L-V</v>
      </c>
      <c r="D1542" t="str">
        <f t="shared" si="94"/>
        <v>Lunes</v>
      </c>
    </row>
    <row r="1543" spans="1:4" x14ac:dyDescent="0.25">
      <c r="A1543" s="88" t="str">
        <f t="shared" si="92"/>
        <v>3-2027</v>
      </c>
      <c r="B1543" s="86">
        <v>46469</v>
      </c>
      <c r="C1543" t="str">
        <f t="shared" si="93"/>
        <v>L-V</v>
      </c>
      <c r="D1543" t="str">
        <f t="shared" si="94"/>
        <v>Martes</v>
      </c>
    </row>
    <row r="1544" spans="1:4" x14ac:dyDescent="0.25">
      <c r="A1544" s="88" t="str">
        <f t="shared" si="92"/>
        <v>3-2027</v>
      </c>
      <c r="B1544" s="86">
        <v>46470</v>
      </c>
      <c r="C1544" t="str">
        <f t="shared" si="93"/>
        <v>L-V</v>
      </c>
      <c r="D1544" t="str">
        <f t="shared" si="94"/>
        <v>Miércoles</v>
      </c>
    </row>
    <row r="1545" spans="1:4" x14ac:dyDescent="0.25">
      <c r="A1545" s="88" t="str">
        <f t="shared" si="92"/>
        <v>3-2027</v>
      </c>
      <c r="B1545" s="86">
        <v>46471</v>
      </c>
      <c r="C1545" t="str">
        <f t="shared" si="93"/>
        <v>L-V</v>
      </c>
      <c r="D1545" t="str">
        <f t="shared" si="94"/>
        <v>Jueves</v>
      </c>
    </row>
    <row r="1546" spans="1:4" x14ac:dyDescent="0.25">
      <c r="A1546" s="88" t="str">
        <f t="shared" si="92"/>
        <v>3-2027</v>
      </c>
      <c r="B1546" s="86">
        <v>46472</v>
      </c>
      <c r="C1546" t="str">
        <f t="shared" si="93"/>
        <v>L-V</v>
      </c>
      <c r="D1546" t="str">
        <f t="shared" si="94"/>
        <v>Viernes</v>
      </c>
    </row>
    <row r="1547" spans="1:4" x14ac:dyDescent="0.25">
      <c r="A1547" s="88" t="str">
        <f t="shared" si="92"/>
        <v>3-2027</v>
      </c>
      <c r="B1547" s="86">
        <v>46473</v>
      </c>
      <c r="C1547" t="str">
        <f t="shared" si="93"/>
        <v>SAB</v>
      </c>
      <c r="D1547" t="str">
        <f t="shared" si="94"/>
        <v>Sábado</v>
      </c>
    </row>
    <row r="1548" spans="1:4" x14ac:dyDescent="0.25">
      <c r="A1548" s="88" t="str">
        <f t="shared" si="92"/>
        <v>3-2027</v>
      </c>
      <c r="B1548" s="86">
        <v>46474</v>
      </c>
      <c r="C1548" t="str">
        <f t="shared" si="93"/>
        <v>DOM</v>
      </c>
      <c r="D1548" t="str">
        <f t="shared" si="94"/>
        <v>Domingo</v>
      </c>
    </row>
    <row r="1549" spans="1:4" x14ac:dyDescent="0.25">
      <c r="A1549" s="88" t="str">
        <f t="shared" si="92"/>
        <v>3-2027</v>
      </c>
      <c r="B1549" s="86">
        <v>46475</v>
      </c>
      <c r="C1549" t="str">
        <f t="shared" si="93"/>
        <v>L-V</v>
      </c>
      <c r="D1549" t="str">
        <f t="shared" si="94"/>
        <v>Lunes</v>
      </c>
    </row>
    <row r="1550" spans="1:4" x14ac:dyDescent="0.25">
      <c r="A1550" s="88" t="str">
        <f t="shared" si="92"/>
        <v>3-2027</v>
      </c>
      <c r="B1550" s="86">
        <v>46476</v>
      </c>
      <c r="C1550" t="str">
        <f t="shared" si="93"/>
        <v>L-V</v>
      </c>
      <c r="D1550" t="str">
        <f t="shared" si="94"/>
        <v>Martes</v>
      </c>
    </row>
    <row r="1551" spans="1:4" x14ac:dyDescent="0.25">
      <c r="A1551" s="88" t="str">
        <f t="shared" si="92"/>
        <v>3-2027</v>
      </c>
      <c r="B1551" s="86">
        <v>46477</v>
      </c>
      <c r="C1551" t="str">
        <f t="shared" si="93"/>
        <v>L-V</v>
      </c>
      <c r="D1551" t="str">
        <f t="shared" si="94"/>
        <v>Miércoles</v>
      </c>
    </row>
    <row r="1552" spans="1:4" x14ac:dyDescent="0.25">
      <c r="A1552" s="88" t="str">
        <f t="shared" si="92"/>
        <v>4-2027</v>
      </c>
      <c r="B1552" s="86">
        <v>46478</v>
      </c>
      <c r="C1552" t="str">
        <f t="shared" si="93"/>
        <v>L-V</v>
      </c>
      <c r="D1552" t="str">
        <f t="shared" si="94"/>
        <v>Jueves</v>
      </c>
    </row>
    <row r="1553" spans="1:4" x14ac:dyDescent="0.25">
      <c r="A1553" s="88" t="str">
        <f t="shared" si="92"/>
        <v>4-2027</v>
      </c>
      <c r="B1553" s="86">
        <v>46479</v>
      </c>
      <c r="C1553" t="str">
        <f t="shared" si="93"/>
        <v>L-V</v>
      </c>
      <c r="D1553" t="str">
        <f t="shared" si="94"/>
        <v>Viernes</v>
      </c>
    </row>
    <row r="1554" spans="1:4" x14ac:dyDescent="0.25">
      <c r="A1554" s="88" t="str">
        <f t="shared" si="92"/>
        <v>4-2027</v>
      </c>
      <c r="B1554" s="86">
        <v>46480</v>
      </c>
      <c r="C1554" t="str">
        <f t="shared" si="93"/>
        <v>SAB</v>
      </c>
      <c r="D1554" t="str">
        <f t="shared" si="94"/>
        <v>Sábado</v>
      </c>
    </row>
    <row r="1555" spans="1:4" x14ac:dyDescent="0.25">
      <c r="A1555" s="88" t="str">
        <f t="shared" si="92"/>
        <v>4-2027</v>
      </c>
      <c r="B1555" s="86">
        <v>46481</v>
      </c>
      <c r="C1555" t="str">
        <f t="shared" si="93"/>
        <v>DOM</v>
      </c>
      <c r="D1555" t="str">
        <f t="shared" si="94"/>
        <v>Domingo</v>
      </c>
    </row>
    <row r="1556" spans="1:4" x14ac:dyDescent="0.25">
      <c r="A1556" s="88" t="str">
        <f t="shared" si="92"/>
        <v>4-2027</v>
      </c>
      <c r="B1556" s="86">
        <v>46482</v>
      </c>
      <c r="C1556" t="str">
        <f t="shared" si="93"/>
        <v>L-V</v>
      </c>
      <c r="D1556" t="str">
        <f t="shared" si="94"/>
        <v>Lunes</v>
      </c>
    </row>
    <row r="1557" spans="1:4" x14ac:dyDescent="0.25">
      <c r="A1557" s="88" t="str">
        <f t="shared" si="92"/>
        <v>4-2027</v>
      </c>
      <c r="B1557" s="86">
        <v>46483</v>
      </c>
      <c r="C1557" t="str">
        <f t="shared" si="93"/>
        <v>L-V</v>
      </c>
      <c r="D1557" t="str">
        <f t="shared" si="94"/>
        <v>Martes</v>
      </c>
    </row>
    <row r="1558" spans="1:4" x14ac:dyDescent="0.25">
      <c r="A1558" s="88" t="str">
        <f t="shared" si="92"/>
        <v>4-2027</v>
      </c>
      <c r="B1558" s="86">
        <v>46484</v>
      </c>
      <c r="C1558" t="str">
        <f t="shared" si="93"/>
        <v>L-V</v>
      </c>
      <c r="D1558" t="str">
        <f t="shared" si="94"/>
        <v>Miércoles</v>
      </c>
    </row>
    <row r="1559" spans="1:4" x14ac:dyDescent="0.25">
      <c r="A1559" s="88" t="str">
        <f t="shared" si="92"/>
        <v>4-2027</v>
      </c>
      <c r="B1559" s="86">
        <v>46485</v>
      </c>
      <c r="C1559" t="str">
        <f t="shared" si="93"/>
        <v>L-V</v>
      </c>
      <c r="D1559" t="str">
        <f t="shared" si="94"/>
        <v>Jueves</v>
      </c>
    </row>
    <row r="1560" spans="1:4" x14ac:dyDescent="0.25">
      <c r="A1560" s="88" t="str">
        <f t="shared" si="92"/>
        <v>4-2027</v>
      </c>
      <c r="B1560" s="86">
        <v>46486</v>
      </c>
      <c r="C1560" t="str">
        <f t="shared" si="93"/>
        <v>L-V</v>
      </c>
      <c r="D1560" t="str">
        <f t="shared" si="94"/>
        <v>Viernes</v>
      </c>
    </row>
    <row r="1561" spans="1:4" x14ac:dyDescent="0.25">
      <c r="A1561" s="88" t="str">
        <f t="shared" si="92"/>
        <v>4-2027</v>
      </c>
      <c r="B1561" s="86">
        <v>46487</v>
      </c>
      <c r="C1561" t="str">
        <f t="shared" si="93"/>
        <v>SAB</v>
      </c>
      <c r="D1561" t="str">
        <f t="shared" si="94"/>
        <v>Sábado</v>
      </c>
    </row>
    <row r="1562" spans="1:4" x14ac:dyDescent="0.25">
      <c r="A1562" s="88" t="str">
        <f t="shared" si="92"/>
        <v>4-2027</v>
      </c>
      <c r="B1562" s="86">
        <v>46488</v>
      </c>
      <c r="C1562" t="str">
        <f t="shared" si="93"/>
        <v>DOM</v>
      </c>
      <c r="D1562" t="str">
        <f t="shared" si="94"/>
        <v>Domingo</v>
      </c>
    </row>
    <row r="1563" spans="1:4" x14ac:dyDescent="0.25">
      <c r="A1563" s="88" t="str">
        <f t="shared" si="92"/>
        <v>4-2027</v>
      </c>
      <c r="B1563" s="86">
        <v>46489</v>
      </c>
      <c r="C1563" t="str">
        <f t="shared" si="93"/>
        <v>L-V</v>
      </c>
      <c r="D1563" t="str">
        <f t="shared" si="94"/>
        <v>Lunes</v>
      </c>
    </row>
    <row r="1564" spans="1:4" x14ac:dyDescent="0.25">
      <c r="A1564" s="88" t="str">
        <f t="shared" si="92"/>
        <v>4-2027</v>
      </c>
      <c r="B1564" s="86">
        <v>46490</v>
      </c>
      <c r="C1564" t="str">
        <f t="shared" si="93"/>
        <v>L-V</v>
      </c>
      <c r="D1564" t="str">
        <f t="shared" si="94"/>
        <v>Martes</v>
      </c>
    </row>
    <row r="1565" spans="1:4" x14ac:dyDescent="0.25">
      <c r="A1565" s="88" t="str">
        <f t="shared" si="92"/>
        <v>4-2027</v>
      </c>
      <c r="B1565" s="86">
        <v>46491</v>
      </c>
      <c r="C1565" t="str">
        <f t="shared" si="93"/>
        <v>L-V</v>
      </c>
      <c r="D1565" t="str">
        <f t="shared" si="94"/>
        <v>Miércoles</v>
      </c>
    </row>
    <row r="1566" spans="1:4" x14ac:dyDescent="0.25">
      <c r="A1566" s="88" t="str">
        <f t="shared" si="92"/>
        <v>4-2027</v>
      </c>
      <c r="B1566" s="86">
        <v>46492</v>
      </c>
      <c r="C1566" t="str">
        <f t="shared" si="93"/>
        <v>L-V</v>
      </c>
      <c r="D1566" t="str">
        <f t="shared" si="94"/>
        <v>Jueves</v>
      </c>
    </row>
    <row r="1567" spans="1:4" x14ac:dyDescent="0.25">
      <c r="A1567" s="88" t="str">
        <f t="shared" si="92"/>
        <v>4-2027</v>
      </c>
      <c r="B1567" s="86">
        <v>46493</v>
      </c>
      <c r="C1567" t="str">
        <f t="shared" si="93"/>
        <v>L-V</v>
      </c>
      <c r="D1567" t="str">
        <f t="shared" si="94"/>
        <v>Viernes</v>
      </c>
    </row>
    <row r="1568" spans="1:4" x14ac:dyDescent="0.25">
      <c r="A1568" s="88" t="str">
        <f t="shared" si="92"/>
        <v>4-2027</v>
      </c>
      <c r="B1568" s="86">
        <v>46494</v>
      </c>
      <c r="C1568" t="str">
        <f t="shared" si="93"/>
        <v>SAB</v>
      </c>
      <c r="D1568" t="str">
        <f t="shared" si="94"/>
        <v>Sábado</v>
      </c>
    </row>
    <row r="1569" spans="1:4" x14ac:dyDescent="0.25">
      <c r="A1569" s="88" t="str">
        <f t="shared" si="92"/>
        <v>4-2027</v>
      </c>
      <c r="B1569" s="86">
        <v>46495</v>
      </c>
      <c r="C1569" t="str">
        <f t="shared" si="93"/>
        <v>DOM</v>
      </c>
      <c r="D1569" t="str">
        <f t="shared" si="94"/>
        <v>Domingo</v>
      </c>
    </row>
    <row r="1570" spans="1:4" x14ac:dyDescent="0.25">
      <c r="A1570" s="88" t="str">
        <f t="shared" si="92"/>
        <v>4-2027</v>
      </c>
      <c r="B1570" s="86">
        <v>46496</v>
      </c>
      <c r="C1570" t="str">
        <f t="shared" si="93"/>
        <v>L-V</v>
      </c>
      <c r="D1570" t="str">
        <f t="shared" si="94"/>
        <v>Lunes</v>
      </c>
    </row>
    <row r="1571" spans="1:4" x14ac:dyDescent="0.25">
      <c r="A1571" s="88" t="str">
        <f t="shared" si="92"/>
        <v>4-2027</v>
      </c>
      <c r="B1571" s="86">
        <v>46497</v>
      </c>
      <c r="C1571" t="str">
        <f t="shared" si="93"/>
        <v>L-V</v>
      </c>
      <c r="D1571" t="str">
        <f t="shared" si="94"/>
        <v>Martes</v>
      </c>
    </row>
    <row r="1572" spans="1:4" x14ac:dyDescent="0.25">
      <c r="A1572" s="88" t="str">
        <f t="shared" si="92"/>
        <v>4-2027</v>
      </c>
      <c r="B1572" s="86">
        <v>46498</v>
      </c>
      <c r="C1572" t="str">
        <f t="shared" si="93"/>
        <v>L-V</v>
      </c>
      <c r="D1572" t="str">
        <f t="shared" si="94"/>
        <v>Miércoles</v>
      </c>
    </row>
    <row r="1573" spans="1:4" x14ac:dyDescent="0.25">
      <c r="A1573" s="88" t="str">
        <f t="shared" si="92"/>
        <v>4-2027</v>
      </c>
      <c r="B1573" s="86">
        <v>46499</v>
      </c>
      <c r="C1573" t="str">
        <f t="shared" si="93"/>
        <v>L-V</v>
      </c>
      <c r="D1573" t="str">
        <f t="shared" si="94"/>
        <v>Jueves</v>
      </c>
    </row>
    <row r="1574" spans="1:4" x14ac:dyDescent="0.25">
      <c r="A1574" s="88" t="str">
        <f t="shared" si="92"/>
        <v>4-2027</v>
      </c>
      <c r="B1574" s="86">
        <v>46500</v>
      </c>
      <c r="C1574" t="str">
        <f t="shared" si="93"/>
        <v>L-V</v>
      </c>
      <c r="D1574" t="str">
        <f t="shared" si="94"/>
        <v>Viernes</v>
      </c>
    </row>
    <row r="1575" spans="1:4" x14ac:dyDescent="0.25">
      <c r="A1575" s="88" t="str">
        <f t="shared" si="92"/>
        <v>4-2027</v>
      </c>
      <c r="B1575" s="86">
        <v>46501</v>
      </c>
      <c r="C1575" t="str">
        <f t="shared" si="93"/>
        <v>SAB</v>
      </c>
      <c r="D1575" t="str">
        <f t="shared" si="94"/>
        <v>Sábado</v>
      </c>
    </row>
    <row r="1576" spans="1:4" x14ac:dyDescent="0.25">
      <c r="A1576" s="88" t="str">
        <f t="shared" si="92"/>
        <v>4-2027</v>
      </c>
      <c r="B1576" s="86">
        <v>46502</v>
      </c>
      <c r="C1576" t="str">
        <f t="shared" si="93"/>
        <v>DOM</v>
      </c>
      <c r="D1576" t="str">
        <f t="shared" si="94"/>
        <v>Domingo</v>
      </c>
    </row>
    <row r="1577" spans="1:4" x14ac:dyDescent="0.25">
      <c r="A1577" s="88" t="str">
        <f t="shared" si="92"/>
        <v>4-2027</v>
      </c>
      <c r="B1577" s="86">
        <v>46503</v>
      </c>
      <c r="C1577" t="str">
        <f t="shared" si="93"/>
        <v>L-V</v>
      </c>
      <c r="D1577" t="str">
        <f t="shared" si="94"/>
        <v>Lunes</v>
      </c>
    </row>
    <row r="1578" spans="1:4" x14ac:dyDescent="0.25">
      <c r="A1578" s="88" t="str">
        <f t="shared" si="92"/>
        <v>4-2027</v>
      </c>
      <c r="B1578" s="86">
        <v>46504</v>
      </c>
      <c r="C1578" t="str">
        <f t="shared" si="93"/>
        <v>L-V</v>
      </c>
      <c r="D1578" t="str">
        <f t="shared" si="94"/>
        <v>Martes</v>
      </c>
    </row>
    <row r="1579" spans="1:4" x14ac:dyDescent="0.25">
      <c r="A1579" s="88" t="str">
        <f t="shared" si="92"/>
        <v>4-2027</v>
      </c>
      <c r="B1579" s="86">
        <v>46505</v>
      </c>
      <c r="C1579" t="str">
        <f t="shared" si="93"/>
        <v>L-V</v>
      </c>
      <c r="D1579" t="str">
        <f t="shared" si="94"/>
        <v>Miércoles</v>
      </c>
    </row>
    <row r="1580" spans="1:4" x14ac:dyDescent="0.25">
      <c r="A1580" s="88" t="str">
        <f t="shared" si="92"/>
        <v>4-2027</v>
      </c>
      <c r="B1580" s="86">
        <v>46506</v>
      </c>
      <c r="C1580" t="str">
        <f t="shared" si="93"/>
        <v>L-V</v>
      </c>
      <c r="D1580" t="str">
        <f t="shared" si="94"/>
        <v>Jueves</v>
      </c>
    </row>
    <row r="1581" spans="1:4" x14ac:dyDescent="0.25">
      <c r="A1581" s="88" t="str">
        <f t="shared" si="92"/>
        <v>4-2027</v>
      </c>
      <c r="B1581" s="86">
        <v>46507</v>
      </c>
      <c r="C1581" t="str">
        <f t="shared" si="93"/>
        <v>L-V</v>
      </c>
      <c r="D1581" t="str">
        <f t="shared" si="94"/>
        <v>Viernes</v>
      </c>
    </row>
    <row r="1582" spans="1:4" x14ac:dyDescent="0.25">
      <c r="A1582" s="88" t="str">
        <f t="shared" si="92"/>
        <v>5-2027</v>
      </c>
      <c r="B1582" s="86">
        <v>46508</v>
      </c>
      <c r="C1582" t="str">
        <f t="shared" si="93"/>
        <v>SAB</v>
      </c>
      <c r="D1582" t="str">
        <f t="shared" si="94"/>
        <v>Sábado</v>
      </c>
    </row>
    <row r="1583" spans="1:4" x14ac:dyDescent="0.25">
      <c r="A1583" s="88" t="str">
        <f t="shared" si="92"/>
        <v>5-2027</v>
      </c>
      <c r="B1583" s="86">
        <v>46509</v>
      </c>
      <c r="C1583" t="str">
        <f t="shared" si="93"/>
        <v>DOM</v>
      </c>
      <c r="D1583" t="str">
        <f t="shared" si="94"/>
        <v>Domingo</v>
      </c>
    </row>
    <row r="1584" spans="1:4" x14ac:dyDescent="0.25">
      <c r="A1584" s="88" t="str">
        <f t="shared" si="92"/>
        <v>5-2027</v>
      </c>
      <c r="B1584" s="86">
        <v>46510</v>
      </c>
      <c r="C1584" t="str">
        <f t="shared" si="93"/>
        <v>L-V</v>
      </c>
      <c r="D1584" t="str">
        <f t="shared" si="94"/>
        <v>Lunes</v>
      </c>
    </row>
    <row r="1585" spans="1:4" x14ac:dyDescent="0.25">
      <c r="A1585" s="88" t="str">
        <f t="shared" si="92"/>
        <v>5-2027</v>
      </c>
      <c r="B1585" s="86">
        <v>46511</v>
      </c>
      <c r="C1585" t="str">
        <f t="shared" si="93"/>
        <v>L-V</v>
      </c>
      <c r="D1585" t="str">
        <f t="shared" si="94"/>
        <v>Martes</v>
      </c>
    </row>
    <row r="1586" spans="1:4" x14ac:dyDescent="0.25">
      <c r="A1586" s="88" t="str">
        <f t="shared" si="92"/>
        <v>5-2027</v>
      </c>
      <c r="B1586" s="86">
        <v>46512</v>
      </c>
      <c r="C1586" t="str">
        <f t="shared" si="93"/>
        <v>L-V</v>
      </c>
      <c r="D1586" t="str">
        <f t="shared" si="94"/>
        <v>Miércoles</v>
      </c>
    </row>
    <row r="1587" spans="1:4" x14ac:dyDescent="0.25">
      <c r="A1587" s="88" t="str">
        <f t="shared" si="92"/>
        <v>5-2027</v>
      </c>
      <c r="B1587" s="86">
        <v>46513</v>
      </c>
      <c r="C1587" t="str">
        <f t="shared" si="93"/>
        <v>L-V</v>
      </c>
      <c r="D1587" t="str">
        <f t="shared" si="94"/>
        <v>Jueves</v>
      </c>
    </row>
    <row r="1588" spans="1:4" x14ac:dyDescent="0.25">
      <c r="A1588" s="88" t="str">
        <f t="shared" si="92"/>
        <v>5-2027</v>
      </c>
      <c r="B1588" s="86">
        <v>46514</v>
      </c>
      <c r="C1588" t="str">
        <f t="shared" si="93"/>
        <v>L-V</v>
      </c>
      <c r="D1588" t="str">
        <f t="shared" si="94"/>
        <v>Viernes</v>
      </c>
    </row>
    <row r="1589" spans="1:4" x14ac:dyDescent="0.25">
      <c r="A1589" s="88" t="str">
        <f t="shared" si="92"/>
        <v>5-2027</v>
      </c>
      <c r="B1589" s="86">
        <v>46515</v>
      </c>
      <c r="C1589" t="str">
        <f t="shared" si="93"/>
        <v>SAB</v>
      </c>
      <c r="D1589" t="str">
        <f t="shared" si="94"/>
        <v>Sábado</v>
      </c>
    </row>
    <row r="1590" spans="1:4" x14ac:dyDescent="0.25">
      <c r="A1590" s="88" t="str">
        <f t="shared" si="92"/>
        <v>5-2027</v>
      </c>
      <c r="B1590" s="86">
        <v>46516</v>
      </c>
      <c r="C1590" t="str">
        <f t="shared" si="93"/>
        <v>DOM</v>
      </c>
      <c r="D1590" t="str">
        <f t="shared" si="94"/>
        <v>Domingo</v>
      </c>
    </row>
    <row r="1591" spans="1:4" x14ac:dyDescent="0.25">
      <c r="A1591" s="88" t="str">
        <f t="shared" si="92"/>
        <v>5-2027</v>
      </c>
      <c r="B1591" s="86">
        <v>46517</v>
      </c>
      <c r="C1591" t="str">
        <f t="shared" si="93"/>
        <v>L-V</v>
      </c>
      <c r="D1591" t="str">
        <f t="shared" si="94"/>
        <v>Lunes</v>
      </c>
    </row>
    <row r="1592" spans="1:4" x14ac:dyDescent="0.25">
      <c r="A1592" s="88" t="str">
        <f t="shared" si="92"/>
        <v>5-2027</v>
      </c>
      <c r="B1592" s="86">
        <v>46518</v>
      </c>
      <c r="C1592" t="str">
        <f t="shared" si="93"/>
        <v>L-V</v>
      </c>
      <c r="D1592" t="str">
        <f t="shared" si="94"/>
        <v>Martes</v>
      </c>
    </row>
    <row r="1593" spans="1:4" x14ac:dyDescent="0.25">
      <c r="A1593" s="88" t="str">
        <f t="shared" si="92"/>
        <v>5-2027</v>
      </c>
      <c r="B1593" s="86">
        <v>46519</v>
      </c>
      <c r="C1593" t="str">
        <f t="shared" si="93"/>
        <v>L-V</v>
      </c>
      <c r="D1593" t="str">
        <f t="shared" si="94"/>
        <v>Miércoles</v>
      </c>
    </row>
    <row r="1594" spans="1:4" x14ac:dyDescent="0.25">
      <c r="A1594" s="88" t="str">
        <f t="shared" si="92"/>
        <v>5-2027</v>
      </c>
      <c r="B1594" s="86">
        <v>46520</v>
      </c>
      <c r="C1594" t="str">
        <f t="shared" si="93"/>
        <v>L-V</v>
      </c>
      <c r="D1594" t="str">
        <f t="shared" si="94"/>
        <v>Jueves</v>
      </c>
    </row>
    <row r="1595" spans="1:4" x14ac:dyDescent="0.25">
      <c r="A1595" s="88" t="str">
        <f t="shared" si="92"/>
        <v>5-2027</v>
      </c>
      <c r="B1595" s="86">
        <v>46521</v>
      </c>
      <c r="C1595" t="str">
        <f t="shared" si="93"/>
        <v>L-V</v>
      </c>
      <c r="D1595" t="str">
        <f t="shared" si="94"/>
        <v>Viernes</v>
      </c>
    </row>
    <row r="1596" spans="1:4" x14ac:dyDescent="0.25">
      <c r="A1596" s="88" t="str">
        <f t="shared" si="92"/>
        <v>5-2027</v>
      </c>
      <c r="B1596" s="86">
        <v>46522</v>
      </c>
      <c r="C1596" t="str">
        <f t="shared" si="93"/>
        <v>SAB</v>
      </c>
      <c r="D1596" t="str">
        <f t="shared" si="94"/>
        <v>Sábado</v>
      </c>
    </row>
    <row r="1597" spans="1:4" x14ac:dyDescent="0.25">
      <c r="A1597" s="88" t="str">
        <f t="shared" si="92"/>
        <v>5-2027</v>
      </c>
      <c r="B1597" s="86">
        <v>46523</v>
      </c>
      <c r="C1597" t="str">
        <f t="shared" si="93"/>
        <v>DOM</v>
      </c>
      <c r="D1597" t="str">
        <f t="shared" si="94"/>
        <v>Domingo</v>
      </c>
    </row>
    <row r="1598" spans="1:4" x14ac:dyDescent="0.25">
      <c r="A1598" s="88" t="str">
        <f t="shared" si="92"/>
        <v>5-2027</v>
      </c>
      <c r="B1598" s="86">
        <v>46524</v>
      </c>
      <c r="C1598" t="str">
        <f t="shared" si="93"/>
        <v>L-V</v>
      </c>
      <c r="D1598" t="str">
        <f t="shared" si="94"/>
        <v>Lunes</v>
      </c>
    </row>
    <row r="1599" spans="1:4" x14ac:dyDescent="0.25">
      <c r="A1599" s="88" t="str">
        <f t="shared" si="92"/>
        <v>5-2027</v>
      </c>
      <c r="B1599" s="86">
        <v>46525</v>
      </c>
      <c r="C1599" t="str">
        <f t="shared" si="93"/>
        <v>L-V</v>
      </c>
      <c r="D1599" t="str">
        <f t="shared" si="94"/>
        <v>Martes</v>
      </c>
    </row>
    <row r="1600" spans="1:4" x14ac:dyDescent="0.25">
      <c r="A1600" s="88" t="str">
        <f t="shared" si="92"/>
        <v>5-2027</v>
      </c>
      <c r="B1600" s="86">
        <v>46526</v>
      </c>
      <c r="C1600" t="str">
        <f t="shared" si="93"/>
        <v>L-V</v>
      </c>
      <c r="D1600" t="str">
        <f t="shared" si="94"/>
        <v>Miércoles</v>
      </c>
    </row>
    <row r="1601" spans="1:4" x14ac:dyDescent="0.25">
      <c r="A1601" s="88" t="str">
        <f t="shared" si="92"/>
        <v>5-2027</v>
      </c>
      <c r="B1601" s="86">
        <v>46527</v>
      </c>
      <c r="C1601" t="str">
        <f t="shared" si="93"/>
        <v>L-V</v>
      </c>
      <c r="D1601" t="str">
        <f t="shared" si="94"/>
        <v>Jueves</v>
      </c>
    </row>
    <row r="1602" spans="1:4" x14ac:dyDescent="0.25">
      <c r="A1602" s="88" t="str">
        <f t="shared" ref="A1602:A1665" si="95">MONTH(B1602)&amp;"-"&amp;YEAR(B1602)</f>
        <v>5-2027</v>
      </c>
      <c r="B1602" s="86">
        <v>46528</v>
      </c>
      <c r="C1602" t="str">
        <f t="shared" si="93"/>
        <v>L-V</v>
      </c>
      <c r="D1602" t="str">
        <f t="shared" si="94"/>
        <v>Viernes</v>
      </c>
    </row>
    <row r="1603" spans="1:4" x14ac:dyDescent="0.25">
      <c r="A1603" s="88" t="str">
        <f t="shared" si="95"/>
        <v>5-2027</v>
      </c>
      <c r="B1603" s="86">
        <v>46529</v>
      </c>
      <c r="C1603" t="str">
        <f t="shared" ref="C1603:C1666" si="96">VLOOKUP(WEEKDAY(B1603,2),$F$1:$H$7,2)</f>
        <v>SAB</v>
      </c>
      <c r="D1603" t="str">
        <f t="shared" ref="D1603:D1666" si="97">VLOOKUP(WEEKDAY($B1603,2),$F$1:$H$7,3)</f>
        <v>Sábado</v>
      </c>
    </row>
    <row r="1604" spans="1:4" x14ac:dyDescent="0.25">
      <c r="A1604" s="88" t="str">
        <f t="shared" si="95"/>
        <v>5-2027</v>
      </c>
      <c r="B1604" s="86">
        <v>46530</v>
      </c>
      <c r="C1604" t="str">
        <f t="shared" si="96"/>
        <v>DOM</v>
      </c>
      <c r="D1604" t="str">
        <f t="shared" si="97"/>
        <v>Domingo</v>
      </c>
    </row>
    <row r="1605" spans="1:4" x14ac:dyDescent="0.25">
      <c r="A1605" s="88" t="str">
        <f t="shared" si="95"/>
        <v>5-2027</v>
      </c>
      <c r="B1605" s="86">
        <v>46531</v>
      </c>
      <c r="C1605" t="str">
        <f t="shared" si="96"/>
        <v>L-V</v>
      </c>
      <c r="D1605" t="str">
        <f t="shared" si="97"/>
        <v>Lunes</v>
      </c>
    </row>
    <row r="1606" spans="1:4" x14ac:dyDescent="0.25">
      <c r="A1606" s="88" t="str">
        <f t="shared" si="95"/>
        <v>5-2027</v>
      </c>
      <c r="B1606" s="86">
        <v>46532</v>
      </c>
      <c r="C1606" t="str">
        <f t="shared" si="96"/>
        <v>L-V</v>
      </c>
      <c r="D1606" t="str">
        <f t="shared" si="97"/>
        <v>Martes</v>
      </c>
    </row>
    <row r="1607" spans="1:4" x14ac:dyDescent="0.25">
      <c r="A1607" s="88" t="str">
        <f t="shared" si="95"/>
        <v>5-2027</v>
      </c>
      <c r="B1607" s="86">
        <v>46533</v>
      </c>
      <c r="C1607" t="str">
        <f t="shared" si="96"/>
        <v>L-V</v>
      </c>
      <c r="D1607" t="str">
        <f t="shared" si="97"/>
        <v>Miércoles</v>
      </c>
    </row>
    <row r="1608" spans="1:4" x14ac:dyDescent="0.25">
      <c r="A1608" s="88" t="str">
        <f t="shared" si="95"/>
        <v>5-2027</v>
      </c>
      <c r="B1608" s="86">
        <v>46534</v>
      </c>
      <c r="C1608" t="str">
        <f t="shared" si="96"/>
        <v>L-V</v>
      </c>
      <c r="D1608" t="str">
        <f t="shared" si="97"/>
        <v>Jueves</v>
      </c>
    </row>
    <row r="1609" spans="1:4" x14ac:dyDescent="0.25">
      <c r="A1609" s="88" t="str">
        <f t="shared" si="95"/>
        <v>5-2027</v>
      </c>
      <c r="B1609" s="86">
        <v>46535</v>
      </c>
      <c r="C1609" t="str">
        <f t="shared" si="96"/>
        <v>L-V</v>
      </c>
      <c r="D1609" t="str">
        <f t="shared" si="97"/>
        <v>Viernes</v>
      </c>
    </row>
    <row r="1610" spans="1:4" x14ac:dyDescent="0.25">
      <c r="A1610" s="88" t="str">
        <f t="shared" si="95"/>
        <v>5-2027</v>
      </c>
      <c r="B1610" s="86">
        <v>46536</v>
      </c>
      <c r="C1610" t="str">
        <f t="shared" si="96"/>
        <v>SAB</v>
      </c>
      <c r="D1610" t="str">
        <f t="shared" si="97"/>
        <v>Sábado</v>
      </c>
    </row>
    <row r="1611" spans="1:4" x14ac:dyDescent="0.25">
      <c r="A1611" s="88" t="str">
        <f t="shared" si="95"/>
        <v>5-2027</v>
      </c>
      <c r="B1611" s="86">
        <v>46537</v>
      </c>
      <c r="C1611" t="str">
        <f t="shared" si="96"/>
        <v>DOM</v>
      </c>
      <c r="D1611" t="str">
        <f t="shared" si="97"/>
        <v>Domingo</v>
      </c>
    </row>
    <row r="1612" spans="1:4" x14ac:dyDescent="0.25">
      <c r="A1612" s="88" t="str">
        <f t="shared" si="95"/>
        <v>5-2027</v>
      </c>
      <c r="B1612" s="86">
        <v>46538</v>
      </c>
      <c r="C1612" t="str">
        <f t="shared" si="96"/>
        <v>L-V</v>
      </c>
      <c r="D1612" t="str">
        <f t="shared" si="97"/>
        <v>Lunes</v>
      </c>
    </row>
    <row r="1613" spans="1:4" x14ac:dyDescent="0.25">
      <c r="A1613" s="88" t="str">
        <f t="shared" si="95"/>
        <v>6-2027</v>
      </c>
      <c r="B1613" s="86">
        <v>46539</v>
      </c>
      <c r="C1613" t="str">
        <f t="shared" si="96"/>
        <v>L-V</v>
      </c>
      <c r="D1613" t="str">
        <f t="shared" si="97"/>
        <v>Martes</v>
      </c>
    </row>
    <row r="1614" spans="1:4" x14ac:dyDescent="0.25">
      <c r="A1614" s="88" t="str">
        <f t="shared" si="95"/>
        <v>6-2027</v>
      </c>
      <c r="B1614" s="86">
        <v>46540</v>
      </c>
      <c r="C1614" t="str">
        <f t="shared" si="96"/>
        <v>L-V</v>
      </c>
      <c r="D1614" t="str">
        <f t="shared" si="97"/>
        <v>Miércoles</v>
      </c>
    </row>
    <row r="1615" spans="1:4" x14ac:dyDescent="0.25">
      <c r="A1615" s="88" t="str">
        <f t="shared" si="95"/>
        <v>6-2027</v>
      </c>
      <c r="B1615" s="86">
        <v>46541</v>
      </c>
      <c r="C1615" t="str">
        <f t="shared" si="96"/>
        <v>L-V</v>
      </c>
      <c r="D1615" t="str">
        <f t="shared" si="97"/>
        <v>Jueves</v>
      </c>
    </row>
    <row r="1616" spans="1:4" x14ac:dyDescent="0.25">
      <c r="A1616" s="88" t="str">
        <f t="shared" si="95"/>
        <v>6-2027</v>
      </c>
      <c r="B1616" s="86">
        <v>46542</v>
      </c>
      <c r="C1616" t="str">
        <f t="shared" si="96"/>
        <v>L-V</v>
      </c>
      <c r="D1616" t="str">
        <f t="shared" si="97"/>
        <v>Viernes</v>
      </c>
    </row>
    <row r="1617" spans="1:4" x14ac:dyDescent="0.25">
      <c r="A1617" s="88" t="str">
        <f t="shared" si="95"/>
        <v>6-2027</v>
      </c>
      <c r="B1617" s="86">
        <v>46543</v>
      </c>
      <c r="C1617" t="str">
        <f t="shared" si="96"/>
        <v>SAB</v>
      </c>
      <c r="D1617" t="str">
        <f t="shared" si="97"/>
        <v>Sábado</v>
      </c>
    </row>
    <row r="1618" spans="1:4" x14ac:dyDescent="0.25">
      <c r="A1618" s="88" t="str">
        <f t="shared" si="95"/>
        <v>6-2027</v>
      </c>
      <c r="B1618" s="86">
        <v>46544</v>
      </c>
      <c r="C1618" t="str">
        <f t="shared" si="96"/>
        <v>DOM</v>
      </c>
      <c r="D1618" t="str">
        <f t="shared" si="97"/>
        <v>Domingo</v>
      </c>
    </row>
    <row r="1619" spans="1:4" x14ac:dyDescent="0.25">
      <c r="A1619" s="88" t="str">
        <f t="shared" si="95"/>
        <v>6-2027</v>
      </c>
      <c r="B1619" s="86">
        <v>46545</v>
      </c>
      <c r="C1619" t="str">
        <f t="shared" si="96"/>
        <v>L-V</v>
      </c>
      <c r="D1619" t="str">
        <f t="shared" si="97"/>
        <v>Lunes</v>
      </c>
    </row>
    <row r="1620" spans="1:4" x14ac:dyDescent="0.25">
      <c r="A1620" s="88" t="str">
        <f t="shared" si="95"/>
        <v>6-2027</v>
      </c>
      <c r="B1620" s="86">
        <v>46546</v>
      </c>
      <c r="C1620" t="str">
        <f t="shared" si="96"/>
        <v>L-V</v>
      </c>
      <c r="D1620" t="str">
        <f t="shared" si="97"/>
        <v>Martes</v>
      </c>
    </row>
    <row r="1621" spans="1:4" x14ac:dyDescent="0.25">
      <c r="A1621" s="88" t="str">
        <f t="shared" si="95"/>
        <v>6-2027</v>
      </c>
      <c r="B1621" s="86">
        <v>46547</v>
      </c>
      <c r="C1621" t="str">
        <f t="shared" si="96"/>
        <v>L-V</v>
      </c>
      <c r="D1621" t="str">
        <f t="shared" si="97"/>
        <v>Miércoles</v>
      </c>
    </row>
    <row r="1622" spans="1:4" x14ac:dyDescent="0.25">
      <c r="A1622" s="88" t="str">
        <f t="shared" si="95"/>
        <v>6-2027</v>
      </c>
      <c r="B1622" s="86">
        <v>46548</v>
      </c>
      <c r="C1622" t="str">
        <f t="shared" si="96"/>
        <v>L-V</v>
      </c>
      <c r="D1622" t="str">
        <f t="shared" si="97"/>
        <v>Jueves</v>
      </c>
    </row>
    <row r="1623" spans="1:4" x14ac:dyDescent="0.25">
      <c r="A1623" s="88" t="str">
        <f t="shared" si="95"/>
        <v>6-2027</v>
      </c>
      <c r="B1623" s="86">
        <v>46549</v>
      </c>
      <c r="C1623" t="str">
        <f t="shared" si="96"/>
        <v>L-V</v>
      </c>
      <c r="D1623" t="str">
        <f t="shared" si="97"/>
        <v>Viernes</v>
      </c>
    </row>
    <row r="1624" spans="1:4" x14ac:dyDescent="0.25">
      <c r="A1624" s="88" t="str">
        <f t="shared" si="95"/>
        <v>6-2027</v>
      </c>
      <c r="B1624" s="86">
        <v>46550</v>
      </c>
      <c r="C1624" t="str">
        <f t="shared" si="96"/>
        <v>SAB</v>
      </c>
      <c r="D1624" t="str">
        <f t="shared" si="97"/>
        <v>Sábado</v>
      </c>
    </row>
    <row r="1625" spans="1:4" x14ac:dyDescent="0.25">
      <c r="A1625" s="88" t="str">
        <f t="shared" si="95"/>
        <v>6-2027</v>
      </c>
      <c r="B1625" s="86">
        <v>46551</v>
      </c>
      <c r="C1625" t="str">
        <f t="shared" si="96"/>
        <v>DOM</v>
      </c>
      <c r="D1625" t="str">
        <f t="shared" si="97"/>
        <v>Domingo</v>
      </c>
    </row>
    <row r="1626" spans="1:4" x14ac:dyDescent="0.25">
      <c r="A1626" s="88" t="str">
        <f t="shared" si="95"/>
        <v>6-2027</v>
      </c>
      <c r="B1626" s="86">
        <v>46552</v>
      </c>
      <c r="C1626" t="str">
        <f t="shared" si="96"/>
        <v>L-V</v>
      </c>
      <c r="D1626" t="str">
        <f t="shared" si="97"/>
        <v>Lunes</v>
      </c>
    </row>
    <row r="1627" spans="1:4" x14ac:dyDescent="0.25">
      <c r="A1627" s="88" t="str">
        <f t="shared" si="95"/>
        <v>6-2027</v>
      </c>
      <c r="B1627" s="86">
        <v>46553</v>
      </c>
      <c r="C1627" t="str">
        <f t="shared" si="96"/>
        <v>L-V</v>
      </c>
      <c r="D1627" t="str">
        <f t="shared" si="97"/>
        <v>Martes</v>
      </c>
    </row>
    <row r="1628" spans="1:4" x14ac:dyDescent="0.25">
      <c r="A1628" s="88" t="str">
        <f t="shared" si="95"/>
        <v>6-2027</v>
      </c>
      <c r="B1628" s="86">
        <v>46554</v>
      </c>
      <c r="C1628" t="str">
        <f t="shared" si="96"/>
        <v>L-V</v>
      </c>
      <c r="D1628" t="str">
        <f t="shared" si="97"/>
        <v>Miércoles</v>
      </c>
    </row>
    <row r="1629" spans="1:4" x14ac:dyDescent="0.25">
      <c r="A1629" s="88" t="str">
        <f t="shared" si="95"/>
        <v>6-2027</v>
      </c>
      <c r="B1629" s="86">
        <v>46555</v>
      </c>
      <c r="C1629" t="str">
        <f t="shared" si="96"/>
        <v>L-V</v>
      </c>
      <c r="D1629" t="str">
        <f t="shared" si="97"/>
        <v>Jueves</v>
      </c>
    </row>
    <row r="1630" spans="1:4" x14ac:dyDescent="0.25">
      <c r="A1630" s="88" t="str">
        <f t="shared" si="95"/>
        <v>6-2027</v>
      </c>
      <c r="B1630" s="86">
        <v>46556</v>
      </c>
      <c r="C1630" t="str">
        <f t="shared" si="96"/>
        <v>L-V</v>
      </c>
      <c r="D1630" t="str">
        <f t="shared" si="97"/>
        <v>Viernes</v>
      </c>
    </row>
    <row r="1631" spans="1:4" x14ac:dyDescent="0.25">
      <c r="A1631" s="88" t="str">
        <f t="shared" si="95"/>
        <v>6-2027</v>
      </c>
      <c r="B1631" s="86">
        <v>46557</v>
      </c>
      <c r="C1631" t="str">
        <f t="shared" si="96"/>
        <v>SAB</v>
      </c>
      <c r="D1631" t="str">
        <f t="shared" si="97"/>
        <v>Sábado</v>
      </c>
    </row>
    <row r="1632" spans="1:4" x14ac:dyDescent="0.25">
      <c r="A1632" s="88" t="str">
        <f t="shared" si="95"/>
        <v>6-2027</v>
      </c>
      <c r="B1632" s="86">
        <v>46558</v>
      </c>
      <c r="C1632" t="str">
        <f t="shared" si="96"/>
        <v>DOM</v>
      </c>
      <c r="D1632" t="str">
        <f t="shared" si="97"/>
        <v>Domingo</v>
      </c>
    </row>
    <row r="1633" spans="1:4" x14ac:dyDescent="0.25">
      <c r="A1633" s="88" t="str">
        <f t="shared" si="95"/>
        <v>6-2027</v>
      </c>
      <c r="B1633" s="86">
        <v>46559</v>
      </c>
      <c r="C1633" t="str">
        <f t="shared" si="96"/>
        <v>L-V</v>
      </c>
      <c r="D1633" t="str">
        <f t="shared" si="97"/>
        <v>Lunes</v>
      </c>
    </row>
    <row r="1634" spans="1:4" x14ac:dyDescent="0.25">
      <c r="A1634" s="88" t="str">
        <f t="shared" si="95"/>
        <v>6-2027</v>
      </c>
      <c r="B1634" s="86">
        <v>46560</v>
      </c>
      <c r="C1634" t="str">
        <f t="shared" si="96"/>
        <v>L-V</v>
      </c>
      <c r="D1634" t="str">
        <f t="shared" si="97"/>
        <v>Martes</v>
      </c>
    </row>
    <row r="1635" spans="1:4" x14ac:dyDescent="0.25">
      <c r="A1635" s="88" t="str">
        <f t="shared" si="95"/>
        <v>6-2027</v>
      </c>
      <c r="B1635" s="86">
        <v>46561</v>
      </c>
      <c r="C1635" t="str">
        <f t="shared" si="96"/>
        <v>L-V</v>
      </c>
      <c r="D1635" t="str">
        <f t="shared" si="97"/>
        <v>Miércoles</v>
      </c>
    </row>
    <row r="1636" spans="1:4" x14ac:dyDescent="0.25">
      <c r="A1636" s="88" t="str">
        <f t="shared" si="95"/>
        <v>6-2027</v>
      </c>
      <c r="B1636" s="86">
        <v>46562</v>
      </c>
      <c r="C1636" t="str">
        <f t="shared" si="96"/>
        <v>L-V</v>
      </c>
      <c r="D1636" t="str">
        <f t="shared" si="97"/>
        <v>Jueves</v>
      </c>
    </row>
    <row r="1637" spans="1:4" x14ac:dyDescent="0.25">
      <c r="A1637" s="88" t="str">
        <f t="shared" si="95"/>
        <v>6-2027</v>
      </c>
      <c r="B1637" s="86">
        <v>46563</v>
      </c>
      <c r="C1637" t="str">
        <f t="shared" si="96"/>
        <v>L-V</v>
      </c>
      <c r="D1637" t="str">
        <f t="shared" si="97"/>
        <v>Viernes</v>
      </c>
    </row>
    <row r="1638" spans="1:4" x14ac:dyDescent="0.25">
      <c r="A1638" s="88" t="str">
        <f t="shared" si="95"/>
        <v>6-2027</v>
      </c>
      <c r="B1638" s="86">
        <v>46564</v>
      </c>
      <c r="C1638" t="str">
        <f t="shared" si="96"/>
        <v>SAB</v>
      </c>
      <c r="D1638" t="str">
        <f t="shared" si="97"/>
        <v>Sábado</v>
      </c>
    </row>
    <row r="1639" spans="1:4" x14ac:dyDescent="0.25">
      <c r="A1639" s="88" t="str">
        <f t="shared" si="95"/>
        <v>6-2027</v>
      </c>
      <c r="B1639" s="86">
        <v>46565</v>
      </c>
      <c r="C1639" t="str">
        <f t="shared" si="96"/>
        <v>DOM</v>
      </c>
      <c r="D1639" t="str">
        <f t="shared" si="97"/>
        <v>Domingo</v>
      </c>
    </row>
    <row r="1640" spans="1:4" x14ac:dyDescent="0.25">
      <c r="A1640" s="88" t="str">
        <f t="shared" si="95"/>
        <v>6-2027</v>
      </c>
      <c r="B1640" s="86">
        <v>46566</v>
      </c>
      <c r="C1640" t="str">
        <f t="shared" si="96"/>
        <v>L-V</v>
      </c>
      <c r="D1640" t="str">
        <f t="shared" si="97"/>
        <v>Lunes</v>
      </c>
    </row>
    <row r="1641" spans="1:4" x14ac:dyDescent="0.25">
      <c r="A1641" s="88" t="str">
        <f t="shared" si="95"/>
        <v>6-2027</v>
      </c>
      <c r="B1641" s="86">
        <v>46567</v>
      </c>
      <c r="C1641" t="str">
        <f t="shared" si="96"/>
        <v>L-V</v>
      </c>
      <c r="D1641" t="str">
        <f t="shared" si="97"/>
        <v>Martes</v>
      </c>
    </row>
    <row r="1642" spans="1:4" x14ac:dyDescent="0.25">
      <c r="A1642" s="88" t="str">
        <f t="shared" si="95"/>
        <v>6-2027</v>
      </c>
      <c r="B1642" s="86">
        <v>46568</v>
      </c>
      <c r="C1642" t="str">
        <f t="shared" si="96"/>
        <v>L-V</v>
      </c>
      <c r="D1642" t="str">
        <f t="shared" si="97"/>
        <v>Miércoles</v>
      </c>
    </row>
    <row r="1643" spans="1:4" x14ac:dyDescent="0.25">
      <c r="A1643" s="88" t="str">
        <f t="shared" si="95"/>
        <v>7-2027</v>
      </c>
      <c r="B1643" s="86">
        <v>46569</v>
      </c>
      <c r="C1643" t="str">
        <f t="shared" si="96"/>
        <v>L-V</v>
      </c>
      <c r="D1643" t="str">
        <f t="shared" si="97"/>
        <v>Jueves</v>
      </c>
    </row>
    <row r="1644" spans="1:4" x14ac:dyDescent="0.25">
      <c r="A1644" s="88" t="str">
        <f t="shared" si="95"/>
        <v>7-2027</v>
      </c>
      <c r="B1644" s="86">
        <v>46570</v>
      </c>
      <c r="C1644" t="str">
        <f t="shared" si="96"/>
        <v>L-V</v>
      </c>
      <c r="D1644" t="str">
        <f t="shared" si="97"/>
        <v>Viernes</v>
      </c>
    </row>
    <row r="1645" spans="1:4" x14ac:dyDescent="0.25">
      <c r="A1645" s="88" t="str">
        <f t="shared" si="95"/>
        <v>7-2027</v>
      </c>
      <c r="B1645" s="86">
        <v>46571</v>
      </c>
      <c r="C1645" t="str">
        <f t="shared" si="96"/>
        <v>SAB</v>
      </c>
      <c r="D1645" t="str">
        <f t="shared" si="97"/>
        <v>Sábado</v>
      </c>
    </row>
    <row r="1646" spans="1:4" x14ac:dyDescent="0.25">
      <c r="A1646" s="88" t="str">
        <f t="shared" si="95"/>
        <v>7-2027</v>
      </c>
      <c r="B1646" s="86">
        <v>46572</v>
      </c>
      <c r="C1646" t="str">
        <f t="shared" si="96"/>
        <v>DOM</v>
      </c>
      <c r="D1646" t="str">
        <f t="shared" si="97"/>
        <v>Domingo</v>
      </c>
    </row>
    <row r="1647" spans="1:4" x14ac:dyDescent="0.25">
      <c r="A1647" s="88" t="str">
        <f t="shared" si="95"/>
        <v>7-2027</v>
      </c>
      <c r="B1647" s="86">
        <v>46573</v>
      </c>
      <c r="C1647" t="str">
        <f t="shared" si="96"/>
        <v>L-V</v>
      </c>
      <c r="D1647" t="str">
        <f t="shared" si="97"/>
        <v>Lunes</v>
      </c>
    </row>
    <row r="1648" spans="1:4" x14ac:dyDescent="0.25">
      <c r="A1648" s="88" t="str">
        <f t="shared" si="95"/>
        <v>7-2027</v>
      </c>
      <c r="B1648" s="86">
        <v>46574</v>
      </c>
      <c r="C1648" t="str">
        <f t="shared" si="96"/>
        <v>L-V</v>
      </c>
      <c r="D1648" t="str">
        <f t="shared" si="97"/>
        <v>Martes</v>
      </c>
    </row>
    <row r="1649" spans="1:4" x14ac:dyDescent="0.25">
      <c r="A1649" s="88" t="str">
        <f t="shared" si="95"/>
        <v>7-2027</v>
      </c>
      <c r="B1649" s="86">
        <v>46575</v>
      </c>
      <c r="C1649" t="str">
        <f t="shared" si="96"/>
        <v>L-V</v>
      </c>
      <c r="D1649" t="str">
        <f t="shared" si="97"/>
        <v>Miércoles</v>
      </c>
    </row>
    <row r="1650" spans="1:4" x14ac:dyDescent="0.25">
      <c r="A1650" s="88" t="str">
        <f t="shared" si="95"/>
        <v>7-2027</v>
      </c>
      <c r="B1650" s="86">
        <v>46576</v>
      </c>
      <c r="C1650" t="str">
        <f t="shared" si="96"/>
        <v>L-V</v>
      </c>
      <c r="D1650" t="str">
        <f t="shared" si="97"/>
        <v>Jueves</v>
      </c>
    </row>
    <row r="1651" spans="1:4" x14ac:dyDescent="0.25">
      <c r="A1651" s="88" t="str">
        <f t="shared" si="95"/>
        <v>7-2027</v>
      </c>
      <c r="B1651" s="86">
        <v>46577</v>
      </c>
      <c r="C1651" t="str">
        <f t="shared" si="96"/>
        <v>L-V</v>
      </c>
      <c r="D1651" t="str">
        <f t="shared" si="97"/>
        <v>Viernes</v>
      </c>
    </row>
    <row r="1652" spans="1:4" x14ac:dyDescent="0.25">
      <c r="A1652" s="88" t="str">
        <f t="shared" si="95"/>
        <v>7-2027</v>
      </c>
      <c r="B1652" s="86">
        <v>46578</v>
      </c>
      <c r="C1652" t="str">
        <f t="shared" si="96"/>
        <v>SAB</v>
      </c>
      <c r="D1652" t="str">
        <f t="shared" si="97"/>
        <v>Sábado</v>
      </c>
    </row>
    <row r="1653" spans="1:4" x14ac:dyDescent="0.25">
      <c r="A1653" s="88" t="str">
        <f t="shared" si="95"/>
        <v>7-2027</v>
      </c>
      <c r="B1653" s="86">
        <v>46579</v>
      </c>
      <c r="C1653" t="str">
        <f t="shared" si="96"/>
        <v>DOM</v>
      </c>
      <c r="D1653" t="str">
        <f t="shared" si="97"/>
        <v>Domingo</v>
      </c>
    </row>
    <row r="1654" spans="1:4" x14ac:dyDescent="0.25">
      <c r="A1654" s="88" t="str">
        <f t="shared" si="95"/>
        <v>7-2027</v>
      </c>
      <c r="B1654" s="86">
        <v>46580</v>
      </c>
      <c r="C1654" t="str">
        <f t="shared" si="96"/>
        <v>L-V</v>
      </c>
      <c r="D1654" t="str">
        <f t="shared" si="97"/>
        <v>Lunes</v>
      </c>
    </row>
    <row r="1655" spans="1:4" x14ac:dyDescent="0.25">
      <c r="A1655" s="88" t="str">
        <f t="shared" si="95"/>
        <v>7-2027</v>
      </c>
      <c r="B1655" s="86">
        <v>46581</v>
      </c>
      <c r="C1655" t="str">
        <f t="shared" si="96"/>
        <v>L-V</v>
      </c>
      <c r="D1655" t="str">
        <f t="shared" si="97"/>
        <v>Martes</v>
      </c>
    </row>
    <row r="1656" spans="1:4" x14ac:dyDescent="0.25">
      <c r="A1656" s="88" t="str">
        <f t="shared" si="95"/>
        <v>7-2027</v>
      </c>
      <c r="B1656" s="86">
        <v>46582</v>
      </c>
      <c r="C1656" t="str">
        <f t="shared" si="96"/>
        <v>L-V</v>
      </c>
      <c r="D1656" t="str">
        <f t="shared" si="97"/>
        <v>Miércoles</v>
      </c>
    </row>
    <row r="1657" spans="1:4" x14ac:dyDescent="0.25">
      <c r="A1657" s="88" t="str">
        <f t="shared" si="95"/>
        <v>7-2027</v>
      </c>
      <c r="B1657" s="86">
        <v>46583</v>
      </c>
      <c r="C1657" t="str">
        <f t="shared" si="96"/>
        <v>L-V</v>
      </c>
      <c r="D1657" t="str">
        <f t="shared" si="97"/>
        <v>Jueves</v>
      </c>
    </row>
    <row r="1658" spans="1:4" x14ac:dyDescent="0.25">
      <c r="A1658" s="88" t="str">
        <f t="shared" si="95"/>
        <v>7-2027</v>
      </c>
      <c r="B1658" s="86">
        <v>46584</v>
      </c>
      <c r="C1658" t="str">
        <f t="shared" si="96"/>
        <v>L-V</v>
      </c>
      <c r="D1658" t="str">
        <f t="shared" si="97"/>
        <v>Viernes</v>
      </c>
    </row>
    <row r="1659" spans="1:4" x14ac:dyDescent="0.25">
      <c r="A1659" s="88" t="str">
        <f t="shared" si="95"/>
        <v>7-2027</v>
      </c>
      <c r="B1659" s="86">
        <v>46585</v>
      </c>
      <c r="C1659" t="str">
        <f t="shared" si="96"/>
        <v>SAB</v>
      </c>
      <c r="D1659" t="str">
        <f t="shared" si="97"/>
        <v>Sábado</v>
      </c>
    </row>
    <row r="1660" spans="1:4" x14ac:dyDescent="0.25">
      <c r="A1660" s="88" t="str">
        <f t="shared" si="95"/>
        <v>7-2027</v>
      </c>
      <c r="B1660" s="86">
        <v>46586</v>
      </c>
      <c r="C1660" t="str">
        <f t="shared" si="96"/>
        <v>DOM</v>
      </c>
      <c r="D1660" t="str">
        <f t="shared" si="97"/>
        <v>Domingo</v>
      </c>
    </row>
    <row r="1661" spans="1:4" x14ac:dyDescent="0.25">
      <c r="A1661" s="88" t="str">
        <f t="shared" si="95"/>
        <v>7-2027</v>
      </c>
      <c r="B1661" s="86">
        <v>46587</v>
      </c>
      <c r="C1661" t="str">
        <f t="shared" si="96"/>
        <v>L-V</v>
      </c>
      <c r="D1661" t="str">
        <f t="shared" si="97"/>
        <v>Lunes</v>
      </c>
    </row>
    <row r="1662" spans="1:4" x14ac:dyDescent="0.25">
      <c r="A1662" s="88" t="str">
        <f t="shared" si="95"/>
        <v>7-2027</v>
      </c>
      <c r="B1662" s="86">
        <v>46588</v>
      </c>
      <c r="C1662" t="str">
        <f t="shared" si="96"/>
        <v>L-V</v>
      </c>
      <c r="D1662" t="str">
        <f t="shared" si="97"/>
        <v>Martes</v>
      </c>
    </row>
    <row r="1663" spans="1:4" x14ac:dyDescent="0.25">
      <c r="A1663" s="88" t="str">
        <f t="shared" si="95"/>
        <v>7-2027</v>
      </c>
      <c r="B1663" s="86">
        <v>46589</v>
      </c>
      <c r="C1663" t="str">
        <f t="shared" si="96"/>
        <v>L-V</v>
      </c>
      <c r="D1663" t="str">
        <f t="shared" si="97"/>
        <v>Miércoles</v>
      </c>
    </row>
    <row r="1664" spans="1:4" x14ac:dyDescent="0.25">
      <c r="A1664" s="88" t="str">
        <f t="shared" si="95"/>
        <v>7-2027</v>
      </c>
      <c r="B1664" s="86">
        <v>46590</v>
      </c>
      <c r="C1664" t="str">
        <f t="shared" si="96"/>
        <v>L-V</v>
      </c>
      <c r="D1664" t="str">
        <f t="shared" si="97"/>
        <v>Jueves</v>
      </c>
    </row>
    <row r="1665" spans="1:4" x14ac:dyDescent="0.25">
      <c r="A1665" s="88" t="str">
        <f t="shared" si="95"/>
        <v>7-2027</v>
      </c>
      <c r="B1665" s="86">
        <v>46591</v>
      </c>
      <c r="C1665" t="str">
        <f t="shared" si="96"/>
        <v>L-V</v>
      </c>
      <c r="D1665" t="str">
        <f t="shared" si="97"/>
        <v>Viernes</v>
      </c>
    </row>
    <row r="1666" spans="1:4" x14ac:dyDescent="0.25">
      <c r="A1666" s="88" t="str">
        <f t="shared" ref="A1666:A1729" si="98">MONTH(B1666)&amp;"-"&amp;YEAR(B1666)</f>
        <v>7-2027</v>
      </c>
      <c r="B1666" s="86">
        <v>46592</v>
      </c>
      <c r="C1666" t="str">
        <f t="shared" si="96"/>
        <v>SAB</v>
      </c>
      <c r="D1666" t="str">
        <f t="shared" si="97"/>
        <v>Sábado</v>
      </c>
    </row>
    <row r="1667" spans="1:4" x14ac:dyDescent="0.25">
      <c r="A1667" s="88" t="str">
        <f t="shared" si="98"/>
        <v>7-2027</v>
      </c>
      <c r="B1667" s="86">
        <v>46593</v>
      </c>
      <c r="C1667" t="str">
        <f t="shared" ref="C1667:C1730" si="99">VLOOKUP(WEEKDAY(B1667,2),$F$1:$H$7,2)</f>
        <v>DOM</v>
      </c>
      <c r="D1667" t="str">
        <f t="shared" ref="D1667:D1730" si="100">VLOOKUP(WEEKDAY($B1667,2),$F$1:$H$7,3)</f>
        <v>Domingo</v>
      </c>
    </row>
    <row r="1668" spans="1:4" x14ac:dyDescent="0.25">
      <c r="A1668" s="88" t="str">
        <f t="shared" si="98"/>
        <v>7-2027</v>
      </c>
      <c r="B1668" s="86">
        <v>46594</v>
      </c>
      <c r="C1668" t="str">
        <f t="shared" si="99"/>
        <v>L-V</v>
      </c>
      <c r="D1668" t="str">
        <f t="shared" si="100"/>
        <v>Lunes</v>
      </c>
    </row>
    <row r="1669" spans="1:4" x14ac:dyDescent="0.25">
      <c r="A1669" s="88" t="str">
        <f t="shared" si="98"/>
        <v>7-2027</v>
      </c>
      <c r="B1669" s="86">
        <v>46595</v>
      </c>
      <c r="C1669" t="str">
        <f t="shared" si="99"/>
        <v>L-V</v>
      </c>
      <c r="D1669" t="str">
        <f t="shared" si="100"/>
        <v>Martes</v>
      </c>
    </row>
    <row r="1670" spans="1:4" x14ac:dyDescent="0.25">
      <c r="A1670" s="88" t="str">
        <f t="shared" si="98"/>
        <v>7-2027</v>
      </c>
      <c r="B1670" s="86">
        <v>46596</v>
      </c>
      <c r="C1670" t="str">
        <f t="shared" si="99"/>
        <v>L-V</v>
      </c>
      <c r="D1670" t="str">
        <f t="shared" si="100"/>
        <v>Miércoles</v>
      </c>
    </row>
    <row r="1671" spans="1:4" x14ac:dyDescent="0.25">
      <c r="A1671" s="88" t="str">
        <f t="shared" si="98"/>
        <v>7-2027</v>
      </c>
      <c r="B1671" s="86">
        <v>46597</v>
      </c>
      <c r="C1671" t="str">
        <f t="shared" si="99"/>
        <v>L-V</v>
      </c>
      <c r="D1671" t="str">
        <f t="shared" si="100"/>
        <v>Jueves</v>
      </c>
    </row>
    <row r="1672" spans="1:4" x14ac:dyDescent="0.25">
      <c r="A1672" s="88" t="str">
        <f t="shared" si="98"/>
        <v>7-2027</v>
      </c>
      <c r="B1672" s="86">
        <v>46598</v>
      </c>
      <c r="C1672" t="str">
        <f t="shared" si="99"/>
        <v>L-V</v>
      </c>
      <c r="D1672" t="str">
        <f t="shared" si="100"/>
        <v>Viernes</v>
      </c>
    </row>
    <row r="1673" spans="1:4" x14ac:dyDescent="0.25">
      <c r="A1673" s="88" t="str">
        <f t="shared" si="98"/>
        <v>7-2027</v>
      </c>
      <c r="B1673" s="86">
        <v>46599</v>
      </c>
      <c r="C1673" t="str">
        <f t="shared" si="99"/>
        <v>SAB</v>
      </c>
      <c r="D1673" t="str">
        <f t="shared" si="100"/>
        <v>Sábado</v>
      </c>
    </row>
    <row r="1674" spans="1:4" x14ac:dyDescent="0.25">
      <c r="A1674" s="88" t="str">
        <f t="shared" si="98"/>
        <v>8-2027</v>
      </c>
      <c r="B1674" s="86">
        <v>46600</v>
      </c>
      <c r="C1674" t="str">
        <f t="shared" si="99"/>
        <v>DOM</v>
      </c>
      <c r="D1674" t="str">
        <f t="shared" si="100"/>
        <v>Domingo</v>
      </c>
    </row>
    <row r="1675" spans="1:4" x14ac:dyDescent="0.25">
      <c r="A1675" s="88" t="str">
        <f t="shared" si="98"/>
        <v>8-2027</v>
      </c>
      <c r="B1675" s="86">
        <v>46601</v>
      </c>
      <c r="C1675" t="str">
        <f t="shared" si="99"/>
        <v>L-V</v>
      </c>
      <c r="D1675" t="str">
        <f t="shared" si="100"/>
        <v>Lunes</v>
      </c>
    </row>
    <row r="1676" spans="1:4" x14ac:dyDescent="0.25">
      <c r="A1676" s="88" t="str">
        <f t="shared" si="98"/>
        <v>8-2027</v>
      </c>
      <c r="B1676" s="86">
        <v>46602</v>
      </c>
      <c r="C1676" t="str">
        <f t="shared" si="99"/>
        <v>L-V</v>
      </c>
      <c r="D1676" t="str">
        <f t="shared" si="100"/>
        <v>Martes</v>
      </c>
    </row>
    <row r="1677" spans="1:4" x14ac:dyDescent="0.25">
      <c r="A1677" s="88" t="str">
        <f t="shared" si="98"/>
        <v>8-2027</v>
      </c>
      <c r="B1677" s="86">
        <v>46603</v>
      </c>
      <c r="C1677" t="str">
        <f t="shared" si="99"/>
        <v>L-V</v>
      </c>
      <c r="D1677" t="str">
        <f t="shared" si="100"/>
        <v>Miércoles</v>
      </c>
    </row>
    <row r="1678" spans="1:4" x14ac:dyDescent="0.25">
      <c r="A1678" s="88" t="str">
        <f t="shared" si="98"/>
        <v>8-2027</v>
      </c>
      <c r="B1678" s="86">
        <v>46604</v>
      </c>
      <c r="C1678" t="str">
        <f t="shared" si="99"/>
        <v>L-V</v>
      </c>
      <c r="D1678" t="str">
        <f t="shared" si="100"/>
        <v>Jueves</v>
      </c>
    </row>
    <row r="1679" spans="1:4" x14ac:dyDescent="0.25">
      <c r="A1679" s="88" t="str">
        <f t="shared" si="98"/>
        <v>8-2027</v>
      </c>
      <c r="B1679" s="86">
        <v>46605</v>
      </c>
      <c r="C1679" t="str">
        <f t="shared" si="99"/>
        <v>L-V</v>
      </c>
      <c r="D1679" t="str">
        <f t="shared" si="100"/>
        <v>Viernes</v>
      </c>
    </row>
    <row r="1680" spans="1:4" x14ac:dyDescent="0.25">
      <c r="A1680" s="88" t="str">
        <f t="shared" si="98"/>
        <v>8-2027</v>
      </c>
      <c r="B1680" s="86">
        <v>46606</v>
      </c>
      <c r="C1680" t="str">
        <f t="shared" si="99"/>
        <v>SAB</v>
      </c>
      <c r="D1680" t="str">
        <f t="shared" si="100"/>
        <v>Sábado</v>
      </c>
    </row>
    <row r="1681" spans="1:4" x14ac:dyDescent="0.25">
      <c r="A1681" s="88" t="str">
        <f t="shared" si="98"/>
        <v>8-2027</v>
      </c>
      <c r="B1681" s="86">
        <v>46607</v>
      </c>
      <c r="C1681" t="str">
        <f t="shared" si="99"/>
        <v>DOM</v>
      </c>
      <c r="D1681" t="str">
        <f t="shared" si="100"/>
        <v>Domingo</v>
      </c>
    </row>
    <row r="1682" spans="1:4" x14ac:dyDescent="0.25">
      <c r="A1682" s="88" t="str">
        <f t="shared" si="98"/>
        <v>8-2027</v>
      </c>
      <c r="B1682" s="86">
        <v>46608</v>
      </c>
      <c r="C1682" t="str">
        <f t="shared" si="99"/>
        <v>L-V</v>
      </c>
      <c r="D1682" t="str">
        <f t="shared" si="100"/>
        <v>Lunes</v>
      </c>
    </row>
    <row r="1683" spans="1:4" x14ac:dyDescent="0.25">
      <c r="A1683" s="88" t="str">
        <f t="shared" si="98"/>
        <v>8-2027</v>
      </c>
      <c r="B1683" s="86">
        <v>46609</v>
      </c>
      <c r="C1683" t="str">
        <f t="shared" si="99"/>
        <v>L-V</v>
      </c>
      <c r="D1683" t="str">
        <f t="shared" si="100"/>
        <v>Martes</v>
      </c>
    </row>
    <row r="1684" spans="1:4" x14ac:dyDescent="0.25">
      <c r="A1684" s="88" t="str">
        <f t="shared" si="98"/>
        <v>8-2027</v>
      </c>
      <c r="B1684" s="86">
        <v>46610</v>
      </c>
      <c r="C1684" t="str">
        <f t="shared" si="99"/>
        <v>L-V</v>
      </c>
      <c r="D1684" t="str">
        <f t="shared" si="100"/>
        <v>Miércoles</v>
      </c>
    </row>
    <row r="1685" spans="1:4" x14ac:dyDescent="0.25">
      <c r="A1685" s="88" t="str">
        <f t="shared" si="98"/>
        <v>8-2027</v>
      </c>
      <c r="B1685" s="86">
        <v>46611</v>
      </c>
      <c r="C1685" t="str">
        <f t="shared" si="99"/>
        <v>L-V</v>
      </c>
      <c r="D1685" t="str">
        <f t="shared" si="100"/>
        <v>Jueves</v>
      </c>
    </row>
    <row r="1686" spans="1:4" x14ac:dyDescent="0.25">
      <c r="A1686" s="88" t="str">
        <f t="shared" si="98"/>
        <v>8-2027</v>
      </c>
      <c r="B1686" s="86">
        <v>46612</v>
      </c>
      <c r="C1686" t="str">
        <f t="shared" si="99"/>
        <v>L-V</v>
      </c>
      <c r="D1686" t="str">
        <f t="shared" si="100"/>
        <v>Viernes</v>
      </c>
    </row>
    <row r="1687" spans="1:4" x14ac:dyDescent="0.25">
      <c r="A1687" s="88" t="str">
        <f t="shared" si="98"/>
        <v>8-2027</v>
      </c>
      <c r="B1687" s="86">
        <v>46613</v>
      </c>
      <c r="C1687" t="str">
        <f t="shared" si="99"/>
        <v>SAB</v>
      </c>
      <c r="D1687" t="str">
        <f t="shared" si="100"/>
        <v>Sábado</v>
      </c>
    </row>
    <row r="1688" spans="1:4" x14ac:dyDescent="0.25">
      <c r="A1688" s="88" t="str">
        <f t="shared" si="98"/>
        <v>8-2027</v>
      </c>
      <c r="B1688" s="86">
        <v>46614</v>
      </c>
      <c r="C1688" t="str">
        <f t="shared" si="99"/>
        <v>DOM</v>
      </c>
      <c r="D1688" t="str">
        <f t="shared" si="100"/>
        <v>Domingo</v>
      </c>
    </row>
    <row r="1689" spans="1:4" x14ac:dyDescent="0.25">
      <c r="A1689" s="88" t="str">
        <f t="shared" si="98"/>
        <v>8-2027</v>
      </c>
      <c r="B1689" s="86">
        <v>46615</v>
      </c>
      <c r="C1689" t="str">
        <f t="shared" si="99"/>
        <v>L-V</v>
      </c>
      <c r="D1689" t="str">
        <f t="shared" si="100"/>
        <v>Lunes</v>
      </c>
    </row>
    <row r="1690" spans="1:4" x14ac:dyDescent="0.25">
      <c r="A1690" s="88" t="str">
        <f t="shared" si="98"/>
        <v>8-2027</v>
      </c>
      <c r="B1690" s="86">
        <v>46616</v>
      </c>
      <c r="C1690" t="str">
        <f t="shared" si="99"/>
        <v>L-V</v>
      </c>
      <c r="D1690" t="str">
        <f t="shared" si="100"/>
        <v>Martes</v>
      </c>
    </row>
    <row r="1691" spans="1:4" x14ac:dyDescent="0.25">
      <c r="A1691" s="88" t="str">
        <f t="shared" si="98"/>
        <v>8-2027</v>
      </c>
      <c r="B1691" s="86">
        <v>46617</v>
      </c>
      <c r="C1691" t="str">
        <f t="shared" si="99"/>
        <v>L-V</v>
      </c>
      <c r="D1691" t="str">
        <f t="shared" si="100"/>
        <v>Miércoles</v>
      </c>
    </row>
    <row r="1692" spans="1:4" x14ac:dyDescent="0.25">
      <c r="A1692" s="88" t="str">
        <f t="shared" si="98"/>
        <v>8-2027</v>
      </c>
      <c r="B1692" s="86">
        <v>46618</v>
      </c>
      <c r="C1692" t="str">
        <f t="shared" si="99"/>
        <v>L-V</v>
      </c>
      <c r="D1692" t="str">
        <f t="shared" si="100"/>
        <v>Jueves</v>
      </c>
    </row>
    <row r="1693" spans="1:4" x14ac:dyDescent="0.25">
      <c r="A1693" s="88" t="str">
        <f t="shared" si="98"/>
        <v>8-2027</v>
      </c>
      <c r="B1693" s="86">
        <v>46619</v>
      </c>
      <c r="C1693" t="str">
        <f t="shared" si="99"/>
        <v>L-V</v>
      </c>
      <c r="D1693" t="str">
        <f t="shared" si="100"/>
        <v>Viernes</v>
      </c>
    </row>
    <row r="1694" spans="1:4" x14ac:dyDescent="0.25">
      <c r="A1694" s="88" t="str">
        <f t="shared" si="98"/>
        <v>8-2027</v>
      </c>
      <c r="B1694" s="86">
        <v>46620</v>
      </c>
      <c r="C1694" t="str">
        <f t="shared" si="99"/>
        <v>SAB</v>
      </c>
      <c r="D1694" t="str">
        <f t="shared" si="100"/>
        <v>Sábado</v>
      </c>
    </row>
    <row r="1695" spans="1:4" x14ac:dyDescent="0.25">
      <c r="A1695" s="88" t="str">
        <f t="shared" si="98"/>
        <v>8-2027</v>
      </c>
      <c r="B1695" s="86">
        <v>46621</v>
      </c>
      <c r="C1695" t="str">
        <f t="shared" si="99"/>
        <v>DOM</v>
      </c>
      <c r="D1695" t="str">
        <f t="shared" si="100"/>
        <v>Domingo</v>
      </c>
    </row>
    <row r="1696" spans="1:4" x14ac:dyDescent="0.25">
      <c r="A1696" s="88" t="str">
        <f t="shared" si="98"/>
        <v>8-2027</v>
      </c>
      <c r="B1696" s="86">
        <v>46622</v>
      </c>
      <c r="C1696" t="str">
        <f t="shared" si="99"/>
        <v>L-V</v>
      </c>
      <c r="D1696" t="str">
        <f t="shared" si="100"/>
        <v>Lunes</v>
      </c>
    </row>
    <row r="1697" spans="1:4" x14ac:dyDescent="0.25">
      <c r="A1697" s="88" t="str">
        <f t="shared" si="98"/>
        <v>8-2027</v>
      </c>
      <c r="B1697" s="86">
        <v>46623</v>
      </c>
      <c r="C1697" t="str">
        <f t="shared" si="99"/>
        <v>L-V</v>
      </c>
      <c r="D1697" t="str">
        <f t="shared" si="100"/>
        <v>Martes</v>
      </c>
    </row>
    <row r="1698" spans="1:4" x14ac:dyDescent="0.25">
      <c r="A1698" s="88" t="str">
        <f t="shared" si="98"/>
        <v>8-2027</v>
      </c>
      <c r="B1698" s="86">
        <v>46624</v>
      </c>
      <c r="C1698" t="str">
        <f t="shared" si="99"/>
        <v>L-V</v>
      </c>
      <c r="D1698" t="str">
        <f t="shared" si="100"/>
        <v>Miércoles</v>
      </c>
    </row>
    <row r="1699" spans="1:4" x14ac:dyDescent="0.25">
      <c r="A1699" s="88" t="str">
        <f t="shared" si="98"/>
        <v>8-2027</v>
      </c>
      <c r="B1699" s="86">
        <v>46625</v>
      </c>
      <c r="C1699" t="str">
        <f t="shared" si="99"/>
        <v>L-V</v>
      </c>
      <c r="D1699" t="str">
        <f t="shared" si="100"/>
        <v>Jueves</v>
      </c>
    </row>
    <row r="1700" spans="1:4" x14ac:dyDescent="0.25">
      <c r="A1700" s="88" t="str">
        <f t="shared" si="98"/>
        <v>8-2027</v>
      </c>
      <c r="B1700" s="86">
        <v>46626</v>
      </c>
      <c r="C1700" t="str">
        <f t="shared" si="99"/>
        <v>L-V</v>
      </c>
      <c r="D1700" t="str">
        <f t="shared" si="100"/>
        <v>Viernes</v>
      </c>
    </row>
    <row r="1701" spans="1:4" x14ac:dyDescent="0.25">
      <c r="A1701" s="88" t="str">
        <f t="shared" si="98"/>
        <v>8-2027</v>
      </c>
      <c r="B1701" s="86">
        <v>46627</v>
      </c>
      <c r="C1701" t="str">
        <f t="shared" si="99"/>
        <v>SAB</v>
      </c>
      <c r="D1701" t="str">
        <f t="shared" si="100"/>
        <v>Sábado</v>
      </c>
    </row>
    <row r="1702" spans="1:4" x14ac:dyDescent="0.25">
      <c r="A1702" s="88" t="str">
        <f t="shared" si="98"/>
        <v>8-2027</v>
      </c>
      <c r="B1702" s="86">
        <v>46628</v>
      </c>
      <c r="C1702" t="str">
        <f t="shared" si="99"/>
        <v>DOM</v>
      </c>
      <c r="D1702" t="str">
        <f t="shared" si="100"/>
        <v>Domingo</v>
      </c>
    </row>
    <row r="1703" spans="1:4" x14ac:dyDescent="0.25">
      <c r="A1703" s="88" t="str">
        <f t="shared" si="98"/>
        <v>8-2027</v>
      </c>
      <c r="B1703" s="86">
        <v>46629</v>
      </c>
      <c r="C1703" t="str">
        <f t="shared" si="99"/>
        <v>L-V</v>
      </c>
      <c r="D1703" t="str">
        <f t="shared" si="100"/>
        <v>Lunes</v>
      </c>
    </row>
    <row r="1704" spans="1:4" x14ac:dyDescent="0.25">
      <c r="A1704" s="88" t="str">
        <f t="shared" si="98"/>
        <v>8-2027</v>
      </c>
      <c r="B1704" s="86">
        <v>46630</v>
      </c>
      <c r="C1704" t="str">
        <f t="shared" si="99"/>
        <v>L-V</v>
      </c>
      <c r="D1704" t="str">
        <f t="shared" si="100"/>
        <v>Martes</v>
      </c>
    </row>
    <row r="1705" spans="1:4" x14ac:dyDescent="0.25">
      <c r="A1705" s="88" t="str">
        <f t="shared" si="98"/>
        <v>9-2027</v>
      </c>
      <c r="B1705" s="86">
        <v>46631</v>
      </c>
      <c r="C1705" t="str">
        <f t="shared" si="99"/>
        <v>L-V</v>
      </c>
      <c r="D1705" t="str">
        <f t="shared" si="100"/>
        <v>Miércoles</v>
      </c>
    </row>
    <row r="1706" spans="1:4" x14ac:dyDescent="0.25">
      <c r="A1706" s="88" t="str">
        <f t="shared" si="98"/>
        <v>9-2027</v>
      </c>
      <c r="B1706" s="86">
        <v>46632</v>
      </c>
      <c r="C1706" t="str">
        <f t="shared" si="99"/>
        <v>L-V</v>
      </c>
      <c r="D1706" t="str">
        <f t="shared" si="100"/>
        <v>Jueves</v>
      </c>
    </row>
    <row r="1707" spans="1:4" x14ac:dyDescent="0.25">
      <c r="A1707" s="88" t="str">
        <f t="shared" si="98"/>
        <v>9-2027</v>
      </c>
      <c r="B1707" s="86">
        <v>46633</v>
      </c>
      <c r="C1707" t="str">
        <f t="shared" si="99"/>
        <v>L-V</v>
      </c>
      <c r="D1707" t="str">
        <f t="shared" si="100"/>
        <v>Viernes</v>
      </c>
    </row>
    <row r="1708" spans="1:4" x14ac:dyDescent="0.25">
      <c r="A1708" s="88" t="str">
        <f t="shared" si="98"/>
        <v>9-2027</v>
      </c>
      <c r="B1708" s="86">
        <v>46634</v>
      </c>
      <c r="C1708" t="str">
        <f t="shared" si="99"/>
        <v>SAB</v>
      </c>
      <c r="D1708" t="str">
        <f t="shared" si="100"/>
        <v>Sábado</v>
      </c>
    </row>
    <row r="1709" spans="1:4" x14ac:dyDescent="0.25">
      <c r="A1709" s="88" t="str">
        <f t="shared" si="98"/>
        <v>9-2027</v>
      </c>
      <c r="B1709" s="86">
        <v>46635</v>
      </c>
      <c r="C1709" t="str">
        <f t="shared" si="99"/>
        <v>DOM</v>
      </c>
      <c r="D1709" t="str">
        <f t="shared" si="100"/>
        <v>Domingo</v>
      </c>
    </row>
    <row r="1710" spans="1:4" x14ac:dyDescent="0.25">
      <c r="A1710" s="88" t="str">
        <f t="shared" si="98"/>
        <v>9-2027</v>
      </c>
      <c r="B1710" s="86">
        <v>46636</v>
      </c>
      <c r="C1710" t="str">
        <f t="shared" si="99"/>
        <v>L-V</v>
      </c>
      <c r="D1710" t="str">
        <f t="shared" si="100"/>
        <v>Lunes</v>
      </c>
    </row>
    <row r="1711" spans="1:4" x14ac:dyDescent="0.25">
      <c r="A1711" s="88" t="str">
        <f t="shared" si="98"/>
        <v>9-2027</v>
      </c>
      <c r="B1711" s="86">
        <v>46637</v>
      </c>
      <c r="C1711" t="str">
        <f t="shared" si="99"/>
        <v>L-V</v>
      </c>
      <c r="D1711" t="str">
        <f t="shared" si="100"/>
        <v>Martes</v>
      </c>
    </row>
    <row r="1712" spans="1:4" x14ac:dyDescent="0.25">
      <c r="A1712" s="88" t="str">
        <f t="shared" si="98"/>
        <v>9-2027</v>
      </c>
      <c r="B1712" s="86">
        <v>46638</v>
      </c>
      <c r="C1712" t="str">
        <f t="shared" si="99"/>
        <v>L-V</v>
      </c>
      <c r="D1712" t="str">
        <f t="shared" si="100"/>
        <v>Miércoles</v>
      </c>
    </row>
    <row r="1713" spans="1:4" x14ac:dyDescent="0.25">
      <c r="A1713" s="88" t="str">
        <f t="shared" si="98"/>
        <v>9-2027</v>
      </c>
      <c r="B1713" s="86">
        <v>46639</v>
      </c>
      <c r="C1713" t="str">
        <f t="shared" si="99"/>
        <v>L-V</v>
      </c>
      <c r="D1713" t="str">
        <f t="shared" si="100"/>
        <v>Jueves</v>
      </c>
    </row>
    <row r="1714" spans="1:4" x14ac:dyDescent="0.25">
      <c r="A1714" s="88" t="str">
        <f t="shared" si="98"/>
        <v>9-2027</v>
      </c>
      <c r="B1714" s="86">
        <v>46640</v>
      </c>
      <c r="C1714" t="str">
        <f t="shared" si="99"/>
        <v>L-V</v>
      </c>
      <c r="D1714" t="str">
        <f t="shared" si="100"/>
        <v>Viernes</v>
      </c>
    </row>
    <row r="1715" spans="1:4" x14ac:dyDescent="0.25">
      <c r="A1715" s="88" t="str">
        <f t="shared" si="98"/>
        <v>9-2027</v>
      </c>
      <c r="B1715" s="86">
        <v>46641</v>
      </c>
      <c r="C1715" t="str">
        <f t="shared" si="99"/>
        <v>SAB</v>
      </c>
      <c r="D1715" t="str">
        <f t="shared" si="100"/>
        <v>Sábado</v>
      </c>
    </row>
    <row r="1716" spans="1:4" x14ac:dyDescent="0.25">
      <c r="A1716" s="88" t="str">
        <f t="shared" si="98"/>
        <v>9-2027</v>
      </c>
      <c r="B1716" s="86">
        <v>46642</v>
      </c>
      <c r="C1716" t="str">
        <f t="shared" si="99"/>
        <v>DOM</v>
      </c>
      <c r="D1716" t="str">
        <f t="shared" si="100"/>
        <v>Domingo</v>
      </c>
    </row>
    <row r="1717" spans="1:4" x14ac:dyDescent="0.25">
      <c r="A1717" s="88" t="str">
        <f t="shared" si="98"/>
        <v>9-2027</v>
      </c>
      <c r="B1717" s="86">
        <v>46643</v>
      </c>
      <c r="C1717" t="str">
        <f t="shared" si="99"/>
        <v>L-V</v>
      </c>
      <c r="D1717" t="str">
        <f t="shared" si="100"/>
        <v>Lunes</v>
      </c>
    </row>
    <row r="1718" spans="1:4" x14ac:dyDescent="0.25">
      <c r="A1718" s="88" t="str">
        <f t="shared" si="98"/>
        <v>9-2027</v>
      </c>
      <c r="B1718" s="86">
        <v>46644</v>
      </c>
      <c r="C1718" t="str">
        <f t="shared" si="99"/>
        <v>L-V</v>
      </c>
      <c r="D1718" t="str">
        <f t="shared" si="100"/>
        <v>Martes</v>
      </c>
    </row>
    <row r="1719" spans="1:4" x14ac:dyDescent="0.25">
      <c r="A1719" s="88" t="str">
        <f t="shared" si="98"/>
        <v>9-2027</v>
      </c>
      <c r="B1719" s="86">
        <v>46645</v>
      </c>
      <c r="C1719" t="str">
        <f t="shared" si="99"/>
        <v>L-V</v>
      </c>
      <c r="D1719" t="str">
        <f t="shared" si="100"/>
        <v>Miércoles</v>
      </c>
    </row>
    <row r="1720" spans="1:4" x14ac:dyDescent="0.25">
      <c r="A1720" s="88" t="str">
        <f t="shared" si="98"/>
        <v>9-2027</v>
      </c>
      <c r="B1720" s="86">
        <v>46646</v>
      </c>
      <c r="C1720" t="str">
        <f t="shared" si="99"/>
        <v>L-V</v>
      </c>
      <c r="D1720" t="str">
        <f t="shared" si="100"/>
        <v>Jueves</v>
      </c>
    </row>
    <row r="1721" spans="1:4" x14ac:dyDescent="0.25">
      <c r="A1721" s="88" t="str">
        <f t="shared" si="98"/>
        <v>9-2027</v>
      </c>
      <c r="B1721" s="86">
        <v>46647</v>
      </c>
      <c r="C1721" t="str">
        <f t="shared" si="99"/>
        <v>L-V</v>
      </c>
      <c r="D1721" t="str">
        <f t="shared" si="100"/>
        <v>Viernes</v>
      </c>
    </row>
    <row r="1722" spans="1:4" x14ac:dyDescent="0.25">
      <c r="A1722" s="88" t="str">
        <f t="shared" si="98"/>
        <v>9-2027</v>
      </c>
      <c r="B1722" s="86">
        <v>46648</v>
      </c>
      <c r="C1722" t="str">
        <f t="shared" si="99"/>
        <v>SAB</v>
      </c>
      <c r="D1722" t="str">
        <f t="shared" si="100"/>
        <v>Sábado</v>
      </c>
    </row>
    <row r="1723" spans="1:4" x14ac:dyDescent="0.25">
      <c r="A1723" s="88" t="str">
        <f t="shared" si="98"/>
        <v>9-2027</v>
      </c>
      <c r="B1723" s="86">
        <v>46649</v>
      </c>
      <c r="C1723" t="str">
        <f t="shared" si="99"/>
        <v>DOM</v>
      </c>
      <c r="D1723" t="str">
        <f t="shared" si="100"/>
        <v>Domingo</v>
      </c>
    </row>
    <row r="1724" spans="1:4" x14ac:dyDescent="0.25">
      <c r="A1724" s="88" t="str">
        <f t="shared" si="98"/>
        <v>9-2027</v>
      </c>
      <c r="B1724" s="86">
        <v>46650</v>
      </c>
      <c r="C1724" t="str">
        <f t="shared" si="99"/>
        <v>L-V</v>
      </c>
      <c r="D1724" t="str">
        <f t="shared" si="100"/>
        <v>Lunes</v>
      </c>
    </row>
    <row r="1725" spans="1:4" x14ac:dyDescent="0.25">
      <c r="A1725" s="88" t="str">
        <f t="shared" si="98"/>
        <v>9-2027</v>
      </c>
      <c r="B1725" s="86">
        <v>46651</v>
      </c>
      <c r="C1725" t="str">
        <f t="shared" si="99"/>
        <v>L-V</v>
      </c>
      <c r="D1725" t="str">
        <f t="shared" si="100"/>
        <v>Martes</v>
      </c>
    </row>
    <row r="1726" spans="1:4" x14ac:dyDescent="0.25">
      <c r="A1726" s="88" t="str">
        <f t="shared" si="98"/>
        <v>9-2027</v>
      </c>
      <c r="B1726" s="86">
        <v>46652</v>
      </c>
      <c r="C1726" t="str">
        <f t="shared" si="99"/>
        <v>L-V</v>
      </c>
      <c r="D1726" t="str">
        <f t="shared" si="100"/>
        <v>Miércoles</v>
      </c>
    </row>
    <row r="1727" spans="1:4" x14ac:dyDescent="0.25">
      <c r="A1727" s="88" t="str">
        <f t="shared" si="98"/>
        <v>9-2027</v>
      </c>
      <c r="B1727" s="86">
        <v>46653</v>
      </c>
      <c r="C1727" t="str">
        <f t="shared" si="99"/>
        <v>L-V</v>
      </c>
      <c r="D1727" t="str">
        <f t="shared" si="100"/>
        <v>Jueves</v>
      </c>
    </row>
    <row r="1728" spans="1:4" x14ac:dyDescent="0.25">
      <c r="A1728" s="88" t="str">
        <f t="shared" si="98"/>
        <v>9-2027</v>
      </c>
      <c r="B1728" s="86">
        <v>46654</v>
      </c>
      <c r="C1728" t="str">
        <f t="shared" si="99"/>
        <v>L-V</v>
      </c>
      <c r="D1728" t="str">
        <f t="shared" si="100"/>
        <v>Viernes</v>
      </c>
    </row>
    <row r="1729" spans="1:4" x14ac:dyDescent="0.25">
      <c r="A1729" s="88" t="str">
        <f t="shared" si="98"/>
        <v>9-2027</v>
      </c>
      <c r="B1729" s="86">
        <v>46655</v>
      </c>
      <c r="C1729" t="str">
        <f t="shared" si="99"/>
        <v>SAB</v>
      </c>
      <c r="D1729" t="str">
        <f t="shared" si="100"/>
        <v>Sábado</v>
      </c>
    </row>
    <row r="1730" spans="1:4" x14ac:dyDescent="0.25">
      <c r="A1730" s="88" t="str">
        <f t="shared" ref="A1730:A1793" si="101">MONTH(B1730)&amp;"-"&amp;YEAR(B1730)</f>
        <v>9-2027</v>
      </c>
      <c r="B1730" s="86">
        <v>46656</v>
      </c>
      <c r="C1730" t="str">
        <f t="shared" si="99"/>
        <v>DOM</v>
      </c>
      <c r="D1730" t="str">
        <f t="shared" si="100"/>
        <v>Domingo</v>
      </c>
    </row>
    <row r="1731" spans="1:4" x14ac:dyDescent="0.25">
      <c r="A1731" s="88" t="str">
        <f t="shared" si="101"/>
        <v>9-2027</v>
      </c>
      <c r="B1731" s="86">
        <v>46657</v>
      </c>
      <c r="C1731" t="str">
        <f t="shared" ref="C1731:C1794" si="102">VLOOKUP(WEEKDAY(B1731,2),$F$1:$H$7,2)</f>
        <v>L-V</v>
      </c>
      <c r="D1731" t="str">
        <f t="shared" ref="D1731:D1794" si="103">VLOOKUP(WEEKDAY($B1731,2),$F$1:$H$7,3)</f>
        <v>Lunes</v>
      </c>
    </row>
    <row r="1732" spans="1:4" x14ac:dyDescent="0.25">
      <c r="A1732" s="88" t="str">
        <f t="shared" si="101"/>
        <v>9-2027</v>
      </c>
      <c r="B1732" s="86">
        <v>46658</v>
      </c>
      <c r="C1732" t="str">
        <f t="shared" si="102"/>
        <v>L-V</v>
      </c>
      <c r="D1732" t="str">
        <f t="shared" si="103"/>
        <v>Martes</v>
      </c>
    </row>
    <row r="1733" spans="1:4" x14ac:dyDescent="0.25">
      <c r="A1733" s="88" t="str">
        <f t="shared" si="101"/>
        <v>9-2027</v>
      </c>
      <c r="B1733" s="86">
        <v>46659</v>
      </c>
      <c r="C1733" t="str">
        <f t="shared" si="102"/>
        <v>L-V</v>
      </c>
      <c r="D1733" t="str">
        <f t="shared" si="103"/>
        <v>Miércoles</v>
      </c>
    </row>
    <row r="1734" spans="1:4" x14ac:dyDescent="0.25">
      <c r="A1734" s="88" t="str">
        <f t="shared" si="101"/>
        <v>9-2027</v>
      </c>
      <c r="B1734" s="86">
        <v>46660</v>
      </c>
      <c r="C1734" t="str">
        <f t="shared" si="102"/>
        <v>L-V</v>
      </c>
      <c r="D1734" t="str">
        <f t="shared" si="103"/>
        <v>Jueves</v>
      </c>
    </row>
    <row r="1735" spans="1:4" x14ac:dyDescent="0.25">
      <c r="A1735" s="88" t="str">
        <f t="shared" si="101"/>
        <v>10-2027</v>
      </c>
      <c r="B1735" s="86">
        <v>46661</v>
      </c>
      <c r="C1735" t="str">
        <f t="shared" si="102"/>
        <v>L-V</v>
      </c>
      <c r="D1735" t="str">
        <f t="shared" si="103"/>
        <v>Viernes</v>
      </c>
    </row>
    <row r="1736" spans="1:4" x14ac:dyDescent="0.25">
      <c r="A1736" s="88" t="str">
        <f t="shared" si="101"/>
        <v>10-2027</v>
      </c>
      <c r="B1736" s="86">
        <v>46662</v>
      </c>
      <c r="C1736" t="str">
        <f t="shared" si="102"/>
        <v>SAB</v>
      </c>
      <c r="D1736" t="str">
        <f t="shared" si="103"/>
        <v>Sábado</v>
      </c>
    </row>
    <row r="1737" spans="1:4" x14ac:dyDescent="0.25">
      <c r="A1737" s="88" t="str">
        <f t="shared" si="101"/>
        <v>10-2027</v>
      </c>
      <c r="B1737" s="86">
        <v>46663</v>
      </c>
      <c r="C1737" t="str">
        <f t="shared" si="102"/>
        <v>DOM</v>
      </c>
      <c r="D1737" t="str">
        <f t="shared" si="103"/>
        <v>Domingo</v>
      </c>
    </row>
    <row r="1738" spans="1:4" x14ac:dyDescent="0.25">
      <c r="A1738" s="88" t="str">
        <f t="shared" si="101"/>
        <v>10-2027</v>
      </c>
      <c r="B1738" s="86">
        <v>46664</v>
      </c>
      <c r="C1738" t="str">
        <f t="shared" si="102"/>
        <v>L-V</v>
      </c>
      <c r="D1738" t="str">
        <f t="shared" si="103"/>
        <v>Lunes</v>
      </c>
    </row>
    <row r="1739" spans="1:4" x14ac:dyDescent="0.25">
      <c r="A1739" s="88" t="str">
        <f t="shared" si="101"/>
        <v>10-2027</v>
      </c>
      <c r="B1739" s="86">
        <v>46665</v>
      </c>
      <c r="C1739" t="str">
        <f t="shared" si="102"/>
        <v>L-V</v>
      </c>
      <c r="D1739" t="str">
        <f t="shared" si="103"/>
        <v>Martes</v>
      </c>
    </row>
    <row r="1740" spans="1:4" x14ac:dyDescent="0.25">
      <c r="A1740" s="88" t="str">
        <f t="shared" si="101"/>
        <v>10-2027</v>
      </c>
      <c r="B1740" s="86">
        <v>46666</v>
      </c>
      <c r="C1740" t="str">
        <f t="shared" si="102"/>
        <v>L-V</v>
      </c>
      <c r="D1740" t="str">
        <f t="shared" si="103"/>
        <v>Miércoles</v>
      </c>
    </row>
    <row r="1741" spans="1:4" x14ac:dyDescent="0.25">
      <c r="A1741" s="88" t="str">
        <f t="shared" si="101"/>
        <v>10-2027</v>
      </c>
      <c r="B1741" s="86">
        <v>46667</v>
      </c>
      <c r="C1741" t="str">
        <f t="shared" si="102"/>
        <v>L-V</v>
      </c>
      <c r="D1741" t="str">
        <f t="shared" si="103"/>
        <v>Jueves</v>
      </c>
    </row>
    <row r="1742" spans="1:4" x14ac:dyDescent="0.25">
      <c r="A1742" s="88" t="str">
        <f t="shared" si="101"/>
        <v>10-2027</v>
      </c>
      <c r="B1742" s="86">
        <v>46668</v>
      </c>
      <c r="C1742" t="str">
        <f t="shared" si="102"/>
        <v>L-V</v>
      </c>
      <c r="D1742" t="str">
        <f t="shared" si="103"/>
        <v>Viernes</v>
      </c>
    </row>
    <row r="1743" spans="1:4" x14ac:dyDescent="0.25">
      <c r="A1743" s="88" t="str">
        <f t="shared" si="101"/>
        <v>10-2027</v>
      </c>
      <c r="B1743" s="86">
        <v>46669</v>
      </c>
      <c r="C1743" t="str">
        <f t="shared" si="102"/>
        <v>SAB</v>
      </c>
      <c r="D1743" t="str">
        <f t="shared" si="103"/>
        <v>Sábado</v>
      </c>
    </row>
    <row r="1744" spans="1:4" x14ac:dyDescent="0.25">
      <c r="A1744" s="88" t="str">
        <f t="shared" si="101"/>
        <v>10-2027</v>
      </c>
      <c r="B1744" s="86">
        <v>46670</v>
      </c>
      <c r="C1744" t="str">
        <f t="shared" si="102"/>
        <v>DOM</v>
      </c>
      <c r="D1744" t="str">
        <f t="shared" si="103"/>
        <v>Domingo</v>
      </c>
    </row>
    <row r="1745" spans="1:4" x14ac:dyDescent="0.25">
      <c r="A1745" s="88" t="str">
        <f t="shared" si="101"/>
        <v>10-2027</v>
      </c>
      <c r="B1745" s="86">
        <v>46671</v>
      </c>
      <c r="C1745" t="str">
        <f t="shared" si="102"/>
        <v>L-V</v>
      </c>
      <c r="D1745" t="str">
        <f t="shared" si="103"/>
        <v>Lunes</v>
      </c>
    </row>
    <row r="1746" spans="1:4" x14ac:dyDescent="0.25">
      <c r="A1746" s="88" t="str">
        <f t="shared" si="101"/>
        <v>10-2027</v>
      </c>
      <c r="B1746" s="86">
        <v>46672</v>
      </c>
      <c r="C1746" t="str">
        <f t="shared" si="102"/>
        <v>L-V</v>
      </c>
      <c r="D1746" t="str">
        <f t="shared" si="103"/>
        <v>Martes</v>
      </c>
    </row>
    <row r="1747" spans="1:4" x14ac:dyDescent="0.25">
      <c r="A1747" s="88" t="str">
        <f t="shared" si="101"/>
        <v>10-2027</v>
      </c>
      <c r="B1747" s="86">
        <v>46673</v>
      </c>
      <c r="C1747" t="str">
        <f t="shared" si="102"/>
        <v>L-V</v>
      </c>
      <c r="D1747" t="str">
        <f t="shared" si="103"/>
        <v>Miércoles</v>
      </c>
    </row>
    <row r="1748" spans="1:4" x14ac:dyDescent="0.25">
      <c r="A1748" s="88" t="str">
        <f t="shared" si="101"/>
        <v>10-2027</v>
      </c>
      <c r="B1748" s="86">
        <v>46674</v>
      </c>
      <c r="C1748" t="str">
        <f t="shared" si="102"/>
        <v>L-V</v>
      </c>
      <c r="D1748" t="str">
        <f t="shared" si="103"/>
        <v>Jueves</v>
      </c>
    </row>
    <row r="1749" spans="1:4" x14ac:dyDescent="0.25">
      <c r="A1749" s="88" t="str">
        <f t="shared" si="101"/>
        <v>10-2027</v>
      </c>
      <c r="B1749" s="86">
        <v>46675</v>
      </c>
      <c r="C1749" t="str">
        <f t="shared" si="102"/>
        <v>L-V</v>
      </c>
      <c r="D1749" t="str">
        <f t="shared" si="103"/>
        <v>Viernes</v>
      </c>
    </row>
    <row r="1750" spans="1:4" x14ac:dyDescent="0.25">
      <c r="A1750" s="88" t="str">
        <f t="shared" si="101"/>
        <v>10-2027</v>
      </c>
      <c r="B1750" s="86">
        <v>46676</v>
      </c>
      <c r="C1750" t="str">
        <f t="shared" si="102"/>
        <v>SAB</v>
      </c>
      <c r="D1750" t="str">
        <f t="shared" si="103"/>
        <v>Sábado</v>
      </c>
    </row>
    <row r="1751" spans="1:4" x14ac:dyDescent="0.25">
      <c r="A1751" s="88" t="str">
        <f t="shared" si="101"/>
        <v>10-2027</v>
      </c>
      <c r="B1751" s="86">
        <v>46677</v>
      </c>
      <c r="C1751" t="str">
        <f t="shared" si="102"/>
        <v>DOM</v>
      </c>
      <c r="D1751" t="str">
        <f t="shared" si="103"/>
        <v>Domingo</v>
      </c>
    </row>
    <row r="1752" spans="1:4" x14ac:dyDescent="0.25">
      <c r="A1752" s="88" t="str">
        <f t="shared" si="101"/>
        <v>10-2027</v>
      </c>
      <c r="B1752" s="86">
        <v>46678</v>
      </c>
      <c r="C1752" t="str">
        <f t="shared" si="102"/>
        <v>L-V</v>
      </c>
      <c r="D1752" t="str">
        <f t="shared" si="103"/>
        <v>Lunes</v>
      </c>
    </row>
    <row r="1753" spans="1:4" x14ac:dyDescent="0.25">
      <c r="A1753" s="88" t="str">
        <f t="shared" si="101"/>
        <v>10-2027</v>
      </c>
      <c r="B1753" s="86">
        <v>46679</v>
      </c>
      <c r="C1753" t="str">
        <f t="shared" si="102"/>
        <v>L-V</v>
      </c>
      <c r="D1753" t="str">
        <f t="shared" si="103"/>
        <v>Martes</v>
      </c>
    </row>
    <row r="1754" spans="1:4" x14ac:dyDescent="0.25">
      <c r="A1754" s="88" t="str">
        <f t="shared" si="101"/>
        <v>10-2027</v>
      </c>
      <c r="B1754" s="86">
        <v>46680</v>
      </c>
      <c r="C1754" t="str">
        <f t="shared" si="102"/>
        <v>L-V</v>
      </c>
      <c r="D1754" t="str">
        <f t="shared" si="103"/>
        <v>Miércoles</v>
      </c>
    </row>
    <row r="1755" spans="1:4" x14ac:dyDescent="0.25">
      <c r="A1755" s="88" t="str">
        <f t="shared" si="101"/>
        <v>10-2027</v>
      </c>
      <c r="B1755" s="86">
        <v>46681</v>
      </c>
      <c r="C1755" t="str">
        <f t="shared" si="102"/>
        <v>L-V</v>
      </c>
      <c r="D1755" t="str">
        <f t="shared" si="103"/>
        <v>Jueves</v>
      </c>
    </row>
    <row r="1756" spans="1:4" x14ac:dyDescent="0.25">
      <c r="A1756" s="88" t="str">
        <f t="shared" si="101"/>
        <v>10-2027</v>
      </c>
      <c r="B1756" s="86">
        <v>46682</v>
      </c>
      <c r="C1756" t="str">
        <f t="shared" si="102"/>
        <v>L-V</v>
      </c>
      <c r="D1756" t="str">
        <f t="shared" si="103"/>
        <v>Viernes</v>
      </c>
    </row>
    <row r="1757" spans="1:4" x14ac:dyDescent="0.25">
      <c r="A1757" s="88" t="str">
        <f t="shared" si="101"/>
        <v>10-2027</v>
      </c>
      <c r="B1757" s="86">
        <v>46683</v>
      </c>
      <c r="C1757" t="str">
        <f t="shared" si="102"/>
        <v>SAB</v>
      </c>
      <c r="D1757" t="str">
        <f t="shared" si="103"/>
        <v>Sábado</v>
      </c>
    </row>
    <row r="1758" spans="1:4" x14ac:dyDescent="0.25">
      <c r="A1758" s="88" t="str">
        <f t="shared" si="101"/>
        <v>10-2027</v>
      </c>
      <c r="B1758" s="86">
        <v>46684</v>
      </c>
      <c r="C1758" t="str">
        <f t="shared" si="102"/>
        <v>DOM</v>
      </c>
      <c r="D1758" t="str">
        <f t="shared" si="103"/>
        <v>Domingo</v>
      </c>
    </row>
    <row r="1759" spans="1:4" x14ac:dyDescent="0.25">
      <c r="A1759" s="88" t="str">
        <f t="shared" si="101"/>
        <v>10-2027</v>
      </c>
      <c r="B1759" s="86">
        <v>46685</v>
      </c>
      <c r="C1759" t="str">
        <f t="shared" si="102"/>
        <v>L-V</v>
      </c>
      <c r="D1759" t="str">
        <f t="shared" si="103"/>
        <v>Lunes</v>
      </c>
    </row>
    <row r="1760" spans="1:4" x14ac:dyDescent="0.25">
      <c r="A1760" s="88" t="str">
        <f t="shared" si="101"/>
        <v>10-2027</v>
      </c>
      <c r="B1760" s="86">
        <v>46686</v>
      </c>
      <c r="C1760" t="str">
        <f t="shared" si="102"/>
        <v>L-V</v>
      </c>
      <c r="D1760" t="str">
        <f t="shared" si="103"/>
        <v>Martes</v>
      </c>
    </row>
    <row r="1761" spans="1:4" x14ac:dyDescent="0.25">
      <c r="A1761" s="88" t="str">
        <f t="shared" si="101"/>
        <v>10-2027</v>
      </c>
      <c r="B1761" s="86">
        <v>46687</v>
      </c>
      <c r="C1761" t="str">
        <f t="shared" si="102"/>
        <v>L-V</v>
      </c>
      <c r="D1761" t="str">
        <f t="shared" si="103"/>
        <v>Miércoles</v>
      </c>
    </row>
    <row r="1762" spans="1:4" x14ac:dyDescent="0.25">
      <c r="A1762" s="88" t="str">
        <f t="shared" si="101"/>
        <v>10-2027</v>
      </c>
      <c r="B1762" s="86">
        <v>46688</v>
      </c>
      <c r="C1762" t="str">
        <f t="shared" si="102"/>
        <v>L-V</v>
      </c>
      <c r="D1762" t="str">
        <f t="shared" si="103"/>
        <v>Jueves</v>
      </c>
    </row>
    <row r="1763" spans="1:4" x14ac:dyDescent="0.25">
      <c r="A1763" s="88" t="str">
        <f t="shared" si="101"/>
        <v>10-2027</v>
      </c>
      <c r="B1763" s="86">
        <v>46689</v>
      </c>
      <c r="C1763" t="str">
        <f t="shared" si="102"/>
        <v>L-V</v>
      </c>
      <c r="D1763" t="str">
        <f t="shared" si="103"/>
        <v>Viernes</v>
      </c>
    </row>
    <row r="1764" spans="1:4" x14ac:dyDescent="0.25">
      <c r="A1764" s="88" t="str">
        <f t="shared" si="101"/>
        <v>10-2027</v>
      </c>
      <c r="B1764" s="86">
        <v>46690</v>
      </c>
      <c r="C1764" t="str">
        <f t="shared" si="102"/>
        <v>SAB</v>
      </c>
      <c r="D1764" t="str">
        <f t="shared" si="103"/>
        <v>Sábado</v>
      </c>
    </row>
    <row r="1765" spans="1:4" x14ac:dyDescent="0.25">
      <c r="A1765" s="88" t="str">
        <f t="shared" si="101"/>
        <v>10-2027</v>
      </c>
      <c r="B1765" s="86">
        <v>46691</v>
      </c>
      <c r="C1765" t="str">
        <f t="shared" si="102"/>
        <v>DOM</v>
      </c>
      <c r="D1765" t="str">
        <f t="shared" si="103"/>
        <v>Domingo</v>
      </c>
    </row>
    <row r="1766" spans="1:4" x14ac:dyDescent="0.25">
      <c r="A1766" s="88" t="str">
        <f t="shared" si="101"/>
        <v>11-2027</v>
      </c>
      <c r="B1766" s="86">
        <v>46692</v>
      </c>
      <c r="C1766" t="str">
        <f t="shared" si="102"/>
        <v>L-V</v>
      </c>
      <c r="D1766" t="str">
        <f t="shared" si="103"/>
        <v>Lunes</v>
      </c>
    </row>
    <row r="1767" spans="1:4" x14ac:dyDescent="0.25">
      <c r="A1767" s="88" t="str">
        <f t="shared" si="101"/>
        <v>11-2027</v>
      </c>
      <c r="B1767" s="86">
        <v>46693</v>
      </c>
      <c r="C1767" t="str">
        <f t="shared" si="102"/>
        <v>L-V</v>
      </c>
      <c r="D1767" t="str">
        <f t="shared" si="103"/>
        <v>Martes</v>
      </c>
    </row>
    <row r="1768" spans="1:4" x14ac:dyDescent="0.25">
      <c r="A1768" s="88" t="str">
        <f t="shared" si="101"/>
        <v>11-2027</v>
      </c>
      <c r="B1768" s="86">
        <v>46694</v>
      </c>
      <c r="C1768" t="str">
        <f t="shared" si="102"/>
        <v>L-V</v>
      </c>
      <c r="D1768" t="str">
        <f t="shared" si="103"/>
        <v>Miércoles</v>
      </c>
    </row>
    <row r="1769" spans="1:4" x14ac:dyDescent="0.25">
      <c r="A1769" s="88" t="str">
        <f t="shared" si="101"/>
        <v>11-2027</v>
      </c>
      <c r="B1769" s="86">
        <v>46695</v>
      </c>
      <c r="C1769" t="str">
        <f t="shared" si="102"/>
        <v>L-V</v>
      </c>
      <c r="D1769" t="str">
        <f t="shared" si="103"/>
        <v>Jueves</v>
      </c>
    </row>
    <row r="1770" spans="1:4" x14ac:dyDescent="0.25">
      <c r="A1770" s="88" t="str">
        <f t="shared" si="101"/>
        <v>11-2027</v>
      </c>
      <c r="B1770" s="86">
        <v>46696</v>
      </c>
      <c r="C1770" t="str">
        <f t="shared" si="102"/>
        <v>L-V</v>
      </c>
      <c r="D1770" t="str">
        <f t="shared" si="103"/>
        <v>Viernes</v>
      </c>
    </row>
    <row r="1771" spans="1:4" x14ac:dyDescent="0.25">
      <c r="A1771" s="88" t="str">
        <f t="shared" si="101"/>
        <v>11-2027</v>
      </c>
      <c r="B1771" s="86">
        <v>46697</v>
      </c>
      <c r="C1771" t="str">
        <f t="shared" si="102"/>
        <v>SAB</v>
      </c>
      <c r="D1771" t="str">
        <f t="shared" si="103"/>
        <v>Sábado</v>
      </c>
    </row>
    <row r="1772" spans="1:4" x14ac:dyDescent="0.25">
      <c r="A1772" s="88" t="str">
        <f t="shared" si="101"/>
        <v>11-2027</v>
      </c>
      <c r="B1772" s="86">
        <v>46698</v>
      </c>
      <c r="C1772" t="str">
        <f t="shared" si="102"/>
        <v>DOM</v>
      </c>
      <c r="D1772" t="str">
        <f t="shared" si="103"/>
        <v>Domingo</v>
      </c>
    </row>
    <row r="1773" spans="1:4" x14ac:dyDescent="0.25">
      <c r="A1773" s="88" t="str">
        <f t="shared" si="101"/>
        <v>11-2027</v>
      </c>
      <c r="B1773" s="86">
        <v>46699</v>
      </c>
      <c r="C1773" t="str">
        <f t="shared" si="102"/>
        <v>L-V</v>
      </c>
      <c r="D1773" t="str">
        <f t="shared" si="103"/>
        <v>Lunes</v>
      </c>
    </row>
    <row r="1774" spans="1:4" x14ac:dyDescent="0.25">
      <c r="A1774" s="88" t="str">
        <f t="shared" si="101"/>
        <v>11-2027</v>
      </c>
      <c r="B1774" s="86">
        <v>46700</v>
      </c>
      <c r="C1774" t="str">
        <f t="shared" si="102"/>
        <v>L-V</v>
      </c>
      <c r="D1774" t="str">
        <f t="shared" si="103"/>
        <v>Martes</v>
      </c>
    </row>
    <row r="1775" spans="1:4" x14ac:dyDescent="0.25">
      <c r="A1775" s="88" t="str">
        <f t="shared" si="101"/>
        <v>11-2027</v>
      </c>
      <c r="B1775" s="86">
        <v>46701</v>
      </c>
      <c r="C1775" t="str">
        <f t="shared" si="102"/>
        <v>L-V</v>
      </c>
      <c r="D1775" t="str">
        <f t="shared" si="103"/>
        <v>Miércoles</v>
      </c>
    </row>
    <row r="1776" spans="1:4" x14ac:dyDescent="0.25">
      <c r="A1776" s="88" t="str">
        <f t="shared" si="101"/>
        <v>11-2027</v>
      </c>
      <c r="B1776" s="86">
        <v>46702</v>
      </c>
      <c r="C1776" t="str">
        <f t="shared" si="102"/>
        <v>L-V</v>
      </c>
      <c r="D1776" t="str">
        <f t="shared" si="103"/>
        <v>Jueves</v>
      </c>
    </row>
    <row r="1777" spans="1:4" x14ac:dyDescent="0.25">
      <c r="A1777" s="88" t="str">
        <f t="shared" si="101"/>
        <v>11-2027</v>
      </c>
      <c r="B1777" s="86">
        <v>46703</v>
      </c>
      <c r="C1777" t="str">
        <f t="shared" si="102"/>
        <v>L-V</v>
      </c>
      <c r="D1777" t="str">
        <f t="shared" si="103"/>
        <v>Viernes</v>
      </c>
    </row>
    <row r="1778" spans="1:4" x14ac:dyDescent="0.25">
      <c r="A1778" s="88" t="str">
        <f t="shared" si="101"/>
        <v>11-2027</v>
      </c>
      <c r="B1778" s="86">
        <v>46704</v>
      </c>
      <c r="C1778" t="str">
        <f t="shared" si="102"/>
        <v>SAB</v>
      </c>
      <c r="D1778" t="str">
        <f t="shared" si="103"/>
        <v>Sábado</v>
      </c>
    </row>
    <row r="1779" spans="1:4" x14ac:dyDescent="0.25">
      <c r="A1779" s="88" t="str">
        <f t="shared" si="101"/>
        <v>11-2027</v>
      </c>
      <c r="B1779" s="86">
        <v>46705</v>
      </c>
      <c r="C1779" t="str">
        <f t="shared" si="102"/>
        <v>DOM</v>
      </c>
      <c r="D1779" t="str">
        <f t="shared" si="103"/>
        <v>Domingo</v>
      </c>
    </row>
    <row r="1780" spans="1:4" x14ac:dyDescent="0.25">
      <c r="A1780" s="88" t="str">
        <f t="shared" si="101"/>
        <v>11-2027</v>
      </c>
      <c r="B1780" s="86">
        <v>46706</v>
      </c>
      <c r="C1780" t="str">
        <f t="shared" si="102"/>
        <v>L-V</v>
      </c>
      <c r="D1780" t="str">
        <f t="shared" si="103"/>
        <v>Lunes</v>
      </c>
    </row>
    <row r="1781" spans="1:4" x14ac:dyDescent="0.25">
      <c r="A1781" s="88" t="str">
        <f t="shared" si="101"/>
        <v>11-2027</v>
      </c>
      <c r="B1781" s="86">
        <v>46707</v>
      </c>
      <c r="C1781" t="str">
        <f t="shared" si="102"/>
        <v>L-V</v>
      </c>
      <c r="D1781" t="str">
        <f t="shared" si="103"/>
        <v>Martes</v>
      </c>
    </row>
    <row r="1782" spans="1:4" x14ac:dyDescent="0.25">
      <c r="A1782" s="88" t="str">
        <f t="shared" si="101"/>
        <v>11-2027</v>
      </c>
      <c r="B1782" s="86">
        <v>46708</v>
      </c>
      <c r="C1782" t="str">
        <f t="shared" si="102"/>
        <v>L-V</v>
      </c>
      <c r="D1782" t="str">
        <f t="shared" si="103"/>
        <v>Miércoles</v>
      </c>
    </row>
    <row r="1783" spans="1:4" x14ac:dyDescent="0.25">
      <c r="A1783" s="88" t="str">
        <f t="shared" si="101"/>
        <v>11-2027</v>
      </c>
      <c r="B1783" s="86">
        <v>46709</v>
      </c>
      <c r="C1783" t="str">
        <f t="shared" si="102"/>
        <v>L-V</v>
      </c>
      <c r="D1783" t="str">
        <f t="shared" si="103"/>
        <v>Jueves</v>
      </c>
    </row>
    <row r="1784" spans="1:4" x14ac:dyDescent="0.25">
      <c r="A1784" s="88" t="str">
        <f t="shared" si="101"/>
        <v>11-2027</v>
      </c>
      <c r="B1784" s="86">
        <v>46710</v>
      </c>
      <c r="C1784" t="str">
        <f t="shared" si="102"/>
        <v>L-V</v>
      </c>
      <c r="D1784" t="str">
        <f t="shared" si="103"/>
        <v>Viernes</v>
      </c>
    </row>
    <row r="1785" spans="1:4" x14ac:dyDescent="0.25">
      <c r="A1785" s="88" t="str">
        <f t="shared" si="101"/>
        <v>11-2027</v>
      </c>
      <c r="B1785" s="86">
        <v>46711</v>
      </c>
      <c r="C1785" t="str">
        <f t="shared" si="102"/>
        <v>SAB</v>
      </c>
      <c r="D1785" t="str">
        <f t="shared" si="103"/>
        <v>Sábado</v>
      </c>
    </row>
    <row r="1786" spans="1:4" x14ac:dyDescent="0.25">
      <c r="A1786" s="88" t="str">
        <f t="shared" si="101"/>
        <v>11-2027</v>
      </c>
      <c r="B1786" s="86">
        <v>46712</v>
      </c>
      <c r="C1786" t="str">
        <f t="shared" si="102"/>
        <v>DOM</v>
      </c>
      <c r="D1786" t="str">
        <f t="shared" si="103"/>
        <v>Domingo</v>
      </c>
    </row>
    <row r="1787" spans="1:4" x14ac:dyDescent="0.25">
      <c r="A1787" s="88" t="str">
        <f t="shared" si="101"/>
        <v>11-2027</v>
      </c>
      <c r="B1787" s="86">
        <v>46713</v>
      </c>
      <c r="C1787" t="str">
        <f t="shared" si="102"/>
        <v>L-V</v>
      </c>
      <c r="D1787" t="str">
        <f t="shared" si="103"/>
        <v>Lunes</v>
      </c>
    </row>
    <row r="1788" spans="1:4" x14ac:dyDescent="0.25">
      <c r="A1788" s="88" t="str">
        <f t="shared" si="101"/>
        <v>11-2027</v>
      </c>
      <c r="B1788" s="86">
        <v>46714</v>
      </c>
      <c r="C1788" t="str">
        <f t="shared" si="102"/>
        <v>L-V</v>
      </c>
      <c r="D1788" t="str">
        <f t="shared" si="103"/>
        <v>Martes</v>
      </c>
    </row>
    <row r="1789" spans="1:4" x14ac:dyDescent="0.25">
      <c r="A1789" s="88" t="str">
        <f t="shared" si="101"/>
        <v>11-2027</v>
      </c>
      <c r="B1789" s="86">
        <v>46715</v>
      </c>
      <c r="C1789" t="str">
        <f t="shared" si="102"/>
        <v>L-V</v>
      </c>
      <c r="D1789" t="str">
        <f t="shared" si="103"/>
        <v>Miércoles</v>
      </c>
    </row>
    <row r="1790" spans="1:4" x14ac:dyDescent="0.25">
      <c r="A1790" s="88" t="str">
        <f t="shared" si="101"/>
        <v>11-2027</v>
      </c>
      <c r="B1790" s="86">
        <v>46716</v>
      </c>
      <c r="C1790" t="str">
        <f t="shared" si="102"/>
        <v>L-V</v>
      </c>
      <c r="D1790" t="str">
        <f t="shared" si="103"/>
        <v>Jueves</v>
      </c>
    </row>
    <row r="1791" spans="1:4" x14ac:dyDescent="0.25">
      <c r="A1791" s="88" t="str">
        <f t="shared" si="101"/>
        <v>11-2027</v>
      </c>
      <c r="B1791" s="86">
        <v>46717</v>
      </c>
      <c r="C1791" t="str">
        <f t="shared" si="102"/>
        <v>L-V</v>
      </c>
      <c r="D1791" t="str">
        <f t="shared" si="103"/>
        <v>Viernes</v>
      </c>
    </row>
    <row r="1792" spans="1:4" x14ac:dyDescent="0.25">
      <c r="A1792" s="88" t="str">
        <f t="shared" si="101"/>
        <v>11-2027</v>
      </c>
      <c r="B1792" s="86">
        <v>46718</v>
      </c>
      <c r="C1792" t="str">
        <f t="shared" si="102"/>
        <v>SAB</v>
      </c>
      <c r="D1792" t="str">
        <f t="shared" si="103"/>
        <v>Sábado</v>
      </c>
    </row>
    <row r="1793" spans="1:4" x14ac:dyDescent="0.25">
      <c r="A1793" s="88" t="str">
        <f t="shared" si="101"/>
        <v>11-2027</v>
      </c>
      <c r="B1793" s="86">
        <v>46719</v>
      </c>
      <c r="C1793" t="str">
        <f t="shared" si="102"/>
        <v>DOM</v>
      </c>
      <c r="D1793" t="str">
        <f t="shared" si="103"/>
        <v>Domingo</v>
      </c>
    </row>
    <row r="1794" spans="1:4" x14ac:dyDescent="0.25">
      <c r="A1794" s="88" t="str">
        <f t="shared" ref="A1794:A1857" si="104">MONTH(B1794)&amp;"-"&amp;YEAR(B1794)</f>
        <v>11-2027</v>
      </c>
      <c r="B1794" s="86">
        <v>46720</v>
      </c>
      <c r="C1794" t="str">
        <f t="shared" si="102"/>
        <v>L-V</v>
      </c>
      <c r="D1794" t="str">
        <f t="shared" si="103"/>
        <v>Lunes</v>
      </c>
    </row>
    <row r="1795" spans="1:4" x14ac:dyDescent="0.25">
      <c r="A1795" s="88" t="str">
        <f t="shared" si="104"/>
        <v>11-2027</v>
      </c>
      <c r="B1795" s="86">
        <v>46721</v>
      </c>
      <c r="C1795" t="str">
        <f t="shared" ref="C1795:C1858" si="105">VLOOKUP(WEEKDAY(B1795,2),$F$1:$H$7,2)</f>
        <v>L-V</v>
      </c>
      <c r="D1795" t="str">
        <f t="shared" ref="D1795:D1858" si="106">VLOOKUP(WEEKDAY($B1795,2),$F$1:$H$7,3)</f>
        <v>Martes</v>
      </c>
    </row>
    <row r="1796" spans="1:4" x14ac:dyDescent="0.25">
      <c r="A1796" s="88" t="str">
        <f t="shared" si="104"/>
        <v>12-2027</v>
      </c>
      <c r="B1796" s="86">
        <v>46722</v>
      </c>
      <c r="C1796" t="str">
        <f t="shared" si="105"/>
        <v>L-V</v>
      </c>
      <c r="D1796" t="str">
        <f t="shared" si="106"/>
        <v>Miércoles</v>
      </c>
    </row>
    <row r="1797" spans="1:4" x14ac:dyDescent="0.25">
      <c r="A1797" s="88" t="str">
        <f t="shared" si="104"/>
        <v>12-2027</v>
      </c>
      <c r="B1797" s="86">
        <v>46723</v>
      </c>
      <c r="C1797" t="str">
        <f t="shared" si="105"/>
        <v>L-V</v>
      </c>
      <c r="D1797" t="str">
        <f t="shared" si="106"/>
        <v>Jueves</v>
      </c>
    </row>
    <row r="1798" spans="1:4" x14ac:dyDescent="0.25">
      <c r="A1798" s="88" t="str">
        <f t="shared" si="104"/>
        <v>12-2027</v>
      </c>
      <c r="B1798" s="86">
        <v>46724</v>
      </c>
      <c r="C1798" t="str">
        <f t="shared" si="105"/>
        <v>L-V</v>
      </c>
      <c r="D1798" t="str">
        <f t="shared" si="106"/>
        <v>Viernes</v>
      </c>
    </row>
    <row r="1799" spans="1:4" x14ac:dyDescent="0.25">
      <c r="A1799" s="88" t="str">
        <f t="shared" si="104"/>
        <v>12-2027</v>
      </c>
      <c r="B1799" s="86">
        <v>46725</v>
      </c>
      <c r="C1799" t="str">
        <f t="shared" si="105"/>
        <v>SAB</v>
      </c>
      <c r="D1799" t="str">
        <f t="shared" si="106"/>
        <v>Sábado</v>
      </c>
    </row>
    <row r="1800" spans="1:4" x14ac:dyDescent="0.25">
      <c r="A1800" s="88" t="str">
        <f t="shared" si="104"/>
        <v>12-2027</v>
      </c>
      <c r="B1800" s="86">
        <v>46726</v>
      </c>
      <c r="C1800" t="str">
        <f t="shared" si="105"/>
        <v>DOM</v>
      </c>
      <c r="D1800" t="str">
        <f t="shared" si="106"/>
        <v>Domingo</v>
      </c>
    </row>
    <row r="1801" spans="1:4" x14ac:dyDescent="0.25">
      <c r="A1801" s="88" t="str">
        <f t="shared" si="104"/>
        <v>12-2027</v>
      </c>
      <c r="B1801" s="86">
        <v>46727</v>
      </c>
      <c r="C1801" t="str">
        <f t="shared" si="105"/>
        <v>L-V</v>
      </c>
      <c r="D1801" t="str">
        <f t="shared" si="106"/>
        <v>Lunes</v>
      </c>
    </row>
    <row r="1802" spans="1:4" x14ac:dyDescent="0.25">
      <c r="A1802" s="88" t="str">
        <f t="shared" si="104"/>
        <v>12-2027</v>
      </c>
      <c r="B1802" s="86">
        <v>46728</v>
      </c>
      <c r="C1802" t="str">
        <f t="shared" si="105"/>
        <v>L-V</v>
      </c>
      <c r="D1802" t="str">
        <f t="shared" si="106"/>
        <v>Martes</v>
      </c>
    </row>
    <row r="1803" spans="1:4" x14ac:dyDescent="0.25">
      <c r="A1803" s="88" t="str">
        <f t="shared" si="104"/>
        <v>12-2027</v>
      </c>
      <c r="B1803" s="86">
        <v>46729</v>
      </c>
      <c r="C1803" t="str">
        <f t="shared" si="105"/>
        <v>L-V</v>
      </c>
      <c r="D1803" t="str">
        <f t="shared" si="106"/>
        <v>Miércoles</v>
      </c>
    </row>
    <row r="1804" spans="1:4" x14ac:dyDescent="0.25">
      <c r="A1804" s="88" t="str">
        <f t="shared" si="104"/>
        <v>12-2027</v>
      </c>
      <c r="B1804" s="86">
        <v>46730</v>
      </c>
      <c r="C1804" t="str">
        <f t="shared" si="105"/>
        <v>L-V</v>
      </c>
      <c r="D1804" t="str">
        <f t="shared" si="106"/>
        <v>Jueves</v>
      </c>
    </row>
    <row r="1805" spans="1:4" x14ac:dyDescent="0.25">
      <c r="A1805" s="88" t="str">
        <f t="shared" si="104"/>
        <v>12-2027</v>
      </c>
      <c r="B1805" s="86">
        <v>46731</v>
      </c>
      <c r="C1805" t="str">
        <f t="shared" si="105"/>
        <v>L-V</v>
      </c>
      <c r="D1805" t="str">
        <f t="shared" si="106"/>
        <v>Viernes</v>
      </c>
    </row>
    <row r="1806" spans="1:4" x14ac:dyDescent="0.25">
      <c r="A1806" s="88" t="str">
        <f t="shared" si="104"/>
        <v>12-2027</v>
      </c>
      <c r="B1806" s="86">
        <v>46732</v>
      </c>
      <c r="C1806" t="str">
        <f t="shared" si="105"/>
        <v>SAB</v>
      </c>
      <c r="D1806" t="str">
        <f t="shared" si="106"/>
        <v>Sábado</v>
      </c>
    </row>
    <row r="1807" spans="1:4" x14ac:dyDescent="0.25">
      <c r="A1807" s="88" t="str">
        <f t="shared" si="104"/>
        <v>12-2027</v>
      </c>
      <c r="B1807" s="86">
        <v>46733</v>
      </c>
      <c r="C1807" t="str">
        <f t="shared" si="105"/>
        <v>DOM</v>
      </c>
      <c r="D1807" t="str">
        <f t="shared" si="106"/>
        <v>Domingo</v>
      </c>
    </row>
    <row r="1808" spans="1:4" x14ac:dyDescent="0.25">
      <c r="A1808" s="88" t="str">
        <f t="shared" si="104"/>
        <v>12-2027</v>
      </c>
      <c r="B1808" s="86">
        <v>46734</v>
      </c>
      <c r="C1808" t="str">
        <f t="shared" si="105"/>
        <v>L-V</v>
      </c>
      <c r="D1808" t="str">
        <f t="shared" si="106"/>
        <v>Lunes</v>
      </c>
    </row>
    <row r="1809" spans="1:4" x14ac:dyDescent="0.25">
      <c r="A1809" s="88" t="str">
        <f t="shared" si="104"/>
        <v>12-2027</v>
      </c>
      <c r="B1809" s="86">
        <v>46735</v>
      </c>
      <c r="C1809" t="str">
        <f t="shared" si="105"/>
        <v>L-V</v>
      </c>
      <c r="D1809" t="str">
        <f t="shared" si="106"/>
        <v>Martes</v>
      </c>
    </row>
    <row r="1810" spans="1:4" x14ac:dyDescent="0.25">
      <c r="A1810" s="88" t="str">
        <f t="shared" si="104"/>
        <v>12-2027</v>
      </c>
      <c r="B1810" s="86">
        <v>46736</v>
      </c>
      <c r="C1810" t="str">
        <f t="shared" si="105"/>
        <v>L-V</v>
      </c>
      <c r="D1810" t="str">
        <f t="shared" si="106"/>
        <v>Miércoles</v>
      </c>
    </row>
    <row r="1811" spans="1:4" x14ac:dyDescent="0.25">
      <c r="A1811" s="88" t="str">
        <f t="shared" si="104"/>
        <v>12-2027</v>
      </c>
      <c r="B1811" s="86">
        <v>46737</v>
      </c>
      <c r="C1811" t="str">
        <f t="shared" si="105"/>
        <v>L-V</v>
      </c>
      <c r="D1811" t="str">
        <f t="shared" si="106"/>
        <v>Jueves</v>
      </c>
    </row>
    <row r="1812" spans="1:4" x14ac:dyDescent="0.25">
      <c r="A1812" s="88" t="str">
        <f t="shared" si="104"/>
        <v>12-2027</v>
      </c>
      <c r="B1812" s="86">
        <v>46738</v>
      </c>
      <c r="C1812" t="str">
        <f t="shared" si="105"/>
        <v>L-V</v>
      </c>
      <c r="D1812" t="str">
        <f t="shared" si="106"/>
        <v>Viernes</v>
      </c>
    </row>
    <row r="1813" spans="1:4" x14ac:dyDescent="0.25">
      <c r="A1813" s="88" t="str">
        <f t="shared" si="104"/>
        <v>12-2027</v>
      </c>
      <c r="B1813" s="86">
        <v>46739</v>
      </c>
      <c r="C1813" t="str">
        <f t="shared" si="105"/>
        <v>SAB</v>
      </c>
      <c r="D1813" t="str">
        <f t="shared" si="106"/>
        <v>Sábado</v>
      </c>
    </row>
    <row r="1814" spans="1:4" x14ac:dyDescent="0.25">
      <c r="A1814" s="88" t="str">
        <f t="shared" si="104"/>
        <v>12-2027</v>
      </c>
      <c r="B1814" s="86">
        <v>46740</v>
      </c>
      <c r="C1814" t="str">
        <f t="shared" si="105"/>
        <v>DOM</v>
      </c>
      <c r="D1814" t="str">
        <f t="shared" si="106"/>
        <v>Domingo</v>
      </c>
    </row>
    <row r="1815" spans="1:4" x14ac:dyDescent="0.25">
      <c r="A1815" s="88" t="str">
        <f t="shared" si="104"/>
        <v>12-2027</v>
      </c>
      <c r="B1815" s="86">
        <v>46741</v>
      </c>
      <c r="C1815" t="str">
        <f t="shared" si="105"/>
        <v>L-V</v>
      </c>
      <c r="D1815" t="str">
        <f t="shared" si="106"/>
        <v>Lunes</v>
      </c>
    </row>
    <row r="1816" spans="1:4" x14ac:dyDescent="0.25">
      <c r="A1816" s="88" t="str">
        <f t="shared" si="104"/>
        <v>12-2027</v>
      </c>
      <c r="B1816" s="86">
        <v>46742</v>
      </c>
      <c r="C1816" t="str">
        <f t="shared" si="105"/>
        <v>L-V</v>
      </c>
      <c r="D1816" t="str">
        <f t="shared" si="106"/>
        <v>Martes</v>
      </c>
    </row>
    <row r="1817" spans="1:4" x14ac:dyDescent="0.25">
      <c r="A1817" s="88" t="str">
        <f t="shared" si="104"/>
        <v>12-2027</v>
      </c>
      <c r="B1817" s="86">
        <v>46743</v>
      </c>
      <c r="C1817" t="str">
        <f t="shared" si="105"/>
        <v>L-V</v>
      </c>
      <c r="D1817" t="str">
        <f t="shared" si="106"/>
        <v>Miércoles</v>
      </c>
    </row>
    <row r="1818" spans="1:4" x14ac:dyDescent="0.25">
      <c r="A1818" s="88" t="str">
        <f t="shared" si="104"/>
        <v>12-2027</v>
      </c>
      <c r="B1818" s="86">
        <v>46744</v>
      </c>
      <c r="C1818" t="str">
        <f t="shared" si="105"/>
        <v>L-V</v>
      </c>
      <c r="D1818" t="str">
        <f t="shared" si="106"/>
        <v>Jueves</v>
      </c>
    </row>
    <row r="1819" spans="1:4" x14ac:dyDescent="0.25">
      <c r="A1819" s="88" t="str">
        <f t="shared" si="104"/>
        <v>12-2027</v>
      </c>
      <c r="B1819" s="86">
        <v>46745</v>
      </c>
      <c r="C1819" t="str">
        <f t="shared" si="105"/>
        <v>L-V</v>
      </c>
      <c r="D1819" t="str">
        <f t="shared" si="106"/>
        <v>Viernes</v>
      </c>
    </row>
    <row r="1820" spans="1:4" x14ac:dyDescent="0.25">
      <c r="A1820" s="88" t="str">
        <f t="shared" si="104"/>
        <v>12-2027</v>
      </c>
      <c r="B1820" s="86">
        <v>46746</v>
      </c>
      <c r="C1820" t="str">
        <f t="shared" si="105"/>
        <v>SAB</v>
      </c>
      <c r="D1820" t="str">
        <f t="shared" si="106"/>
        <v>Sábado</v>
      </c>
    </row>
    <row r="1821" spans="1:4" x14ac:dyDescent="0.25">
      <c r="A1821" s="88" t="str">
        <f t="shared" si="104"/>
        <v>12-2027</v>
      </c>
      <c r="B1821" s="86">
        <v>46747</v>
      </c>
      <c r="C1821" t="str">
        <f t="shared" si="105"/>
        <v>DOM</v>
      </c>
      <c r="D1821" t="str">
        <f t="shared" si="106"/>
        <v>Domingo</v>
      </c>
    </row>
    <row r="1822" spans="1:4" x14ac:dyDescent="0.25">
      <c r="A1822" s="88" t="str">
        <f t="shared" si="104"/>
        <v>12-2027</v>
      </c>
      <c r="B1822" s="86">
        <v>46748</v>
      </c>
      <c r="C1822" t="str">
        <f t="shared" si="105"/>
        <v>L-V</v>
      </c>
      <c r="D1822" t="str">
        <f t="shared" si="106"/>
        <v>Lunes</v>
      </c>
    </row>
    <row r="1823" spans="1:4" x14ac:dyDescent="0.25">
      <c r="A1823" s="88" t="str">
        <f t="shared" si="104"/>
        <v>12-2027</v>
      </c>
      <c r="B1823" s="86">
        <v>46749</v>
      </c>
      <c r="C1823" t="str">
        <f t="shared" si="105"/>
        <v>L-V</v>
      </c>
      <c r="D1823" t="str">
        <f t="shared" si="106"/>
        <v>Martes</v>
      </c>
    </row>
    <row r="1824" spans="1:4" x14ac:dyDescent="0.25">
      <c r="A1824" s="88" t="str">
        <f t="shared" si="104"/>
        <v>12-2027</v>
      </c>
      <c r="B1824" s="86">
        <v>46750</v>
      </c>
      <c r="C1824" t="str">
        <f t="shared" si="105"/>
        <v>L-V</v>
      </c>
      <c r="D1824" t="str">
        <f t="shared" si="106"/>
        <v>Miércoles</v>
      </c>
    </row>
    <row r="1825" spans="1:4" x14ac:dyDescent="0.25">
      <c r="A1825" s="88" t="str">
        <f t="shared" si="104"/>
        <v>12-2027</v>
      </c>
      <c r="B1825" s="86">
        <v>46751</v>
      </c>
      <c r="C1825" t="str">
        <f t="shared" si="105"/>
        <v>L-V</v>
      </c>
      <c r="D1825" t="str">
        <f t="shared" si="106"/>
        <v>Jueves</v>
      </c>
    </row>
    <row r="1826" spans="1:4" x14ac:dyDescent="0.25">
      <c r="A1826" s="88" t="str">
        <f t="shared" si="104"/>
        <v>12-2027</v>
      </c>
      <c r="B1826" s="86">
        <v>46752</v>
      </c>
      <c r="C1826" t="str">
        <f t="shared" si="105"/>
        <v>L-V</v>
      </c>
      <c r="D1826" t="str">
        <f t="shared" si="106"/>
        <v>Viernes</v>
      </c>
    </row>
    <row r="1827" spans="1:4" x14ac:dyDescent="0.25">
      <c r="A1827" s="88" t="str">
        <f t="shared" si="104"/>
        <v>1-2028</v>
      </c>
      <c r="B1827" s="86">
        <v>46753</v>
      </c>
      <c r="C1827" t="str">
        <f t="shared" si="105"/>
        <v>SAB</v>
      </c>
      <c r="D1827" t="str">
        <f t="shared" si="106"/>
        <v>Sábado</v>
      </c>
    </row>
    <row r="1828" spans="1:4" x14ac:dyDescent="0.25">
      <c r="A1828" s="88" t="str">
        <f t="shared" si="104"/>
        <v>1-2028</v>
      </c>
      <c r="B1828" s="86">
        <v>46754</v>
      </c>
      <c r="C1828" t="str">
        <f t="shared" si="105"/>
        <v>DOM</v>
      </c>
      <c r="D1828" t="str">
        <f t="shared" si="106"/>
        <v>Domingo</v>
      </c>
    </row>
    <row r="1829" spans="1:4" x14ac:dyDescent="0.25">
      <c r="A1829" s="88" t="str">
        <f t="shared" si="104"/>
        <v>1-2028</v>
      </c>
      <c r="B1829" s="86">
        <v>46755</v>
      </c>
      <c r="C1829" t="str">
        <f t="shared" si="105"/>
        <v>L-V</v>
      </c>
      <c r="D1829" t="str">
        <f t="shared" si="106"/>
        <v>Lunes</v>
      </c>
    </row>
    <row r="1830" spans="1:4" x14ac:dyDescent="0.25">
      <c r="A1830" s="88" t="str">
        <f t="shared" si="104"/>
        <v>1-2028</v>
      </c>
      <c r="B1830" s="86">
        <v>46756</v>
      </c>
      <c r="C1830" t="str">
        <f t="shared" si="105"/>
        <v>L-V</v>
      </c>
      <c r="D1830" t="str">
        <f t="shared" si="106"/>
        <v>Martes</v>
      </c>
    </row>
    <row r="1831" spans="1:4" x14ac:dyDescent="0.25">
      <c r="A1831" s="88" t="str">
        <f t="shared" si="104"/>
        <v>1-2028</v>
      </c>
      <c r="B1831" s="86">
        <v>46757</v>
      </c>
      <c r="C1831" t="str">
        <f t="shared" si="105"/>
        <v>L-V</v>
      </c>
      <c r="D1831" t="str">
        <f t="shared" si="106"/>
        <v>Miércoles</v>
      </c>
    </row>
    <row r="1832" spans="1:4" x14ac:dyDescent="0.25">
      <c r="A1832" s="88" t="str">
        <f t="shared" si="104"/>
        <v>1-2028</v>
      </c>
      <c r="B1832" s="86">
        <v>46758</v>
      </c>
      <c r="C1832" t="str">
        <f t="shared" si="105"/>
        <v>L-V</v>
      </c>
      <c r="D1832" t="str">
        <f t="shared" si="106"/>
        <v>Jueves</v>
      </c>
    </row>
    <row r="1833" spans="1:4" x14ac:dyDescent="0.25">
      <c r="A1833" s="88" t="str">
        <f t="shared" si="104"/>
        <v>1-2028</v>
      </c>
      <c r="B1833" s="86">
        <v>46759</v>
      </c>
      <c r="C1833" t="str">
        <f t="shared" si="105"/>
        <v>L-V</v>
      </c>
      <c r="D1833" t="str">
        <f t="shared" si="106"/>
        <v>Viernes</v>
      </c>
    </row>
    <row r="1834" spans="1:4" x14ac:dyDescent="0.25">
      <c r="A1834" s="88" t="str">
        <f t="shared" si="104"/>
        <v>1-2028</v>
      </c>
      <c r="B1834" s="86">
        <v>46760</v>
      </c>
      <c r="C1834" t="str">
        <f t="shared" si="105"/>
        <v>SAB</v>
      </c>
      <c r="D1834" t="str">
        <f t="shared" si="106"/>
        <v>Sábado</v>
      </c>
    </row>
    <row r="1835" spans="1:4" x14ac:dyDescent="0.25">
      <c r="A1835" s="88" t="str">
        <f t="shared" si="104"/>
        <v>1-2028</v>
      </c>
      <c r="B1835" s="86">
        <v>46761</v>
      </c>
      <c r="C1835" t="str">
        <f t="shared" si="105"/>
        <v>DOM</v>
      </c>
      <c r="D1835" t="str">
        <f t="shared" si="106"/>
        <v>Domingo</v>
      </c>
    </row>
    <row r="1836" spans="1:4" x14ac:dyDescent="0.25">
      <c r="A1836" s="88" t="str">
        <f t="shared" si="104"/>
        <v>1-2028</v>
      </c>
      <c r="B1836" s="86">
        <v>46762</v>
      </c>
      <c r="C1836" t="str">
        <f t="shared" si="105"/>
        <v>L-V</v>
      </c>
      <c r="D1836" t="str">
        <f t="shared" si="106"/>
        <v>Lunes</v>
      </c>
    </row>
    <row r="1837" spans="1:4" x14ac:dyDescent="0.25">
      <c r="A1837" s="88" t="str">
        <f t="shared" si="104"/>
        <v>1-2028</v>
      </c>
      <c r="B1837" s="86">
        <v>46763</v>
      </c>
      <c r="C1837" t="str">
        <f t="shared" si="105"/>
        <v>L-V</v>
      </c>
      <c r="D1837" t="str">
        <f t="shared" si="106"/>
        <v>Martes</v>
      </c>
    </row>
    <row r="1838" spans="1:4" x14ac:dyDescent="0.25">
      <c r="A1838" s="88" t="str">
        <f t="shared" si="104"/>
        <v>1-2028</v>
      </c>
      <c r="B1838" s="86">
        <v>46764</v>
      </c>
      <c r="C1838" t="str">
        <f t="shared" si="105"/>
        <v>L-V</v>
      </c>
      <c r="D1838" t="str">
        <f t="shared" si="106"/>
        <v>Miércoles</v>
      </c>
    </row>
    <row r="1839" spans="1:4" x14ac:dyDescent="0.25">
      <c r="A1839" s="88" t="str">
        <f t="shared" si="104"/>
        <v>1-2028</v>
      </c>
      <c r="B1839" s="86">
        <v>46765</v>
      </c>
      <c r="C1839" t="str">
        <f t="shared" si="105"/>
        <v>L-V</v>
      </c>
      <c r="D1839" t="str">
        <f t="shared" si="106"/>
        <v>Jueves</v>
      </c>
    </row>
    <row r="1840" spans="1:4" x14ac:dyDescent="0.25">
      <c r="A1840" s="88" t="str">
        <f t="shared" si="104"/>
        <v>1-2028</v>
      </c>
      <c r="B1840" s="86">
        <v>46766</v>
      </c>
      <c r="C1840" t="str">
        <f t="shared" si="105"/>
        <v>L-V</v>
      </c>
      <c r="D1840" t="str">
        <f t="shared" si="106"/>
        <v>Viernes</v>
      </c>
    </row>
    <row r="1841" spans="1:4" x14ac:dyDescent="0.25">
      <c r="A1841" s="88" t="str">
        <f t="shared" si="104"/>
        <v>1-2028</v>
      </c>
      <c r="B1841" s="86">
        <v>46767</v>
      </c>
      <c r="C1841" t="str">
        <f t="shared" si="105"/>
        <v>SAB</v>
      </c>
      <c r="D1841" t="str">
        <f t="shared" si="106"/>
        <v>Sábado</v>
      </c>
    </row>
    <row r="1842" spans="1:4" x14ac:dyDescent="0.25">
      <c r="A1842" s="88" t="str">
        <f t="shared" si="104"/>
        <v>1-2028</v>
      </c>
      <c r="B1842" s="86">
        <v>46768</v>
      </c>
      <c r="C1842" t="str">
        <f t="shared" si="105"/>
        <v>DOM</v>
      </c>
      <c r="D1842" t="str">
        <f t="shared" si="106"/>
        <v>Domingo</v>
      </c>
    </row>
    <row r="1843" spans="1:4" x14ac:dyDescent="0.25">
      <c r="A1843" s="88" t="str">
        <f t="shared" si="104"/>
        <v>1-2028</v>
      </c>
      <c r="B1843" s="86">
        <v>46769</v>
      </c>
      <c r="C1843" t="str">
        <f t="shared" si="105"/>
        <v>L-V</v>
      </c>
      <c r="D1843" t="str">
        <f t="shared" si="106"/>
        <v>Lunes</v>
      </c>
    </row>
    <row r="1844" spans="1:4" x14ac:dyDescent="0.25">
      <c r="A1844" s="88" t="str">
        <f t="shared" si="104"/>
        <v>1-2028</v>
      </c>
      <c r="B1844" s="86">
        <v>46770</v>
      </c>
      <c r="C1844" t="str">
        <f t="shared" si="105"/>
        <v>L-V</v>
      </c>
      <c r="D1844" t="str">
        <f t="shared" si="106"/>
        <v>Martes</v>
      </c>
    </row>
    <row r="1845" spans="1:4" x14ac:dyDescent="0.25">
      <c r="A1845" s="88" t="str">
        <f t="shared" si="104"/>
        <v>1-2028</v>
      </c>
      <c r="B1845" s="86">
        <v>46771</v>
      </c>
      <c r="C1845" t="str">
        <f t="shared" si="105"/>
        <v>L-V</v>
      </c>
      <c r="D1845" t="str">
        <f t="shared" si="106"/>
        <v>Miércoles</v>
      </c>
    </row>
    <row r="1846" spans="1:4" x14ac:dyDescent="0.25">
      <c r="A1846" s="88" t="str">
        <f t="shared" si="104"/>
        <v>1-2028</v>
      </c>
      <c r="B1846" s="86">
        <v>46772</v>
      </c>
      <c r="C1846" t="str">
        <f t="shared" si="105"/>
        <v>L-V</v>
      </c>
      <c r="D1846" t="str">
        <f t="shared" si="106"/>
        <v>Jueves</v>
      </c>
    </row>
    <row r="1847" spans="1:4" x14ac:dyDescent="0.25">
      <c r="A1847" s="88" t="str">
        <f t="shared" si="104"/>
        <v>1-2028</v>
      </c>
      <c r="B1847" s="86">
        <v>46773</v>
      </c>
      <c r="C1847" t="str">
        <f t="shared" si="105"/>
        <v>L-V</v>
      </c>
      <c r="D1847" t="str">
        <f t="shared" si="106"/>
        <v>Viernes</v>
      </c>
    </row>
    <row r="1848" spans="1:4" x14ac:dyDescent="0.25">
      <c r="A1848" s="88" t="str">
        <f t="shared" si="104"/>
        <v>1-2028</v>
      </c>
      <c r="B1848" s="86">
        <v>46774</v>
      </c>
      <c r="C1848" t="str">
        <f t="shared" si="105"/>
        <v>SAB</v>
      </c>
      <c r="D1848" t="str">
        <f t="shared" si="106"/>
        <v>Sábado</v>
      </c>
    </row>
    <row r="1849" spans="1:4" x14ac:dyDescent="0.25">
      <c r="A1849" s="88" t="str">
        <f t="shared" si="104"/>
        <v>1-2028</v>
      </c>
      <c r="B1849" s="86">
        <v>46775</v>
      </c>
      <c r="C1849" t="str">
        <f t="shared" si="105"/>
        <v>DOM</v>
      </c>
      <c r="D1849" t="str">
        <f t="shared" si="106"/>
        <v>Domingo</v>
      </c>
    </row>
    <row r="1850" spans="1:4" x14ac:dyDescent="0.25">
      <c r="A1850" s="88" t="str">
        <f t="shared" si="104"/>
        <v>1-2028</v>
      </c>
      <c r="B1850" s="86">
        <v>46776</v>
      </c>
      <c r="C1850" t="str">
        <f t="shared" si="105"/>
        <v>L-V</v>
      </c>
      <c r="D1850" t="str">
        <f t="shared" si="106"/>
        <v>Lunes</v>
      </c>
    </row>
    <row r="1851" spans="1:4" x14ac:dyDescent="0.25">
      <c r="A1851" s="88" t="str">
        <f t="shared" si="104"/>
        <v>1-2028</v>
      </c>
      <c r="B1851" s="86">
        <v>46777</v>
      </c>
      <c r="C1851" t="str">
        <f t="shared" si="105"/>
        <v>L-V</v>
      </c>
      <c r="D1851" t="str">
        <f t="shared" si="106"/>
        <v>Martes</v>
      </c>
    </row>
    <row r="1852" spans="1:4" x14ac:dyDescent="0.25">
      <c r="A1852" s="88" t="str">
        <f t="shared" si="104"/>
        <v>1-2028</v>
      </c>
      <c r="B1852" s="86">
        <v>46778</v>
      </c>
      <c r="C1852" t="str">
        <f t="shared" si="105"/>
        <v>L-V</v>
      </c>
      <c r="D1852" t="str">
        <f t="shared" si="106"/>
        <v>Miércoles</v>
      </c>
    </row>
    <row r="1853" spans="1:4" x14ac:dyDescent="0.25">
      <c r="A1853" s="88" t="str">
        <f t="shared" si="104"/>
        <v>1-2028</v>
      </c>
      <c r="B1853" s="86">
        <v>46779</v>
      </c>
      <c r="C1853" t="str">
        <f t="shared" si="105"/>
        <v>L-V</v>
      </c>
      <c r="D1853" t="str">
        <f t="shared" si="106"/>
        <v>Jueves</v>
      </c>
    </row>
    <row r="1854" spans="1:4" x14ac:dyDescent="0.25">
      <c r="A1854" s="88" t="str">
        <f t="shared" si="104"/>
        <v>1-2028</v>
      </c>
      <c r="B1854" s="86">
        <v>46780</v>
      </c>
      <c r="C1854" t="str">
        <f t="shared" si="105"/>
        <v>L-V</v>
      </c>
      <c r="D1854" t="str">
        <f t="shared" si="106"/>
        <v>Viernes</v>
      </c>
    </row>
    <row r="1855" spans="1:4" x14ac:dyDescent="0.25">
      <c r="A1855" s="88" t="str">
        <f t="shared" si="104"/>
        <v>1-2028</v>
      </c>
      <c r="B1855" s="86">
        <v>46781</v>
      </c>
      <c r="C1855" t="str">
        <f t="shared" si="105"/>
        <v>SAB</v>
      </c>
      <c r="D1855" t="str">
        <f t="shared" si="106"/>
        <v>Sábado</v>
      </c>
    </row>
    <row r="1856" spans="1:4" x14ac:dyDescent="0.25">
      <c r="A1856" s="88" t="str">
        <f t="shared" si="104"/>
        <v>1-2028</v>
      </c>
      <c r="B1856" s="86">
        <v>46782</v>
      </c>
      <c r="C1856" t="str">
        <f t="shared" si="105"/>
        <v>DOM</v>
      </c>
      <c r="D1856" t="str">
        <f t="shared" si="106"/>
        <v>Domingo</v>
      </c>
    </row>
    <row r="1857" spans="1:4" x14ac:dyDescent="0.25">
      <c r="A1857" s="88" t="str">
        <f t="shared" si="104"/>
        <v>1-2028</v>
      </c>
      <c r="B1857" s="86">
        <v>46783</v>
      </c>
      <c r="C1857" t="str">
        <f t="shared" si="105"/>
        <v>L-V</v>
      </c>
      <c r="D1857" t="str">
        <f t="shared" si="106"/>
        <v>Lunes</v>
      </c>
    </row>
    <row r="1858" spans="1:4" x14ac:dyDescent="0.25">
      <c r="A1858" s="88" t="str">
        <f t="shared" ref="A1858:A1921" si="107">MONTH(B1858)&amp;"-"&amp;YEAR(B1858)</f>
        <v>2-2028</v>
      </c>
      <c r="B1858" s="86">
        <v>46784</v>
      </c>
      <c r="C1858" t="str">
        <f t="shared" si="105"/>
        <v>L-V</v>
      </c>
      <c r="D1858" t="str">
        <f t="shared" si="106"/>
        <v>Martes</v>
      </c>
    </row>
    <row r="1859" spans="1:4" x14ac:dyDescent="0.25">
      <c r="A1859" s="88" t="str">
        <f t="shared" si="107"/>
        <v>2-2028</v>
      </c>
      <c r="B1859" s="86">
        <v>46785</v>
      </c>
      <c r="C1859" t="str">
        <f t="shared" ref="C1859:C1922" si="108">VLOOKUP(WEEKDAY(B1859,2),$F$1:$H$7,2)</f>
        <v>L-V</v>
      </c>
      <c r="D1859" t="str">
        <f t="shared" ref="D1859:D1922" si="109">VLOOKUP(WEEKDAY($B1859,2),$F$1:$H$7,3)</f>
        <v>Miércoles</v>
      </c>
    </row>
    <row r="1860" spans="1:4" x14ac:dyDescent="0.25">
      <c r="A1860" s="88" t="str">
        <f t="shared" si="107"/>
        <v>2-2028</v>
      </c>
      <c r="B1860" s="86">
        <v>46786</v>
      </c>
      <c r="C1860" t="str">
        <f t="shared" si="108"/>
        <v>L-V</v>
      </c>
      <c r="D1860" t="str">
        <f t="shared" si="109"/>
        <v>Jueves</v>
      </c>
    </row>
    <row r="1861" spans="1:4" x14ac:dyDescent="0.25">
      <c r="A1861" s="88" t="str">
        <f t="shared" si="107"/>
        <v>2-2028</v>
      </c>
      <c r="B1861" s="86">
        <v>46787</v>
      </c>
      <c r="C1861" t="str">
        <f t="shared" si="108"/>
        <v>L-V</v>
      </c>
      <c r="D1861" t="str">
        <f t="shared" si="109"/>
        <v>Viernes</v>
      </c>
    </row>
    <row r="1862" spans="1:4" x14ac:dyDescent="0.25">
      <c r="A1862" s="88" t="str">
        <f t="shared" si="107"/>
        <v>2-2028</v>
      </c>
      <c r="B1862" s="86">
        <v>46788</v>
      </c>
      <c r="C1862" t="str">
        <f t="shared" si="108"/>
        <v>SAB</v>
      </c>
      <c r="D1862" t="str">
        <f t="shared" si="109"/>
        <v>Sábado</v>
      </c>
    </row>
    <row r="1863" spans="1:4" x14ac:dyDescent="0.25">
      <c r="A1863" s="88" t="str">
        <f t="shared" si="107"/>
        <v>2-2028</v>
      </c>
      <c r="B1863" s="86">
        <v>46789</v>
      </c>
      <c r="C1863" t="str">
        <f t="shared" si="108"/>
        <v>DOM</v>
      </c>
      <c r="D1863" t="str">
        <f t="shared" si="109"/>
        <v>Domingo</v>
      </c>
    </row>
    <row r="1864" spans="1:4" x14ac:dyDescent="0.25">
      <c r="A1864" s="88" t="str">
        <f t="shared" si="107"/>
        <v>2-2028</v>
      </c>
      <c r="B1864" s="86">
        <v>46790</v>
      </c>
      <c r="C1864" t="str">
        <f t="shared" si="108"/>
        <v>L-V</v>
      </c>
      <c r="D1864" t="str">
        <f t="shared" si="109"/>
        <v>Lunes</v>
      </c>
    </row>
    <row r="1865" spans="1:4" x14ac:dyDescent="0.25">
      <c r="A1865" s="88" t="str">
        <f t="shared" si="107"/>
        <v>2-2028</v>
      </c>
      <c r="B1865" s="86">
        <v>46791</v>
      </c>
      <c r="C1865" t="str">
        <f t="shared" si="108"/>
        <v>L-V</v>
      </c>
      <c r="D1865" t="str">
        <f t="shared" si="109"/>
        <v>Martes</v>
      </c>
    </row>
    <row r="1866" spans="1:4" x14ac:dyDescent="0.25">
      <c r="A1866" s="88" t="str">
        <f t="shared" si="107"/>
        <v>2-2028</v>
      </c>
      <c r="B1866" s="86">
        <v>46792</v>
      </c>
      <c r="C1866" t="str">
        <f t="shared" si="108"/>
        <v>L-V</v>
      </c>
      <c r="D1866" t="str">
        <f t="shared" si="109"/>
        <v>Miércoles</v>
      </c>
    </row>
    <row r="1867" spans="1:4" x14ac:dyDescent="0.25">
      <c r="A1867" s="88" t="str">
        <f t="shared" si="107"/>
        <v>2-2028</v>
      </c>
      <c r="B1867" s="86">
        <v>46793</v>
      </c>
      <c r="C1867" t="str">
        <f t="shared" si="108"/>
        <v>L-V</v>
      </c>
      <c r="D1867" t="str">
        <f t="shared" si="109"/>
        <v>Jueves</v>
      </c>
    </row>
    <row r="1868" spans="1:4" x14ac:dyDescent="0.25">
      <c r="A1868" s="88" t="str">
        <f t="shared" si="107"/>
        <v>2-2028</v>
      </c>
      <c r="B1868" s="86">
        <v>46794</v>
      </c>
      <c r="C1868" t="str">
        <f t="shared" si="108"/>
        <v>L-V</v>
      </c>
      <c r="D1868" t="str">
        <f t="shared" si="109"/>
        <v>Viernes</v>
      </c>
    </row>
    <row r="1869" spans="1:4" x14ac:dyDescent="0.25">
      <c r="A1869" s="88" t="str">
        <f t="shared" si="107"/>
        <v>2-2028</v>
      </c>
      <c r="B1869" s="86">
        <v>46795</v>
      </c>
      <c r="C1869" t="str">
        <f t="shared" si="108"/>
        <v>SAB</v>
      </c>
      <c r="D1869" t="str">
        <f t="shared" si="109"/>
        <v>Sábado</v>
      </c>
    </row>
    <row r="1870" spans="1:4" x14ac:dyDescent="0.25">
      <c r="A1870" s="88" t="str">
        <f t="shared" si="107"/>
        <v>2-2028</v>
      </c>
      <c r="B1870" s="86">
        <v>46796</v>
      </c>
      <c r="C1870" t="str">
        <f t="shared" si="108"/>
        <v>DOM</v>
      </c>
      <c r="D1870" t="str">
        <f t="shared" si="109"/>
        <v>Domingo</v>
      </c>
    </row>
    <row r="1871" spans="1:4" x14ac:dyDescent="0.25">
      <c r="A1871" s="88" t="str">
        <f t="shared" si="107"/>
        <v>2-2028</v>
      </c>
      <c r="B1871" s="86">
        <v>46797</v>
      </c>
      <c r="C1871" t="str">
        <f t="shared" si="108"/>
        <v>L-V</v>
      </c>
      <c r="D1871" t="str">
        <f t="shared" si="109"/>
        <v>Lunes</v>
      </c>
    </row>
    <row r="1872" spans="1:4" x14ac:dyDescent="0.25">
      <c r="A1872" s="88" t="str">
        <f t="shared" si="107"/>
        <v>2-2028</v>
      </c>
      <c r="B1872" s="86">
        <v>46798</v>
      </c>
      <c r="C1872" t="str">
        <f t="shared" si="108"/>
        <v>L-V</v>
      </c>
      <c r="D1872" t="str">
        <f t="shared" si="109"/>
        <v>Martes</v>
      </c>
    </row>
    <row r="1873" spans="1:4" x14ac:dyDescent="0.25">
      <c r="A1873" s="88" t="str">
        <f t="shared" si="107"/>
        <v>2-2028</v>
      </c>
      <c r="B1873" s="86">
        <v>46799</v>
      </c>
      <c r="C1873" t="str">
        <f t="shared" si="108"/>
        <v>L-V</v>
      </c>
      <c r="D1873" t="str">
        <f t="shared" si="109"/>
        <v>Miércoles</v>
      </c>
    </row>
    <row r="1874" spans="1:4" x14ac:dyDescent="0.25">
      <c r="A1874" s="88" t="str">
        <f t="shared" si="107"/>
        <v>2-2028</v>
      </c>
      <c r="B1874" s="86">
        <v>46800</v>
      </c>
      <c r="C1874" t="str">
        <f t="shared" si="108"/>
        <v>L-V</v>
      </c>
      <c r="D1874" t="str">
        <f t="shared" si="109"/>
        <v>Jueves</v>
      </c>
    </row>
    <row r="1875" spans="1:4" x14ac:dyDescent="0.25">
      <c r="A1875" s="88" t="str">
        <f t="shared" si="107"/>
        <v>2-2028</v>
      </c>
      <c r="B1875" s="86">
        <v>46801</v>
      </c>
      <c r="C1875" t="str">
        <f t="shared" si="108"/>
        <v>L-V</v>
      </c>
      <c r="D1875" t="str">
        <f t="shared" si="109"/>
        <v>Viernes</v>
      </c>
    </row>
    <row r="1876" spans="1:4" x14ac:dyDescent="0.25">
      <c r="A1876" s="88" t="str">
        <f t="shared" si="107"/>
        <v>2-2028</v>
      </c>
      <c r="B1876" s="86">
        <v>46802</v>
      </c>
      <c r="C1876" t="str">
        <f t="shared" si="108"/>
        <v>SAB</v>
      </c>
      <c r="D1876" t="str">
        <f t="shared" si="109"/>
        <v>Sábado</v>
      </c>
    </row>
    <row r="1877" spans="1:4" x14ac:dyDescent="0.25">
      <c r="A1877" s="88" t="str">
        <f t="shared" si="107"/>
        <v>2-2028</v>
      </c>
      <c r="B1877" s="86">
        <v>46803</v>
      </c>
      <c r="C1877" t="str">
        <f t="shared" si="108"/>
        <v>DOM</v>
      </c>
      <c r="D1877" t="str">
        <f t="shared" si="109"/>
        <v>Domingo</v>
      </c>
    </row>
    <row r="1878" spans="1:4" x14ac:dyDescent="0.25">
      <c r="A1878" s="88" t="str">
        <f t="shared" si="107"/>
        <v>2-2028</v>
      </c>
      <c r="B1878" s="86">
        <v>46804</v>
      </c>
      <c r="C1878" t="str">
        <f t="shared" si="108"/>
        <v>L-V</v>
      </c>
      <c r="D1878" t="str">
        <f t="shared" si="109"/>
        <v>Lunes</v>
      </c>
    </row>
    <row r="1879" spans="1:4" x14ac:dyDescent="0.25">
      <c r="A1879" s="88" t="str">
        <f t="shared" si="107"/>
        <v>2-2028</v>
      </c>
      <c r="B1879" s="86">
        <v>46805</v>
      </c>
      <c r="C1879" t="str">
        <f t="shared" si="108"/>
        <v>L-V</v>
      </c>
      <c r="D1879" t="str">
        <f t="shared" si="109"/>
        <v>Martes</v>
      </c>
    </row>
    <row r="1880" spans="1:4" x14ac:dyDescent="0.25">
      <c r="A1880" s="88" t="str">
        <f t="shared" si="107"/>
        <v>2-2028</v>
      </c>
      <c r="B1880" s="86">
        <v>46806</v>
      </c>
      <c r="C1880" t="str">
        <f t="shared" si="108"/>
        <v>L-V</v>
      </c>
      <c r="D1880" t="str">
        <f t="shared" si="109"/>
        <v>Miércoles</v>
      </c>
    </row>
    <row r="1881" spans="1:4" x14ac:dyDescent="0.25">
      <c r="A1881" s="88" t="str">
        <f t="shared" si="107"/>
        <v>2-2028</v>
      </c>
      <c r="B1881" s="86">
        <v>46807</v>
      </c>
      <c r="C1881" t="str">
        <f t="shared" si="108"/>
        <v>L-V</v>
      </c>
      <c r="D1881" t="str">
        <f t="shared" si="109"/>
        <v>Jueves</v>
      </c>
    </row>
    <row r="1882" spans="1:4" x14ac:dyDescent="0.25">
      <c r="A1882" s="88" t="str">
        <f t="shared" si="107"/>
        <v>2-2028</v>
      </c>
      <c r="B1882" s="86">
        <v>46808</v>
      </c>
      <c r="C1882" t="str">
        <f t="shared" si="108"/>
        <v>L-V</v>
      </c>
      <c r="D1882" t="str">
        <f t="shared" si="109"/>
        <v>Viernes</v>
      </c>
    </row>
    <row r="1883" spans="1:4" x14ac:dyDescent="0.25">
      <c r="A1883" s="88" t="str">
        <f t="shared" si="107"/>
        <v>2-2028</v>
      </c>
      <c r="B1883" s="86">
        <v>46809</v>
      </c>
      <c r="C1883" t="str">
        <f t="shared" si="108"/>
        <v>SAB</v>
      </c>
      <c r="D1883" t="str">
        <f t="shared" si="109"/>
        <v>Sábado</v>
      </c>
    </row>
    <row r="1884" spans="1:4" x14ac:dyDescent="0.25">
      <c r="A1884" s="88" t="str">
        <f t="shared" si="107"/>
        <v>2-2028</v>
      </c>
      <c r="B1884" s="86">
        <v>46810</v>
      </c>
      <c r="C1884" t="str">
        <f t="shared" si="108"/>
        <v>DOM</v>
      </c>
      <c r="D1884" t="str">
        <f t="shared" si="109"/>
        <v>Domingo</v>
      </c>
    </row>
    <row r="1885" spans="1:4" x14ac:dyDescent="0.25">
      <c r="A1885" s="88" t="str">
        <f t="shared" si="107"/>
        <v>2-2028</v>
      </c>
      <c r="B1885" s="86">
        <v>46811</v>
      </c>
      <c r="C1885" t="str">
        <f t="shared" si="108"/>
        <v>L-V</v>
      </c>
      <c r="D1885" t="str">
        <f t="shared" si="109"/>
        <v>Lunes</v>
      </c>
    </row>
    <row r="1886" spans="1:4" x14ac:dyDescent="0.25">
      <c r="A1886" s="88" t="str">
        <f t="shared" si="107"/>
        <v>2-2028</v>
      </c>
      <c r="B1886" s="86">
        <v>46812</v>
      </c>
      <c r="C1886" t="str">
        <f t="shared" si="108"/>
        <v>L-V</v>
      </c>
      <c r="D1886" t="str">
        <f t="shared" si="109"/>
        <v>Martes</v>
      </c>
    </row>
    <row r="1887" spans="1:4" x14ac:dyDescent="0.25">
      <c r="A1887" s="88" t="str">
        <f t="shared" si="107"/>
        <v>3-2028</v>
      </c>
      <c r="B1887" s="86">
        <v>46813</v>
      </c>
      <c r="C1887" t="str">
        <f t="shared" si="108"/>
        <v>L-V</v>
      </c>
      <c r="D1887" t="str">
        <f t="shared" si="109"/>
        <v>Miércoles</v>
      </c>
    </row>
    <row r="1888" spans="1:4" x14ac:dyDescent="0.25">
      <c r="A1888" s="88" t="str">
        <f t="shared" si="107"/>
        <v>3-2028</v>
      </c>
      <c r="B1888" s="86">
        <v>46814</v>
      </c>
      <c r="C1888" t="str">
        <f t="shared" si="108"/>
        <v>L-V</v>
      </c>
      <c r="D1888" t="str">
        <f t="shared" si="109"/>
        <v>Jueves</v>
      </c>
    </row>
    <row r="1889" spans="1:4" x14ac:dyDescent="0.25">
      <c r="A1889" s="88" t="str">
        <f t="shared" si="107"/>
        <v>3-2028</v>
      </c>
      <c r="B1889" s="86">
        <v>46815</v>
      </c>
      <c r="C1889" t="str">
        <f t="shared" si="108"/>
        <v>L-V</v>
      </c>
      <c r="D1889" t="str">
        <f t="shared" si="109"/>
        <v>Viernes</v>
      </c>
    </row>
    <row r="1890" spans="1:4" x14ac:dyDescent="0.25">
      <c r="A1890" s="88" t="str">
        <f t="shared" si="107"/>
        <v>3-2028</v>
      </c>
      <c r="B1890" s="86">
        <v>46816</v>
      </c>
      <c r="C1890" t="str">
        <f t="shared" si="108"/>
        <v>SAB</v>
      </c>
      <c r="D1890" t="str">
        <f t="shared" si="109"/>
        <v>Sábado</v>
      </c>
    </row>
    <row r="1891" spans="1:4" x14ac:dyDescent="0.25">
      <c r="A1891" s="88" t="str">
        <f t="shared" si="107"/>
        <v>3-2028</v>
      </c>
      <c r="B1891" s="86">
        <v>46817</v>
      </c>
      <c r="C1891" t="str">
        <f t="shared" si="108"/>
        <v>DOM</v>
      </c>
      <c r="D1891" t="str">
        <f t="shared" si="109"/>
        <v>Domingo</v>
      </c>
    </row>
    <row r="1892" spans="1:4" x14ac:dyDescent="0.25">
      <c r="A1892" s="88" t="str">
        <f t="shared" si="107"/>
        <v>3-2028</v>
      </c>
      <c r="B1892" s="86">
        <v>46818</v>
      </c>
      <c r="C1892" t="str">
        <f t="shared" si="108"/>
        <v>L-V</v>
      </c>
      <c r="D1892" t="str">
        <f t="shared" si="109"/>
        <v>Lunes</v>
      </c>
    </row>
    <row r="1893" spans="1:4" x14ac:dyDescent="0.25">
      <c r="A1893" s="88" t="str">
        <f t="shared" si="107"/>
        <v>3-2028</v>
      </c>
      <c r="B1893" s="86">
        <v>46819</v>
      </c>
      <c r="C1893" t="str">
        <f t="shared" si="108"/>
        <v>L-V</v>
      </c>
      <c r="D1893" t="str">
        <f t="shared" si="109"/>
        <v>Martes</v>
      </c>
    </row>
    <row r="1894" spans="1:4" x14ac:dyDescent="0.25">
      <c r="A1894" s="88" t="str">
        <f t="shared" si="107"/>
        <v>3-2028</v>
      </c>
      <c r="B1894" s="86">
        <v>46820</v>
      </c>
      <c r="C1894" t="str">
        <f t="shared" si="108"/>
        <v>L-V</v>
      </c>
      <c r="D1894" t="str">
        <f t="shared" si="109"/>
        <v>Miércoles</v>
      </c>
    </row>
    <row r="1895" spans="1:4" x14ac:dyDescent="0.25">
      <c r="A1895" s="88" t="str">
        <f t="shared" si="107"/>
        <v>3-2028</v>
      </c>
      <c r="B1895" s="86">
        <v>46821</v>
      </c>
      <c r="C1895" t="str">
        <f t="shared" si="108"/>
        <v>L-V</v>
      </c>
      <c r="D1895" t="str">
        <f t="shared" si="109"/>
        <v>Jueves</v>
      </c>
    </row>
    <row r="1896" spans="1:4" x14ac:dyDescent="0.25">
      <c r="A1896" s="88" t="str">
        <f t="shared" si="107"/>
        <v>3-2028</v>
      </c>
      <c r="B1896" s="86">
        <v>46822</v>
      </c>
      <c r="C1896" t="str">
        <f t="shared" si="108"/>
        <v>L-V</v>
      </c>
      <c r="D1896" t="str">
        <f t="shared" si="109"/>
        <v>Viernes</v>
      </c>
    </row>
    <row r="1897" spans="1:4" x14ac:dyDescent="0.25">
      <c r="A1897" s="88" t="str">
        <f t="shared" si="107"/>
        <v>3-2028</v>
      </c>
      <c r="B1897" s="86">
        <v>46823</v>
      </c>
      <c r="C1897" t="str">
        <f t="shared" si="108"/>
        <v>SAB</v>
      </c>
      <c r="D1897" t="str">
        <f t="shared" si="109"/>
        <v>Sábado</v>
      </c>
    </row>
    <row r="1898" spans="1:4" x14ac:dyDescent="0.25">
      <c r="A1898" s="88" t="str">
        <f t="shared" si="107"/>
        <v>3-2028</v>
      </c>
      <c r="B1898" s="86">
        <v>46824</v>
      </c>
      <c r="C1898" t="str">
        <f t="shared" si="108"/>
        <v>DOM</v>
      </c>
      <c r="D1898" t="str">
        <f t="shared" si="109"/>
        <v>Domingo</v>
      </c>
    </row>
    <row r="1899" spans="1:4" x14ac:dyDescent="0.25">
      <c r="A1899" s="88" t="str">
        <f t="shared" si="107"/>
        <v>3-2028</v>
      </c>
      <c r="B1899" s="86">
        <v>46825</v>
      </c>
      <c r="C1899" t="str">
        <f t="shared" si="108"/>
        <v>L-V</v>
      </c>
      <c r="D1899" t="str">
        <f t="shared" si="109"/>
        <v>Lunes</v>
      </c>
    </row>
    <row r="1900" spans="1:4" x14ac:dyDescent="0.25">
      <c r="A1900" s="88" t="str">
        <f t="shared" si="107"/>
        <v>3-2028</v>
      </c>
      <c r="B1900" s="86">
        <v>46826</v>
      </c>
      <c r="C1900" t="str">
        <f t="shared" si="108"/>
        <v>L-V</v>
      </c>
      <c r="D1900" t="str">
        <f t="shared" si="109"/>
        <v>Martes</v>
      </c>
    </row>
    <row r="1901" spans="1:4" x14ac:dyDescent="0.25">
      <c r="A1901" s="88" t="str">
        <f t="shared" si="107"/>
        <v>3-2028</v>
      </c>
      <c r="B1901" s="86">
        <v>46827</v>
      </c>
      <c r="C1901" t="str">
        <f t="shared" si="108"/>
        <v>L-V</v>
      </c>
      <c r="D1901" t="str">
        <f t="shared" si="109"/>
        <v>Miércoles</v>
      </c>
    </row>
    <row r="1902" spans="1:4" x14ac:dyDescent="0.25">
      <c r="A1902" s="88" t="str">
        <f t="shared" si="107"/>
        <v>3-2028</v>
      </c>
      <c r="B1902" s="86">
        <v>46828</v>
      </c>
      <c r="C1902" t="str">
        <f t="shared" si="108"/>
        <v>L-V</v>
      </c>
      <c r="D1902" t="str">
        <f t="shared" si="109"/>
        <v>Jueves</v>
      </c>
    </row>
    <row r="1903" spans="1:4" x14ac:dyDescent="0.25">
      <c r="A1903" s="88" t="str">
        <f t="shared" si="107"/>
        <v>3-2028</v>
      </c>
      <c r="B1903" s="86">
        <v>46829</v>
      </c>
      <c r="C1903" t="str">
        <f t="shared" si="108"/>
        <v>L-V</v>
      </c>
      <c r="D1903" t="str">
        <f t="shared" si="109"/>
        <v>Viernes</v>
      </c>
    </row>
    <row r="1904" spans="1:4" x14ac:dyDescent="0.25">
      <c r="A1904" s="88" t="str">
        <f t="shared" si="107"/>
        <v>3-2028</v>
      </c>
      <c r="B1904" s="86">
        <v>46830</v>
      </c>
      <c r="C1904" t="str">
        <f t="shared" si="108"/>
        <v>SAB</v>
      </c>
      <c r="D1904" t="str">
        <f t="shared" si="109"/>
        <v>Sábado</v>
      </c>
    </row>
    <row r="1905" spans="1:4" x14ac:dyDescent="0.25">
      <c r="A1905" s="88" t="str">
        <f t="shared" si="107"/>
        <v>3-2028</v>
      </c>
      <c r="B1905" s="86">
        <v>46831</v>
      </c>
      <c r="C1905" t="str">
        <f t="shared" si="108"/>
        <v>DOM</v>
      </c>
      <c r="D1905" t="str">
        <f t="shared" si="109"/>
        <v>Domingo</v>
      </c>
    </row>
    <row r="1906" spans="1:4" x14ac:dyDescent="0.25">
      <c r="A1906" s="88" t="str">
        <f t="shared" si="107"/>
        <v>3-2028</v>
      </c>
      <c r="B1906" s="86">
        <v>46832</v>
      </c>
      <c r="C1906" t="str">
        <f t="shared" si="108"/>
        <v>L-V</v>
      </c>
      <c r="D1906" t="str">
        <f t="shared" si="109"/>
        <v>Lunes</v>
      </c>
    </row>
    <row r="1907" spans="1:4" x14ac:dyDescent="0.25">
      <c r="A1907" s="88" t="str">
        <f t="shared" si="107"/>
        <v>3-2028</v>
      </c>
      <c r="B1907" s="86">
        <v>46833</v>
      </c>
      <c r="C1907" t="str">
        <f t="shared" si="108"/>
        <v>L-V</v>
      </c>
      <c r="D1907" t="str">
        <f t="shared" si="109"/>
        <v>Martes</v>
      </c>
    </row>
    <row r="1908" spans="1:4" x14ac:dyDescent="0.25">
      <c r="A1908" s="88" t="str">
        <f t="shared" si="107"/>
        <v>3-2028</v>
      </c>
      <c r="B1908" s="86">
        <v>46834</v>
      </c>
      <c r="C1908" t="str">
        <f t="shared" si="108"/>
        <v>L-V</v>
      </c>
      <c r="D1908" t="str">
        <f t="shared" si="109"/>
        <v>Miércoles</v>
      </c>
    </row>
    <row r="1909" spans="1:4" x14ac:dyDescent="0.25">
      <c r="A1909" s="88" t="str">
        <f t="shared" si="107"/>
        <v>3-2028</v>
      </c>
      <c r="B1909" s="86">
        <v>46835</v>
      </c>
      <c r="C1909" t="str">
        <f t="shared" si="108"/>
        <v>L-V</v>
      </c>
      <c r="D1909" t="str">
        <f t="shared" si="109"/>
        <v>Jueves</v>
      </c>
    </row>
    <row r="1910" spans="1:4" x14ac:dyDescent="0.25">
      <c r="A1910" s="88" t="str">
        <f t="shared" si="107"/>
        <v>3-2028</v>
      </c>
      <c r="B1910" s="86">
        <v>46836</v>
      </c>
      <c r="C1910" t="str">
        <f t="shared" si="108"/>
        <v>L-V</v>
      </c>
      <c r="D1910" t="str">
        <f t="shared" si="109"/>
        <v>Viernes</v>
      </c>
    </row>
    <row r="1911" spans="1:4" x14ac:dyDescent="0.25">
      <c r="A1911" s="88" t="str">
        <f t="shared" si="107"/>
        <v>3-2028</v>
      </c>
      <c r="B1911" s="86">
        <v>46837</v>
      </c>
      <c r="C1911" t="str">
        <f t="shared" si="108"/>
        <v>SAB</v>
      </c>
      <c r="D1911" t="str">
        <f t="shared" si="109"/>
        <v>Sábado</v>
      </c>
    </row>
    <row r="1912" spans="1:4" x14ac:dyDescent="0.25">
      <c r="A1912" s="88" t="str">
        <f t="shared" si="107"/>
        <v>3-2028</v>
      </c>
      <c r="B1912" s="86">
        <v>46838</v>
      </c>
      <c r="C1912" t="str">
        <f t="shared" si="108"/>
        <v>DOM</v>
      </c>
      <c r="D1912" t="str">
        <f t="shared" si="109"/>
        <v>Domingo</v>
      </c>
    </row>
    <row r="1913" spans="1:4" x14ac:dyDescent="0.25">
      <c r="A1913" s="88" t="str">
        <f t="shared" si="107"/>
        <v>3-2028</v>
      </c>
      <c r="B1913" s="86">
        <v>46839</v>
      </c>
      <c r="C1913" t="str">
        <f t="shared" si="108"/>
        <v>L-V</v>
      </c>
      <c r="D1913" t="str">
        <f t="shared" si="109"/>
        <v>Lunes</v>
      </c>
    </row>
    <row r="1914" spans="1:4" x14ac:dyDescent="0.25">
      <c r="A1914" s="88" t="str">
        <f t="shared" si="107"/>
        <v>3-2028</v>
      </c>
      <c r="B1914" s="86">
        <v>46840</v>
      </c>
      <c r="C1914" t="str">
        <f t="shared" si="108"/>
        <v>L-V</v>
      </c>
      <c r="D1914" t="str">
        <f t="shared" si="109"/>
        <v>Martes</v>
      </c>
    </row>
    <row r="1915" spans="1:4" x14ac:dyDescent="0.25">
      <c r="A1915" s="88" t="str">
        <f t="shared" si="107"/>
        <v>3-2028</v>
      </c>
      <c r="B1915" s="86">
        <v>46841</v>
      </c>
      <c r="C1915" t="str">
        <f t="shared" si="108"/>
        <v>L-V</v>
      </c>
      <c r="D1915" t="str">
        <f t="shared" si="109"/>
        <v>Miércoles</v>
      </c>
    </row>
    <row r="1916" spans="1:4" x14ac:dyDescent="0.25">
      <c r="A1916" s="88" t="str">
        <f t="shared" si="107"/>
        <v>3-2028</v>
      </c>
      <c r="B1916" s="86">
        <v>46842</v>
      </c>
      <c r="C1916" t="str">
        <f t="shared" si="108"/>
        <v>L-V</v>
      </c>
      <c r="D1916" t="str">
        <f t="shared" si="109"/>
        <v>Jueves</v>
      </c>
    </row>
    <row r="1917" spans="1:4" x14ac:dyDescent="0.25">
      <c r="A1917" s="88" t="str">
        <f t="shared" si="107"/>
        <v>3-2028</v>
      </c>
      <c r="B1917" s="86">
        <v>46843</v>
      </c>
      <c r="C1917" t="str">
        <f t="shared" si="108"/>
        <v>L-V</v>
      </c>
      <c r="D1917" t="str">
        <f t="shared" si="109"/>
        <v>Viernes</v>
      </c>
    </row>
    <row r="1918" spans="1:4" x14ac:dyDescent="0.25">
      <c r="A1918" s="88" t="str">
        <f t="shared" si="107"/>
        <v>4-2028</v>
      </c>
      <c r="B1918" s="86">
        <v>46844</v>
      </c>
      <c r="C1918" t="str">
        <f t="shared" si="108"/>
        <v>SAB</v>
      </c>
      <c r="D1918" t="str">
        <f t="shared" si="109"/>
        <v>Sábado</v>
      </c>
    </row>
    <row r="1919" spans="1:4" x14ac:dyDescent="0.25">
      <c r="A1919" s="88" t="str">
        <f t="shared" si="107"/>
        <v>4-2028</v>
      </c>
      <c r="B1919" s="86">
        <v>46845</v>
      </c>
      <c r="C1919" t="str">
        <f t="shared" si="108"/>
        <v>DOM</v>
      </c>
      <c r="D1919" t="str">
        <f t="shared" si="109"/>
        <v>Domingo</v>
      </c>
    </row>
    <row r="1920" spans="1:4" x14ac:dyDescent="0.25">
      <c r="A1920" s="88" t="str">
        <f t="shared" si="107"/>
        <v>4-2028</v>
      </c>
      <c r="B1920" s="86">
        <v>46846</v>
      </c>
      <c r="C1920" t="str">
        <f t="shared" si="108"/>
        <v>L-V</v>
      </c>
      <c r="D1920" t="str">
        <f t="shared" si="109"/>
        <v>Lunes</v>
      </c>
    </row>
    <row r="1921" spans="1:4" x14ac:dyDescent="0.25">
      <c r="A1921" s="88" t="str">
        <f t="shared" si="107"/>
        <v>4-2028</v>
      </c>
      <c r="B1921" s="86">
        <v>46847</v>
      </c>
      <c r="C1921" t="str">
        <f t="shared" si="108"/>
        <v>L-V</v>
      </c>
      <c r="D1921" t="str">
        <f t="shared" si="109"/>
        <v>Martes</v>
      </c>
    </row>
    <row r="1922" spans="1:4" x14ac:dyDescent="0.25">
      <c r="A1922" s="88" t="str">
        <f t="shared" ref="A1922:A1985" si="110">MONTH(B1922)&amp;"-"&amp;YEAR(B1922)</f>
        <v>4-2028</v>
      </c>
      <c r="B1922" s="86">
        <v>46848</v>
      </c>
      <c r="C1922" t="str">
        <f t="shared" si="108"/>
        <v>L-V</v>
      </c>
      <c r="D1922" t="str">
        <f t="shared" si="109"/>
        <v>Miércoles</v>
      </c>
    </row>
    <row r="1923" spans="1:4" x14ac:dyDescent="0.25">
      <c r="A1923" s="88" t="str">
        <f t="shared" si="110"/>
        <v>4-2028</v>
      </c>
      <c r="B1923" s="86">
        <v>46849</v>
      </c>
      <c r="C1923" t="str">
        <f t="shared" ref="C1923:C1986" si="111">VLOOKUP(WEEKDAY(B1923,2),$F$1:$H$7,2)</f>
        <v>L-V</v>
      </c>
      <c r="D1923" t="str">
        <f t="shared" ref="D1923:D1986" si="112">VLOOKUP(WEEKDAY($B1923,2),$F$1:$H$7,3)</f>
        <v>Jueves</v>
      </c>
    </row>
    <row r="1924" spans="1:4" x14ac:dyDescent="0.25">
      <c r="A1924" s="88" t="str">
        <f t="shared" si="110"/>
        <v>4-2028</v>
      </c>
      <c r="B1924" s="86">
        <v>46850</v>
      </c>
      <c r="C1924" t="str">
        <f t="shared" si="111"/>
        <v>L-V</v>
      </c>
      <c r="D1924" t="str">
        <f t="shared" si="112"/>
        <v>Viernes</v>
      </c>
    </row>
    <row r="1925" spans="1:4" x14ac:dyDescent="0.25">
      <c r="A1925" s="88" t="str">
        <f t="shared" si="110"/>
        <v>4-2028</v>
      </c>
      <c r="B1925" s="86">
        <v>46851</v>
      </c>
      <c r="C1925" t="str">
        <f t="shared" si="111"/>
        <v>SAB</v>
      </c>
      <c r="D1925" t="str">
        <f t="shared" si="112"/>
        <v>Sábado</v>
      </c>
    </row>
    <row r="1926" spans="1:4" x14ac:dyDescent="0.25">
      <c r="A1926" s="88" t="str">
        <f t="shared" si="110"/>
        <v>4-2028</v>
      </c>
      <c r="B1926" s="86">
        <v>46852</v>
      </c>
      <c r="C1926" t="str">
        <f t="shared" si="111"/>
        <v>DOM</v>
      </c>
      <c r="D1926" t="str">
        <f t="shared" si="112"/>
        <v>Domingo</v>
      </c>
    </row>
    <row r="1927" spans="1:4" x14ac:dyDescent="0.25">
      <c r="A1927" s="88" t="str">
        <f t="shared" si="110"/>
        <v>4-2028</v>
      </c>
      <c r="B1927" s="86">
        <v>46853</v>
      </c>
      <c r="C1927" t="str">
        <f t="shared" si="111"/>
        <v>L-V</v>
      </c>
      <c r="D1927" t="str">
        <f t="shared" si="112"/>
        <v>Lunes</v>
      </c>
    </row>
    <row r="1928" spans="1:4" x14ac:dyDescent="0.25">
      <c r="A1928" s="88" t="str">
        <f t="shared" si="110"/>
        <v>4-2028</v>
      </c>
      <c r="B1928" s="86">
        <v>46854</v>
      </c>
      <c r="C1928" t="str">
        <f t="shared" si="111"/>
        <v>L-V</v>
      </c>
      <c r="D1928" t="str">
        <f t="shared" si="112"/>
        <v>Martes</v>
      </c>
    </row>
    <row r="1929" spans="1:4" x14ac:dyDescent="0.25">
      <c r="A1929" s="88" t="str">
        <f t="shared" si="110"/>
        <v>4-2028</v>
      </c>
      <c r="B1929" s="86">
        <v>46855</v>
      </c>
      <c r="C1929" t="str">
        <f t="shared" si="111"/>
        <v>L-V</v>
      </c>
      <c r="D1929" t="str">
        <f t="shared" si="112"/>
        <v>Miércoles</v>
      </c>
    </row>
    <row r="1930" spans="1:4" x14ac:dyDescent="0.25">
      <c r="A1930" s="88" t="str">
        <f t="shared" si="110"/>
        <v>4-2028</v>
      </c>
      <c r="B1930" s="86">
        <v>46856</v>
      </c>
      <c r="C1930" t="str">
        <f t="shared" si="111"/>
        <v>L-V</v>
      </c>
      <c r="D1930" t="str">
        <f t="shared" si="112"/>
        <v>Jueves</v>
      </c>
    </row>
    <row r="1931" spans="1:4" x14ac:dyDescent="0.25">
      <c r="A1931" s="88" t="str">
        <f t="shared" si="110"/>
        <v>4-2028</v>
      </c>
      <c r="B1931" s="86">
        <v>46857</v>
      </c>
      <c r="C1931" t="str">
        <f t="shared" si="111"/>
        <v>L-V</v>
      </c>
      <c r="D1931" t="str">
        <f t="shared" si="112"/>
        <v>Viernes</v>
      </c>
    </row>
    <row r="1932" spans="1:4" x14ac:dyDescent="0.25">
      <c r="A1932" s="88" t="str">
        <f t="shared" si="110"/>
        <v>4-2028</v>
      </c>
      <c r="B1932" s="86">
        <v>46858</v>
      </c>
      <c r="C1932" t="str">
        <f t="shared" si="111"/>
        <v>SAB</v>
      </c>
      <c r="D1932" t="str">
        <f t="shared" si="112"/>
        <v>Sábado</v>
      </c>
    </row>
    <row r="1933" spans="1:4" x14ac:dyDescent="0.25">
      <c r="A1933" s="88" t="str">
        <f t="shared" si="110"/>
        <v>4-2028</v>
      </c>
      <c r="B1933" s="86">
        <v>46859</v>
      </c>
      <c r="C1933" t="str">
        <f t="shared" si="111"/>
        <v>DOM</v>
      </c>
      <c r="D1933" t="str">
        <f t="shared" si="112"/>
        <v>Domingo</v>
      </c>
    </row>
    <row r="1934" spans="1:4" x14ac:dyDescent="0.25">
      <c r="A1934" s="88" t="str">
        <f t="shared" si="110"/>
        <v>4-2028</v>
      </c>
      <c r="B1934" s="86">
        <v>46860</v>
      </c>
      <c r="C1934" t="str">
        <f t="shared" si="111"/>
        <v>L-V</v>
      </c>
      <c r="D1934" t="str">
        <f t="shared" si="112"/>
        <v>Lunes</v>
      </c>
    </row>
    <row r="1935" spans="1:4" x14ac:dyDescent="0.25">
      <c r="A1935" s="88" t="str">
        <f t="shared" si="110"/>
        <v>4-2028</v>
      </c>
      <c r="B1935" s="86">
        <v>46861</v>
      </c>
      <c r="C1935" t="str">
        <f t="shared" si="111"/>
        <v>L-V</v>
      </c>
      <c r="D1935" t="str">
        <f t="shared" si="112"/>
        <v>Martes</v>
      </c>
    </row>
    <row r="1936" spans="1:4" x14ac:dyDescent="0.25">
      <c r="A1936" s="88" t="str">
        <f t="shared" si="110"/>
        <v>4-2028</v>
      </c>
      <c r="B1936" s="86">
        <v>46862</v>
      </c>
      <c r="C1936" t="str">
        <f t="shared" si="111"/>
        <v>L-V</v>
      </c>
      <c r="D1936" t="str">
        <f t="shared" si="112"/>
        <v>Miércoles</v>
      </c>
    </row>
    <row r="1937" spans="1:4" x14ac:dyDescent="0.25">
      <c r="A1937" s="88" t="str">
        <f t="shared" si="110"/>
        <v>4-2028</v>
      </c>
      <c r="B1937" s="86">
        <v>46863</v>
      </c>
      <c r="C1937" t="str">
        <f t="shared" si="111"/>
        <v>L-V</v>
      </c>
      <c r="D1937" t="str">
        <f t="shared" si="112"/>
        <v>Jueves</v>
      </c>
    </row>
    <row r="1938" spans="1:4" x14ac:dyDescent="0.25">
      <c r="A1938" s="88" t="str">
        <f t="shared" si="110"/>
        <v>4-2028</v>
      </c>
      <c r="B1938" s="86">
        <v>46864</v>
      </c>
      <c r="C1938" t="str">
        <f t="shared" si="111"/>
        <v>L-V</v>
      </c>
      <c r="D1938" t="str">
        <f t="shared" si="112"/>
        <v>Viernes</v>
      </c>
    </row>
    <row r="1939" spans="1:4" x14ac:dyDescent="0.25">
      <c r="A1939" s="88" t="str">
        <f t="shared" si="110"/>
        <v>4-2028</v>
      </c>
      <c r="B1939" s="86">
        <v>46865</v>
      </c>
      <c r="C1939" t="str">
        <f t="shared" si="111"/>
        <v>SAB</v>
      </c>
      <c r="D1939" t="str">
        <f t="shared" si="112"/>
        <v>Sábado</v>
      </c>
    </row>
    <row r="1940" spans="1:4" x14ac:dyDescent="0.25">
      <c r="A1940" s="88" t="str">
        <f t="shared" si="110"/>
        <v>4-2028</v>
      </c>
      <c r="B1940" s="86">
        <v>46866</v>
      </c>
      <c r="C1940" t="str">
        <f t="shared" si="111"/>
        <v>DOM</v>
      </c>
      <c r="D1940" t="str">
        <f t="shared" si="112"/>
        <v>Domingo</v>
      </c>
    </row>
    <row r="1941" spans="1:4" x14ac:dyDescent="0.25">
      <c r="A1941" s="88" t="str">
        <f t="shared" si="110"/>
        <v>4-2028</v>
      </c>
      <c r="B1941" s="86">
        <v>46867</v>
      </c>
      <c r="C1941" t="str">
        <f t="shared" si="111"/>
        <v>L-V</v>
      </c>
      <c r="D1941" t="str">
        <f t="shared" si="112"/>
        <v>Lunes</v>
      </c>
    </row>
    <row r="1942" spans="1:4" x14ac:dyDescent="0.25">
      <c r="A1942" s="88" t="str">
        <f t="shared" si="110"/>
        <v>4-2028</v>
      </c>
      <c r="B1942" s="86">
        <v>46868</v>
      </c>
      <c r="C1942" t="str">
        <f t="shared" si="111"/>
        <v>L-V</v>
      </c>
      <c r="D1942" t="str">
        <f t="shared" si="112"/>
        <v>Martes</v>
      </c>
    </row>
    <row r="1943" spans="1:4" x14ac:dyDescent="0.25">
      <c r="A1943" s="88" t="str">
        <f t="shared" si="110"/>
        <v>4-2028</v>
      </c>
      <c r="B1943" s="86">
        <v>46869</v>
      </c>
      <c r="C1943" t="str">
        <f t="shared" si="111"/>
        <v>L-V</v>
      </c>
      <c r="D1943" t="str">
        <f t="shared" si="112"/>
        <v>Miércoles</v>
      </c>
    </row>
    <row r="1944" spans="1:4" x14ac:dyDescent="0.25">
      <c r="A1944" s="88" t="str">
        <f t="shared" si="110"/>
        <v>4-2028</v>
      </c>
      <c r="B1944" s="86">
        <v>46870</v>
      </c>
      <c r="C1944" t="str">
        <f t="shared" si="111"/>
        <v>L-V</v>
      </c>
      <c r="D1944" t="str">
        <f t="shared" si="112"/>
        <v>Jueves</v>
      </c>
    </row>
    <row r="1945" spans="1:4" x14ac:dyDescent="0.25">
      <c r="A1945" s="88" t="str">
        <f t="shared" si="110"/>
        <v>4-2028</v>
      </c>
      <c r="B1945" s="86">
        <v>46871</v>
      </c>
      <c r="C1945" t="str">
        <f t="shared" si="111"/>
        <v>L-V</v>
      </c>
      <c r="D1945" t="str">
        <f t="shared" si="112"/>
        <v>Viernes</v>
      </c>
    </row>
    <row r="1946" spans="1:4" x14ac:dyDescent="0.25">
      <c r="A1946" s="88" t="str">
        <f t="shared" si="110"/>
        <v>4-2028</v>
      </c>
      <c r="B1946" s="86">
        <v>46872</v>
      </c>
      <c r="C1946" t="str">
        <f t="shared" si="111"/>
        <v>SAB</v>
      </c>
      <c r="D1946" t="str">
        <f t="shared" si="112"/>
        <v>Sábado</v>
      </c>
    </row>
    <row r="1947" spans="1:4" x14ac:dyDescent="0.25">
      <c r="A1947" s="88" t="str">
        <f t="shared" si="110"/>
        <v>4-2028</v>
      </c>
      <c r="B1947" s="86">
        <v>46873</v>
      </c>
      <c r="C1947" t="str">
        <f t="shared" si="111"/>
        <v>DOM</v>
      </c>
      <c r="D1947" t="str">
        <f t="shared" si="112"/>
        <v>Domingo</v>
      </c>
    </row>
    <row r="1948" spans="1:4" x14ac:dyDescent="0.25">
      <c r="A1948" s="88" t="str">
        <f t="shared" si="110"/>
        <v>5-2028</v>
      </c>
      <c r="B1948" s="86">
        <v>46874</v>
      </c>
      <c r="C1948" t="str">
        <f t="shared" si="111"/>
        <v>L-V</v>
      </c>
      <c r="D1948" t="str">
        <f t="shared" si="112"/>
        <v>Lunes</v>
      </c>
    </row>
    <row r="1949" spans="1:4" x14ac:dyDescent="0.25">
      <c r="A1949" s="88" t="str">
        <f t="shared" si="110"/>
        <v>5-2028</v>
      </c>
      <c r="B1949" s="86">
        <v>46875</v>
      </c>
      <c r="C1949" t="str">
        <f t="shared" si="111"/>
        <v>L-V</v>
      </c>
      <c r="D1949" t="str">
        <f t="shared" si="112"/>
        <v>Martes</v>
      </c>
    </row>
    <row r="1950" spans="1:4" x14ac:dyDescent="0.25">
      <c r="A1950" s="88" t="str">
        <f t="shared" si="110"/>
        <v>5-2028</v>
      </c>
      <c r="B1950" s="86">
        <v>46876</v>
      </c>
      <c r="C1950" t="str">
        <f t="shared" si="111"/>
        <v>L-V</v>
      </c>
      <c r="D1950" t="str">
        <f t="shared" si="112"/>
        <v>Miércoles</v>
      </c>
    </row>
    <row r="1951" spans="1:4" x14ac:dyDescent="0.25">
      <c r="A1951" s="88" t="str">
        <f t="shared" si="110"/>
        <v>5-2028</v>
      </c>
      <c r="B1951" s="86">
        <v>46877</v>
      </c>
      <c r="C1951" t="str">
        <f t="shared" si="111"/>
        <v>L-V</v>
      </c>
      <c r="D1951" t="str">
        <f t="shared" si="112"/>
        <v>Jueves</v>
      </c>
    </row>
    <row r="1952" spans="1:4" x14ac:dyDescent="0.25">
      <c r="A1952" s="88" t="str">
        <f t="shared" si="110"/>
        <v>5-2028</v>
      </c>
      <c r="B1952" s="86">
        <v>46878</v>
      </c>
      <c r="C1952" t="str">
        <f t="shared" si="111"/>
        <v>L-V</v>
      </c>
      <c r="D1952" t="str">
        <f t="shared" si="112"/>
        <v>Viernes</v>
      </c>
    </row>
    <row r="1953" spans="1:4" x14ac:dyDescent="0.25">
      <c r="A1953" s="88" t="str">
        <f t="shared" si="110"/>
        <v>5-2028</v>
      </c>
      <c r="B1953" s="86">
        <v>46879</v>
      </c>
      <c r="C1953" t="str">
        <f t="shared" si="111"/>
        <v>SAB</v>
      </c>
      <c r="D1953" t="str">
        <f t="shared" si="112"/>
        <v>Sábado</v>
      </c>
    </row>
    <row r="1954" spans="1:4" x14ac:dyDescent="0.25">
      <c r="A1954" s="88" t="str">
        <f t="shared" si="110"/>
        <v>5-2028</v>
      </c>
      <c r="B1954" s="86">
        <v>46880</v>
      </c>
      <c r="C1954" t="str">
        <f t="shared" si="111"/>
        <v>DOM</v>
      </c>
      <c r="D1954" t="str">
        <f t="shared" si="112"/>
        <v>Domingo</v>
      </c>
    </row>
    <row r="1955" spans="1:4" x14ac:dyDescent="0.25">
      <c r="A1955" s="88" t="str">
        <f t="shared" si="110"/>
        <v>5-2028</v>
      </c>
      <c r="B1955" s="86">
        <v>46881</v>
      </c>
      <c r="C1955" t="str">
        <f t="shared" si="111"/>
        <v>L-V</v>
      </c>
      <c r="D1955" t="str">
        <f t="shared" si="112"/>
        <v>Lunes</v>
      </c>
    </row>
    <row r="1956" spans="1:4" x14ac:dyDescent="0.25">
      <c r="A1956" s="88" t="str">
        <f t="shared" si="110"/>
        <v>5-2028</v>
      </c>
      <c r="B1956" s="86">
        <v>46882</v>
      </c>
      <c r="C1956" t="str">
        <f t="shared" si="111"/>
        <v>L-V</v>
      </c>
      <c r="D1956" t="str">
        <f t="shared" si="112"/>
        <v>Martes</v>
      </c>
    </row>
    <row r="1957" spans="1:4" x14ac:dyDescent="0.25">
      <c r="A1957" s="88" t="str">
        <f t="shared" si="110"/>
        <v>5-2028</v>
      </c>
      <c r="B1957" s="86">
        <v>46883</v>
      </c>
      <c r="C1957" t="str">
        <f t="shared" si="111"/>
        <v>L-V</v>
      </c>
      <c r="D1957" t="str">
        <f t="shared" si="112"/>
        <v>Miércoles</v>
      </c>
    </row>
    <row r="1958" spans="1:4" x14ac:dyDescent="0.25">
      <c r="A1958" s="88" t="str">
        <f t="shared" si="110"/>
        <v>5-2028</v>
      </c>
      <c r="B1958" s="86">
        <v>46884</v>
      </c>
      <c r="C1958" t="str">
        <f t="shared" si="111"/>
        <v>L-V</v>
      </c>
      <c r="D1958" t="str">
        <f t="shared" si="112"/>
        <v>Jueves</v>
      </c>
    </row>
    <row r="1959" spans="1:4" x14ac:dyDescent="0.25">
      <c r="A1959" s="88" t="str">
        <f t="shared" si="110"/>
        <v>5-2028</v>
      </c>
      <c r="B1959" s="86">
        <v>46885</v>
      </c>
      <c r="C1959" t="str">
        <f t="shared" si="111"/>
        <v>L-V</v>
      </c>
      <c r="D1959" t="str">
        <f t="shared" si="112"/>
        <v>Viernes</v>
      </c>
    </row>
    <row r="1960" spans="1:4" x14ac:dyDescent="0.25">
      <c r="A1960" s="88" t="str">
        <f t="shared" si="110"/>
        <v>5-2028</v>
      </c>
      <c r="B1960" s="86">
        <v>46886</v>
      </c>
      <c r="C1960" t="str">
        <f t="shared" si="111"/>
        <v>SAB</v>
      </c>
      <c r="D1960" t="str">
        <f t="shared" si="112"/>
        <v>Sábado</v>
      </c>
    </row>
    <row r="1961" spans="1:4" x14ac:dyDescent="0.25">
      <c r="A1961" s="88" t="str">
        <f t="shared" si="110"/>
        <v>5-2028</v>
      </c>
      <c r="B1961" s="86">
        <v>46887</v>
      </c>
      <c r="C1961" t="str">
        <f t="shared" si="111"/>
        <v>DOM</v>
      </c>
      <c r="D1961" t="str">
        <f t="shared" si="112"/>
        <v>Domingo</v>
      </c>
    </row>
    <row r="1962" spans="1:4" x14ac:dyDescent="0.25">
      <c r="A1962" s="88" t="str">
        <f t="shared" si="110"/>
        <v>5-2028</v>
      </c>
      <c r="B1962" s="86">
        <v>46888</v>
      </c>
      <c r="C1962" t="str">
        <f t="shared" si="111"/>
        <v>L-V</v>
      </c>
      <c r="D1962" t="str">
        <f t="shared" si="112"/>
        <v>Lunes</v>
      </c>
    </row>
    <row r="1963" spans="1:4" x14ac:dyDescent="0.25">
      <c r="A1963" s="88" t="str">
        <f t="shared" si="110"/>
        <v>5-2028</v>
      </c>
      <c r="B1963" s="86">
        <v>46889</v>
      </c>
      <c r="C1963" t="str">
        <f t="shared" si="111"/>
        <v>L-V</v>
      </c>
      <c r="D1963" t="str">
        <f t="shared" si="112"/>
        <v>Martes</v>
      </c>
    </row>
    <row r="1964" spans="1:4" x14ac:dyDescent="0.25">
      <c r="A1964" s="88" t="str">
        <f t="shared" si="110"/>
        <v>5-2028</v>
      </c>
      <c r="B1964" s="86">
        <v>46890</v>
      </c>
      <c r="C1964" t="str">
        <f t="shared" si="111"/>
        <v>L-V</v>
      </c>
      <c r="D1964" t="str">
        <f t="shared" si="112"/>
        <v>Miércoles</v>
      </c>
    </row>
    <row r="1965" spans="1:4" x14ac:dyDescent="0.25">
      <c r="A1965" s="88" t="str">
        <f t="shared" si="110"/>
        <v>5-2028</v>
      </c>
      <c r="B1965" s="86">
        <v>46891</v>
      </c>
      <c r="C1965" t="str">
        <f t="shared" si="111"/>
        <v>L-V</v>
      </c>
      <c r="D1965" t="str">
        <f t="shared" si="112"/>
        <v>Jueves</v>
      </c>
    </row>
    <row r="1966" spans="1:4" x14ac:dyDescent="0.25">
      <c r="A1966" s="88" t="str">
        <f t="shared" si="110"/>
        <v>5-2028</v>
      </c>
      <c r="B1966" s="86">
        <v>46892</v>
      </c>
      <c r="C1966" t="str">
        <f t="shared" si="111"/>
        <v>L-V</v>
      </c>
      <c r="D1966" t="str">
        <f t="shared" si="112"/>
        <v>Viernes</v>
      </c>
    </row>
    <row r="1967" spans="1:4" x14ac:dyDescent="0.25">
      <c r="A1967" s="88" t="str">
        <f t="shared" si="110"/>
        <v>5-2028</v>
      </c>
      <c r="B1967" s="86">
        <v>46893</v>
      </c>
      <c r="C1967" t="str">
        <f t="shared" si="111"/>
        <v>SAB</v>
      </c>
      <c r="D1967" t="str">
        <f t="shared" si="112"/>
        <v>Sábado</v>
      </c>
    </row>
    <row r="1968" spans="1:4" x14ac:dyDescent="0.25">
      <c r="A1968" s="88" t="str">
        <f t="shared" si="110"/>
        <v>5-2028</v>
      </c>
      <c r="B1968" s="86">
        <v>46894</v>
      </c>
      <c r="C1968" t="str">
        <f t="shared" si="111"/>
        <v>DOM</v>
      </c>
      <c r="D1968" t="str">
        <f t="shared" si="112"/>
        <v>Domingo</v>
      </c>
    </row>
    <row r="1969" spans="1:4" x14ac:dyDescent="0.25">
      <c r="A1969" s="88" t="str">
        <f t="shared" si="110"/>
        <v>5-2028</v>
      </c>
      <c r="B1969" s="86">
        <v>46895</v>
      </c>
      <c r="C1969" t="str">
        <f t="shared" si="111"/>
        <v>L-V</v>
      </c>
      <c r="D1969" t="str">
        <f t="shared" si="112"/>
        <v>Lunes</v>
      </c>
    </row>
    <row r="1970" spans="1:4" x14ac:dyDescent="0.25">
      <c r="A1970" s="88" t="str">
        <f t="shared" si="110"/>
        <v>5-2028</v>
      </c>
      <c r="B1970" s="86">
        <v>46896</v>
      </c>
      <c r="C1970" t="str">
        <f t="shared" si="111"/>
        <v>L-V</v>
      </c>
      <c r="D1970" t="str">
        <f t="shared" si="112"/>
        <v>Martes</v>
      </c>
    </row>
    <row r="1971" spans="1:4" x14ac:dyDescent="0.25">
      <c r="A1971" s="88" t="str">
        <f t="shared" si="110"/>
        <v>5-2028</v>
      </c>
      <c r="B1971" s="86">
        <v>46897</v>
      </c>
      <c r="C1971" t="str">
        <f t="shared" si="111"/>
        <v>L-V</v>
      </c>
      <c r="D1971" t="str">
        <f t="shared" si="112"/>
        <v>Miércoles</v>
      </c>
    </row>
    <row r="1972" spans="1:4" x14ac:dyDescent="0.25">
      <c r="A1972" s="88" t="str">
        <f t="shared" si="110"/>
        <v>5-2028</v>
      </c>
      <c r="B1972" s="86">
        <v>46898</v>
      </c>
      <c r="C1972" t="str">
        <f t="shared" si="111"/>
        <v>L-V</v>
      </c>
      <c r="D1972" t="str">
        <f t="shared" si="112"/>
        <v>Jueves</v>
      </c>
    </row>
    <row r="1973" spans="1:4" x14ac:dyDescent="0.25">
      <c r="A1973" s="88" t="str">
        <f t="shared" si="110"/>
        <v>5-2028</v>
      </c>
      <c r="B1973" s="86">
        <v>46899</v>
      </c>
      <c r="C1973" t="str">
        <f t="shared" si="111"/>
        <v>L-V</v>
      </c>
      <c r="D1973" t="str">
        <f t="shared" si="112"/>
        <v>Viernes</v>
      </c>
    </row>
    <row r="1974" spans="1:4" x14ac:dyDescent="0.25">
      <c r="A1974" s="88" t="str">
        <f t="shared" si="110"/>
        <v>5-2028</v>
      </c>
      <c r="B1974" s="86">
        <v>46900</v>
      </c>
      <c r="C1974" t="str">
        <f t="shared" si="111"/>
        <v>SAB</v>
      </c>
      <c r="D1974" t="str">
        <f t="shared" si="112"/>
        <v>Sábado</v>
      </c>
    </row>
    <row r="1975" spans="1:4" x14ac:dyDescent="0.25">
      <c r="A1975" s="88" t="str">
        <f t="shared" si="110"/>
        <v>5-2028</v>
      </c>
      <c r="B1975" s="86">
        <v>46901</v>
      </c>
      <c r="C1975" t="str">
        <f t="shared" si="111"/>
        <v>DOM</v>
      </c>
      <c r="D1975" t="str">
        <f t="shared" si="112"/>
        <v>Domingo</v>
      </c>
    </row>
    <row r="1976" spans="1:4" x14ac:dyDescent="0.25">
      <c r="A1976" s="88" t="str">
        <f t="shared" si="110"/>
        <v>5-2028</v>
      </c>
      <c r="B1976" s="86">
        <v>46902</v>
      </c>
      <c r="C1976" t="str">
        <f t="shared" si="111"/>
        <v>L-V</v>
      </c>
      <c r="D1976" t="str">
        <f t="shared" si="112"/>
        <v>Lunes</v>
      </c>
    </row>
    <row r="1977" spans="1:4" x14ac:dyDescent="0.25">
      <c r="A1977" s="88" t="str">
        <f t="shared" si="110"/>
        <v>5-2028</v>
      </c>
      <c r="B1977" s="86">
        <v>46903</v>
      </c>
      <c r="C1977" t="str">
        <f t="shared" si="111"/>
        <v>L-V</v>
      </c>
      <c r="D1977" t="str">
        <f t="shared" si="112"/>
        <v>Martes</v>
      </c>
    </row>
    <row r="1978" spans="1:4" x14ac:dyDescent="0.25">
      <c r="A1978" s="88" t="str">
        <f t="shared" si="110"/>
        <v>5-2028</v>
      </c>
      <c r="B1978" s="86">
        <v>46904</v>
      </c>
      <c r="C1978" t="str">
        <f t="shared" si="111"/>
        <v>L-V</v>
      </c>
      <c r="D1978" t="str">
        <f t="shared" si="112"/>
        <v>Miércoles</v>
      </c>
    </row>
    <row r="1979" spans="1:4" x14ac:dyDescent="0.25">
      <c r="A1979" s="88" t="str">
        <f t="shared" si="110"/>
        <v>6-2028</v>
      </c>
      <c r="B1979" s="86">
        <v>46905</v>
      </c>
      <c r="C1979" t="str">
        <f t="shared" si="111"/>
        <v>L-V</v>
      </c>
      <c r="D1979" t="str">
        <f t="shared" si="112"/>
        <v>Jueves</v>
      </c>
    </row>
    <row r="1980" spans="1:4" x14ac:dyDescent="0.25">
      <c r="A1980" s="88" t="str">
        <f t="shared" si="110"/>
        <v>6-2028</v>
      </c>
      <c r="B1980" s="86">
        <v>46906</v>
      </c>
      <c r="C1980" t="str">
        <f t="shared" si="111"/>
        <v>L-V</v>
      </c>
      <c r="D1980" t="str">
        <f t="shared" si="112"/>
        <v>Viernes</v>
      </c>
    </row>
    <row r="1981" spans="1:4" x14ac:dyDescent="0.25">
      <c r="A1981" s="88" t="str">
        <f t="shared" si="110"/>
        <v>6-2028</v>
      </c>
      <c r="B1981" s="86">
        <v>46907</v>
      </c>
      <c r="C1981" t="str">
        <f t="shared" si="111"/>
        <v>SAB</v>
      </c>
      <c r="D1981" t="str">
        <f t="shared" si="112"/>
        <v>Sábado</v>
      </c>
    </row>
    <row r="1982" spans="1:4" x14ac:dyDescent="0.25">
      <c r="A1982" s="88" t="str">
        <f t="shared" si="110"/>
        <v>6-2028</v>
      </c>
      <c r="B1982" s="86">
        <v>46908</v>
      </c>
      <c r="C1982" t="str">
        <f t="shared" si="111"/>
        <v>DOM</v>
      </c>
      <c r="D1982" t="str">
        <f t="shared" si="112"/>
        <v>Domingo</v>
      </c>
    </row>
    <row r="1983" spans="1:4" x14ac:dyDescent="0.25">
      <c r="A1983" s="88" t="str">
        <f t="shared" si="110"/>
        <v>6-2028</v>
      </c>
      <c r="B1983" s="86">
        <v>46909</v>
      </c>
      <c r="C1983" t="str">
        <f t="shared" si="111"/>
        <v>L-V</v>
      </c>
      <c r="D1983" t="str">
        <f t="shared" si="112"/>
        <v>Lunes</v>
      </c>
    </row>
    <row r="1984" spans="1:4" x14ac:dyDescent="0.25">
      <c r="A1984" s="88" t="str">
        <f t="shared" si="110"/>
        <v>6-2028</v>
      </c>
      <c r="B1984" s="86">
        <v>46910</v>
      </c>
      <c r="C1984" t="str">
        <f t="shared" si="111"/>
        <v>L-V</v>
      </c>
      <c r="D1984" t="str">
        <f t="shared" si="112"/>
        <v>Martes</v>
      </c>
    </row>
    <row r="1985" spans="1:4" x14ac:dyDescent="0.25">
      <c r="A1985" s="88" t="str">
        <f t="shared" si="110"/>
        <v>6-2028</v>
      </c>
      <c r="B1985" s="86">
        <v>46911</v>
      </c>
      <c r="C1985" t="str">
        <f t="shared" si="111"/>
        <v>L-V</v>
      </c>
      <c r="D1985" t="str">
        <f t="shared" si="112"/>
        <v>Miércoles</v>
      </c>
    </row>
    <row r="1986" spans="1:4" x14ac:dyDescent="0.25">
      <c r="A1986" s="88" t="str">
        <f t="shared" ref="A1986:A2049" si="113">MONTH(B1986)&amp;"-"&amp;YEAR(B1986)</f>
        <v>6-2028</v>
      </c>
      <c r="B1986" s="86">
        <v>46912</v>
      </c>
      <c r="C1986" t="str">
        <f t="shared" si="111"/>
        <v>L-V</v>
      </c>
      <c r="D1986" t="str">
        <f t="shared" si="112"/>
        <v>Jueves</v>
      </c>
    </row>
    <row r="1987" spans="1:4" x14ac:dyDescent="0.25">
      <c r="A1987" s="88" t="str">
        <f t="shared" si="113"/>
        <v>6-2028</v>
      </c>
      <c r="B1987" s="86">
        <v>46913</v>
      </c>
      <c r="C1987" t="str">
        <f t="shared" ref="C1987:C2050" si="114">VLOOKUP(WEEKDAY(B1987,2),$F$1:$H$7,2)</f>
        <v>L-V</v>
      </c>
      <c r="D1987" t="str">
        <f t="shared" ref="D1987:D2050" si="115">VLOOKUP(WEEKDAY($B1987,2),$F$1:$H$7,3)</f>
        <v>Viernes</v>
      </c>
    </row>
    <row r="1988" spans="1:4" x14ac:dyDescent="0.25">
      <c r="A1988" s="88" t="str">
        <f t="shared" si="113"/>
        <v>6-2028</v>
      </c>
      <c r="B1988" s="86">
        <v>46914</v>
      </c>
      <c r="C1988" t="str">
        <f t="shared" si="114"/>
        <v>SAB</v>
      </c>
      <c r="D1988" t="str">
        <f t="shared" si="115"/>
        <v>Sábado</v>
      </c>
    </row>
    <row r="1989" spans="1:4" x14ac:dyDescent="0.25">
      <c r="A1989" s="88" t="str">
        <f t="shared" si="113"/>
        <v>6-2028</v>
      </c>
      <c r="B1989" s="86">
        <v>46915</v>
      </c>
      <c r="C1989" t="str">
        <f t="shared" si="114"/>
        <v>DOM</v>
      </c>
      <c r="D1989" t="str">
        <f t="shared" si="115"/>
        <v>Domingo</v>
      </c>
    </row>
    <row r="1990" spans="1:4" x14ac:dyDescent="0.25">
      <c r="A1990" s="88" t="str">
        <f t="shared" si="113"/>
        <v>6-2028</v>
      </c>
      <c r="B1990" s="86">
        <v>46916</v>
      </c>
      <c r="C1990" t="str">
        <f t="shared" si="114"/>
        <v>L-V</v>
      </c>
      <c r="D1990" t="str">
        <f t="shared" si="115"/>
        <v>Lunes</v>
      </c>
    </row>
    <row r="1991" spans="1:4" x14ac:dyDescent="0.25">
      <c r="A1991" s="88" t="str">
        <f t="shared" si="113"/>
        <v>6-2028</v>
      </c>
      <c r="B1991" s="86">
        <v>46917</v>
      </c>
      <c r="C1991" t="str">
        <f t="shared" si="114"/>
        <v>L-V</v>
      </c>
      <c r="D1991" t="str">
        <f t="shared" si="115"/>
        <v>Martes</v>
      </c>
    </row>
    <row r="1992" spans="1:4" x14ac:dyDescent="0.25">
      <c r="A1992" s="88" t="str">
        <f t="shared" si="113"/>
        <v>6-2028</v>
      </c>
      <c r="B1992" s="86">
        <v>46918</v>
      </c>
      <c r="C1992" t="str">
        <f t="shared" si="114"/>
        <v>L-V</v>
      </c>
      <c r="D1992" t="str">
        <f t="shared" si="115"/>
        <v>Miércoles</v>
      </c>
    </row>
    <row r="1993" spans="1:4" x14ac:dyDescent="0.25">
      <c r="A1993" s="88" t="str">
        <f t="shared" si="113"/>
        <v>6-2028</v>
      </c>
      <c r="B1993" s="86">
        <v>46919</v>
      </c>
      <c r="C1993" t="str">
        <f t="shared" si="114"/>
        <v>L-V</v>
      </c>
      <c r="D1993" t="str">
        <f t="shared" si="115"/>
        <v>Jueves</v>
      </c>
    </row>
    <row r="1994" spans="1:4" x14ac:dyDescent="0.25">
      <c r="A1994" s="88" t="str">
        <f t="shared" si="113"/>
        <v>6-2028</v>
      </c>
      <c r="B1994" s="86">
        <v>46920</v>
      </c>
      <c r="C1994" t="str">
        <f t="shared" si="114"/>
        <v>L-V</v>
      </c>
      <c r="D1994" t="str">
        <f t="shared" si="115"/>
        <v>Viernes</v>
      </c>
    </row>
    <row r="1995" spans="1:4" x14ac:dyDescent="0.25">
      <c r="A1995" s="88" t="str">
        <f t="shared" si="113"/>
        <v>6-2028</v>
      </c>
      <c r="B1995" s="86">
        <v>46921</v>
      </c>
      <c r="C1995" t="str">
        <f t="shared" si="114"/>
        <v>SAB</v>
      </c>
      <c r="D1995" t="str">
        <f t="shared" si="115"/>
        <v>Sábado</v>
      </c>
    </row>
    <row r="1996" spans="1:4" x14ac:dyDescent="0.25">
      <c r="A1996" s="88" t="str">
        <f t="shared" si="113"/>
        <v>6-2028</v>
      </c>
      <c r="B1996" s="86">
        <v>46922</v>
      </c>
      <c r="C1996" t="str">
        <f t="shared" si="114"/>
        <v>DOM</v>
      </c>
      <c r="D1996" t="str">
        <f t="shared" si="115"/>
        <v>Domingo</v>
      </c>
    </row>
    <row r="1997" spans="1:4" x14ac:dyDescent="0.25">
      <c r="A1997" s="88" t="str">
        <f t="shared" si="113"/>
        <v>6-2028</v>
      </c>
      <c r="B1997" s="86">
        <v>46923</v>
      </c>
      <c r="C1997" t="str">
        <f t="shared" si="114"/>
        <v>L-V</v>
      </c>
      <c r="D1997" t="str">
        <f t="shared" si="115"/>
        <v>Lunes</v>
      </c>
    </row>
    <row r="1998" spans="1:4" x14ac:dyDescent="0.25">
      <c r="A1998" s="88" t="str">
        <f t="shared" si="113"/>
        <v>6-2028</v>
      </c>
      <c r="B1998" s="86">
        <v>46924</v>
      </c>
      <c r="C1998" t="str">
        <f t="shared" si="114"/>
        <v>L-V</v>
      </c>
      <c r="D1998" t="str">
        <f t="shared" si="115"/>
        <v>Martes</v>
      </c>
    </row>
    <row r="1999" spans="1:4" x14ac:dyDescent="0.25">
      <c r="A1999" s="88" t="str">
        <f t="shared" si="113"/>
        <v>6-2028</v>
      </c>
      <c r="B1999" s="86">
        <v>46925</v>
      </c>
      <c r="C1999" t="str">
        <f t="shared" si="114"/>
        <v>L-V</v>
      </c>
      <c r="D1999" t="str">
        <f t="shared" si="115"/>
        <v>Miércoles</v>
      </c>
    </row>
    <row r="2000" spans="1:4" x14ac:dyDescent="0.25">
      <c r="A2000" s="88" t="str">
        <f t="shared" si="113"/>
        <v>6-2028</v>
      </c>
      <c r="B2000" s="86">
        <v>46926</v>
      </c>
      <c r="C2000" t="str">
        <f t="shared" si="114"/>
        <v>L-V</v>
      </c>
      <c r="D2000" t="str">
        <f t="shared" si="115"/>
        <v>Jueves</v>
      </c>
    </row>
    <row r="2001" spans="1:4" x14ac:dyDescent="0.25">
      <c r="A2001" s="88" t="str">
        <f t="shared" si="113"/>
        <v>6-2028</v>
      </c>
      <c r="B2001" s="86">
        <v>46927</v>
      </c>
      <c r="C2001" t="str">
        <f t="shared" si="114"/>
        <v>L-V</v>
      </c>
      <c r="D2001" t="str">
        <f t="shared" si="115"/>
        <v>Viernes</v>
      </c>
    </row>
    <row r="2002" spans="1:4" x14ac:dyDescent="0.25">
      <c r="A2002" s="88" t="str">
        <f t="shared" si="113"/>
        <v>6-2028</v>
      </c>
      <c r="B2002" s="86">
        <v>46928</v>
      </c>
      <c r="C2002" t="str">
        <f t="shared" si="114"/>
        <v>SAB</v>
      </c>
      <c r="D2002" t="str">
        <f t="shared" si="115"/>
        <v>Sábado</v>
      </c>
    </row>
    <row r="2003" spans="1:4" x14ac:dyDescent="0.25">
      <c r="A2003" s="88" t="str">
        <f t="shared" si="113"/>
        <v>6-2028</v>
      </c>
      <c r="B2003" s="86">
        <v>46929</v>
      </c>
      <c r="C2003" t="str">
        <f t="shared" si="114"/>
        <v>DOM</v>
      </c>
      <c r="D2003" t="str">
        <f t="shared" si="115"/>
        <v>Domingo</v>
      </c>
    </row>
    <row r="2004" spans="1:4" x14ac:dyDescent="0.25">
      <c r="A2004" s="88" t="str">
        <f t="shared" si="113"/>
        <v>6-2028</v>
      </c>
      <c r="B2004" s="86">
        <v>46930</v>
      </c>
      <c r="C2004" t="str">
        <f t="shared" si="114"/>
        <v>L-V</v>
      </c>
      <c r="D2004" t="str">
        <f t="shared" si="115"/>
        <v>Lunes</v>
      </c>
    </row>
    <row r="2005" spans="1:4" x14ac:dyDescent="0.25">
      <c r="A2005" s="88" t="str">
        <f t="shared" si="113"/>
        <v>6-2028</v>
      </c>
      <c r="B2005" s="86">
        <v>46931</v>
      </c>
      <c r="C2005" t="str">
        <f t="shared" si="114"/>
        <v>L-V</v>
      </c>
      <c r="D2005" t="str">
        <f t="shared" si="115"/>
        <v>Martes</v>
      </c>
    </row>
    <row r="2006" spans="1:4" x14ac:dyDescent="0.25">
      <c r="A2006" s="88" t="str">
        <f t="shared" si="113"/>
        <v>6-2028</v>
      </c>
      <c r="B2006" s="86">
        <v>46932</v>
      </c>
      <c r="C2006" t="str">
        <f t="shared" si="114"/>
        <v>L-V</v>
      </c>
      <c r="D2006" t="str">
        <f t="shared" si="115"/>
        <v>Miércoles</v>
      </c>
    </row>
    <row r="2007" spans="1:4" x14ac:dyDescent="0.25">
      <c r="A2007" s="88" t="str">
        <f t="shared" si="113"/>
        <v>6-2028</v>
      </c>
      <c r="B2007" s="86">
        <v>46933</v>
      </c>
      <c r="C2007" t="str">
        <f t="shared" si="114"/>
        <v>L-V</v>
      </c>
      <c r="D2007" t="str">
        <f t="shared" si="115"/>
        <v>Jueves</v>
      </c>
    </row>
    <row r="2008" spans="1:4" x14ac:dyDescent="0.25">
      <c r="A2008" s="88" t="str">
        <f t="shared" si="113"/>
        <v>6-2028</v>
      </c>
      <c r="B2008" s="86">
        <v>46934</v>
      </c>
      <c r="C2008" t="str">
        <f t="shared" si="114"/>
        <v>L-V</v>
      </c>
      <c r="D2008" t="str">
        <f t="shared" si="115"/>
        <v>Viernes</v>
      </c>
    </row>
    <row r="2009" spans="1:4" x14ac:dyDescent="0.25">
      <c r="A2009" s="88" t="str">
        <f t="shared" si="113"/>
        <v>7-2028</v>
      </c>
      <c r="B2009" s="86">
        <v>46935</v>
      </c>
      <c r="C2009" t="str">
        <f t="shared" si="114"/>
        <v>SAB</v>
      </c>
      <c r="D2009" t="str">
        <f t="shared" si="115"/>
        <v>Sábado</v>
      </c>
    </row>
    <row r="2010" spans="1:4" x14ac:dyDescent="0.25">
      <c r="A2010" s="88" t="str">
        <f t="shared" si="113"/>
        <v>7-2028</v>
      </c>
      <c r="B2010" s="86">
        <v>46936</v>
      </c>
      <c r="C2010" t="str">
        <f t="shared" si="114"/>
        <v>DOM</v>
      </c>
      <c r="D2010" t="str">
        <f t="shared" si="115"/>
        <v>Domingo</v>
      </c>
    </row>
    <row r="2011" spans="1:4" x14ac:dyDescent="0.25">
      <c r="A2011" s="88" t="str">
        <f t="shared" si="113"/>
        <v>7-2028</v>
      </c>
      <c r="B2011" s="86">
        <v>46937</v>
      </c>
      <c r="C2011" t="str">
        <f t="shared" si="114"/>
        <v>L-V</v>
      </c>
      <c r="D2011" t="str">
        <f t="shared" si="115"/>
        <v>Lunes</v>
      </c>
    </row>
    <row r="2012" spans="1:4" x14ac:dyDescent="0.25">
      <c r="A2012" s="88" t="str">
        <f t="shared" si="113"/>
        <v>7-2028</v>
      </c>
      <c r="B2012" s="86">
        <v>46938</v>
      </c>
      <c r="C2012" t="str">
        <f t="shared" si="114"/>
        <v>L-V</v>
      </c>
      <c r="D2012" t="str">
        <f t="shared" si="115"/>
        <v>Martes</v>
      </c>
    </row>
    <row r="2013" spans="1:4" x14ac:dyDescent="0.25">
      <c r="A2013" s="88" t="str">
        <f t="shared" si="113"/>
        <v>7-2028</v>
      </c>
      <c r="B2013" s="86">
        <v>46939</v>
      </c>
      <c r="C2013" t="str">
        <f t="shared" si="114"/>
        <v>L-V</v>
      </c>
      <c r="D2013" t="str">
        <f t="shared" si="115"/>
        <v>Miércoles</v>
      </c>
    </row>
    <row r="2014" spans="1:4" x14ac:dyDescent="0.25">
      <c r="A2014" s="88" t="str">
        <f t="shared" si="113"/>
        <v>7-2028</v>
      </c>
      <c r="B2014" s="86">
        <v>46940</v>
      </c>
      <c r="C2014" t="str">
        <f t="shared" si="114"/>
        <v>L-V</v>
      </c>
      <c r="D2014" t="str">
        <f t="shared" si="115"/>
        <v>Jueves</v>
      </c>
    </row>
    <row r="2015" spans="1:4" x14ac:dyDescent="0.25">
      <c r="A2015" s="88" t="str">
        <f t="shared" si="113"/>
        <v>7-2028</v>
      </c>
      <c r="B2015" s="86">
        <v>46941</v>
      </c>
      <c r="C2015" t="str">
        <f t="shared" si="114"/>
        <v>L-V</v>
      </c>
      <c r="D2015" t="str">
        <f t="shared" si="115"/>
        <v>Viernes</v>
      </c>
    </row>
    <row r="2016" spans="1:4" x14ac:dyDescent="0.25">
      <c r="A2016" s="88" t="str">
        <f t="shared" si="113"/>
        <v>7-2028</v>
      </c>
      <c r="B2016" s="86">
        <v>46942</v>
      </c>
      <c r="C2016" t="str">
        <f t="shared" si="114"/>
        <v>SAB</v>
      </c>
      <c r="D2016" t="str">
        <f t="shared" si="115"/>
        <v>Sábado</v>
      </c>
    </row>
    <row r="2017" spans="1:4" x14ac:dyDescent="0.25">
      <c r="A2017" s="88" t="str">
        <f t="shared" si="113"/>
        <v>7-2028</v>
      </c>
      <c r="B2017" s="86">
        <v>46943</v>
      </c>
      <c r="C2017" t="str">
        <f t="shared" si="114"/>
        <v>DOM</v>
      </c>
      <c r="D2017" t="str">
        <f t="shared" si="115"/>
        <v>Domingo</v>
      </c>
    </row>
    <row r="2018" spans="1:4" x14ac:dyDescent="0.25">
      <c r="A2018" s="88" t="str">
        <f t="shared" si="113"/>
        <v>7-2028</v>
      </c>
      <c r="B2018" s="86">
        <v>46944</v>
      </c>
      <c r="C2018" t="str">
        <f t="shared" si="114"/>
        <v>L-V</v>
      </c>
      <c r="D2018" t="str">
        <f t="shared" si="115"/>
        <v>Lunes</v>
      </c>
    </row>
    <row r="2019" spans="1:4" x14ac:dyDescent="0.25">
      <c r="A2019" s="88" t="str">
        <f t="shared" si="113"/>
        <v>7-2028</v>
      </c>
      <c r="B2019" s="86">
        <v>46945</v>
      </c>
      <c r="C2019" t="str">
        <f t="shared" si="114"/>
        <v>L-V</v>
      </c>
      <c r="D2019" t="str">
        <f t="shared" si="115"/>
        <v>Martes</v>
      </c>
    </row>
    <row r="2020" spans="1:4" x14ac:dyDescent="0.25">
      <c r="A2020" s="88" t="str">
        <f t="shared" si="113"/>
        <v>7-2028</v>
      </c>
      <c r="B2020" s="86">
        <v>46946</v>
      </c>
      <c r="C2020" t="str">
        <f t="shared" si="114"/>
        <v>L-V</v>
      </c>
      <c r="D2020" t="str">
        <f t="shared" si="115"/>
        <v>Miércoles</v>
      </c>
    </row>
    <row r="2021" spans="1:4" x14ac:dyDescent="0.25">
      <c r="A2021" s="88" t="str">
        <f t="shared" si="113"/>
        <v>7-2028</v>
      </c>
      <c r="B2021" s="86">
        <v>46947</v>
      </c>
      <c r="C2021" t="str">
        <f t="shared" si="114"/>
        <v>L-V</v>
      </c>
      <c r="D2021" t="str">
        <f t="shared" si="115"/>
        <v>Jueves</v>
      </c>
    </row>
    <row r="2022" spans="1:4" x14ac:dyDescent="0.25">
      <c r="A2022" s="88" t="str">
        <f t="shared" si="113"/>
        <v>7-2028</v>
      </c>
      <c r="B2022" s="86">
        <v>46948</v>
      </c>
      <c r="C2022" t="str">
        <f t="shared" si="114"/>
        <v>L-V</v>
      </c>
      <c r="D2022" t="str">
        <f t="shared" si="115"/>
        <v>Viernes</v>
      </c>
    </row>
    <row r="2023" spans="1:4" x14ac:dyDescent="0.25">
      <c r="A2023" s="88" t="str">
        <f t="shared" si="113"/>
        <v>7-2028</v>
      </c>
      <c r="B2023" s="86">
        <v>46949</v>
      </c>
      <c r="C2023" t="str">
        <f t="shared" si="114"/>
        <v>SAB</v>
      </c>
      <c r="D2023" t="str">
        <f t="shared" si="115"/>
        <v>Sábado</v>
      </c>
    </row>
    <row r="2024" spans="1:4" x14ac:dyDescent="0.25">
      <c r="A2024" s="88" t="str">
        <f t="shared" si="113"/>
        <v>7-2028</v>
      </c>
      <c r="B2024" s="86">
        <v>46950</v>
      </c>
      <c r="C2024" t="str">
        <f t="shared" si="114"/>
        <v>DOM</v>
      </c>
      <c r="D2024" t="str">
        <f t="shared" si="115"/>
        <v>Domingo</v>
      </c>
    </row>
    <row r="2025" spans="1:4" x14ac:dyDescent="0.25">
      <c r="A2025" s="88" t="str">
        <f t="shared" si="113"/>
        <v>7-2028</v>
      </c>
      <c r="B2025" s="86">
        <v>46951</v>
      </c>
      <c r="C2025" t="str">
        <f t="shared" si="114"/>
        <v>L-V</v>
      </c>
      <c r="D2025" t="str">
        <f t="shared" si="115"/>
        <v>Lunes</v>
      </c>
    </row>
    <row r="2026" spans="1:4" x14ac:dyDescent="0.25">
      <c r="A2026" s="88" t="str">
        <f t="shared" si="113"/>
        <v>7-2028</v>
      </c>
      <c r="B2026" s="86">
        <v>46952</v>
      </c>
      <c r="C2026" t="str">
        <f t="shared" si="114"/>
        <v>L-V</v>
      </c>
      <c r="D2026" t="str">
        <f t="shared" si="115"/>
        <v>Martes</v>
      </c>
    </row>
    <row r="2027" spans="1:4" x14ac:dyDescent="0.25">
      <c r="A2027" s="88" t="str">
        <f t="shared" si="113"/>
        <v>7-2028</v>
      </c>
      <c r="B2027" s="86">
        <v>46953</v>
      </c>
      <c r="C2027" t="str">
        <f t="shared" si="114"/>
        <v>L-V</v>
      </c>
      <c r="D2027" t="str">
        <f t="shared" si="115"/>
        <v>Miércoles</v>
      </c>
    </row>
    <row r="2028" spans="1:4" x14ac:dyDescent="0.25">
      <c r="A2028" s="88" t="str">
        <f t="shared" si="113"/>
        <v>7-2028</v>
      </c>
      <c r="B2028" s="86">
        <v>46954</v>
      </c>
      <c r="C2028" t="str">
        <f t="shared" si="114"/>
        <v>L-V</v>
      </c>
      <c r="D2028" t="str">
        <f t="shared" si="115"/>
        <v>Jueves</v>
      </c>
    </row>
    <row r="2029" spans="1:4" x14ac:dyDescent="0.25">
      <c r="A2029" s="88" t="str">
        <f t="shared" si="113"/>
        <v>7-2028</v>
      </c>
      <c r="B2029" s="86">
        <v>46955</v>
      </c>
      <c r="C2029" t="str">
        <f t="shared" si="114"/>
        <v>L-V</v>
      </c>
      <c r="D2029" t="str">
        <f t="shared" si="115"/>
        <v>Viernes</v>
      </c>
    </row>
    <row r="2030" spans="1:4" x14ac:dyDescent="0.25">
      <c r="A2030" s="88" t="str">
        <f t="shared" si="113"/>
        <v>7-2028</v>
      </c>
      <c r="B2030" s="86">
        <v>46956</v>
      </c>
      <c r="C2030" t="str">
        <f t="shared" si="114"/>
        <v>SAB</v>
      </c>
      <c r="D2030" t="str">
        <f t="shared" si="115"/>
        <v>Sábado</v>
      </c>
    </row>
    <row r="2031" spans="1:4" x14ac:dyDescent="0.25">
      <c r="A2031" s="88" t="str">
        <f t="shared" si="113"/>
        <v>7-2028</v>
      </c>
      <c r="B2031" s="86">
        <v>46957</v>
      </c>
      <c r="C2031" t="str">
        <f t="shared" si="114"/>
        <v>DOM</v>
      </c>
      <c r="D2031" t="str">
        <f t="shared" si="115"/>
        <v>Domingo</v>
      </c>
    </row>
    <row r="2032" spans="1:4" x14ac:dyDescent="0.25">
      <c r="A2032" s="88" t="str">
        <f t="shared" si="113"/>
        <v>7-2028</v>
      </c>
      <c r="B2032" s="86">
        <v>46958</v>
      </c>
      <c r="C2032" t="str">
        <f t="shared" si="114"/>
        <v>L-V</v>
      </c>
      <c r="D2032" t="str">
        <f t="shared" si="115"/>
        <v>Lunes</v>
      </c>
    </row>
    <row r="2033" spans="1:4" x14ac:dyDescent="0.25">
      <c r="A2033" s="88" t="str">
        <f t="shared" si="113"/>
        <v>7-2028</v>
      </c>
      <c r="B2033" s="86">
        <v>46959</v>
      </c>
      <c r="C2033" t="str">
        <f t="shared" si="114"/>
        <v>L-V</v>
      </c>
      <c r="D2033" t="str">
        <f t="shared" si="115"/>
        <v>Martes</v>
      </c>
    </row>
    <row r="2034" spans="1:4" x14ac:dyDescent="0.25">
      <c r="A2034" s="88" t="str">
        <f t="shared" si="113"/>
        <v>7-2028</v>
      </c>
      <c r="B2034" s="86">
        <v>46960</v>
      </c>
      <c r="C2034" t="str">
        <f t="shared" si="114"/>
        <v>L-V</v>
      </c>
      <c r="D2034" t="str">
        <f t="shared" si="115"/>
        <v>Miércoles</v>
      </c>
    </row>
    <row r="2035" spans="1:4" x14ac:dyDescent="0.25">
      <c r="A2035" s="88" t="str">
        <f t="shared" si="113"/>
        <v>7-2028</v>
      </c>
      <c r="B2035" s="86">
        <v>46961</v>
      </c>
      <c r="C2035" t="str">
        <f t="shared" si="114"/>
        <v>L-V</v>
      </c>
      <c r="D2035" t="str">
        <f t="shared" si="115"/>
        <v>Jueves</v>
      </c>
    </row>
    <row r="2036" spans="1:4" x14ac:dyDescent="0.25">
      <c r="A2036" s="88" t="str">
        <f t="shared" si="113"/>
        <v>7-2028</v>
      </c>
      <c r="B2036" s="86">
        <v>46962</v>
      </c>
      <c r="C2036" t="str">
        <f t="shared" si="114"/>
        <v>L-V</v>
      </c>
      <c r="D2036" t="str">
        <f t="shared" si="115"/>
        <v>Viernes</v>
      </c>
    </row>
    <row r="2037" spans="1:4" x14ac:dyDescent="0.25">
      <c r="A2037" s="88" t="str">
        <f t="shared" si="113"/>
        <v>7-2028</v>
      </c>
      <c r="B2037" s="86">
        <v>46963</v>
      </c>
      <c r="C2037" t="str">
        <f t="shared" si="114"/>
        <v>SAB</v>
      </c>
      <c r="D2037" t="str">
        <f t="shared" si="115"/>
        <v>Sábado</v>
      </c>
    </row>
    <row r="2038" spans="1:4" x14ac:dyDescent="0.25">
      <c r="A2038" s="88" t="str">
        <f t="shared" si="113"/>
        <v>7-2028</v>
      </c>
      <c r="B2038" s="86">
        <v>46964</v>
      </c>
      <c r="C2038" t="str">
        <f t="shared" si="114"/>
        <v>DOM</v>
      </c>
      <c r="D2038" t="str">
        <f t="shared" si="115"/>
        <v>Domingo</v>
      </c>
    </row>
    <row r="2039" spans="1:4" x14ac:dyDescent="0.25">
      <c r="A2039" s="88" t="str">
        <f t="shared" si="113"/>
        <v>7-2028</v>
      </c>
      <c r="B2039" s="86">
        <v>46965</v>
      </c>
      <c r="C2039" t="str">
        <f t="shared" si="114"/>
        <v>L-V</v>
      </c>
      <c r="D2039" t="str">
        <f t="shared" si="115"/>
        <v>Lunes</v>
      </c>
    </row>
    <row r="2040" spans="1:4" x14ac:dyDescent="0.25">
      <c r="A2040" s="88" t="str">
        <f t="shared" si="113"/>
        <v>8-2028</v>
      </c>
      <c r="B2040" s="86">
        <v>46966</v>
      </c>
      <c r="C2040" t="str">
        <f t="shared" si="114"/>
        <v>L-V</v>
      </c>
      <c r="D2040" t="str">
        <f t="shared" si="115"/>
        <v>Martes</v>
      </c>
    </row>
    <row r="2041" spans="1:4" x14ac:dyDescent="0.25">
      <c r="A2041" s="88" t="str">
        <f t="shared" si="113"/>
        <v>8-2028</v>
      </c>
      <c r="B2041" s="86">
        <v>46967</v>
      </c>
      <c r="C2041" t="str">
        <f t="shared" si="114"/>
        <v>L-V</v>
      </c>
      <c r="D2041" t="str">
        <f t="shared" si="115"/>
        <v>Miércoles</v>
      </c>
    </row>
    <row r="2042" spans="1:4" x14ac:dyDescent="0.25">
      <c r="A2042" s="88" t="str">
        <f t="shared" si="113"/>
        <v>8-2028</v>
      </c>
      <c r="B2042" s="86">
        <v>46968</v>
      </c>
      <c r="C2042" t="str">
        <f t="shared" si="114"/>
        <v>L-V</v>
      </c>
      <c r="D2042" t="str">
        <f t="shared" si="115"/>
        <v>Jueves</v>
      </c>
    </row>
    <row r="2043" spans="1:4" x14ac:dyDescent="0.25">
      <c r="A2043" s="88" t="str">
        <f t="shared" si="113"/>
        <v>8-2028</v>
      </c>
      <c r="B2043" s="86">
        <v>46969</v>
      </c>
      <c r="C2043" t="str">
        <f t="shared" si="114"/>
        <v>L-V</v>
      </c>
      <c r="D2043" t="str">
        <f t="shared" si="115"/>
        <v>Viernes</v>
      </c>
    </row>
    <row r="2044" spans="1:4" x14ac:dyDescent="0.25">
      <c r="A2044" s="88" t="str">
        <f t="shared" si="113"/>
        <v>8-2028</v>
      </c>
      <c r="B2044" s="86">
        <v>46970</v>
      </c>
      <c r="C2044" t="str">
        <f t="shared" si="114"/>
        <v>SAB</v>
      </c>
      <c r="D2044" t="str">
        <f t="shared" si="115"/>
        <v>Sábado</v>
      </c>
    </row>
    <row r="2045" spans="1:4" x14ac:dyDescent="0.25">
      <c r="A2045" s="88" t="str">
        <f t="shared" si="113"/>
        <v>8-2028</v>
      </c>
      <c r="B2045" s="86">
        <v>46971</v>
      </c>
      <c r="C2045" t="str">
        <f t="shared" si="114"/>
        <v>DOM</v>
      </c>
      <c r="D2045" t="str">
        <f t="shared" si="115"/>
        <v>Domingo</v>
      </c>
    </row>
    <row r="2046" spans="1:4" x14ac:dyDescent="0.25">
      <c r="A2046" s="88" t="str">
        <f t="shared" si="113"/>
        <v>8-2028</v>
      </c>
      <c r="B2046" s="86">
        <v>46972</v>
      </c>
      <c r="C2046" t="str">
        <f t="shared" si="114"/>
        <v>L-V</v>
      </c>
      <c r="D2046" t="str">
        <f t="shared" si="115"/>
        <v>Lunes</v>
      </c>
    </row>
    <row r="2047" spans="1:4" x14ac:dyDescent="0.25">
      <c r="A2047" s="88" t="str">
        <f t="shared" si="113"/>
        <v>8-2028</v>
      </c>
      <c r="B2047" s="86">
        <v>46973</v>
      </c>
      <c r="C2047" t="str">
        <f t="shared" si="114"/>
        <v>L-V</v>
      </c>
      <c r="D2047" t="str">
        <f t="shared" si="115"/>
        <v>Martes</v>
      </c>
    </row>
    <row r="2048" spans="1:4" x14ac:dyDescent="0.25">
      <c r="A2048" s="88" t="str">
        <f t="shared" si="113"/>
        <v>8-2028</v>
      </c>
      <c r="B2048" s="86">
        <v>46974</v>
      </c>
      <c r="C2048" t="str">
        <f t="shared" si="114"/>
        <v>L-V</v>
      </c>
      <c r="D2048" t="str">
        <f t="shared" si="115"/>
        <v>Miércoles</v>
      </c>
    </row>
    <row r="2049" spans="1:4" x14ac:dyDescent="0.25">
      <c r="A2049" s="88" t="str">
        <f t="shared" si="113"/>
        <v>8-2028</v>
      </c>
      <c r="B2049" s="86">
        <v>46975</v>
      </c>
      <c r="C2049" t="str">
        <f t="shared" si="114"/>
        <v>L-V</v>
      </c>
      <c r="D2049" t="str">
        <f t="shared" si="115"/>
        <v>Jueves</v>
      </c>
    </row>
    <row r="2050" spans="1:4" x14ac:dyDescent="0.25">
      <c r="A2050" s="88" t="str">
        <f t="shared" ref="A2050:A2113" si="116">MONTH(B2050)&amp;"-"&amp;YEAR(B2050)</f>
        <v>8-2028</v>
      </c>
      <c r="B2050" s="86">
        <v>46976</v>
      </c>
      <c r="C2050" t="str">
        <f t="shared" si="114"/>
        <v>L-V</v>
      </c>
      <c r="D2050" t="str">
        <f t="shared" si="115"/>
        <v>Viernes</v>
      </c>
    </row>
    <row r="2051" spans="1:4" x14ac:dyDescent="0.25">
      <c r="A2051" s="88" t="str">
        <f t="shared" si="116"/>
        <v>8-2028</v>
      </c>
      <c r="B2051" s="86">
        <v>46977</v>
      </c>
      <c r="C2051" t="str">
        <f t="shared" ref="C2051:C2114" si="117">VLOOKUP(WEEKDAY(B2051,2),$F$1:$H$7,2)</f>
        <v>SAB</v>
      </c>
      <c r="D2051" t="str">
        <f t="shared" ref="D2051:D2114" si="118">VLOOKUP(WEEKDAY($B2051,2),$F$1:$H$7,3)</f>
        <v>Sábado</v>
      </c>
    </row>
    <row r="2052" spans="1:4" x14ac:dyDescent="0.25">
      <c r="A2052" s="88" t="str">
        <f t="shared" si="116"/>
        <v>8-2028</v>
      </c>
      <c r="B2052" s="86">
        <v>46978</v>
      </c>
      <c r="C2052" t="str">
        <f t="shared" si="117"/>
        <v>DOM</v>
      </c>
      <c r="D2052" t="str">
        <f t="shared" si="118"/>
        <v>Domingo</v>
      </c>
    </row>
    <row r="2053" spans="1:4" x14ac:dyDescent="0.25">
      <c r="A2053" s="88" t="str">
        <f t="shared" si="116"/>
        <v>8-2028</v>
      </c>
      <c r="B2053" s="86">
        <v>46979</v>
      </c>
      <c r="C2053" t="str">
        <f t="shared" si="117"/>
        <v>L-V</v>
      </c>
      <c r="D2053" t="str">
        <f t="shared" si="118"/>
        <v>Lunes</v>
      </c>
    </row>
    <row r="2054" spans="1:4" x14ac:dyDescent="0.25">
      <c r="A2054" s="88" t="str">
        <f t="shared" si="116"/>
        <v>8-2028</v>
      </c>
      <c r="B2054" s="86">
        <v>46980</v>
      </c>
      <c r="C2054" t="str">
        <f t="shared" si="117"/>
        <v>L-V</v>
      </c>
      <c r="D2054" t="str">
        <f t="shared" si="118"/>
        <v>Martes</v>
      </c>
    </row>
    <row r="2055" spans="1:4" x14ac:dyDescent="0.25">
      <c r="A2055" s="88" t="str">
        <f t="shared" si="116"/>
        <v>8-2028</v>
      </c>
      <c r="B2055" s="86">
        <v>46981</v>
      </c>
      <c r="C2055" t="str">
        <f t="shared" si="117"/>
        <v>L-V</v>
      </c>
      <c r="D2055" t="str">
        <f t="shared" si="118"/>
        <v>Miércoles</v>
      </c>
    </row>
    <row r="2056" spans="1:4" x14ac:dyDescent="0.25">
      <c r="A2056" s="88" t="str">
        <f t="shared" si="116"/>
        <v>8-2028</v>
      </c>
      <c r="B2056" s="86">
        <v>46982</v>
      </c>
      <c r="C2056" t="str">
        <f t="shared" si="117"/>
        <v>L-V</v>
      </c>
      <c r="D2056" t="str">
        <f t="shared" si="118"/>
        <v>Jueves</v>
      </c>
    </row>
    <row r="2057" spans="1:4" x14ac:dyDescent="0.25">
      <c r="A2057" s="88" t="str">
        <f t="shared" si="116"/>
        <v>8-2028</v>
      </c>
      <c r="B2057" s="86">
        <v>46983</v>
      </c>
      <c r="C2057" t="str">
        <f t="shared" si="117"/>
        <v>L-V</v>
      </c>
      <c r="D2057" t="str">
        <f t="shared" si="118"/>
        <v>Viernes</v>
      </c>
    </row>
    <row r="2058" spans="1:4" x14ac:dyDescent="0.25">
      <c r="A2058" s="88" t="str">
        <f t="shared" si="116"/>
        <v>8-2028</v>
      </c>
      <c r="B2058" s="86">
        <v>46984</v>
      </c>
      <c r="C2058" t="str">
        <f t="shared" si="117"/>
        <v>SAB</v>
      </c>
      <c r="D2058" t="str">
        <f t="shared" si="118"/>
        <v>Sábado</v>
      </c>
    </row>
    <row r="2059" spans="1:4" x14ac:dyDescent="0.25">
      <c r="A2059" s="88" t="str">
        <f t="shared" si="116"/>
        <v>8-2028</v>
      </c>
      <c r="B2059" s="86">
        <v>46985</v>
      </c>
      <c r="C2059" t="str">
        <f t="shared" si="117"/>
        <v>DOM</v>
      </c>
      <c r="D2059" t="str">
        <f t="shared" si="118"/>
        <v>Domingo</v>
      </c>
    </row>
    <row r="2060" spans="1:4" x14ac:dyDescent="0.25">
      <c r="A2060" s="88" t="str">
        <f t="shared" si="116"/>
        <v>8-2028</v>
      </c>
      <c r="B2060" s="86">
        <v>46986</v>
      </c>
      <c r="C2060" t="str">
        <f t="shared" si="117"/>
        <v>L-V</v>
      </c>
      <c r="D2060" t="str">
        <f t="shared" si="118"/>
        <v>Lunes</v>
      </c>
    </row>
    <row r="2061" spans="1:4" x14ac:dyDescent="0.25">
      <c r="A2061" s="88" t="str">
        <f t="shared" si="116"/>
        <v>8-2028</v>
      </c>
      <c r="B2061" s="86">
        <v>46987</v>
      </c>
      <c r="C2061" t="str">
        <f t="shared" si="117"/>
        <v>L-V</v>
      </c>
      <c r="D2061" t="str">
        <f t="shared" si="118"/>
        <v>Martes</v>
      </c>
    </row>
    <row r="2062" spans="1:4" x14ac:dyDescent="0.25">
      <c r="A2062" s="88" t="str">
        <f t="shared" si="116"/>
        <v>8-2028</v>
      </c>
      <c r="B2062" s="86">
        <v>46988</v>
      </c>
      <c r="C2062" t="str">
        <f t="shared" si="117"/>
        <v>L-V</v>
      </c>
      <c r="D2062" t="str">
        <f t="shared" si="118"/>
        <v>Miércoles</v>
      </c>
    </row>
    <row r="2063" spans="1:4" x14ac:dyDescent="0.25">
      <c r="A2063" s="88" t="str">
        <f t="shared" si="116"/>
        <v>8-2028</v>
      </c>
      <c r="B2063" s="86">
        <v>46989</v>
      </c>
      <c r="C2063" t="str">
        <f t="shared" si="117"/>
        <v>L-V</v>
      </c>
      <c r="D2063" t="str">
        <f t="shared" si="118"/>
        <v>Jueves</v>
      </c>
    </row>
    <row r="2064" spans="1:4" x14ac:dyDescent="0.25">
      <c r="A2064" s="88" t="str">
        <f t="shared" si="116"/>
        <v>8-2028</v>
      </c>
      <c r="B2064" s="86">
        <v>46990</v>
      </c>
      <c r="C2064" t="str">
        <f t="shared" si="117"/>
        <v>L-V</v>
      </c>
      <c r="D2064" t="str">
        <f t="shared" si="118"/>
        <v>Viernes</v>
      </c>
    </row>
    <row r="2065" spans="1:4" x14ac:dyDescent="0.25">
      <c r="A2065" s="88" t="str">
        <f t="shared" si="116"/>
        <v>8-2028</v>
      </c>
      <c r="B2065" s="86">
        <v>46991</v>
      </c>
      <c r="C2065" t="str">
        <f t="shared" si="117"/>
        <v>SAB</v>
      </c>
      <c r="D2065" t="str">
        <f t="shared" si="118"/>
        <v>Sábado</v>
      </c>
    </row>
    <row r="2066" spans="1:4" x14ac:dyDescent="0.25">
      <c r="A2066" s="88" t="str">
        <f t="shared" si="116"/>
        <v>8-2028</v>
      </c>
      <c r="B2066" s="86">
        <v>46992</v>
      </c>
      <c r="C2066" t="str">
        <f t="shared" si="117"/>
        <v>DOM</v>
      </c>
      <c r="D2066" t="str">
        <f t="shared" si="118"/>
        <v>Domingo</v>
      </c>
    </row>
    <row r="2067" spans="1:4" x14ac:dyDescent="0.25">
      <c r="A2067" s="88" t="str">
        <f t="shared" si="116"/>
        <v>8-2028</v>
      </c>
      <c r="B2067" s="86">
        <v>46993</v>
      </c>
      <c r="C2067" t="str">
        <f t="shared" si="117"/>
        <v>L-V</v>
      </c>
      <c r="D2067" t="str">
        <f t="shared" si="118"/>
        <v>Lunes</v>
      </c>
    </row>
    <row r="2068" spans="1:4" x14ac:dyDescent="0.25">
      <c r="A2068" s="88" t="str">
        <f t="shared" si="116"/>
        <v>8-2028</v>
      </c>
      <c r="B2068" s="86">
        <v>46994</v>
      </c>
      <c r="C2068" t="str">
        <f t="shared" si="117"/>
        <v>L-V</v>
      </c>
      <c r="D2068" t="str">
        <f t="shared" si="118"/>
        <v>Martes</v>
      </c>
    </row>
    <row r="2069" spans="1:4" x14ac:dyDescent="0.25">
      <c r="A2069" s="88" t="str">
        <f t="shared" si="116"/>
        <v>8-2028</v>
      </c>
      <c r="B2069" s="86">
        <v>46995</v>
      </c>
      <c r="C2069" t="str">
        <f t="shared" si="117"/>
        <v>L-V</v>
      </c>
      <c r="D2069" t="str">
        <f t="shared" si="118"/>
        <v>Miércoles</v>
      </c>
    </row>
    <row r="2070" spans="1:4" x14ac:dyDescent="0.25">
      <c r="A2070" s="88" t="str">
        <f t="shared" si="116"/>
        <v>8-2028</v>
      </c>
      <c r="B2070" s="86">
        <v>46996</v>
      </c>
      <c r="C2070" t="str">
        <f t="shared" si="117"/>
        <v>L-V</v>
      </c>
      <c r="D2070" t="str">
        <f t="shared" si="118"/>
        <v>Jueves</v>
      </c>
    </row>
    <row r="2071" spans="1:4" x14ac:dyDescent="0.25">
      <c r="A2071" s="88" t="str">
        <f t="shared" si="116"/>
        <v>9-2028</v>
      </c>
      <c r="B2071" s="86">
        <v>46997</v>
      </c>
      <c r="C2071" t="str">
        <f t="shared" si="117"/>
        <v>L-V</v>
      </c>
      <c r="D2071" t="str">
        <f t="shared" si="118"/>
        <v>Viernes</v>
      </c>
    </row>
    <row r="2072" spans="1:4" x14ac:dyDescent="0.25">
      <c r="A2072" s="88" t="str">
        <f t="shared" si="116"/>
        <v>9-2028</v>
      </c>
      <c r="B2072" s="86">
        <v>46998</v>
      </c>
      <c r="C2072" t="str">
        <f t="shared" si="117"/>
        <v>SAB</v>
      </c>
      <c r="D2072" t="str">
        <f t="shared" si="118"/>
        <v>Sábado</v>
      </c>
    </row>
    <row r="2073" spans="1:4" x14ac:dyDescent="0.25">
      <c r="A2073" s="88" t="str">
        <f t="shared" si="116"/>
        <v>9-2028</v>
      </c>
      <c r="B2073" s="86">
        <v>46999</v>
      </c>
      <c r="C2073" t="str">
        <f t="shared" si="117"/>
        <v>DOM</v>
      </c>
      <c r="D2073" t="str">
        <f t="shared" si="118"/>
        <v>Domingo</v>
      </c>
    </row>
    <row r="2074" spans="1:4" x14ac:dyDescent="0.25">
      <c r="A2074" s="88" t="str">
        <f t="shared" si="116"/>
        <v>9-2028</v>
      </c>
      <c r="B2074" s="86">
        <v>47000</v>
      </c>
      <c r="C2074" t="str">
        <f t="shared" si="117"/>
        <v>L-V</v>
      </c>
      <c r="D2074" t="str">
        <f t="shared" si="118"/>
        <v>Lunes</v>
      </c>
    </row>
    <row r="2075" spans="1:4" x14ac:dyDescent="0.25">
      <c r="A2075" s="88" t="str">
        <f t="shared" si="116"/>
        <v>9-2028</v>
      </c>
      <c r="B2075" s="86">
        <v>47001</v>
      </c>
      <c r="C2075" t="str">
        <f t="shared" si="117"/>
        <v>L-V</v>
      </c>
      <c r="D2075" t="str">
        <f t="shared" si="118"/>
        <v>Martes</v>
      </c>
    </row>
    <row r="2076" spans="1:4" x14ac:dyDescent="0.25">
      <c r="A2076" s="88" t="str">
        <f t="shared" si="116"/>
        <v>9-2028</v>
      </c>
      <c r="B2076" s="86">
        <v>47002</v>
      </c>
      <c r="C2076" t="str">
        <f t="shared" si="117"/>
        <v>L-V</v>
      </c>
      <c r="D2076" t="str">
        <f t="shared" si="118"/>
        <v>Miércoles</v>
      </c>
    </row>
    <row r="2077" spans="1:4" x14ac:dyDescent="0.25">
      <c r="A2077" s="88" t="str">
        <f t="shared" si="116"/>
        <v>9-2028</v>
      </c>
      <c r="B2077" s="86">
        <v>47003</v>
      </c>
      <c r="C2077" t="str">
        <f t="shared" si="117"/>
        <v>L-V</v>
      </c>
      <c r="D2077" t="str">
        <f t="shared" si="118"/>
        <v>Jueves</v>
      </c>
    </row>
    <row r="2078" spans="1:4" x14ac:dyDescent="0.25">
      <c r="A2078" s="88" t="str">
        <f t="shared" si="116"/>
        <v>9-2028</v>
      </c>
      <c r="B2078" s="86">
        <v>47004</v>
      </c>
      <c r="C2078" t="str">
        <f t="shared" si="117"/>
        <v>L-V</v>
      </c>
      <c r="D2078" t="str">
        <f t="shared" si="118"/>
        <v>Viernes</v>
      </c>
    </row>
    <row r="2079" spans="1:4" x14ac:dyDescent="0.25">
      <c r="A2079" s="88" t="str">
        <f t="shared" si="116"/>
        <v>9-2028</v>
      </c>
      <c r="B2079" s="86">
        <v>47005</v>
      </c>
      <c r="C2079" t="str">
        <f t="shared" si="117"/>
        <v>SAB</v>
      </c>
      <c r="D2079" t="str">
        <f t="shared" si="118"/>
        <v>Sábado</v>
      </c>
    </row>
    <row r="2080" spans="1:4" x14ac:dyDescent="0.25">
      <c r="A2080" s="88" t="str">
        <f t="shared" si="116"/>
        <v>9-2028</v>
      </c>
      <c r="B2080" s="86">
        <v>47006</v>
      </c>
      <c r="C2080" t="str">
        <f t="shared" si="117"/>
        <v>DOM</v>
      </c>
      <c r="D2080" t="str">
        <f t="shared" si="118"/>
        <v>Domingo</v>
      </c>
    </row>
    <row r="2081" spans="1:4" x14ac:dyDescent="0.25">
      <c r="A2081" s="88" t="str">
        <f t="shared" si="116"/>
        <v>9-2028</v>
      </c>
      <c r="B2081" s="86">
        <v>47007</v>
      </c>
      <c r="C2081" t="str">
        <f t="shared" si="117"/>
        <v>L-V</v>
      </c>
      <c r="D2081" t="str">
        <f t="shared" si="118"/>
        <v>Lunes</v>
      </c>
    </row>
    <row r="2082" spans="1:4" x14ac:dyDescent="0.25">
      <c r="A2082" s="88" t="str">
        <f t="shared" si="116"/>
        <v>9-2028</v>
      </c>
      <c r="B2082" s="86">
        <v>47008</v>
      </c>
      <c r="C2082" t="str">
        <f t="shared" si="117"/>
        <v>L-V</v>
      </c>
      <c r="D2082" t="str">
        <f t="shared" si="118"/>
        <v>Martes</v>
      </c>
    </row>
    <row r="2083" spans="1:4" x14ac:dyDescent="0.25">
      <c r="A2083" s="88" t="str">
        <f t="shared" si="116"/>
        <v>9-2028</v>
      </c>
      <c r="B2083" s="86">
        <v>47009</v>
      </c>
      <c r="C2083" t="str">
        <f t="shared" si="117"/>
        <v>L-V</v>
      </c>
      <c r="D2083" t="str">
        <f t="shared" si="118"/>
        <v>Miércoles</v>
      </c>
    </row>
    <row r="2084" spans="1:4" x14ac:dyDescent="0.25">
      <c r="A2084" s="88" t="str">
        <f t="shared" si="116"/>
        <v>9-2028</v>
      </c>
      <c r="B2084" s="86">
        <v>47010</v>
      </c>
      <c r="C2084" t="str">
        <f t="shared" si="117"/>
        <v>L-V</v>
      </c>
      <c r="D2084" t="str">
        <f t="shared" si="118"/>
        <v>Jueves</v>
      </c>
    </row>
    <row r="2085" spans="1:4" x14ac:dyDescent="0.25">
      <c r="A2085" s="88" t="str">
        <f t="shared" si="116"/>
        <v>9-2028</v>
      </c>
      <c r="B2085" s="86">
        <v>47011</v>
      </c>
      <c r="C2085" t="str">
        <f t="shared" si="117"/>
        <v>L-V</v>
      </c>
      <c r="D2085" t="str">
        <f t="shared" si="118"/>
        <v>Viernes</v>
      </c>
    </row>
    <row r="2086" spans="1:4" x14ac:dyDescent="0.25">
      <c r="A2086" s="88" t="str">
        <f t="shared" si="116"/>
        <v>9-2028</v>
      </c>
      <c r="B2086" s="86">
        <v>47012</v>
      </c>
      <c r="C2086" t="str">
        <f t="shared" si="117"/>
        <v>SAB</v>
      </c>
      <c r="D2086" t="str">
        <f t="shared" si="118"/>
        <v>Sábado</v>
      </c>
    </row>
    <row r="2087" spans="1:4" x14ac:dyDescent="0.25">
      <c r="A2087" s="88" t="str">
        <f t="shared" si="116"/>
        <v>9-2028</v>
      </c>
      <c r="B2087" s="86">
        <v>47013</v>
      </c>
      <c r="C2087" t="str">
        <f t="shared" si="117"/>
        <v>DOM</v>
      </c>
      <c r="D2087" t="str">
        <f t="shared" si="118"/>
        <v>Domingo</v>
      </c>
    </row>
    <row r="2088" spans="1:4" x14ac:dyDescent="0.25">
      <c r="A2088" s="88" t="str">
        <f t="shared" si="116"/>
        <v>9-2028</v>
      </c>
      <c r="B2088" s="86">
        <v>47014</v>
      </c>
      <c r="C2088" t="str">
        <f t="shared" si="117"/>
        <v>L-V</v>
      </c>
      <c r="D2088" t="str">
        <f t="shared" si="118"/>
        <v>Lunes</v>
      </c>
    </row>
    <row r="2089" spans="1:4" x14ac:dyDescent="0.25">
      <c r="A2089" s="88" t="str">
        <f t="shared" si="116"/>
        <v>9-2028</v>
      </c>
      <c r="B2089" s="86">
        <v>47015</v>
      </c>
      <c r="C2089" t="str">
        <f t="shared" si="117"/>
        <v>L-V</v>
      </c>
      <c r="D2089" t="str">
        <f t="shared" si="118"/>
        <v>Martes</v>
      </c>
    </row>
    <row r="2090" spans="1:4" x14ac:dyDescent="0.25">
      <c r="A2090" s="88" t="str">
        <f t="shared" si="116"/>
        <v>9-2028</v>
      </c>
      <c r="B2090" s="86">
        <v>47016</v>
      </c>
      <c r="C2090" t="str">
        <f t="shared" si="117"/>
        <v>L-V</v>
      </c>
      <c r="D2090" t="str">
        <f t="shared" si="118"/>
        <v>Miércoles</v>
      </c>
    </row>
    <row r="2091" spans="1:4" x14ac:dyDescent="0.25">
      <c r="A2091" s="88" t="str">
        <f t="shared" si="116"/>
        <v>9-2028</v>
      </c>
      <c r="B2091" s="86">
        <v>47017</v>
      </c>
      <c r="C2091" t="str">
        <f t="shared" si="117"/>
        <v>L-V</v>
      </c>
      <c r="D2091" t="str">
        <f t="shared" si="118"/>
        <v>Jueves</v>
      </c>
    </row>
    <row r="2092" spans="1:4" x14ac:dyDescent="0.25">
      <c r="A2092" s="88" t="str">
        <f t="shared" si="116"/>
        <v>9-2028</v>
      </c>
      <c r="B2092" s="86">
        <v>47018</v>
      </c>
      <c r="C2092" t="str">
        <f t="shared" si="117"/>
        <v>L-V</v>
      </c>
      <c r="D2092" t="str">
        <f t="shared" si="118"/>
        <v>Viernes</v>
      </c>
    </row>
    <row r="2093" spans="1:4" x14ac:dyDescent="0.25">
      <c r="A2093" s="88" t="str">
        <f t="shared" si="116"/>
        <v>9-2028</v>
      </c>
      <c r="B2093" s="86">
        <v>47019</v>
      </c>
      <c r="C2093" t="str">
        <f t="shared" si="117"/>
        <v>SAB</v>
      </c>
      <c r="D2093" t="str">
        <f t="shared" si="118"/>
        <v>Sábado</v>
      </c>
    </row>
    <row r="2094" spans="1:4" x14ac:dyDescent="0.25">
      <c r="A2094" s="88" t="str">
        <f t="shared" si="116"/>
        <v>9-2028</v>
      </c>
      <c r="B2094" s="86">
        <v>47020</v>
      </c>
      <c r="C2094" t="str">
        <f t="shared" si="117"/>
        <v>DOM</v>
      </c>
      <c r="D2094" t="str">
        <f t="shared" si="118"/>
        <v>Domingo</v>
      </c>
    </row>
    <row r="2095" spans="1:4" x14ac:dyDescent="0.25">
      <c r="A2095" s="88" t="str">
        <f t="shared" si="116"/>
        <v>9-2028</v>
      </c>
      <c r="B2095" s="86">
        <v>47021</v>
      </c>
      <c r="C2095" t="str">
        <f t="shared" si="117"/>
        <v>L-V</v>
      </c>
      <c r="D2095" t="str">
        <f t="shared" si="118"/>
        <v>Lunes</v>
      </c>
    </row>
    <row r="2096" spans="1:4" x14ac:dyDescent="0.25">
      <c r="A2096" s="88" t="str">
        <f t="shared" si="116"/>
        <v>9-2028</v>
      </c>
      <c r="B2096" s="86">
        <v>47022</v>
      </c>
      <c r="C2096" t="str">
        <f t="shared" si="117"/>
        <v>L-V</v>
      </c>
      <c r="D2096" t="str">
        <f t="shared" si="118"/>
        <v>Martes</v>
      </c>
    </row>
    <row r="2097" spans="1:4" x14ac:dyDescent="0.25">
      <c r="A2097" s="88" t="str">
        <f t="shared" si="116"/>
        <v>9-2028</v>
      </c>
      <c r="B2097" s="86">
        <v>47023</v>
      </c>
      <c r="C2097" t="str">
        <f t="shared" si="117"/>
        <v>L-V</v>
      </c>
      <c r="D2097" t="str">
        <f t="shared" si="118"/>
        <v>Miércoles</v>
      </c>
    </row>
    <row r="2098" spans="1:4" x14ac:dyDescent="0.25">
      <c r="A2098" s="88" t="str">
        <f t="shared" si="116"/>
        <v>9-2028</v>
      </c>
      <c r="B2098" s="86">
        <v>47024</v>
      </c>
      <c r="C2098" t="str">
        <f t="shared" si="117"/>
        <v>L-V</v>
      </c>
      <c r="D2098" t="str">
        <f t="shared" si="118"/>
        <v>Jueves</v>
      </c>
    </row>
    <row r="2099" spans="1:4" x14ac:dyDescent="0.25">
      <c r="A2099" s="88" t="str">
        <f t="shared" si="116"/>
        <v>9-2028</v>
      </c>
      <c r="B2099" s="86">
        <v>47025</v>
      </c>
      <c r="C2099" t="str">
        <f t="shared" si="117"/>
        <v>L-V</v>
      </c>
      <c r="D2099" t="str">
        <f t="shared" si="118"/>
        <v>Viernes</v>
      </c>
    </row>
    <row r="2100" spans="1:4" x14ac:dyDescent="0.25">
      <c r="A2100" s="88" t="str">
        <f t="shared" si="116"/>
        <v>9-2028</v>
      </c>
      <c r="B2100" s="86">
        <v>47026</v>
      </c>
      <c r="C2100" t="str">
        <f t="shared" si="117"/>
        <v>SAB</v>
      </c>
      <c r="D2100" t="str">
        <f t="shared" si="118"/>
        <v>Sábado</v>
      </c>
    </row>
    <row r="2101" spans="1:4" x14ac:dyDescent="0.25">
      <c r="A2101" s="88" t="str">
        <f t="shared" si="116"/>
        <v>10-2028</v>
      </c>
      <c r="B2101" s="86">
        <v>47027</v>
      </c>
      <c r="C2101" t="str">
        <f t="shared" si="117"/>
        <v>DOM</v>
      </c>
      <c r="D2101" t="str">
        <f t="shared" si="118"/>
        <v>Domingo</v>
      </c>
    </row>
    <row r="2102" spans="1:4" x14ac:dyDescent="0.25">
      <c r="A2102" s="88" t="str">
        <f t="shared" si="116"/>
        <v>10-2028</v>
      </c>
      <c r="B2102" s="86">
        <v>47028</v>
      </c>
      <c r="C2102" t="str">
        <f t="shared" si="117"/>
        <v>L-V</v>
      </c>
      <c r="D2102" t="str">
        <f t="shared" si="118"/>
        <v>Lunes</v>
      </c>
    </row>
    <row r="2103" spans="1:4" x14ac:dyDescent="0.25">
      <c r="A2103" s="88" t="str">
        <f t="shared" si="116"/>
        <v>10-2028</v>
      </c>
      <c r="B2103" s="86">
        <v>47029</v>
      </c>
      <c r="C2103" t="str">
        <f t="shared" si="117"/>
        <v>L-V</v>
      </c>
      <c r="D2103" t="str">
        <f t="shared" si="118"/>
        <v>Martes</v>
      </c>
    </row>
    <row r="2104" spans="1:4" x14ac:dyDescent="0.25">
      <c r="A2104" s="88" t="str">
        <f t="shared" si="116"/>
        <v>10-2028</v>
      </c>
      <c r="B2104" s="86">
        <v>47030</v>
      </c>
      <c r="C2104" t="str">
        <f t="shared" si="117"/>
        <v>L-V</v>
      </c>
      <c r="D2104" t="str">
        <f t="shared" si="118"/>
        <v>Miércoles</v>
      </c>
    </row>
    <row r="2105" spans="1:4" x14ac:dyDescent="0.25">
      <c r="A2105" s="88" t="str">
        <f t="shared" si="116"/>
        <v>10-2028</v>
      </c>
      <c r="B2105" s="86">
        <v>47031</v>
      </c>
      <c r="C2105" t="str">
        <f t="shared" si="117"/>
        <v>L-V</v>
      </c>
      <c r="D2105" t="str">
        <f t="shared" si="118"/>
        <v>Jueves</v>
      </c>
    </row>
    <row r="2106" spans="1:4" x14ac:dyDescent="0.25">
      <c r="A2106" s="88" t="str">
        <f t="shared" si="116"/>
        <v>10-2028</v>
      </c>
      <c r="B2106" s="86">
        <v>47032</v>
      </c>
      <c r="C2106" t="str">
        <f t="shared" si="117"/>
        <v>L-V</v>
      </c>
      <c r="D2106" t="str">
        <f t="shared" si="118"/>
        <v>Viernes</v>
      </c>
    </row>
    <row r="2107" spans="1:4" x14ac:dyDescent="0.25">
      <c r="A2107" s="88" t="str">
        <f t="shared" si="116"/>
        <v>10-2028</v>
      </c>
      <c r="B2107" s="86">
        <v>47033</v>
      </c>
      <c r="C2107" t="str">
        <f t="shared" si="117"/>
        <v>SAB</v>
      </c>
      <c r="D2107" t="str">
        <f t="shared" si="118"/>
        <v>Sábado</v>
      </c>
    </row>
    <row r="2108" spans="1:4" x14ac:dyDescent="0.25">
      <c r="A2108" s="88" t="str">
        <f t="shared" si="116"/>
        <v>10-2028</v>
      </c>
      <c r="B2108" s="86">
        <v>47034</v>
      </c>
      <c r="C2108" t="str">
        <f t="shared" si="117"/>
        <v>DOM</v>
      </c>
      <c r="D2108" t="str">
        <f t="shared" si="118"/>
        <v>Domingo</v>
      </c>
    </row>
    <row r="2109" spans="1:4" x14ac:dyDescent="0.25">
      <c r="A2109" s="88" t="str">
        <f t="shared" si="116"/>
        <v>10-2028</v>
      </c>
      <c r="B2109" s="86">
        <v>47035</v>
      </c>
      <c r="C2109" t="str">
        <f t="shared" si="117"/>
        <v>L-V</v>
      </c>
      <c r="D2109" t="str">
        <f t="shared" si="118"/>
        <v>Lunes</v>
      </c>
    </row>
    <row r="2110" spans="1:4" x14ac:dyDescent="0.25">
      <c r="A2110" s="88" t="str">
        <f t="shared" si="116"/>
        <v>10-2028</v>
      </c>
      <c r="B2110" s="86">
        <v>47036</v>
      </c>
      <c r="C2110" t="str">
        <f t="shared" si="117"/>
        <v>L-V</v>
      </c>
      <c r="D2110" t="str">
        <f t="shared" si="118"/>
        <v>Martes</v>
      </c>
    </row>
    <row r="2111" spans="1:4" x14ac:dyDescent="0.25">
      <c r="A2111" s="88" t="str">
        <f t="shared" si="116"/>
        <v>10-2028</v>
      </c>
      <c r="B2111" s="86">
        <v>47037</v>
      </c>
      <c r="C2111" t="str">
        <f t="shared" si="117"/>
        <v>L-V</v>
      </c>
      <c r="D2111" t="str">
        <f t="shared" si="118"/>
        <v>Miércoles</v>
      </c>
    </row>
    <row r="2112" spans="1:4" x14ac:dyDescent="0.25">
      <c r="A2112" s="88" t="str">
        <f t="shared" si="116"/>
        <v>10-2028</v>
      </c>
      <c r="B2112" s="86">
        <v>47038</v>
      </c>
      <c r="C2112" t="str">
        <f t="shared" si="117"/>
        <v>L-V</v>
      </c>
      <c r="D2112" t="str">
        <f t="shared" si="118"/>
        <v>Jueves</v>
      </c>
    </row>
    <row r="2113" spans="1:4" x14ac:dyDescent="0.25">
      <c r="A2113" s="88" t="str">
        <f t="shared" si="116"/>
        <v>10-2028</v>
      </c>
      <c r="B2113" s="86">
        <v>47039</v>
      </c>
      <c r="C2113" t="str">
        <f t="shared" si="117"/>
        <v>L-V</v>
      </c>
      <c r="D2113" t="str">
        <f t="shared" si="118"/>
        <v>Viernes</v>
      </c>
    </row>
    <row r="2114" spans="1:4" x14ac:dyDescent="0.25">
      <c r="A2114" s="88" t="str">
        <f t="shared" ref="A2114:A2177" si="119">MONTH(B2114)&amp;"-"&amp;YEAR(B2114)</f>
        <v>10-2028</v>
      </c>
      <c r="B2114" s="86">
        <v>47040</v>
      </c>
      <c r="C2114" t="str">
        <f t="shared" si="117"/>
        <v>SAB</v>
      </c>
      <c r="D2114" t="str">
        <f t="shared" si="118"/>
        <v>Sábado</v>
      </c>
    </row>
    <row r="2115" spans="1:4" x14ac:dyDescent="0.25">
      <c r="A2115" s="88" t="str">
        <f t="shared" si="119"/>
        <v>10-2028</v>
      </c>
      <c r="B2115" s="86">
        <v>47041</v>
      </c>
      <c r="C2115" t="str">
        <f t="shared" ref="C2115:C2178" si="120">VLOOKUP(WEEKDAY(B2115,2),$F$1:$H$7,2)</f>
        <v>DOM</v>
      </c>
      <c r="D2115" t="str">
        <f t="shared" ref="D2115:D2178" si="121">VLOOKUP(WEEKDAY($B2115,2),$F$1:$H$7,3)</f>
        <v>Domingo</v>
      </c>
    </row>
    <row r="2116" spans="1:4" x14ac:dyDescent="0.25">
      <c r="A2116" s="88" t="str">
        <f t="shared" si="119"/>
        <v>10-2028</v>
      </c>
      <c r="B2116" s="86">
        <v>47042</v>
      </c>
      <c r="C2116" t="str">
        <f t="shared" si="120"/>
        <v>L-V</v>
      </c>
      <c r="D2116" t="str">
        <f t="shared" si="121"/>
        <v>Lunes</v>
      </c>
    </row>
    <row r="2117" spans="1:4" x14ac:dyDescent="0.25">
      <c r="A2117" s="88" t="str">
        <f t="shared" si="119"/>
        <v>10-2028</v>
      </c>
      <c r="B2117" s="86">
        <v>47043</v>
      </c>
      <c r="C2117" t="str">
        <f t="shared" si="120"/>
        <v>L-V</v>
      </c>
      <c r="D2117" t="str">
        <f t="shared" si="121"/>
        <v>Martes</v>
      </c>
    </row>
    <row r="2118" spans="1:4" x14ac:dyDescent="0.25">
      <c r="A2118" s="88" t="str">
        <f t="shared" si="119"/>
        <v>10-2028</v>
      </c>
      <c r="B2118" s="86">
        <v>47044</v>
      </c>
      <c r="C2118" t="str">
        <f t="shared" si="120"/>
        <v>L-V</v>
      </c>
      <c r="D2118" t="str">
        <f t="shared" si="121"/>
        <v>Miércoles</v>
      </c>
    </row>
    <row r="2119" spans="1:4" x14ac:dyDescent="0.25">
      <c r="A2119" s="88" t="str">
        <f t="shared" si="119"/>
        <v>10-2028</v>
      </c>
      <c r="B2119" s="86">
        <v>47045</v>
      </c>
      <c r="C2119" t="str">
        <f t="shared" si="120"/>
        <v>L-V</v>
      </c>
      <c r="D2119" t="str">
        <f t="shared" si="121"/>
        <v>Jueves</v>
      </c>
    </row>
    <row r="2120" spans="1:4" x14ac:dyDescent="0.25">
      <c r="A2120" s="88" t="str">
        <f t="shared" si="119"/>
        <v>10-2028</v>
      </c>
      <c r="B2120" s="86">
        <v>47046</v>
      </c>
      <c r="C2120" t="str">
        <f t="shared" si="120"/>
        <v>L-V</v>
      </c>
      <c r="D2120" t="str">
        <f t="shared" si="121"/>
        <v>Viernes</v>
      </c>
    </row>
    <row r="2121" spans="1:4" x14ac:dyDescent="0.25">
      <c r="A2121" s="88" t="str">
        <f t="shared" si="119"/>
        <v>10-2028</v>
      </c>
      <c r="B2121" s="86">
        <v>47047</v>
      </c>
      <c r="C2121" t="str">
        <f t="shared" si="120"/>
        <v>SAB</v>
      </c>
      <c r="D2121" t="str">
        <f t="shared" si="121"/>
        <v>Sábado</v>
      </c>
    </row>
    <row r="2122" spans="1:4" x14ac:dyDescent="0.25">
      <c r="A2122" s="88" t="str">
        <f t="shared" si="119"/>
        <v>10-2028</v>
      </c>
      <c r="B2122" s="86">
        <v>47048</v>
      </c>
      <c r="C2122" t="str">
        <f t="shared" si="120"/>
        <v>DOM</v>
      </c>
      <c r="D2122" t="str">
        <f t="shared" si="121"/>
        <v>Domingo</v>
      </c>
    </row>
    <row r="2123" spans="1:4" x14ac:dyDescent="0.25">
      <c r="A2123" s="88" t="str">
        <f t="shared" si="119"/>
        <v>10-2028</v>
      </c>
      <c r="B2123" s="86">
        <v>47049</v>
      </c>
      <c r="C2123" t="str">
        <f t="shared" si="120"/>
        <v>L-V</v>
      </c>
      <c r="D2123" t="str">
        <f t="shared" si="121"/>
        <v>Lunes</v>
      </c>
    </row>
    <row r="2124" spans="1:4" x14ac:dyDescent="0.25">
      <c r="A2124" s="88" t="str">
        <f t="shared" si="119"/>
        <v>10-2028</v>
      </c>
      <c r="B2124" s="86">
        <v>47050</v>
      </c>
      <c r="C2124" t="str">
        <f t="shared" si="120"/>
        <v>L-V</v>
      </c>
      <c r="D2124" t="str">
        <f t="shared" si="121"/>
        <v>Martes</v>
      </c>
    </row>
    <row r="2125" spans="1:4" x14ac:dyDescent="0.25">
      <c r="A2125" s="88" t="str">
        <f t="shared" si="119"/>
        <v>10-2028</v>
      </c>
      <c r="B2125" s="86">
        <v>47051</v>
      </c>
      <c r="C2125" t="str">
        <f t="shared" si="120"/>
        <v>L-V</v>
      </c>
      <c r="D2125" t="str">
        <f t="shared" si="121"/>
        <v>Miércoles</v>
      </c>
    </row>
    <row r="2126" spans="1:4" x14ac:dyDescent="0.25">
      <c r="A2126" s="88" t="str">
        <f t="shared" si="119"/>
        <v>10-2028</v>
      </c>
      <c r="B2126" s="86">
        <v>47052</v>
      </c>
      <c r="C2126" t="str">
        <f t="shared" si="120"/>
        <v>L-V</v>
      </c>
      <c r="D2126" t="str">
        <f t="shared" si="121"/>
        <v>Jueves</v>
      </c>
    </row>
    <row r="2127" spans="1:4" x14ac:dyDescent="0.25">
      <c r="A2127" s="88" t="str">
        <f t="shared" si="119"/>
        <v>10-2028</v>
      </c>
      <c r="B2127" s="86">
        <v>47053</v>
      </c>
      <c r="C2127" t="str">
        <f t="shared" si="120"/>
        <v>L-V</v>
      </c>
      <c r="D2127" t="str">
        <f t="shared" si="121"/>
        <v>Viernes</v>
      </c>
    </row>
    <row r="2128" spans="1:4" x14ac:dyDescent="0.25">
      <c r="A2128" s="88" t="str">
        <f t="shared" si="119"/>
        <v>10-2028</v>
      </c>
      <c r="B2128" s="86">
        <v>47054</v>
      </c>
      <c r="C2128" t="str">
        <f t="shared" si="120"/>
        <v>SAB</v>
      </c>
      <c r="D2128" t="str">
        <f t="shared" si="121"/>
        <v>Sábado</v>
      </c>
    </row>
    <row r="2129" spans="1:4" x14ac:dyDescent="0.25">
      <c r="A2129" s="88" t="str">
        <f t="shared" si="119"/>
        <v>10-2028</v>
      </c>
      <c r="B2129" s="86">
        <v>47055</v>
      </c>
      <c r="C2129" t="str">
        <f t="shared" si="120"/>
        <v>DOM</v>
      </c>
      <c r="D2129" t="str">
        <f t="shared" si="121"/>
        <v>Domingo</v>
      </c>
    </row>
    <row r="2130" spans="1:4" x14ac:dyDescent="0.25">
      <c r="A2130" s="88" t="str">
        <f t="shared" si="119"/>
        <v>10-2028</v>
      </c>
      <c r="B2130" s="86">
        <v>47056</v>
      </c>
      <c r="C2130" t="str">
        <f t="shared" si="120"/>
        <v>L-V</v>
      </c>
      <c r="D2130" t="str">
        <f t="shared" si="121"/>
        <v>Lunes</v>
      </c>
    </row>
    <row r="2131" spans="1:4" x14ac:dyDescent="0.25">
      <c r="A2131" s="88" t="str">
        <f t="shared" si="119"/>
        <v>10-2028</v>
      </c>
      <c r="B2131" s="86">
        <v>47057</v>
      </c>
      <c r="C2131" t="str">
        <f t="shared" si="120"/>
        <v>L-V</v>
      </c>
      <c r="D2131" t="str">
        <f t="shared" si="121"/>
        <v>Martes</v>
      </c>
    </row>
    <row r="2132" spans="1:4" x14ac:dyDescent="0.25">
      <c r="A2132" s="88" t="str">
        <f t="shared" si="119"/>
        <v>11-2028</v>
      </c>
      <c r="B2132" s="86">
        <v>47058</v>
      </c>
      <c r="C2132" t="str">
        <f t="shared" si="120"/>
        <v>L-V</v>
      </c>
      <c r="D2132" t="str">
        <f t="shared" si="121"/>
        <v>Miércoles</v>
      </c>
    </row>
    <row r="2133" spans="1:4" x14ac:dyDescent="0.25">
      <c r="A2133" s="88" t="str">
        <f t="shared" si="119"/>
        <v>11-2028</v>
      </c>
      <c r="B2133" s="86">
        <v>47059</v>
      </c>
      <c r="C2133" t="str">
        <f t="shared" si="120"/>
        <v>L-V</v>
      </c>
      <c r="D2133" t="str">
        <f t="shared" si="121"/>
        <v>Jueves</v>
      </c>
    </row>
    <row r="2134" spans="1:4" x14ac:dyDescent="0.25">
      <c r="A2134" s="88" t="str">
        <f t="shared" si="119"/>
        <v>11-2028</v>
      </c>
      <c r="B2134" s="86">
        <v>47060</v>
      </c>
      <c r="C2134" t="str">
        <f t="shared" si="120"/>
        <v>L-V</v>
      </c>
      <c r="D2134" t="str">
        <f t="shared" si="121"/>
        <v>Viernes</v>
      </c>
    </row>
    <row r="2135" spans="1:4" x14ac:dyDescent="0.25">
      <c r="A2135" s="88" t="str">
        <f t="shared" si="119"/>
        <v>11-2028</v>
      </c>
      <c r="B2135" s="86">
        <v>47061</v>
      </c>
      <c r="C2135" t="str">
        <f t="shared" si="120"/>
        <v>SAB</v>
      </c>
      <c r="D2135" t="str">
        <f t="shared" si="121"/>
        <v>Sábado</v>
      </c>
    </row>
    <row r="2136" spans="1:4" x14ac:dyDescent="0.25">
      <c r="A2136" s="88" t="str">
        <f t="shared" si="119"/>
        <v>11-2028</v>
      </c>
      <c r="B2136" s="86">
        <v>47062</v>
      </c>
      <c r="C2136" t="str">
        <f t="shared" si="120"/>
        <v>DOM</v>
      </c>
      <c r="D2136" t="str">
        <f t="shared" si="121"/>
        <v>Domingo</v>
      </c>
    </row>
    <row r="2137" spans="1:4" x14ac:dyDescent="0.25">
      <c r="A2137" s="88" t="str">
        <f t="shared" si="119"/>
        <v>11-2028</v>
      </c>
      <c r="B2137" s="86">
        <v>47063</v>
      </c>
      <c r="C2137" t="str">
        <f t="shared" si="120"/>
        <v>L-V</v>
      </c>
      <c r="D2137" t="str">
        <f t="shared" si="121"/>
        <v>Lunes</v>
      </c>
    </row>
    <row r="2138" spans="1:4" x14ac:dyDescent="0.25">
      <c r="A2138" s="88" t="str">
        <f t="shared" si="119"/>
        <v>11-2028</v>
      </c>
      <c r="B2138" s="86">
        <v>47064</v>
      </c>
      <c r="C2138" t="str">
        <f t="shared" si="120"/>
        <v>L-V</v>
      </c>
      <c r="D2138" t="str">
        <f t="shared" si="121"/>
        <v>Martes</v>
      </c>
    </row>
    <row r="2139" spans="1:4" x14ac:dyDescent="0.25">
      <c r="A2139" s="88" t="str">
        <f t="shared" si="119"/>
        <v>11-2028</v>
      </c>
      <c r="B2139" s="86">
        <v>47065</v>
      </c>
      <c r="C2139" t="str">
        <f t="shared" si="120"/>
        <v>L-V</v>
      </c>
      <c r="D2139" t="str">
        <f t="shared" si="121"/>
        <v>Miércoles</v>
      </c>
    </row>
    <row r="2140" spans="1:4" x14ac:dyDescent="0.25">
      <c r="A2140" s="88" t="str">
        <f t="shared" si="119"/>
        <v>11-2028</v>
      </c>
      <c r="B2140" s="86">
        <v>47066</v>
      </c>
      <c r="C2140" t="str">
        <f t="shared" si="120"/>
        <v>L-V</v>
      </c>
      <c r="D2140" t="str">
        <f t="shared" si="121"/>
        <v>Jueves</v>
      </c>
    </row>
    <row r="2141" spans="1:4" x14ac:dyDescent="0.25">
      <c r="A2141" s="88" t="str">
        <f t="shared" si="119"/>
        <v>11-2028</v>
      </c>
      <c r="B2141" s="86">
        <v>47067</v>
      </c>
      <c r="C2141" t="str">
        <f t="shared" si="120"/>
        <v>L-V</v>
      </c>
      <c r="D2141" t="str">
        <f t="shared" si="121"/>
        <v>Viernes</v>
      </c>
    </row>
    <row r="2142" spans="1:4" x14ac:dyDescent="0.25">
      <c r="A2142" s="88" t="str">
        <f t="shared" si="119"/>
        <v>11-2028</v>
      </c>
      <c r="B2142" s="86">
        <v>47068</v>
      </c>
      <c r="C2142" t="str">
        <f t="shared" si="120"/>
        <v>SAB</v>
      </c>
      <c r="D2142" t="str">
        <f t="shared" si="121"/>
        <v>Sábado</v>
      </c>
    </row>
    <row r="2143" spans="1:4" x14ac:dyDescent="0.25">
      <c r="A2143" s="88" t="str">
        <f t="shared" si="119"/>
        <v>11-2028</v>
      </c>
      <c r="B2143" s="86">
        <v>47069</v>
      </c>
      <c r="C2143" t="str">
        <f t="shared" si="120"/>
        <v>DOM</v>
      </c>
      <c r="D2143" t="str">
        <f t="shared" si="121"/>
        <v>Domingo</v>
      </c>
    </row>
    <row r="2144" spans="1:4" x14ac:dyDescent="0.25">
      <c r="A2144" s="88" t="str">
        <f t="shared" si="119"/>
        <v>11-2028</v>
      </c>
      <c r="B2144" s="86">
        <v>47070</v>
      </c>
      <c r="C2144" t="str">
        <f t="shared" si="120"/>
        <v>L-V</v>
      </c>
      <c r="D2144" t="str">
        <f t="shared" si="121"/>
        <v>Lunes</v>
      </c>
    </row>
    <row r="2145" spans="1:4" x14ac:dyDescent="0.25">
      <c r="A2145" s="88" t="str">
        <f t="shared" si="119"/>
        <v>11-2028</v>
      </c>
      <c r="B2145" s="86">
        <v>47071</v>
      </c>
      <c r="C2145" t="str">
        <f t="shared" si="120"/>
        <v>L-V</v>
      </c>
      <c r="D2145" t="str">
        <f t="shared" si="121"/>
        <v>Martes</v>
      </c>
    </row>
    <row r="2146" spans="1:4" x14ac:dyDescent="0.25">
      <c r="A2146" s="88" t="str">
        <f t="shared" si="119"/>
        <v>11-2028</v>
      </c>
      <c r="B2146" s="86">
        <v>47072</v>
      </c>
      <c r="C2146" t="str">
        <f t="shared" si="120"/>
        <v>L-V</v>
      </c>
      <c r="D2146" t="str">
        <f t="shared" si="121"/>
        <v>Miércoles</v>
      </c>
    </row>
    <row r="2147" spans="1:4" x14ac:dyDescent="0.25">
      <c r="A2147" s="88" t="str">
        <f t="shared" si="119"/>
        <v>11-2028</v>
      </c>
      <c r="B2147" s="86">
        <v>47073</v>
      </c>
      <c r="C2147" t="str">
        <f t="shared" si="120"/>
        <v>L-V</v>
      </c>
      <c r="D2147" t="str">
        <f t="shared" si="121"/>
        <v>Jueves</v>
      </c>
    </row>
    <row r="2148" spans="1:4" x14ac:dyDescent="0.25">
      <c r="A2148" s="88" t="str">
        <f t="shared" si="119"/>
        <v>11-2028</v>
      </c>
      <c r="B2148" s="86">
        <v>47074</v>
      </c>
      <c r="C2148" t="str">
        <f t="shared" si="120"/>
        <v>L-V</v>
      </c>
      <c r="D2148" t="str">
        <f t="shared" si="121"/>
        <v>Viernes</v>
      </c>
    </row>
    <row r="2149" spans="1:4" x14ac:dyDescent="0.25">
      <c r="A2149" s="88" t="str">
        <f t="shared" si="119"/>
        <v>11-2028</v>
      </c>
      <c r="B2149" s="86">
        <v>47075</v>
      </c>
      <c r="C2149" t="str">
        <f t="shared" si="120"/>
        <v>SAB</v>
      </c>
      <c r="D2149" t="str">
        <f t="shared" si="121"/>
        <v>Sábado</v>
      </c>
    </row>
    <row r="2150" spans="1:4" x14ac:dyDescent="0.25">
      <c r="A2150" s="88" t="str">
        <f t="shared" si="119"/>
        <v>11-2028</v>
      </c>
      <c r="B2150" s="86">
        <v>47076</v>
      </c>
      <c r="C2150" t="str">
        <f t="shared" si="120"/>
        <v>DOM</v>
      </c>
      <c r="D2150" t="str">
        <f t="shared" si="121"/>
        <v>Domingo</v>
      </c>
    </row>
    <row r="2151" spans="1:4" x14ac:dyDescent="0.25">
      <c r="A2151" s="88" t="str">
        <f t="shared" si="119"/>
        <v>11-2028</v>
      </c>
      <c r="B2151" s="86">
        <v>47077</v>
      </c>
      <c r="C2151" t="str">
        <f t="shared" si="120"/>
        <v>L-V</v>
      </c>
      <c r="D2151" t="str">
        <f t="shared" si="121"/>
        <v>Lunes</v>
      </c>
    </row>
    <row r="2152" spans="1:4" x14ac:dyDescent="0.25">
      <c r="A2152" s="88" t="str">
        <f t="shared" si="119"/>
        <v>11-2028</v>
      </c>
      <c r="B2152" s="86">
        <v>47078</v>
      </c>
      <c r="C2152" t="str">
        <f t="shared" si="120"/>
        <v>L-V</v>
      </c>
      <c r="D2152" t="str">
        <f t="shared" si="121"/>
        <v>Martes</v>
      </c>
    </row>
    <row r="2153" spans="1:4" x14ac:dyDescent="0.25">
      <c r="A2153" s="88" t="str">
        <f t="shared" si="119"/>
        <v>11-2028</v>
      </c>
      <c r="B2153" s="86">
        <v>47079</v>
      </c>
      <c r="C2153" t="str">
        <f t="shared" si="120"/>
        <v>L-V</v>
      </c>
      <c r="D2153" t="str">
        <f t="shared" si="121"/>
        <v>Miércoles</v>
      </c>
    </row>
    <row r="2154" spans="1:4" x14ac:dyDescent="0.25">
      <c r="A2154" s="88" t="str">
        <f t="shared" si="119"/>
        <v>11-2028</v>
      </c>
      <c r="B2154" s="86">
        <v>47080</v>
      </c>
      <c r="C2154" t="str">
        <f t="shared" si="120"/>
        <v>L-V</v>
      </c>
      <c r="D2154" t="str">
        <f t="shared" si="121"/>
        <v>Jueves</v>
      </c>
    </row>
    <row r="2155" spans="1:4" x14ac:dyDescent="0.25">
      <c r="A2155" s="88" t="str">
        <f t="shared" si="119"/>
        <v>11-2028</v>
      </c>
      <c r="B2155" s="86">
        <v>47081</v>
      </c>
      <c r="C2155" t="str">
        <f t="shared" si="120"/>
        <v>L-V</v>
      </c>
      <c r="D2155" t="str">
        <f t="shared" si="121"/>
        <v>Viernes</v>
      </c>
    </row>
    <row r="2156" spans="1:4" x14ac:dyDescent="0.25">
      <c r="A2156" s="88" t="str">
        <f t="shared" si="119"/>
        <v>11-2028</v>
      </c>
      <c r="B2156" s="86">
        <v>47082</v>
      </c>
      <c r="C2156" t="str">
        <f t="shared" si="120"/>
        <v>SAB</v>
      </c>
      <c r="D2156" t="str">
        <f t="shared" si="121"/>
        <v>Sábado</v>
      </c>
    </row>
    <row r="2157" spans="1:4" x14ac:dyDescent="0.25">
      <c r="A2157" s="88" t="str">
        <f t="shared" si="119"/>
        <v>11-2028</v>
      </c>
      <c r="B2157" s="86">
        <v>47083</v>
      </c>
      <c r="C2157" t="str">
        <f t="shared" si="120"/>
        <v>DOM</v>
      </c>
      <c r="D2157" t="str">
        <f t="shared" si="121"/>
        <v>Domingo</v>
      </c>
    </row>
    <row r="2158" spans="1:4" x14ac:dyDescent="0.25">
      <c r="A2158" s="88" t="str">
        <f t="shared" si="119"/>
        <v>11-2028</v>
      </c>
      <c r="B2158" s="86">
        <v>47084</v>
      </c>
      <c r="C2158" t="str">
        <f t="shared" si="120"/>
        <v>L-V</v>
      </c>
      <c r="D2158" t="str">
        <f t="shared" si="121"/>
        <v>Lunes</v>
      </c>
    </row>
    <row r="2159" spans="1:4" x14ac:dyDescent="0.25">
      <c r="A2159" s="88" t="str">
        <f t="shared" si="119"/>
        <v>11-2028</v>
      </c>
      <c r="B2159" s="86">
        <v>47085</v>
      </c>
      <c r="C2159" t="str">
        <f t="shared" si="120"/>
        <v>L-V</v>
      </c>
      <c r="D2159" t="str">
        <f t="shared" si="121"/>
        <v>Martes</v>
      </c>
    </row>
    <row r="2160" spans="1:4" x14ac:dyDescent="0.25">
      <c r="A2160" s="88" t="str">
        <f t="shared" si="119"/>
        <v>11-2028</v>
      </c>
      <c r="B2160" s="86">
        <v>47086</v>
      </c>
      <c r="C2160" t="str">
        <f t="shared" si="120"/>
        <v>L-V</v>
      </c>
      <c r="D2160" t="str">
        <f t="shared" si="121"/>
        <v>Miércoles</v>
      </c>
    </row>
    <row r="2161" spans="1:4" x14ac:dyDescent="0.25">
      <c r="A2161" s="88" t="str">
        <f t="shared" si="119"/>
        <v>11-2028</v>
      </c>
      <c r="B2161" s="86">
        <v>47087</v>
      </c>
      <c r="C2161" t="str">
        <f t="shared" si="120"/>
        <v>L-V</v>
      </c>
      <c r="D2161" t="str">
        <f t="shared" si="121"/>
        <v>Jueves</v>
      </c>
    </row>
    <row r="2162" spans="1:4" x14ac:dyDescent="0.25">
      <c r="A2162" s="88" t="str">
        <f t="shared" si="119"/>
        <v>12-2028</v>
      </c>
      <c r="B2162" s="86">
        <v>47088</v>
      </c>
      <c r="C2162" t="str">
        <f t="shared" si="120"/>
        <v>L-V</v>
      </c>
      <c r="D2162" t="str">
        <f t="shared" si="121"/>
        <v>Viernes</v>
      </c>
    </row>
    <row r="2163" spans="1:4" x14ac:dyDescent="0.25">
      <c r="A2163" s="88" t="str">
        <f t="shared" si="119"/>
        <v>12-2028</v>
      </c>
      <c r="B2163" s="86">
        <v>47089</v>
      </c>
      <c r="C2163" t="str">
        <f t="shared" si="120"/>
        <v>SAB</v>
      </c>
      <c r="D2163" t="str">
        <f t="shared" si="121"/>
        <v>Sábado</v>
      </c>
    </row>
    <row r="2164" spans="1:4" x14ac:dyDescent="0.25">
      <c r="A2164" s="88" t="str">
        <f t="shared" si="119"/>
        <v>12-2028</v>
      </c>
      <c r="B2164" s="86">
        <v>47090</v>
      </c>
      <c r="C2164" t="str">
        <f t="shared" si="120"/>
        <v>DOM</v>
      </c>
      <c r="D2164" t="str">
        <f t="shared" si="121"/>
        <v>Domingo</v>
      </c>
    </row>
    <row r="2165" spans="1:4" x14ac:dyDescent="0.25">
      <c r="A2165" s="88" t="str">
        <f t="shared" si="119"/>
        <v>12-2028</v>
      </c>
      <c r="B2165" s="86">
        <v>47091</v>
      </c>
      <c r="C2165" t="str">
        <f t="shared" si="120"/>
        <v>L-V</v>
      </c>
      <c r="D2165" t="str">
        <f t="shared" si="121"/>
        <v>Lunes</v>
      </c>
    </row>
    <row r="2166" spans="1:4" x14ac:dyDescent="0.25">
      <c r="A2166" s="88" t="str">
        <f t="shared" si="119"/>
        <v>12-2028</v>
      </c>
      <c r="B2166" s="86">
        <v>47092</v>
      </c>
      <c r="C2166" t="str">
        <f t="shared" si="120"/>
        <v>L-V</v>
      </c>
      <c r="D2166" t="str">
        <f t="shared" si="121"/>
        <v>Martes</v>
      </c>
    </row>
    <row r="2167" spans="1:4" x14ac:dyDescent="0.25">
      <c r="A2167" s="88" t="str">
        <f t="shared" si="119"/>
        <v>12-2028</v>
      </c>
      <c r="B2167" s="86">
        <v>47093</v>
      </c>
      <c r="C2167" t="str">
        <f t="shared" si="120"/>
        <v>L-V</v>
      </c>
      <c r="D2167" t="str">
        <f t="shared" si="121"/>
        <v>Miércoles</v>
      </c>
    </row>
    <row r="2168" spans="1:4" x14ac:dyDescent="0.25">
      <c r="A2168" s="88" t="str">
        <f t="shared" si="119"/>
        <v>12-2028</v>
      </c>
      <c r="B2168" s="86">
        <v>47094</v>
      </c>
      <c r="C2168" t="str">
        <f t="shared" si="120"/>
        <v>L-V</v>
      </c>
      <c r="D2168" t="str">
        <f t="shared" si="121"/>
        <v>Jueves</v>
      </c>
    </row>
    <row r="2169" spans="1:4" x14ac:dyDescent="0.25">
      <c r="A2169" s="88" t="str">
        <f t="shared" si="119"/>
        <v>12-2028</v>
      </c>
      <c r="B2169" s="86">
        <v>47095</v>
      </c>
      <c r="C2169" t="str">
        <f t="shared" si="120"/>
        <v>L-V</v>
      </c>
      <c r="D2169" t="str">
        <f t="shared" si="121"/>
        <v>Viernes</v>
      </c>
    </row>
    <row r="2170" spans="1:4" x14ac:dyDescent="0.25">
      <c r="A2170" s="88" t="str">
        <f t="shared" si="119"/>
        <v>12-2028</v>
      </c>
      <c r="B2170" s="86">
        <v>47096</v>
      </c>
      <c r="C2170" t="str">
        <f t="shared" si="120"/>
        <v>SAB</v>
      </c>
      <c r="D2170" t="str">
        <f t="shared" si="121"/>
        <v>Sábado</v>
      </c>
    </row>
    <row r="2171" spans="1:4" x14ac:dyDescent="0.25">
      <c r="A2171" s="88" t="str">
        <f t="shared" si="119"/>
        <v>12-2028</v>
      </c>
      <c r="B2171" s="86">
        <v>47097</v>
      </c>
      <c r="C2171" t="str">
        <f t="shared" si="120"/>
        <v>DOM</v>
      </c>
      <c r="D2171" t="str">
        <f t="shared" si="121"/>
        <v>Domingo</v>
      </c>
    </row>
    <row r="2172" spans="1:4" x14ac:dyDescent="0.25">
      <c r="A2172" s="88" t="str">
        <f t="shared" si="119"/>
        <v>12-2028</v>
      </c>
      <c r="B2172" s="86">
        <v>47098</v>
      </c>
      <c r="C2172" t="str">
        <f t="shared" si="120"/>
        <v>L-V</v>
      </c>
      <c r="D2172" t="str">
        <f t="shared" si="121"/>
        <v>Lunes</v>
      </c>
    </row>
    <row r="2173" spans="1:4" x14ac:dyDescent="0.25">
      <c r="A2173" s="88" t="str">
        <f t="shared" si="119"/>
        <v>12-2028</v>
      </c>
      <c r="B2173" s="86">
        <v>47099</v>
      </c>
      <c r="C2173" t="str">
        <f t="shared" si="120"/>
        <v>L-V</v>
      </c>
      <c r="D2173" t="str">
        <f t="shared" si="121"/>
        <v>Martes</v>
      </c>
    </row>
    <row r="2174" spans="1:4" x14ac:dyDescent="0.25">
      <c r="A2174" s="88" t="str">
        <f t="shared" si="119"/>
        <v>12-2028</v>
      </c>
      <c r="B2174" s="86">
        <v>47100</v>
      </c>
      <c r="C2174" t="str">
        <f t="shared" si="120"/>
        <v>L-V</v>
      </c>
      <c r="D2174" t="str">
        <f t="shared" si="121"/>
        <v>Miércoles</v>
      </c>
    </row>
    <row r="2175" spans="1:4" x14ac:dyDescent="0.25">
      <c r="A2175" s="88" t="str">
        <f t="shared" si="119"/>
        <v>12-2028</v>
      </c>
      <c r="B2175" s="86">
        <v>47101</v>
      </c>
      <c r="C2175" t="str">
        <f t="shared" si="120"/>
        <v>L-V</v>
      </c>
      <c r="D2175" t="str">
        <f t="shared" si="121"/>
        <v>Jueves</v>
      </c>
    </row>
    <row r="2176" spans="1:4" x14ac:dyDescent="0.25">
      <c r="A2176" s="88" t="str">
        <f t="shared" si="119"/>
        <v>12-2028</v>
      </c>
      <c r="B2176" s="86">
        <v>47102</v>
      </c>
      <c r="C2176" t="str">
        <f t="shared" si="120"/>
        <v>L-V</v>
      </c>
      <c r="D2176" t="str">
        <f t="shared" si="121"/>
        <v>Viernes</v>
      </c>
    </row>
    <row r="2177" spans="1:4" x14ac:dyDescent="0.25">
      <c r="A2177" s="88" t="str">
        <f t="shared" si="119"/>
        <v>12-2028</v>
      </c>
      <c r="B2177" s="86">
        <v>47103</v>
      </c>
      <c r="C2177" t="str">
        <f t="shared" si="120"/>
        <v>SAB</v>
      </c>
      <c r="D2177" t="str">
        <f t="shared" si="121"/>
        <v>Sábado</v>
      </c>
    </row>
    <row r="2178" spans="1:4" x14ac:dyDescent="0.25">
      <c r="A2178" s="88" t="str">
        <f t="shared" ref="A2178:A2241" si="122">MONTH(B2178)&amp;"-"&amp;YEAR(B2178)</f>
        <v>12-2028</v>
      </c>
      <c r="B2178" s="86">
        <v>47104</v>
      </c>
      <c r="C2178" t="str">
        <f t="shared" si="120"/>
        <v>DOM</v>
      </c>
      <c r="D2178" t="str">
        <f t="shared" si="121"/>
        <v>Domingo</v>
      </c>
    </row>
    <row r="2179" spans="1:4" x14ac:dyDescent="0.25">
      <c r="A2179" s="88" t="str">
        <f t="shared" si="122"/>
        <v>12-2028</v>
      </c>
      <c r="B2179" s="86">
        <v>47105</v>
      </c>
      <c r="C2179" t="str">
        <f t="shared" ref="C2179:C2242" si="123">VLOOKUP(WEEKDAY(B2179,2),$F$1:$H$7,2)</f>
        <v>L-V</v>
      </c>
      <c r="D2179" t="str">
        <f t="shared" ref="D2179:D2242" si="124">VLOOKUP(WEEKDAY($B2179,2),$F$1:$H$7,3)</f>
        <v>Lunes</v>
      </c>
    </row>
    <row r="2180" spans="1:4" x14ac:dyDescent="0.25">
      <c r="A2180" s="88" t="str">
        <f t="shared" si="122"/>
        <v>12-2028</v>
      </c>
      <c r="B2180" s="86">
        <v>47106</v>
      </c>
      <c r="C2180" t="str">
        <f t="shared" si="123"/>
        <v>L-V</v>
      </c>
      <c r="D2180" t="str">
        <f t="shared" si="124"/>
        <v>Martes</v>
      </c>
    </row>
    <row r="2181" spans="1:4" x14ac:dyDescent="0.25">
      <c r="A2181" s="88" t="str">
        <f t="shared" si="122"/>
        <v>12-2028</v>
      </c>
      <c r="B2181" s="86">
        <v>47107</v>
      </c>
      <c r="C2181" t="str">
        <f t="shared" si="123"/>
        <v>L-V</v>
      </c>
      <c r="D2181" t="str">
        <f t="shared" si="124"/>
        <v>Miércoles</v>
      </c>
    </row>
    <row r="2182" spans="1:4" x14ac:dyDescent="0.25">
      <c r="A2182" s="88" t="str">
        <f t="shared" si="122"/>
        <v>12-2028</v>
      </c>
      <c r="B2182" s="86">
        <v>47108</v>
      </c>
      <c r="C2182" t="str">
        <f t="shared" si="123"/>
        <v>L-V</v>
      </c>
      <c r="D2182" t="str">
        <f t="shared" si="124"/>
        <v>Jueves</v>
      </c>
    </row>
    <row r="2183" spans="1:4" x14ac:dyDescent="0.25">
      <c r="A2183" s="88" t="str">
        <f t="shared" si="122"/>
        <v>12-2028</v>
      </c>
      <c r="B2183" s="86">
        <v>47109</v>
      </c>
      <c r="C2183" t="str">
        <f t="shared" si="123"/>
        <v>L-V</v>
      </c>
      <c r="D2183" t="str">
        <f t="shared" si="124"/>
        <v>Viernes</v>
      </c>
    </row>
    <row r="2184" spans="1:4" x14ac:dyDescent="0.25">
      <c r="A2184" s="88" t="str">
        <f t="shared" si="122"/>
        <v>12-2028</v>
      </c>
      <c r="B2184" s="86">
        <v>47110</v>
      </c>
      <c r="C2184" t="str">
        <f t="shared" si="123"/>
        <v>SAB</v>
      </c>
      <c r="D2184" t="str">
        <f t="shared" si="124"/>
        <v>Sábado</v>
      </c>
    </row>
    <row r="2185" spans="1:4" x14ac:dyDescent="0.25">
      <c r="A2185" s="88" t="str">
        <f t="shared" si="122"/>
        <v>12-2028</v>
      </c>
      <c r="B2185" s="86">
        <v>47111</v>
      </c>
      <c r="C2185" t="str">
        <f t="shared" si="123"/>
        <v>DOM</v>
      </c>
      <c r="D2185" t="str">
        <f t="shared" si="124"/>
        <v>Domingo</v>
      </c>
    </row>
    <row r="2186" spans="1:4" x14ac:dyDescent="0.25">
      <c r="A2186" s="88" t="str">
        <f t="shared" si="122"/>
        <v>12-2028</v>
      </c>
      <c r="B2186" s="86">
        <v>47112</v>
      </c>
      <c r="C2186" t="str">
        <f t="shared" si="123"/>
        <v>L-V</v>
      </c>
      <c r="D2186" t="str">
        <f t="shared" si="124"/>
        <v>Lunes</v>
      </c>
    </row>
    <row r="2187" spans="1:4" x14ac:dyDescent="0.25">
      <c r="A2187" s="88" t="str">
        <f t="shared" si="122"/>
        <v>12-2028</v>
      </c>
      <c r="B2187" s="86">
        <v>47113</v>
      </c>
      <c r="C2187" t="str">
        <f t="shared" si="123"/>
        <v>L-V</v>
      </c>
      <c r="D2187" t="str">
        <f t="shared" si="124"/>
        <v>Martes</v>
      </c>
    </row>
    <row r="2188" spans="1:4" x14ac:dyDescent="0.25">
      <c r="A2188" s="88" t="str">
        <f t="shared" si="122"/>
        <v>12-2028</v>
      </c>
      <c r="B2188" s="86">
        <v>47114</v>
      </c>
      <c r="C2188" t="str">
        <f t="shared" si="123"/>
        <v>L-V</v>
      </c>
      <c r="D2188" t="str">
        <f t="shared" si="124"/>
        <v>Miércoles</v>
      </c>
    </row>
    <row r="2189" spans="1:4" x14ac:dyDescent="0.25">
      <c r="A2189" s="88" t="str">
        <f t="shared" si="122"/>
        <v>12-2028</v>
      </c>
      <c r="B2189" s="86">
        <v>47115</v>
      </c>
      <c r="C2189" t="str">
        <f t="shared" si="123"/>
        <v>L-V</v>
      </c>
      <c r="D2189" t="str">
        <f t="shared" si="124"/>
        <v>Jueves</v>
      </c>
    </row>
    <row r="2190" spans="1:4" x14ac:dyDescent="0.25">
      <c r="A2190" s="88" t="str">
        <f t="shared" si="122"/>
        <v>12-2028</v>
      </c>
      <c r="B2190" s="86">
        <v>47116</v>
      </c>
      <c r="C2190" t="str">
        <f t="shared" si="123"/>
        <v>L-V</v>
      </c>
      <c r="D2190" t="str">
        <f t="shared" si="124"/>
        <v>Viernes</v>
      </c>
    </row>
    <row r="2191" spans="1:4" x14ac:dyDescent="0.25">
      <c r="A2191" s="88" t="str">
        <f t="shared" si="122"/>
        <v>12-2028</v>
      </c>
      <c r="B2191" s="86">
        <v>47117</v>
      </c>
      <c r="C2191" t="str">
        <f t="shared" si="123"/>
        <v>SAB</v>
      </c>
      <c r="D2191" t="str">
        <f t="shared" si="124"/>
        <v>Sábado</v>
      </c>
    </row>
    <row r="2192" spans="1:4" x14ac:dyDescent="0.25">
      <c r="A2192" s="88" t="str">
        <f t="shared" si="122"/>
        <v>12-2028</v>
      </c>
      <c r="B2192" s="86">
        <v>47118</v>
      </c>
      <c r="C2192" t="str">
        <f t="shared" si="123"/>
        <v>DOM</v>
      </c>
      <c r="D2192" t="str">
        <f t="shared" si="124"/>
        <v>Domingo</v>
      </c>
    </row>
    <row r="2193" spans="1:4" x14ac:dyDescent="0.25">
      <c r="A2193" s="88" t="str">
        <f t="shared" si="122"/>
        <v>1-2029</v>
      </c>
      <c r="B2193" s="86">
        <v>47119</v>
      </c>
      <c r="C2193" t="str">
        <f t="shared" si="123"/>
        <v>L-V</v>
      </c>
      <c r="D2193" t="str">
        <f t="shared" si="124"/>
        <v>Lunes</v>
      </c>
    </row>
    <row r="2194" spans="1:4" x14ac:dyDescent="0.25">
      <c r="A2194" s="88" t="str">
        <f t="shared" si="122"/>
        <v>1-2029</v>
      </c>
      <c r="B2194" s="86">
        <v>47120</v>
      </c>
      <c r="C2194" t="str">
        <f t="shared" si="123"/>
        <v>L-V</v>
      </c>
      <c r="D2194" t="str">
        <f t="shared" si="124"/>
        <v>Martes</v>
      </c>
    </row>
    <row r="2195" spans="1:4" x14ac:dyDescent="0.25">
      <c r="A2195" s="88" t="str">
        <f t="shared" si="122"/>
        <v>1-2029</v>
      </c>
      <c r="B2195" s="86">
        <v>47121</v>
      </c>
      <c r="C2195" t="str">
        <f t="shared" si="123"/>
        <v>L-V</v>
      </c>
      <c r="D2195" t="str">
        <f t="shared" si="124"/>
        <v>Miércoles</v>
      </c>
    </row>
    <row r="2196" spans="1:4" x14ac:dyDescent="0.25">
      <c r="A2196" s="88" t="str">
        <f t="shared" si="122"/>
        <v>1-2029</v>
      </c>
      <c r="B2196" s="86">
        <v>47122</v>
      </c>
      <c r="C2196" t="str">
        <f t="shared" si="123"/>
        <v>L-V</v>
      </c>
      <c r="D2196" t="str">
        <f t="shared" si="124"/>
        <v>Jueves</v>
      </c>
    </row>
    <row r="2197" spans="1:4" x14ac:dyDescent="0.25">
      <c r="A2197" s="88" t="str">
        <f t="shared" si="122"/>
        <v>1-2029</v>
      </c>
      <c r="B2197" s="86">
        <v>47123</v>
      </c>
      <c r="C2197" t="str">
        <f t="shared" si="123"/>
        <v>L-V</v>
      </c>
      <c r="D2197" t="str">
        <f t="shared" si="124"/>
        <v>Viernes</v>
      </c>
    </row>
    <row r="2198" spans="1:4" x14ac:dyDescent="0.25">
      <c r="A2198" s="88" t="str">
        <f t="shared" si="122"/>
        <v>1-2029</v>
      </c>
      <c r="B2198" s="86">
        <v>47124</v>
      </c>
      <c r="C2198" t="str">
        <f t="shared" si="123"/>
        <v>SAB</v>
      </c>
      <c r="D2198" t="str">
        <f t="shared" si="124"/>
        <v>Sábado</v>
      </c>
    </row>
    <row r="2199" spans="1:4" x14ac:dyDescent="0.25">
      <c r="A2199" s="88" t="str">
        <f t="shared" si="122"/>
        <v>1-2029</v>
      </c>
      <c r="B2199" s="86">
        <v>47125</v>
      </c>
      <c r="C2199" t="str">
        <f t="shared" si="123"/>
        <v>DOM</v>
      </c>
      <c r="D2199" t="str">
        <f t="shared" si="124"/>
        <v>Domingo</v>
      </c>
    </row>
    <row r="2200" spans="1:4" x14ac:dyDescent="0.25">
      <c r="A2200" s="88" t="str">
        <f t="shared" si="122"/>
        <v>1-2029</v>
      </c>
      <c r="B2200" s="86">
        <v>47126</v>
      </c>
      <c r="C2200" t="str">
        <f t="shared" si="123"/>
        <v>L-V</v>
      </c>
      <c r="D2200" t="str">
        <f t="shared" si="124"/>
        <v>Lunes</v>
      </c>
    </row>
    <row r="2201" spans="1:4" x14ac:dyDescent="0.25">
      <c r="A2201" s="88" t="str">
        <f t="shared" si="122"/>
        <v>1-2029</v>
      </c>
      <c r="B2201" s="86">
        <v>47127</v>
      </c>
      <c r="C2201" t="str">
        <f t="shared" si="123"/>
        <v>L-V</v>
      </c>
      <c r="D2201" t="str">
        <f t="shared" si="124"/>
        <v>Martes</v>
      </c>
    </row>
    <row r="2202" spans="1:4" x14ac:dyDescent="0.25">
      <c r="A2202" s="88" t="str">
        <f t="shared" si="122"/>
        <v>1-2029</v>
      </c>
      <c r="B2202" s="86">
        <v>47128</v>
      </c>
      <c r="C2202" t="str">
        <f t="shared" si="123"/>
        <v>L-V</v>
      </c>
      <c r="D2202" t="str">
        <f t="shared" si="124"/>
        <v>Miércoles</v>
      </c>
    </row>
    <row r="2203" spans="1:4" x14ac:dyDescent="0.25">
      <c r="A2203" s="88" t="str">
        <f t="shared" si="122"/>
        <v>1-2029</v>
      </c>
      <c r="B2203" s="86">
        <v>47129</v>
      </c>
      <c r="C2203" t="str">
        <f t="shared" si="123"/>
        <v>L-V</v>
      </c>
      <c r="D2203" t="str">
        <f t="shared" si="124"/>
        <v>Jueves</v>
      </c>
    </row>
    <row r="2204" spans="1:4" x14ac:dyDescent="0.25">
      <c r="A2204" s="88" t="str">
        <f t="shared" si="122"/>
        <v>1-2029</v>
      </c>
      <c r="B2204" s="86">
        <v>47130</v>
      </c>
      <c r="C2204" t="str">
        <f t="shared" si="123"/>
        <v>L-V</v>
      </c>
      <c r="D2204" t="str">
        <f t="shared" si="124"/>
        <v>Viernes</v>
      </c>
    </row>
    <row r="2205" spans="1:4" x14ac:dyDescent="0.25">
      <c r="A2205" s="88" t="str">
        <f t="shared" si="122"/>
        <v>1-2029</v>
      </c>
      <c r="B2205" s="86">
        <v>47131</v>
      </c>
      <c r="C2205" t="str">
        <f t="shared" si="123"/>
        <v>SAB</v>
      </c>
      <c r="D2205" t="str">
        <f t="shared" si="124"/>
        <v>Sábado</v>
      </c>
    </row>
    <row r="2206" spans="1:4" x14ac:dyDescent="0.25">
      <c r="A2206" s="88" t="str">
        <f t="shared" si="122"/>
        <v>1-2029</v>
      </c>
      <c r="B2206" s="86">
        <v>47132</v>
      </c>
      <c r="C2206" t="str">
        <f t="shared" si="123"/>
        <v>DOM</v>
      </c>
      <c r="D2206" t="str">
        <f t="shared" si="124"/>
        <v>Domingo</v>
      </c>
    </row>
    <row r="2207" spans="1:4" x14ac:dyDescent="0.25">
      <c r="A2207" s="88" t="str">
        <f t="shared" si="122"/>
        <v>1-2029</v>
      </c>
      <c r="B2207" s="86">
        <v>47133</v>
      </c>
      <c r="C2207" t="str">
        <f t="shared" si="123"/>
        <v>L-V</v>
      </c>
      <c r="D2207" t="str">
        <f t="shared" si="124"/>
        <v>Lunes</v>
      </c>
    </row>
    <row r="2208" spans="1:4" x14ac:dyDescent="0.25">
      <c r="A2208" s="88" t="str">
        <f t="shared" si="122"/>
        <v>1-2029</v>
      </c>
      <c r="B2208" s="86">
        <v>47134</v>
      </c>
      <c r="C2208" t="str">
        <f t="shared" si="123"/>
        <v>L-V</v>
      </c>
      <c r="D2208" t="str">
        <f t="shared" si="124"/>
        <v>Martes</v>
      </c>
    </row>
    <row r="2209" spans="1:4" x14ac:dyDescent="0.25">
      <c r="A2209" s="88" t="str">
        <f t="shared" si="122"/>
        <v>1-2029</v>
      </c>
      <c r="B2209" s="86">
        <v>47135</v>
      </c>
      <c r="C2209" t="str">
        <f t="shared" si="123"/>
        <v>L-V</v>
      </c>
      <c r="D2209" t="str">
        <f t="shared" si="124"/>
        <v>Miércoles</v>
      </c>
    </row>
    <row r="2210" spans="1:4" x14ac:dyDescent="0.25">
      <c r="A2210" s="88" t="str">
        <f t="shared" si="122"/>
        <v>1-2029</v>
      </c>
      <c r="B2210" s="86">
        <v>47136</v>
      </c>
      <c r="C2210" t="str">
        <f t="shared" si="123"/>
        <v>L-V</v>
      </c>
      <c r="D2210" t="str">
        <f t="shared" si="124"/>
        <v>Jueves</v>
      </c>
    </row>
    <row r="2211" spans="1:4" x14ac:dyDescent="0.25">
      <c r="A2211" s="88" t="str">
        <f t="shared" si="122"/>
        <v>1-2029</v>
      </c>
      <c r="B2211" s="86">
        <v>47137</v>
      </c>
      <c r="C2211" t="str">
        <f t="shared" si="123"/>
        <v>L-V</v>
      </c>
      <c r="D2211" t="str">
        <f t="shared" si="124"/>
        <v>Viernes</v>
      </c>
    </row>
    <row r="2212" spans="1:4" x14ac:dyDescent="0.25">
      <c r="A2212" s="88" t="str">
        <f t="shared" si="122"/>
        <v>1-2029</v>
      </c>
      <c r="B2212" s="86">
        <v>47138</v>
      </c>
      <c r="C2212" t="str">
        <f t="shared" si="123"/>
        <v>SAB</v>
      </c>
      <c r="D2212" t="str">
        <f t="shared" si="124"/>
        <v>Sábado</v>
      </c>
    </row>
    <row r="2213" spans="1:4" x14ac:dyDescent="0.25">
      <c r="A2213" s="88" t="str">
        <f t="shared" si="122"/>
        <v>1-2029</v>
      </c>
      <c r="B2213" s="86">
        <v>47139</v>
      </c>
      <c r="C2213" t="str">
        <f t="shared" si="123"/>
        <v>DOM</v>
      </c>
      <c r="D2213" t="str">
        <f t="shared" si="124"/>
        <v>Domingo</v>
      </c>
    </row>
    <row r="2214" spans="1:4" x14ac:dyDescent="0.25">
      <c r="A2214" s="88" t="str">
        <f t="shared" si="122"/>
        <v>1-2029</v>
      </c>
      <c r="B2214" s="86">
        <v>47140</v>
      </c>
      <c r="C2214" t="str">
        <f t="shared" si="123"/>
        <v>L-V</v>
      </c>
      <c r="D2214" t="str">
        <f t="shared" si="124"/>
        <v>Lunes</v>
      </c>
    </row>
    <row r="2215" spans="1:4" x14ac:dyDescent="0.25">
      <c r="A2215" s="88" t="str">
        <f t="shared" si="122"/>
        <v>1-2029</v>
      </c>
      <c r="B2215" s="86">
        <v>47141</v>
      </c>
      <c r="C2215" t="str">
        <f t="shared" si="123"/>
        <v>L-V</v>
      </c>
      <c r="D2215" t="str">
        <f t="shared" si="124"/>
        <v>Martes</v>
      </c>
    </row>
    <row r="2216" spans="1:4" x14ac:dyDescent="0.25">
      <c r="A2216" s="88" t="str">
        <f t="shared" si="122"/>
        <v>1-2029</v>
      </c>
      <c r="B2216" s="86">
        <v>47142</v>
      </c>
      <c r="C2216" t="str">
        <f t="shared" si="123"/>
        <v>L-V</v>
      </c>
      <c r="D2216" t="str">
        <f t="shared" si="124"/>
        <v>Miércoles</v>
      </c>
    </row>
    <row r="2217" spans="1:4" x14ac:dyDescent="0.25">
      <c r="A2217" s="88" t="str">
        <f t="shared" si="122"/>
        <v>1-2029</v>
      </c>
      <c r="B2217" s="86">
        <v>47143</v>
      </c>
      <c r="C2217" t="str">
        <f t="shared" si="123"/>
        <v>L-V</v>
      </c>
      <c r="D2217" t="str">
        <f t="shared" si="124"/>
        <v>Jueves</v>
      </c>
    </row>
    <row r="2218" spans="1:4" x14ac:dyDescent="0.25">
      <c r="A2218" s="88" t="str">
        <f t="shared" si="122"/>
        <v>1-2029</v>
      </c>
      <c r="B2218" s="86">
        <v>47144</v>
      </c>
      <c r="C2218" t="str">
        <f t="shared" si="123"/>
        <v>L-V</v>
      </c>
      <c r="D2218" t="str">
        <f t="shared" si="124"/>
        <v>Viernes</v>
      </c>
    </row>
    <row r="2219" spans="1:4" x14ac:dyDescent="0.25">
      <c r="A2219" s="88" t="str">
        <f t="shared" si="122"/>
        <v>1-2029</v>
      </c>
      <c r="B2219" s="86">
        <v>47145</v>
      </c>
      <c r="C2219" t="str">
        <f t="shared" si="123"/>
        <v>SAB</v>
      </c>
      <c r="D2219" t="str">
        <f t="shared" si="124"/>
        <v>Sábado</v>
      </c>
    </row>
    <row r="2220" spans="1:4" x14ac:dyDescent="0.25">
      <c r="A2220" s="88" t="str">
        <f t="shared" si="122"/>
        <v>1-2029</v>
      </c>
      <c r="B2220" s="86">
        <v>47146</v>
      </c>
      <c r="C2220" t="str">
        <f t="shared" si="123"/>
        <v>DOM</v>
      </c>
      <c r="D2220" t="str">
        <f t="shared" si="124"/>
        <v>Domingo</v>
      </c>
    </row>
    <row r="2221" spans="1:4" x14ac:dyDescent="0.25">
      <c r="A2221" s="88" t="str">
        <f t="shared" si="122"/>
        <v>1-2029</v>
      </c>
      <c r="B2221" s="86">
        <v>47147</v>
      </c>
      <c r="C2221" t="str">
        <f t="shared" si="123"/>
        <v>L-V</v>
      </c>
      <c r="D2221" t="str">
        <f t="shared" si="124"/>
        <v>Lunes</v>
      </c>
    </row>
    <row r="2222" spans="1:4" x14ac:dyDescent="0.25">
      <c r="A2222" s="88" t="str">
        <f t="shared" si="122"/>
        <v>1-2029</v>
      </c>
      <c r="B2222" s="86">
        <v>47148</v>
      </c>
      <c r="C2222" t="str">
        <f t="shared" si="123"/>
        <v>L-V</v>
      </c>
      <c r="D2222" t="str">
        <f t="shared" si="124"/>
        <v>Martes</v>
      </c>
    </row>
    <row r="2223" spans="1:4" x14ac:dyDescent="0.25">
      <c r="A2223" s="88" t="str">
        <f t="shared" si="122"/>
        <v>1-2029</v>
      </c>
      <c r="B2223" s="86">
        <v>47149</v>
      </c>
      <c r="C2223" t="str">
        <f t="shared" si="123"/>
        <v>L-V</v>
      </c>
      <c r="D2223" t="str">
        <f t="shared" si="124"/>
        <v>Miércoles</v>
      </c>
    </row>
    <row r="2224" spans="1:4" x14ac:dyDescent="0.25">
      <c r="A2224" s="88" t="str">
        <f t="shared" si="122"/>
        <v>2-2029</v>
      </c>
      <c r="B2224" s="86">
        <v>47150</v>
      </c>
      <c r="C2224" t="str">
        <f t="shared" si="123"/>
        <v>L-V</v>
      </c>
      <c r="D2224" t="str">
        <f t="shared" si="124"/>
        <v>Jueves</v>
      </c>
    </row>
    <row r="2225" spans="1:4" x14ac:dyDescent="0.25">
      <c r="A2225" s="88" t="str">
        <f t="shared" si="122"/>
        <v>2-2029</v>
      </c>
      <c r="B2225" s="86">
        <v>47151</v>
      </c>
      <c r="C2225" t="str">
        <f t="shared" si="123"/>
        <v>L-V</v>
      </c>
      <c r="D2225" t="str">
        <f t="shared" si="124"/>
        <v>Viernes</v>
      </c>
    </row>
    <row r="2226" spans="1:4" x14ac:dyDescent="0.25">
      <c r="A2226" s="88" t="str">
        <f t="shared" si="122"/>
        <v>2-2029</v>
      </c>
      <c r="B2226" s="86">
        <v>47152</v>
      </c>
      <c r="C2226" t="str">
        <f t="shared" si="123"/>
        <v>SAB</v>
      </c>
      <c r="D2226" t="str">
        <f t="shared" si="124"/>
        <v>Sábado</v>
      </c>
    </row>
    <row r="2227" spans="1:4" x14ac:dyDescent="0.25">
      <c r="A2227" s="88" t="str">
        <f t="shared" si="122"/>
        <v>2-2029</v>
      </c>
      <c r="B2227" s="86">
        <v>47153</v>
      </c>
      <c r="C2227" t="str">
        <f t="shared" si="123"/>
        <v>DOM</v>
      </c>
      <c r="D2227" t="str">
        <f t="shared" si="124"/>
        <v>Domingo</v>
      </c>
    </row>
    <row r="2228" spans="1:4" x14ac:dyDescent="0.25">
      <c r="A2228" s="88" t="str">
        <f t="shared" si="122"/>
        <v>2-2029</v>
      </c>
      <c r="B2228" s="86">
        <v>47154</v>
      </c>
      <c r="C2228" t="str">
        <f t="shared" si="123"/>
        <v>L-V</v>
      </c>
      <c r="D2228" t="str">
        <f t="shared" si="124"/>
        <v>Lunes</v>
      </c>
    </row>
    <row r="2229" spans="1:4" x14ac:dyDescent="0.25">
      <c r="A2229" s="88" t="str">
        <f t="shared" si="122"/>
        <v>2-2029</v>
      </c>
      <c r="B2229" s="86">
        <v>47155</v>
      </c>
      <c r="C2229" t="str">
        <f t="shared" si="123"/>
        <v>L-V</v>
      </c>
      <c r="D2229" t="str">
        <f t="shared" si="124"/>
        <v>Martes</v>
      </c>
    </row>
    <row r="2230" spans="1:4" x14ac:dyDescent="0.25">
      <c r="A2230" s="88" t="str">
        <f t="shared" si="122"/>
        <v>2-2029</v>
      </c>
      <c r="B2230" s="86">
        <v>47156</v>
      </c>
      <c r="C2230" t="str">
        <f t="shared" si="123"/>
        <v>L-V</v>
      </c>
      <c r="D2230" t="str">
        <f t="shared" si="124"/>
        <v>Miércoles</v>
      </c>
    </row>
    <row r="2231" spans="1:4" x14ac:dyDescent="0.25">
      <c r="A2231" s="88" t="str">
        <f t="shared" si="122"/>
        <v>2-2029</v>
      </c>
      <c r="B2231" s="86">
        <v>47157</v>
      </c>
      <c r="C2231" t="str">
        <f t="shared" si="123"/>
        <v>L-V</v>
      </c>
      <c r="D2231" t="str">
        <f t="shared" si="124"/>
        <v>Jueves</v>
      </c>
    </row>
    <row r="2232" spans="1:4" x14ac:dyDescent="0.25">
      <c r="A2232" s="88" t="str">
        <f t="shared" si="122"/>
        <v>2-2029</v>
      </c>
      <c r="B2232" s="86">
        <v>47158</v>
      </c>
      <c r="C2232" t="str">
        <f t="shared" si="123"/>
        <v>L-V</v>
      </c>
      <c r="D2232" t="str">
        <f t="shared" si="124"/>
        <v>Viernes</v>
      </c>
    </row>
    <row r="2233" spans="1:4" x14ac:dyDescent="0.25">
      <c r="A2233" s="88" t="str">
        <f t="shared" si="122"/>
        <v>2-2029</v>
      </c>
      <c r="B2233" s="86">
        <v>47159</v>
      </c>
      <c r="C2233" t="str">
        <f t="shared" si="123"/>
        <v>SAB</v>
      </c>
      <c r="D2233" t="str">
        <f t="shared" si="124"/>
        <v>Sábado</v>
      </c>
    </row>
    <row r="2234" spans="1:4" x14ac:dyDescent="0.25">
      <c r="A2234" s="88" t="str">
        <f t="shared" si="122"/>
        <v>2-2029</v>
      </c>
      <c r="B2234" s="86">
        <v>47160</v>
      </c>
      <c r="C2234" t="str">
        <f t="shared" si="123"/>
        <v>DOM</v>
      </c>
      <c r="D2234" t="str">
        <f t="shared" si="124"/>
        <v>Domingo</v>
      </c>
    </row>
    <row r="2235" spans="1:4" x14ac:dyDescent="0.25">
      <c r="A2235" s="88" t="str">
        <f t="shared" si="122"/>
        <v>2-2029</v>
      </c>
      <c r="B2235" s="86">
        <v>47161</v>
      </c>
      <c r="C2235" t="str">
        <f t="shared" si="123"/>
        <v>L-V</v>
      </c>
      <c r="D2235" t="str">
        <f t="shared" si="124"/>
        <v>Lunes</v>
      </c>
    </row>
    <row r="2236" spans="1:4" x14ac:dyDescent="0.25">
      <c r="A2236" s="88" t="str">
        <f t="shared" si="122"/>
        <v>2-2029</v>
      </c>
      <c r="B2236" s="86">
        <v>47162</v>
      </c>
      <c r="C2236" t="str">
        <f t="shared" si="123"/>
        <v>L-V</v>
      </c>
      <c r="D2236" t="str">
        <f t="shared" si="124"/>
        <v>Martes</v>
      </c>
    </row>
    <row r="2237" spans="1:4" x14ac:dyDescent="0.25">
      <c r="A2237" s="88" t="str">
        <f t="shared" si="122"/>
        <v>2-2029</v>
      </c>
      <c r="B2237" s="86">
        <v>47163</v>
      </c>
      <c r="C2237" t="str">
        <f t="shared" si="123"/>
        <v>L-V</v>
      </c>
      <c r="D2237" t="str">
        <f t="shared" si="124"/>
        <v>Miércoles</v>
      </c>
    </row>
    <row r="2238" spans="1:4" x14ac:dyDescent="0.25">
      <c r="A2238" s="88" t="str">
        <f t="shared" si="122"/>
        <v>2-2029</v>
      </c>
      <c r="B2238" s="86">
        <v>47164</v>
      </c>
      <c r="C2238" t="str">
        <f t="shared" si="123"/>
        <v>L-V</v>
      </c>
      <c r="D2238" t="str">
        <f t="shared" si="124"/>
        <v>Jueves</v>
      </c>
    </row>
    <row r="2239" spans="1:4" x14ac:dyDescent="0.25">
      <c r="A2239" s="88" t="str">
        <f t="shared" si="122"/>
        <v>2-2029</v>
      </c>
      <c r="B2239" s="86">
        <v>47165</v>
      </c>
      <c r="C2239" t="str">
        <f t="shared" si="123"/>
        <v>L-V</v>
      </c>
      <c r="D2239" t="str">
        <f t="shared" si="124"/>
        <v>Viernes</v>
      </c>
    </row>
    <row r="2240" spans="1:4" x14ac:dyDescent="0.25">
      <c r="A2240" s="88" t="str">
        <f t="shared" si="122"/>
        <v>2-2029</v>
      </c>
      <c r="B2240" s="86">
        <v>47166</v>
      </c>
      <c r="C2240" t="str">
        <f t="shared" si="123"/>
        <v>SAB</v>
      </c>
      <c r="D2240" t="str">
        <f t="shared" si="124"/>
        <v>Sábado</v>
      </c>
    </row>
    <row r="2241" spans="1:4" x14ac:dyDescent="0.25">
      <c r="A2241" s="88" t="str">
        <f t="shared" si="122"/>
        <v>2-2029</v>
      </c>
      <c r="B2241" s="86">
        <v>47167</v>
      </c>
      <c r="C2241" t="str">
        <f t="shared" si="123"/>
        <v>DOM</v>
      </c>
      <c r="D2241" t="str">
        <f t="shared" si="124"/>
        <v>Domingo</v>
      </c>
    </row>
    <row r="2242" spans="1:4" x14ac:dyDescent="0.25">
      <c r="A2242" s="88" t="str">
        <f t="shared" ref="A2242:A2305" si="125">MONTH(B2242)&amp;"-"&amp;YEAR(B2242)</f>
        <v>2-2029</v>
      </c>
      <c r="B2242" s="86">
        <v>47168</v>
      </c>
      <c r="C2242" t="str">
        <f t="shared" si="123"/>
        <v>L-V</v>
      </c>
      <c r="D2242" t="str">
        <f t="shared" si="124"/>
        <v>Lunes</v>
      </c>
    </row>
    <row r="2243" spans="1:4" x14ac:dyDescent="0.25">
      <c r="A2243" s="88" t="str">
        <f t="shared" si="125"/>
        <v>2-2029</v>
      </c>
      <c r="B2243" s="86">
        <v>47169</v>
      </c>
      <c r="C2243" t="str">
        <f t="shared" ref="C2243:C2306" si="126">VLOOKUP(WEEKDAY(B2243,2),$F$1:$H$7,2)</f>
        <v>L-V</v>
      </c>
      <c r="D2243" t="str">
        <f t="shared" ref="D2243:D2306" si="127">VLOOKUP(WEEKDAY($B2243,2),$F$1:$H$7,3)</f>
        <v>Martes</v>
      </c>
    </row>
    <row r="2244" spans="1:4" x14ac:dyDescent="0.25">
      <c r="A2244" s="88" t="str">
        <f t="shared" si="125"/>
        <v>2-2029</v>
      </c>
      <c r="B2244" s="86">
        <v>47170</v>
      </c>
      <c r="C2244" t="str">
        <f t="shared" si="126"/>
        <v>L-V</v>
      </c>
      <c r="D2244" t="str">
        <f t="shared" si="127"/>
        <v>Miércoles</v>
      </c>
    </row>
    <row r="2245" spans="1:4" x14ac:dyDescent="0.25">
      <c r="A2245" s="88" t="str">
        <f t="shared" si="125"/>
        <v>2-2029</v>
      </c>
      <c r="B2245" s="86">
        <v>47171</v>
      </c>
      <c r="C2245" t="str">
        <f t="shared" si="126"/>
        <v>L-V</v>
      </c>
      <c r="D2245" t="str">
        <f t="shared" si="127"/>
        <v>Jueves</v>
      </c>
    </row>
    <row r="2246" spans="1:4" x14ac:dyDescent="0.25">
      <c r="A2246" s="88" t="str">
        <f t="shared" si="125"/>
        <v>2-2029</v>
      </c>
      <c r="B2246" s="86">
        <v>47172</v>
      </c>
      <c r="C2246" t="str">
        <f t="shared" si="126"/>
        <v>L-V</v>
      </c>
      <c r="D2246" t="str">
        <f t="shared" si="127"/>
        <v>Viernes</v>
      </c>
    </row>
    <row r="2247" spans="1:4" x14ac:dyDescent="0.25">
      <c r="A2247" s="88" t="str">
        <f t="shared" si="125"/>
        <v>2-2029</v>
      </c>
      <c r="B2247" s="86">
        <v>47173</v>
      </c>
      <c r="C2247" t="str">
        <f t="shared" si="126"/>
        <v>SAB</v>
      </c>
      <c r="D2247" t="str">
        <f t="shared" si="127"/>
        <v>Sábado</v>
      </c>
    </row>
    <row r="2248" spans="1:4" x14ac:dyDescent="0.25">
      <c r="A2248" s="88" t="str">
        <f t="shared" si="125"/>
        <v>2-2029</v>
      </c>
      <c r="B2248" s="86">
        <v>47174</v>
      </c>
      <c r="C2248" t="str">
        <f t="shared" si="126"/>
        <v>DOM</v>
      </c>
      <c r="D2248" t="str">
        <f t="shared" si="127"/>
        <v>Domingo</v>
      </c>
    </row>
    <row r="2249" spans="1:4" x14ac:dyDescent="0.25">
      <c r="A2249" s="88" t="str">
        <f t="shared" si="125"/>
        <v>2-2029</v>
      </c>
      <c r="B2249" s="86">
        <v>47175</v>
      </c>
      <c r="C2249" t="str">
        <f t="shared" si="126"/>
        <v>L-V</v>
      </c>
      <c r="D2249" t="str">
        <f t="shared" si="127"/>
        <v>Lunes</v>
      </c>
    </row>
    <row r="2250" spans="1:4" x14ac:dyDescent="0.25">
      <c r="A2250" s="88" t="str">
        <f t="shared" si="125"/>
        <v>2-2029</v>
      </c>
      <c r="B2250" s="86">
        <v>47176</v>
      </c>
      <c r="C2250" t="str">
        <f t="shared" si="126"/>
        <v>L-V</v>
      </c>
      <c r="D2250" t="str">
        <f t="shared" si="127"/>
        <v>Martes</v>
      </c>
    </row>
    <row r="2251" spans="1:4" x14ac:dyDescent="0.25">
      <c r="A2251" s="88" t="str">
        <f t="shared" si="125"/>
        <v>2-2029</v>
      </c>
      <c r="B2251" s="86">
        <v>47177</v>
      </c>
      <c r="C2251" t="str">
        <f t="shared" si="126"/>
        <v>L-V</v>
      </c>
      <c r="D2251" t="str">
        <f t="shared" si="127"/>
        <v>Miércoles</v>
      </c>
    </row>
    <row r="2252" spans="1:4" x14ac:dyDescent="0.25">
      <c r="A2252" s="88" t="str">
        <f t="shared" si="125"/>
        <v>3-2029</v>
      </c>
      <c r="B2252" s="86">
        <v>47178</v>
      </c>
      <c r="C2252" t="str">
        <f t="shared" si="126"/>
        <v>L-V</v>
      </c>
      <c r="D2252" t="str">
        <f t="shared" si="127"/>
        <v>Jueves</v>
      </c>
    </row>
    <row r="2253" spans="1:4" x14ac:dyDescent="0.25">
      <c r="A2253" s="88" t="str">
        <f t="shared" si="125"/>
        <v>3-2029</v>
      </c>
      <c r="B2253" s="86">
        <v>47179</v>
      </c>
      <c r="C2253" t="str">
        <f t="shared" si="126"/>
        <v>L-V</v>
      </c>
      <c r="D2253" t="str">
        <f t="shared" si="127"/>
        <v>Viernes</v>
      </c>
    </row>
    <row r="2254" spans="1:4" x14ac:dyDescent="0.25">
      <c r="A2254" s="88" t="str">
        <f t="shared" si="125"/>
        <v>3-2029</v>
      </c>
      <c r="B2254" s="86">
        <v>47180</v>
      </c>
      <c r="C2254" t="str">
        <f t="shared" si="126"/>
        <v>SAB</v>
      </c>
      <c r="D2254" t="str">
        <f t="shared" si="127"/>
        <v>Sábado</v>
      </c>
    </row>
    <row r="2255" spans="1:4" x14ac:dyDescent="0.25">
      <c r="A2255" s="88" t="str">
        <f t="shared" si="125"/>
        <v>3-2029</v>
      </c>
      <c r="B2255" s="86">
        <v>47181</v>
      </c>
      <c r="C2255" t="str">
        <f t="shared" si="126"/>
        <v>DOM</v>
      </c>
      <c r="D2255" t="str">
        <f t="shared" si="127"/>
        <v>Domingo</v>
      </c>
    </row>
    <row r="2256" spans="1:4" x14ac:dyDescent="0.25">
      <c r="A2256" s="88" t="str">
        <f t="shared" si="125"/>
        <v>3-2029</v>
      </c>
      <c r="B2256" s="86">
        <v>47182</v>
      </c>
      <c r="C2256" t="str">
        <f t="shared" si="126"/>
        <v>L-V</v>
      </c>
      <c r="D2256" t="str">
        <f t="shared" si="127"/>
        <v>Lunes</v>
      </c>
    </row>
    <row r="2257" spans="1:4" x14ac:dyDescent="0.25">
      <c r="A2257" s="88" t="str">
        <f t="shared" si="125"/>
        <v>3-2029</v>
      </c>
      <c r="B2257" s="86">
        <v>47183</v>
      </c>
      <c r="C2257" t="str">
        <f t="shared" si="126"/>
        <v>L-V</v>
      </c>
      <c r="D2257" t="str">
        <f t="shared" si="127"/>
        <v>Martes</v>
      </c>
    </row>
    <row r="2258" spans="1:4" x14ac:dyDescent="0.25">
      <c r="A2258" s="88" t="str">
        <f t="shared" si="125"/>
        <v>3-2029</v>
      </c>
      <c r="B2258" s="86">
        <v>47184</v>
      </c>
      <c r="C2258" t="str">
        <f t="shared" si="126"/>
        <v>L-V</v>
      </c>
      <c r="D2258" t="str">
        <f t="shared" si="127"/>
        <v>Miércoles</v>
      </c>
    </row>
    <row r="2259" spans="1:4" x14ac:dyDescent="0.25">
      <c r="A2259" s="88" t="str">
        <f t="shared" si="125"/>
        <v>3-2029</v>
      </c>
      <c r="B2259" s="86">
        <v>47185</v>
      </c>
      <c r="C2259" t="str">
        <f t="shared" si="126"/>
        <v>L-V</v>
      </c>
      <c r="D2259" t="str">
        <f t="shared" si="127"/>
        <v>Jueves</v>
      </c>
    </row>
    <row r="2260" spans="1:4" x14ac:dyDescent="0.25">
      <c r="A2260" s="88" t="str">
        <f t="shared" si="125"/>
        <v>3-2029</v>
      </c>
      <c r="B2260" s="86">
        <v>47186</v>
      </c>
      <c r="C2260" t="str">
        <f t="shared" si="126"/>
        <v>L-V</v>
      </c>
      <c r="D2260" t="str">
        <f t="shared" si="127"/>
        <v>Viernes</v>
      </c>
    </row>
    <row r="2261" spans="1:4" x14ac:dyDescent="0.25">
      <c r="A2261" s="88" t="str">
        <f t="shared" si="125"/>
        <v>3-2029</v>
      </c>
      <c r="B2261" s="86">
        <v>47187</v>
      </c>
      <c r="C2261" t="str">
        <f t="shared" si="126"/>
        <v>SAB</v>
      </c>
      <c r="D2261" t="str">
        <f t="shared" si="127"/>
        <v>Sábado</v>
      </c>
    </row>
    <row r="2262" spans="1:4" x14ac:dyDescent="0.25">
      <c r="A2262" s="88" t="str">
        <f t="shared" si="125"/>
        <v>3-2029</v>
      </c>
      <c r="B2262" s="86">
        <v>47188</v>
      </c>
      <c r="C2262" t="str">
        <f t="shared" si="126"/>
        <v>DOM</v>
      </c>
      <c r="D2262" t="str">
        <f t="shared" si="127"/>
        <v>Domingo</v>
      </c>
    </row>
    <row r="2263" spans="1:4" x14ac:dyDescent="0.25">
      <c r="A2263" s="88" t="str">
        <f t="shared" si="125"/>
        <v>3-2029</v>
      </c>
      <c r="B2263" s="86">
        <v>47189</v>
      </c>
      <c r="C2263" t="str">
        <f t="shared" si="126"/>
        <v>L-V</v>
      </c>
      <c r="D2263" t="str">
        <f t="shared" si="127"/>
        <v>Lunes</v>
      </c>
    </row>
    <row r="2264" spans="1:4" x14ac:dyDescent="0.25">
      <c r="A2264" s="88" t="str">
        <f t="shared" si="125"/>
        <v>3-2029</v>
      </c>
      <c r="B2264" s="86">
        <v>47190</v>
      </c>
      <c r="C2264" t="str">
        <f t="shared" si="126"/>
        <v>L-V</v>
      </c>
      <c r="D2264" t="str">
        <f t="shared" si="127"/>
        <v>Martes</v>
      </c>
    </row>
    <row r="2265" spans="1:4" x14ac:dyDescent="0.25">
      <c r="A2265" s="88" t="str">
        <f t="shared" si="125"/>
        <v>3-2029</v>
      </c>
      <c r="B2265" s="86">
        <v>47191</v>
      </c>
      <c r="C2265" t="str">
        <f t="shared" si="126"/>
        <v>L-V</v>
      </c>
      <c r="D2265" t="str">
        <f t="shared" si="127"/>
        <v>Miércoles</v>
      </c>
    </row>
    <row r="2266" spans="1:4" x14ac:dyDescent="0.25">
      <c r="A2266" s="88" t="str">
        <f t="shared" si="125"/>
        <v>3-2029</v>
      </c>
      <c r="B2266" s="86">
        <v>47192</v>
      </c>
      <c r="C2266" t="str">
        <f t="shared" si="126"/>
        <v>L-V</v>
      </c>
      <c r="D2266" t="str">
        <f t="shared" si="127"/>
        <v>Jueves</v>
      </c>
    </row>
    <row r="2267" spans="1:4" x14ac:dyDescent="0.25">
      <c r="A2267" s="88" t="str">
        <f t="shared" si="125"/>
        <v>3-2029</v>
      </c>
      <c r="B2267" s="86">
        <v>47193</v>
      </c>
      <c r="C2267" t="str">
        <f t="shared" si="126"/>
        <v>L-V</v>
      </c>
      <c r="D2267" t="str">
        <f t="shared" si="127"/>
        <v>Viernes</v>
      </c>
    </row>
    <row r="2268" spans="1:4" x14ac:dyDescent="0.25">
      <c r="A2268" s="88" t="str">
        <f t="shared" si="125"/>
        <v>3-2029</v>
      </c>
      <c r="B2268" s="86">
        <v>47194</v>
      </c>
      <c r="C2268" t="str">
        <f t="shared" si="126"/>
        <v>SAB</v>
      </c>
      <c r="D2268" t="str">
        <f t="shared" si="127"/>
        <v>Sábado</v>
      </c>
    </row>
    <row r="2269" spans="1:4" x14ac:dyDescent="0.25">
      <c r="A2269" s="88" t="str">
        <f t="shared" si="125"/>
        <v>3-2029</v>
      </c>
      <c r="B2269" s="86">
        <v>47195</v>
      </c>
      <c r="C2269" t="str">
        <f t="shared" si="126"/>
        <v>DOM</v>
      </c>
      <c r="D2269" t="str">
        <f t="shared" si="127"/>
        <v>Domingo</v>
      </c>
    </row>
    <row r="2270" spans="1:4" x14ac:dyDescent="0.25">
      <c r="A2270" s="88" t="str">
        <f t="shared" si="125"/>
        <v>3-2029</v>
      </c>
      <c r="B2270" s="86">
        <v>47196</v>
      </c>
      <c r="C2270" t="str">
        <f t="shared" si="126"/>
        <v>L-V</v>
      </c>
      <c r="D2270" t="str">
        <f t="shared" si="127"/>
        <v>Lunes</v>
      </c>
    </row>
    <row r="2271" spans="1:4" x14ac:dyDescent="0.25">
      <c r="A2271" s="88" t="str">
        <f t="shared" si="125"/>
        <v>3-2029</v>
      </c>
      <c r="B2271" s="86">
        <v>47197</v>
      </c>
      <c r="C2271" t="str">
        <f t="shared" si="126"/>
        <v>L-V</v>
      </c>
      <c r="D2271" t="str">
        <f t="shared" si="127"/>
        <v>Martes</v>
      </c>
    </row>
    <row r="2272" spans="1:4" x14ac:dyDescent="0.25">
      <c r="A2272" s="88" t="str">
        <f t="shared" si="125"/>
        <v>3-2029</v>
      </c>
      <c r="B2272" s="86">
        <v>47198</v>
      </c>
      <c r="C2272" t="str">
        <f t="shared" si="126"/>
        <v>L-V</v>
      </c>
      <c r="D2272" t="str">
        <f t="shared" si="127"/>
        <v>Miércoles</v>
      </c>
    </row>
    <row r="2273" spans="1:4" x14ac:dyDescent="0.25">
      <c r="A2273" s="88" t="str">
        <f t="shared" si="125"/>
        <v>3-2029</v>
      </c>
      <c r="B2273" s="86">
        <v>47199</v>
      </c>
      <c r="C2273" t="str">
        <f t="shared" si="126"/>
        <v>L-V</v>
      </c>
      <c r="D2273" t="str">
        <f t="shared" si="127"/>
        <v>Jueves</v>
      </c>
    </row>
    <row r="2274" spans="1:4" x14ac:dyDescent="0.25">
      <c r="A2274" s="88" t="str">
        <f t="shared" si="125"/>
        <v>3-2029</v>
      </c>
      <c r="B2274" s="86">
        <v>47200</v>
      </c>
      <c r="C2274" t="str">
        <f t="shared" si="126"/>
        <v>L-V</v>
      </c>
      <c r="D2274" t="str">
        <f t="shared" si="127"/>
        <v>Viernes</v>
      </c>
    </row>
    <row r="2275" spans="1:4" x14ac:dyDescent="0.25">
      <c r="A2275" s="88" t="str">
        <f t="shared" si="125"/>
        <v>3-2029</v>
      </c>
      <c r="B2275" s="86">
        <v>47201</v>
      </c>
      <c r="C2275" t="str">
        <f t="shared" si="126"/>
        <v>SAB</v>
      </c>
      <c r="D2275" t="str">
        <f t="shared" si="127"/>
        <v>Sábado</v>
      </c>
    </row>
    <row r="2276" spans="1:4" x14ac:dyDescent="0.25">
      <c r="A2276" s="88" t="str">
        <f t="shared" si="125"/>
        <v>3-2029</v>
      </c>
      <c r="B2276" s="86">
        <v>47202</v>
      </c>
      <c r="C2276" t="str">
        <f t="shared" si="126"/>
        <v>DOM</v>
      </c>
      <c r="D2276" t="str">
        <f t="shared" si="127"/>
        <v>Domingo</v>
      </c>
    </row>
    <row r="2277" spans="1:4" x14ac:dyDescent="0.25">
      <c r="A2277" s="88" t="str">
        <f t="shared" si="125"/>
        <v>3-2029</v>
      </c>
      <c r="B2277" s="86">
        <v>47203</v>
      </c>
      <c r="C2277" t="str">
        <f t="shared" si="126"/>
        <v>L-V</v>
      </c>
      <c r="D2277" t="str">
        <f t="shared" si="127"/>
        <v>Lunes</v>
      </c>
    </row>
    <row r="2278" spans="1:4" x14ac:dyDescent="0.25">
      <c r="A2278" s="88" t="str">
        <f t="shared" si="125"/>
        <v>3-2029</v>
      </c>
      <c r="B2278" s="86">
        <v>47204</v>
      </c>
      <c r="C2278" t="str">
        <f t="shared" si="126"/>
        <v>L-V</v>
      </c>
      <c r="D2278" t="str">
        <f t="shared" si="127"/>
        <v>Martes</v>
      </c>
    </row>
    <row r="2279" spans="1:4" x14ac:dyDescent="0.25">
      <c r="A2279" s="88" t="str">
        <f t="shared" si="125"/>
        <v>3-2029</v>
      </c>
      <c r="B2279" s="86">
        <v>47205</v>
      </c>
      <c r="C2279" t="str">
        <f t="shared" si="126"/>
        <v>L-V</v>
      </c>
      <c r="D2279" t="str">
        <f t="shared" si="127"/>
        <v>Miércoles</v>
      </c>
    </row>
    <row r="2280" spans="1:4" x14ac:dyDescent="0.25">
      <c r="A2280" s="88" t="str">
        <f t="shared" si="125"/>
        <v>3-2029</v>
      </c>
      <c r="B2280" s="86">
        <v>47206</v>
      </c>
      <c r="C2280" t="str">
        <f t="shared" si="126"/>
        <v>L-V</v>
      </c>
      <c r="D2280" t="str">
        <f t="shared" si="127"/>
        <v>Jueves</v>
      </c>
    </row>
    <row r="2281" spans="1:4" x14ac:dyDescent="0.25">
      <c r="A2281" s="88" t="str">
        <f t="shared" si="125"/>
        <v>3-2029</v>
      </c>
      <c r="B2281" s="86">
        <v>47207</v>
      </c>
      <c r="C2281" t="str">
        <f t="shared" si="126"/>
        <v>L-V</v>
      </c>
      <c r="D2281" t="str">
        <f t="shared" si="127"/>
        <v>Viernes</v>
      </c>
    </row>
    <row r="2282" spans="1:4" x14ac:dyDescent="0.25">
      <c r="A2282" s="88" t="str">
        <f t="shared" si="125"/>
        <v>3-2029</v>
      </c>
      <c r="B2282" s="86">
        <v>47208</v>
      </c>
      <c r="C2282" t="str">
        <f t="shared" si="126"/>
        <v>SAB</v>
      </c>
      <c r="D2282" t="str">
        <f t="shared" si="127"/>
        <v>Sábado</v>
      </c>
    </row>
    <row r="2283" spans="1:4" x14ac:dyDescent="0.25">
      <c r="A2283" s="88" t="str">
        <f t="shared" si="125"/>
        <v>4-2029</v>
      </c>
      <c r="B2283" s="86">
        <v>47209</v>
      </c>
      <c r="C2283" t="str">
        <f t="shared" si="126"/>
        <v>DOM</v>
      </c>
      <c r="D2283" t="str">
        <f t="shared" si="127"/>
        <v>Domingo</v>
      </c>
    </row>
    <row r="2284" spans="1:4" x14ac:dyDescent="0.25">
      <c r="A2284" s="88" t="str">
        <f t="shared" si="125"/>
        <v>4-2029</v>
      </c>
      <c r="B2284" s="86">
        <v>47210</v>
      </c>
      <c r="C2284" t="str">
        <f t="shared" si="126"/>
        <v>L-V</v>
      </c>
      <c r="D2284" t="str">
        <f t="shared" si="127"/>
        <v>Lunes</v>
      </c>
    </row>
    <row r="2285" spans="1:4" x14ac:dyDescent="0.25">
      <c r="A2285" s="88" t="str">
        <f t="shared" si="125"/>
        <v>4-2029</v>
      </c>
      <c r="B2285" s="86">
        <v>47211</v>
      </c>
      <c r="C2285" t="str">
        <f t="shared" si="126"/>
        <v>L-V</v>
      </c>
      <c r="D2285" t="str">
        <f t="shared" si="127"/>
        <v>Martes</v>
      </c>
    </row>
    <row r="2286" spans="1:4" x14ac:dyDescent="0.25">
      <c r="A2286" s="88" t="str">
        <f t="shared" si="125"/>
        <v>4-2029</v>
      </c>
      <c r="B2286" s="86">
        <v>47212</v>
      </c>
      <c r="C2286" t="str">
        <f t="shared" si="126"/>
        <v>L-V</v>
      </c>
      <c r="D2286" t="str">
        <f t="shared" si="127"/>
        <v>Miércoles</v>
      </c>
    </row>
    <row r="2287" spans="1:4" x14ac:dyDescent="0.25">
      <c r="A2287" s="88" t="str">
        <f t="shared" si="125"/>
        <v>4-2029</v>
      </c>
      <c r="B2287" s="86">
        <v>47213</v>
      </c>
      <c r="C2287" t="str">
        <f t="shared" si="126"/>
        <v>L-V</v>
      </c>
      <c r="D2287" t="str">
        <f t="shared" si="127"/>
        <v>Jueves</v>
      </c>
    </row>
    <row r="2288" spans="1:4" x14ac:dyDescent="0.25">
      <c r="A2288" s="88" t="str">
        <f t="shared" si="125"/>
        <v>4-2029</v>
      </c>
      <c r="B2288" s="86">
        <v>47214</v>
      </c>
      <c r="C2288" t="str">
        <f t="shared" si="126"/>
        <v>L-V</v>
      </c>
      <c r="D2288" t="str">
        <f t="shared" si="127"/>
        <v>Viernes</v>
      </c>
    </row>
    <row r="2289" spans="1:4" x14ac:dyDescent="0.25">
      <c r="A2289" s="88" t="str">
        <f t="shared" si="125"/>
        <v>4-2029</v>
      </c>
      <c r="B2289" s="86">
        <v>47215</v>
      </c>
      <c r="C2289" t="str">
        <f t="shared" si="126"/>
        <v>SAB</v>
      </c>
      <c r="D2289" t="str">
        <f t="shared" si="127"/>
        <v>Sábado</v>
      </c>
    </row>
    <row r="2290" spans="1:4" x14ac:dyDescent="0.25">
      <c r="A2290" s="88" t="str">
        <f t="shared" si="125"/>
        <v>4-2029</v>
      </c>
      <c r="B2290" s="86">
        <v>47216</v>
      </c>
      <c r="C2290" t="str">
        <f t="shared" si="126"/>
        <v>DOM</v>
      </c>
      <c r="D2290" t="str">
        <f t="shared" si="127"/>
        <v>Domingo</v>
      </c>
    </row>
    <row r="2291" spans="1:4" x14ac:dyDescent="0.25">
      <c r="A2291" s="88" t="str">
        <f t="shared" si="125"/>
        <v>4-2029</v>
      </c>
      <c r="B2291" s="86">
        <v>47217</v>
      </c>
      <c r="C2291" t="str">
        <f t="shared" si="126"/>
        <v>L-V</v>
      </c>
      <c r="D2291" t="str">
        <f t="shared" si="127"/>
        <v>Lunes</v>
      </c>
    </row>
    <row r="2292" spans="1:4" x14ac:dyDescent="0.25">
      <c r="A2292" s="88" t="str">
        <f t="shared" si="125"/>
        <v>4-2029</v>
      </c>
      <c r="B2292" s="86">
        <v>47218</v>
      </c>
      <c r="C2292" t="str">
        <f t="shared" si="126"/>
        <v>L-V</v>
      </c>
      <c r="D2292" t="str">
        <f t="shared" si="127"/>
        <v>Martes</v>
      </c>
    </row>
    <row r="2293" spans="1:4" x14ac:dyDescent="0.25">
      <c r="A2293" s="88" t="str">
        <f t="shared" si="125"/>
        <v>4-2029</v>
      </c>
      <c r="B2293" s="86">
        <v>47219</v>
      </c>
      <c r="C2293" t="str">
        <f t="shared" si="126"/>
        <v>L-V</v>
      </c>
      <c r="D2293" t="str">
        <f t="shared" si="127"/>
        <v>Miércoles</v>
      </c>
    </row>
    <row r="2294" spans="1:4" x14ac:dyDescent="0.25">
      <c r="A2294" s="88" t="str">
        <f t="shared" si="125"/>
        <v>4-2029</v>
      </c>
      <c r="B2294" s="86">
        <v>47220</v>
      </c>
      <c r="C2294" t="str">
        <f t="shared" si="126"/>
        <v>L-V</v>
      </c>
      <c r="D2294" t="str">
        <f t="shared" si="127"/>
        <v>Jueves</v>
      </c>
    </row>
    <row r="2295" spans="1:4" x14ac:dyDescent="0.25">
      <c r="A2295" s="88" t="str">
        <f t="shared" si="125"/>
        <v>4-2029</v>
      </c>
      <c r="B2295" s="86">
        <v>47221</v>
      </c>
      <c r="C2295" t="str">
        <f t="shared" si="126"/>
        <v>L-V</v>
      </c>
      <c r="D2295" t="str">
        <f t="shared" si="127"/>
        <v>Viernes</v>
      </c>
    </row>
    <row r="2296" spans="1:4" x14ac:dyDescent="0.25">
      <c r="A2296" s="88" t="str">
        <f t="shared" si="125"/>
        <v>4-2029</v>
      </c>
      <c r="B2296" s="86">
        <v>47222</v>
      </c>
      <c r="C2296" t="str">
        <f t="shared" si="126"/>
        <v>SAB</v>
      </c>
      <c r="D2296" t="str">
        <f t="shared" si="127"/>
        <v>Sábado</v>
      </c>
    </row>
    <row r="2297" spans="1:4" x14ac:dyDescent="0.25">
      <c r="A2297" s="88" t="str">
        <f t="shared" si="125"/>
        <v>4-2029</v>
      </c>
      <c r="B2297" s="86">
        <v>47223</v>
      </c>
      <c r="C2297" t="str">
        <f t="shared" si="126"/>
        <v>DOM</v>
      </c>
      <c r="D2297" t="str">
        <f t="shared" si="127"/>
        <v>Domingo</v>
      </c>
    </row>
    <row r="2298" spans="1:4" x14ac:dyDescent="0.25">
      <c r="A2298" s="88" t="str">
        <f t="shared" si="125"/>
        <v>4-2029</v>
      </c>
      <c r="B2298" s="86">
        <v>47224</v>
      </c>
      <c r="C2298" t="str">
        <f t="shared" si="126"/>
        <v>L-V</v>
      </c>
      <c r="D2298" t="str">
        <f t="shared" si="127"/>
        <v>Lunes</v>
      </c>
    </row>
    <row r="2299" spans="1:4" x14ac:dyDescent="0.25">
      <c r="A2299" s="88" t="str">
        <f t="shared" si="125"/>
        <v>4-2029</v>
      </c>
      <c r="B2299" s="86">
        <v>47225</v>
      </c>
      <c r="C2299" t="str">
        <f t="shared" si="126"/>
        <v>L-V</v>
      </c>
      <c r="D2299" t="str">
        <f t="shared" si="127"/>
        <v>Martes</v>
      </c>
    </row>
    <row r="2300" spans="1:4" x14ac:dyDescent="0.25">
      <c r="A2300" s="88" t="str">
        <f t="shared" si="125"/>
        <v>4-2029</v>
      </c>
      <c r="B2300" s="86">
        <v>47226</v>
      </c>
      <c r="C2300" t="str">
        <f t="shared" si="126"/>
        <v>L-V</v>
      </c>
      <c r="D2300" t="str">
        <f t="shared" si="127"/>
        <v>Miércoles</v>
      </c>
    </row>
    <row r="2301" spans="1:4" x14ac:dyDescent="0.25">
      <c r="A2301" s="88" t="str">
        <f t="shared" si="125"/>
        <v>4-2029</v>
      </c>
      <c r="B2301" s="86">
        <v>47227</v>
      </c>
      <c r="C2301" t="str">
        <f t="shared" si="126"/>
        <v>L-V</v>
      </c>
      <c r="D2301" t="str">
        <f t="shared" si="127"/>
        <v>Jueves</v>
      </c>
    </row>
    <row r="2302" spans="1:4" x14ac:dyDescent="0.25">
      <c r="A2302" s="88" t="str">
        <f t="shared" si="125"/>
        <v>4-2029</v>
      </c>
      <c r="B2302" s="86">
        <v>47228</v>
      </c>
      <c r="C2302" t="str">
        <f t="shared" si="126"/>
        <v>L-V</v>
      </c>
      <c r="D2302" t="str">
        <f t="shared" si="127"/>
        <v>Viernes</v>
      </c>
    </row>
    <row r="2303" spans="1:4" x14ac:dyDescent="0.25">
      <c r="A2303" s="88" t="str">
        <f t="shared" si="125"/>
        <v>4-2029</v>
      </c>
      <c r="B2303" s="86">
        <v>47229</v>
      </c>
      <c r="C2303" t="str">
        <f t="shared" si="126"/>
        <v>SAB</v>
      </c>
      <c r="D2303" t="str">
        <f t="shared" si="127"/>
        <v>Sábado</v>
      </c>
    </row>
    <row r="2304" spans="1:4" x14ac:dyDescent="0.25">
      <c r="A2304" s="88" t="str">
        <f t="shared" si="125"/>
        <v>4-2029</v>
      </c>
      <c r="B2304" s="86">
        <v>47230</v>
      </c>
      <c r="C2304" t="str">
        <f t="shared" si="126"/>
        <v>DOM</v>
      </c>
      <c r="D2304" t="str">
        <f t="shared" si="127"/>
        <v>Domingo</v>
      </c>
    </row>
    <row r="2305" spans="1:4" x14ac:dyDescent="0.25">
      <c r="A2305" s="88" t="str">
        <f t="shared" si="125"/>
        <v>4-2029</v>
      </c>
      <c r="B2305" s="86">
        <v>47231</v>
      </c>
      <c r="C2305" t="str">
        <f t="shared" si="126"/>
        <v>L-V</v>
      </c>
      <c r="D2305" t="str">
        <f t="shared" si="127"/>
        <v>Lunes</v>
      </c>
    </row>
    <row r="2306" spans="1:4" x14ac:dyDescent="0.25">
      <c r="A2306" s="88" t="str">
        <f t="shared" ref="A2306:A2369" si="128">MONTH(B2306)&amp;"-"&amp;YEAR(B2306)</f>
        <v>4-2029</v>
      </c>
      <c r="B2306" s="86">
        <v>47232</v>
      </c>
      <c r="C2306" t="str">
        <f t="shared" si="126"/>
        <v>L-V</v>
      </c>
      <c r="D2306" t="str">
        <f t="shared" si="127"/>
        <v>Martes</v>
      </c>
    </row>
    <row r="2307" spans="1:4" x14ac:dyDescent="0.25">
      <c r="A2307" s="88" t="str">
        <f t="shared" si="128"/>
        <v>4-2029</v>
      </c>
      <c r="B2307" s="86">
        <v>47233</v>
      </c>
      <c r="C2307" t="str">
        <f t="shared" ref="C2307:C2370" si="129">VLOOKUP(WEEKDAY(B2307,2),$F$1:$H$7,2)</f>
        <v>L-V</v>
      </c>
      <c r="D2307" t="str">
        <f t="shared" ref="D2307:D2370" si="130">VLOOKUP(WEEKDAY($B2307,2),$F$1:$H$7,3)</f>
        <v>Miércoles</v>
      </c>
    </row>
    <row r="2308" spans="1:4" x14ac:dyDescent="0.25">
      <c r="A2308" s="88" t="str">
        <f t="shared" si="128"/>
        <v>4-2029</v>
      </c>
      <c r="B2308" s="86">
        <v>47234</v>
      </c>
      <c r="C2308" t="str">
        <f t="shared" si="129"/>
        <v>L-V</v>
      </c>
      <c r="D2308" t="str">
        <f t="shared" si="130"/>
        <v>Jueves</v>
      </c>
    </row>
    <row r="2309" spans="1:4" x14ac:dyDescent="0.25">
      <c r="A2309" s="88" t="str">
        <f t="shared" si="128"/>
        <v>4-2029</v>
      </c>
      <c r="B2309" s="86">
        <v>47235</v>
      </c>
      <c r="C2309" t="str">
        <f t="shared" si="129"/>
        <v>L-V</v>
      </c>
      <c r="D2309" t="str">
        <f t="shared" si="130"/>
        <v>Viernes</v>
      </c>
    </row>
    <row r="2310" spans="1:4" x14ac:dyDescent="0.25">
      <c r="A2310" s="88" t="str">
        <f t="shared" si="128"/>
        <v>4-2029</v>
      </c>
      <c r="B2310" s="86">
        <v>47236</v>
      </c>
      <c r="C2310" t="str">
        <f t="shared" si="129"/>
        <v>SAB</v>
      </c>
      <c r="D2310" t="str">
        <f t="shared" si="130"/>
        <v>Sábado</v>
      </c>
    </row>
    <row r="2311" spans="1:4" x14ac:dyDescent="0.25">
      <c r="A2311" s="88" t="str">
        <f t="shared" si="128"/>
        <v>4-2029</v>
      </c>
      <c r="B2311" s="86">
        <v>47237</v>
      </c>
      <c r="C2311" t="str">
        <f t="shared" si="129"/>
        <v>DOM</v>
      </c>
      <c r="D2311" t="str">
        <f t="shared" si="130"/>
        <v>Domingo</v>
      </c>
    </row>
    <row r="2312" spans="1:4" x14ac:dyDescent="0.25">
      <c r="A2312" s="88" t="str">
        <f t="shared" si="128"/>
        <v>4-2029</v>
      </c>
      <c r="B2312" s="86">
        <v>47238</v>
      </c>
      <c r="C2312" t="str">
        <f t="shared" si="129"/>
        <v>L-V</v>
      </c>
      <c r="D2312" t="str">
        <f t="shared" si="130"/>
        <v>Lunes</v>
      </c>
    </row>
    <row r="2313" spans="1:4" x14ac:dyDescent="0.25">
      <c r="A2313" s="88" t="str">
        <f t="shared" si="128"/>
        <v>5-2029</v>
      </c>
      <c r="B2313" s="86">
        <v>47239</v>
      </c>
      <c r="C2313" t="str">
        <f t="shared" si="129"/>
        <v>L-V</v>
      </c>
      <c r="D2313" t="str">
        <f t="shared" si="130"/>
        <v>Martes</v>
      </c>
    </row>
    <row r="2314" spans="1:4" x14ac:dyDescent="0.25">
      <c r="A2314" s="88" t="str">
        <f t="shared" si="128"/>
        <v>5-2029</v>
      </c>
      <c r="B2314" s="86">
        <v>47240</v>
      </c>
      <c r="C2314" t="str">
        <f t="shared" si="129"/>
        <v>L-V</v>
      </c>
      <c r="D2314" t="str">
        <f t="shared" si="130"/>
        <v>Miércoles</v>
      </c>
    </row>
    <row r="2315" spans="1:4" x14ac:dyDescent="0.25">
      <c r="A2315" s="88" t="str">
        <f t="shared" si="128"/>
        <v>5-2029</v>
      </c>
      <c r="B2315" s="86">
        <v>47241</v>
      </c>
      <c r="C2315" t="str">
        <f t="shared" si="129"/>
        <v>L-V</v>
      </c>
      <c r="D2315" t="str">
        <f t="shared" si="130"/>
        <v>Jueves</v>
      </c>
    </row>
    <row r="2316" spans="1:4" x14ac:dyDescent="0.25">
      <c r="A2316" s="88" t="str">
        <f t="shared" si="128"/>
        <v>5-2029</v>
      </c>
      <c r="B2316" s="86">
        <v>47242</v>
      </c>
      <c r="C2316" t="str">
        <f t="shared" si="129"/>
        <v>L-V</v>
      </c>
      <c r="D2316" t="str">
        <f t="shared" si="130"/>
        <v>Viernes</v>
      </c>
    </row>
    <row r="2317" spans="1:4" x14ac:dyDescent="0.25">
      <c r="A2317" s="88" t="str">
        <f t="shared" si="128"/>
        <v>5-2029</v>
      </c>
      <c r="B2317" s="86">
        <v>47243</v>
      </c>
      <c r="C2317" t="str">
        <f t="shared" si="129"/>
        <v>SAB</v>
      </c>
      <c r="D2317" t="str">
        <f t="shared" si="130"/>
        <v>Sábado</v>
      </c>
    </row>
    <row r="2318" spans="1:4" x14ac:dyDescent="0.25">
      <c r="A2318" s="88" t="str">
        <f t="shared" si="128"/>
        <v>5-2029</v>
      </c>
      <c r="B2318" s="86">
        <v>47244</v>
      </c>
      <c r="C2318" t="str">
        <f t="shared" si="129"/>
        <v>DOM</v>
      </c>
      <c r="D2318" t="str">
        <f t="shared" si="130"/>
        <v>Domingo</v>
      </c>
    </row>
    <row r="2319" spans="1:4" x14ac:dyDescent="0.25">
      <c r="A2319" s="88" t="str">
        <f t="shared" si="128"/>
        <v>5-2029</v>
      </c>
      <c r="B2319" s="86">
        <v>47245</v>
      </c>
      <c r="C2319" t="str">
        <f t="shared" si="129"/>
        <v>L-V</v>
      </c>
      <c r="D2319" t="str">
        <f t="shared" si="130"/>
        <v>Lunes</v>
      </c>
    </row>
    <row r="2320" spans="1:4" x14ac:dyDescent="0.25">
      <c r="A2320" s="88" t="str">
        <f t="shared" si="128"/>
        <v>5-2029</v>
      </c>
      <c r="B2320" s="86">
        <v>47246</v>
      </c>
      <c r="C2320" t="str">
        <f t="shared" si="129"/>
        <v>L-V</v>
      </c>
      <c r="D2320" t="str">
        <f t="shared" si="130"/>
        <v>Martes</v>
      </c>
    </row>
    <row r="2321" spans="1:4" x14ac:dyDescent="0.25">
      <c r="A2321" s="88" t="str">
        <f t="shared" si="128"/>
        <v>5-2029</v>
      </c>
      <c r="B2321" s="86">
        <v>47247</v>
      </c>
      <c r="C2321" t="str">
        <f t="shared" si="129"/>
        <v>L-V</v>
      </c>
      <c r="D2321" t="str">
        <f t="shared" si="130"/>
        <v>Miércoles</v>
      </c>
    </row>
    <row r="2322" spans="1:4" x14ac:dyDescent="0.25">
      <c r="A2322" s="88" t="str">
        <f t="shared" si="128"/>
        <v>5-2029</v>
      </c>
      <c r="B2322" s="86">
        <v>47248</v>
      </c>
      <c r="C2322" t="str">
        <f t="shared" si="129"/>
        <v>L-V</v>
      </c>
      <c r="D2322" t="str">
        <f t="shared" si="130"/>
        <v>Jueves</v>
      </c>
    </row>
    <row r="2323" spans="1:4" x14ac:dyDescent="0.25">
      <c r="A2323" s="88" t="str">
        <f t="shared" si="128"/>
        <v>5-2029</v>
      </c>
      <c r="B2323" s="86">
        <v>47249</v>
      </c>
      <c r="C2323" t="str">
        <f t="shared" si="129"/>
        <v>L-V</v>
      </c>
      <c r="D2323" t="str">
        <f t="shared" si="130"/>
        <v>Viernes</v>
      </c>
    </row>
    <row r="2324" spans="1:4" x14ac:dyDescent="0.25">
      <c r="A2324" s="88" t="str">
        <f t="shared" si="128"/>
        <v>5-2029</v>
      </c>
      <c r="B2324" s="86">
        <v>47250</v>
      </c>
      <c r="C2324" t="str">
        <f t="shared" si="129"/>
        <v>SAB</v>
      </c>
      <c r="D2324" t="str">
        <f t="shared" si="130"/>
        <v>Sábado</v>
      </c>
    </row>
    <row r="2325" spans="1:4" x14ac:dyDescent="0.25">
      <c r="A2325" s="88" t="str">
        <f t="shared" si="128"/>
        <v>5-2029</v>
      </c>
      <c r="B2325" s="86">
        <v>47251</v>
      </c>
      <c r="C2325" t="str">
        <f t="shared" si="129"/>
        <v>DOM</v>
      </c>
      <c r="D2325" t="str">
        <f t="shared" si="130"/>
        <v>Domingo</v>
      </c>
    </row>
    <row r="2326" spans="1:4" x14ac:dyDescent="0.25">
      <c r="A2326" s="88" t="str">
        <f t="shared" si="128"/>
        <v>5-2029</v>
      </c>
      <c r="B2326" s="86">
        <v>47252</v>
      </c>
      <c r="C2326" t="str">
        <f t="shared" si="129"/>
        <v>L-V</v>
      </c>
      <c r="D2326" t="str">
        <f t="shared" si="130"/>
        <v>Lunes</v>
      </c>
    </row>
    <row r="2327" spans="1:4" x14ac:dyDescent="0.25">
      <c r="A2327" s="88" t="str">
        <f t="shared" si="128"/>
        <v>5-2029</v>
      </c>
      <c r="B2327" s="86">
        <v>47253</v>
      </c>
      <c r="C2327" t="str">
        <f t="shared" si="129"/>
        <v>L-V</v>
      </c>
      <c r="D2327" t="str">
        <f t="shared" si="130"/>
        <v>Martes</v>
      </c>
    </row>
    <row r="2328" spans="1:4" x14ac:dyDescent="0.25">
      <c r="A2328" s="88" t="str">
        <f t="shared" si="128"/>
        <v>5-2029</v>
      </c>
      <c r="B2328" s="86">
        <v>47254</v>
      </c>
      <c r="C2328" t="str">
        <f t="shared" si="129"/>
        <v>L-V</v>
      </c>
      <c r="D2328" t="str">
        <f t="shared" si="130"/>
        <v>Miércoles</v>
      </c>
    </row>
    <row r="2329" spans="1:4" x14ac:dyDescent="0.25">
      <c r="A2329" s="88" t="str">
        <f t="shared" si="128"/>
        <v>5-2029</v>
      </c>
      <c r="B2329" s="86">
        <v>47255</v>
      </c>
      <c r="C2329" t="str">
        <f t="shared" si="129"/>
        <v>L-V</v>
      </c>
      <c r="D2329" t="str">
        <f t="shared" si="130"/>
        <v>Jueves</v>
      </c>
    </row>
    <row r="2330" spans="1:4" x14ac:dyDescent="0.25">
      <c r="A2330" s="88" t="str">
        <f t="shared" si="128"/>
        <v>5-2029</v>
      </c>
      <c r="B2330" s="86">
        <v>47256</v>
      </c>
      <c r="C2330" t="str">
        <f t="shared" si="129"/>
        <v>L-V</v>
      </c>
      <c r="D2330" t="str">
        <f t="shared" si="130"/>
        <v>Viernes</v>
      </c>
    </row>
    <row r="2331" spans="1:4" x14ac:dyDescent="0.25">
      <c r="A2331" s="88" t="str">
        <f t="shared" si="128"/>
        <v>5-2029</v>
      </c>
      <c r="B2331" s="86">
        <v>47257</v>
      </c>
      <c r="C2331" t="str">
        <f t="shared" si="129"/>
        <v>SAB</v>
      </c>
      <c r="D2331" t="str">
        <f t="shared" si="130"/>
        <v>Sábado</v>
      </c>
    </row>
    <row r="2332" spans="1:4" x14ac:dyDescent="0.25">
      <c r="A2332" s="88" t="str">
        <f t="shared" si="128"/>
        <v>5-2029</v>
      </c>
      <c r="B2332" s="86">
        <v>47258</v>
      </c>
      <c r="C2332" t="str">
        <f t="shared" si="129"/>
        <v>DOM</v>
      </c>
      <c r="D2332" t="str">
        <f t="shared" si="130"/>
        <v>Domingo</v>
      </c>
    </row>
    <row r="2333" spans="1:4" x14ac:dyDescent="0.25">
      <c r="A2333" s="88" t="str">
        <f t="shared" si="128"/>
        <v>5-2029</v>
      </c>
      <c r="B2333" s="86">
        <v>47259</v>
      </c>
      <c r="C2333" t="str">
        <f t="shared" si="129"/>
        <v>L-V</v>
      </c>
      <c r="D2333" t="str">
        <f t="shared" si="130"/>
        <v>Lunes</v>
      </c>
    </row>
    <row r="2334" spans="1:4" x14ac:dyDescent="0.25">
      <c r="A2334" s="88" t="str">
        <f t="shared" si="128"/>
        <v>5-2029</v>
      </c>
      <c r="B2334" s="86">
        <v>47260</v>
      </c>
      <c r="C2334" t="str">
        <f t="shared" si="129"/>
        <v>L-V</v>
      </c>
      <c r="D2334" t="str">
        <f t="shared" si="130"/>
        <v>Martes</v>
      </c>
    </row>
    <row r="2335" spans="1:4" x14ac:dyDescent="0.25">
      <c r="A2335" s="88" t="str">
        <f t="shared" si="128"/>
        <v>5-2029</v>
      </c>
      <c r="B2335" s="86">
        <v>47261</v>
      </c>
      <c r="C2335" t="str">
        <f t="shared" si="129"/>
        <v>L-V</v>
      </c>
      <c r="D2335" t="str">
        <f t="shared" si="130"/>
        <v>Miércoles</v>
      </c>
    </row>
    <row r="2336" spans="1:4" x14ac:dyDescent="0.25">
      <c r="A2336" s="88" t="str">
        <f t="shared" si="128"/>
        <v>5-2029</v>
      </c>
      <c r="B2336" s="86">
        <v>47262</v>
      </c>
      <c r="C2336" t="str">
        <f t="shared" si="129"/>
        <v>L-V</v>
      </c>
      <c r="D2336" t="str">
        <f t="shared" si="130"/>
        <v>Jueves</v>
      </c>
    </row>
    <row r="2337" spans="1:4" x14ac:dyDescent="0.25">
      <c r="A2337" s="88" t="str">
        <f t="shared" si="128"/>
        <v>5-2029</v>
      </c>
      <c r="B2337" s="86">
        <v>47263</v>
      </c>
      <c r="C2337" t="str">
        <f t="shared" si="129"/>
        <v>L-V</v>
      </c>
      <c r="D2337" t="str">
        <f t="shared" si="130"/>
        <v>Viernes</v>
      </c>
    </row>
    <row r="2338" spans="1:4" x14ac:dyDescent="0.25">
      <c r="A2338" s="88" t="str">
        <f t="shared" si="128"/>
        <v>5-2029</v>
      </c>
      <c r="B2338" s="86">
        <v>47264</v>
      </c>
      <c r="C2338" t="str">
        <f t="shared" si="129"/>
        <v>SAB</v>
      </c>
      <c r="D2338" t="str">
        <f t="shared" si="130"/>
        <v>Sábado</v>
      </c>
    </row>
    <row r="2339" spans="1:4" x14ac:dyDescent="0.25">
      <c r="A2339" s="88" t="str">
        <f t="shared" si="128"/>
        <v>5-2029</v>
      </c>
      <c r="B2339" s="86">
        <v>47265</v>
      </c>
      <c r="C2339" t="str">
        <f t="shared" si="129"/>
        <v>DOM</v>
      </c>
      <c r="D2339" t="str">
        <f t="shared" si="130"/>
        <v>Domingo</v>
      </c>
    </row>
    <row r="2340" spans="1:4" x14ac:dyDescent="0.25">
      <c r="A2340" s="88" t="str">
        <f t="shared" si="128"/>
        <v>5-2029</v>
      </c>
      <c r="B2340" s="86">
        <v>47266</v>
      </c>
      <c r="C2340" t="str">
        <f t="shared" si="129"/>
        <v>L-V</v>
      </c>
      <c r="D2340" t="str">
        <f t="shared" si="130"/>
        <v>Lunes</v>
      </c>
    </row>
    <row r="2341" spans="1:4" x14ac:dyDescent="0.25">
      <c r="A2341" s="88" t="str">
        <f t="shared" si="128"/>
        <v>5-2029</v>
      </c>
      <c r="B2341" s="86">
        <v>47267</v>
      </c>
      <c r="C2341" t="str">
        <f t="shared" si="129"/>
        <v>L-V</v>
      </c>
      <c r="D2341" t="str">
        <f t="shared" si="130"/>
        <v>Martes</v>
      </c>
    </row>
    <row r="2342" spans="1:4" x14ac:dyDescent="0.25">
      <c r="A2342" s="88" t="str">
        <f t="shared" si="128"/>
        <v>5-2029</v>
      </c>
      <c r="B2342" s="86">
        <v>47268</v>
      </c>
      <c r="C2342" t="str">
        <f t="shared" si="129"/>
        <v>L-V</v>
      </c>
      <c r="D2342" t="str">
        <f t="shared" si="130"/>
        <v>Miércoles</v>
      </c>
    </row>
    <row r="2343" spans="1:4" x14ac:dyDescent="0.25">
      <c r="A2343" s="88" t="str">
        <f t="shared" si="128"/>
        <v>5-2029</v>
      </c>
      <c r="B2343" s="86">
        <v>47269</v>
      </c>
      <c r="C2343" t="str">
        <f t="shared" si="129"/>
        <v>L-V</v>
      </c>
      <c r="D2343" t="str">
        <f t="shared" si="130"/>
        <v>Jueves</v>
      </c>
    </row>
    <row r="2344" spans="1:4" x14ac:dyDescent="0.25">
      <c r="A2344" s="88" t="str">
        <f t="shared" si="128"/>
        <v>6-2029</v>
      </c>
      <c r="B2344" s="86">
        <v>47270</v>
      </c>
      <c r="C2344" t="str">
        <f t="shared" si="129"/>
        <v>L-V</v>
      </c>
      <c r="D2344" t="str">
        <f t="shared" si="130"/>
        <v>Viernes</v>
      </c>
    </row>
    <row r="2345" spans="1:4" x14ac:dyDescent="0.25">
      <c r="A2345" s="88" t="str">
        <f t="shared" si="128"/>
        <v>6-2029</v>
      </c>
      <c r="B2345" s="86">
        <v>47271</v>
      </c>
      <c r="C2345" t="str">
        <f t="shared" si="129"/>
        <v>SAB</v>
      </c>
      <c r="D2345" t="str">
        <f t="shared" si="130"/>
        <v>Sábado</v>
      </c>
    </row>
    <row r="2346" spans="1:4" x14ac:dyDescent="0.25">
      <c r="A2346" s="88" t="str">
        <f t="shared" si="128"/>
        <v>6-2029</v>
      </c>
      <c r="B2346" s="86">
        <v>47272</v>
      </c>
      <c r="C2346" t="str">
        <f t="shared" si="129"/>
        <v>DOM</v>
      </c>
      <c r="D2346" t="str">
        <f t="shared" si="130"/>
        <v>Domingo</v>
      </c>
    </row>
    <row r="2347" spans="1:4" x14ac:dyDescent="0.25">
      <c r="A2347" s="88" t="str">
        <f t="shared" si="128"/>
        <v>6-2029</v>
      </c>
      <c r="B2347" s="86">
        <v>47273</v>
      </c>
      <c r="C2347" t="str">
        <f t="shared" si="129"/>
        <v>L-V</v>
      </c>
      <c r="D2347" t="str">
        <f t="shared" si="130"/>
        <v>Lunes</v>
      </c>
    </row>
    <row r="2348" spans="1:4" x14ac:dyDescent="0.25">
      <c r="A2348" s="88" t="str">
        <f t="shared" si="128"/>
        <v>6-2029</v>
      </c>
      <c r="B2348" s="86">
        <v>47274</v>
      </c>
      <c r="C2348" t="str">
        <f t="shared" si="129"/>
        <v>L-V</v>
      </c>
      <c r="D2348" t="str">
        <f t="shared" si="130"/>
        <v>Martes</v>
      </c>
    </row>
    <row r="2349" spans="1:4" x14ac:dyDescent="0.25">
      <c r="A2349" s="88" t="str">
        <f t="shared" si="128"/>
        <v>6-2029</v>
      </c>
      <c r="B2349" s="86">
        <v>47275</v>
      </c>
      <c r="C2349" t="str">
        <f t="shared" si="129"/>
        <v>L-V</v>
      </c>
      <c r="D2349" t="str">
        <f t="shared" si="130"/>
        <v>Miércoles</v>
      </c>
    </row>
    <row r="2350" spans="1:4" x14ac:dyDescent="0.25">
      <c r="A2350" s="88" t="str">
        <f t="shared" si="128"/>
        <v>6-2029</v>
      </c>
      <c r="B2350" s="86">
        <v>47276</v>
      </c>
      <c r="C2350" t="str">
        <f t="shared" si="129"/>
        <v>L-V</v>
      </c>
      <c r="D2350" t="str">
        <f t="shared" si="130"/>
        <v>Jueves</v>
      </c>
    </row>
    <row r="2351" spans="1:4" x14ac:dyDescent="0.25">
      <c r="A2351" s="88" t="str">
        <f t="shared" si="128"/>
        <v>6-2029</v>
      </c>
      <c r="B2351" s="86">
        <v>47277</v>
      </c>
      <c r="C2351" t="str">
        <f t="shared" si="129"/>
        <v>L-V</v>
      </c>
      <c r="D2351" t="str">
        <f t="shared" si="130"/>
        <v>Viernes</v>
      </c>
    </row>
    <row r="2352" spans="1:4" x14ac:dyDescent="0.25">
      <c r="A2352" s="88" t="str">
        <f t="shared" si="128"/>
        <v>6-2029</v>
      </c>
      <c r="B2352" s="86">
        <v>47278</v>
      </c>
      <c r="C2352" t="str">
        <f t="shared" si="129"/>
        <v>SAB</v>
      </c>
      <c r="D2352" t="str">
        <f t="shared" si="130"/>
        <v>Sábado</v>
      </c>
    </row>
    <row r="2353" spans="1:4" x14ac:dyDescent="0.25">
      <c r="A2353" s="88" t="str">
        <f t="shared" si="128"/>
        <v>6-2029</v>
      </c>
      <c r="B2353" s="86">
        <v>47279</v>
      </c>
      <c r="C2353" t="str">
        <f t="shared" si="129"/>
        <v>DOM</v>
      </c>
      <c r="D2353" t="str">
        <f t="shared" si="130"/>
        <v>Domingo</v>
      </c>
    </row>
    <row r="2354" spans="1:4" x14ac:dyDescent="0.25">
      <c r="A2354" s="88" t="str">
        <f t="shared" si="128"/>
        <v>6-2029</v>
      </c>
      <c r="B2354" s="86">
        <v>47280</v>
      </c>
      <c r="C2354" t="str">
        <f t="shared" si="129"/>
        <v>L-V</v>
      </c>
      <c r="D2354" t="str">
        <f t="shared" si="130"/>
        <v>Lunes</v>
      </c>
    </row>
    <row r="2355" spans="1:4" x14ac:dyDescent="0.25">
      <c r="A2355" s="88" t="str">
        <f t="shared" si="128"/>
        <v>6-2029</v>
      </c>
      <c r="B2355" s="86">
        <v>47281</v>
      </c>
      <c r="C2355" t="str">
        <f t="shared" si="129"/>
        <v>L-V</v>
      </c>
      <c r="D2355" t="str">
        <f t="shared" si="130"/>
        <v>Martes</v>
      </c>
    </row>
    <row r="2356" spans="1:4" x14ac:dyDescent="0.25">
      <c r="A2356" s="88" t="str">
        <f t="shared" si="128"/>
        <v>6-2029</v>
      </c>
      <c r="B2356" s="86">
        <v>47282</v>
      </c>
      <c r="C2356" t="str">
        <f t="shared" si="129"/>
        <v>L-V</v>
      </c>
      <c r="D2356" t="str">
        <f t="shared" si="130"/>
        <v>Miércoles</v>
      </c>
    </row>
    <row r="2357" spans="1:4" x14ac:dyDescent="0.25">
      <c r="A2357" s="88" t="str">
        <f t="shared" si="128"/>
        <v>6-2029</v>
      </c>
      <c r="B2357" s="86">
        <v>47283</v>
      </c>
      <c r="C2357" t="str">
        <f t="shared" si="129"/>
        <v>L-V</v>
      </c>
      <c r="D2357" t="str">
        <f t="shared" si="130"/>
        <v>Jueves</v>
      </c>
    </row>
    <row r="2358" spans="1:4" x14ac:dyDescent="0.25">
      <c r="A2358" s="88" t="str">
        <f t="shared" si="128"/>
        <v>6-2029</v>
      </c>
      <c r="B2358" s="86">
        <v>47284</v>
      </c>
      <c r="C2358" t="str">
        <f t="shared" si="129"/>
        <v>L-V</v>
      </c>
      <c r="D2358" t="str">
        <f t="shared" si="130"/>
        <v>Viernes</v>
      </c>
    </row>
    <row r="2359" spans="1:4" x14ac:dyDescent="0.25">
      <c r="A2359" s="88" t="str">
        <f t="shared" si="128"/>
        <v>6-2029</v>
      </c>
      <c r="B2359" s="86">
        <v>47285</v>
      </c>
      <c r="C2359" t="str">
        <f t="shared" si="129"/>
        <v>SAB</v>
      </c>
      <c r="D2359" t="str">
        <f t="shared" si="130"/>
        <v>Sábado</v>
      </c>
    </row>
    <row r="2360" spans="1:4" x14ac:dyDescent="0.25">
      <c r="A2360" s="88" t="str">
        <f t="shared" si="128"/>
        <v>6-2029</v>
      </c>
      <c r="B2360" s="86">
        <v>47286</v>
      </c>
      <c r="C2360" t="str">
        <f t="shared" si="129"/>
        <v>DOM</v>
      </c>
      <c r="D2360" t="str">
        <f t="shared" si="130"/>
        <v>Domingo</v>
      </c>
    </row>
    <row r="2361" spans="1:4" x14ac:dyDescent="0.25">
      <c r="A2361" s="88" t="str">
        <f t="shared" si="128"/>
        <v>6-2029</v>
      </c>
      <c r="B2361" s="86">
        <v>47287</v>
      </c>
      <c r="C2361" t="str">
        <f t="shared" si="129"/>
        <v>L-V</v>
      </c>
      <c r="D2361" t="str">
        <f t="shared" si="130"/>
        <v>Lunes</v>
      </c>
    </row>
    <row r="2362" spans="1:4" x14ac:dyDescent="0.25">
      <c r="A2362" s="88" t="str">
        <f t="shared" si="128"/>
        <v>6-2029</v>
      </c>
      <c r="B2362" s="86">
        <v>47288</v>
      </c>
      <c r="C2362" t="str">
        <f t="shared" si="129"/>
        <v>L-V</v>
      </c>
      <c r="D2362" t="str">
        <f t="shared" si="130"/>
        <v>Martes</v>
      </c>
    </row>
    <row r="2363" spans="1:4" x14ac:dyDescent="0.25">
      <c r="A2363" s="88" t="str">
        <f t="shared" si="128"/>
        <v>6-2029</v>
      </c>
      <c r="B2363" s="86">
        <v>47289</v>
      </c>
      <c r="C2363" t="str">
        <f t="shared" si="129"/>
        <v>L-V</v>
      </c>
      <c r="D2363" t="str">
        <f t="shared" si="130"/>
        <v>Miércoles</v>
      </c>
    </row>
    <row r="2364" spans="1:4" x14ac:dyDescent="0.25">
      <c r="A2364" s="88" t="str">
        <f t="shared" si="128"/>
        <v>6-2029</v>
      </c>
      <c r="B2364" s="86">
        <v>47290</v>
      </c>
      <c r="C2364" t="str">
        <f t="shared" si="129"/>
        <v>L-V</v>
      </c>
      <c r="D2364" t="str">
        <f t="shared" si="130"/>
        <v>Jueves</v>
      </c>
    </row>
    <row r="2365" spans="1:4" x14ac:dyDescent="0.25">
      <c r="A2365" s="88" t="str">
        <f t="shared" si="128"/>
        <v>6-2029</v>
      </c>
      <c r="B2365" s="86">
        <v>47291</v>
      </c>
      <c r="C2365" t="str">
        <f t="shared" si="129"/>
        <v>L-V</v>
      </c>
      <c r="D2365" t="str">
        <f t="shared" si="130"/>
        <v>Viernes</v>
      </c>
    </row>
    <row r="2366" spans="1:4" x14ac:dyDescent="0.25">
      <c r="A2366" s="88" t="str">
        <f t="shared" si="128"/>
        <v>6-2029</v>
      </c>
      <c r="B2366" s="86">
        <v>47292</v>
      </c>
      <c r="C2366" t="str">
        <f t="shared" si="129"/>
        <v>SAB</v>
      </c>
      <c r="D2366" t="str">
        <f t="shared" si="130"/>
        <v>Sábado</v>
      </c>
    </row>
    <row r="2367" spans="1:4" x14ac:dyDescent="0.25">
      <c r="A2367" s="88" t="str">
        <f t="shared" si="128"/>
        <v>6-2029</v>
      </c>
      <c r="B2367" s="86">
        <v>47293</v>
      </c>
      <c r="C2367" t="str">
        <f t="shared" si="129"/>
        <v>DOM</v>
      </c>
      <c r="D2367" t="str">
        <f t="shared" si="130"/>
        <v>Domingo</v>
      </c>
    </row>
    <row r="2368" spans="1:4" x14ac:dyDescent="0.25">
      <c r="A2368" s="88" t="str">
        <f t="shared" si="128"/>
        <v>6-2029</v>
      </c>
      <c r="B2368" s="86">
        <v>47294</v>
      </c>
      <c r="C2368" t="str">
        <f t="shared" si="129"/>
        <v>L-V</v>
      </c>
      <c r="D2368" t="str">
        <f t="shared" si="130"/>
        <v>Lunes</v>
      </c>
    </row>
    <row r="2369" spans="1:4" x14ac:dyDescent="0.25">
      <c r="A2369" s="88" t="str">
        <f t="shared" si="128"/>
        <v>6-2029</v>
      </c>
      <c r="B2369" s="86">
        <v>47295</v>
      </c>
      <c r="C2369" t="str">
        <f t="shared" si="129"/>
        <v>L-V</v>
      </c>
      <c r="D2369" t="str">
        <f t="shared" si="130"/>
        <v>Martes</v>
      </c>
    </row>
    <row r="2370" spans="1:4" x14ac:dyDescent="0.25">
      <c r="A2370" s="88" t="str">
        <f t="shared" ref="A2370:A2433" si="131">MONTH(B2370)&amp;"-"&amp;YEAR(B2370)</f>
        <v>6-2029</v>
      </c>
      <c r="B2370" s="86">
        <v>47296</v>
      </c>
      <c r="C2370" t="str">
        <f t="shared" si="129"/>
        <v>L-V</v>
      </c>
      <c r="D2370" t="str">
        <f t="shared" si="130"/>
        <v>Miércoles</v>
      </c>
    </row>
    <row r="2371" spans="1:4" x14ac:dyDescent="0.25">
      <c r="A2371" s="88" t="str">
        <f t="shared" si="131"/>
        <v>6-2029</v>
      </c>
      <c r="B2371" s="86">
        <v>47297</v>
      </c>
      <c r="C2371" t="str">
        <f t="shared" ref="C2371:C2434" si="132">VLOOKUP(WEEKDAY(B2371,2),$F$1:$H$7,2)</f>
        <v>L-V</v>
      </c>
      <c r="D2371" t="str">
        <f t="shared" ref="D2371:D2434" si="133">VLOOKUP(WEEKDAY($B2371,2),$F$1:$H$7,3)</f>
        <v>Jueves</v>
      </c>
    </row>
    <row r="2372" spans="1:4" x14ac:dyDescent="0.25">
      <c r="A2372" s="88" t="str">
        <f t="shared" si="131"/>
        <v>6-2029</v>
      </c>
      <c r="B2372" s="86">
        <v>47298</v>
      </c>
      <c r="C2372" t="str">
        <f t="shared" si="132"/>
        <v>L-V</v>
      </c>
      <c r="D2372" t="str">
        <f t="shared" si="133"/>
        <v>Viernes</v>
      </c>
    </row>
    <row r="2373" spans="1:4" x14ac:dyDescent="0.25">
      <c r="A2373" s="88" t="str">
        <f t="shared" si="131"/>
        <v>6-2029</v>
      </c>
      <c r="B2373" s="86">
        <v>47299</v>
      </c>
      <c r="C2373" t="str">
        <f t="shared" si="132"/>
        <v>SAB</v>
      </c>
      <c r="D2373" t="str">
        <f t="shared" si="133"/>
        <v>Sábado</v>
      </c>
    </row>
    <row r="2374" spans="1:4" x14ac:dyDescent="0.25">
      <c r="A2374" s="88" t="str">
        <f t="shared" si="131"/>
        <v>7-2029</v>
      </c>
      <c r="B2374" s="86">
        <v>47300</v>
      </c>
      <c r="C2374" t="str">
        <f t="shared" si="132"/>
        <v>DOM</v>
      </c>
      <c r="D2374" t="str">
        <f t="shared" si="133"/>
        <v>Domingo</v>
      </c>
    </row>
    <row r="2375" spans="1:4" x14ac:dyDescent="0.25">
      <c r="A2375" s="88" t="str">
        <f t="shared" si="131"/>
        <v>7-2029</v>
      </c>
      <c r="B2375" s="86">
        <v>47301</v>
      </c>
      <c r="C2375" t="str">
        <f t="shared" si="132"/>
        <v>L-V</v>
      </c>
      <c r="D2375" t="str">
        <f t="shared" si="133"/>
        <v>Lunes</v>
      </c>
    </row>
    <row r="2376" spans="1:4" x14ac:dyDescent="0.25">
      <c r="A2376" s="88" t="str">
        <f t="shared" si="131"/>
        <v>7-2029</v>
      </c>
      <c r="B2376" s="86">
        <v>47302</v>
      </c>
      <c r="C2376" t="str">
        <f t="shared" si="132"/>
        <v>L-V</v>
      </c>
      <c r="D2376" t="str">
        <f t="shared" si="133"/>
        <v>Martes</v>
      </c>
    </row>
    <row r="2377" spans="1:4" x14ac:dyDescent="0.25">
      <c r="A2377" s="88" t="str">
        <f t="shared" si="131"/>
        <v>7-2029</v>
      </c>
      <c r="B2377" s="86">
        <v>47303</v>
      </c>
      <c r="C2377" t="str">
        <f t="shared" si="132"/>
        <v>L-V</v>
      </c>
      <c r="D2377" t="str">
        <f t="shared" si="133"/>
        <v>Miércoles</v>
      </c>
    </row>
    <row r="2378" spans="1:4" x14ac:dyDescent="0.25">
      <c r="A2378" s="88" t="str">
        <f t="shared" si="131"/>
        <v>7-2029</v>
      </c>
      <c r="B2378" s="86">
        <v>47304</v>
      </c>
      <c r="C2378" t="str">
        <f t="shared" si="132"/>
        <v>L-V</v>
      </c>
      <c r="D2378" t="str">
        <f t="shared" si="133"/>
        <v>Jueves</v>
      </c>
    </row>
    <row r="2379" spans="1:4" x14ac:dyDescent="0.25">
      <c r="A2379" s="88" t="str">
        <f t="shared" si="131"/>
        <v>7-2029</v>
      </c>
      <c r="B2379" s="86">
        <v>47305</v>
      </c>
      <c r="C2379" t="str">
        <f t="shared" si="132"/>
        <v>L-V</v>
      </c>
      <c r="D2379" t="str">
        <f t="shared" si="133"/>
        <v>Viernes</v>
      </c>
    </row>
    <row r="2380" spans="1:4" x14ac:dyDescent="0.25">
      <c r="A2380" s="88" t="str">
        <f t="shared" si="131"/>
        <v>7-2029</v>
      </c>
      <c r="B2380" s="86">
        <v>47306</v>
      </c>
      <c r="C2380" t="str">
        <f t="shared" si="132"/>
        <v>SAB</v>
      </c>
      <c r="D2380" t="str">
        <f t="shared" si="133"/>
        <v>Sábado</v>
      </c>
    </row>
    <row r="2381" spans="1:4" x14ac:dyDescent="0.25">
      <c r="A2381" s="88" t="str">
        <f t="shared" si="131"/>
        <v>7-2029</v>
      </c>
      <c r="B2381" s="86">
        <v>47307</v>
      </c>
      <c r="C2381" t="str">
        <f t="shared" si="132"/>
        <v>DOM</v>
      </c>
      <c r="D2381" t="str">
        <f t="shared" si="133"/>
        <v>Domingo</v>
      </c>
    </row>
    <row r="2382" spans="1:4" x14ac:dyDescent="0.25">
      <c r="A2382" s="88" t="str">
        <f t="shared" si="131"/>
        <v>7-2029</v>
      </c>
      <c r="B2382" s="86">
        <v>47308</v>
      </c>
      <c r="C2382" t="str">
        <f t="shared" si="132"/>
        <v>L-V</v>
      </c>
      <c r="D2382" t="str">
        <f t="shared" si="133"/>
        <v>Lunes</v>
      </c>
    </row>
    <row r="2383" spans="1:4" x14ac:dyDescent="0.25">
      <c r="A2383" s="88" t="str">
        <f t="shared" si="131"/>
        <v>7-2029</v>
      </c>
      <c r="B2383" s="86">
        <v>47309</v>
      </c>
      <c r="C2383" t="str">
        <f t="shared" si="132"/>
        <v>L-V</v>
      </c>
      <c r="D2383" t="str">
        <f t="shared" si="133"/>
        <v>Martes</v>
      </c>
    </row>
    <row r="2384" spans="1:4" x14ac:dyDescent="0.25">
      <c r="A2384" s="88" t="str">
        <f t="shared" si="131"/>
        <v>7-2029</v>
      </c>
      <c r="B2384" s="86">
        <v>47310</v>
      </c>
      <c r="C2384" t="str">
        <f t="shared" si="132"/>
        <v>L-V</v>
      </c>
      <c r="D2384" t="str">
        <f t="shared" si="133"/>
        <v>Miércoles</v>
      </c>
    </row>
    <row r="2385" spans="1:4" x14ac:dyDescent="0.25">
      <c r="A2385" s="88" t="str">
        <f t="shared" si="131"/>
        <v>7-2029</v>
      </c>
      <c r="B2385" s="86">
        <v>47311</v>
      </c>
      <c r="C2385" t="str">
        <f t="shared" si="132"/>
        <v>L-V</v>
      </c>
      <c r="D2385" t="str">
        <f t="shared" si="133"/>
        <v>Jueves</v>
      </c>
    </row>
    <row r="2386" spans="1:4" x14ac:dyDescent="0.25">
      <c r="A2386" s="88" t="str">
        <f t="shared" si="131"/>
        <v>7-2029</v>
      </c>
      <c r="B2386" s="86">
        <v>47312</v>
      </c>
      <c r="C2386" t="str">
        <f t="shared" si="132"/>
        <v>L-V</v>
      </c>
      <c r="D2386" t="str">
        <f t="shared" si="133"/>
        <v>Viernes</v>
      </c>
    </row>
    <row r="2387" spans="1:4" x14ac:dyDescent="0.25">
      <c r="A2387" s="88" t="str">
        <f t="shared" si="131"/>
        <v>7-2029</v>
      </c>
      <c r="B2387" s="86">
        <v>47313</v>
      </c>
      <c r="C2387" t="str">
        <f t="shared" si="132"/>
        <v>SAB</v>
      </c>
      <c r="D2387" t="str">
        <f t="shared" si="133"/>
        <v>Sábado</v>
      </c>
    </row>
    <row r="2388" spans="1:4" x14ac:dyDescent="0.25">
      <c r="A2388" s="88" t="str">
        <f t="shared" si="131"/>
        <v>7-2029</v>
      </c>
      <c r="B2388" s="86">
        <v>47314</v>
      </c>
      <c r="C2388" t="str">
        <f t="shared" si="132"/>
        <v>DOM</v>
      </c>
      <c r="D2388" t="str">
        <f t="shared" si="133"/>
        <v>Domingo</v>
      </c>
    </row>
    <row r="2389" spans="1:4" x14ac:dyDescent="0.25">
      <c r="A2389" s="88" t="str">
        <f t="shared" si="131"/>
        <v>7-2029</v>
      </c>
      <c r="B2389" s="86">
        <v>47315</v>
      </c>
      <c r="C2389" t="str">
        <f t="shared" si="132"/>
        <v>L-V</v>
      </c>
      <c r="D2389" t="str">
        <f t="shared" si="133"/>
        <v>Lunes</v>
      </c>
    </row>
    <row r="2390" spans="1:4" x14ac:dyDescent="0.25">
      <c r="A2390" s="88" t="str">
        <f t="shared" si="131"/>
        <v>7-2029</v>
      </c>
      <c r="B2390" s="86">
        <v>47316</v>
      </c>
      <c r="C2390" t="str">
        <f t="shared" si="132"/>
        <v>L-V</v>
      </c>
      <c r="D2390" t="str">
        <f t="shared" si="133"/>
        <v>Martes</v>
      </c>
    </row>
    <row r="2391" spans="1:4" x14ac:dyDescent="0.25">
      <c r="A2391" s="88" t="str">
        <f t="shared" si="131"/>
        <v>7-2029</v>
      </c>
      <c r="B2391" s="86">
        <v>47317</v>
      </c>
      <c r="C2391" t="str">
        <f t="shared" si="132"/>
        <v>L-V</v>
      </c>
      <c r="D2391" t="str">
        <f t="shared" si="133"/>
        <v>Miércoles</v>
      </c>
    </row>
    <row r="2392" spans="1:4" x14ac:dyDescent="0.25">
      <c r="A2392" s="88" t="str">
        <f t="shared" si="131"/>
        <v>7-2029</v>
      </c>
      <c r="B2392" s="86">
        <v>47318</v>
      </c>
      <c r="C2392" t="str">
        <f t="shared" si="132"/>
        <v>L-V</v>
      </c>
      <c r="D2392" t="str">
        <f t="shared" si="133"/>
        <v>Jueves</v>
      </c>
    </row>
    <row r="2393" spans="1:4" x14ac:dyDescent="0.25">
      <c r="A2393" s="88" t="str">
        <f t="shared" si="131"/>
        <v>7-2029</v>
      </c>
      <c r="B2393" s="86">
        <v>47319</v>
      </c>
      <c r="C2393" t="str">
        <f t="shared" si="132"/>
        <v>L-V</v>
      </c>
      <c r="D2393" t="str">
        <f t="shared" si="133"/>
        <v>Viernes</v>
      </c>
    </row>
    <row r="2394" spans="1:4" x14ac:dyDescent="0.25">
      <c r="A2394" s="88" t="str">
        <f t="shared" si="131"/>
        <v>7-2029</v>
      </c>
      <c r="B2394" s="86">
        <v>47320</v>
      </c>
      <c r="C2394" t="str">
        <f t="shared" si="132"/>
        <v>SAB</v>
      </c>
      <c r="D2394" t="str">
        <f t="shared" si="133"/>
        <v>Sábado</v>
      </c>
    </row>
    <row r="2395" spans="1:4" x14ac:dyDescent="0.25">
      <c r="A2395" s="88" t="str">
        <f t="shared" si="131"/>
        <v>7-2029</v>
      </c>
      <c r="B2395" s="86">
        <v>47321</v>
      </c>
      <c r="C2395" t="str">
        <f t="shared" si="132"/>
        <v>DOM</v>
      </c>
      <c r="D2395" t="str">
        <f t="shared" si="133"/>
        <v>Domingo</v>
      </c>
    </row>
    <row r="2396" spans="1:4" x14ac:dyDescent="0.25">
      <c r="A2396" s="88" t="str">
        <f t="shared" si="131"/>
        <v>7-2029</v>
      </c>
      <c r="B2396" s="86">
        <v>47322</v>
      </c>
      <c r="C2396" t="str">
        <f t="shared" si="132"/>
        <v>L-V</v>
      </c>
      <c r="D2396" t="str">
        <f t="shared" si="133"/>
        <v>Lunes</v>
      </c>
    </row>
    <row r="2397" spans="1:4" x14ac:dyDescent="0.25">
      <c r="A2397" s="88" t="str">
        <f t="shared" si="131"/>
        <v>7-2029</v>
      </c>
      <c r="B2397" s="86">
        <v>47323</v>
      </c>
      <c r="C2397" t="str">
        <f t="shared" si="132"/>
        <v>L-V</v>
      </c>
      <c r="D2397" t="str">
        <f t="shared" si="133"/>
        <v>Martes</v>
      </c>
    </row>
    <row r="2398" spans="1:4" x14ac:dyDescent="0.25">
      <c r="A2398" s="88" t="str">
        <f t="shared" si="131"/>
        <v>7-2029</v>
      </c>
      <c r="B2398" s="86">
        <v>47324</v>
      </c>
      <c r="C2398" t="str">
        <f t="shared" si="132"/>
        <v>L-V</v>
      </c>
      <c r="D2398" t="str">
        <f t="shared" si="133"/>
        <v>Miércoles</v>
      </c>
    </row>
    <row r="2399" spans="1:4" x14ac:dyDescent="0.25">
      <c r="A2399" s="88" t="str">
        <f t="shared" si="131"/>
        <v>7-2029</v>
      </c>
      <c r="B2399" s="86">
        <v>47325</v>
      </c>
      <c r="C2399" t="str">
        <f t="shared" si="132"/>
        <v>L-V</v>
      </c>
      <c r="D2399" t="str">
        <f t="shared" si="133"/>
        <v>Jueves</v>
      </c>
    </row>
    <row r="2400" spans="1:4" x14ac:dyDescent="0.25">
      <c r="A2400" s="88" t="str">
        <f t="shared" si="131"/>
        <v>7-2029</v>
      </c>
      <c r="B2400" s="86">
        <v>47326</v>
      </c>
      <c r="C2400" t="str">
        <f t="shared" si="132"/>
        <v>L-V</v>
      </c>
      <c r="D2400" t="str">
        <f t="shared" si="133"/>
        <v>Viernes</v>
      </c>
    </row>
    <row r="2401" spans="1:4" x14ac:dyDescent="0.25">
      <c r="A2401" s="88" t="str">
        <f t="shared" si="131"/>
        <v>7-2029</v>
      </c>
      <c r="B2401" s="86">
        <v>47327</v>
      </c>
      <c r="C2401" t="str">
        <f t="shared" si="132"/>
        <v>SAB</v>
      </c>
      <c r="D2401" t="str">
        <f t="shared" si="133"/>
        <v>Sábado</v>
      </c>
    </row>
    <row r="2402" spans="1:4" x14ac:dyDescent="0.25">
      <c r="A2402" s="88" t="str">
        <f t="shared" si="131"/>
        <v>7-2029</v>
      </c>
      <c r="B2402" s="86">
        <v>47328</v>
      </c>
      <c r="C2402" t="str">
        <f t="shared" si="132"/>
        <v>DOM</v>
      </c>
      <c r="D2402" t="str">
        <f t="shared" si="133"/>
        <v>Domingo</v>
      </c>
    </row>
    <row r="2403" spans="1:4" x14ac:dyDescent="0.25">
      <c r="A2403" s="88" t="str">
        <f t="shared" si="131"/>
        <v>7-2029</v>
      </c>
      <c r="B2403" s="86">
        <v>47329</v>
      </c>
      <c r="C2403" t="str">
        <f t="shared" si="132"/>
        <v>L-V</v>
      </c>
      <c r="D2403" t="str">
        <f t="shared" si="133"/>
        <v>Lunes</v>
      </c>
    </row>
    <row r="2404" spans="1:4" x14ac:dyDescent="0.25">
      <c r="A2404" s="88" t="str">
        <f t="shared" si="131"/>
        <v>7-2029</v>
      </c>
      <c r="B2404" s="86">
        <v>47330</v>
      </c>
      <c r="C2404" t="str">
        <f t="shared" si="132"/>
        <v>L-V</v>
      </c>
      <c r="D2404" t="str">
        <f t="shared" si="133"/>
        <v>Martes</v>
      </c>
    </row>
    <row r="2405" spans="1:4" x14ac:dyDescent="0.25">
      <c r="A2405" s="88" t="str">
        <f t="shared" si="131"/>
        <v>8-2029</v>
      </c>
      <c r="B2405" s="86">
        <v>47331</v>
      </c>
      <c r="C2405" t="str">
        <f t="shared" si="132"/>
        <v>L-V</v>
      </c>
      <c r="D2405" t="str">
        <f t="shared" si="133"/>
        <v>Miércoles</v>
      </c>
    </row>
    <row r="2406" spans="1:4" x14ac:dyDescent="0.25">
      <c r="A2406" s="88" t="str">
        <f t="shared" si="131"/>
        <v>8-2029</v>
      </c>
      <c r="B2406" s="86">
        <v>47332</v>
      </c>
      <c r="C2406" t="str">
        <f t="shared" si="132"/>
        <v>L-V</v>
      </c>
      <c r="D2406" t="str">
        <f t="shared" si="133"/>
        <v>Jueves</v>
      </c>
    </row>
    <row r="2407" spans="1:4" x14ac:dyDescent="0.25">
      <c r="A2407" s="88" t="str">
        <f t="shared" si="131"/>
        <v>8-2029</v>
      </c>
      <c r="B2407" s="86">
        <v>47333</v>
      </c>
      <c r="C2407" t="str">
        <f t="shared" si="132"/>
        <v>L-V</v>
      </c>
      <c r="D2407" t="str">
        <f t="shared" si="133"/>
        <v>Viernes</v>
      </c>
    </row>
    <row r="2408" spans="1:4" x14ac:dyDescent="0.25">
      <c r="A2408" s="88" t="str">
        <f t="shared" si="131"/>
        <v>8-2029</v>
      </c>
      <c r="B2408" s="86">
        <v>47334</v>
      </c>
      <c r="C2408" t="str">
        <f t="shared" si="132"/>
        <v>SAB</v>
      </c>
      <c r="D2408" t="str">
        <f t="shared" si="133"/>
        <v>Sábado</v>
      </c>
    </row>
    <row r="2409" spans="1:4" x14ac:dyDescent="0.25">
      <c r="A2409" s="88" t="str">
        <f t="shared" si="131"/>
        <v>8-2029</v>
      </c>
      <c r="B2409" s="86">
        <v>47335</v>
      </c>
      <c r="C2409" t="str">
        <f t="shared" si="132"/>
        <v>DOM</v>
      </c>
      <c r="D2409" t="str">
        <f t="shared" si="133"/>
        <v>Domingo</v>
      </c>
    </row>
    <row r="2410" spans="1:4" x14ac:dyDescent="0.25">
      <c r="A2410" s="88" t="str">
        <f t="shared" si="131"/>
        <v>8-2029</v>
      </c>
      <c r="B2410" s="86">
        <v>47336</v>
      </c>
      <c r="C2410" t="str">
        <f t="shared" si="132"/>
        <v>L-V</v>
      </c>
      <c r="D2410" t="str">
        <f t="shared" si="133"/>
        <v>Lunes</v>
      </c>
    </row>
    <row r="2411" spans="1:4" x14ac:dyDescent="0.25">
      <c r="A2411" s="88" t="str">
        <f t="shared" si="131"/>
        <v>8-2029</v>
      </c>
      <c r="B2411" s="86">
        <v>47337</v>
      </c>
      <c r="C2411" t="str">
        <f t="shared" si="132"/>
        <v>L-V</v>
      </c>
      <c r="D2411" t="str">
        <f t="shared" si="133"/>
        <v>Martes</v>
      </c>
    </row>
    <row r="2412" spans="1:4" x14ac:dyDescent="0.25">
      <c r="A2412" s="88" t="str">
        <f t="shared" si="131"/>
        <v>8-2029</v>
      </c>
      <c r="B2412" s="86">
        <v>47338</v>
      </c>
      <c r="C2412" t="str">
        <f t="shared" si="132"/>
        <v>L-V</v>
      </c>
      <c r="D2412" t="str">
        <f t="shared" si="133"/>
        <v>Miércoles</v>
      </c>
    </row>
    <row r="2413" spans="1:4" x14ac:dyDescent="0.25">
      <c r="A2413" s="88" t="str">
        <f t="shared" si="131"/>
        <v>8-2029</v>
      </c>
      <c r="B2413" s="86">
        <v>47339</v>
      </c>
      <c r="C2413" t="str">
        <f t="shared" si="132"/>
        <v>L-V</v>
      </c>
      <c r="D2413" t="str">
        <f t="shared" si="133"/>
        <v>Jueves</v>
      </c>
    </row>
    <row r="2414" spans="1:4" x14ac:dyDescent="0.25">
      <c r="A2414" s="88" t="str">
        <f t="shared" si="131"/>
        <v>8-2029</v>
      </c>
      <c r="B2414" s="86">
        <v>47340</v>
      </c>
      <c r="C2414" t="str">
        <f t="shared" si="132"/>
        <v>L-V</v>
      </c>
      <c r="D2414" t="str">
        <f t="shared" si="133"/>
        <v>Viernes</v>
      </c>
    </row>
    <row r="2415" spans="1:4" x14ac:dyDescent="0.25">
      <c r="A2415" s="88" t="str">
        <f t="shared" si="131"/>
        <v>8-2029</v>
      </c>
      <c r="B2415" s="86">
        <v>47341</v>
      </c>
      <c r="C2415" t="str">
        <f t="shared" si="132"/>
        <v>SAB</v>
      </c>
      <c r="D2415" t="str">
        <f t="shared" si="133"/>
        <v>Sábado</v>
      </c>
    </row>
    <row r="2416" spans="1:4" x14ac:dyDescent="0.25">
      <c r="A2416" s="88" t="str">
        <f t="shared" si="131"/>
        <v>8-2029</v>
      </c>
      <c r="B2416" s="86">
        <v>47342</v>
      </c>
      <c r="C2416" t="str">
        <f t="shared" si="132"/>
        <v>DOM</v>
      </c>
      <c r="D2416" t="str">
        <f t="shared" si="133"/>
        <v>Domingo</v>
      </c>
    </row>
    <row r="2417" spans="1:4" x14ac:dyDescent="0.25">
      <c r="A2417" s="88" t="str">
        <f t="shared" si="131"/>
        <v>8-2029</v>
      </c>
      <c r="B2417" s="86">
        <v>47343</v>
      </c>
      <c r="C2417" t="str">
        <f t="shared" si="132"/>
        <v>L-V</v>
      </c>
      <c r="D2417" t="str">
        <f t="shared" si="133"/>
        <v>Lunes</v>
      </c>
    </row>
    <row r="2418" spans="1:4" x14ac:dyDescent="0.25">
      <c r="A2418" s="88" t="str">
        <f t="shared" si="131"/>
        <v>8-2029</v>
      </c>
      <c r="B2418" s="86">
        <v>47344</v>
      </c>
      <c r="C2418" t="str">
        <f t="shared" si="132"/>
        <v>L-V</v>
      </c>
      <c r="D2418" t="str">
        <f t="shared" si="133"/>
        <v>Martes</v>
      </c>
    </row>
    <row r="2419" spans="1:4" x14ac:dyDescent="0.25">
      <c r="A2419" s="88" t="str">
        <f t="shared" si="131"/>
        <v>8-2029</v>
      </c>
      <c r="B2419" s="86">
        <v>47345</v>
      </c>
      <c r="C2419" t="str">
        <f t="shared" si="132"/>
        <v>L-V</v>
      </c>
      <c r="D2419" t="str">
        <f t="shared" si="133"/>
        <v>Miércoles</v>
      </c>
    </row>
    <row r="2420" spans="1:4" x14ac:dyDescent="0.25">
      <c r="A2420" s="88" t="str">
        <f t="shared" si="131"/>
        <v>8-2029</v>
      </c>
      <c r="B2420" s="86">
        <v>47346</v>
      </c>
      <c r="C2420" t="str">
        <f t="shared" si="132"/>
        <v>L-V</v>
      </c>
      <c r="D2420" t="str">
        <f t="shared" si="133"/>
        <v>Jueves</v>
      </c>
    </row>
    <row r="2421" spans="1:4" x14ac:dyDescent="0.25">
      <c r="A2421" s="88" t="str">
        <f t="shared" si="131"/>
        <v>8-2029</v>
      </c>
      <c r="B2421" s="86">
        <v>47347</v>
      </c>
      <c r="C2421" t="str">
        <f t="shared" si="132"/>
        <v>L-V</v>
      </c>
      <c r="D2421" t="str">
        <f t="shared" si="133"/>
        <v>Viernes</v>
      </c>
    </row>
    <row r="2422" spans="1:4" x14ac:dyDescent="0.25">
      <c r="A2422" s="88" t="str">
        <f t="shared" si="131"/>
        <v>8-2029</v>
      </c>
      <c r="B2422" s="86">
        <v>47348</v>
      </c>
      <c r="C2422" t="str">
        <f t="shared" si="132"/>
        <v>SAB</v>
      </c>
      <c r="D2422" t="str">
        <f t="shared" si="133"/>
        <v>Sábado</v>
      </c>
    </row>
    <row r="2423" spans="1:4" x14ac:dyDescent="0.25">
      <c r="A2423" s="88" t="str">
        <f t="shared" si="131"/>
        <v>8-2029</v>
      </c>
      <c r="B2423" s="86">
        <v>47349</v>
      </c>
      <c r="C2423" t="str">
        <f t="shared" si="132"/>
        <v>DOM</v>
      </c>
      <c r="D2423" t="str">
        <f t="shared" si="133"/>
        <v>Domingo</v>
      </c>
    </row>
    <row r="2424" spans="1:4" x14ac:dyDescent="0.25">
      <c r="A2424" s="88" t="str">
        <f t="shared" si="131"/>
        <v>8-2029</v>
      </c>
      <c r="B2424" s="86">
        <v>47350</v>
      </c>
      <c r="C2424" t="str">
        <f t="shared" si="132"/>
        <v>L-V</v>
      </c>
      <c r="D2424" t="str">
        <f t="shared" si="133"/>
        <v>Lunes</v>
      </c>
    </row>
    <row r="2425" spans="1:4" x14ac:dyDescent="0.25">
      <c r="A2425" s="88" t="str">
        <f t="shared" si="131"/>
        <v>8-2029</v>
      </c>
      <c r="B2425" s="86">
        <v>47351</v>
      </c>
      <c r="C2425" t="str">
        <f t="shared" si="132"/>
        <v>L-V</v>
      </c>
      <c r="D2425" t="str">
        <f t="shared" si="133"/>
        <v>Martes</v>
      </c>
    </row>
    <row r="2426" spans="1:4" x14ac:dyDescent="0.25">
      <c r="A2426" s="88" t="str">
        <f t="shared" si="131"/>
        <v>8-2029</v>
      </c>
      <c r="B2426" s="86">
        <v>47352</v>
      </c>
      <c r="C2426" t="str">
        <f t="shared" si="132"/>
        <v>L-V</v>
      </c>
      <c r="D2426" t="str">
        <f t="shared" si="133"/>
        <v>Miércoles</v>
      </c>
    </row>
    <row r="2427" spans="1:4" x14ac:dyDescent="0.25">
      <c r="A2427" s="88" t="str">
        <f t="shared" si="131"/>
        <v>8-2029</v>
      </c>
      <c r="B2427" s="86">
        <v>47353</v>
      </c>
      <c r="C2427" t="str">
        <f t="shared" si="132"/>
        <v>L-V</v>
      </c>
      <c r="D2427" t="str">
        <f t="shared" si="133"/>
        <v>Jueves</v>
      </c>
    </row>
    <row r="2428" spans="1:4" x14ac:dyDescent="0.25">
      <c r="A2428" s="88" t="str">
        <f t="shared" si="131"/>
        <v>8-2029</v>
      </c>
      <c r="B2428" s="86">
        <v>47354</v>
      </c>
      <c r="C2428" t="str">
        <f t="shared" si="132"/>
        <v>L-V</v>
      </c>
      <c r="D2428" t="str">
        <f t="shared" si="133"/>
        <v>Viernes</v>
      </c>
    </row>
    <row r="2429" spans="1:4" x14ac:dyDescent="0.25">
      <c r="A2429" s="88" t="str">
        <f t="shared" si="131"/>
        <v>8-2029</v>
      </c>
      <c r="B2429" s="86">
        <v>47355</v>
      </c>
      <c r="C2429" t="str">
        <f t="shared" si="132"/>
        <v>SAB</v>
      </c>
      <c r="D2429" t="str">
        <f t="shared" si="133"/>
        <v>Sábado</v>
      </c>
    </row>
    <row r="2430" spans="1:4" x14ac:dyDescent="0.25">
      <c r="A2430" s="88" t="str">
        <f t="shared" si="131"/>
        <v>8-2029</v>
      </c>
      <c r="B2430" s="86">
        <v>47356</v>
      </c>
      <c r="C2430" t="str">
        <f t="shared" si="132"/>
        <v>DOM</v>
      </c>
      <c r="D2430" t="str">
        <f t="shared" si="133"/>
        <v>Domingo</v>
      </c>
    </row>
    <row r="2431" spans="1:4" x14ac:dyDescent="0.25">
      <c r="A2431" s="88" t="str">
        <f t="shared" si="131"/>
        <v>8-2029</v>
      </c>
      <c r="B2431" s="86">
        <v>47357</v>
      </c>
      <c r="C2431" t="str">
        <f t="shared" si="132"/>
        <v>L-V</v>
      </c>
      <c r="D2431" t="str">
        <f t="shared" si="133"/>
        <v>Lunes</v>
      </c>
    </row>
    <row r="2432" spans="1:4" x14ac:dyDescent="0.25">
      <c r="A2432" s="88" t="str">
        <f t="shared" si="131"/>
        <v>8-2029</v>
      </c>
      <c r="B2432" s="86">
        <v>47358</v>
      </c>
      <c r="C2432" t="str">
        <f t="shared" si="132"/>
        <v>L-V</v>
      </c>
      <c r="D2432" t="str">
        <f t="shared" si="133"/>
        <v>Martes</v>
      </c>
    </row>
    <row r="2433" spans="1:4" x14ac:dyDescent="0.25">
      <c r="A2433" s="88" t="str">
        <f t="shared" si="131"/>
        <v>8-2029</v>
      </c>
      <c r="B2433" s="86">
        <v>47359</v>
      </c>
      <c r="C2433" t="str">
        <f t="shared" si="132"/>
        <v>L-V</v>
      </c>
      <c r="D2433" t="str">
        <f t="shared" si="133"/>
        <v>Miércoles</v>
      </c>
    </row>
    <row r="2434" spans="1:4" x14ac:dyDescent="0.25">
      <c r="A2434" s="88" t="str">
        <f t="shared" ref="A2434:A2497" si="134">MONTH(B2434)&amp;"-"&amp;YEAR(B2434)</f>
        <v>8-2029</v>
      </c>
      <c r="B2434" s="86">
        <v>47360</v>
      </c>
      <c r="C2434" t="str">
        <f t="shared" si="132"/>
        <v>L-V</v>
      </c>
      <c r="D2434" t="str">
        <f t="shared" si="133"/>
        <v>Jueves</v>
      </c>
    </row>
    <row r="2435" spans="1:4" x14ac:dyDescent="0.25">
      <c r="A2435" s="88" t="str">
        <f t="shared" si="134"/>
        <v>8-2029</v>
      </c>
      <c r="B2435" s="86">
        <v>47361</v>
      </c>
      <c r="C2435" t="str">
        <f t="shared" ref="C2435:C2498" si="135">VLOOKUP(WEEKDAY(B2435,2),$F$1:$H$7,2)</f>
        <v>L-V</v>
      </c>
      <c r="D2435" t="str">
        <f t="shared" ref="D2435:D2498" si="136">VLOOKUP(WEEKDAY($B2435,2),$F$1:$H$7,3)</f>
        <v>Viernes</v>
      </c>
    </row>
    <row r="2436" spans="1:4" x14ac:dyDescent="0.25">
      <c r="A2436" s="88" t="str">
        <f t="shared" si="134"/>
        <v>9-2029</v>
      </c>
      <c r="B2436" s="86">
        <v>47362</v>
      </c>
      <c r="C2436" t="str">
        <f t="shared" si="135"/>
        <v>SAB</v>
      </c>
      <c r="D2436" t="str">
        <f t="shared" si="136"/>
        <v>Sábado</v>
      </c>
    </row>
    <row r="2437" spans="1:4" x14ac:dyDescent="0.25">
      <c r="A2437" s="88" t="str">
        <f t="shared" si="134"/>
        <v>9-2029</v>
      </c>
      <c r="B2437" s="86">
        <v>47363</v>
      </c>
      <c r="C2437" t="str">
        <f t="shared" si="135"/>
        <v>DOM</v>
      </c>
      <c r="D2437" t="str">
        <f t="shared" si="136"/>
        <v>Domingo</v>
      </c>
    </row>
    <row r="2438" spans="1:4" x14ac:dyDescent="0.25">
      <c r="A2438" s="88" t="str">
        <f t="shared" si="134"/>
        <v>9-2029</v>
      </c>
      <c r="B2438" s="86">
        <v>47364</v>
      </c>
      <c r="C2438" t="str">
        <f t="shared" si="135"/>
        <v>L-V</v>
      </c>
      <c r="D2438" t="str">
        <f t="shared" si="136"/>
        <v>Lunes</v>
      </c>
    </row>
    <row r="2439" spans="1:4" x14ac:dyDescent="0.25">
      <c r="A2439" s="88" t="str">
        <f t="shared" si="134"/>
        <v>9-2029</v>
      </c>
      <c r="B2439" s="86">
        <v>47365</v>
      </c>
      <c r="C2439" t="str">
        <f t="shared" si="135"/>
        <v>L-V</v>
      </c>
      <c r="D2439" t="str">
        <f t="shared" si="136"/>
        <v>Martes</v>
      </c>
    </row>
    <row r="2440" spans="1:4" x14ac:dyDescent="0.25">
      <c r="A2440" s="88" t="str">
        <f t="shared" si="134"/>
        <v>9-2029</v>
      </c>
      <c r="B2440" s="86">
        <v>47366</v>
      </c>
      <c r="C2440" t="str">
        <f t="shared" si="135"/>
        <v>L-V</v>
      </c>
      <c r="D2440" t="str">
        <f t="shared" si="136"/>
        <v>Miércoles</v>
      </c>
    </row>
    <row r="2441" spans="1:4" x14ac:dyDescent="0.25">
      <c r="A2441" s="88" t="str">
        <f t="shared" si="134"/>
        <v>9-2029</v>
      </c>
      <c r="B2441" s="86">
        <v>47367</v>
      </c>
      <c r="C2441" t="str">
        <f t="shared" si="135"/>
        <v>L-V</v>
      </c>
      <c r="D2441" t="str">
        <f t="shared" si="136"/>
        <v>Jueves</v>
      </c>
    </row>
    <row r="2442" spans="1:4" x14ac:dyDescent="0.25">
      <c r="A2442" s="88" t="str">
        <f t="shared" si="134"/>
        <v>9-2029</v>
      </c>
      <c r="B2442" s="86">
        <v>47368</v>
      </c>
      <c r="C2442" t="str">
        <f t="shared" si="135"/>
        <v>L-V</v>
      </c>
      <c r="D2442" t="str">
        <f t="shared" si="136"/>
        <v>Viernes</v>
      </c>
    </row>
    <row r="2443" spans="1:4" x14ac:dyDescent="0.25">
      <c r="A2443" s="88" t="str">
        <f t="shared" si="134"/>
        <v>9-2029</v>
      </c>
      <c r="B2443" s="86">
        <v>47369</v>
      </c>
      <c r="C2443" t="str">
        <f t="shared" si="135"/>
        <v>SAB</v>
      </c>
      <c r="D2443" t="str">
        <f t="shared" si="136"/>
        <v>Sábado</v>
      </c>
    </row>
    <row r="2444" spans="1:4" x14ac:dyDescent="0.25">
      <c r="A2444" s="88" t="str">
        <f t="shared" si="134"/>
        <v>9-2029</v>
      </c>
      <c r="B2444" s="86">
        <v>47370</v>
      </c>
      <c r="C2444" t="str">
        <f t="shared" si="135"/>
        <v>DOM</v>
      </c>
      <c r="D2444" t="str">
        <f t="shared" si="136"/>
        <v>Domingo</v>
      </c>
    </row>
    <row r="2445" spans="1:4" x14ac:dyDescent="0.25">
      <c r="A2445" s="88" t="str">
        <f t="shared" si="134"/>
        <v>9-2029</v>
      </c>
      <c r="B2445" s="86">
        <v>47371</v>
      </c>
      <c r="C2445" t="str">
        <f t="shared" si="135"/>
        <v>L-V</v>
      </c>
      <c r="D2445" t="str">
        <f t="shared" si="136"/>
        <v>Lunes</v>
      </c>
    </row>
    <row r="2446" spans="1:4" x14ac:dyDescent="0.25">
      <c r="A2446" s="88" t="str">
        <f t="shared" si="134"/>
        <v>9-2029</v>
      </c>
      <c r="B2446" s="86">
        <v>47372</v>
      </c>
      <c r="C2446" t="str">
        <f t="shared" si="135"/>
        <v>L-V</v>
      </c>
      <c r="D2446" t="str">
        <f t="shared" si="136"/>
        <v>Martes</v>
      </c>
    </row>
    <row r="2447" spans="1:4" x14ac:dyDescent="0.25">
      <c r="A2447" s="88" t="str">
        <f t="shared" si="134"/>
        <v>9-2029</v>
      </c>
      <c r="B2447" s="86">
        <v>47373</v>
      </c>
      <c r="C2447" t="str">
        <f t="shared" si="135"/>
        <v>L-V</v>
      </c>
      <c r="D2447" t="str">
        <f t="shared" si="136"/>
        <v>Miércoles</v>
      </c>
    </row>
    <row r="2448" spans="1:4" x14ac:dyDescent="0.25">
      <c r="A2448" s="88" t="str">
        <f t="shared" si="134"/>
        <v>9-2029</v>
      </c>
      <c r="B2448" s="86">
        <v>47374</v>
      </c>
      <c r="C2448" t="str">
        <f t="shared" si="135"/>
        <v>L-V</v>
      </c>
      <c r="D2448" t="str">
        <f t="shared" si="136"/>
        <v>Jueves</v>
      </c>
    </row>
    <row r="2449" spans="1:4" x14ac:dyDescent="0.25">
      <c r="A2449" s="88" t="str">
        <f t="shared" si="134"/>
        <v>9-2029</v>
      </c>
      <c r="B2449" s="86">
        <v>47375</v>
      </c>
      <c r="C2449" t="str">
        <f t="shared" si="135"/>
        <v>L-V</v>
      </c>
      <c r="D2449" t="str">
        <f t="shared" si="136"/>
        <v>Viernes</v>
      </c>
    </row>
    <row r="2450" spans="1:4" x14ac:dyDescent="0.25">
      <c r="A2450" s="88" t="str">
        <f t="shared" si="134"/>
        <v>9-2029</v>
      </c>
      <c r="B2450" s="86">
        <v>47376</v>
      </c>
      <c r="C2450" t="str">
        <f t="shared" si="135"/>
        <v>SAB</v>
      </c>
      <c r="D2450" t="str">
        <f t="shared" si="136"/>
        <v>Sábado</v>
      </c>
    </row>
    <row r="2451" spans="1:4" x14ac:dyDescent="0.25">
      <c r="A2451" s="88" t="str">
        <f t="shared" si="134"/>
        <v>9-2029</v>
      </c>
      <c r="B2451" s="86">
        <v>47377</v>
      </c>
      <c r="C2451" t="str">
        <f t="shared" si="135"/>
        <v>DOM</v>
      </c>
      <c r="D2451" t="str">
        <f t="shared" si="136"/>
        <v>Domingo</v>
      </c>
    </row>
    <row r="2452" spans="1:4" x14ac:dyDescent="0.25">
      <c r="A2452" s="88" t="str">
        <f t="shared" si="134"/>
        <v>9-2029</v>
      </c>
      <c r="B2452" s="86">
        <v>47378</v>
      </c>
      <c r="C2452" t="str">
        <f t="shared" si="135"/>
        <v>L-V</v>
      </c>
      <c r="D2452" t="str">
        <f t="shared" si="136"/>
        <v>Lunes</v>
      </c>
    </row>
    <row r="2453" spans="1:4" x14ac:dyDescent="0.25">
      <c r="A2453" s="88" t="str">
        <f t="shared" si="134"/>
        <v>9-2029</v>
      </c>
      <c r="B2453" s="86">
        <v>47379</v>
      </c>
      <c r="C2453" t="str">
        <f t="shared" si="135"/>
        <v>L-V</v>
      </c>
      <c r="D2453" t="str">
        <f t="shared" si="136"/>
        <v>Martes</v>
      </c>
    </row>
    <row r="2454" spans="1:4" x14ac:dyDescent="0.25">
      <c r="A2454" s="88" t="str">
        <f t="shared" si="134"/>
        <v>9-2029</v>
      </c>
      <c r="B2454" s="86">
        <v>47380</v>
      </c>
      <c r="C2454" t="str">
        <f t="shared" si="135"/>
        <v>L-V</v>
      </c>
      <c r="D2454" t="str">
        <f t="shared" si="136"/>
        <v>Miércoles</v>
      </c>
    </row>
    <row r="2455" spans="1:4" x14ac:dyDescent="0.25">
      <c r="A2455" s="88" t="str">
        <f t="shared" si="134"/>
        <v>9-2029</v>
      </c>
      <c r="B2455" s="86">
        <v>47381</v>
      </c>
      <c r="C2455" t="str">
        <f t="shared" si="135"/>
        <v>L-V</v>
      </c>
      <c r="D2455" t="str">
        <f t="shared" si="136"/>
        <v>Jueves</v>
      </c>
    </row>
    <row r="2456" spans="1:4" x14ac:dyDescent="0.25">
      <c r="A2456" s="88" t="str">
        <f t="shared" si="134"/>
        <v>9-2029</v>
      </c>
      <c r="B2456" s="86">
        <v>47382</v>
      </c>
      <c r="C2456" t="str">
        <f t="shared" si="135"/>
        <v>L-V</v>
      </c>
      <c r="D2456" t="str">
        <f t="shared" si="136"/>
        <v>Viernes</v>
      </c>
    </row>
    <row r="2457" spans="1:4" x14ac:dyDescent="0.25">
      <c r="A2457" s="88" t="str">
        <f t="shared" si="134"/>
        <v>9-2029</v>
      </c>
      <c r="B2457" s="86">
        <v>47383</v>
      </c>
      <c r="C2457" t="str">
        <f t="shared" si="135"/>
        <v>SAB</v>
      </c>
      <c r="D2457" t="str">
        <f t="shared" si="136"/>
        <v>Sábado</v>
      </c>
    </row>
    <row r="2458" spans="1:4" x14ac:dyDescent="0.25">
      <c r="A2458" s="88" t="str">
        <f t="shared" si="134"/>
        <v>9-2029</v>
      </c>
      <c r="B2458" s="86">
        <v>47384</v>
      </c>
      <c r="C2458" t="str">
        <f t="shared" si="135"/>
        <v>DOM</v>
      </c>
      <c r="D2458" t="str">
        <f t="shared" si="136"/>
        <v>Domingo</v>
      </c>
    </row>
    <row r="2459" spans="1:4" x14ac:dyDescent="0.25">
      <c r="A2459" s="88" t="str">
        <f t="shared" si="134"/>
        <v>9-2029</v>
      </c>
      <c r="B2459" s="86">
        <v>47385</v>
      </c>
      <c r="C2459" t="str">
        <f t="shared" si="135"/>
        <v>L-V</v>
      </c>
      <c r="D2459" t="str">
        <f t="shared" si="136"/>
        <v>Lunes</v>
      </c>
    </row>
    <row r="2460" spans="1:4" x14ac:dyDescent="0.25">
      <c r="A2460" s="88" t="str">
        <f t="shared" si="134"/>
        <v>9-2029</v>
      </c>
      <c r="B2460" s="86">
        <v>47386</v>
      </c>
      <c r="C2460" t="str">
        <f t="shared" si="135"/>
        <v>L-V</v>
      </c>
      <c r="D2460" t="str">
        <f t="shared" si="136"/>
        <v>Martes</v>
      </c>
    </row>
    <row r="2461" spans="1:4" x14ac:dyDescent="0.25">
      <c r="A2461" s="88" t="str">
        <f t="shared" si="134"/>
        <v>9-2029</v>
      </c>
      <c r="B2461" s="86">
        <v>47387</v>
      </c>
      <c r="C2461" t="str">
        <f t="shared" si="135"/>
        <v>L-V</v>
      </c>
      <c r="D2461" t="str">
        <f t="shared" si="136"/>
        <v>Miércoles</v>
      </c>
    </row>
    <row r="2462" spans="1:4" x14ac:dyDescent="0.25">
      <c r="A2462" s="88" t="str">
        <f t="shared" si="134"/>
        <v>9-2029</v>
      </c>
      <c r="B2462" s="86">
        <v>47388</v>
      </c>
      <c r="C2462" t="str">
        <f t="shared" si="135"/>
        <v>L-V</v>
      </c>
      <c r="D2462" t="str">
        <f t="shared" si="136"/>
        <v>Jueves</v>
      </c>
    </row>
    <row r="2463" spans="1:4" x14ac:dyDescent="0.25">
      <c r="A2463" s="88" t="str">
        <f t="shared" si="134"/>
        <v>9-2029</v>
      </c>
      <c r="B2463" s="86">
        <v>47389</v>
      </c>
      <c r="C2463" t="str">
        <f t="shared" si="135"/>
        <v>L-V</v>
      </c>
      <c r="D2463" t="str">
        <f t="shared" si="136"/>
        <v>Viernes</v>
      </c>
    </row>
    <row r="2464" spans="1:4" x14ac:dyDescent="0.25">
      <c r="A2464" s="88" t="str">
        <f t="shared" si="134"/>
        <v>9-2029</v>
      </c>
      <c r="B2464" s="86">
        <v>47390</v>
      </c>
      <c r="C2464" t="str">
        <f t="shared" si="135"/>
        <v>SAB</v>
      </c>
      <c r="D2464" t="str">
        <f t="shared" si="136"/>
        <v>Sábado</v>
      </c>
    </row>
    <row r="2465" spans="1:4" x14ac:dyDescent="0.25">
      <c r="A2465" s="88" t="str">
        <f t="shared" si="134"/>
        <v>9-2029</v>
      </c>
      <c r="B2465" s="86">
        <v>47391</v>
      </c>
      <c r="C2465" t="str">
        <f t="shared" si="135"/>
        <v>DOM</v>
      </c>
      <c r="D2465" t="str">
        <f t="shared" si="136"/>
        <v>Domingo</v>
      </c>
    </row>
    <row r="2466" spans="1:4" x14ac:dyDescent="0.25">
      <c r="A2466" s="88" t="str">
        <f t="shared" si="134"/>
        <v>10-2029</v>
      </c>
      <c r="B2466" s="86">
        <v>47392</v>
      </c>
      <c r="C2466" t="str">
        <f t="shared" si="135"/>
        <v>L-V</v>
      </c>
      <c r="D2466" t="str">
        <f t="shared" si="136"/>
        <v>Lunes</v>
      </c>
    </row>
    <row r="2467" spans="1:4" x14ac:dyDescent="0.25">
      <c r="A2467" s="88" t="str">
        <f t="shared" si="134"/>
        <v>10-2029</v>
      </c>
      <c r="B2467" s="86">
        <v>47393</v>
      </c>
      <c r="C2467" t="str">
        <f t="shared" si="135"/>
        <v>L-V</v>
      </c>
      <c r="D2467" t="str">
        <f t="shared" si="136"/>
        <v>Martes</v>
      </c>
    </row>
    <row r="2468" spans="1:4" x14ac:dyDescent="0.25">
      <c r="A2468" s="88" t="str">
        <f t="shared" si="134"/>
        <v>10-2029</v>
      </c>
      <c r="B2468" s="86">
        <v>47394</v>
      </c>
      <c r="C2468" t="str">
        <f t="shared" si="135"/>
        <v>L-V</v>
      </c>
      <c r="D2468" t="str">
        <f t="shared" si="136"/>
        <v>Miércoles</v>
      </c>
    </row>
    <row r="2469" spans="1:4" x14ac:dyDescent="0.25">
      <c r="A2469" s="88" t="str">
        <f t="shared" si="134"/>
        <v>10-2029</v>
      </c>
      <c r="B2469" s="86">
        <v>47395</v>
      </c>
      <c r="C2469" t="str">
        <f t="shared" si="135"/>
        <v>L-V</v>
      </c>
      <c r="D2469" t="str">
        <f t="shared" si="136"/>
        <v>Jueves</v>
      </c>
    </row>
    <row r="2470" spans="1:4" x14ac:dyDescent="0.25">
      <c r="A2470" s="88" t="str">
        <f t="shared" si="134"/>
        <v>10-2029</v>
      </c>
      <c r="B2470" s="86">
        <v>47396</v>
      </c>
      <c r="C2470" t="str">
        <f t="shared" si="135"/>
        <v>L-V</v>
      </c>
      <c r="D2470" t="str">
        <f t="shared" si="136"/>
        <v>Viernes</v>
      </c>
    </row>
    <row r="2471" spans="1:4" x14ac:dyDescent="0.25">
      <c r="A2471" s="88" t="str">
        <f t="shared" si="134"/>
        <v>10-2029</v>
      </c>
      <c r="B2471" s="86">
        <v>47397</v>
      </c>
      <c r="C2471" t="str">
        <f t="shared" si="135"/>
        <v>SAB</v>
      </c>
      <c r="D2471" t="str">
        <f t="shared" si="136"/>
        <v>Sábado</v>
      </c>
    </row>
    <row r="2472" spans="1:4" x14ac:dyDescent="0.25">
      <c r="A2472" s="88" t="str">
        <f t="shared" si="134"/>
        <v>10-2029</v>
      </c>
      <c r="B2472" s="86">
        <v>47398</v>
      </c>
      <c r="C2472" t="str">
        <f t="shared" si="135"/>
        <v>DOM</v>
      </c>
      <c r="D2472" t="str">
        <f t="shared" si="136"/>
        <v>Domingo</v>
      </c>
    </row>
    <row r="2473" spans="1:4" x14ac:dyDescent="0.25">
      <c r="A2473" s="88" t="str">
        <f t="shared" si="134"/>
        <v>10-2029</v>
      </c>
      <c r="B2473" s="86">
        <v>47399</v>
      </c>
      <c r="C2473" t="str">
        <f t="shared" si="135"/>
        <v>L-V</v>
      </c>
      <c r="D2473" t="str">
        <f t="shared" si="136"/>
        <v>Lunes</v>
      </c>
    </row>
    <row r="2474" spans="1:4" x14ac:dyDescent="0.25">
      <c r="A2474" s="88" t="str">
        <f t="shared" si="134"/>
        <v>10-2029</v>
      </c>
      <c r="B2474" s="86">
        <v>47400</v>
      </c>
      <c r="C2474" t="str">
        <f t="shared" si="135"/>
        <v>L-V</v>
      </c>
      <c r="D2474" t="str">
        <f t="shared" si="136"/>
        <v>Martes</v>
      </c>
    </row>
    <row r="2475" spans="1:4" x14ac:dyDescent="0.25">
      <c r="A2475" s="88" t="str">
        <f t="shared" si="134"/>
        <v>10-2029</v>
      </c>
      <c r="B2475" s="86">
        <v>47401</v>
      </c>
      <c r="C2475" t="str">
        <f t="shared" si="135"/>
        <v>L-V</v>
      </c>
      <c r="D2475" t="str">
        <f t="shared" si="136"/>
        <v>Miércoles</v>
      </c>
    </row>
    <row r="2476" spans="1:4" x14ac:dyDescent="0.25">
      <c r="A2476" s="88" t="str">
        <f t="shared" si="134"/>
        <v>10-2029</v>
      </c>
      <c r="B2476" s="86">
        <v>47402</v>
      </c>
      <c r="C2476" t="str">
        <f t="shared" si="135"/>
        <v>L-V</v>
      </c>
      <c r="D2476" t="str">
        <f t="shared" si="136"/>
        <v>Jueves</v>
      </c>
    </row>
    <row r="2477" spans="1:4" x14ac:dyDescent="0.25">
      <c r="A2477" s="88" t="str">
        <f t="shared" si="134"/>
        <v>10-2029</v>
      </c>
      <c r="B2477" s="86">
        <v>47403</v>
      </c>
      <c r="C2477" t="str">
        <f t="shared" si="135"/>
        <v>L-V</v>
      </c>
      <c r="D2477" t="str">
        <f t="shared" si="136"/>
        <v>Viernes</v>
      </c>
    </row>
    <row r="2478" spans="1:4" x14ac:dyDescent="0.25">
      <c r="A2478" s="88" t="str">
        <f t="shared" si="134"/>
        <v>10-2029</v>
      </c>
      <c r="B2478" s="86">
        <v>47404</v>
      </c>
      <c r="C2478" t="str">
        <f t="shared" si="135"/>
        <v>SAB</v>
      </c>
      <c r="D2478" t="str">
        <f t="shared" si="136"/>
        <v>Sábado</v>
      </c>
    </row>
    <row r="2479" spans="1:4" x14ac:dyDescent="0.25">
      <c r="A2479" s="88" t="str">
        <f t="shared" si="134"/>
        <v>10-2029</v>
      </c>
      <c r="B2479" s="86">
        <v>47405</v>
      </c>
      <c r="C2479" t="str">
        <f t="shared" si="135"/>
        <v>DOM</v>
      </c>
      <c r="D2479" t="str">
        <f t="shared" si="136"/>
        <v>Domingo</v>
      </c>
    </row>
    <row r="2480" spans="1:4" x14ac:dyDescent="0.25">
      <c r="A2480" s="88" t="str">
        <f t="shared" si="134"/>
        <v>10-2029</v>
      </c>
      <c r="B2480" s="86">
        <v>47406</v>
      </c>
      <c r="C2480" t="str">
        <f t="shared" si="135"/>
        <v>L-V</v>
      </c>
      <c r="D2480" t="str">
        <f t="shared" si="136"/>
        <v>Lunes</v>
      </c>
    </row>
    <row r="2481" spans="1:4" x14ac:dyDescent="0.25">
      <c r="A2481" s="88" t="str">
        <f t="shared" si="134"/>
        <v>10-2029</v>
      </c>
      <c r="B2481" s="86">
        <v>47407</v>
      </c>
      <c r="C2481" t="str">
        <f t="shared" si="135"/>
        <v>L-V</v>
      </c>
      <c r="D2481" t="str">
        <f t="shared" si="136"/>
        <v>Martes</v>
      </c>
    </row>
    <row r="2482" spans="1:4" x14ac:dyDescent="0.25">
      <c r="A2482" s="88" t="str">
        <f t="shared" si="134"/>
        <v>10-2029</v>
      </c>
      <c r="B2482" s="86">
        <v>47408</v>
      </c>
      <c r="C2482" t="str">
        <f t="shared" si="135"/>
        <v>L-V</v>
      </c>
      <c r="D2482" t="str">
        <f t="shared" si="136"/>
        <v>Miércoles</v>
      </c>
    </row>
    <row r="2483" spans="1:4" x14ac:dyDescent="0.25">
      <c r="A2483" s="88" t="str">
        <f t="shared" si="134"/>
        <v>10-2029</v>
      </c>
      <c r="B2483" s="86">
        <v>47409</v>
      </c>
      <c r="C2483" t="str">
        <f t="shared" si="135"/>
        <v>L-V</v>
      </c>
      <c r="D2483" t="str">
        <f t="shared" si="136"/>
        <v>Jueves</v>
      </c>
    </row>
    <row r="2484" spans="1:4" x14ac:dyDescent="0.25">
      <c r="A2484" s="88" t="str">
        <f t="shared" si="134"/>
        <v>10-2029</v>
      </c>
      <c r="B2484" s="86">
        <v>47410</v>
      </c>
      <c r="C2484" t="str">
        <f t="shared" si="135"/>
        <v>L-V</v>
      </c>
      <c r="D2484" t="str">
        <f t="shared" si="136"/>
        <v>Viernes</v>
      </c>
    </row>
    <row r="2485" spans="1:4" x14ac:dyDescent="0.25">
      <c r="A2485" s="88" t="str">
        <f t="shared" si="134"/>
        <v>10-2029</v>
      </c>
      <c r="B2485" s="86">
        <v>47411</v>
      </c>
      <c r="C2485" t="str">
        <f t="shared" si="135"/>
        <v>SAB</v>
      </c>
      <c r="D2485" t="str">
        <f t="shared" si="136"/>
        <v>Sábado</v>
      </c>
    </row>
    <row r="2486" spans="1:4" x14ac:dyDescent="0.25">
      <c r="A2486" s="88" t="str">
        <f t="shared" si="134"/>
        <v>10-2029</v>
      </c>
      <c r="B2486" s="86">
        <v>47412</v>
      </c>
      <c r="C2486" t="str">
        <f t="shared" si="135"/>
        <v>DOM</v>
      </c>
      <c r="D2486" t="str">
        <f t="shared" si="136"/>
        <v>Domingo</v>
      </c>
    </row>
    <row r="2487" spans="1:4" x14ac:dyDescent="0.25">
      <c r="A2487" s="88" t="str">
        <f t="shared" si="134"/>
        <v>10-2029</v>
      </c>
      <c r="B2487" s="86">
        <v>47413</v>
      </c>
      <c r="C2487" t="str">
        <f t="shared" si="135"/>
        <v>L-V</v>
      </c>
      <c r="D2487" t="str">
        <f t="shared" si="136"/>
        <v>Lunes</v>
      </c>
    </row>
    <row r="2488" spans="1:4" x14ac:dyDescent="0.25">
      <c r="A2488" s="88" t="str">
        <f t="shared" si="134"/>
        <v>10-2029</v>
      </c>
      <c r="B2488" s="86">
        <v>47414</v>
      </c>
      <c r="C2488" t="str">
        <f t="shared" si="135"/>
        <v>L-V</v>
      </c>
      <c r="D2488" t="str">
        <f t="shared" si="136"/>
        <v>Martes</v>
      </c>
    </row>
    <row r="2489" spans="1:4" x14ac:dyDescent="0.25">
      <c r="A2489" s="88" t="str">
        <f t="shared" si="134"/>
        <v>10-2029</v>
      </c>
      <c r="B2489" s="86">
        <v>47415</v>
      </c>
      <c r="C2489" t="str">
        <f t="shared" si="135"/>
        <v>L-V</v>
      </c>
      <c r="D2489" t="str">
        <f t="shared" si="136"/>
        <v>Miércoles</v>
      </c>
    </row>
    <row r="2490" spans="1:4" x14ac:dyDescent="0.25">
      <c r="A2490" s="88" t="str">
        <f t="shared" si="134"/>
        <v>10-2029</v>
      </c>
      <c r="B2490" s="86">
        <v>47416</v>
      </c>
      <c r="C2490" t="str">
        <f t="shared" si="135"/>
        <v>L-V</v>
      </c>
      <c r="D2490" t="str">
        <f t="shared" si="136"/>
        <v>Jueves</v>
      </c>
    </row>
    <row r="2491" spans="1:4" x14ac:dyDescent="0.25">
      <c r="A2491" s="88" t="str">
        <f t="shared" si="134"/>
        <v>10-2029</v>
      </c>
      <c r="B2491" s="86">
        <v>47417</v>
      </c>
      <c r="C2491" t="str">
        <f t="shared" si="135"/>
        <v>L-V</v>
      </c>
      <c r="D2491" t="str">
        <f t="shared" si="136"/>
        <v>Viernes</v>
      </c>
    </row>
    <row r="2492" spans="1:4" x14ac:dyDescent="0.25">
      <c r="A2492" s="88" t="str">
        <f t="shared" si="134"/>
        <v>10-2029</v>
      </c>
      <c r="B2492" s="86">
        <v>47418</v>
      </c>
      <c r="C2492" t="str">
        <f t="shared" si="135"/>
        <v>SAB</v>
      </c>
      <c r="D2492" t="str">
        <f t="shared" si="136"/>
        <v>Sábado</v>
      </c>
    </row>
    <row r="2493" spans="1:4" x14ac:dyDescent="0.25">
      <c r="A2493" s="88" t="str">
        <f t="shared" si="134"/>
        <v>10-2029</v>
      </c>
      <c r="B2493" s="86">
        <v>47419</v>
      </c>
      <c r="C2493" t="str">
        <f t="shared" si="135"/>
        <v>DOM</v>
      </c>
      <c r="D2493" t="str">
        <f t="shared" si="136"/>
        <v>Domingo</v>
      </c>
    </row>
    <row r="2494" spans="1:4" x14ac:dyDescent="0.25">
      <c r="A2494" s="88" t="str">
        <f t="shared" si="134"/>
        <v>10-2029</v>
      </c>
      <c r="B2494" s="86">
        <v>47420</v>
      </c>
      <c r="C2494" t="str">
        <f t="shared" si="135"/>
        <v>L-V</v>
      </c>
      <c r="D2494" t="str">
        <f t="shared" si="136"/>
        <v>Lunes</v>
      </c>
    </row>
    <row r="2495" spans="1:4" x14ac:dyDescent="0.25">
      <c r="A2495" s="88" t="str">
        <f t="shared" si="134"/>
        <v>10-2029</v>
      </c>
      <c r="B2495" s="86">
        <v>47421</v>
      </c>
      <c r="C2495" t="str">
        <f t="shared" si="135"/>
        <v>L-V</v>
      </c>
      <c r="D2495" t="str">
        <f t="shared" si="136"/>
        <v>Martes</v>
      </c>
    </row>
    <row r="2496" spans="1:4" x14ac:dyDescent="0.25">
      <c r="A2496" s="88" t="str">
        <f t="shared" si="134"/>
        <v>10-2029</v>
      </c>
      <c r="B2496" s="86">
        <v>47422</v>
      </c>
      <c r="C2496" t="str">
        <f t="shared" si="135"/>
        <v>L-V</v>
      </c>
      <c r="D2496" t="str">
        <f t="shared" si="136"/>
        <v>Miércoles</v>
      </c>
    </row>
    <row r="2497" spans="1:4" x14ac:dyDescent="0.25">
      <c r="A2497" s="88" t="str">
        <f t="shared" si="134"/>
        <v>11-2029</v>
      </c>
      <c r="B2497" s="86">
        <v>47423</v>
      </c>
      <c r="C2497" t="str">
        <f t="shared" si="135"/>
        <v>L-V</v>
      </c>
      <c r="D2497" t="str">
        <f t="shared" si="136"/>
        <v>Jueves</v>
      </c>
    </row>
    <row r="2498" spans="1:4" x14ac:dyDescent="0.25">
      <c r="A2498" s="88" t="str">
        <f t="shared" ref="A2498:A2561" si="137">MONTH(B2498)&amp;"-"&amp;YEAR(B2498)</f>
        <v>11-2029</v>
      </c>
      <c r="B2498" s="86">
        <v>47424</v>
      </c>
      <c r="C2498" t="str">
        <f t="shared" si="135"/>
        <v>L-V</v>
      </c>
      <c r="D2498" t="str">
        <f t="shared" si="136"/>
        <v>Viernes</v>
      </c>
    </row>
    <row r="2499" spans="1:4" x14ac:dyDescent="0.25">
      <c r="A2499" s="88" t="str">
        <f t="shared" si="137"/>
        <v>11-2029</v>
      </c>
      <c r="B2499" s="86">
        <v>47425</v>
      </c>
      <c r="C2499" t="str">
        <f t="shared" ref="C2499:C2562" si="138">VLOOKUP(WEEKDAY(B2499,2),$F$1:$H$7,2)</f>
        <v>SAB</v>
      </c>
      <c r="D2499" t="str">
        <f t="shared" ref="D2499:D2562" si="139">VLOOKUP(WEEKDAY($B2499,2),$F$1:$H$7,3)</f>
        <v>Sábado</v>
      </c>
    </row>
    <row r="2500" spans="1:4" x14ac:dyDescent="0.25">
      <c r="A2500" s="88" t="str">
        <f t="shared" si="137"/>
        <v>11-2029</v>
      </c>
      <c r="B2500" s="86">
        <v>47426</v>
      </c>
      <c r="C2500" t="str">
        <f t="shared" si="138"/>
        <v>DOM</v>
      </c>
      <c r="D2500" t="str">
        <f t="shared" si="139"/>
        <v>Domingo</v>
      </c>
    </row>
    <row r="2501" spans="1:4" x14ac:dyDescent="0.25">
      <c r="A2501" s="88" t="str">
        <f t="shared" si="137"/>
        <v>11-2029</v>
      </c>
      <c r="B2501" s="86">
        <v>47427</v>
      </c>
      <c r="C2501" t="str">
        <f t="shared" si="138"/>
        <v>L-V</v>
      </c>
      <c r="D2501" t="str">
        <f t="shared" si="139"/>
        <v>Lunes</v>
      </c>
    </row>
    <row r="2502" spans="1:4" x14ac:dyDescent="0.25">
      <c r="A2502" s="88" t="str">
        <f t="shared" si="137"/>
        <v>11-2029</v>
      </c>
      <c r="B2502" s="86">
        <v>47428</v>
      </c>
      <c r="C2502" t="str">
        <f t="shared" si="138"/>
        <v>L-V</v>
      </c>
      <c r="D2502" t="str">
        <f t="shared" si="139"/>
        <v>Martes</v>
      </c>
    </row>
    <row r="2503" spans="1:4" x14ac:dyDescent="0.25">
      <c r="A2503" s="88" t="str">
        <f t="shared" si="137"/>
        <v>11-2029</v>
      </c>
      <c r="B2503" s="86">
        <v>47429</v>
      </c>
      <c r="C2503" t="str">
        <f t="shared" si="138"/>
        <v>L-V</v>
      </c>
      <c r="D2503" t="str">
        <f t="shared" si="139"/>
        <v>Miércoles</v>
      </c>
    </row>
    <row r="2504" spans="1:4" x14ac:dyDescent="0.25">
      <c r="A2504" s="88" t="str">
        <f t="shared" si="137"/>
        <v>11-2029</v>
      </c>
      <c r="B2504" s="86">
        <v>47430</v>
      </c>
      <c r="C2504" t="str">
        <f t="shared" si="138"/>
        <v>L-V</v>
      </c>
      <c r="D2504" t="str">
        <f t="shared" si="139"/>
        <v>Jueves</v>
      </c>
    </row>
    <row r="2505" spans="1:4" x14ac:dyDescent="0.25">
      <c r="A2505" s="88" t="str">
        <f t="shared" si="137"/>
        <v>11-2029</v>
      </c>
      <c r="B2505" s="86">
        <v>47431</v>
      </c>
      <c r="C2505" t="str">
        <f t="shared" si="138"/>
        <v>L-V</v>
      </c>
      <c r="D2505" t="str">
        <f t="shared" si="139"/>
        <v>Viernes</v>
      </c>
    </row>
    <row r="2506" spans="1:4" x14ac:dyDescent="0.25">
      <c r="A2506" s="88" t="str">
        <f t="shared" si="137"/>
        <v>11-2029</v>
      </c>
      <c r="B2506" s="86">
        <v>47432</v>
      </c>
      <c r="C2506" t="str">
        <f t="shared" si="138"/>
        <v>SAB</v>
      </c>
      <c r="D2506" t="str">
        <f t="shared" si="139"/>
        <v>Sábado</v>
      </c>
    </row>
    <row r="2507" spans="1:4" x14ac:dyDescent="0.25">
      <c r="A2507" s="88" t="str">
        <f t="shared" si="137"/>
        <v>11-2029</v>
      </c>
      <c r="B2507" s="86">
        <v>47433</v>
      </c>
      <c r="C2507" t="str">
        <f t="shared" si="138"/>
        <v>DOM</v>
      </c>
      <c r="D2507" t="str">
        <f t="shared" si="139"/>
        <v>Domingo</v>
      </c>
    </row>
    <row r="2508" spans="1:4" x14ac:dyDescent="0.25">
      <c r="A2508" s="88" t="str">
        <f t="shared" si="137"/>
        <v>11-2029</v>
      </c>
      <c r="B2508" s="86">
        <v>47434</v>
      </c>
      <c r="C2508" t="str">
        <f t="shared" si="138"/>
        <v>L-V</v>
      </c>
      <c r="D2508" t="str">
        <f t="shared" si="139"/>
        <v>Lunes</v>
      </c>
    </row>
    <row r="2509" spans="1:4" x14ac:dyDescent="0.25">
      <c r="A2509" s="88" t="str">
        <f t="shared" si="137"/>
        <v>11-2029</v>
      </c>
      <c r="B2509" s="86">
        <v>47435</v>
      </c>
      <c r="C2509" t="str">
        <f t="shared" si="138"/>
        <v>L-V</v>
      </c>
      <c r="D2509" t="str">
        <f t="shared" si="139"/>
        <v>Martes</v>
      </c>
    </row>
    <row r="2510" spans="1:4" x14ac:dyDescent="0.25">
      <c r="A2510" s="88" t="str">
        <f t="shared" si="137"/>
        <v>11-2029</v>
      </c>
      <c r="B2510" s="86">
        <v>47436</v>
      </c>
      <c r="C2510" t="str">
        <f t="shared" si="138"/>
        <v>L-V</v>
      </c>
      <c r="D2510" t="str">
        <f t="shared" si="139"/>
        <v>Miércoles</v>
      </c>
    </row>
    <row r="2511" spans="1:4" x14ac:dyDescent="0.25">
      <c r="A2511" s="88" t="str">
        <f t="shared" si="137"/>
        <v>11-2029</v>
      </c>
      <c r="B2511" s="86">
        <v>47437</v>
      </c>
      <c r="C2511" t="str">
        <f t="shared" si="138"/>
        <v>L-V</v>
      </c>
      <c r="D2511" t="str">
        <f t="shared" si="139"/>
        <v>Jueves</v>
      </c>
    </row>
    <row r="2512" spans="1:4" x14ac:dyDescent="0.25">
      <c r="A2512" s="88" t="str">
        <f t="shared" si="137"/>
        <v>11-2029</v>
      </c>
      <c r="B2512" s="86">
        <v>47438</v>
      </c>
      <c r="C2512" t="str">
        <f t="shared" si="138"/>
        <v>L-V</v>
      </c>
      <c r="D2512" t="str">
        <f t="shared" si="139"/>
        <v>Viernes</v>
      </c>
    </row>
    <row r="2513" spans="1:4" x14ac:dyDescent="0.25">
      <c r="A2513" s="88" t="str">
        <f t="shared" si="137"/>
        <v>11-2029</v>
      </c>
      <c r="B2513" s="86">
        <v>47439</v>
      </c>
      <c r="C2513" t="str">
        <f t="shared" si="138"/>
        <v>SAB</v>
      </c>
      <c r="D2513" t="str">
        <f t="shared" si="139"/>
        <v>Sábado</v>
      </c>
    </row>
    <row r="2514" spans="1:4" x14ac:dyDescent="0.25">
      <c r="A2514" s="88" t="str">
        <f t="shared" si="137"/>
        <v>11-2029</v>
      </c>
      <c r="B2514" s="86">
        <v>47440</v>
      </c>
      <c r="C2514" t="str">
        <f t="shared" si="138"/>
        <v>DOM</v>
      </c>
      <c r="D2514" t="str">
        <f t="shared" si="139"/>
        <v>Domingo</v>
      </c>
    </row>
    <row r="2515" spans="1:4" x14ac:dyDescent="0.25">
      <c r="A2515" s="88" t="str">
        <f t="shared" si="137"/>
        <v>11-2029</v>
      </c>
      <c r="B2515" s="86">
        <v>47441</v>
      </c>
      <c r="C2515" t="str">
        <f t="shared" si="138"/>
        <v>L-V</v>
      </c>
      <c r="D2515" t="str">
        <f t="shared" si="139"/>
        <v>Lunes</v>
      </c>
    </row>
    <row r="2516" spans="1:4" x14ac:dyDescent="0.25">
      <c r="A2516" s="88" t="str">
        <f t="shared" si="137"/>
        <v>11-2029</v>
      </c>
      <c r="B2516" s="86">
        <v>47442</v>
      </c>
      <c r="C2516" t="str">
        <f t="shared" si="138"/>
        <v>L-V</v>
      </c>
      <c r="D2516" t="str">
        <f t="shared" si="139"/>
        <v>Martes</v>
      </c>
    </row>
    <row r="2517" spans="1:4" x14ac:dyDescent="0.25">
      <c r="A2517" s="88" t="str">
        <f t="shared" si="137"/>
        <v>11-2029</v>
      </c>
      <c r="B2517" s="86">
        <v>47443</v>
      </c>
      <c r="C2517" t="str">
        <f t="shared" si="138"/>
        <v>L-V</v>
      </c>
      <c r="D2517" t="str">
        <f t="shared" si="139"/>
        <v>Miércoles</v>
      </c>
    </row>
    <row r="2518" spans="1:4" x14ac:dyDescent="0.25">
      <c r="A2518" s="88" t="str">
        <f t="shared" si="137"/>
        <v>11-2029</v>
      </c>
      <c r="B2518" s="86">
        <v>47444</v>
      </c>
      <c r="C2518" t="str">
        <f t="shared" si="138"/>
        <v>L-V</v>
      </c>
      <c r="D2518" t="str">
        <f t="shared" si="139"/>
        <v>Jueves</v>
      </c>
    </row>
    <row r="2519" spans="1:4" x14ac:dyDescent="0.25">
      <c r="A2519" s="88" t="str">
        <f t="shared" si="137"/>
        <v>11-2029</v>
      </c>
      <c r="B2519" s="86">
        <v>47445</v>
      </c>
      <c r="C2519" t="str">
        <f t="shared" si="138"/>
        <v>L-V</v>
      </c>
      <c r="D2519" t="str">
        <f t="shared" si="139"/>
        <v>Viernes</v>
      </c>
    </row>
    <row r="2520" spans="1:4" x14ac:dyDescent="0.25">
      <c r="A2520" s="88" t="str">
        <f t="shared" si="137"/>
        <v>11-2029</v>
      </c>
      <c r="B2520" s="86">
        <v>47446</v>
      </c>
      <c r="C2520" t="str">
        <f t="shared" si="138"/>
        <v>SAB</v>
      </c>
      <c r="D2520" t="str">
        <f t="shared" si="139"/>
        <v>Sábado</v>
      </c>
    </row>
    <row r="2521" spans="1:4" x14ac:dyDescent="0.25">
      <c r="A2521" s="88" t="str">
        <f t="shared" si="137"/>
        <v>11-2029</v>
      </c>
      <c r="B2521" s="86">
        <v>47447</v>
      </c>
      <c r="C2521" t="str">
        <f t="shared" si="138"/>
        <v>DOM</v>
      </c>
      <c r="D2521" t="str">
        <f t="shared" si="139"/>
        <v>Domingo</v>
      </c>
    </row>
    <row r="2522" spans="1:4" x14ac:dyDescent="0.25">
      <c r="A2522" s="88" t="str">
        <f t="shared" si="137"/>
        <v>11-2029</v>
      </c>
      <c r="B2522" s="86">
        <v>47448</v>
      </c>
      <c r="C2522" t="str">
        <f t="shared" si="138"/>
        <v>L-V</v>
      </c>
      <c r="D2522" t="str">
        <f t="shared" si="139"/>
        <v>Lunes</v>
      </c>
    </row>
    <row r="2523" spans="1:4" x14ac:dyDescent="0.25">
      <c r="A2523" s="88" t="str">
        <f t="shared" si="137"/>
        <v>11-2029</v>
      </c>
      <c r="B2523" s="86">
        <v>47449</v>
      </c>
      <c r="C2523" t="str">
        <f t="shared" si="138"/>
        <v>L-V</v>
      </c>
      <c r="D2523" t="str">
        <f t="shared" si="139"/>
        <v>Martes</v>
      </c>
    </row>
    <row r="2524" spans="1:4" x14ac:dyDescent="0.25">
      <c r="A2524" s="88" t="str">
        <f t="shared" si="137"/>
        <v>11-2029</v>
      </c>
      <c r="B2524" s="86">
        <v>47450</v>
      </c>
      <c r="C2524" t="str">
        <f t="shared" si="138"/>
        <v>L-V</v>
      </c>
      <c r="D2524" t="str">
        <f t="shared" si="139"/>
        <v>Miércoles</v>
      </c>
    </row>
    <row r="2525" spans="1:4" x14ac:dyDescent="0.25">
      <c r="A2525" s="88" t="str">
        <f t="shared" si="137"/>
        <v>11-2029</v>
      </c>
      <c r="B2525" s="86">
        <v>47451</v>
      </c>
      <c r="C2525" t="str">
        <f t="shared" si="138"/>
        <v>L-V</v>
      </c>
      <c r="D2525" t="str">
        <f t="shared" si="139"/>
        <v>Jueves</v>
      </c>
    </row>
    <row r="2526" spans="1:4" x14ac:dyDescent="0.25">
      <c r="A2526" s="88" t="str">
        <f t="shared" si="137"/>
        <v>11-2029</v>
      </c>
      <c r="B2526" s="86">
        <v>47452</v>
      </c>
      <c r="C2526" t="str">
        <f t="shared" si="138"/>
        <v>L-V</v>
      </c>
      <c r="D2526" t="str">
        <f t="shared" si="139"/>
        <v>Viernes</v>
      </c>
    </row>
    <row r="2527" spans="1:4" x14ac:dyDescent="0.25">
      <c r="A2527" s="88" t="str">
        <f t="shared" si="137"/>
        <v>12-2029</v>
      </c>
      <c r="B2527" s="86">
        <v>47453</v>
      </c>
      <c r="C2527" t="str">
        <f t="shared" si="138"/>
        <v>SAB</v>
      </c>
      <c r="D2527" t="str">
        <f t="shared" si="139"/>
        <v>Sábado</v>
      </c>
    </row>
    <row r="2528" spans="1:4" x14ac:dyDescent="0.25">
      <c r="A2528" s="88" t="str">
        <f t="shared" si="137"/>
        <v>12-2029</v>
      </c>
      <c r="B2528" s="86">
        <v>47454</v>
      </c>
      <c r="C2528" t="str">
        <f t="shared" si="138"/>
        <v>DOM</v>
      </c>
      <c r="D2528" t="str">
        <f t="shared" si="139"/>
        <v>Domingo</v>
      </c>
    </row>
    <row r="2529" spans="1:4" x14ac:dyDescent="0.25">
      <c r="A2529" s="88" t="str">
        <f t="shared" si="137"/>
        <v>12-2029</v>
      </c>
      <c r="B2529" s="86">
        <v>47455</v>
      </c>
      <c r="C2529" t="str">
        <f t="shared" si="138"/>
        <v>L-V</v>
      </c>
      <c r="D2529" t="str">
        <f t="shared" si="139"/>
        <v>Lunes</v>
      </c>
    </row>
    <row r="2530" spans="1:4" x14ac:dyDescent="0.25">
      <c r="A2530" s="88" t="str">
        <f t="shared" si="137"/>
        <v>12-2029</v>
      </c>
      <c r="B2530" s="86">
        <v>47456</v>
      </c>
      <c r="C2530" t="str">
        <f t="shared" si="138"/>
        <v>L-V</v>
      </c>
      <c r="D2530" t="str">
        <f t="shared" si="139"/>
        <v>Martes</v>
      </c>
    </row>
    <row r="2531" spans="1:4" x14ac:dyDescent="0.25">
      <c r="A2531" s="88" t="str">
        <f t="shared" si="137"/>
        <v>12-2029</v>
      </c>
      <c r="B2531" s="86">
        <v>47457</v>
      </c>
      <c r="C2531" t="str">
        <f t="shared" si="138"/>
        <v>L-V</v>
      </c>
      <c r="D2531" t="str">
        <f t="shared" si="139"/>
        <v>Miércoles</v>
      </c>
    </row>
    <row r="2532" spans="1:4" x14ac:dyDescent="0.25">
      <c r="A2532" s="88" t="str">
        <f t="shared" si="137"/>
        <v>12-2029</v>
      </c>
      <c r="B2532" s="86">
        <v>47458</v>
      </c>
      <c r="C2532" t="str">
        <f t="shared" si="138"/>
        <v>L-V</v>
      </c>
      <c r="D2532" t="str">
        <f t="shared" si="139"/>
        <v>Jueves</v>
      </c>
    </row>
    <row r="2533" spans="1:4" x14ac:dyDescent="0.25">
      <c r="A2533" s="88" t="str">
        <f t="shared" si="137"/>
        <v>12-2029</v>
      </c>
      <c r="B2533" s="86">
        <v>47459</v>
      </c>
      <c r="C2533" t="str">
        <f t="shared" si="138"/>
        <v>L-V</v>
      </c>
      <c r="D2533" t="str">
        <f t="shared" si="139"/>
        <v>Viernes</v>
      </c>
    </row>
    <row r="2534" spans="1:4" x14ac:dyDescent="0.25">
      <c r="A2534" s="88" t="str">
        <f t="shared" si="137"/>
        <v>12-2029</v>
      </c>
      <c r="B2534" s="86">
        <v>47460</v>
      </c>
      <c r="C2534" t="str">
        <f t="shared" si="138"/>
        <v>SAB</v>
      </c>
      <c r="D2534" t="str">
        <f t="shared" si="139"/>
        <v>Sábado</v>
      </c>
    </row>
    <row r="2535" spans="1:4" x14ac:dyDescent="0.25">
      <c r="A2535" s="88" t="str">
        <f t="shared" si="137"/>
        <v>12-2029</v>
      </c>
      <c r="B2535" s="86">
        <v>47461</v>
      </c>
      <c r="C2535" t="str">
        <f t="shared" si="138"/>
        <v>DOM</v>
      </c>
      <c r="D2535" t="str">
        <f t="shared" si="139"/>
        <v>Domingo</v>
      </c>
    </row>
    <row r="2536" spans="1:4" x14ac:dyDescent="0.25">
      <c r="A2536" s="88" t="str">
        <f t="shared" si="137"/>
        <v>12-2029</v>
      </c>
      <c r="B2536" s="86">
        <v>47462</v>
      </c>
      <c r="C2536" t="str">
        <f t="shared" si="138"/>
        <v>L-V</v>
      </c>
      <c r="D2536" t="str">
        <f t="shared" si="139"/>
        <v>Lunes</v>
      </c>
    </row>
    <row r="2537" spans="1:4" x14ac:dyDescent="0.25">
      <c r="A2537" s="88" t="str">
        <f t="shared" si="137"/>
        <v>12-2029</v>
      </c>
      <c r="B2537" s="86">
        <v>47463</v>
      </c>
      <c r="C2537" t="str">
        <f t="shared" si="138"/>
        <v>L-V</v>
      </c>
      <c r="D2537" t="str">
        <f t="shared" si="139"/>
        <v>Martes</v>
      </c>
    </row>
    <row r="2538" spans="1:4" x14ac:dyDescent="0.25">
      <c r="A2538" s="88" t="str">
        <f t="shared" si="137"/>
        <v>12-2029</v>
      </c>
      <c r="B2538" s="86">
        <v>47464</v>
      </c>
      <c r="C2538" t="str">
        <f t="shared" si="138"/>
        <v>L-V</v>
      </c>
      <c r="D2538" t="str">
        <f t="shared" si="139"/>
        <v>Miércoles</v>
      </c>
    </row>
    <row r="2539" spans="1:4" x14ac:dyDescent="0.25">
      <c r="A2539" s="88" t="str">
        <f t="shared" si="137"/>
        <v>12-2029</v>
      </c>
      <c r="B2539" s="86">
        <v>47465</v>
      </c>
      <c r="C2539" t="str">
        <f t="shared" si="138"/>
        <v>L-V</v>
      </c>
      <c r="D2539" t="str">
        <f t="shared" si="139"/>
        <v>Jueves</v>
      </c>
    </row>
    <row r="2540" spans="1:4" x14ac:dyDescent="0.25">
      <c r="A2540" s="88" t="str">
        <f t="shared" si="137"/>
        <v>12-2029</v>
      </c>
      <c r="B2540" s="86">
        <v>47466</v>
      </c>
      <c r="C2540" t="str">
        <f t="shared" si="138"/>
        <v>L-V</v>
      </c>
      <c r="D2540" t="str">
        <f t="shared" si="139"/>
        <v>Viernes</v>
      </c>
    </row>
    <row r="2541" spans="1:4" x14ac:dyDescent="0.25">
      <c r="A2541" s="88" t="str">
        <f t="shared" si="137"/>
        <v>12-2029</v>
      </c>
      <c r="B2541" s="86">
        <v>47467</v>
      </c>
      <c r="C2541" t="str">
        <f t="shared" si="138"/>
        <v>SAB</v>
      </c>
      <c r="D2541" t="str">
        <f t="shared" si="139"/>
        <v>Sábado</v>
      </c>
    </row>
    <row r="2542" spans="1:4" x14ac:dyDescent="0.25">
      <c r="A2542" s="88" t="str">
        <f t="shared" si="137"/>
        <v>12-2029</v>
      </c>
      <c r="B2542" s="86">
        <v>47468</v>
      </c>
      <c r="C2542" t="str">
        <f t="shared" si="138"/>
        <v>DOM</v>
      </c>
      <c r="D2542" t="str">
        <f t="shared" si="139"/>
        <v>Domingo</v>
      </c>
    </row>
    <row r="2543" spans="1:4" x14ac:dyDescent="0.25">
      <c r="A2543" s="88" t="str">
        <f t="shared" si="137"/>
        <v>12-2029</v>
      </c>
      <c r="B2543" s="86">
        <v>47469</v>
      </c>
      <c r="C2543" t="str">
        <f t="shared" si="138"/>
        <v>L-V</v>
      </c>
      <c r="D2543" t="str">
        <f t="shared" si="139"/>
        <v>Lunes</v>
      </c>
    </row>
    <row r="2544" spans="1:4" x14ac:dyDescent="0.25">
      <c r="A2544" s="88" t="str">
        <f t="shared" si="137"/>
        <v>12-2029</v>
      </c>
      <c r="B2544" s="86">
        <v>47470</v>
      </c>
      <c r="C2544" t="str">
        <f t="shared" si="138"/>
        <v>L-V</v>
      </c>
      <c r="D2544" t="str">
        <f t="shared" si="139"/>
        <v>Martes</v>
      </c>
    </row>
    <row r="2545" spans="1:4" x14ac:dyDescent="0.25">
      <c r="A2545" s="88" t="str">
        <f t="shared" si="137"/>
        <v>12-2029</v>
      </c>
      <c r="B2545" s="86">
        <v>47471</v>
      </c>
      <c r="C2545" t="str">
        <f t="shared" si="138"/>
        <v>L-V</v>
      </c>
      <c r="D2545" t="str">
        <f t="shared" si="139"/>
        <v>Miércoles</v>
      </c>
    </row>
    <row r="2546" spans="1:4" x14ac:dyDescent="0.25">
      <c r="A2546" s="88" t="str">
        <f t="shared" si="137"/>
        <v>12-2029</v>
      </c>
      <c r="B2546" s="86">
        <v>47472</v>
      </c>
      <c r="C2546" t="str">
        <f t="shared" si="138"/>
        <v>L-V</v>
      </c>
      <c r="D2546" t="str">
        <f t="shared" si="139"/>
        <v>Jueves</v>
      </c>
    </row>
    <row r="2547" spans="1:4" x14ac:dyDescent="0.25">
      <c r="A2547" s="88" t="str">
        <f t="shared" si="137"/>
        <v>12-2029</v>
      </c>
      <c r="B2547" s="86">
        <v>47473</v>
      </c>
      <c r="C2547" t="str">
        <f t="shared" si="138"/>
        <v>L-V</v>
      </c>
      <c r="D2547" t="str">
        <f t="shared" si="139"/>
        <v>Viernes</v>
      </c>
    </row>
    <row r="2548" spans="1:4" x14ac:dyDescent="0.25">
      <c r="A2548" s="88" t="str">
        <f t="shared" si="137"/>
        <v>12-2029</v>
      </c>
      <c r="B2548" s="86">
        <v>47474</v>
      </c>
      <c r="C2548" t="str">
        <f t="shared" si="138"/>
        <v>SAB</v>
      </c>
      <c r="D2548" t="str">
        <f t="shared" si="139"/>
        <v>Sábado</v>
      </c>
    </row>
    <row r="2549" spans="1:4" x14ac:dyDescent="0.25">
      <c r="A2549" s="88" t="str">
        <f t="shared" si="137"/>
        <v>12-2029</v>
      </c>
      <c r="B2549" s="86">
        <v>47475</v>
      </c>
      <c r="C2549" t="str">
        <f t="shared" si="138"/>
        <v>DOM</v>
      </c>
      <c r="D2549" t="str">
        <f t="shared" si="139"/>
        <v>Domingo</v>
      </c>
    </row>
    <row r="2550" spans="1:4" x14ac:dyDescent="0.25">
      <c r="A2550" s="88" t="str">
        <f t="shared" si="137"/>
        <v>12-2029</v>
      </c>
      <c r="B2550" s="86">
        <v>47476</v>
      </c>
      <c r="C2550" t="str">
        <f t="shared" si="138"/>
        <v>L-V</v>
      </c>
      <c r="D2550" t="str">
        <f t="shared" si="139"/>
        <v>Lunes</v>
      </c>
    </row>
    <row r="2551" spans="1:4" x14ac:dyDescent="0.25">
      <c r="A2551" s="88" t="str">
        <f t="shared" si="137"/>
        <v>12-2029</v>
      </c>
      <c r="B2551" s="86">
        <v>47477</v>
      </c>
      <c r="C2551" t="str">
        <f t="shared" si="138"/>
        <v>L-V</v>
      </c>
      <c r="D2551" t="str">
        <f t="shared" si="139"/>
        <v>Martes</v>
      </c>
    </row>
    <row r="2552" spans="1:4" x14ac:dyDescent="0.25">
      <c r="A2552" s="88" t="str">
        <f t="shared" si="137"/>
        <v>12-2029</v>
      </c>
      <c r="B2552" s="86">
        <v>47478</v>
      </c>
      <c r="C2552" t="str">
        <f t="shared" si="138"/>
        <v>L-V</v>
      </c>
      <c r="D2552" t="str">
        <f t="shared" si="139"/>
        <v>Miércoles</v>
      </c>
    </row>
    <row r="2553" spans="1:4" x14ac:dyDescent="0.25">
      <c r="A2553" s="88" t="str">
        <f t="shared" si="137"/>
        <v>12-2029</v>
      </c>
      <c r="B2553" s="86">
        <v>47479</v>
      </c>
      <c r="C2553" t="str">
        <f t="shared" si="138"/>
        <v>L-V</v>
      </c>
      <c r="D2553" t="str">
        <f t="shared" si="139"/>
        <v>Jueves</v>
      </c>
    </row>
    <row r="2554" spans="1:4" x14ac:dyDescent="0.25">
      <c r="A2554" s="88" t="str">
        <f t="shared" si="137"/>
        <v>12-2029</v>
      </c>
      <c r="B2554" s="86">
        <v>47480</v>
      </c>
      <c r="C2554" t="str">
        <f t="shared" si="138"/>
        <v>L-V</v>
      </c>
      <c r="D2554" t="str">
        <f t="shared" si="139"/>
        <v>Viernes</v>
      </c>
    </row>
    <row r="2555" spans="1:4" x14ac:dyDescent="0.25">
      <c r="A2555" s="88" t="str">
        <f t="shared" si="137"/>
        <v>12-2029</v>
      </c>
      <c r="B2555" s="86">
        <v>47481</v>
      </c>
      <c r="C2555" t="str">
        <f t="shared" si="138"/>
        <v>SAB</v>
      </c>
      <c r="D2555" t="str">
        <f t="shared" si="139"/>
        <v>Sábado</v>
      </c>
    </row>
    <row r="2556" spans="1:4" x14ac:dyDescent="0.25">
      <c r="A2556" s="88" t="str">
        <f t="shared" si="137"/>
        <v>12-2029</v>
      </c>
      <c r="B2556" s="86">
        <v>47482</v>
      </c>
      <c r="C2556" t="str">
        <f t="shared" si="138"/>
        <v>DOM</v>
      </c>
      <c r="D2556" t="str">
        <f t="shared" si="139"/>
        <v>Domingo</v>
      </c>
    </row>
    <row r="2557" spans="1:4" x14ac:dyDescent="0.25">
      <c r="A2557" s="88" t="str">
        <f t="shared" si="137"/>
        <v>12-2029</v>
      </c>
      <c r="B2557" s="86">
        <v>47483</v>
      </c>
      <c r="C2557" t="str">
        <f t="shared" si="138"/>
        <v>L-V</v>
      </c>
      <c r="D2557" t="str">
        <f t="shared" si="139"/>
        <v>Lunes</v>
      </c>
    </row>
    <row r="2558" spans="1:4" x14ac:dyDescent="0.25">
      <c r="A2558" s="88" t="str">
        <f t="shared" si="137"/>
        <v>1-2030</v>
      </c>
      <c r="B2558" s="86">
        <v>47484</v>
      </c>
      <c r="C2558" t="str">
        <f t="shared" si="138"/>
        <v>L-V</v>
      </c>
      <c r="D2558" t="str">
        <f t="shared" si="139"/>
        <v>Martes</v>
      </c>
    </row>
    <row r="2559" spans="1:4" x14ac:dyDescent="0.25">
      <c r="A2559" s="88" t="str">
        <f t="shared" si="137"/>
        <v>1-2030</v>
      </c>
      <c r="B2559" s="86">
        <v>47485</v>
      </c>
      <c r="C2559" t="str">
        <f t="shared" si="138"/>
        <v>L-V</v>
      </c>
      <c r="D2559" t="str">
        <f t="shared" si="139"/>
        <v>Miércoles</v>
      </c>
    </row>
    <row r="2560" spans="1:4" x14ac:dyDescent="0.25">
      <c r="A2560" s="88" t="str">
        <f t="shared" si="137"/>
        <v>1-2030</v>
      </c>
      <c r="B2560" s="86">
        <v>47486</v>
      </c>
      <c r="C2560" t="str">
        <f t="shared" si="138"/>
        <v>L-V</v>
      </c>
      <c r="D2560" t="str">
        <f t="shared" si="139"/>
        <v>Jueves</v>
      </c>
    </row>
    <row r="2561" spans="1:4" x14ac:dyDescent="0.25">
      <c r="A2561" s="88" t="str">
        <f t="shared" si="137"/>
        <v>1-2030</v>
      </c>
      <c r="B2561" s="86">
        <v>47487</v>
      </c>
      <c r="C2561" t="str">
        <f t="shared" si="138"/>
        <v>L-V</v>
      </c>
      <c r="D2561" t="str">
        <f t="shared" si="139"/>
        <v>Viernes</v>
      </c>
    </row>
    <row r="2562" spans="1:4" x14ac:dyDescent="0.25">
      <c r="A2562" s="88" t="str">
        <f t="shared" ref="A2562:A2625" si="140">MONTH(B2562)&amp;"-"&amp;YEAR(B2562)</f>
        <v>1-2030</v>
      </c>
      <c r="B2562" s="86">
        <v>47488</v>
      </c>
      <c r="C2562" t="str">
        <f t="shared" si="138"/>
        <v>SAB</v>
      </c>
      <c r="D2562" t="str">
        <f t="shared" si="139"/>
        <v>Sábado</v>
      </c>
    </row>
    <row r="2563" spans="1:4" x14ac:dyDescent="0.25">
      <c r="A2563" s="88" t="str">
        <f t="shared" si="140"/>
        <v>1-2030</v>
      </c>
      <c r="B2563" s="86">
        <v>47489</v>
      </c>
      <c r="C2563" t="str">
        <f t="shared" ref="C2563:C2626" si="141">VLOOKUP(WEEKDAY(B2563,2),$F$1:$H$7,2)</f>
        <v>DOM</v>
      </c>
      <c r="D2563" t="str">
        <f t="shared" ref="D2563:D2626" si="142">VLOOKUP(WEEKDAY($B2563,2),$F$1:$H$7,3)</f>
        <v>Domingo</v>
      </c>
    </row>
    <row r="2564" spans="1:4" x14ac:dyDescent="0.25">
      <c r="A2564" s="88" t="str">
        <f t="shared" si="140"/>
        <v>1-2030</v>
      </c>
      <c r="B2564" s="86">
        <v>47490</v>
      </c>
      <c r="C2564" t="str">
        <f t="shared" si="141"/>
        <v>L-V</v>
      </c>
      <c r="D2564" t="str">
        <f t="shared" si="142"/>
        <v>Lunes</v>
      </c>
    </row>
    <row r="2565" spans="1:4" x14ac:dyDescent="0.25">
      <c r="A2565" s="88" t="str">
        <f t="shared" si="140"/>
        <v>1-2030</v>
      </c>
      <c r="B2565" s="86">
        <v>47491</v>
      </c>
      <c r="C2565" t="str">
        <f t="shared" si="141"/>
        <v>L-V</v>
      </c>
      <c r="D2565" t="str">
        <f t="shared" si="142"/>
        <v>Martes</v>
      </c>
    </row>
    <row r="2566" spans="1:4" x14ac:dyDescent="0.25">
      <c r="A2566" s="88" t="str">
        <f t="shared" si="140"/>
        <v>1-2030</v>
      </c>
      <c r="B2566" s="86">
        <v>47492</v>
      </c>
      <c r="C2566" t="str">
        <f t="shared" si="141"/>
        <v>L-V</v>
      </c>
      <c r="D2566" t="str">
        <f t="shared" si="142"/>
        <v>Miércoles</v>
      </c>
    </row>
    <row r="2567" spans="1:4" x14ac:dyDescent="0.25">
      <c r="A2567" s="88" t="str">
        <f t="shared" si="140"/>
        <v>1-2030</v>
      </c>
      <c r="B2567" s="86">
        <v>47493</v>
      </c>
      <c r="C2567" t="str">
        <f t="shared" si="141"/>
        <v>L-V</v>
      </c>
      <c r="D2567" t="str">
        <f t="shared" si="142"/>
        <v>Jueves</v>
      </c>
    </row>
    <row r="2568" spans="1:4" x14ac:dyDescent="0.25">
      <c r="A2568" s="88" t="str">
        <f t="shared" si="140"/>
        <v>1-2030</v>
      </c>
      <c r="B2568" s="86">
        <v>47494</v>
      </c>
      <c r="C2568" t="str">
        <f t="shared" si="141"/>
        <v>L-V</v>
      </c>
      <c r="D2568" t="str">
        <f t="shared" si="142"/>
        <v>Viernes</v>
      </c>
    </row>
    <row r="2569" spans="1:4" x14ac:dyDescent="0.25">
      <c r="A2569" s="88" t="str">
        <f t="shared" si="140"/>
        <v>1-2030</v>
      </c>
      <c r="B2569" s="86">
        <v>47495</v>
      </c>
      <c r="C2569" t="str">
        <f t="shared" si="141"/>
        <v>SAB</v>
      </c>
      <c r="D2569" t="str">
        <f t="shared" si="142"/>
        <v>Sábado</v>
      </c>
    </row>
    <row r="2570" spans="1:4" x14ac:dyDescent="0.25">
      <c r="A2570" s="88" t="str">
        <f t="shared" si="140"/>
        <v>1-2030</v>
      </c>
      <c r="B2570" s="86">
        <v>47496</v>
      </c>
      <c r="C2570" t="str">
        <f t="shared" si="141"/>
        <v>DOM</v>
      </c>
      <c r="D2570" t="str">
        <f t="shared" si="142"/>
        <v>Domingo</v>
      </c>
    </row>
    <row r="2571" spans="1:4" x14ac:dyDescent="0.25">
      <c r="A2571" s="88" t="str">
        <f t="shared" si="140"/>
        <v>1-2030</v>
      </c>
      <c r="B2571" s="86">
        <v>47497</v>
      </c>
      <c r="C2571" t="str">
        <f t="shared" si="141"/>
        <v>L-V</v>
      </c>
      <c r="D2571" t="str">
        <f t="shared" si="142"/>
        <v>Lunes</v>
      </c>
    </row>
    <row r="2572" spans="1:4" x14ac:dyDescent="0.25">
      <c r="A2572" s="88" t="str">
        <f t="shared" si="140"/>
        <v>1-2030</v>
      </c>
      <c r="B2572" s="86">
        <v>47498</v>
      </c>
      <c r="C2572" t="str">
        <f t="shared" si="141"/>
        <v>L-V</v>
      </c>
      <c r="D2572" t="str">
        <f t="shared" si="142"/>
        <v>Martes</v>
      </c>
    </row>
    <row r="2573" spans="1:4" x14ac:dyDescent="0.25">
      <c r="A2573" s="88" t="str">
        <f t="shared" si="140"/>
        <v>1-2030</v>
      </c>
      <c r="B2573" s="86">
        <v>47499</v>
      </c>
      <c r="C2573" t="str">
        <f t="shared" si="141"/>
        <v>L-V</v>
      </c>
      <c r="D2573" t="str">
        <f t="shared" si="142"/>
        <v>Miércoles</v>
      </c>
    </row>
    <row r="2574" spans="1:4" x14ac:dyDescent="0.25">
      <c r="A2574" s="88" t="str">
        <f t="shared" si="140"/>
        <v>1-2030</v>
      </c>
      <c r="B2574" s="86">
        <v>47500</v>
      </c>
      <c r="C2574" t="str">
        <f t="shared" si="141"/>
        <v>L-V</v>
      </c>
      <c r="D2574" t="str">
        <f t="shared" si="142"/>
        <v>Jueves</v>
      </c>
    </row>
    <row r="2575" spans="1:4" x14ac:dyDescent="0.25">
      <c r="A2575" s="88" t="str">
        <f t="shared" si="140"/>
        <v>1-2030</v>
      </c>
      <c r="B2575" s="86">
        <v>47501</v>
      </c>
      <c r="C2575" t="str">
        <f t="shared" si="141"/>
        <v>L-V</v>
      </c>
      <c r="D2575" t="str">
        <f t="shared" si="142"/>
        <v>Viernes</v>
      </c>
    </row>
    <row r="2576" spans="1:4" x14ac:dyDescent="0.25">
      <c r="A2576" s="88" t="str">
        <f t="shared" si="140"/>
        <v>1-2030</v>
      </c>
      <c r="B2576" s="86">
        <v>47502</v>
      </c>
      <c r="C2576" t="str">
        <f t="shared" si="141"/>
        <v>SAB</v>
      </c>
      <c r="D2576" t="str">
        <f t="shared" si="142"/>
        <v>Sábado</v>
      </c>
    </row>
    <row r="2577" spans="1:4" x14ac:dyDescent="0.25">
      <c r="A2577" s="88" t="str">
        <f t="shared" si="140"/>
        <v>1-2030</v>
      </c>
      <c r="B2577" s="86">
        <v>47503</v>
      </c>
      <c r="C2577" t="str">
        <f t="shared" si="141"/>
        <v>DOM</v>
      </c>
      <c r="D2577" t="str">
        <f t="shared" si="142"/>
        <v>Domingo</v>
      </c>
    </row>
    <row r="2578" spans="1:4" x14ac:dyDescent="0.25">
      <c r="A2578" s="88" t="str">
        <f t="shared" si="140"/>
        <v>1-2030</v>
      </c>
      <c r="B2578" s="86">
        <v>47504</v>
      </c>
      <c r="C2578" t="str">
        <f t="shared" si="141"/>
        <v>L-V</v>
      </c>
      <c r="D2578" t="str">
        <f t="shared" si="142"/>
        <v>Lunes</v>
      </c>
    </row>
    <row r="2579" spans="1:4" x14ac:dyDescent="0.25">
      <c r="A2579" s="88" t="str">
        <f t="shared" si="140"/>
        <v>1-2030</v>
      </c>
      <c r="B2579" s="86">
        <v>47505</v>
      </c>
      <c r="C2579" t="str">
        <f t="shared" si="141"/>
        <v>L-V</v>
      </c>
      <c r="D2579" t="str">
        <f t="shared" si="142"/>
        <v>Martes</v>
      </c>
    </row>
    <row r="2580" spans="1:4" x14ac:dyDescent="0.25">
      <c r="A2580" s="88" t="str">
        <f t="shared" si="140"/>
        <v>1-2030</v>
      </c>
      <c r="B2580" s="86">
        <v>47506</v>
      </c>
      <c r="C2580" t="str">
        <f t="shared" si="141"/>
        <v>L-V</v>
      </c>
      <c r="D2580" t="str">
        <f t="shared" si="142"/>
        <v>Miércoles</v>
      </c>
    </row>
    <row r="2581" spans="1:4" x14ac:dyDescent="0.25">
      <c r="A2581" s="88" t="str">
        <f t="shared" si="140"/>
        <v>1-2030</v>
      </c>
      <c r="B2581" s="86">
        <v>47507</v>
      </c>
      <c r="C2581" t="str">
        <f t="shared" si="141"/>
        <v>L-V</v>
      </c>
      <c r="D2581" t="str">
        <f t="shared" si="142"/>
        <v>Jueves</v>
      </c>
    </row>
    <row r="2582" spans="1:4" x14ac:dyDescent="0.25">
      <c r="A2582" s="88" t="str">
        <f t="shared" si="140"/>
        <v>1-2030</v>
      </c>
      <c r="B2582" s="86">
        <v>47508</v>
      </c>
      <c r="C2582" t="str">
        <f t="shared" si="141"/>
        <v>L-V</v>
      </c>
      <c r="D2582" t="str">
        <f t="shared" si="142"/>
        <v>Viernes</v>
      </c>
    </row>
    <row r="2583" spans="1:4" x14ac:dyDescent="0.25">
      <c r="A2583" s="88" t="str">
        <f t="shared" si="140"/>
        <v>1-2030</v>
      </c>
      <c r="B2583" s="86">
        <v>47509</v>
      </c>
      <c r="C2583" t="str">
        <f t="shared" si="141"/>
        <v>SAB</v>
      </c>
      <c r="D2583" t="str">
        <f t="shared" si="142"/>
        <v>Sábado</v>
      </c>
    </row>
    <row r="2584" spans="1:4" x14ac:dyDescent="0.25">
      <c r="A2584" s="88" t="str">
        <f t="shared" si="140"/>
        <v>1-2030</v>
      </c>
      <c r="B2584" s="86">
        <v>47510</v>
      </c>
      <c r="C2584" t="str">
        <f t="shared" si="141"/>
        <v>DOM</v>
      </c>
      <c r="D2584" t="str">
        <f t="shared" si="142"/>
        <v>Domingo</v>
      </c>
    </row>
    <row r="2585" spans="1:4" x14ac:dyDescent="0.25">
      <c r="A2585" s="88" t="str">
        <f t="shared" si="140"/>
        <v>1-2030</v>
      </c>
      <c r="B2585" s="86">
        <v>47511</v>
      </c>
      <c r="C2585" t="str">
        <f t="shared" si="141"/>
        <v>L-V</v>
      </c>
      <c r="D2585" t="str">
        <f t="shared" si="142"/>
        <v>Lunes</v>
      </c>
    </row>
    <row r="2586" spans="1:4" x14ac:dyDescent="0.25">
      <c r="A2586" s="88" t="str">
        <f t="shared" si="140"/>
        <v>1-2030</v>
      </c>
      <c r="B2586" s="86">
        <v>47512</v>
      </c>
      <c r="C2586" t="str">
        <f t="shared" si="141"/>
        <v>L-V</v>
      </c>
      <c r="D2586" t="str">
        <f t="shared" si="142"/>
        <v>Martes</v>
      </c>
    </row>
    <row r="2587" spans="1:4" x14ac:dyDescent="0.25">
      <c r="A2587" s="88" t="str">
        <f t="shared" si="140"/>
        <v>1-2030</v>
      </c>
      <c r="B2587" s="86">
        <v>47513</v>
      </c>
      <c r="C2587" t="str">
        <f t="shared" si="141"/>
        <v>L-V</v>
      </c>
      <c r="D2587" t="str">
        <f t="shared" si="142"/>
        <v>Miércoles</v>
      </c>
    </row>
    <row r="2588" spans="1:4" x14ac:dyDescent="0.25">
      <c r="A2588" s="88" t="str">
        <f t="shared" si="140"/>
        <v>1-2030</v>
      </c>
      <c r="B2588" s="86">
        <v>47514</v>
      </c>
      <c r="C2588" t="str">
        <f t="shared" si="141"/>
        <v>L-V</v>
      </c>
      <c r="D2588" t="str">
        <f t="shared" si="142"/>
        <v>Jueves</v>
      </c>
    </row>
    <row r="2589" spans="1:4" x14ac:dyDescent="0.25">
      <c r="A2589" s="88" t="str">
        <f t="shared" si="140"/>
        <v>2-2030</v>
      </c>
      <c r="B2589" s="86">
        <v>47515</v>
      </c>
      <c r="C2589" t="str">
        <f t="shared" si="141"/>
        <v>L-V</v>
      </c>
      <c r="D2589" t="str">
        <f t="shared" si="142"/>
        <v>Viernes</v>
      </c>
    </row>
    <row r="2590" spans="1:4" x14ac:dyDescent="0.25">
      <c r="A2590" s="88" t="str">
        <f t="shared" si="140"/>
        <v>2-2030</v>
      </c>
      <c r="B2590" s="86">
        <v>47516</v>
      </c>
      <c r="C2590" t="str">
        <f t="shared" si="141"/>
        <v>SAB</v>
      </c>
      <c r="D2590" t="str">
        <f t="shared" si="142"/>
        <v>Sábado</v>
      </c>
    </row>
    <row r="2591" spans="1:4" x14ac:dyDescent="0.25">
      <c r="A2591" s="88" t="str">
        <f t="shared" si="140"/>
        <v>2-2030</v>
      </c>
      <c r="B2591" s="86">
        <v>47517</v>
      </c>
      <c r="C2591" t="str">
        <f t="shared" si="141"/>
        <v>DOM</v>
      </c>
      <c r="D2591" t="str">
        <f t="shared" si="142"/>
        <v>Domingo</v>
      </c>
    </row>
    <row r="2592" spans="1:4" x14ac:dyDescent="0.25">
      <c r="A2592" s="88" t="str">
        <f t="shared" si="140"/>
        <v>2-2030</v>
      </c>
      <c r="B2592" s="86">
        <v>47518</v>
      </c>
      <c r="C2592" t="str">
        <f t="shared" si="141"/>
        <v>L-V</v>
      </c>
      <c r="D2592" t="str">
        <f t="shared" si="142"/>
        <v>Lunes</v>
      </c>
    </row>
    <row r="2593" spans="1:4" x14ac:dyDescent="0.25">
      <c r="A2593" s="88" t="str">
        <f t="shared" si="140"/>
        <v>2-2030</v>
      </c>
      <c r="B2593" s="86">
        <v>47519</v>
      </c>
      <c r="C2593" t="str">
        <f t="shared" si="141"/>
        <v>L-V</v>
      </c>
      <c r="D2593" t="str">
        <f t="shared" si="142"/>
        <v>Martes</v>
      </c>
    </row>
    <row r="2594" spans="1:4" x14ac:dyDescent="0.25">
      <c r="A2594" s="88" t="str">
        <f t="shared" si="140"/>
        <v>2-2030</v>
      </c>
      <c r="B2594" s="86">
        <v>47520</v>
      </c>
      <c r="C2594" t="str">
        <f t="shared" si="141"/>
        <v>L-V</v>
      </c>
      <c r="D2594" t="str">
        <f t="shared" si="142"/>
        <v>Miércoles</v>
      </c>
    </row>
    <row r="2595" spans="1:4" x14ac:dyDescent="0.25">
      <c r="A2595" s="88" t="str">
        <f t="shared" si="140"/>
        <v>2-2030</v>
      </c>
      <c r="B2595" s="86">
        <v>47521</v>
      </c>
      <c r="C2595" t="str">
        <f t="shared" si="141"/>
        <v>L-V</v>
      </c>
      <c r="D2595" t="str">
        <f t="shared" si="142"/>
        <v>Jueves</v>
      </c>
    </row>
    <row r="2596" spans="1:4" x14ac:dyDescent="0.25">
      <c r="A2596" s="88" t="str">
        <f t="shared" si="140"/>
        <v>2-2030</v>
      </c>
      <c r="B2596" s="86">
        <v>47522</v>
      </c>
      <c r="C2596" t="str">
        <f t="shared" si="141"/>
        <v>L-V</v>
      </c>
      <c r="D2596" t="str">
        <f t="shared" si="142"/>
        <v>Viernes</v>
      </c>
    </row>
    <row r="2597" spans="1:4" x14ac:dyDescent="0.25">
      <c r="A2597" s="88" t="str">
        <f t="shared" si="140"/>
        <v>2-2030</v>
      </c>
      <c r="B2597" s="86">
        <v>47523</v>
      </c>
      <c r="C2597" t="str">
        <f t="shared" si="141"/>
        <v>SAB</v>
      </c>
      <c r="D2597" t="str">
        <f t="shared" si="142"/>
        <v>Sábado</v>
      </c>
    </row>
    <row r="2598" spans="1:4" x14ac:dyDescent="0.25">
      <c r="A2598" s="88" t="str">
        <f t="shared" si="140"/>
        <v>2-2030</v>
      </c>
      <c r="B2598" s="86">
        <v>47524</v>
      </c>
      <c r="C2598" t="str">
        <f t="shared" si="141"/>
        <v>DOM</v>
      </c>
      <c r="D2598" t="str">
        <f t="shared" si="142"/>
        <v>Domingo</v>
      </c>
    </row>
    <row r="2599" spans="1:4" x14ac:dyDescent="0.25">
      <c r="A2599" s="88" t="str">
        <f t="shared" si="140"/>
        <v>2-2030</v>
      </c>
      <c r="B2599" s="86">
        <v>47525</v>
      </c>
      <c r="C2599" t="str">
        <f t="shared" si="141"/>
        <v>L-V</v>
      </c>
      <c r="D2599" t="str">
        <f t="shared" si="142"/>
        <v>Lunes</v>
      </c>
    </row>
    <row r="2600" spans="1:4" x14ac:dyDescent="0.25">
      <c r="A2600" s="88" t="str">
        <f t="shared" si="140"/>
        <v>2-2030</v>
      </c>
      <c r="B2600" s="86">
        <v>47526</v>
      </c>
      <c r="C2600" t="str">
        <f t="shared" si="141"/>
        <v>L-V</v>
      </c>
      <c r="D2600" t="str">
        <f t="shared" si="142"/>
        <v>Martes</v>
      </c>
    </row>
    <row r="2601" spans="1:4" x14ac:dyDescent="0.25">
      <c r="A2601" s="88" t="str">
        <f t="shared" si="140"/>
        <v>2-2030</v>
      </c>
      <c r="B2601" s="86">
        <v>47527</v>
      </c>
      <c r="C2601" t="str">
        <f t="shared" si="141"/>
        <v>L-V</v>
      </c>
      <c r="D2601" t="str">
        <f t="shared" si="142"/>
        <v>Miércoles</v>
      </c>
    </row>
    <row r="2602" spans="1:4" x14ac:dyDescent="0.25">
      <c r="A2602" s="88" t="str">
        <f t="shared" si="140"/>
        <v>2-2030</v>
      </c>
      <c r="B2602" s="86">
        <v>47528</v>
      </c>
      <c r="C2602" t="str">
        <f t="shared" si="141"/>
        <v>L-V</v>
      </c>
      <c r="D2602" t="str">
        <f t="shared" si="142"/>
        <v>Jueves</v>
      </c>
    </row>
    <row r="2603" spans="1:4" x14ac:dyDescent="0.25">
      <c r="A2603" s="88" t="str">
        <f t="shared" si="140"/>
        <v>2-2030</v>
      </c>
      <c r="B2603" s="86">
        <v>47529</v>
      </c>
      <c r="C2603" t="str">
        <f t="shared" si="141"/>
        <v>L-V</v>
      </c>
      <c r="D2603" t="str">
        <f t="shared" si="142"/>
        <v>Viernes</v>
      </c>
    </row>
    <row r="2604" spans="1:4" x14ac:dyDescent="0.25">
      <c r="A2604" s="88" t="str">
        <f t="shared" si="140"/>
        <v>2-2030</v>
      </c>
      <c r="B2604" s="86">
        <v>47530</v>
      </c>
      <c r="C2604" t="str">
        <f t="shared" si="141"/>
        <v>SAB</v>
      </c>
      <c r="D2604" t="str">
        <f t="shared" si="142"/>
        <v>Sábado</v>
      </c>
    </row>
    <row r="2605" spans="1:4" x14ac:dyDescent="0.25">
      <c r="A2605" s="88" t="str">
        <f t="shared" si="140"/>
        <v>2-2030</v>
      </c>
      <c r="B2605" s="86">
        <v>47531</v>
      </c>
      <c r="C2605" t="str">
        <f t="shared" si="141"/>
        <v>DOM</v>
      </c>
      <c r="D2605" t="str">
        <f t="shared" si="142"/>
        <v>Domingo</v>
      </c>
    </row>
    <row r="2606" spans="1:4" x14ac:dyDescent="0.25">
      <c r="A2606" s="88" t="str">
        <f t="shared" si="140"/>
        <v>2-2030</v>
      </c>
      <c r="B2606" s="86">
        <v>47532</v>
      </c>
      <c r="C2606" t="str">
        <f t="shared" si="141"/>
        <v>L-V</v>
      </c>
      <c r="D2606" t="str">
        <f t="shared" si="142"/>
        <v>Lunes</v>
      </c>
    </row>
    <row r="2607" spans="1:4" x14ac:dyDescent="0.25">
      <c r="A2607" s="88" t="str">
        <f t="shared" si="140"/>
        <v>2-2030</v>
      </c>
      <c r="B2607" s="86">
        <v>47533</v>
      </c>
      <c r="C2607" t="str">
        <f t="shared" si="141"/>
        <v>L-V</v>
      </c>
      <c r="D2607" t="str">
        <f t="shared" si="142"/>
        <v>Martes</v>
      </c>
    </row>
    <row r="2608" spans="1:4" x14ac:dyDescent="0.25">
      <c r="A2608" s="88" t="str">
        <f t="shared" si="140"/>
        <v>2-2030</v>
      </c>
      <c r="B2608" s="86">
        <v>47534</v>
      </c>
      <c r="C2608" t="str">
        <f t="shared" si="141"/>
        <v>L-V</v>
      </c>
      <c r="D2608" t="str">
        <f t="shared" si="142"/>
        <v>Miércoles</v>
      </c>
    </row>
    <row r="2609" spans="1:4" x14ac:dyDescent="0.25">
      <c r="A2609" s="88" t="str">
        <f t="shared" si="140"/>
        <v>2-2030</v>
      </c>
      <c r="B2609" s="86">
        <v>47535</v>
      </c>
      <c r="C2609" t="str">
        <f t="shared" si="141"/>
        <v>L-V</v>
      </c>
      <c r="D2609" t="str">
        <f t="shared" si="142"/>
        <v>Jueves</v>
      </c>
    </row>
    <row r="2610" spans="1:4" x14ac:dyDescent="0.25">
      <c r="A2610" s="88" t="str">
        <f t="shared" si="140"/>
        <v>2-2030</v>
      </c>
      <c r="B2610" s="86">
        <v>47536</v>
      </c>
      <c r="C2610" t="str">
        <f t="shared" si="141"/>
        <v>L-V</v>
      </c>
      <c r="D2610" t="str">
        <f t="shared" si="142"/>
        <v>Viernes</v>
      </c>
    </row>
    <row r="2611" spans="1:4" x14ac:dyDescent="0.25">
      <c r="A2611" s="88" t="str">
        <f t="shared" si="140"/>
        <v>2-2030</v>
      </c>
      <c r="B2611" s="86">
        <v>47537</v>
      </c>
      <c r="C2611" t="str">
        <f t="shared" si="141"/>
        <v>SAB</v>
      </c>
      <c r="D2611" t="str">
        <f t="shared" si="142"/>
        <v>Sábado</v>
      </c>
    </row>
    <row r="2612" spans="1:4" x14ac:dyDescent="0.25">
      <c r="A2612" s="88" t="str">
        <f t="shared" si="140"/>
        <v>2-2030</v>
      </c>
      <c r="B2612" s="86">
        <v>47538</v>
      </c>
      <c r="C2612" t="str">
        <f t="shared" si="141"/>
        <v>DOM</v>
      </c>
      <c r="D2612" t="str">
        <f t="shared" si="142"/>
        <v>Domingo</v>
      </c>
    </row>
    <row r="2613" spans="1:4" x14ac:dyDescent="0.25">
      <c r="A2613" s="88" t="str">
        <f t="shared" si="140"/>
        <v>2-2030</v>
      </c>
      <c r="B2613" s="86">
        <v>47539</v>
      </c>
      <c r="C2613" t="str">
        <f t="shared" si="141"/>
        <v>L-V</v>
      </c>
      <c r="D2613" t="str">
        <f t="shared" si="142"/>
        <v>Lunes</v>
      </c>
    </row>
    <row r="2614" spans="1:4" x14ac:dyDescent="0.25">
      <c r="A2614" s="88" t="str">
        <f t="shared" si="140"/>
        <v>2-2030</v>
      </c>
      <c r="B2614" s="86">
        <v>47540</v>
      </c>
      <c r="C2614" t="str">
        <f t="shared" si="141"/>
        <v>L-V</v>
      </c>
      <c r="D2614" t="str">
        <f t="shared" si="142"/>
        <v>Martes</v>
      </c>
    </row>
    <row r="2615" spans="1:4" x14ac:dyDescent="0.25">
      <c r="A2615" s="88" t="str">
        <f t="shared" si="140"/>
        <v>2-2030</v>
      </c>
      <c r="B2615" s="86">
        <v>47541</v>
      </c>
      <c r="C2615" t="str">
        <f t="shared" si="141"/>
        <v>L-V</v>
      </c>
      <c r="D2615" t="str">
        <f t="shared" si="142"/>
        <v>Miércoles</v>
      </c>
    </row>
    <row r="2616" spans="1:4" x14ac:dyDescent="0.25">
      <c r="A2616" s="88" t="str">
        <f t="shared" si="140"/>
        <v>2-2030</v>
      </c>
      <c r="B2616" s="86">
        <v>47542</v>
      </c>
      <c r="C2616" t="str">
        <f t="shared" si="141"/>
        <v>L-V</v>
      </c>
      <c r="D2616" t="str">
        <f t="shared" si="142"/>
        <v>Jueves</v>
      </c>
    </row>
    <row r="2617" spans="1:4" x14ac:dyDescent="0.25">
      <c r="A2617" s="88" t="str">
        <f t="shared" si="140"/>
        <v>3-2030</v>
      </c>
      <c r="B2617" s="86">
        <v>47543</v>
      </c>
      <c r="C2617" t="str">
        <f t="shared" si="141"/>
        <v>L-V</v>
      </c>
      <c r="D2617" t="str">
        <f t="shared" si="142"/>
        <v>Viernes</v>
      </c>
    </row>
    <row r="2618" spans="1:4" x14ac:dyDescent="0.25">
      <c r="A2618" s="88" t="str">
        <f t="shared" si="140"/>
        <v>3-2030</v>
      </c>
      <c r="B2618" s="86">
        <v>47544</v>
      </c>
      <c r="C2618" t="str">
        <f t="shared" si="141"/>
        <v>SAB</v>
      </c>
      <c r="D2618" t="str">
        <f t="shared" si="142"/>
        <v>Sábado</v>
      </c>
    </row>
    <row r="2619" spans="1:4" x14ac:dyDescent="0.25">
      <c r="A2619" s="88" t="str">
        <f t="shared" si="140"/>
        <v>3-2030</v>
      </c>
      <c r="B2619" s="86">
        <v>47545</v>
      </c>
      <c r="C2619" t="str">
        <f t="shared" si="141"/>
        <v>DOM</v>
      </c>
      <c r="D2619" t="str">
        <f t="shared" si="142"/>
        <v>Domingo</v>
      </c>
    </row>
    <row r="2620" spans="1:4" x14ac:dyDescent="0.25">
      <c r="A2620" s="88" t="str">
        <f t="shared" si="140"/>
        <v>3-2030</v>
      </c>
      <c r="B2620" s="86">
        <v>47546</v>
      </c>
      <c r="C2620" t="str">
        <f t="shared" si="141"/>
        <v>L-V</v>
      </c>
      <c r="D2620" t="str">
        <f t="shared" si="142"/>
        <v>Lunes</v>
      </c>
    </row>
    <row r="2621" spans="1:4" x14ac:dyDescent="0.25">
      <c r="A2621" s="88" t="str">
        <f t="shared" si="140"/>
        <v>3-2030</v>
      </c>
      <c r="B2621" s="86">
        <v>47547</v>
      </c>
      <c r="C2621" t="str">
        <f t="shared" si="141"/>
        <v>L-V</v>
      </c>
      <c r="D2621" t="str">
        <f t="shared" si="142"/>
        <v>Martes</v>
      </c>
    </row>
    <row r="2622" spans="1:4" x14ac:dyDescent="0.25">
      <c r="A2622" s="88" t="str">
        <f t="shared" si="140"/>
        <v>3-2030</v>
      </c>
      <c r="B2622" s="86">
        <v>47548</v>
      </c>
      <c r="C2622" t="str">
        <f t="shared" si="141"/>
        <v>L-V</v>
      </c>
      <c r="D2622" t="str">
        <f t="shared" si="142"/>
        <v>Miércoles</v>
      </c>
    </row>
    <row r="2623" spans="1:4" x14ac:dyDescent="0.25">
      <c r="A2623" s="88" t="str">
        <f t="shared" si="140"/>
        <v>3-2030</v>
      </c>
      <c r="B2623" s="86">
        <v>47549</v>
      </c>
      <c r="C2623" t="str">
        <f t="shared" si="141"/>
        <v>L-V</v>
      </c>
      <c r="D2623" t="str">
        <f t="shared" si="142"/>
        <v>Jueves</v>
      </c>
    </row>
    <row r="2624" spans="1:4" x14ac:dyDescent="0.25">
      <c r="A2624" s="88" t="str">
        <f t="shared" si="140"/>
        <v>3-2030</v>
      </c>
      <c r="B2624" s="86">
        <v>47550</v>
      </c>
      <c r="C2624" t="str">
        <f t="shared" si="141"/>
        <v>L-V</v>
      </c>
      <c r="D2624" t="str">
        <f t="shared" si="142"/>
        <v>Viernes</v>
      </c>
    </row>
    <row r="2625" spans="1:4" x14ac:dyDescent="0.25">
      <c r="A2625" s="88" t="str">
        <f t="shared" si="140"/>
        <v>3-2030</v>
      </c>
      <c r="B2625" s="86">
        <v>47551</v>
      </c>
      <c r="C2625" t="str">
        <f t="shared" si="141"/>
        <v>SAB</v>
      </c>
      <c r="D2625" t="str">
        <f t="shared" si="142"/>
        <v>Sábado</v>
      </c>
    </row>
    <row r="2626" spans="1:4" x14ac:dyDescent="0.25">
      <c r="A2626" s="88" t="str">
        <f t="shared" ref="A2626:A2689" si="143">MONTH(B2626)&amp;"-"&amp;YEAR(B2626)</f>
        <v>3-2030</v>
      </c>
      <c r="B2626" s="86">
        <v>47552</v>
      </c>
      <c r="C2626" t="str">
        <f t="shared" si="141"/>
        <v>DOM</v>
      </c>
      <c r="D2626" t="str">
        <f t="shared" si="142"/>
        <v>Domingo</v>
      </c>
    </row>
    <row r="2627" spans="1:4" x14ac:dyDescent="0.25">
      <c r="A2627" s="88" t="str">
        <f t="shared" si="143"/>
        <v>3-2030</v>
      </c>
      <c r="B2627" s="86">
        <v>47553</v>
      </c>
      <c r="C2627" t="str">
        <f t="shared" ref="C2627:C2690" si="144">VLOOKUP(WEEKDAY(B2627,2),$F$1:$H$7,2)</f>
        <v>L-V</v>
      </c>
      <c r="D2627" t="str">
        <f t="shared" ref="D2627:D2690" si="145">VLOOKUP(WEEKDAY($B2627,2),$F$1:$H$7,3)</f>
        <v>Lunes</v>
      </c>
    </row>
    <row r="2628" spans="1:4" x14ac:dyDescent="0.25">
      <c r="A2628" s="88" t="str">
        <f t="shared" si="143"/>
        <v>3-2030</v>
      </c>
      <c r="B2628" s="86">
        <v>47554</v>
      </c>
      <c r="C2628" t="str">
        <f t="shared" si="144"/>
        <v>L-V</v>
      </c>
      <c r="D2628" t="str">
        <f t="shared" si="145"/>
        <v>Martes</v>
      </c>
    </row>
    <row r="2629" spans="1:4" x14ac:dyDescent="0.25">
      <c r="A2629" s="88" t="str">
        <f t="shared" si="143"/>
        <v>3-2030</v>
      </c>
      <c r="B2629" s="86">
        <v>47555</v>
      </c>
      <c r="C2629" t="str">
        <f t="shared" si="144"/>
        <v>L-V</v>
      </c>
      <c r="D2629" t="str">
        <f t="shared" si="145"/>
        <v>Miércoles</v>
      </c>
    </row>
    <row r="2630" spans="1:4" x14ac:dyDescent="0.25">
      <c r="A2630" s="88" t="str">
        <f t="shared" si="143"/>
        <v>3-2030</v>
      </c>
      <c r="B2630" s="86">
        <v>47556</v>
      </c>
      <c r="C2630" t="str">
        <f t="shared" si="144"/>
        <v>L-V</v>
      </c>
      <c r="D2630" t="str">
        <f t="shared" si="145"/>
        <v>Jueves</v>
      </c>
    </row>
    <row r="2631" spans="1:4" x14ac:dyDescent="0.25">
      <c r="A2631" s="88" t="str">
        <f t="shared" si="143"/>
        <v>3-2030</v>
      </c>
      <c r="B2631" s="86">
        <v>47557</v>
      </c>
      <c r="C2631" t="str">
        <f t="shared" si="144"/>
        <v>L-V</v>
      </c>
      <c r="D2631" t="str">
        <f t="shared" si="145"/>
        <v>Viernes</v>
      </c>
    </row>
    <row r="2632" spans="1:4" x14ac:dyDescent="0.25">
      <c r="A2632" s="88" t="str">
        <f t="shared" si="143"/>
        <v>3-2030</v>
      </c>
      <c r="B2632" s="86">
        <v>47558</v>
      </c>
      <c r="C2632" t="str">
        <f t="shared" si="144"/>
        <v>SAB</v>
      </c>
      <c r="D2632" t="str">
        <f t="shared" si="145"/>
        <v>Sábado</v>
      </c>
    </row>
    <row r="2633" spans="1:4" x14ac:dyDescent="0.25">
      <c r="A2633" s="88" t="str">
        <f t="shared" si="143"/>
        <v>3-2030</v>
      </c>
      <c r="B2633" s="86">
        <v>47559</v>
      </c>
      <c r="C2633" t="str">
        <f t="shared" si="144"/>
        <v>DOM</v>
      </c>
      <c r="D2633" t="str">
        <f t="shared" si="145"/>
        <v>Domingo</v>
      </c>
    </row>
    <row r="2634" spans="1:4" x14ac:dyDescent="0.25">
      <c r="A2634" s="88" t="str">
        <f t="shared" si="143"/>
        <v>3-2030</v>
      </c>
      <c r="B2634" s="86">
        <v>47560</v>
      </c>
      <c r="C2634" t="str">
        <f t="shared" si="144"/>
        <v>L-V</v>
      </c>
      <c r="D2634" t="str">
        <f t="shared" si="145"/>
        <v>Lunes</v>
      </c>
    </row>
    <row r="2635" spans="1:4" x14ac:dyDescent="0.25">
      <c r="A2635" s="88" t="str">
        <f t="shared" si="143"/>
        <v>3-2030</v>
      </c>
      <c r="B2635" s="86">
        <v>47561</v>
      </c>
      <c r="C2635" t="str">
        <f t="shared" si="144"/>
        <v>L-V</v>
      </c>
      <c r="D2635" t="str">
        <f t="shared" si="145"/>
        <v>Martes</v>
      </c>
    </row>
    <row r="2636" spans="1:4" x14ac:dyDescent="0.25">
      <c r="A2636" s="88" t="str">
        <f t="shared" si="143"/>
        <v>3-2030</v>
      </c>
      <c r="B2636" s="86">
        <v>47562</v>
      </c>
      <c r="C2636" t="str">
        <f t="shared" si="144"/>
        <v>L-V</v>
      </c>
      <c r="D2636" t="str">
        <f t="shared" si="145"/>
        <v>Miércoles</v>
      </c>
    </row>
    <row r="2637" spans="1:4" x14ac:dyDescent="0.25">
      <c r="A2637" s="88" t="str">
        <f t="shared" si="143"/>
        <v>3-2030</v>
      </c>
      <c r="B2637" s="86">
        <v>47563</v>
      </c>
      <c r="C2637" t="str">
        <f t="shared" si="144"/>
        <v>L-V</v>
      </c>
      <c r="D2637" t="str">
        <f t="shared" si="145"/>
        <v>Jueves</v>
      </c>
    </row>
    <row r="2638" spans="1:4" x14ac:dyDescent="0.25">
      <c r="A2638" s="88" t="str">
        <f t="shared" si="143"/>
        <v>3-2030</v>
      </c>
      <c r="B2638" s="86">
        <v>47564</v>
      </c>
      <c r="C2638" t="str">
        <f t="shared" si="144"/>
        <v>L-V</v>
      </c>
      <c r="D2638" t="str">
        <f t="shared" si="145"/>
        <v>Viernes</v>
      </c>
    </row>
    <row r="2639" spans="1:4" x14ac:dyDescent="0.25">
      <c r="A2639" s="88" t="str">
        <f t="shared" si="143"/>
        <v>3-2030</v>
      </c>
      <c r="B2639" s="86">
        <v>47565</v>
      </c>
      <c r="C2639" t="str">
        <f t="shared" si="144"/>
        <v>SAB</v>
      </c>
      <c r="D2639" t="str">
        <f t="shared" si="145"/>
        <v>Sábado</v>
      </c>
    </row>
    <row r="2640" spans="1:4" x14ac:dyDescent="0.25">
      <c r="A2640" s="88" t="str">
        <f t="shared" si="143"/>
        <v>3-2030</v>
      </c>
      <c r="B2640" s="86">
        <v>47566</v>
      </c>
      <c r="C2640" t="str">
        <f t="shared" si="144"/>
        <v>DOM</v>
      </c>
      <c r="D2640" t="str">
        <f t="shared" si="145"/>
        <v>Domingo</v>
      </c>
    </row>
    <row r="2641" spans="1:4" x14ac:dyDescent="0.25">
      <c r="A2641" s="88" t="str">
        <f t="shared" si="143"/>
        <v>3-2030</v>
      </c>
      <c r="B2641" s="86">
        <v>47567</v>
      </c>
      <c r="C2641" t="str">
        <f t="shared" si="144"/>
        <v>L-V</v>
      </c>
      <c r="D2641" t="str">
        <f t="shared" si="145"/>
        <v>Lunes</v>
      </c>
    </row>
    <row r="2642" spans="1:4" x14ac:dyDescent="0.25">
      <c r="A2642" s="88" t="str">
        <f t="shared" si="143"/>
        <v>3-2030</v>
      </c>
      <c r="B2642" s="86">
        <v>47568</v>
      </c>
      <c r="C2642" t="str">
        <f t="shared" si="144"/>
        <v>L-V</v>
      </c>
      <c r="D2642" t="str">
        <f t="shared" si="145"/>
        <v>Martes</v>
      </c>
    </row>
    <row r="2643" spans="1:4" x14ac:dyDescent="0.25">
      <c r="A2643" s="88" t="str">
        <f t="shared" si="143"/>
        <v>3-2030</v>
      </c>
      <c r="B2643" s="86">
        <v>47569</v>
      </c>
      <c r="C2643" t="str">
        <f t="shared" si="144"/>
        <v>L-V</v>
      </c>
      <c r="D2643" t="str">
        <f t="shared" si="145"/>
        <v>Miércoles</v>
      </c>
    </row>
    <row r="2644" spans="1:4" x14ac:dyDescent="0.25">
      <c r="A2644" s="88" t="str">
        <f t="shared" si="143"/>
        <v>3-2030</v>
      </c>
      <c r="B2644" s="86">
        <v>47570</v>
      </c>
      <c r="C2644" t="str">
        <f t="shared" si="144"/>
        <v>L-V</v>
      </c>
      <c r="D2644" t="str">
        <f t="shared" si="145"/>
        <v>Jueves</v>
      </c>
    </row>
    <row r="2645" spans="1:4" x14ac:dyDescent="0.25">
      <c r="A2645" s="88" t="str">
        <f t="shared" si="143"/>
        <v>3-2030</v>
      </c>
      <c r="B2645" s="86">
        <v>47571</v>
      </c>
      <c r="C2645" t="str">
        <f t="shared" si="144"/>
        <v>L-V</v>
      </c>
      <c r="D2645" t="str">
        <f t="shared" si="145"/>
        <v>Viernes</v>
      </c>
    </row>
    <row r="2646" spans="1:4" x14ac:dyDescent="0.25">
      <c r="A2646" s="88" t="str">
        <f t="shared" si="143"/>
        <v>3-2030</v>
      </c>
      <c r="B2646" s="86">
        <v>47572</v>
      </c>
      <c r="C2646" t="str">
        <f t="shared" si="144"/>
        <v>SAB</v>
      </c>
      <c r="D2646" t="str">
        <f t="shared" si="145"/>
        <v>Sábado</v>
      </c>
    </row>
    <row r="2647" spans="1:4" x14ac:dyDescent="0.25">
      <c r="A2647" s="88" t="str">
        <f t="shared" si="143"/>
        <v>3-2030</v>
      </c>
      <c r="B2647" s="86">
        <v>47573</v>
      </c>
      <c r="C2647" t="str">
        <f t="shared" si="144"/>
        <v>DOM</v>
      </c>
      <c r="D2647" t="str">
        <f t="shared" si="145"/>
        <v>Domingo</v>
      </c>
    </row>
    <row r="2648" spans="1:4" x14ac:dyDescent="0.25">
      <c r="A2648" s="88" t="str">
        <f t="shared" si="143"/>
        <v>4-2030</v>
      </c>
      <c r="B2648" s="86">
        <v>47574</v>
      </c>
      <c r="C2648" t="str">
        <f t="shared" si="144"/>
        <v>L-V</v>
      </c>
      <c r="D2648" t="str">
        <f t="shared" si="145"/>
        <v>Lunes</v>
      </c>
    </row>
    <row r="2649" spans="1:4" x14ac:dyDescent="0.25">
      <c r="A2649" s="88" t="str">
        <f t="shared" si="143"/>
        <v>4-2030</v>
      </c>
      <c r="B2649" s="86">
        <v>47575</v>
      </c>
      <c r="C2649" t="str">
        <f t="shared" si="144"/>
        <v>L-V</v>
      </c>
      <c r="D2649" t="str">
        <f t="shared" si="145"/>
        <v>Martes</v>
      </c>
    </row>
    <row r="2650" spans="1:4" x14ac:dyDescent="0.25">
      <c r="A2650" s="88" t="str">
        <f t="shared" si="143"/>
        <v>4-2030</v>
      </c>
      <c r="B2650" s="86">
        <v>47576</v>
      </c>
      <c r="C2650" t="str">
        <f t="shared" si="144"/>
        <v>L-V</v>
      </c>
      <c r="D2650" t="str">
        <f t="shared" si="145"/>
        <v>Miércoles</v>
      </c>
    </row>
    <row r="2651" spans="1:4" x14ac:dyDescent="0.25">
      <c r="A2651" s="88" t="str">
        <f t="shared" si="143"/>
        <v>4-2030</v>
      </c>
      <c r="B2651" s="86">
        <v>47577</v>
      </c>
      <c r="C2651" t="str">
        <f t="shared" si="144"/>
        <v>L-V</v>
      </c>
      <c r="D2651" t="str">
        <f t="shared" si="145"/>
        <v>Jueves</v>
      </c>
    </row>
    <row r="2652" spans="1:4" x14ac:dyDescent="0.25">
      <c r="A2652" s="88" t="str">
        <f t="shared" si="143"/>
        <v>4-2030</v>
      </c>
      <c r="B2652" s="86">
        <v>47578</v>
      </c>
      <c r="C2652" t="str">
        <f t="shared" si="144"/>
        <v>L-V</v>
      </c>
      <c r="D2652" t="str">
        <f t="shared" si="145"/>
        <v>Viernes</v>
      </c>
    </row>
    <row r="2653" spans="1:4" x14ac:dyDescent="0.25">
      <c r="A2653" s="88" t="str">
        <f t="shared" si="143"/>
        <v>4-2030</v>
      </c>
      <c r="B2653" s="86">
        <v>47579</v>
      </c>
      <c r="C2653" t="str">
        <f t="shared" si="144"/>
        <v>SAB</v>
      </c>
      <c r="D2653" t="str">
        <f t="shared" si="145"/>
        <v>Sábado</v>
      </c>
    </row>
    <row r="2654" spans="1:4" x14ac:dyDescent="0.25">
      <c r="A2654" s="88" t="str">
        <f t="shared" si="143"/>
        <v>4-2030</v>
      </c>
      <c r="B2654" s="86">
        <v>47580</v>
      </c>
      <c r="C2654" t="str">
        <f t="shared" si="144"/>
        <v>DOM</v>
      </c>
      <c r="D2654" t="str">
        <f t="shared" si="145"/>
        <v>Domingo</v>
      </c>
    </row>
    <row r="2655" spans="1:4" x14ac:dyDescent="0.25">
      <c r="A2655" s="88" t="str">
        <f t="shared" si="143"/>
        <v>4-2030</v>
      </c>
      <c r="B2655" s="86">
        <v>47581</v>
      </c>
      <c r="C2655" t="str">
        <f t="shared" si="144"/>
        <v>L-V</v>
      </c>
      <c r="D2655" t="str">
        <f t="shared" si="145"/>
        <v>Lunes</v>
      </c>
    </row>
    <row r="2656" spans="1:4" x14ac:dyDescent="0.25">
      <c r="A2656" s="88" t="str">
        <f t="shared" si="143"/>
        <v>4-2030</v>
      </c>
      <c r="B2656" s="86">
        <v>47582</v>
      </c>
      <c r="C2656" t="str">
        <f t="shared" si="144"/>
        <v>L-V</v>
      </c>
      <c r="D2656" t="str">
        <f t="shared" si="145"/>
        <v>Martes</v>
      </c>
    </row>
    <row r="2657" spans="1:4" x14ac:dyDescent="0.25">
      <c r="A2657" s="88" t="str">
        <f t="shared" si="143"/>
        <v>4-2030</v>
      </c>
      <c r="B2657" s="86">
        <v>47583</v>
      </c>
      <c r="C2657" t="str">
        <f t="shared" si="144"/>
        <v>L-V</v>
      </c>
      <c r="D2657" t="str">
        <f t="shared" si="145"/>
        <v>Miércoles</v>
      </c>
    </row>
    <row r="2658" spans="1:4" x14ac:dyDescent="0.25">
      <c r="A2658" s="88" t="str">
        <f t="shared" si="143"/>
        <v>4-2030</v>
      </c>
      <c r="B2658" s="86">
        <v>47584</v>
      </c>
      <c r="C2658" t="str">
        <f t="shared" si="144"/>
        <v>L-V</v>
      </c>
      <c r="D2658" t="str">
        <f t="shared" si="145"/>
        <v>Jueves</v>
      </c>
    </row>
    <row r="2659" spans="1:4" x14ac:dyDescent="0.25">
      <c r="A2659" s="88" t="str">
        <f t="shared" si="143"/>
        <v>4-2030</v>
      </c>
      <c r="B2659" s="86">
        <v>47585</v>
      </c>
      <c r="C2659" t="str">
        <f t="shared" si="144"/>
        <v>L-V</v>
      </c>
      <c r="D2659" t="str">
        <f t="shared" si="145"/>
        <v>Viernes</v>
      </c>
    </row>
    <row r="2660" spans="1:4" x14ac:dyDescent="0.25">
      <c r="A2660" s="88" t="str">
        <f t="shared" si="143"/>
        <v>4-2030</v>
      </c>
      <c r="B2660" s="86">
        <v>47586</v>
      </c>
      <c r="C2660" t="str">
        <f t="shared" si="144"/>
        <v>SAB</v>
      </c>
      <c r="D2660" t="str">
        <f t="shared" si="145"/>
        <v>Sábado</v>
      </c>
    </row>
    <row r="2661" spans="1:4" x14ac:dyDescent="0.25">
      <c r="A2661" s="88" t="str">
        <f t="shared" si="143"/>
        <v>4-2030</v>
      </c>
      <c r="B2661" s="86">
        <v>47587</v>
      </c>
      <c r="C2661" t="str">
        <f t="shared" si="144"/>
        <v>DOM</v>
      </c>
      <c r="D2661" t="str">
        <f t="shared" si="145"/>
        <v>Domingo</v>
      </c>
    </row>
    <row r="2662" spans="1:4" x14ac:dyDescent="0.25">
      <c r="A2662" s="88" t="str">
        <f t="shared" si="143"/>
        <v>4-2030</v>
      </c>
      <c r="B2662" s="86">
        <v>47588</v>
      </c>
      <c r="C2662" t="str">
        <f t="shared" si="144"/>
        <v>L-V</v>
      </c>
      <c r="D2662" t="str">
        <f t="shared" si="145"/>
        <v>Lunes</v>
      </c>
    </row>
    <row r="2663" spans="1:4" x14ac:dyDescent="0.25">
      <c r="A2663" s="88" t="str">
        <f t="shared" si="143"/>
        <v>4-2030</v>
      </c>
      <c r="B2663" s="86">
        <v>47589</v>
      </c>
      <c r="C2663" t="str">
        <f t="shared" si="144"/>
        <v>L-V</v>
      </c>
      <c r="D2663" t="str">
        <f t="shared" si="145"/>
        <v>Martes</v>
      </c>
    </row>
    <row r="2664" spans="1:4" x14ac:dyDescent="0.25">
      <c r="A2664" s="88" t="str">
        <f t="shared" si="143"/>
        <v>4-2030</v>
      </c>
      <c r="B2664" s="86">
        <v>47590</v>
      </c>
      <c r="C2664" t="str">
        <f t="shared" si="144"/>
        <v>L-V</v>
      </c>
      <c r="D2664" t="str">
        <f t="shared" si="145"/>
        <v>Miércoles</v>
      </c>
    </row>
    <row r="2665" spans="1:4" x14ac:dyDescent="0.25">
      <c r="A2665" s="88" t="str">
        <f t="shared" si="143"/>
        <v>4-2030</v>
      </c>
      <c r="B2665" s="86">
        <v>47591</v>
      </c>
      <c r="C2665" t="str">
        <f t="shared" si="144"/>
        <v>L-V</v>
      </c>
      <c r="D2665" t="str">
        <f t="shared" si="145"/>
        <v>Jueves</v>
      </c>
    </row>
    <row r="2666" spans="1:4" x14ac:dyDescent="0.25">
      <c r="A2666" s="88" t="str">
        <f t="shared" si="143"/>
        <v>4-2030</v>
      </c>
      <c r="B2666" s="86">
        <v>47592</v>
      </c>
      <c r="C2666" t="str">
        <f t="shared" si="144"/>
        <v>L-V</v>
      </c>
      <c r="D2666" t="str">
        <f t="shared" si="145"/>
        <v>Viernes</v>
      </c>
    </row>
    <row r="2667" spans="1:4" x14ac:dyDescent="0.25">
      <c r="A2667" s="88" t="str">
        <f t="shared" si="143"/>
        <v>4-2030</v>
      </c>
      <c r="B2667" s="86">
        <v>47593</v>
      </c>
      <c r="C2667" t="str">
        <f t="shared" si="144"/>
        <v>SAB</v>
      </c>
      <c r="D2667" t="str">
        <f t="shared" si="145"/>
        <v>Sábado</v>
      </c>
    </row>
    <row r="2668" spans="1:4" x14ac:dyDescent="0.25">
      <c r="A2668" s="88" t="str">
        <f t="shared" si="143"/>
        <v>4-2030</v>
      </c>
      <c r="B2668" s="86">
        <v>47594</v>
      </c>
      <c r="C2668" t="str">
        <f t="shared" si="144"/>
        <v>DOM</v>
      </c>
      <c r="D2668" t="str">
        <f t="shared" si="145"/>
        <v>Domingo</v>
      </c>
    </row>
    <row r="2669" spans="1:4" x14ac:dyDescent="0.25">
      <c r="A2669" s="88" t="str">
        <f t="shared" si="143"/>
        <v>4-2030</v>
      </c>
      <c r="B2669" s="86">
        <v>47595</v>
      </c>
      <c r="C2669" t="str">
        <f t="shared" si="144"/>
        <v>L-V</v>
      </c>
      <c r="D2669" t="str">
        <f t="shared" si="145"/>
        <v>Lunes</v>
      </c>
    </row>
    <row r="2670" spans="1:4" x14ac:dyDescent="0.25">
      <c r="A2670" s="88" t="str">
        <f t="shared" si="143"/>
        <v>4-2030</v>
      </c>
      <c r="B2670" s="86">
        <v>47596</v>
      </c>
      <c r="C2670" t="str">
        <f t="shared" si="144"/>
        <v>L-V</v>
      </c>
      <c r="D2670" t="str">
        <f t="shared" si="145"/>
        <v>Martes</v>
      </c>
    </row>
    <row r="2671" spans="1:4" x14ac:dyDescent="0.25">
      <c r="A2671" s="88" t="str">
        <f t="shared" si="143"/>
        <v>4-2030</v>
      </c>
      <c r="B2671" s="86">
        <v>47597</v>
      </c>
      <c r="C2671" t="str">
        <f t="shared" si="144"/>
        <v>L-V</v>
      </c>
      <c r="D2671" t="str">
        <f t="shared" si="145"/>
        <v>Miércoles</v>
      </c>
    </row>
    <row r="2672" spans="1:4" x14ac:dyDescent="0.25">
      <c r="A2672" s="88" t="str">
        <f t="shared" si="143"/>
        <v>4-2030</v>
      </c>
      <c r="B2672" s="86">
        <v>47598</v>
      </c>
      <c r="C2672" t="str">
        <f t="shared" si="144"/>
        <v>L-V</v>
      </c>
      <c r="D2672" t="str">
        <f t="shared" si="145"/>
        <v>Jueves</v>
      </c>
    </row>
    <row r="2673" spans="1:4" x14ac:dyDescent="0.25">
      <c r="A2673" s="88" t="str">
        <f t="shared" si="143"/>
        <v>4-2030</v>
      </c>
      <c r="B2673" s="86">
        <v>47599</v>
      </c>
      <c r="C2673" t="str">
        <f t="shared" si="144"/>
        <v>L-V</v>
      </c>
      <c r="D2673" t="str">
        <f t="shared" si="145"/>
        <v>Viernes</v>
      </c>
    </row>
    <row r="2674" spans="1:4" x14ac:dyDescent="0.25">
      <c r="A2674" s="88" t="str">
        <f t="shared" si="143"/>
        <v>4-2030</v>
      </c>
      <c r="B2674" s="86">
        <v>47600</v>
      </c>
      <c r="C2674" t="str">
        <f t="shared" si="144"/>
        <v>SAB</v>
      </c>
      <c r="D2674" t="str">
        <f t="shared" si="145"/>
        <v>Sábado</v>
      </c>
    </row>
    <row r="2675" spans="1:4" x14ac:dyDescent="0.25">
      <c r="A2675" s="88" t="str">
        <f t="shared" si="143"/>
        <v>4-2030</v>
      </c>
      <c r="B2675" s="86">
        <v>47601</v>
      </c>
      <c r="C2675" t="str">
        <f t="shared" si="144"/>
        <v>DOM</v>
      </c>
      <c r="D2675" t="str">
        <f t="shared" si="145"/>
        <v>Domingo</v>
      </c>
    </row>
    <row r="2676" spans="1:4" x14ac:dyDescent="0.25">
      <c r="A2676" s="88" t="str">
        <f t="shared" si="143"/>
        <v>4-2030</v>
      </c>
      <c r="B2676" s="86">
        <v>47602</v>
      </c>
      <c r="C2676" t="str">
        <f t="shared" si="144"/>
        <v>L-V</v>
      </c>
      <c r="D2676" t="str">
        <f t="shared" si="145"/>
        <v>Lunes</v>
      </c>
    </row>
    <row r="2677" spans="1:4" x14ac:dyDescent="0.25">
      <c r="A2677" s="88" t="str">
        <f t="shared" si="143"/>
        <v>4-2030</v>
      </c>
      <c r="B2677" s="86">
        <v>47603</v>
      </c>
      <c r="C2677" t="str">
        <f t="shared" si="144"/>
        <v>L-V</v>
      </c>
      <c r="D2677" t="str">
        <f t="shared" si="145"/>
        <v>Martes</v>
      </c>
    </row>
    <row r="2678" spans="1:4" x14ac:dyDescent="0.25">
      <c r="A2678" s="88" t="str">
        <f t="shared" si="143"/>
        <v>5-2030</v>
      </c>
      <c r="B2678" s="86">
        <v>47604</v>
      </c>
      <c r="C2678" t="str">
        <f t="shared" si="144"/>
        <v>L-V</v>
      </c>
      <c r="D2678" t="str">
        <f t="shared" si="145"/>
        <v>Miércoles</v>
      </c>
    </row>
    <row r="2679" spans="1:4" x14ac:dyDescent="0.25">
      <c r="A2679" s="88" t="str">
        <f t="shared" si="143"/>
        <v>5-2030</v>
      </c>
      <c r="B2679" s="86">
        <v>47605</v>
      </c>
      <c r="C2679" t="str">
        <f t="shared" si="144"/>
        <v>L-V</v>
      </c>
      <c r="D2679" t="str">
        <f t="shared" si="145"/>
        <v>Jueves</v>
      </c>
    </row>
    <row r="2680" spans="1:4" x14ac:dyDescent="0.25">
      <c r="A2680" s="88" t="str">
        <f t="shared" si="143"/>
        <v>5-2030</v>
      </c>
      <c r="B2680" s="86">
        <v>47606</v>
      </c>
      <c r="C2680" t="str">
        <f t="shared" si="144"/>
        <v>L-V</v>
      </c>
      <c r="D2680" t="str">
        <f t="shared" si="145"/>
        <v>Viernes</v>
      </c>
    </row>
    <row r="2681" spans="1:4" x14ac:dyDescent="0.25">
      <c r="A2681" s="88" t="str">
        <f t="shared" si="143"/>
        <v>5-2030</v>
      </c>
      <c r="B2681" s="86">
        <v>47607</v>
      </c>
      <c r="C2681" t="str">
        <f t="shared" si="144"/>
        <v>SAB</v>
      </c>
      <c r="D2681" t="str">
        <f t="shared" si="145"/>
        <v>Sábado</v>
      </c>
    </row>
    <row r="2682" spans="1:4" x14ac:dyDescent="0.25">
      <c r="A2682" s="88" t="str">
        <f t="shared" si="143"/>
        <v>5-2030</v>
      </c>
      <c r="B2682" s="86">
        <v>47608</v>
      </c>
      <c r="C2682" t="str">
        <f t="shared" si="144"/>
        <v>DOM</v>
      </c>
      <c r="D2682" t="str">
        <f t="shared" si="145"/>
        <v>Domingo</v>
      </c>
    </row>
    <row r="2683" spans="1:4" x14ac:dyDescent="0.25">
      <c r="A2683" s="88" t="str">
        <f t="shared" si="143"/>
        <v>5-2030</v>
      </c>
      <c r="B2683" s="86">
        <v>47609</v>
      </c>
      <c r="C2683" t="str">
        <f t="shared" si="144"/>
        <v>L-V</v>
      </c>
      <c r="D2683" t="str">
        <f t="shared" si="145"/>
        <v>Lunes</v>
      </c>
    </row>
    <row r="2684" spans="1:4" x14ac:dyDescent="0.25">
      <c r="A2684" s="88" t="str">
        <f t="shared" si="143"/>
        <v>5-2030</v>
      </c>
      <c r="B2684" s="86">
        <v>47610</v>
      </c>
      <c r="C2684" t="str">
        <f t="shared" si="144"/>
        <v>L-V</v>
      </c>
      <c r="D2684" t="str">
        <f t="shared" si="145"/>
        <v>Martes</v>
      </c>
    </row>
    <row r="2685" spans="1:4" x14ac:dyDescent="0.25">
      <c r="A2685" s="88" t="str">
        <f t="shared" si="143"/>
        <v>5-2030</v>
      </c>
      <c r="B2685" s="86">
        <v>47611</v>
      </c>
      <c r="C2685" t="str">
        <f t="shared" si="144"/>
        <v>L-V</v>
      </c>
      <c r="D2685" t="str">
        <f t="shared" si="145"/>
        <v>Miércoles</v>
      </c>
    </row>
    <row r="2686" spans="1:4" x14ac:dyDescent="0.25">
      <c r="A2686" s="88" t="str">
        <f t="shared" si="143"/>
        <v>5-2030</v>
      </c>
      <c r="B2686" s="86">
        <v>47612</v>
      </c>
      <c r="C2686" t="str">
        <f t="shared" si="144"/>
        <v>L-V</v>
      </c>
      <c r="D2686" t="str">
        <f t="shared" si="145"/>
        <v>Jueves</v>
      </c>
    </row>
    <row r="2687" spans="1:4" x14ac:dyDescent="0.25">
      <c r="A2687" s="88" t="str">
        <f t="shared" si="143"/>
        <v>5-2030</v>
      </c>
      <c r="B2687" s="86">
        <v>47613</v>
      </c>
      <c r="C2687" t="str">
        <f t="shared" si="144"/>
        <v>L-V</v>
      </c>
      <c r="D2687" t="str">
        <f t="shared" si="145"/>
        <v>Viernes</v>
      </c>
    </row>
    <row r="2688" spans="1:4" x14ac:dyDescent="0.25">
      <c r="A2688" s="88" t="str">
        <f t="shared" si="143"/>
        <v>5-2030</v>
      </c>
      <c r="B2688" s="86">
        <v>47614</v>
      </c>
      <c r="C2688" t="str">
        <f t="shared" si="144"/>
        <v>SAB</v>
      </c>
      <c r="D2688" t="str">
        <f t="shared" si="145"/>
        <v>Sábado</v>
      </c>
    </row>
    <row r="2689" spans="1:4" x14ac:dyDescent="0.25">
      <c r="A2689" s="88" t="str">
        <f t="shared" si="143"/>
        <v>5-2030</v>
      </c>
      <c r="B2689" s="86">
        <v>47615</v>
      </c>
      <c r="C2689" t="str">
        <f t="shared" si="144"/>
        <v>DOM</v>
      </c>
      <c r="D2689" t="str">
        <f t="shared" si="145"/>
        <v>Domingo</v>
      </c>
    </row>
    <row r="2690" spans="1:4" x14ac:dyDescent="0.25">
      <c r="A2690" s="88" t="str">
        <f t="shared" ref="A2690:A2753" si="146">MONTH(B2690)&amp;"-"&amp;YEAR(B2690)</f>
        <v>5-2030</v>
      </c>
      <c r="B2690" s="86">
        <v>47616</v>
      </c>
      <c r="C2690" t="str">
        <f t="shared" si="144"/>
        <v>L-V</v>
      </c>
      <c r="D2690" t="str">
        <f t="shared" si="145"/>
        <v>Lunes</v>
      </c>
    </row>
    <row r="2691" spans="1:4" x14ac:dyDescent="0.25">
      <c r="A2691" s="88" t="str">
        <f t="shared" si="146"/>
        <v>5-2030</v>
      </c>
      <c r="B2691" s="86">
        <v>47617</v>
      </c>
      <c r="C2691" t="str">
        <f t="shared" ref="C2691:C2754" si="147">VLOOKUP(WEEKDAY(B2691,2),$F$1:$H$7,2)</f>
        <v>L-V</v>
      </c>
      <c r="D2691" t="str">
        <f t="shared" ref="D2691:D2754" si="148">VLOOKUP(WEEKDAY($B2691,2),$F$1:$H$7,3)</f>
        <v>Martes</v>
      </c>
    </row>
    <row r="2692" spans="1:4" x14ac:dyDescent="0.25">
      <c r="A2692" s="88" t="str">
        <f t="shared" si="146"/>
        <v>5-2030</v>
      </c>
      <c r="B2692" s="86">
        <v>47618</v>
      </c>
      <c r="C2692" t="str">
        <f t="shared" si="147"/>
        <v>L-V</v>
      </c>
      <c r="D2692" t="str">
        <f t="shared" si="148"/>
        <v>Miércoles</v>
      </c>
    </row>
    <row r="2693" spans="1:4" x14ac:dyDescent="0.25">
      <c r="A2693" s="88" t="str">
        <f t="shared" si="146"/>
        <v>5-2030</v>
      </c>
      <c r="B2693" s="86">
        <v>47619</v>
      </c>
      <c r="C2693" t="str">
        <f t="shared" si="147"/>
        <v>L-V</v>
      </c>
      <c r="D2693" t="str">
        <f t="shared" si="148"/>
        <v>Jueves</v>
      </c>
    </row>
    <row r="2694" spans="1:4" x14ac:dyDescent="0.25">
      <c r="A2694" s="88" t="str">
        <f t="shared" si="146"/>
        <v>5-2030</v>
      </c>
      <c r="B2694" s="86">
        <v>47620</v>
      </c>
      <c r="C2694" t="str">
        <f t="shared" si="147"/>
        <v>L-V</v>
      </c>
      <c r="D2694" t="str">
        <f t="shared" si="148"/>
        <v>Viernes</v>
      </c>
    </row>
    <row r="2695" spans="1:4" x14ac:dyDescent="0.25">
      <c r="A2695" s="88" t="str">
        <f t="shared" si="146"/>
        <v>5-2030</v>
      </c>
      <c r="B2695" s="86">
        <v>47621</v>
      </c>
      <c r="C2695" t="str">
        <f t="shared" si="147"/>
        <v>SAB</v>
      </c>
      <c r="D2695" t="str">
        <f t="shared" si="148"/>
        <v>Sábado</v>
      </c>
    </row>
    <row r="2696" spans="1:4" x14ac:dyDescent="0.25">
      <c r="A2696" s="88" t="str">
        <f t="shared" si="146"/>
        <v>5-2030</v>
      </c>
      <c r="B2696" s="86">
        <v>47622</v>
      </c>
      <c r="C2696" t="str">
        <f t="shared" si="147"/>
        <v>DOM</v>
      </c>
      <c r="D2696" t="str">
        <f t="shared" si="148"/>
        <v>Domingo</v>
      </c>
    </row>
    <row r="2697" spans="1:4" x14ac:dyDescent="0.25">
      <c r="A2697" s="88" t="str">
        <f t="shared" si="146"/>
        <v>5-2030</v>
      </c>
      <c r="B2697" s="86">
        <v>47623</v>
      </c>
      <c r="C2697" t="str">
        <f t="shared" si="147"/>
        <v>L-V</v>
      </c>
      <c r="D2697" t="str">
        <f t="shared" si="148"/>
        <v>Lunes</v>
      </c>
    </row>
    <row r="2698" spans="1:4" x14ac:dyDescent="0.25">
      <c r="A2698" s="88" t="str">
        <f t="shared" si="146"/>
        <v>5-2030</v>
      </c>
      <c r="B2698" s="86">
        <v>47624</v>
      </c>
      <c r="C2698" t="str">
        <f t="shared" si="147"/>
        <v>L-V</v>
      </c>
      <c r="D2698" t="str">
        <f t="shared" si="148"/>
        <v>Martes</v>
      </c>
    </row>
    <row r="2699" spans="1:4" x14ac:dyDescent="0.25">
      <c r="A2699" s="88" t="str">
        <f t="shared" si="146"/>
        <v>5-2030</v>
      </c>
      <c r="B2699" s="86">
        <v>47625</v>
      </c>
      <c r="C2699" t="str">
        <f t="shared" si="147"/>
        <v>L-V</v>
      </c>
      <c r="D2699" t="str">
        <f t="shared" si="148"/>
        <v>Miércoles</v>
      </c>
    </row>
    <row r="2700" spans="1:4" x14ac:dyDescent="0.25">
      <c r="A2700" s="88" t="str">
        <f t="shared" si="146"/>
        <v>5-2030</v>
      </c>
      <c r="B2700" s="86">
        <v>47626</v>
      </c>
      <c r="C2700" t="str">
        <f t="shared" si="147"/>
        <v>L-V</v>
      </c>
      <c r="D2700" t="str">
        <f t="shared" si="148"/>
        <v>Jueves</v>
      </c>
    </row>
    <row r="2701" spans="1:4" x14ac:dyDescent="0.25">
      <c r="A2701" s="88" t="str">
        <f t="shared" si="146"/>
        <v>5-2030</v>
      </c>
      <c r="B2701" s="86">
        <v>47627</v>
      </c>
      <c r="C2701" t="str">
        <f t="shared" si="147"/>
        <v>L-V</v>
      </c>
      <c r="D2701" t="str">
        <f t="shared" si="148"/>
        <v>Viernes</v>
      </c>
    </row>
    <row r="2702" spans="1:4" x14ac:dyDescent="0.25">
      <c r="A2702" s="88" t="str">
        <f t="shared" si="146"/>
        <v>5-2030</v>
      </c>
      <c r="B2702" s="86">
        <v>47628</v>
      </c>
      <c r="C2702" t="str">
        <f t="shared" si="147"/>
        <v>SAB</v>
      </c>
      <c r="D2702" t="str">
        <f t="shared" si="148"/>
        <v>Sábado</v>
      </c>
    </row>
    <row r="2703" spans="1:4" x14ac:dyDescent="0.25">
      <c r="A2703" s="88" t="str">
        <f t="shared" si="146"/>
        <v>5-2030</v>
      </c>
      <c r="B2703" s="86">
        <v>47629</v>
      </c>
      <c r="C2703" t="str">
        <f t="shared" si="147"/>
        <v>DOM</v>
      </c>
      <c r="D2703" t="str">
        <f t="shared" si="148"/>
        <v>Domingo</v>
      </c>
    </row>
    <row r="2704" spans="1:4" x14ac:dyDescent="0.25">
      <c r="A2704" s="88" t="str">
        <f t="shared" si="146"/>
        <v>5-2030</v>
      </c>
      <c r="B2704" s="86">
        <v>47630</v>
      </c>
      <c r="C2704" t="str">
        <f t="shared" si="147"/>
        <v>L-V</v>
      </c>
      <c r="D2704" t="str">
        <f t="shared" si="148"/>
        <v>Lunes</v>
      </c>
    </row>
    <row r="2705" spans="1:4" x14ac:dyDescent="0.25">
      <c r="A2705" s="88" t="str">
        <f t="shared" si="146"/>
        <v>5-2030</v>
      </c>
      <c r="B2705" s="86">
        <v>47631</v>
      </c>
      <c r="C2705" t="str">
        <f t="shared" si="147"/>
        <v>L-V</v>
      </c>
      <c r="D2705" t="str">
        <f t="shared" si="148"/>
        <v>Martes</v>
      </c>
    </row>
    <row r="2706" spans="1:4" x14ac:dyDescent="0.25">
      <c r="A2706" s="88" t="str">
        <f t="shared" si="146"/>
        <v>5-2030</v>
      </c>
      <c r="B2706" s="86">
        <v>47632</v>
      </c>
      <c r="C2706" t="str">
        <f t="shared" si="147"/>
        <v>L-V</v>
      </c>
      <c r="D2706" t="str">
        <f t="shared" si="148"/>
        <v>Miércoles</v>
      </c>
    </row>
    <row r="2707" spans="1:4" x14ac:dyDescent="0.25">
      <c r="A2707" s="88" t="str">
        <f t="shared" si="146"/>
        <v>5-2030</v>
      </c>
      <c r="B2707" s="86">
        <v>47633</v>
      </c>
      <c r="C2707" t="str">
        <f t="shared" si="147"/>
        <v>L-V</v>
      </c>
      <c r="D2707" t="str">
        <f t="shared" si="148"/>
        <v>Jueves</v>
      </c>
    </row>
    <row r="2708" spans="1:4" x14ac:dyDescent="0.25">
      <c r="A2708" s="88" t="str">
        <f t="shared" si="146"/>
        <v>5-2030</v>
      </c>
      <c r="B2708" s="86">
        <v>47634</v>
      </c>
      <c r="C2708" t="str">
        <f t="shared" si="147"/>
        <v>L-V</v>
      </c>
      <c r="D2708" t="str">
        <f t="shared" si="148"/>
        <v>Viernes</v>
      </c>
    </row>
    <row r="2709" spans="1:4" x14ac:dyDescent="0.25">
      <c r="A2709" s="88" t="str">
        <f t="shared" si="146"/>
        <v>6-2030</v>
      </c>
      <c r="B2709" s="86">
        <v>47635</v>
      </c>
      <c r="C2709" t="str">
        <f t="shared" si="147"/>
        <v>SAB</v>
      </c>
      <c r="D2709" t="str">
        <f t="shared" si="148"/>
        <v>Sábado</v>
      </c>
    </row>
    <row r="2710" spans="1:4" x14ac:dyDescent="0.25">
      <c r="A2710" s="88" t="str">
        <f t="shared" si="146"/>
        <v>6-2030</v>
      </c>
      <c r="B2710" s="86">
        <v>47636</v>
      </c>
      <c r="C2710" t="str">
        <f t="shared" si="147"/>
        <v>DOM</v>
      </c>
      <c r="D2710" t="str">
        <f t="shared" si="148"/>
        <v>Domingo</v>
      </c>
    </row>
    <row r="2711" spans="1:4" x14ac:dyDescent="0.25">
      <c r="A2711" s="88" t="str">
        <f t="shared" si="146"/>
        <v>6-2030</v>
      </c>
      <c r="B2711" s="86">
        <v>47637</v>
      </c>
      <c r="C2711" t="str">
        <f t="shared" si="147"/>
        <v>L-V</v>
      </c>
      <c r="D2711" t="str">
        <f t="shared" si="148"/>
        <v>Lunes</v>
      </c>
    </row>
    <row r="2712" spans="1:4" x14ac:dyDescent="0.25">
      <c r="A2712" s="88" t="str">
        <f t="shared" si="146"/>
        <v>6-2030</v>
      </c>
      <c r="B2712" s="86">
        <v>47638</v>
      </c>
      <c r="C2712" t="str">
        <f t="shared" si="147"/>
        <v>L-V</v>
      </c>
      <c r="D2712" t="str">
        <f t="shared" si="148"/>
        <v>Martes</v>
      </c>
    </row>
    <row r="2713" spans="1:4" x14ac:dyDescent="0.25">
      <c r="A2713" s="88" t="str">
        <f t="shared" si="146"/>
        <v>6-2030</v>
      </c>
      <c r="B2713" s="86">
        <v>47639</v>
      </c>
      <c r="C2713" t="str">
        <f t="shared" si="147"/>
        <v>L-V</v>
      </c>
      <c r="D2713" t="str">
        <f t="shared" si="148"/>
        <v>Miércoles</v>
      </c>
    </row>
    <row r="2714" spans="1:4" x14ac:dyDescent="0.25">
      <c r="A2714" s="88" t="str">
        <f t="shared" si="146"/>
        <v>6-2030</v>
      </c>
      <c r="B2714" s="86">
        <v>47640</v>
      </c>
      <c r="C2714" t="str">
        <f t="shared" si="147"/>
        <v>L-V</v>
      </c>
      <c r="D2714" t="str">
        <f t="shared" si="148"/>
        <v>Jueves</v>
      </c>
    </row>
    <row r="2715" spans="1:4" x14ac:dyDescent="0.25">
      <c r="A2715" s="88" t="str">
        <f t="shared" si="146"/>
        <v>6-2030</v>
      </c>
      <c r="B2715" s="86">
        <v>47641</v>
      </c>
      <c r="C2715" t="str">
        <f t="shared" si="147"/>
        <v>L-V</v>
      </c>
      <c r="D2715" t="str">
        <f t="shared" si="148"/>
        <v>Viernes</v>
      </c>
    </row>
    <row r="2716" spans="1:4" x14ac:dyDescent="0.25">
      <c r="A2716" s="88" t="str">
        <f t="shared" si="146"/>
        <v>6-2030</v>
      </c>
      <c r="B2716" s="86">
        <v>47642</v>
      </c>
      <c r="C2716" t="str">
        <f t="shared" si="147"/>
        <v>SAB</v>
      </c>
      <c r="D2716" t="str">
        <f t="shared" si="148"/>
        <v>Sábado</v>
      </c>
    </row>
    <row r="2717" spans="1:4" x14ac:dyDescent="0.25">
      <c r="A2717" s="88" t="str">
        <f t="shared" si="146"/>
        <v>6-2030</v>
      </c>
      <c r="B2717" s="86">
        <v>47643</v>
      </c>
      <c r="C2717" t="str">
        <f t="shared" si="147"/>
        <v>DOM</v>
      </c>
      <c r="D2717" t="str">
        <f t="shared" si="148"/>
        <v>Domingo</v>
      </c>
    </row>
    <row r="2718" spans="1:4" x14ac:dyDescent="0.25">
      <c r="A2718" s="88" t="str">
        <f t="shared" si="146"/>
        <v>6-2030</v>
      </c>
      <c r="B2718" s="86">
        <v>47644</v>
      </c>
      <c r="C2718" t="str">
        <f t="shared" si="147"/>
        <v>L-V</v>
      </c>
      <c r="D2718" t="str">
        <f t="shared" si="148"/>
        <v>Lunes</v>
      </c>
    </row>
    <row r="2719" spans="1:4" x14ac:dyDescent="0.25">
      <c r="A2719" s="88" t="str">
        <f t="shared" si="146"/>
        <v>6-2030</v>
      </c>
      <c r="B2719" s="86">
        <v>47645</v>
      </c>
      <c r="C2719" t="str">
        <f t="shared" si="147"/>
        <v>L-V</v>
      </c>
      <c r="D2719" t="str">
        <f t="shared" si="148"/>
        <v>Martes</v>
      </c>
    </row>
    <row r="2720" spans="1:4" x14ac:dyDescent="0.25">
      <c r="A2720" s="88" t="str">
        <f t="shared" si="146"/>
        <v>6-2030</v>
      </c>
      <c r="B2720" s="86">
        <v>47646</v>
      </c>
      <c r="C2720" t="str">
        <f t="shared" si="147"/>
        <v>L-V</v>
      </c>
      <c r="D2720" t="str">
        <f t="shared" si="148"/>
        <v>Miércoles</v>
      </c>
    </row>
    <row r="2721" spans="1:4" x14ac:dyDescent="0.25">
      <c r="A2721" s="88" t="str">
        <f t="shared" si="146"/>
        <v>6-2030</v>
      </c>
      <c r="B2721" s="86">
        <v>47647</v>
      </c>
      <c r="C2721" t="str">
        <f t="shared" si="147"/>
        <v>L-V</v>
      </c>
      <c r="D2721" t="str">
        <f t="shared" si="148"/>
        <v>Jueves</v>
      </c>
    </row>
    <row r="2722" spans="1:4" x14ac:dyDescent="0.25">
      <c r="A2722" s="88" t="str">
        <f t="shared" si="146"/>
        <v>6-2030</v>
      </c>
      <c r="B2722" s="86">
        <v>47648</v>
      </c>
      <c r="C2722" t="str">
        <f t="shared" si="147"/>
        <v>L-V</v>
      </c>
      <c r="D2722" t="str">
        <f t="shared" si="148"/>
        <v>Viernes</v>
      </c>
    </row>
    <row r="2723" spans="1:4" x14ac:dyDescent="0.25">
      <c r="A2723" s="88" t="str">
        <f t="shared" si="146"/>
        <v>6-2030</v>
      </c>
      <c r="B2723" s="86">
        <v>47649</v>
      </c>
      <c r="C2723" t="str">
        <f t="shared" si="147"/>
        <v>SAB</v>
      </c>
      <c r="D2723" t="str">
        <f t="shared" si="148"/>
        <v>Sábado</v>
      </c>
    </row>
    <row r="2724" spans="1:4" x14ac:dyDescent="0.25">
      <c r="A2724" s="88" t="str">
        <f t="shared" si="146"/>
        <v>6-2030</v>
      </c>
      <c r="B2724" s="86">
        <v>47650</v>
      </c>
      <c r="C2724" t="str">
        <f t="shared" si="147"/>
        <v>DOM</v>
      </c>
      <c r="D2724" t="str">
        <f t="shared" si="148"/>
        <v>Domingo</v>
      </c>
    </row>
    <row r="2725" spans="1:4" x14ac:dyDescent="0.25">
      <c r="A2725" s="88" t="str">
        <f t="shared" si="146"/>
        <v>6-2030</v>
      </c>
      <c r="B2725" s="86">
        <v>47651</v>
      </c>
      <c r="C2725" t="str">
        <f t="shared" si="147"/>
        <v>L-V</v>
      </c>
      <c r="D2725" t="str">
        <f t="shared" si="148"/>
        <v>Lunes</v>
      </c>
    </row>
    <row r="2726" spans="1:4" x14ac:dyDescent="0.25">
      <c r="A2726" s="88" t="str">
        <f t="shared" si="146"/>
        <v>6-2030</v>
      </c>
      <c r="B2726" s="86">
        <v>47652</v>
      </c>
      <c r="C2726" t="str">
        <f t="shared" si="147"/>
        <v>L-V</v>
      </c>
      <c r="D2726" t="str">
        <f t="shared" si="148"/>
        <v>Martes</v>
      </c>
    </row>
    <row r="2727" spans="1:4" x14ac:dyDescent="0.25">
      <c r="A2727" s="88" t="str">
        <f t="shared" si="146"/>
        <v>6-2030</v>
      </c>
      <c r="B2727" s="86">
        <v>47653</v>
      </c>
      <c r="C2727" t="str">
        <f t="shared" si="147"/>
        <v>L-V</v>
      </c>
      <c r="D2727" t="str">
        <f t="shared" si="148"/>
        <v>Miércoles</v>
      </c>
    </row>
    <row r="2728" spans="1:4" x14ac:dyDescent="0.25">
      <c r="A2728" s="88" t="str">
        <f t="shared" si="146"/>
        <v>6-2030</v>
      </c>
      <c r="B2728" s="86">
        <v>47654</v>
      </c>
      <c r="C2728" t="str">
        <f t="shared" si="147"/>
        <v>L-V</v>
      </c>
      <c r="D2728" t="str">
        <f t="shared" si="148"/>
        <v>Jueves</v>
      </c>
    </row>
    <row r="2729" spans="1:4" x14ac:dyDescent="0.25">
      <c r="A2729" s="88" t="str">
        <f t="shared" si="146"/>
        <v>6-2030</v>
      </c>
      <c r="B2729" s="86">
        <v>47655</v>
      </c>
      <c r="C2729" t="str">
        <f t="shared" si="147"/>
        <v>L-V</v>
      </c>
      <c r="D2729" t="str">
        <f t="shared" si="148"/>
        <v>Viernes</v>
      </c>
    </row>
    <row r="2730" spans="1:4" x14ac:dyDescent="0.25">
      <c r="A2730" s="88" t="str">
        <f t="shared" si="146"/>
        <v>6-2030</v>
      </c>
      <c r="B2730" s="86">
        <v>47656</v>
      </c>
      <c r="C2730" t="str">
        <f t="shared" si="147"/>
        <v>SAB</v>
      </c>
      <c r="D2730" t="str">
        <f t="shared" si="148"/>
        <v>Sábado</v>
      </c>
    </row>
    <row r="2731" spans="1:4" x14ac:dyDescent="0.25">
      <c r="A2731" s="88" t="str">
        <f t="shared" si="146"/>
        <v>6-2030</v>
      </c>
      <c r="B2731" s="86">
        <v>47657</v>
      </c>
      <c r="C2731" t="str">
        <f t="shared" si="147"/>
        <v>DOM</v>
      </c>
      <c r="D2731" t="str">
        <f t="shared" si="148"/>
        <v>Domingo</v>
      </c>
    </row>
    <row r="2732" spans="1:4" x14ac:dyDescent="0.25">
      <c r="A2732" s="88" t="str">
        <f t="shared" si="146"/>
        <v>6-2030</v>
      </c>
      <c r="B2732" s="86">
        <v>47658</v>
      </c>
      <c r="C2732" t="str">
        <f t="shared" si="147"/>
        <v>L-V</v>
      </c>
      <c r="D2732" t="str">
        <f t="shared" si="148"/>
        <v>Lunes</v>
      </c>
    </row>
    <row r="2733" spans="1:4" x14ac:dyDescent="0.25">
      <c r="A2733" s="88" t="str">
        <f t="shared" si="146"/>
        <v>6-2030</v>
      </c>
      <c r="B2733" s="86">
        <v>47659</v>
      </c>
      <c r="C2733" t="str">
        <f t="shared" si="147"/>
        <v>L-V</v>
      </c>
      <c r="D2733" t="str">
        <f t="shared" si="148"/>
        <v>Martes</v>
      </c>
    </row>
    <row r="2734" spans="1:4" x14ac:dyDescent="0.25">
      <c r="A2734" s="88" t="str">
        <f t="shared" si="146"/>
        <v>6-2030</v>
      </c>
      <c r="B2734" s="86">
        <v>47660</v>
      </c>
      <c r="C2734" t="str">
        <f t="shared" si="147"/>
        <v>L-V</v>
      </c>
      <c r="D2734" t="str">
        <f t="shared" si="148"/>
        <v>Miércoles</v>
      </c>
    </row>
    <row r="2735" spans="1:4" x14ac:dyDescent="0.25">
      <c r="A2735" s="88" t="str">
        <f t="shared" si="146"/>
        <v>6-2030</v>
      </c>
      <c r="B2735" s="86">
        <v>47661</v>
      </c>
      <c r="C2735" t="str">
        <f t="shared" si="147"/>
        <v>L-V</v>
      </c>
      <c r="D2735" t="str">
        <f t="shared" si="148"/>
        <v>Jueves</v>
      </c>
    </row>
    <row r="2736" spans="1:4" x14ac:dyDescent="0.25">
      <c r="A2736" s="88" t="str">
        <f t="shared" si="146"/>
        <v>6-2030</v>
      </c>
      <c r="B2736" s="86">
        <v>47662</v>
      </c>
      <c r="C2736" t="str">
        <f t="shared" si="147"/>
        <v>L-V</v>
      </c>
      <c r="D2736" t="str">
        <f t="shared" si="148"/>
        <v>Viernes</v>
      </c>
    </row>
    <row r="2737" spans="1:4" x14ac:dyDescent="0.25">
      <c r="A2737" s="88" t="str">
        <f t="shared" si="146"/>
        <v>6-2030</v>
      </c>
      <c r="B2737" s="86">
        <v>47663</v>
      </c>
      <c r="C2737" t="str">
        <f t="shared" si="147"/>
        <v>SAB</v>
      </c>
      <c r="D2737" t="str">
        <f t="shared" si="148"/>
        <v>Sábado</v>
      </c>
    </row>
    <row r="2738" spans="1:4" x14ac:dyDescent="0.25">
      <c r="A2738" s="88" t="str">
        <f t="shared" si="146"/>
        <v>6-2030</v>
      </c>
      <c r="B2738" s="86">
        <v>47664</v>
      </c>
      <c r="C2738" t="str">
        <f t="shared" si="147"/>
        <v>DOM</v>
      </c>
      <c r="D2738" t="str">
        <f t="shared" si="148"/>
        <v>Domingo</v>
      </c>
    </row>
    <row r="2739" spans="1:4" x14ac:dyDescent="0.25">
      <c r="A2739" s="88" t="str">
        <f t="shared" si="146"/>
        <v>7-2030</v>
      </c>
      <c r="B2739" s="86">
        <v>47665</v>
      </c>
      <c r="C2739" t="str">
        <f t="shared" si="147"/>
        <v>L-V</v>
      </c>
      <c r="D2739" t="str">
        <f t="shared" si="148"/>
        <v>Lunes</v>
      </c>
    </row>
    <row r="2740" spans="1:4" x14ac:dyDescent="0.25">
      <c r="A2740" s="88" t="str">
        <f t="shared" si="146"/>
        <v>7-2030</v>
      </c>
      <c r="B2740" s="86">
        <v>47666</v>
      </c>
      <c r="C2740" t="str">
        <f t="shared" si="147"/>
        <v>L-V</v>
      </c>
      <c r="D2740" t="str">
        <f t="shared" si="148"/>
        <v>Martes</v>
      </c>
    </row>
    <row r="2741" spans="1:4" x14ac:dyDescent="0.25">
      <c r="A2741" s="88" t="str">
        <f t="shared" si="146"/>
        <v>7-2030</v>
      </c>
      <c r="B2741" s="86">
        <v>47667</v>
      </c>
      <c r="C2741" t="str">
        <f t="shared" si="147"/>
        <v>L-V</v>
      </c>
      <c r="D2741" t="str">
        <f t="shared" si="148"/>
        <v>Miércoles</v>
      </c>
    </row>
    <row r="2742" spans="1:4" x14ac:dyDescent="0.25">
      <c r="A2742" s="88" t="str">
        <f t="shared" si="146"/>
        <v>7-2030</v>
      </c>
      <c r="B2742" s="86">
        <v>47668</v>
      </c>
      <c r="C2742" t="str">
        <f t="shared" si="147"/>
        <v>L-V</v>
      </c>
      <c r="D2742" t="str">
        <f t="shared" si="148"/>
        <v>Jueves</v>
      </c>
    </row>
    <row r="2743" spans="1:4" x14ac:dyDescent="0.25">
      <c r="A2743" s="88" t="str">
        <f t="shared" si="146"/>
        <v>7-2030</v>
      </c>
      <c r="B2743" s="86">
        <v>47669</v>
      </c>
      <c r="C2743" t="str">
        <f t="shared" si="147"/>
        <v>L-V</v>
      </c>
      <c r="D2743" t="str">
        <f t="shared" si="148"/>
        <v>Viernes</v>
      </c>
    </row>
    <row r="2744" spans="1:4" x14ac:dyDescent="0.25">
      <c r="A2744" s="88" t="str">
        <f t="shared" si="146"/>
        <v>7-2030</v>
      </c>
      <c r="B2744" s="86">
        <v>47670</v>
      </c>
      <c r="C2744" t="str">
        <f t="shared" si="147"/>
        <v>SAB</v>
      </c>
      <c r="D2744" t="str">
        <f t="shared" si="148"/>
        <v>Sábado</v>
      </c>
    </row>
    <row r="2745" spans="1:4" x14ac:dyDescent="0.25">
      <c r="A2745" s="88" t="str">
        <f t="shared" si="146"/>
        <v>7-2030</v>
      </c>
      <c r="B2745" s="86">
        <v>47671</v>
      </c>
      <c r="C2745" t="str">
        <f t="shared" si="147"/>
        <v>DOM</v>
      </c>
      <c r="D2745" t="str">
        <f t="shared" si="148"/>
        <v>Domingo</v>
      </c>
    </row>
    <row r="2746" spans="1:4" x14ac:dyDescent="0.25">
      <c r="A2746" s="88" t="str">
        <f t="shared" si="146"/>
        <v>7-2030</v>
      </c>
      <c r="B2746" s="86">
        <v>47672</v>
      </c>
      <c r="C2746" t="str">
        <f t="shared" si="147"/>
        <v>L-V</v>
      </c>
      <c r="D2746" t="str">
        <f t="shared" si="148"/>
        <v>Lunes</v>
      </c>
    </row>
    <row r="2747" spans="1:4" x14ac:dyDescent="0.25">
      <c r="A2747" s="88" t="str">
        <f t="shared" si="146"/>
        <v>7-2030</v>
      </c>
      <c r="B2747" s="86">
        <v>47673</v>
      </c>
      <c r="C2747" t="str">
        <f t="shared" si="147"/>
        <v>L-V</v>
      </c>
      <c r="D2747" t="str">
        <f t="shared" si="148"/>
        <v>Martes</v>
      </c>
    </row>
    <row r="2748" spans="1:4" x14ac:dyDescent="0.25">
      <c r="A2748" s="88" t="str">
        <f t="shared" si="146"/>
        <v>7-2030</v>
      </c>
      <c r="B2748" s="86">
        <v>47674</v>
      </c>
      <c r="C2748" t="str">
        <f t="shared" si="147"/>
        <v>L-V</v>
      </c>
      <c r="D2748" t="str">
        <f t="shared" si="148"/>
        <v>Miércoles</v>
      </c>
    </row>
    <row r="2749" spans="1:4" x14ac:dyDescent="0.25">
      <c r="A2749" s="88" t="str">
        <f t="shared" si="146"/>
        <v>7-2030</v>
      </c>
      <c r="B2749" s="86">
        <v>47675</v>
      </c>
      <c r="C2749" t="str">
        <f t="shared" si="147"/>
        <v>L-V</v>
      </c>
      <c r="D2749" t="str">
        <f t="shared" si="148"/>
        <v>Jueves</v>
      </c>
    </row>
    <row r="2750" spans="1:4" x14ac:dyDescent="0.25">
      <c r="A2750" s="88" t="str">
        <f t="shared" si="146"/>
        <v>7-2030</v>
      </c>
      <c r="B2750" s="86">
        <v>47676</v>
      </c>
      <c r="C2750" t="str">
        <f t="shared" si="147"/>
        <v>L-V</v>
      </c>
      <c r="D2750" t="str">
        <f t="shared" si="148"/>
        <v>Viernes</v>
      </c>
    </row>
    <row r="2751" spans="1:4" x14ac:dyDescent="0.25">
      <c r="A2751" s="88" t="str">
        <f t="shared" si="146"/>
        <v>7-2030</v>
      </c>
      <c r="B2751" s="86">
        <v>47677</v>
      </c>
      <c r="C2751" t="str">
        <f t="shared" si="147"/>
        <v>SAB</v>
      </c>
      <c r="D2751" t="str">
        <f t="shared" si="148"/>
        <v>Sábado</v>
      </c>
    </row>
    <row r="2752" spans="1:4" x14ac:dyDescent="0.25">
      <c r="A2752" s="88" t="str">
        <f t="shared" si="146"/>
        <v>7-2030</v>
      </c>
      <c r="B2752" s="86">
        <v>47678</v>
      </c>
      <c r="C2752" t="str">
        <f t="shared" si="147"/>
        <v>DOM</v>
      </c>
      <c r="D2752" t="str">
        <f t="shared" si="148"/>
        <v>Domingo</v>
      </c>
    </row>
    <row r="2753" spans="1:4" x14ac:dyDescent="0.25">
      <c r="A2753" s="88" t="str">
        <f t="shared" si="146"/>
        <v>7-2030</v>
      </c>
      <c r="B2753" s="86">
        <v>47679</v>
      </c>
      <c r="C2753" t="str">
        <f t="shared" si="147"/>
        <v>L-V</v>
      </c>
      <c r="D2753" t="str">
        <f t="shared" si="148"/>
        <v>Lunes</v>
      </c>
    </row>
    <row r="2754" spans="1:4" x14ac:dyDescent="0.25">
      <c r="A2754" s="88" t="str">
        <f t="shared" ref="A2754:A2817" si="149">MONTH(B2754)&amp;"-"&amp;YEAR(B2754)</f>
        <v>7-2030</v>
      </c>
      <c r="B2754" s="86">
        <v>47680</v>
      </c>
      <c r="C2754" t="str">
        <f t="shared" si="147"/>
        <v>L-V</v>
      </c>
      <c r="D2754" t="str">
        <f t="shared" si="148"/>
        <v>Martes</v>
      </c>
    </row>
    <row r="2755" spans="1:4" x14ac:dyDescent="0.25">
      <c r="A2755" s="88" t="str">
        <f t="shared" si="149"/>
        <v>7-2030</v>
      </c>
      <c r="B2755" s="86">
        <v>47681</v>
      </c>
      <c r="C2755" t="str">
        <f t="shared" ref="C2755:C2818" si="150">VLOOKUP(WEEKDAY(B2755,2),$F$1:$H$7,2)</f>
        <v>L-V</v>
      </c>
      <c r="D2755" t="str">
        <f t="shared" ref="D2755:D2818" si="151">VLOOKUP(WEEKDAY($B2755,2),$F$1:$H$7,3)</f>
        <v>Miércoles</v>
      </c>
    </row>
    <row r="2756" spans="1:4" x14ac:dyDescent="0.25">
      <c r="A2756" s="88" t="str">
        <f t="shared" si="149"/>
        <v>7-2030</v>
      </c>
      <c r="B2756" s="86">
        <v>47682</v>
      </c>
      <c r="C2756" t="str">
        <f t="shared" si="150"/>
        <v>L-V</v>
      </c>
      <c r="D2756" t="str">
        <f t="shared" si="151"/>
        <v>Jueves</v>
      </c>
    </row>
    <row r="2757" spans="1:4" x14ac:dyDescent="0.25">
      <c r="A2757" s="88" t="str">
        <f t="shared" si="149"/>
        <v>7-2030</v>
      </c>
      <c r="B2757" s="86">
        <v>47683</v>
      </c>
      <c r="C2757" t="str">
        <f t="shared" si="150"/>
        <v>L-V</v>
      </c>
      <c r="D2757" t="str">
        <f t="shared" si="151"/>
        <v>Viernes</v>
      </c>
    </row>
    <row r="2758" spans="1:4" x14ac:dyDescent="0.25">
      <c r="A2758" s="88" t="str">
        <f t="shared" si="149"/>
        <v>7-2030</v>
      </c>
      <c r="B2758" s="86">
        <v>47684</v>
      </c>
      <c r="C2758" t="str">
        <f t="shared" si="150"/>
        <v>SAB</v>
      </c>
      <c r="D2758" t="str">
        <f t="shared" si="151"/>
        <v>Sábado</v>
      </c>
    </row>
    <row r="2759" spans="1:4" x14ac:dyDescent="0.25">
      <c r="A2759" s="88" t="str">
        <f t="shared" si="149"/>
        <v>7-2030</v>
      </c>
      <c r="B2759" s="86">
        <v>47685</v>
      </c>
      <c r="C2759" t="str">
        <f t="shared" si="150"/>
        <v>DOM</v>
      </c>
      <c r="D2759" t="str">
        <f t="shared" si="151"/>
        <v>Domingo</v>
      </c>
    </row>
    <row r="2760" spans="1:4" x14ac:dyDescent="0.25">
      <c r="A2760" s="88" t="str">
        <f t="shared" si="149"/>
        <v>7-2030</v>
      </c>
      <c r="B2760" s="86">
        <v>47686</v>
      </c>
      <c r="C2760" t="str">
        <f t="shared" si="150"/>
        <v>L-V</v>
      </c>
      <c r="D2760" t="str">
        <f t="shared" si="151"/>
        <v>Lunes</v>
      </c>
    </row>
    <row r="2761" spans="1:4" x14ac:dyDescent="0.25">
      <c r="A2761" s="88" t="str">
        <f t="shared" si="149"/>
        <v>7-2030</v>
      </c>
      <c r="B2761" s="86">
        <v>47687</v>
      </c>
      <c r="C2761" t="str">
        <f t="shared" si="150"/>
        <v>L-V</v>
      </c>
      <c r="D2761" t="str">
        <f t="shared" si="151"/>
        <v>Martes</v>
      </c>
    </row>
    <row r="2762" spans="1:4" x14ac:dyDescent="0.25">
      <c r="A2762" s="88" t="str">
        <f t="shared" si="149"/>
        <v>7-2030</v>
      </c>
      <c r="B2762" s="86">
        <v>47688</v>
      </c>
      <c r="C2762" t="str">
        <f t="shared" si="150"/>
        <v>L-V</v>
      </c>
      <c r="D2762" t="str">
        <f t="shared" si="151"/>
        <v>Miércoles</v>
      </c>
    </row>
    <row r="2763" spans="1:4" x14ac:dyDescent="0.25">
      <c r="A2763" s="88" t="str">
        <f t="shared" si="149"/>
        <v>7-2030</v>
      </c>
      <c r="B2763" s="86">
        <v>47689</v>
      </c>
      <c r="C2763" t="str">
        <f t="shared" si="150"/>
        <v>L-V</v>
      </c>
      <c r="D2763" t="str">
        <f t="shared" si="151"/>
        <v>Jueves</v>
      </c>
    </row>
    <row r="2764" spans="1:4" x14ac:dyDescent="0.25">
      <c r="A2764" s="88" t="str">
        <f t="shared" si="149"/>
        <v>7-2030</v>
      </c>
      <c r="B2764" s="86">
        <v>47690</v>
      </c>
      <c r="C2764" t="str">
        <f t="shared" si="150"/>
        <v>L-V</v>
      </c>
      <c r="D2764" t="str">
        <f t="shared" si="151"/>
        <v>Viernes</v>
      </c>
    </row>
    <row r="2765" spans="1:4" x14ac:dyDescent="0.25">
      <c r="A2765" s="88" t="str">
        <f t="shared" si="149"/>
        <v>7-2030</v>
      </c>
      <c r="B2765" s="86">
        <v>47691</v>
      </c>
      <c r="C2765" t="str">
        <f t="shared" si="150"/>
        <v>SAB</v>
      </c>
      <c r="D2765" t="str">
        <f t="shared" si="151"/>
        <v>Sábado</v>
      </c>
    </row>
    <row r="2766" spans="1:4" x14ac:dyDescent="0.25">
      <c r="A2766" s="88" t="str">
        <f t="shared" si="149"/>
        <v>7-2030</v>
      </c>
      <c r="B2766" s="86">
        <v>47692</v>
      </c>
      <c r="C2766" t="str">
        <f t="shared" si="150"/>
        <v>DOM</v>
      </c>
      <c r="D2766" t="str">
        <f t="shared" si="151"/>
        <v>Domingo</v>
      </c>
    </row>
    <row r="2767" spans="1:4" x14ac:dyDescent="0.25">
      <c r="A2767" s="88" t="str">
        <f t="shared" si="149"/>
        <v>7-2030</v>
      </c>
      <c r="B2767" s="86">
        <v>47693</v>
      </c>
      <c r="C2767" t="str">
        <f t="shared" si="150"/>
        <v>L-V</v>
      </c>
      <c r="D2767" t="str">
        <f t="shared" si="151"/>
        <v>Lunes</v>
      </c>
    </row>
    <row r="2768" spans="1:4" x14ac:dyDescent="0.25">
      <c r="A2768" s="88" t="str">
        <f t="shared" si="149"/>
        <v>7-2030</v>
      </c>
      <c r="B2768" s="86">
        <v>47694</v>
      </c>
      <c r="C2768" t="str">
        <f t="shared" si="150"/>
        <v>L-V</v>
      </c>
      <c r="D2768" t="str">
        <f t="shared" si="151"/>
        <v>Martes</v>
      </c>
    </row>
    <row r="2769" spans="1:4" x14ac:dyDescent="0.25">
      <c r="A2769" s="88" t="str">
        <f t="shared" si="149"/>
        <v>7-2030</v>
      </c>
      <c r="B2769" s="86">
        <v>47695</v>
      </c>
      <c r="C2769" t="str">
        <f t="shared" si="150"/>
        <v>L-V</v>
      </c>
      <c r="D2769" t="str">
        <f t="shared" si="151"/>
        <v>Miércoles</v>
      </c>
    </row>
    <row r="2770" spans="1:4" x14ac:dyDescent="0.25">
      <c r="A2770" s="88" t="str">
        <f t="shared" si="149"/>
        <v>8-2030</v>
      </c>
      <c r="B2770" s="86">
        <v>47696</v>
      </c>
      <c r="C2770" t="str">
        <f t="shared" si="150"/>
        <v>L-V</v>
      </c>
      <c r="D2770" t="str">
        <f t="shared" si="151"/>
        <v>Jueves</v>
      </c>
    </row>
    <row r="2771" spans="1:4" x14ac:dyDescent="0.25">
      <c r="A2771" s="88" t="str">
        <f t="shared" si="149"/>
        <v>8-2030</v>
      </c>
      <c r="B2771" s="86">
        <v>47697</v>
      </c>
      <c r="C2771" t="str">
        <f t="shared" si="150"/>
        <v>L-V</v>
      </c>
      <c r="D2771" t="str">
        <f t="shared" si="151"/>
        <v>Viernes</v>
      </c>
    </row>
    <row r="2772" spans="1:4" x14ac:dyDescent="0.25">
      <c r="A2772" s="88" t="str">
        <f t="shared" si="149"/>
        <v>8-2030</v>
      </c>
      <c r="B2772" s="86">
        <v>47698</v>
      </c>
      <c r="C2772" t="str">
        <f t="shared" si="150"/>
        <v>SAB</v>
      </c>
      <c r="D2772" t="str">
        <f t="shared" si="151"/>
        <v>Sábado</v>
      </c>
    </row>
    <row r="2773" spans="1:4" x14ac:dyDescent="0.25">
      <c r="A2773" s="88" t="str">
        <f t="shared" si="149"/>
        <v>8-2030</v>
      </c>
      <c r="B2773" s="86">
        <v>47699</v>
      </c>
      <c r="C2773" t="str">
        <f t="shared" si="150"/>
        <v>DOM</v>
      </c>
      <c r="D2773" t="str">
        <f t="shared" si="151"/>
        <v>Domingo</v>
      </c>
    </row>
    <row r="2774" spans="1:4" x14ac:dyDescent="0.25">
      <c r="A2774" s="88" t="str">
        <f t="shared" si="149"/>
        <v>8-2030</v>
      </c>
      <c r="B2774" s="86">
        <v>47700</v>
      </c>
      <c r="C2774" t="str">
        <f t="shared" si="150"/>
        <v>L-V</v>
      </c>
      <c r="D2774" t="str">
        <f t="shared" si="151"/>
        <v>Lunes</v>
      </c>
    </row>
    <row r="2775" spans="1:4" x14ac:dyDescent="0.25">
      <c r="A2775" s="88" t="str">
        <f t="shared" si="149"/>
        <v>8-2030</v>
      </c>
      <c r="B2775" s="86">
        <v>47701</v>
      </c>
      <c r="C2775" t="str">
        <f t="shared" si="150"/>
        <v>L-V</v>
      </c>
      <c r="D2775" t="str">
        <f t="shared" si="151"/>
        <v>Martes</v>
      </c>
    </row>
    <row r="2776" spans="1:4" x14ac:dyDescent="0.25">
      <c r="A2776" s="88" t="str">
        <f t="shared" si="149"/>
        <v>8-2030</v>
      </c>
      <c r="B2776" s="86">
        <v>47702</v>
      </c>
      <c r="C2776" t="str">
        <f t="shared" si="150"/>
        <v>L-V</v>
      </c>
      <c r="D2776" t="str">
        <f t="shared" si="151"/>
        <v>Miércoles</v>
      </c>
    </row>
    <row r="2777" spans="1:4" x14ac:dyDescent="0.25">
      <c r="A2777" s="88" t="str">
        <f t="shared" si="149"/>
        <v>8-2030</v>
      </c>
      <c r="B2777" s="86">
        <v>47703</v>
      </c>
      <c r="C2777" t="str">
        <f t="shared" si="150"/>
        <v>L-V</v>
      </c>
      <c r="D2777" t="str">
        <f t="shared" si="151"/>
        <v>Jueves</v>
      </c>
    </row>
    <row r="2778" spans="1:4" x14ac:dyDescent="0.25">
      <c r="A2778" s="88" t="str">
        <f t="shared" si="149"/>
        <v>8-2030</v>
      </c>
      <c r="B2778" s="86">
        <v>47704</v>
      </c>
      <c r="C2778" t="str">
        <f t="shared" si="150"/>
        <v>L-V</v>
      </c>
      <c r="D2778" t="str">
        <f t="shared" si="151"/>
        <v>Viernes</v>
      </c>
    </row>
    <row r="2779" spans="1:4" x14ac:dyDescent="0.25">
      <c r="A2779" s="88" t="str">
        <f t="shared" si="149"/>
        <v>8-2030</v>
      </c>
      <c r="B2779" s="86">
        <v>47705</v>
      </c>
      <c r="C2779" t="str">
        <f t="shared" si="150"/>
        <v>SAB</v>
      </c>
      <c r="D2779" t="str">
        <f t="shared" si="151"/>
        <v>Sábado</v>
      </c>
    </row>
    <row r="2780" spans="1:4" x14ac:dyDescent="0.25">
      <c r="A2780" s="88" t="str">
        <f t="shared" si="149"/>
        <v>8-2030</v>
      </c>
      <c r="B2780" s="86">
        <v>47706</v>
      </c>
      <c r="C2780" t="str">
        <f t="shared" si="150"/>
        <v>DOM</v>
      </c>
      <c r="D2780" t="str">
        <f t="shared" si="151"/>
        <v>Domingo</v>
      </c>
    </row>
    <row r="2781" spans="1:4" x14ac:dyDescent="0.25">
      <c r="A2781" s="88" t="str">
        <f t="shared" si="149"/>
        <v>8-2030</v>
      </c>
      <c r="B2781" s="86">
        <v>47707</v>
      </c>
      <c r="C2781" t="str">
        <f t="shared" si="150"/>
        <v>L-V</v>
      </c>
      <c r="D2781" t="str">
        <f t="shared" si="151"/>
        <v>Lunes</v>
      </c>
    </row>
    <row r="2782" spans="1:4" x14ac:dyDescent="0.25">
      <c r="A2782" s="88" t="str">
        <f t="shared" si="149"/>
        <v>8-2030</v>
      </c>
      <c r="B2782" s="86">
        <v>47708</v>
      </c>
      <c r="C2782" t="str">
        <f t="shared" si="150"/>
        <v>L-V</v>
      </c>
      <c r="D2782" t="str">
        <f t="shared" si="151"/>
        <v>Martes</v>
      </c>
    </row>
    <row r="2783" spans="1:4" x14ac:dyDescent="0.25">
      <c r="A2783" s="88" t="str">
        <f t="shared" si="149"/>
        <v>8-2030</v>
      </c>
      <c r="B2783" s="86">
        <v>47709</v>
      </c>
      <c r="C2783" t="str">
        <f t="shared" si="150"/>
        <v>L-V</v>
      </c>
      <c r="D2783" t="str">
        <f t="shared" si="151"/>
        <v>Miércoles</v>
      </c>
    </row>
    <row r="2784" spans="1:4" x14ac:dyDescent="0.25">
      <c r="A2784" s="88" t="str">
        <f t="shared" si="149"/>
        <v>8-2030</v>
      </c>
      <c r="B2784" s="86">
        <v>47710</v>
      </c>
      <c r="C2784" t="str">
        <f t="shared" si="150"/>
        <v>L-V</v>
      </c>
      <c r="D2784" t="str">
        <f t="shared" si="151"/>
        <v>Jueves</v>
      </c>
    </row>
    <row r="2785" spans="1:4" x14ac:dyDescent="0.25">
      <c r="A2785" s="88" t="str">
        <f t="shared" si="149"/>
        <v>8-2030</v>
      </c>
      <c r="B2785" s="86">
        <v>47711</v>
      </c>
      <c r="C2785" t="str">
        <f t="shared" si="150"/>
        <v>L-V</v>
      </c>
      <c r="D2785" t="str">
        <f t="shared" si="151"/>
        <v>Viernes</v>
      </c>
    </row>
    <row r="2786" spans="1:4" x14ac:dyDescent="0.25">
      <c r="A2786" s="88" t="str">
        <f t="shared" si="149"/>
        <v>8-2030</v>
      </c>
      <c r="B2786" s="86">
        <v>47712</v>
      </c>
      <c r="C2786" t="str">
        <f t="shared" si="150"/>
        <v>SAB</v>
      </c>
      <c r="D2786" t="str">
        <f t="shared" si="151"/>
        <v>Sábado</v>
      </c>
    </row>
    <row r="2787" spans="1:4" x14ac:dyDescent="0.25">
      <c r="A2787" s="88" t="str">
        <f t="shared" si="149"/>
        <v>8-2030</v>
      </c>
      <c r="B2787" s="86">
        <v>47713</v>
      </c>
      <c r="C2787" t="str">
        <f t="shared" si="150"/>
        <v>DOM</v>
      </c>
      <c r="D2787" t="str">
        <f t="shared" si="151"/>
        <v>Domingo</v>
      </c>
    </row>
    <row r="2788" spans="1:4" x14ac:dyDescent="0.25">
      <c r="A2788" s="88" t="str">
        <f t="shared" si="149"/>
        <v>8-2030</v>
      </c>
      <c r="B2788" s="86">
        <v>47714</v>
      </c>
      <c r="C2788" t="str">
        <f t="shared" si="150"/>
        <v>L-V</v>
      </c>
      <c r="D2788" t="str">
        <f t="shared" si="151"/>
        <v>Lunes</v>
      </c>
    </row>
    <row r="2789" spans="1:4" x14ac:dyDescent="0.25">
      <c r="A2789" s="88" t="str">
        <f t="shared" si="149"/>
        <v>8-2030</v>
      </c>
      <c r="B2789" s="86">
        <v>47715</v>
      </c>
      <c r="C2789" t="str">
        <f t="shared" si="150"/>
        <v>L-V</v>
      </c>
      <c r="D2789" t="str">
        <f t="shared" si="151"/>
        <v>Martes</v>
      </c>
    </row>
    <row r="2790" spans="1:4" x14ac:dyDescent="0.25">
      <c r="A2790" s="88" t="str">
        <f t="shared" si="149"/>
        <v>8-2030</v>
      </c>
      <c r="B2790" s="86">
        <v>47716</v>
      </c>
      <c r="C2790" t="str">
        <f t="shared" si="150"/>
        <v>L-V</v>
      </c>
      <c r="D2790" t="str">
        <f t="shared" si="151"/>
        <v>Miércoles</v>
      </c>
    </row>
    <row r="2791" spans="1:4" x14ac:dyDescent="0.25">
      <c r="A2791" s="88" t="str">
        <f t="shared" si="149"/>
        <v>8-2030</v>
      </c>
      <c r="B2791" s="86">
        <v>47717</v>
      </c>
      <c r="C2791" t="str">
        <f t="shared" si="150"/>
        <v>L-V</v>
      </c>
      <c r="D2791" t="str">
        <f t="shared" si="151"/>
        <v>Jueves</v>
      </c>
    </row>
    <row r="2792" spans="1:4" x14ac:dyDescent="0.25">
      <c r="A2792" s="88" t="str">
        <f t="shared" si="149"/>
        <v>8-2030</v>
      </c>
      <c r="B2792" s="86">
        <v>47718</v>
      </c>
      <c r="C2792" t="str">
        <f t="shared" si="150"/>
        <v>L-V</v>
      </c>
      <c r="D2792" t="str">
        <f t="shared" si="151"/>
        <v>Viernes</v>
      </c>
    </row>
    <row r="2793" spans="1:4" x14ac:dyDescent="0.25">
      <c r="A2793" s="88" t="str">
        <f t="shared" si="149"/>
        <v>8-2030</v>
      </c>
      <c r="B2793" s="86">
        <v>47719</v>
      </c>
      <c r="C2793" t="str">
        <f t="shared" si="150"/>
        <v>SAB</v>
      </c>
      <c r="D2793" t="str">
        <f t="shared" si="151"/>
        <v>Sábado</v>
      </c>
    </row>
    <row r="2794" spans="1:4" x14ac:dyDescent="0.25">
      <c r="A2794" s="88" t="str">
        <f t="shared" si="149"/>
        <v>8-2030</v>
      </c>
      <c r="B2794" s="86">
        <v>47720</v>
      </c>
      <c r="C2794" t="str">
        <f t="shared" si="150"/>
        <v>DOM</v>
      </c>
      <c r="D2794" t="str">
        <f t="shared" si="151"/>
        <v>Domingo</v>
      </c>
    </row>
    <row r="2795" spans="1:4" x14ac:dyDescent="0.25">
      <c r="A2795" s="88" t="str">
        <f t="shared" si="149"/>
        <v>8-2030</v>
      </c>
      <c r="B2795" s="86">
        <v>47721</v>
      </c>
      <c r="C2795" t="str">
        <f t="shared" si="150"/>
        <v>L-V</v>
      </c>
      <c r="D2795" t="str">
        <f t="shared" si="151"/>
        <v>Lunes</v>
      </c>
    </row>
    <row r="2796" spans="1:4" x14ac:dyDescent="0.25">
      <c r="A2796" s="88" t="str">
        <f t="shared" si="149"/>
        <v>8-2030</v>
      </c>
      <c r="B2796" s="86">
        <v>47722</v>
      </c>
      <c r="C2796" t="str">
        <f t="shared" si="150"/>
        <v>L-V</v>
      </c>
      <c r="D2796" t="str">
        <f t="shared" si="151"/>
        <v>Martes</v>
      </c>
    </row>
    <row r="2797" spans="1:4" x14ac:dyDescent="0.25">
      <c r="A2797" s="88" t="str">
        <f t="shared" si="149"/>
        <v>8-2030</v>
      </c>
      <c r="B2797" s="86">
        <v>47723</v>
      </c>
      <c r="C2797" t="str">
        <f t="shared" si="150"/>
        <v>L-V</v>
      </c>
      <c r="D2797" t="str">
        <f t="shared" si="151"/>
        <v>Miércoles</v>
      </c>
    </row>
    <row r="2798" spans="1:4" x14ac:dyDescent="0.25">
      <c r="A2798" s="88" t="str">
        <f t="shared" si="149"/>
        <v>8-2030</v>
      </c>
      <c r="B2798" s="86">
        <v>47724</v>
      </c>
      <c r="C2798" t="str">
        <f t="shared" si="150"/>
        <v>L-V</v>
      </c>
      <c r="D2798" t="str">
        <f t="shared" si="151"/>
        <v>Jueves</v>
      </c>
    </row>
    <row r="2799" spans="1:4" x14ac:dyDescent="0.25">
      <c r="A2799" s="88" t="str">
        <f t="shared" si="149"/>
        <v>8-2030</v>
      </c>
      <c r="B2799" s="86">
        <v>47725</v>
      </c>
      <c r="C2799" t="str">
        <f t="shared" si="150"/>
        <v>L-V</v>
      </c>
      <c r="D2799" t="str">
        <f t="shared" si="151"/>
        <v>Viernes</v>
      </c>
    </row>
    <row r="2800" spans="1:4" x14ac:dyDescent="0.25">
      <c r="A2800" s="88" t="str">
        <f t="shared" si="149"/>
        <v>8-2030</v>
      </c>
      <c r="B2800" s="86">
        <v>47726</v>
      </c>
      <c r="C2800" t="str">
        <f t="shared" si="150"/>
        <v>SAB</v>
      </c>
      <c r="D2800" t="str">
        <f t="shared" si="151"/>
        <v>Sábado</v>
      </c>
    </row>
    <row r="2801" spans="1:4" x14ac:dyDescent="0.25">
      <c r="A2801" s="88" t="str">
        <f t="shared" si="149"/>
        <v>9-2030</v>
      </c>
      <c r="B2801" s="86">
        <v>47727</v>
      </c>
      <c r="C2801" t="str">
        <f t="shared" si="150"/>
        <v>DOM</v>
      </c>
      <c r="D2801" t="str">
        <f t="shared" si="151"/>
        <v>Domingo</v>
      </c>
    </row>
    <row r="2802" spans="1:4" x14ac:dyDescent="0.25">
      <c r="A2802" s="88" t="str">
        <f t="shared" si="149"/>
        <v>9-2030</v>
      </c>
      <c r="B2802" s="86">
        <v>47728</v>
      </c>
      <c r="C2802" t="str">
        <f t="shared" si="150"/>
        <v>L-V</v>
      </c>
      <c r="D2802" t="str">
        <f t="shared" si="151"/>
        <v>Lunes</v>
      </c>
    </row>
    <row r="2803" spans="1:4" x14ac:dyDescent="0.25">
      <c r="A2803" s="88" t="str">
        <f t="shared" si="149"/>
        <v>9-2030</v>
      </c>
      <c r="B2803" s="86">
        <v>47729</v>
      </c>
      <c r="C2803" t="str">
        <f t="shared" si="150"/>
        <v>L-V</v>
      </c>
      <c r="D2803" t="str">
        <f t="shared" si="151"/>
        <v>Martes</v>
      </c>
    </row>
    <row r="2804" spans="1:4" x14ac:dyDescent="0.25">
      <c r="A2804" s="88" t="str">
        <f t="shared" si="149"/>
        <v>9-2030</v>
      </c>
      <c r="B2804" s="86">
        <v>47730</v>
      </c>
      <c r="C2804" t="str">
        <f t="shared" si="150"/>
        <v>L-V</v>
      </c>
      <c r="D2804" t="str">
        <f t="shared" si="151"/>
        <v>Miércoles</v>
      </c>
    </row>
    <row r="2805" spans="1:4" x14ac:dyDescent="0.25">
      <c r="A2805" s="88" t="str">
        <f t="shared" si="149"/>
        <v>9-2030</v>
      </c>
      <c r="B2805" s="86">
        <v>47731</v>
      </c>
      <c r="C2805" t="str">
        <f t="shared" si="150"/>
        <v>L-V</v>
      </c>
      <c r="D2805" t="str">
        <f t="shared" si="151"/>
        <v>Jueves</v>
      </c>
    </row>
    <row r="2806" spans="1:4" x14ac:dyDescent="0.25">
      <c r="A2806" s="88" t="str">
        <f t="shared" si="149"/>
        <v>9-2030</v>
      </c>
      <c r="B2806" s="86">
        <v>47732</v>
      </c>
      <c r="C2806" t="str">
        <f t="shared" si="150"/>
        <v>L-V</v>
      </c>
      <c r="D2806" t="str">
        <f t="shared" si="151"/>
        <v>Viernes</v>
      </c>
    </row>
    <row r="2807" spans="1:4" x14ac:dyDescent="0.25">
      <c r="A2807" s="88" t="str">
        <f t="shared" si="149"/>
        <v>9-2030</v>
      </c>
      <c r="B2807" s="86">
        <v>47733</v>
      </c>
      <c r="C2807" t="str">
        <f t="shared" si="150"/>
        <v>SAB</v>
      </c>
      <c r="D2807" t="str">
        <f t="shared" si="151"/>
        <v>Sábado</v>
      </c>
    </row>
    <row r="2808" spans="1:4" x14ac:dyDescent="0.25">
      <c r="A2808" s="88" t="str">
        <f t="shared" si="149"/>
        <v>9-2030</v>
      </c>
      <c r="B2808" s="86">
        <v>47734</v>
      </c>
      <c r="C2808" t="str">
        <f t="shared" si="150"/>
        <v>DOM</v>
      </c>
      <c r="D2808" t="str">
        <f t="shared" si="151"/>
        <v>Domingo</v>
      </c>
    </row>
    <row r="2809" spans="1:4" x14ac:dyDescent="0.25">
      <c r="A2809" s="88" t="str">
        <f t="shared" si="149"/>
        <v>9-2030</v>
      </c>
      <c r="B2809" s="86">
        <v>47735</v>
      </c>
      <c r="C2809" t="str">
        <f t="shared" si="150"/>
        <v>L-V</v>
      </c>
      <c r="D2809" t="str">
        <f t="shared" si="151"/>
        <v>Lunes</v>
      </c>
    </row>
    <row r="2810" spans="1:4" x14ac:dyDescent="0.25">
      <c r="A2810" s="88" t="str">
        <f t="shared" si="149"/>
        <v>9-2030</v>
      </c>
      <c r="B2810" s="86">
        <v>47736</v>
      </c>
      <c r="C2810" t="str">
        <f t="shared" si="150"/>
        <v>L-V</v>
      </c>
      <c r="D2810" t="str">
        <f t="shared" si="151"/>
        <v>Martes</v>
      </c>
    </row>
    <row r="2811" spans="1:4" x14ac:dyDescent="0.25">
      <c r="A2811" s="88" t="str">
        <f t="shared" si="149"/>
        <v>9-2030</v>
      </c>
      <c r="B2811" s="86">
        <v>47737</v>
      </c>
      <c r="C2811" t="str">
        <f t="shared" si="150"/>
        <v>L-V</v>
      </c>
      <c r="D2811" t="str">
        <f t="shared" si="151"/>
        <v>Miércoles</v>
      </c>
    </row>
    <row r="2812" spans="1:4" x14ac:dyDescent="0.25">
      <c r="A2812" s="88" t="str">
        <f t="shared" si="149"/>
        <v>9-2030</v>
      </c>
      <c r="B2812" s="86">
        <v>47738</v>
      </c>
      <c r="C2812" t="str">
        <f t="shared" si="150"/>
        <v>L-V</v>
      </c>
      <c r="D2812" t="str">
        <f t="shared" si="151"/>
        <v>Jueves</v>
      </c>
    </row>
    <row r="2813" spans="1:4" x14ac:dyDescent="0.25">
      <c r="A2813" s="88" t="str">
        <f t="shared" si="149"/>
        <v>9-2030</v>
      </c>
      <c r="B2813" s="86">
        <v>47739</v>
      </c>
      <c r="C2813" t="str">
        <f t="shared" si="150"/>
        <v>L-V</v>
      </c>
      <c r="D2813" t="str">
        <f t="shared" si="151"/>
        <v>Viernes</v>
      </c>
    </row>
    <row r="2814" spans="1:4" x14ac:dyDescent="0.25">
      <c r="A2814" s="88" t="str">
        <f t="shared" si="149"/>
        <v>9-2030</v>
      </c>
      <c r="B2814" s="86">
        <v>47740</v>
      </c>
      <c r="C2814" t="str">
        <f t="shared" si="150"/>
        <v>SAB</v>
      </c>
      <c r="D2814" t="str">
        <f t="shared" si="151"/>
        <v>Sábado</v>
      </c>
    </row>
    <row r="2815" spans="1:4" x14ac:dyDescent="0.25">
      <c r="A2815" s="88" t="str">
        <f t="shared" si="149"/>
        <v>9-2030</v>
      </c>
      <c r="B2815" s="86">
        <v>47741</v>
      </c>
      <c r="C2815" t="str">
        <f t="shared" si="150"/>
        <v>DOM</v>
      </c>
      <c r="D2815" t="str">
        <f t="shared" si="151"/>
        <v>Domingo</v>
      </c>
    </row>
    <row r="2816" spans="1:4" x14ac:dyDescent="0.25">
      <c r="A2816" s="88" t="str">
        <f t="shared" si="149"/>
        <v>9-2030</v>
      </c>
      <c r="B2816" s="86">
        <v>47742</v>
      </c>
      <c r="C2816" t="str">
        <f t="shared" si="150"/>
        <v>L-V</v>
      </c>
      <c r="D2816" t="str">
        <f t="shared" si="151"/>
        <v>Lunes</v>
      </c>
    </row>
    <row r="2817" spans="1:4" x14ac:dyDescent="0.25">
      <c r="A2817" s="88" t="str">
        <f t="shared" si="149"/>
        <v>9-2030</v>
      </c>
      <c r="B2817" s="86">
        <v>47743</v>
      </c>
      <c r="C2817" t="str">
        <f t="shared" si="150"/>
        <v>L-V</v>
      </c>
      <c r="D2817" t="str">
        <f t="shared" si="151"/>
        <v>Martes</v>
      </c>
    </row>
    <row r="2818" spans="1:4" x14ac:dyDescent="0.25">
      <c r="A2818" s="88" t="str">
        <f t="shared" ref="A2818:A2881" si="152">MONTH(B2818)&amp;"-"&amp;YEAR(B2818)</f>
        <v>9-2030</v>
      </c>
      <c r="B2818" s="86">
        <v>47744</v>
      </c>
      <c r="C2818" t="str">
        <f t="shared" si="150"/>
        <v>L-V</v>
      </c>
      <c r="D2818" t="str">
        <f t="shared" si="151"/>
        <v>Miércoles</v>
      </c>
    </row>
    <row r="2819" spans="1:4" x14ac:dyDescent="0.25">
      <c r="A2819" s="88" t="str">
        <f t="shared" si="152"/>
        <v>9-2030</v>
      </c>
      <c r="B2819" s="86">
        <v>47745</v>
      </c>
      <c r="C2819" t="str">
        <f t="shared" ref="C2819:C2882" si="153">VLOOKUP(WEEKDAY(B2819,2),$F$1:$H$7,2)</f>
        <v>L-V</v>
      </c>
      <c r="D2819" t="str">
        <f t="shared" ref="D2819:D2882" si="154">VLOOKUP(WEEKDAY($B2819,2),$F$1:$H$7,3)</f>
        <v>Jueves</v>
      </c>
    </row>
    <row r="2820" spans="1:4" x14ac:dyDescent="0.25">
      <c r="A2820" s="88" t="str">
        <f t="shared" si="152"/>
        <v>9-2030</v>
      </c>
      <c r="B2820" s="86">
        <v>47746</v>
      </c>
      <c r="C2820" t="str">
        <f t="shared" si="153"/>
        <v>L-V</v>
      </c>
      <c r="D2820" t="str">
        <f t="shared" si="154"/>
        <v>Viernes</v>
      </c>
    </row>
    <row r="2821" spans="1:4" x14ac:dyDescent="0.25">
      <c r="A2821" s="88" t="str">
        <f t="shared" si="152"/>
        <v>9-2030</v>
      </c>
      <c r="B2821" s="86">
        <v>47747</v>
      </c>
      <c r="C2821" t="str">
        <f t="shared" si="153"/>
        <v>SAB</v>
      </c>
      <c r="D2821" t="str">
        <f t="shared" si="154"/>
        <v>Sábado</v>
      </c>
    </row>
    <row r="2822" spans="1:4" x14ac:dyDescent="0.25">
      <c r="A2822" s="88" t="str">
        <f t="shared" si="152"/>
        <v>9-2030</v>
      </c>
      <c r="B2822" s="86">
        <v>47748</v>
      </c>
      <c r="C2822" t="str">
        <f t="shared" si="153"/>
        <v>DOM</v>
      </c>
      <c r="D2822" t="str">
        <f t="shared" si="154"/>
        <v>Domingo</v>
      </c>
    </row>
    <row r="2823" spans="1:4" x14ac:dyDescent="0.25">
      <c r="A2823" s="88" t="str">
        <f t="shared" si="152"/>
        <v>9-2030</v>
      </c>
      <c r="B2823" s="86">
        <v>47749</v>
      </c>
      <c r="C2823" t="str">
        <f t="shared" si="153"/>
        <v>L-V</v>
      </c>
      <c r="D2823" t="str">
        <f t="shared" si="154"/>
        <v>Lunes</v>
      </c>
    </row>
    <row r="2824" spans="1:4" x14ac:dyDescent="0.25">
      <c r="A2824" s="88" t="str">
        <f t="shared" si="152"/>
        <v>9-2030</v>
      </c>
      <c r="B2824" s="86">
        <v>47750</v>
      </c>
      <c r="C2824" t="str">
        <f t="shared" si="153"/>
        <v>L-V</v>
      </c>
      <c r="D2824" t="str">
        <f t="shared" si="154"/>
        <v>Martes</v>
      </c>
    </row>
    <row r="2825" spans="1:4" x14ac:dyDescent="0.25">
      <c r="A2825" s="88" t="str">
        <f t="shared" si="152"/>
        <v>9-2030</v>
      </c>
      <c r="B2825" s="86">
        <v>47751</v>
      </c>
      <c r="C2825" t="str">
        <f t="shared" si="153"/>
        <v>L-V</v>
      </c>
      <c r="D2825" t="str">
        <f t="shared" si="154"/>
        <v>Miércoles</v>
      </c>
    </row>
    <row r="2826" spans="1:4" x14ac:dyDescent="0.25">
      <c r="A2826" s="88" t="str">
        <f t="shared" si="152"/>
        <v>9-2030</v>
      </c>
      <c r="B2826" s="86">
        <v>47752</v>
      </c>
      <c r="C2826" t="str">
        <f t="shared" si="153"/>
        <v>L-V</v>
      </c>
      <c r="D2826" t="str">
        <f t="shared" si="154"/>
        <v>Jueves</v>
      </c>
    </row>
    <row r="2827" spans="1:4" x14ac:dyDescent="0.25">
      <c r="A2827" s="88" t="str">
        <f t="shared" si="152"/>
        <v>9-2030</v>
      </c>
      <c r="B2827" s="86">
        <v>47753</v>
      </c>
      <c r="C2827" t="str">
        <f t="shared" si="153"/>
        <v>L-V</v>
      </c>
      <c r="D2827" t="str">
        <f t="shared" si="154"/>
        <v>Viernes</v>
      </c>
    </row>
    <row r="2828" spans="1:4" x14ac:dyDescent="0.25">
      <c r="A2828" s="88" t="str">
        <f t="shared" si="152"/>
        <v>9-2030</v>
      </c>
      <c r="B2828" s="86">
        <v>47754</v>
      </c>
      <c r="C2828" t="str">
        <f t="shared" si="153"/>
        <v>SAB</v>
      </c>
      <c r="D2828" t="str">
        <f t="shared" si="154"/>
        <v>Sábado</v>
      </c>
    </row>
    <row r="2829" spans="1:4" x14ac:dyDescent="0.25">
      <c r="A2829" s="88" t="str">
        <f t="shared" si="152"/>
        <v>9-2030</v>
      </c>
      <c r="B2829" s="86">
        <v>47755</v>
      </c>
      <c r="C2829" t="str">
        <f t="shared" si="153"/>
        <v>DOM</v>
      </c>
      <c r="D2829" t="str">
        <f t="shared" si="154"/>
        <v>Domingo</v>
      </c>
    </row>
    <row r="2830" spans="1:4" x14ac:dyDescent="0.25">
      <c r="A2830" s="88" t="str">
        <f t="shared" si="152"/>
        <v>9-2030</v>
      </c>
      <c r="B2830" s="86">
        <v>47756</v>
      </c>
      <c r="C2830" t="str">
        <f t="shared" si="153"/>
        <v>L-V</v>
      </c>
      <c r="D2830" t="str">
        <f t="shared" si="154"/>
        <v>Lunes</v>
      </c>
    </row>
    <row r="2831" spans="1:4" x14ac:dyDescent="0.25">
      <c r="A2831" s="88" t="str">
        <f t="shared" si="152"/>
        <v>10-2030</v>
      </c>
      <c r="B2831" s="86">
        <v>47757</v>
      </c>
      <c r="C2831" t="str">
        <f t="shared" si="153"/>
        <v>L-V</v>
      </c>
      <c r="D2831" t="str">
        <f t="shared" si="154"/>
        <v>Martes</v>
      </c>
    </row>
    <row r="2832" spans="1:4" x14ac:dyDescent="0.25">
      <c r="A2832" s="88" t="str">
        <f t="shared" si="152"/>
        <v>10-2030</v>
      </c>
      <c r="B2832" s="86">
        <v>47758</v>
      </c>
      <c r="C2832" t="str">
        <f t="shared" si="153"/>
        <v>L-V</v>
      </c>
      <c r="D2832" t="str">
        <f t="shared" si="154"/>
        <v>Miércoles</v>
      </c>
    </row>
    <row r="2833" spans="1:4" x14ac:dyDescent="0.25">
      <c r="A2833" s="88" t="str">
        <f t="shared" si="152"/>
        <v>10-2030</v>
      </c>
      <c r="B2833" s="86">
        <v>47759</v>
      </c>
      <c r="C2833" t="str">
        <f t="shared" si="153"/>
        <v>L-V</v>
      </c>
      <c r="D2833" t="str">
        <f t="shared" si="154"/>
        <v>Jueves</v>
      </c>
    </row>
    <row r="2834" spans="1:4" x14ac:dyDescent="0.25">
      <c r="A2834" s="88" t="str">
        <f t="shared" si="152"/>
        <v>10-2030</v>
      </c>
      <c r="B2834" s="86">
        <v>47760</v>
      </c>
      <c r="C2834" t="str">
        <f t="shared" si="153"/>
        <v>L-V</v>
      </c>
      <c r="D2834" t="str">
        <f t="shared" si="154"/>
        <v>Viernes</v>
      </c>
    </row>
    <row r="2835" spans="1:4" x14ac:dyDescent="0.25">
      <c r="A2835" s="88" t="str">
        <f t="shared" si="152"/>
        <v>10-2030</v>
      </c>
      <c r="B2835" s="86">
        <v>47761</v>
      </c>
      <c r="C2835" t="str">
        <f t="shared" si="153"/>
        <v>SAB</v>
      </c>
      <c r="D2835" t="str">
        <f t="shared" si="154"/>
        <v>Sábado</v>
      </c>
    </row>
    <row r="2836" spans="1:4" x14ac:dyDescent="0.25">
      <c r="A2836" s="88" t="str">
        <f t="shared" si="152"/>
        <v>10-2030</v>
      </c>
      <c r="B2836" s="86">
        <v>47762</v>
      </c>
      <c r="C2836" t="str">
        <f t="shared" si="153"/>
        <v>DOM</v>
      </c>
      <c r="D2836" t="str">
        <f t="shared" si="154"/>
        <v>Domingo</v>
      </c>
    </row>
    <row r="2837" spans="1:4" x14ac:dyDescent="0.25">
      <c r="A2837" s="88" t="str">
        <f t="shared" si="152"/>
        <v>10-2030</v>
      </c>
      <c r="B2837" s="86">
        <v>47763</v>
      </c>
      <c r="C2837" t="str">
        <f t="shared" si="153"/>
        <v>L-V</v>
      </c>
      <c r="D2837" t="str">
        <f t="shared" si="154"/>
        <v>Lunes</v>
      </c>
    </row>
    <row r="2838" spans="1:4" x14ac:dyDescent="0.25">
      <c r="A2838" s="88" t="str">
        <f t="shared" si="152"/>
        <v>10-2030</v>
      </c>
      <c r="B2838" s="86">
        <v>47764</v>
      </c>
      <c r="C2838" t="str">
        <f t="shared" si="153"/>
        <v>L-V</v>
      </c>
      <c r="D2838" t="str">
        <f t="shared" si="154"/>
        <v>Martes</v>
      </c>
    </row>
    <row r="2839" spans="1:4" x14ac:dyDescent="0.25">
      <c r="A2839" s="88" t="str">
        <f t="shared" si="152"/>
        <v>10-2030</v>
      </c>
      <c r="B2839" s="86">
        <v>47765</v>
      </c>
      <c r="C2839" t="str">
        <f t="shared" si="153"/>
        <v>L-V</v>
      </c>
      <c r="D2839" t="str">
        <f t="shared" si="154"/>
        <v>Miércoles</v>
      </c>
    </row>
    <row r="2840" spans="1:4" x14ac:dyDescent="0.25">
      <c r="A2840" s="88" t="str">
        <f t="shared" si="152"/>
        <v>10-2030</v>
      </c>
      <c r="B2840" s="86">
        <v>47766</v>
      </c>
      <c r="C2840" t="str">
        <f t="shared" si="153"/>
        <v>L-V</v>
      </c>
      <c r="D2840" t="str">
        <f t="shared" si="154"/>
        <v>Jueves</v>
      </c>
    </row>
    <row r="2841" spans="1:4" x14ac:dyDescent="0.25">
      <c r="A2841" s="88" t="str">
        <f t="shared" si="152"/>
        <v>10-2030</v>
      </c>
      <c r="B2841" s="86">
        <v>47767</v>
      </c>
      <c r="C2841" t="str">
        <f t="shared" si="153"/>
        <v>L-V</v>
      </c>
      <c r="D2841" t="str">
        <f t="shared" si="154"/>
        <v>Viernes</v>
      </c>
    </row>
    <row r="2842" spans="1:4" x14ac:dyDescent="0.25">
      <c r="A2842" s="88" t="str">
        <f t="shared" si="152"/>
        <v>10-2030</v>
      </c>
      <c r="B2842" s="86">
        <v>47768</v>
      </c>
      <c r="C2842" t="str">
        <f t="shared" si="153"/>
        <v>SAB</v>
      </c>
      <c r="D2842" t="str">
        <f t="shared" si="154"/>
        <v>Sábado</v>
      </c>
    </row>
    <row r="2843" spans="1:4" x14ac:dyDescent="0.25">
      <c r="A2843" s="88" t="str">
        <f t="shared" si="152"/>
        <v>10-2030</v>
      </c>
      <c r="B2843" s="86">
        <v>47769</v>
      </c>
      <c r="C2843" t="str">
        <f t="shared" si="153"/>
        <v>DOM</v>
      </c>
      <c r="D2843" t="str">
        <f t="shared" si="154"/>
        <v>Domingo</v>
      </c>
    </row>
    <row r="2844" spans="1:4" x14ac:dyDescent="0.25">
      <c r="A2844" s="88" t="str">
        <f t="shared" si="152"/>
        <v>10-2030</v>
      </c>
      <c r="B2844" s="86">
        <v>47770</v>
      </c>
      <c r="C2844" t="str">
        <f t="shared" si="153"/>
        <v>L-V</v>
      </c>
      <c r="D2844" t="str">
        <f t="shared" si="154"/>
        <v>Lunes</v>
      </c>
    </row>
    <row r="2845" spans="1:4" x14ac:dyDescent="0.25">
      <c r="A2845" s="88" t="str">
        <f t="shared" si="152"/>
        <v>10-2030</v>
      </c>
      <c r="B2845" s="86">
        <v>47771</v>
      </c>
      <c r="C2845" t="str">
        <f t="shared" si="153"/>
        <v>L-V</v>
      </c>
      <c r="D2845" t="str">
        <f t="shared" si="154"/>
        <v>Martes</v>
      </c>
    </row>
    <row r="2846" spans="1:4" x14ac:dyDescent="0.25">
      <c r="A2846" s="88" t="str">
        <f t="shared" si="152"/>
        <v>10-2030</v>
      </c>
      <c r="B2846" s="86">
        <v>47772</v>
      </c>
      <c r="C2846" t="str">
        <f t="shared" si="153"/>
        <v>L-V</v>
      </c>
      <c r="D2846" t="str">
        <f t="shared" si="154"/>
        <v>Miércoles</v>
      </c>
    </row>
    <row r="2847" spans="1:4" x14ac:dyDescent="0.25">
      <c r="A2847" s="88" t="str">
        <f t="shared" si="152"/>
        <v>10-2030</v>
      </c>
      <c r="B2847" s="86">
        <v>47773</v>
      </c>
      <c r="C2847" t="str">
        <f t="shared" si="153"/>
        <v>L-V</v>
      </c>
      <c r="D2847" t="str">
        <f t="shared" si="154"/>
        <v>Jueves</v>
      </c>
    </row>
    <row r="2848" spans="1:4" x14ac:dyDescent="0.25">
      <c r="A2848" s="88" t="str">
        <f t="shared" si="152"/>
        <v>10-2030</v>
      </c>
      <c r="B2848" s="86">
        <v>47774</v>
      </c>
      <c r="C2848" t="str">
        <f t="shared" si="153"/>
        <v>L-V</v>
      </c>
      <c r="D2848" t="str">
        <f t="shared" si="154"/>
        <v>Viernes</v>
      </c>
    </row>
    <row r="2849" spans="1:4" x14ac:dyDescent="0.25">
      <c r="A2849" s="88" t="str">
        <f t="shared" si="152"/>
        <v>10-2030</v>
      </c>
      <c r="B2849" s="86">
        <v>47775</v>
      </c>
      <c r="C2849" t="str">
        <f t="shared" si="153"/>
        <v>SAB</v>
      </c>
      <c r="D2849" t="str">
        <f t="shared" si="154"/>
        <v>Sábado</v>
      </c>
    </row>
    <row r="2850" spans="1:4" x14ac:dyDescent="0.25">
      <c r="A2850" s="88" t="str">
        <f t="shared" si="152"/>
        <v>10-2030</v>
      </c>
      <c r="B2850" s="86">
        <v>47776</v>
      </c>
      <c r="C2850" t="str">
        <f t="shared" si="153"/>
        <v>DOM</v>
      </c>
      <c r="D2850" t="str">
        <f t="shared" si="154"/>
        <v>Domingo</v>
      </c>
    </row>
    <row r="2851" spans="1:4" x14ac:dyDescent="0.25">
      <c r="A2851" s="88" t="str">
        <f t="shared" si="152"/>
        <v>10-2030</v>
      </c>
      <c r="B2851" s="86">
        <v>47777</v>
      </c>
      <c r="C2851" t="str">
        <f t="shared" si="153"/>
        <v>L-V</v>
      </c>
      <c r="D2851" t="str">
        <f t="shared" si="154"/>
        <v>Lunes</v>
      </c>
    </row>
    <row r="2852" spans="1:4" x14ac:dyDescent="0.25">
      <c r="A2852" s="88" t="str">
        <f t="shared" si="152"/>
        <v>10-2030</v>
      </c>
      <c r="B2852" s="86">
        <v>47778</v>
      </c>
      <c r="C2852" t="str">
        <f t="shared" si="153"/>
        <v>L-V</v>
      </c>
      <c r="D2852" t="str">
        <f t="shared" si="154"/>
        <v>Martes</v>
      </c>
    </row>
    <row r="2853" spans="1:4" x14ac:dyDescent="0.25">
      <c r="A2853" s="88" t="str">
        <f t="shared" si="152"/>
        <v>10-2030</v>
      </c>
      <c r="B2853" s="86">
        <v>47779</v>
      </c>
      <c r="C2853" t="str">
        <f t="shared" si="153"/>
        <v>L-V</v>
      </c>
      <c r="D2853" t="str">
        <f t="shared" si="154"/>
        <v>Miércoles</v>
      </c>
    </row>
    <row r="2854" spans="1:4" x14ac:dyDescent="0.25">
      <c r="A2854" s="88" t="str">
        <f t="shared" si="152"/>
        <v>10-2030</v>
      </c>
      <c r="B2854" s="86">
        <v>47780</v>
      </c>
      <c r="C2854" t="str">
        <f t="shared" si="153"/>
        <v>L-V</v>
      </c>
      <c r="D2854" t="str">
        <f t="shared" si="154"/>
        <v>Jueves</v>
      </c>
    </row>
    <row r="2855" spans="1:4" x14ac:dyDescent="0.25">
      <c r="A2855" s="88" t="str">
        <f t="shared" si="152"/>
        <v>10-2030</v>
      </c>
      <c r="B2855" s="86">
        <v>47781</v>
      </c>
      <c r="C2855" t="str">
        <f t="shared" si="153"/>
        <v>L-V</v>
      </c>
      <c r="D2855" t="str">
        <f t="shared" si="154"/>
        <v>Viernes</v>
      </c>
    </row>
    <row r="2856" spans="1:4" x14ac:dyDescent="0.25">
      <c r="A2856" s="88" t="str">
        <f t="shared" si="152"/>
        <v>10-2030</v>
      </c>
      <c r="B2856" s="86">
        <v>47782</v>
      </c>
      <c r="C2856" t="str">
        <f t="shared" si="153"/>
        <v>SAB</v>
      </c>
      <c r="D2856" t="str">
        <f t="shared" si="154"/>
        <v>Sábado</v>
      </c>
    </row>
    <row r="2857" spans="1:4" x14ac:dyDescent="0.25">
      <c r="A2857" s="88" t="str">
        <f t="shared" si="152"/>
        <v>10-2030</v>
      </c>
      <c r="B2857" s="86">
        <v>47783</v>
      </c>
      <c r="C2857" t="str">
        <f t="shared" si="153"/>
        <v>DOM</v>
      </c>
      <c r="D2857" t="str">
        <f t="shared" si="154"/>
        <v>Domingo</v>
      </c>
    </row>
    <row r="2858" spans="1:4" x14ac:dyDescent="0.25">
      <c r="A2858" s="88" t="str">
        <f t="shared" si="152"/>
        <v>10-2030</v>
      </c>
      <c r="B2858" s="86">
        <v>47784</v>
      </c>
      <c r="C2858" t="str">
        <f t="shared" si="153"/>
        <v>L-V</v>
      </c>
      <c r="D2858" t="str">
        <f t="shared" si="154"/>
        <v>Lunes</v>
      </c>
    </row>
    <row r="2859" spans="1:4" x14ac:dyDescent="0.25">
      <c r="A2859" s="88" t="str">
        <f t="shared" si="152"/>
        <v>10-2030</v>
      </c>
      <c r="B2859" s="86">
        <v>47785</v>
      </c>
      <c r="C2859" t="str">
        <f t="shared" si="153"/>
        <v>L-V</v>
      </c>
      <c r="D2859" t="str">
        <f t="shared" si="154"/>
        <v>Martes</v>
      </c>
    </row>
    <row r="2860" spans="1:4" x14ac:dyDescent="0.25">
      <c r="A2860" s="88" t="str">
        <f t="shared" si="152"/>
        <v>10-2030</v>
      </c>
      <c r="B2860" s="86">
        <v>47786</v>
      </c>
      <c r="C2860" t="str">
        <f t="shared" si="153"/>
        <v>L-V</v>
      </c>
      <c r="D2860" t="str">
        <f t="shared" si="154"/>
        <v>Miércoles</v>
      </c>
    </row>
    <row r="2861" spans="1:4" x14ac:dyDescent="0.25">
      <c r="A2861" s="88" t="str">
        <f t="shared" si="152"/>
        <v>10-2030</v>
      </c>
      <c r="B2861" s="86">
        <v>47787</v>
      </c>
      <c r="C2861" t="str">
        <f t="shared" si="153"/>
        <v>L-V</v>
      </c>
      <c r="D2861" t="str">
        <f t="shared" si="154"/>
        <v>Jueves</v>
      </c>
    </row>
    <row r="2862" spans="1:4" x14ac:dyDescent="0.25">
      <c r="A2862" s="88" t="str">
        <f t="shared" si="152"/>
        <v>11-2030</v>
      </c>
      <c r="B2862" s="86">
        <v>47788</v>
      </c>
      <c r="C2862" t="str">
        <f t="shared" si="153"/>
        <v>L-V</v>
      </c>
      <c r="D2862" t="str">
        <f t="shared" si="154"/>
        <v>Viernes</v>
      </c>
    </row>
    <row r="2863" spans="1:4" x14ac:dyDescent="0.25">
      <c r="A2863" s="88" t="str">
        <f t="shared" si="152"/>
        <v>11-2030</v>
      </c>
      <c r="B2863" s="86">
        <v>47789</v>
      </c>
      <c r="C2863" t="str">
        <f t="shared" si="153"/>
        <v>SAB</v>
      </c>
      <c r="D2863" t="str">
        <f t="shared" si="154"/>
        <v>Sábado</v>
      </c>
    </row>
    <row r="2864" spans="1:4" x14ac:dyDescent="0.25">
      <c r="A2864" s="88" t="str">
        <f t="shared" si="152"/>
        <v>11-2030</v>
      </c>
      <c r="B2864" s="86">
        <v>47790</v>
      </c>
      <c r="C2864" t="str">
        <f t="shared" si="153"/>
        <v>DOM</v>
      </c>
      <c r="D2864" t="str">
        <f t="shared" si="154"/>
        <v>Domingo</v>
      </c>
    </row>
    <row r="2865" spans="1:4" x14ac:dyDescent="0.25">
      <c r="A2865" s="88" t="str">
        <f t="shared" si="152"/>
        <v>11-2030</v>
      </c>
      <c r="B2865" s="86">
        <v>47791</v>
      </c>
      <c r="C2865" t="str">
        <f t="shared" si="153"/>
        <v>L-V</v>
      </c>
      <c r="D2865" t="str">
        <f t="shared" si="154"/>
        <v>Lunes</v>
      </c>
    </row>
    <row r="2866" spans="1:4" x14ac:dyDescent="0.25">
      <c r="A2866" s="88" t="str">
        <f t="shared" si="152"/>
        <v>11-2030</v>
      </c>
      <c r="B2866" s="86">
        <v>47792</v>
      </c>
      <c r="C2866" t="str">
        <f t="shared" si="153"/>
        <v>L-V</v>
      </c>
      <c r="D2866" t="str">
        <f t="shared" si="154"/>
        <v>Martes</v>
      </c>
    </row>
    <row r="2867" spans="1:4" x14ac:dyDescent="0.25">
      <c r="A2867" s="88" t="str">
        <f t="shared" si="152"/>
        <v>11-2030</v>
      </c>
      <c r="B2867" s="86">
        <v>47793</v>
      </c>
      <c r="C2867" t="str">
        <f t="shared" si="153"/>
        <v>L-V</v>
      </c>
      <c r="D2867" t="str">
        <f t="shared" si="154"/>
        <v>Miércoles</v>
      </c>
    </row>
    <row r="2868" spans="1:4" x14ac:dyDescent="0.25">
      <c r="A2868" s="88" t="str">
        <f t="shared" si="152"/>
        <v>11-2030</v>
      </c>
      <c r="B2868" s="86">
        <v>47794</v>
      </c>
      <c r="C2868" t="str">
        <f t="shared" si="153"/>
        <v>L-V</v>
      </c>
      <c r="D2868" t="str">
        <f t="shared" si="154"/>
        <v>Jueves</v>
      </c>
    </row>
    <row r="2869" spans="1:4" x14ac:dyDescent="0.25">
      <c r="A2869" s="88" t="str">
        <f t="shared" si="152"/>
        <v>11-2030</v>
      </c>
      <c r="B2869" s="86">
        <v>47795</v>
      </c>
      <c r="C2869" t="str">
        <f t="shared" si="153"/>
        <v>L-V</v>
      </c>
      <c r="D2869" t="str">
        <f t="shared" si="154"/>
        <v>Viernes</v>
      </c>
    </row>
    <row r="2870" spans="1:4" x14ac:dyDescent="0.25">
      <c r="A2870" s="88" t="str">
        <f t="shared" si="152"/>
        <v>11-2030</v>
      </c>
      <c r="B2870" s="86">
        <v>47796</v>
      </c>
      <c r="C2870" t="str">
        <f t="shared" si="153"/>
        <v>SAB</v>
      </c>
      <c r="D2870" t="str">
        <f t="shared" si="154"/>
        <v>Sábado</v>
      </c>
    </row>
    <row r="2871" spans="1:4" x14ac:dyDescent="0.25">
      <c r="A2871" s="88" t="str">
        <f t="shared" si="152"/>
        <v>11-2030</v>
      </c>
      <c r="B2871" s="86">
        <v>47797</v>
      </c>
      <c r="C2871" t="str">
        <f t="shared" si="153"/>
        <v>DOM</v>
      </c>
      <c r="D2871" t="str">
        <f t="shared" si="154"/>
        <v>Domingo</v>
      </c>
    </row>
    <row r="2872" spans="1:4" x14ac:dyDescent="0.25">
      <c r="A2872" s="88" t="str">
        <f t="shared" si="152"/>
        <v>11-2030</v>
      </c>
      <c r="B2872" s="86">
        <v>47798</v>
      </c>
      <c r="C2872" t="str">
        <f t="shared" si="153"/>
        <v>L-V</v>
      </c>
      <c r="D2872" t="str">
        <f t="shared" si="154"/>
        <v>Lunes</v>
      </c>
    </row>
    <row r="2873" spans="1:4" x14ac:dyDescent="0.25">
      <c r="A2873" s="88" t="str">
        <f t="shared" si="152"/>
        <v>11-2030</v>
      </c>
      <c r="B2873" s="86">
        <v>47799</v>
      </c>
      <c r="C2873" t="str">
        <f t="shared" si="153"/>
        <v>L-V</v>
      </c>
      <c r="D2873" t="str">
        <f t="shared" si="154"/>
        <v>Martes</v>
      </c>
    </row>
    <row r="2874" spans="1:4" x14ac:dyDescent="0.25">
      <c r="A2874" s="88" t="str">
        <f t="shared" si="152"/>
        <v>11-2030</v>
      </c>
      <c r="B2874" s="86">
        <v>47800</v>
      </c>
      <c r="C2874" t="str">
        <f t="shared" si="153"/>
        <v>L-V</v>
      </c>
      <c r="D2874" t="str">
        <f t="shared" si="154"/>
        <v>Miércoles</v>
      </c>
    </row>
    <row r="2875" spans="1:4" x14ac:dyDescent="0.25">
      <c r="A2875" s="88" t="str">
        <f t="shared" si="152"/>
        <v>11-2030</v>
      </c>
      <c r="B2875" s="86">
        <v>47801</v>
      </c>
      <c r="C2875" t="str">
        <f t="shared" si="153"/>
        <v>L-V</v>
      </c>
      <c r="D2875" t="str">
        <f t="shared" si="154"/>
        <v>Jueves</v>
      </c>
    </row>
    <row r="2876" spans="1:4" x14ac:dyDescent="0.25">
      <c r="A2876" s="88" t="str">
        <f t="shared" si="152"/>
        <v>11-2030</v>
      </c>
      <c r="B2876" s="86">
        <v>47802</v>
      </c>
      <c r="C2876" t="str">
        <f t="shared" si="153"/>
        <v>L-V</v>
      </c>
      <c r="D2876" t="str">
        <f t="shared" si="154"/>
        <v>Viernes</v>
      </c>
    </row>
    <row r="2877" spans="1:4" x14ac:dyDescent="0.25">
      <c r="A2877" s="88" t="str">
        <f t="shared" si="152"/>
        <v>11-2030</v>
      </c>
      <c r="B2877" s="86">
        <v>47803</v>
      </c>
      <c r="C2877" t="str">
        <f t="shared" si="153"/>
        <v>SAB</v>
      </c>
      <c r="D2877" t="str">
        <f t="shared" si="154"/>
        <v>Sábado</v>
      </c>
    </row>
    <row r="2878" spans="1:4" x14ac:dyDescent="0.25">
      <c r="A2878" s="88" t="str">
        <f t="shared" si="152"/>
        <v>11-2030</v>
      </c>
      <c r="B2878" s="86">
        <v>47804</v>
      </c>
      <c r="C2878" t="str">
        <f t="shared" si="153"/>
        <v>DOM</v>
      </c>
      <c r="D2878" t="str">
        <f t="shared" si="154"/>
        <v>Domingo</v>
      </c>
    </row>
    <row r="2879" spans="1:4" x14ac:dyDescent="0.25">
      <c r="A2879" s="88" t="str">
        <f t="shared" si="152"/>
        <v>11-2030</v>
      </c>
      <c r="B2879" s="86">
        <v>47805</v>
      </c>
      <c r="C2879" t="str">
        <f t="shared" si="153"/>
        <v>L-V</v>
      </c>
      <c r="D2879" t="str">
        <f t="shared" si="154"/>
        <v>Lunes</v>
      </c>
    </row>
    <row r="2880" spans="1:4" x14ac:dyDescent="0.25">
      <c r="A2880" s="88" t="str">
        <f t="shared" si="152"/>
        <v>11-2030</v>
      </c>
      <c r="B2880" s="86">
        <v>47806</v>
      </c>
      <c r="C2880" t="str">
        <f t="shared" si="153"/>
        <v>L-V</v>
      </c>
      <c r="D2880" t="str">
        <f t="shared" si="154"/>
        <v>Martes</v>
      </c>
    </row>
    <row r="2881" spans="1:4" x14ac:dyDescent="0.25">
      <c r="A2881" s="88" t="str">
        <f t="shared" si="152"/>
        <v>11-2030</v>
      </c>
      <c r="B2881" s="86">
        <v>47807</v>
      </c>
      <c r="C2881" t="str">
        <f t="shared" si="153"/>
        <v>L-V</v>
      </c>
      <c r="D2881" t="str">
        <f t="shared" si="154"/>
        <v>Miércoles</v>
      </c>
    </row>
    <row r="2882" spans="1:4" x14ac:dyDescent="0.25">
      <c r="A2882" s="88" t="str">
        <f t="shared" ref="A2882:A2945" si="155">MONTH(B2882)&amp;"-"&amp;YEAR(B2882)</f>
        <v>11-2030</v>
      </c>
      <c r="B2882" s="86">
        <v>47808</v>
      </c>
      <c r="C2882" t="str">
        <f t="shared" si="153"/>
        <v>L-V</v>
      </c>
      <c r="D2882" t="str">
        <f t="shared" si="154"/>
        <v>Jueves</v>
      </c>
    </row>
    <row r="2883" spans="1:4" x14ac:dyDescent="0.25">
      <c r="A2883" s="88" t="str">
        <f t="shared" si="155"/>
        <v>11-2030</v>
      </c>
      <c r="B2883" s="86">
        <v>47809</v>
      </c>
      <c r="C2883" t="str">
        <f t="shared" ref="C2883:C2946" si="156">VLOOKUP(WEEKDAY(B2883,2),$F$1:$H$7,2)</f>
        <v>L-V</v>
      </c>
      <c r="D2883" t="str">
        <f t="shared" ref="D2883:D2946" si="157">VLOOKUP(WEEKDAY($B2883,2),$F$1:$H$7,3)</f>
        <v>Viernes</v>
      </c>
    </row>
    <row r="2884" spans="1:4" x14ac:dyDescent="0.25">
      <c r="A2884" s="88" t="str">
        <f t="shared" si="155"/>
        <v>11-2030</v>
      </c>
      <c r="B2884" s="86">
        <v>47810</v>
      </c>
      <c r="C2884" t="str">
        <f t="shared" si="156"/>
        <v>SAB</v>
      </c>
      <c r="D2884" t="str">
        <f t="shared" si="157"/>
        <v>Sábado</v>
      </c>
    </row>
    <row r="2885" spans="1:4" x14ac:dyDescent="0.25">
      <c r="A2885" s="88" t="str">
        <f t="shared" si="155"/>
        <v>11-2030</v>
      </c>
      <c r="B2885" s="86">
        <v>47811</v>
      </c>
      <c r="C2885" t="str">
        <f t="shared" si="156"/>
        <v>DOM</v>
      </c>
      <c r="D2885" t="str">
        <f t="shared" si="157"/>
        <v>Domingo</v>
      </c>
    </row>
    <row r="2886" spans="1:4" x14ac:dyDescent="0.25">
      <c r="A2886" s="88" t="str">
        <f t="shared" si="155"/>
        <v>11-2030</v>
      </c>
      <c r="B2886" s="86">
        <v>47812</v>
      </c>
      <c r="C2886" t="str">
        <f t="shared" si="156"/>
        <v>L-V</v>
      </c>
      <c r="D2886" t="str">
        <f t="shared" si="157"/>
        <v>Lunes</v>
      </c>
    </row>
    <row r="2887" spans="1:4" x14ac:dyDescent="0.25">
      <c r="A2887" s="88" t="str">
        <f t="shared" si="155"/>
        <v>11-2030</v>
      </c>
      <c r="B2887" s="86">
        <v>47813</v>
      </c>
      <c r="C2887" t="str">
        <f t="shared" si="156"/>
        <v>L-V</v>
      </c>
      <c r="D2887" t="str">
        <f t="shared" si="157"/>
        <v>Martes</v>
      </c>
    </row>
    <row r="2888" spans="1:4" x14ac:dyDescent="0.25">
      <c r="A2888" s="88" t="str">
        <f t="shared" si="155"/>
        <v>11-2030</v>
      </c>
      <c r="B2888" s="86">
        <v>47814</v>
      </c>
      <c r="C2888" t="str">
        <f t="shared" si="156"/>
        <v>L-V</v>
      </c>
      <c r="D2888" t="str">
        <f t="shared" si="157"/>
        <v>Miércoles</v>
      </c>
    </row>
    <row r="2889" spans="1:4" x14ac:dyDescent="0.25">
      <c r="A2889" s="88" t="str">
        <f t="shared" si="155"/>
        <v>11-2030</v>
      </c>
      <c r="B2889" s="86">
        <v>47815</v>
      </c>
      <c r="C2889" t="str">
        <f t="shared" si="156"/>
        <v>L-V</v>
      </c>
      <c r="D2889" t="str">
        <f t="shared" si="157"/>
        <v>Jueves</v>
      </c>
    </row>
    <row r="2890" spans="1:4" x14ac:dyDescent="0.25">
      <c r="A2890" s="88" t="str">
        <f t="shared" si="155"/>
        <v>11-2030</v>
      </c>
      <c r="B2890" s="86">
        <v>47816</v>
      </c>
      <c r="C2890" t="str">
        <f t="shared" si="156"/>
        <v>L-V</v>
      </c>
      <c r="D2890" t="str">
        <f t="shared" si="157"/>
        <v>Viernes</v>
      </c>
    </row>
    <row r="2891" spans="1:4" x14ac:dyDescent="0.25">
      <c r="A2891" s="88" t="str">
        <f t="shared" si="155"/>
        <v>11-2030</v>
      </c>
      <c r="B2891" s="86">
        <v>47817</v>
      </c>
      <c r="C2891" t="str">
        <f t="shared" si="156"/>
        <v>SAB</v>
      </c>
      <c r="D2891" t="str">
        <f t="shared" si="157"/>
        <v>Sábado</v>
      </c>
    </row>
    <row r="2892" spans="1:4" x14ac:dyDescent="0.25">
      <c r="A2892" s="88" t="str">
        <f t="shared" si="155"/>
        <v>12-2030</v>
      </c>
      <c r="B2892" s="86">
        <v>47818</v>
      </c>
      <c r="C2892" t="str">
        <f t="shared" si="156"/>
        <v>DOM</v>
      </c>
      <c r="D2892" t="str">
        <f t="shared" si="157"/>
        <v>Domingo</v>
      </c>
    </row>
    <row r="2893" spans="1:4" x14ac:dyDescent="0.25">
      <c r="A2893" s="88" t="str">
        <f t="shared" si="155"/>
        <v>12-2030</v>
      </c>
      <c r="B2893" s="86">
        <v>47819</v>
      </c>
      <c r="C2893" t="str">
        <f t="shared" si="156"/>
        <v>L-V</v>
      </c>
      <c r="D2893" t="str">
        <f t="shared" si="157"/>
        <v>Lunes</v>
      </c>
    </row>
    <row r="2894" spans="1:4" x14ac:dyDescent="0.25">
      <c r="A2894" s="88" t="str">
        <f t="shared" si="155"/>
        <v>12-2030</v>
      </c>
      <c r="B2894" s="86">
        <v>47820</v>
      </c>
      <c r="C2894" t="str">
        <f t="shared" si="156"/>
        <v>L-V</v>
      </c>
      <c r="D2894" t="str">
        <f t="shared" si="157"/>
        <v>Martes</v>
      </c>
    </row>
    <row r="2895" spans="1:4" x14ac:dyDescent="0.25">
      <c r="A2895" s="88" t="str">
        <f t="shared" si="155"/>
        <v>12-2030</v>
      </c>
      <c r="B2895" s="86">
        <v>47821</v>
      </c>
      <c r="C2895" t="str">
        <f t="shared" si="156"/>
        <v>L-V</v>
      </c>
      <c r="D2895" t="str">
        <f t="shared" si="157"/>
        <v>Miércoles</v>
      </c>
    </row>
    <row r="2896" spans="1:4" x14ac:dyDescent="0.25">
      <c r="A2896" s="88" t="str">
        <f t="shared" si="155"/>
        <v>12-2030</v>
      </c>
      <c r="B2896" s="86">
        <v>47822</v>
      </c>
      <c r="C2896" t="str">
        <f t="shared" si="156"/>
        <v>L-V</v>
      </c>
      <c r="D2896" t="str">
        <f t="shared" si="157"/>
        <v>Jueves</v>
      </c>
    </row>
    <row r="2897" spans="1:4" x14ac:dyDescent="0.25">
      <c r="A2897" s="88" t="str">
        <f t="shared" si="155"/>
        <v>12-2030</v>
      </c>
      <c r="B2897" s="86">
        <v>47823</v>
      </c>
      <c r="C2897" t="str">
        <f t="shared" si="156"/>
        <v>L-V</v>
      </c>
      <c r="D2897" t="str">
        <f t="shared" si="157"/>
        <v>Viernes</v>
      </c>
    </row>
    <row r="2898" spans="1:4" x14ac:dyDescent="0.25">
      <c r="A2898" s="88" t="str">
        <f t="shared" si="155"/>
        <v>12-2030</v>
      </c>
      <c r="B2898" s="86">
        <v>47824</v>
      </c>
      <c r="C2898" t="str">
        <f t="shared" si="156"/>
        <v>SAB</v>
      </c>
      <c r="D2898" t="str">
        <f t="shared" si="157"/>
        <v>Sábado</v>
      </c>
    </row>
    <row r="2899" spans="1:4" x14ac:dyDescent="0.25">
      <c r="A2899" s="88" t="str">
        <f t="shared" si="155"/>
        <v>12-2030</v>
      </c>
      <c r="B2899" s="86">
        <v>47825</v>
      </c>
      <c r="C2899" t="str">
        <f t="shared" si="156"/>
        <v>DOM</v>
      </c>
      <c r="D2899" t="str">
        <f t="shared" si="157"/>
        <v>Domingo</v>
      </c>
    </row>
    <row r="2900" spans="1:4" x14ac:dyDescent="0.25">
      <c r="A2900" s="88" t="str">
        <f t="shared" si="155"/>
        <v>12-2030</v>
      </c>
      <c r="B2900" s="86">
        <v>47826</v>
      </c>
      <c r="C2900" t="str">
        <f t="shared" si="156"/>
        <v>L-V</v>
      </c>
      <c r="D2900" t="str">
        <f t="shared" si="157"/>
        <v>Lunes</v>
      </c>
    </row>
    <row r="2901" spans="1:4" x14ac:dyDescent="0.25">
      <c r="A2901" s="88" t="str">
        <f t="shared" si="155"/>
        <v>12-2030</v>
      </c>
      <c r="B2901" s="86">
        <v>47827</v>
      </c>
      <c r="C2901" t="str">
        <f t="shared" si="156"/>
        <v>L-V</v>
      </c>
      <c r="D2901" t="str">
        <f t="shared" si="157"/>
        <v>Martes</v>
      </c>
    </row>
    <row r="2902" spans="1:4" x14ac:dyDescent="0.25">
      <c r="A2902" s="88" t="str">
        <f t="shared" si="155"/>
        <v>12-2030</v>
      </c>
      <c r="B2902" s="86">
        <v>47828</v>
      </c>
      <c r="C2902" t="str">
        <f t="shared" si="156"/>
        <v>L-V</v>
      </c>
      <c r="D2902" t="str">
        <f t="shared" si="157"/>
        <v>Miércoles</v>
      </c>
    </row>
    <row r="2903" spans="1:4" x14ac:dyDescent="0.25">
      <c r="A2903" s="88" t="str">
        <f t="shared" si="155"/>
        <v>12-2030</v>
      </c>
      <c r="B2903" s="86">
        <v>47829</v>
      </c>
      <c r="C2903" t="str">
        <f t="shared" si="156"/>
        <v>L-V</v>
      </c>
      <c r="D2903" t="str">
        <f t="shared" si="157"/>
        <v>Jueves</v>
      </c>
    </row>
    <row r="2904" spans="1:4" x14ac:dyDescent="0.25">
      <c r="A2904" s="88" t="str">
        <f t="shared" si="155"/>
        <v>12-2030</v>
      </c>
      <c r="B2904" s="86">
        <v>47830</v>
      </c>
      <c r="C2904" t="str">
        <f t="shared" si="156"/>
        <v>L-V</v>
      </c>
      <c r="D2904" t="str">
        <f t="shared" si="157"/>
        <v>Viernes</v>
      </c>
    </row>
    <row r="2905" spans="1:4" x14ac:dyDescent="0.25">
      <c r="A2905" s="88" t="str">
        <f t="shared" si="155"/>
        <v>12-2030</v>
      </c>
      <c r="B2905" s="86">
        <v>47831</v>
      </c>
      <c r="C2905" t="str">
        <f t="shared" si="156"/>
        <v>SAB</v>
      </c>
      <c r="D2905" t="str">
        <f t="shared" si="157"/>
        <v>Sábado</v>
      </c>
    </row>
    <row r="2906" spans="1:4" x14ac:dyDescent="0.25">
      <c r="A2906" s="88" t="str">
        <f t="shared" si="155"/>
        <v>12-2030</v>
      </c>
      <c r="B2906" s="86">
        <v>47832</v>
      </c>
      <c r="C2906" t="str">
        <f t="shared" si="156"/>
        <v>DOM</v>
      </c>
      <c r="D2906" t="str">
        <f t="shared" si="157"/>
        <v>Domingo</v>
      </c>
    </row>
    <row r="2907" spans="1:4" x14ac:dyDescent="0.25">
      <c r="A2907" s="88" t="str">
        <f t="shared" si="155"/>
        <v>12-2030</v>
      </c>
      <c r="B2907" s="86">
        <v>47833</v>
      </c>
      <c r="C2907" t="str">
        <f t="shared" si="156"/>
        <v>L-V</v>
      </c>
      <c r="D2907" t="str">
        <f t="shared" si="157"/>
        <v>Lunes</v>
      </c>
    </row>
    <row r="2908" spans="1:4" x14ac:dyDescent="0.25">
      <c r="A2908" s="88" t="str">
        <f t="shared" si="155"/>
        <v>12-2030</v>
      </c>
      <c r="B2908" s="86">
        <v>47834</v>
      </c>
      <c r="C2908" t="str">
        <f t="shared" si="156"/>
        <v>L-V</v>
      </c>
      <c r="D2908" t="str">
        <f t="shared" si="157"/>
        <v>Martes</v>
      </c>
    </row>
    <row r="2909" spans="1:4" x14ac:dyDescent="0.25">
      <c r="A2909" s="88" t="str">
        <f t="shared" si="155"/>
        <v>12-2030</v>
      </c>
      <c r="B2909" s="86">
        <v>47835</v>
      </c>
      <c r="C2909" t="str">
        <f t="shared" si="156"/>
        <v>L-V</v>
      </c>
      <c r="D2909" t="str">
        <f t="shared" si="157"/>
        <v>Miércoles</v>
      </c>
    </row>
    <row r="2910" spans="1:4" x14ac:dyDescent="0.25">
      <c r="A2910" s="88" t="str">
        <f t="shared" si="155"/>
        <v>12-2030</v>
      </c>
      <c r="B2910" s="86">
        <v>47836</v>
      </c>
      <c r="C2910" t="str">
        <f t="shared" si="156"/>
        <v>L-V</v>
      </c>
      <c r="D2910" t="str">
        <f t="shared" si="157"/>
        <v>Jueves</v>
      </c>
    </row>
    <row r="2911" spans="1:4" x14ac:dyDescent="0.25">
      <c r="A2911" s="88" t="str">
        <f t="shared" si="155"/>
        <v>12-2030</v>
      </c>
      <c r="B2911" s="86">
        <v>47837</v>
      </c>
      <c r="C2911" t="str">
        <f t="shared" si="156"/>
        <v>L-V</v>
      </c>
      <c r="D2911" t="str">
        <f t="shared" si="157"/>
        <v>Viernes</v>
      </c>
    </row>
    <row r="2912" spans="1:4" x14ac:dyDescent="0.25">
      <c r="A2912" s="88" t="str">
        <f t="shared" si="155"/>
        <v>12-2030</v>
      </c>
      <c r="B2912" s="86">
        <v>47838</v>
      </c>
      <c r="C2912" t="str">
        <f t="shared" si="156"/>
        <v>SAB</v>
      </c>
      <c r="D2912" t="str">
        <f t="shared" si="157"/>
        <v>Sábado</v>
      </c>
    </row>
    <row r="2913" spans="1:4" x14ac:dyDescent="0.25">
      <c r="A2913" s="88" t="str">
        <f t="shared" si="155"/>
        <v>12-2030</v>
      </c>
      <c r="B2913" s="86">
        <v>47839</v>
      </c>
      <c r="C2913" t="str">
        <f t="shared" si="156"/>
        <v>DOM</v>
      </c>
      <c r="D2913" t="str">
        <f t="shared" si="157"/>
        <v>Domingo</v>
      </c>
    </row>
    <row r="2914" spans="1:4" x14ac:dyDescent="0.25">
      <c r="A2914" s="88" t="str">
        <f t="shared" si="155"/>
        <v>12-2030</v>
      </c>
      <c r="B2914" s="86">
        <v>47840</v>
      </c>
      <c r="C2914" t="str">
        <f t="shared" si="156"/>
        <v>L-V</v>
      </c>
      <c r="D2914" t="str">
        <f t="shared" si="157"/>
        <v>Lunes</v>
      </c>
    </row>
    <row r="2915" spans="1:4" x14ac:dyDescent="0.25">
      <c r="A2915" s="88" t="str">
        <f t="shared" si="155"/>
        <v>12-2030</v>
      </c>
      <c r="B2915" s="86">
        <v>47841</v>
      </c>
      <c r="C2915" t="str">
        <f t="shared" si="156"/>
        <v>L-V</v>
      </c>
      <c r="D2915" t="str">
        <f t="shared" si="157"/>
        <v>Martes</v>
      </c>
    </row>
    <row r="2916" spans="1:4" x14ac:dyDescent="0.25">
      <c r="A2916" s="88" t="str">
        <f t="shared" si="155"/>
        <v>12-2030</v>
      </c>
      <c r="B2916" s="86">
        <v>47842</v>
      </c>
      <c r="C2916" t="str">
        <f t="shared" si="156"/>
        <v>L-V</v>
      </c>
      <c r="D2916" t="str">
        <f t="shared" si="157"/>
        <v>Miércoles</v>
      </c>
    </row>
    <row r="2917" spans="1:4" x14ac:dyDescent="0.25">
      <c r="A2917" s="88" t="str">
        <f t="shared" si="155"/>
        <v>12-2030</v>
      </c>
      <c r="B2917" s="86">
        <v>47843</v>
      </c>
      <c r="C2917" t="str">
        <f t="shared" si="156"/>
        <v>L-V</v>
      </c>
      <c r="D2917" t="str">
        <f t="shared" si="157"/>
        <v>Jueves</v>
      </c>
    </row>
    <row r="2918" spans="1:4" x14ac:dyDescent="0.25">
      <c r="A2918" s="88" t="str">
        <f t="shared" si="155"/>
        <v>12-2030</v>
      </c>
      <c r="B2918" s="86">
        <v>47844</v>
      </c>
      <c r="C2918" t="str">
        <f t="shared" si="156"/>
        <v>L-V</v>
      </c>
      <c r="D2918" t="str">
        <f t="shared" si="157"/>
        <v>Viernes</v>
      </c>
    </row>
    <row r="2919" spans="1:4" x14ac:dyDescent="0.25">
      <c r="A2919" s="88" t="str">
        <f t="shared" si="155"/>
        <v>12-2030</v>
      </c>
      <c r="B2919" s="86">
        <v>47845</v>
      </c>
      <c r="C2919" t="str">
        <f t="shared" si="156"/>
        <v>SAB</v>
      </c>
      <c r="D2919" t="str">
        <f t="shared" si="157"/>
        <v>Sábado</v>
      </c>
    </row>
    <row r="2920" spans="1:4" x14ac:dyDescent="0.25">
      <c r="A2920" s="88" t="str">
        <f t="shared" si="155"/>
        <v>12-2030</v>
      </c>
      <c r="B2920" s="86">
        <v>47846</v>
      </c>
      <c r="C2920" t="str">
        <f t="shared" si="156"/>
        <v>DOM</v>
      </c>
      <c r="D2920" t="str">
        <f t="shared" si="157"/>
        <v>Domingo</v>
      </c>
    </row>
    <row r="2921" spans="1:4" x14ac:dyDescent="0.25">
      <c r="A2921" s="88" t="str">
        <f t="shared" si="155"/>
        <v>12-2030</v>
      </c>
      <c r="B2921" s="86">
        <v>47847</v>
      </c>
      <c r="C2921" t="str">
        <f t="shared" si="156"/>
        <v>L-V</v>
      </c>
      <c r="D2921" t="str">
        <f t="shared" si="157"/>
        <v>Lunes</v>
      </c>
    </row>
    <row r="2922" spans="1:4" x14ac:dyDescent="0.25">
      <c r="A2922" s="88" t="str">
        <f t="shared" si="155"/>
        <v>12-2030</v>
      </c>
      <c r="B2922" s="86">
        <v>47848</v>
      </c>
      <c r="C2922" t="str">
        <f t="shared" si="156"/>
        <v>L-V</v>
      </c>
      <c r="D2922" t="str">
        <f t="shared" si="157"/>
        <v>Martes</v>
      </c>
    </row>
    <row r="2923" spans="1:4" x14ac:dyDescent="0.25">
      <c r="A2923" s="88" t="str">
        <f t="shared" si="155"/>
        <v>1-2031</v>
      </c>
      <c r="B2923" s="86">
        <v>47849</v>
      </c>
      <c r="C2923" t="str">
        <f t="shared" si="156"/>
        <v>L-V</v>
      </c>
      <c r="D2923" t="str">
        <f t="shared" si="157"/>
        <v>Miércoles</v>
      </c>
    </row>
    <row r="2924" spans="1:4" x14ac:dyDescent="0.25">
      <c r="A2924" s="88" t="str">
        <f t="shared" si="155"/>
        <v>1-2031</v>
      </c>
      <c r="B2924" s="86">
        <v>47850</v>
      </c>
      <c r="C2924" t="str">
        <f t="shared" si="156"/>
        <v>L-V</v>
      </c>
      <c r="D2924" t="str">
        <f t="shared" si="157"/>
        <v>Jueves</v>
      </c>
    </row>
    <row r="2925" spans="1:4" x14ac:dyDescent="0.25">
      <c r="A2925" s="88" t="str">
        <f t="shared" si="155"/>
        <v>1-2031</v>
      </c>
      <c r="B2925" s="86">
        <v>47851</v>
      </c>
      <c r="C2925" t="str">
        <f t="shared" si="156"/>
        <v>L-V</v>
      </c>
      <c r="D2925" t="str">
        <f t="shared" si="157"/>
        <v>Viernes</v>
      </c>
    </row>
    <row r="2926" spans="1:4" x14ac:dyDescent="0.25">
      <c r="A2926" s="88" t="str">
        <f t="shared" si="155"/>
        <v>1-2031</v>
      </c>
      <c r="B2926" s="86">
        <v>47852</v>
      </c>
      <c r="C2926" t="str">
        <f t="shared" si="156"/>
        <v>SAB</v>
      </c>
      <c r="D2926" t="str">
        <f t="shared" si="157"/>
        <v>Sábado</v>
      </c>
    </row>
    <row r="2927" spans="1:4" x14ac:dyDescent="0.25">
      <c r="A2927" s="88" t="str">
        <f t="shared" si="155"/>
        <v>1-2031</v>
      </c>
      <c r="B2927" s="86">
        <v>47853</v>
      </c>
      <c r="C2927" t="str">
        <f t="shared" si="156"/>
        <v>DOM</v>
      </c>
      <c r="D2927" t="str">
        <f t="shared" si="157"/>
        <v>Domingo</v>
      </c>
    </row>
    <row r="2928" spans="1:4" x14ac:dyDescent="0.25">
      <c r="A2928" s="88" t="str">
        <f t="shared" si="155"/>
        <v>1-2031</v>
      </c>
      <c r="B2928" s="86">
        <v>47854</v>
      </c>
      <c r="C2928" t="str">
        <f t="shared" si="156"/>
        <v>L-V</v>
      </c>
      <c r="D2928" t="str">
        <f t="shared" si="157"/>
        <v>Lunes</v>
      </c>
    </row>
    <row r="2929" spans="1:4" x14ac:dyDescent="0.25">
      <c r="A2929" s="88" t="str">
        <f t="shared" si="155"/>
        <v>1-2031</v>
      </c>
      <c r="B2929" s="86">
        <v>47855</v>
      </c>
      <c r="C2929" t="str">
        <f t="shared" si="156"/>
        <v>L-V</v>
      </c>
      <c r="D2929" t="str">
        <f t="shared" si="157"/>
        <v>Martes</v>
      </c>
    </row>
    <row r="2930" spans="1:4" x14ac:dyDescent="0.25">
      <c r="A2930" s="88" t="str">
        <f t="shared" si="155"/>
        <v>1-2031</v>
      </c>
      <c r="B2930" s="86">
        <v>47856</v>
      </c>
      <c r="C2930" t="str">
        <f t="shared" si="156"/>
        <v>L-V</v>
      </c>
      <c r="D2930" t="str">
        <f t="shared" si="157"/>
        <v>Miércoles</v>
      </c>
    </row>
    <row r="2931" spans="1:4" x14ac:dyDescent="0.25">
      <c r="A2931" s="88" t="str">
        <f t="shared" si="155"/>
        <v>1-2031</v>
      </c>
      <c r="B2931" s="86">
        <v>47857</v>
      </c>
      <c r="C2931" t="str">
        <f t="shared" si="156"/>
        <v>L-V</v>
      </c>
      <c r="D2931" t="str">
        <f t="shared" si="157"/>
        <v>Jueves</v>
      </c>
    </row>
    <row r="2932" spans="1:4" x14ac:dyDescent="0.25">
      <c r="A2932" s="88" t="str">
        <f t="shared" si="155"/>
        <v>1-2031</v>
      </c>
      <c r="B2932" s="86">
        <v>47858</v>
      </c>
      <c r="C2932" t="str">
        <f t="shared" si="156"/>
        <v>L-V</v>
      </c>
      <c r="D2932" t="str">
        <f t="shared" si="157"/>
        <v>Viernes</v>
      </c>
    </row>
    <row r="2933" spans="1:4" x14ac:dyDescent="0.25">
      <c r="A2933" s="88" t="str">
        <f t="shared" si="155"/>
        <v>1-2031</v>
      </c>
      <c r="B2933" s="86">
        <v>47859</v>
      </c>
      <c r="C2933" t="str">
        <f t="shared" si="156"/>
        <v>SAB</v>
      </c>
      <c r="D2933" t="str">
        <f t="shared" si="157"/>
        <v>Sábado</v>
      </c>
    </row>
    <row r="2934" spans="1:4" x14ac:dyDescent="0.25">
      <c r="A2934" s="88" t="str">
        <f t="shared" si="155"/>
        <v>1-2031</v>
      </c>
      <c r="B2934" s="86">
        <v>47860</v>
      </c>
      <c r="C2934" t="str">
        <f t="shared" si="156"/>
        <v>DOM</v>
      </c>
      <c r="D2934" t="str">
        <f t="shared" si="157"/>
        <v>Domingo</v>
      </c>
    </row>
    <row r="2935" spans="1:4" x14ac:dyDescent="0.25">
      <c r="A2935" s="88" t="str">
        <f t="shared" si="155"/>
        <v>1-2031</v>
      </c>
      <c r="B2935" s="86">
        <v>47861</v>
      </c>
      <c r="C2935" t="str">
        <f t="shared" si="156"/>
        <v>L-V</v>
      </c>
      <c r="D2935" t="str">
        <f t="shared" si="157"/>
        <v>Lunes</v>
      </c>
    </row>
    <row r="2936" spans="1:4" x14ac:dyDescent="0.25">
      <c r="A2936" s="88" t="str">
        <f t="shared" si="155"/>
        <v>1-2031</v>
      </c>
      <c r="B2936" s="86">
        <v>47862</v>
      </c>
      <c r="C2936" t="str">
        <f t="shared" si="156"/>
        <v>L-V</v>
      </c>
      <c r="D2936" t="str">
        <f t="shared" si="157"/>
        <v>Martes</v>
      </c>
    </row>
    <row r="2937" spans="1:4" x14ac:dyDescent="0.25">
      <c r="A2937" s="88" t="str">
        <f t="shared" si="155"/>
        <v>1-2031</v>
      </c>
      <c r="B2937" s="86">
        <v>47863</v>
      </c>
      <c r="C2937" t="str">
        <f t="shared" si="156"/>
        <v>L-V</v>
      </c>
      <c r="D2937" t="str">
        <f t="shared" si="157"/>
        <v>Miércoles</v>
      </c>
    </row>
    <row r="2938" spans="1:4" x14ac:dyDescent="0.25">
      <c r="A2938" s="88" t="str">
        <f t="shared" si="155"/>
        <v>1-2031</v>
      </c>
      <c r="B2938" s="86">
        <v>47864</v>
      </c>
      <c r="C2938" t="str">
        <f t="shared" si="156"/>
        <v>L-V</v>
      </c>
      <c r="D2938" t="str">
        <f t="shared" si="157"/>
        <v>Jueves</v>
      </c>
    </row>
    <row r="2939" spans="1:4" x14ac:dyDescent="0.25">
      <c r="A2939" s="88" t="str">
        <f t="shared" si="155"/>
        <v>1-2031</v>
      </c>
      <c r="B2939" s="86">
        <v>47865</v>
      </c>
      <c r="C2939" t="str">
        <f t="shared" si="156"/>
        <v>L-V</v>
      </c>
      <c r="D2939" t="str">
        <f t="shared" si="157"/>
        <v>Viernes</v>
      </c>
    </row>
    <row r="2940" spans="1:4" x14ac:dyDescent="0.25">
      <c r="A2940" s="88" t="str">
        <f t="shared" si="155"/>
        <v>1-2031</v>
      </c>
      <c r="B2940" s="86">
        <v>47866</v>
      </c>
      <c r="C2940" t="str">
        <f t="shared" si="156"/>
        <v>SAB</v>
      </c>
      <c r="D2940" t="str">
        <f t="shared" si="157"/>
        <v>Sábado</v>
      </c>
    </row>
    <row r="2941" spans="1:4" x14ac:dyDescent="0.25">
      <c r="A2941" s="88" t="str">
        <f t="shared" si="155"/>
        <v>1-2031</v>
      </c>
      <c r="B2941" s="86">
        <v>47867</v>
      </c>
      <c r="C2941" t="str">
        <f t="shared" si="156"/>
        <v>DOM</v>
      </c>
      <c r="D2941" t="str">
        <f t="shared" si="157"/>
        <v>Domingo</v>
      </c>
    </row>
    <row r="2942" spans="1:4" x14ac:dyDescent="0.25">
      <c r="A2942" s="88" t="str">
        <f t="shared" si="155"/>
        <v>1-2031</v>
      </c>
      <c r="B2942" s="86">
        <v>47868</v>
      </c>
      <c r="C2942" t="str">
        <f t="shared" si="156"/>
        <v>L-V</v>
      </c>
      <c r="D2942" t="str">
        <f t="shared" si="157"/>
        <v>Lunes</v>
      </c>
    </row>
    <row r="2943" spans="1:4" x14ac:dyDescent="0.25">
      <c r="A2943" s="88" t="str">
        <f t="shared" si="155"/>
        <v>1-2031</v>
      </c>
      <c r="B2943" s="86">
        <v>47869</v>
      </c>
      <c r="C2943" t="str">
        <f t="shared" si="156"/>
        <v>L-V</v>
      </c>
      <c r="D2943" t="str">
        <f t="shared" si="157"/>
        <v>Martes</v>
      </c>
    </row>
    <row r="2944" spans="1:4" x14ac:dyDescent="0.25">
      <c r="A2944" s="88" t="str">
        <f t="shared" si="155"/>
        <v>1-2031</v>
      </c>
      <c r="B2944" s="86">
        <v>47870</v>
      </c>
      <c r="C2944" t="str">
        <f t="shared" si="156"/>
        <v>L-V</v>
      </c>
      <c r="D2944" t="str">
        <f t="shared" si="157"/>
        <v>Miércoles</v>
      </c>
    </row>
    <row r="2945" spans="1:4" x14ac:dyDescent="0.25">
      <c r="A2945" s="88" t="str">
        <f t="shared" si="155"/>
        <v>1-2031</v>
      </c>
      <c r="B2945" s="86">
        <v>47871</v>
      </c>
      <c r="C2945" t="str">
        <f t="shared" si="156"/>
        <v>L-V</v>
      </c>
      <c r="D2945" t="str">
        <f t="shared" si="157"/>
        <v>Jueves</v>
      </c>
    </row>
    <row r="2946" spans="1:4" x14ac:dyDescent="0.25">
      <c r="A2946" s="88" t="str">
        <f t="shared" ref="A2946:A3009" si="158">MONTH(B2946)&amp;"-"&amp;YEAR(B2946)</f>
        <v>1-2031</v>
      </c>
      <c r="B2946" s="86">
        <v>47872</v>
      </c>
      <c r="C2946" t="str">
        <f t="shared" si="156"/>
        <v>L-V</v>
      </c>
      <c r="D2946" t="str">
        <f t="shared" si="157"/>
        <v>Viernes</v>
      </c>
    </row>
    <row r="2947" spans="1:4" x14ac:dyDescent="0.25">
      <c r="A2947" s="88" t="str">
        <f t="shared" si="158"/>
        <v>1-2031</v>
      </c>
      <c r="B2947" s="86">
        <v>47873</v>
      </c>
      <c r="C2947" t="str">
        <f t="shared" ref="C2947:C3010" si="159">VLOOKUP(WEEKDAY(B2947,2),$F$1:$H$7,2)</f>
        <v>SAB</v>
      </c>
      <c r="D2947" t="str">
        <f t="shared" ref="D2947:D3010" si="160">VLOOKUP(WEEKDAY($B2947,2),$F$1:$H$7,3)</f>
        <v>Sábado</v>
      </c>
    </row>
    <row r="2948" spans="1:4" x14ac:dyDescent="0.25">
      <c r="A2948" s="88" t="str">
        <f t="shared" si="158"/>
        <v>1-2031</v>
      </c>
      <c r="B2948" s="86">
        <v>47874</v>
      </c>
      <c r="C2948" t="str">
        <f t="shared" si="159"/>
        <v>DOM</v>
      </c>
      <c r="D2948" t="str">
        <f t="shared" si="160"/>
        <v>Domingo</v>
      </c>
    </row>
    <row r="2949" spans="1:4" x14ac:dyDescent="0.25">
      <c r="A2949" s="88" t="str">
        <f t="shared" si="158"/>
        <v>1-2031</v>
      </c>
      <c r="B2949" s="86">
        <v>47875</v>
      </c>
      <c r="C2949" t="str">
        <f t="shared" si="159"/>
        <v>L-V</v>
      </c>
      <c r="D2949" t="str">
        <f t="shared" si="160"/>
        <v>Lunes</v>
      </c>
    </row>
    <row r="2950" spans="1:4" x14ac:dyDescent="0.25">
      <c r="A2950" s="88" t="str">
        <f t="shared" si="158"/>
        <v>1-2031</v>
      </c>
      <c r="B2950" s="86">
        <v>47876</v>
      </c>
      <c r="C2950" t="str">
        <f t="shared" si="159"/>
        <v>L-V</v>
      </c>
      <c r="D2950" t="str">
        <f t="shared" si="160"/>
        <v>Martes</v>
      </c>
    </row>
    <row r="2951" spans="1:4" x14ac:dyDescent="0.25">
      <c r="A2951" s="88" t="str">
        <f t="shared" si="158"/>
        <v>1-2031</v>
      </c>
      <c r="B2951" s="86">
        <v>47877</v>
      </c>
      <c r="C2951" t="str">
        <f t="shared" si="159"/>
        <v>L-V</v>
      </c>
      <c r="D2951" t="str">
        <f t="shared" si="160"/>
        <v>Miércoles</v>
      </c>
    </row>
    <row r="2952" spans="1:4" x14ac:dyDescent="0.25">
      <c r="A2952" s="88" t="str">
        <f t="shared" si="158"/>
        <v>1-2031</v>
      </c>
      <c r="B2952" s="86">
        <v>47878</v>
      </c>
      <c r="C2952" t="str">
        <f t="shared" si="159"/>
        <v>L-V</v>
      </c>
      <c r="D2952" t="str">
        <f t="shared" si="160"/>
        <v>Jueves</v>
      </c>
    </row>
    <row r="2953" spans="1:4" x14ac:dyDescent="0.25">
      <c r="A2953" s="88" t="str">
        <f t="shared" si="158"/>
        <v>1-2031</v>
      </c>
      <c r="B2953" s="86">
        <v>47879</v>
      </c>
      <c r="C2953" t="str">
        <f t="shared" si="159"/>
        <v>L-V</v>
      </c>
      <c r="D2953" t="str">
        <f t="shared" si="160"/>
        <v>Viernes</v>
      </c>
    </row>
    <row r="2954" spans="1:4" x14ac:dyDescent="0.25">
      <c r="A2954" s="88" t="str">
        <f t="shared" si="158"/>
        <v>2-2031</v>
      </c>
      <c r="B2954" s="86">
        <v>47880</v>
      </c>
      <c r="C2954" t="str">
        <f t="shared" si="159"/>
        <v>SAB</v>
      </c>
      <c r="D2954" t="str">
        <f t="shared" si="160"/>
        <v>Sábado</v>
      </c>
    </row>
    <row r="2955" spans="1:4" x14ac:dyDescent="0.25">
      <c r="A2955" s="88" t="str">
        <f t="shared" si="158"/>
        <v>2-2031</v>
      </c>
      <c r="B2955" s="86">
        <v>47881</v>
      </c>
      <c r="C2955" t="str">
        <f t="shared" si="159"/>
        <v>DOM</v>
      </c>
      <c r="D2955" t="str">
        <f t="shared" si="160"/>
        <v>Domingo</v>
      </c>
    </row>
    <row r="2956" spans="1:4" x14ac:dyDescent="0.25">
      <c r="A2956" s="88" t="str">
        <f t="shared" si="158"/>
        <v>2-2031</v>
      </c>
      <c r="B2956" s="86">
        <v>47882</v>
      </c>
      <c r="C2956" t="str">
        <f t="shared" si="159"/>
        <v>L-V</v>
      </c>
      <c r="D2956" t="str">
        <f t="shared" si="160"/>
        <v>Lunes</v>
      </c>
    </row>
    <row r="2957" spans="1:4" x14ac:dyDescent="0.25">
      <c r="A2957" s="88" t="str">
        <f t="shared" si="158"/>
        <v>2-2031</v>
      </c>
      <c r="B2957" s="86">
        <v>47883</v>
      </c>
      <c r="C2957" t="str">
        <f t="shared" si="159"/>
        <v>L-V</v>
      </c>
      <c r="D2957" t="str">
        <f t="shared" si="160"/>
        <v>Martes</v>
      </c>
    </row>
    <row r="2958" spans="1:4" x14ac:dyDescent="0.25">
      <c r="A2958" s="88" t="str">
        <f t="shared" si="158"/>
        <v>2-2031</v>
      </c>
      <c r="B2958" s="86">
        <v>47884</v>
      </c>
      <c r="C2958" t="str">
        <f t="shared" si="159"/>
        <v>L-V</v>
      </c>
      <c r="D2958" t="str">
        <f t="shared" si="160"/>
        <v>Miércoles</v>
      </c>
    </row>
    <row r="2959" spans="1:4" x14ac:dyDescent="0.25">
      <c r="A2959" s="88" t="str">
        <f t="shared" si="158"/>
        <v>2-2031</v>
      </c>
      <c r="B2959" s="86">
        <v>47885</v>
      </c>
      <c r="C2959" t="str">
        <f t="shared" si="159"/>
        <v>L-V</v>
      </c>
      <c r="D2959" t="str">
        <f t="shared" si="160"/>
        <v>Jueves</v>
      </c>
    </row>
    <row r="2960" spans="1:4" x14ac:dyDescent="0.25">
      <c r="A2960" s="88" t="str">
        <f t="shared" si="158"/>
        <v>2-2031</v>
      </c>
      <c r="B2960" s="86">
        <v>47886</v>
      </c>
      <c r="C2960" t="str">
        <f t="shared" si="159"/>
        <v>L-V</v>
      </c>
      <c r="D2960" t="str">
        <f t="shared" si="160"/>
        <v>Viernes</v>
      </c>
    </row>
    <row r="2961" spans="1:4" x14ac:dyDescent="0.25">
      <c r="A2961" s="88" t="str">
        <f t="shared" si="158"/>
        <v>2-2031</v>
      </c>
      <c r="B2961" s="86">
        <v>47887</v>
      </c>
      <c r="C2961" t="str">
        <f t="shared" si="159"/>
        <v>SAB</v>
      </c>
      <c r="D2961" t="str">
        <f t="shared" si="160"/>
        <v>Sábado</v>
      </c>
    </row>
    <row r="2962" spans="1:4" x14ac:dyDescent="0.25">
      <c r="A2962" s="88" t="str">
        <f t="shared" si="158"/>
        <v>2-2031</v>
      </c>
      <c r="B2962" s="86">
        <v>47888</v>
      </c>
      <c r="C2962" t="str">
        <f t="shared" si="159"/>
        <v>DOM</v>
      </c>
      <c r="D2962" t="str">
        <f t="shared" si="160"/>
        <v>Domingo</v>
      </c>
    </row>
    <row r="2963" spans="1:4" x14ac:dyDescent="0.25">
      <c r="A2963" s="88" t="str">
        <f t="shared" si="158"/>
        <v>2-2031</v>
      </c>
      <c r="B2963" s="86">
        <v>47889</v>
      </c>
      <c r="C2963" t="str">
        <f t="shared" si="159"/>
        <v>L-V</v>
      </c>
      <c r="D2963" t="str">
        <f t="shared" si="160"/>
        <v>Lunes</v>
      </c>
    </row>
    <row r="2964" spans="1:4" x14ac:dyDescent="0.25">
      <c r="A2964" s="88" t="str">
        <f t="shared" si="158"/>
        <v>2-2031</v>
      </c>
      <c r="B2964" s="86">
        <v>47890</v>
      </c>
      <c r="C2964" t="str">
        <f t="shared" si="159"/>
        <v>L-V</v>
      </c>
      <c r="D2964" t="str">
        <f t="shared" si="160"/>
        <v>Martes</v>
      </c>
    </row>
    <row r="2965" spans="1:4" x14ac:dyDescent="0.25">
      <c r="A2965" s="88" t="str">
        <f t="shared" si="158"/>
        <v>2-2031</v>
      </c>
      <c r="B2965" s="86">
        <v>47891</v>
      </c>
      <c r="C2965" t="str">
        <f t="shared" si="159"/>
        <v>L-V</v>
      </c>
      <c r="D2965" t="str">
        <f t="shared" si="160"/>
        <v>Miércoles</v>
      </c>
    </row>
    <row r="2966" spans="1:4" x14ac:dyDescent="0.25">
      <c r="A2966" s="88" t="str">
        <f t="shared" si="158"/>
        <v>2-2031</v>
      </c>
      <c r="B2966" s="86">
        <v>47892</v>
      </c>
      <c r="C2966" t="str">
        <f t="shared" si="159"/>
        <v>L-V</v>
      </c>
      <c r="D2966" t="str">
        <f t="shared" si="160"/>
        <v>Jueves</v>
      </c>
    </row>
    <row r="2967" spans="1:4" x14ac:dyDescent="0.25">
      <c r="A2967" s="88" t="str">
        <f t="shared" si="158"/>
        <v>2-2031</v>
      </c>
      <c r="B2967" s="86">
        <v>47893</v>
      </c>
      <c r="C2967" t="str">
        <f t="shared" si="159"/>
        <v>L-V</v>
      </c>
      <c r="D2967" t="str">
        <f t="shared" si="160"/>
        <v>Viernes</v>
      </c>
    </row>
    <row r="2968" spans="1:4" x14ac:dyDescent="0.25">
      <c r="A2968" s="88" t="str">
        <f t="shared" si="158"/>
        <v>2-2031</v>
      </c>
      <c r="B2968" s="86">
        <v>47894</v>
      </c>
      <c r="C2968" t="str">
        <f t="shared" si="159"/>
        <v>SAB</v>
      </c>
      <c r="D2968" t="str">
        <f t="shared" si="160"/>
        <v>Sábado</v>
      </c>
    </row>
    <row r="2969" spans="1:4" x14ac:dyDescent="0.25">
      <c r="A2969" s="88" t="str">
        <f t="shared" si="158"/>
        <v>2-2031</v>
      </c>
      <c r="B2969" s="86">
        <v>47895</v>
      </c>
      <c r="C2969" t="str">
        <f t="shared" si="159"/>
        <v>DOM</v>
      </c>
      <c r="D2969" t="str">
        <f t="shared" si="160"/>
        <v>Domingo</v>
      </c>
    </row>
    <row r="2970" spans="1:4" x14ac:dyDescent="0.25">
      <c r="A2970" s="88" t="str">
        <f t="shared" si="158"/>
        <v>2-2031</v>
      </c>
      <c r="B2970" s="86">
        <v>47896</v>
      </c>
      <c r="C2970" t="str">
        <f t="shared" si="159"/>
        <v>L-V</v>
      </c>
      <c r="D2970" t="str">
        <f t="shared" si="160"/>
        <v>Lunes</v>
      </c>
    </row>
    <row r="2971" spans="1:4" x14ac:dyDescent="0.25">
      <c r="A2971" s="88" t="str">
        <f t="shared" si="158"/>
        <v>2-2031</v>
      </c>
      <c r="B2971" s="86">
        <v>47897</v>
      </c>
      <c r="C2971" t="str">
        <f t="shared" si="159"/>
        <v>L-V</v>
      </c>
      <c r="D2971" t="str">
        <f t="shared" si="160"/>
        <v>Martes</v>
      </c>
    </row>
    <row r="2972" spans="1:4" x14ac:dyDescent="0.25">
      <c r="A2972" s="88" t="str">
        <f t="shared" si="158"/>
        <v>2-2031</v>
      </c>
      <c r="B2972" s="86">
        <v>47898</v>
      </c>
      <c r="C2972" t="str">
        <f t="shared" si="159"/>
        <v>L-V</v>
      </c>
      <c r="D2972" t="str">
        <f t="shared" si="160"/>
        <v>Miércoles</v>
      </c>
    </row>
    <row r="2973" spans="1:4" x14ac:dyDescent="0.25">
      <c r="A2973" s="88" t="str">
        <f t="shared" si="158"/>
        <v>2-2031</v>
      </c>
      <c r="B2973" s="86">
        <v>47899</v>
      </c>
      <c r="C2973" t="str">
        <f t="shared" si="159"/>
        <v>L-V</v>
      </c>
      <c r="D2973" t="str">
        <f t="shared" si="160"/>
        <v>Jueves</v>
      </c>
    </row>
    <row r="2974" spans="1:4" x14ac:dyDescent="0.25">
      <c r="A2974" s="88" t="str">
        <f t="shared" si="158"/>
        <v>2-2031</v>
      </c>
      <c r="B2974" s="86">
        <v>47900</v>
      </c>
      <c r="C2974" t="str">
        <f t="shared" si="159"/>
        <v>L-V</v>
      </c>
      <c r="D2974" t="str">
        <f t="shared" si="160"/>
        <v>Viernes</v>
      </c>
    </row>
    <row r="2975" spans="1:4" x14ac:dyDescent="0.25">
      <c r="A2975" s="88" t="str">
        <f t="shared" si="158"/>
        <v>2-2031</v>
      </c>
      <c r="B2975" s="86">
        <v>47901</v>
      </c>
      <c r="C2975" t="str">
        <f t="shared" si="159"/>
        <v>SAB</v>
      </c>
      <c r="D2975" t="str">
        <f t="shared" si="160"/>
        <v>Sábado</v>
      </c>
    </row>
    <row r="2976" spans="1:4" x14ac:dyDescent="0.25">
      <c r="A2976" s="88" t="str">
        <f t="shared" si="158"/>
        <v>2-2031</v>
      </c>
      <c r="B2976" s="86">
        <v>47902</v>
      </c>
      <c r="C2976" t="str">
        <f t="shared" si="159"/>
        <v>DOM</v>
      </c>
      <c r="D2976" t="str">
        <f t="shared" si="160"/>
        <v>Domingo</v>
      </c>
    </row>
    <row r="2977" spans="1:4" x14ac:dyDescent="0.25">
      <c r="A2977" s="88" t="str">
        <f t="shared" si="158"/>
        <v>2-2031</v>
      </c>
      <c r="B2977" s="86">
        <v>47903</v>
      </c>
      <c r="C2977" t="str">
        <f t="shared" si="159"/>
        <v>L-V</v>
      </c>
      <c r="D2977" t="str">
        <f t="shared" si="160"/>
        <v>Lunes</v>
      </c>
    </row>
    <row r="2978" spans="1:4" x14ac:dyDescent="0.25">
      <c r="A2978" s="88" t="str">
        <f t="shared" si="158"/>
        <v>2-2031</v>
      </c>
      <c r="B2978" s="86">
        <v>47904</v>
      </c>
      <c r="C2978" t="str">
        <f t="shared" si="159"/>
        <v>L-V</v>
      </c>
      <c r="D2978" t="str">
        <f t="shared" si="160"/>
        <v>Martes</v>
      </c>
    </row>
    <row r="2979" spans="1:4" x14ac:dyDescent="0.25">
      <c r="A2979" s="88" t="str">
        <f t="shared" si="158"/>
        <v>2-2031</v>
      </c>
      <c r="B2979" s="86">
        <v>47905</v>
      </c>
      <c r="C2979" t="str">
        <f t="shared" si="159"/>
        <v>L-V</v>
      </c>
      <c r="D2979" t="str">
        <f t="shared" si="160"/>
        <v>Miércoles</v>
      </c>
    </row>
    <row r="2980" spans="1:4" x14ac:dyDescent="0.25">
      <c r="A2980" s="88" t="str">
        <f t="shared" si="158"/>
        <v>2-2031</v>
      </c>
      <c r="B2980" s="86">
        <v>47906</v>
      </c>
      <c r="C2980" t="str">
        <f t="shared" si="159"/>
        <v>L-V</v>
      </c>
      <c r="D2980" t="str">
        <f t="shared" si="160"/>
        <v>Jueves</v>
      </c>
    </row>
    <row r="2981" spans="1:4" x14ac:dyDescent="0.25">
      <c r="A2981" s="88" t="str">
        <f t="shared" si="158"/>
        <v>2-2031</v>
      </c>
      <c r="B2981" s="86">
        <v>47907</v>
      </c>
      <c r="C2981" t="str">
        <f t="shared" si="159"/>
        <v>L-V</v>
      </c>
      <c r="D2981" t="str">
        <f t="shared" si="160"/>
        <v>Viernes</v>
      </c>
    </row>
    <row r="2982" spans="1:4" x14ac:dyDescent="0.25">
      <c r="A2982" s="88" t="str">
        <f t="shared" si="158"/>
        <v>3-2031</v>
      </c>
      <c r="B2982" s="86">
        <v>47908</v>
      </c>
      <c r="C2982" t="str">
        <f t="shared" si="159"/>
        <v>SAB</v>
      </c>
      <c r="D2982" t="str">
        <f t="shared" si="160"/>
        <v>Sábado</v>
      </c>
    </row>
    <row r="2983" spans="1:4" x14ac:dyDescent="0.25">
      <c r="A2983" s="88" t="str">
        <f t="shared" si="158"/>
        <v>3-2031</v>
      </c>
      <c r="B2983" s="86">
        <v>47909</v>
      </c>
      <c r="C2983" t="str">
        <f t="shared" si="159"/>
        <v>DOM</v>
      </c>
      <c r="D2983" t="str">
        <f t="shared" si="160"/>
        <v>Domingo</v>
      </c>
    </row>
    <row r="2984" spans="1:4" x14ac:dyDescent="0.25">
      <c r="A2984" s="88" t="str">
        <f t="shared" si="158"/>
        <v>3-2031</v>
      </c>
      <c r="B2984" s="86">
        <v>47910</v>
      </c>
      <c r="C2984" t="str">
        <f t="shared" si="159"/>
        <v>L-V</v>
      </c>
      <c r="D2984" t="str">
        <f t="shared" si="160"/>
        <v>Lunes</v>
      </c>
    </row>
    <row r="2985" spans="1:4" x14ac:dyDescent="0.25">
      <c r="A2985" s="88" t="str">
        <f t="shared" si="158"/>
        <v>3-2031</v>
      </c>
      <c r="B2985" s="86">
        <v>47911</v>
      </c>
      <c r="C2985" t="str">
        <f t="shared" si="159"/>
        <v>L-V</v>
      </c>
      <c r="D2985" t="str">
        <f t="shared" si="160"/>
        <v>Martes</v>
      </c>
    </row>
    <row r="2986" spans="1:4" x14ac:dyDescent="0.25">
      <c r="A2986" s="88" t="str">
        <f t="shared" si="158"/>
        <v>3-2031</v>
      </c>
      <c r="B2986" s="86">
        <v>47912</v>
      </c>
      <c r="C2986" t="str">
        <f t="shared" si="159"/>
        <v>L-V</v>
      </c>
      <c r="D2986" t="str">
        <f t="shared" si="160"/>
        <v>Miércoles</v>
      </c>
    </row>
    <row r="2987" spans="1:4" x14ac:dyDescent="0.25">
      <c r="A2987" s="88" t="str">
        <f t="shared" si="158"/>
        <v>3-2031</v>
      </c>
      <c r="B2987" s="86">
        <v>47913</v>
      </c>
      <c r="C2987" t="str">
        <f t="shared" si="159"/>
        <v>L-V</v>
      </c>
      <c r="D2987" t="str">
        <f t="shared" si="160"/>
        <v>Jueves</v>
      </c>
    </row>
    <row r="2988" spans="1:4" x14ac:dyDescent="0.25">
      <c r="A2988" s="88" t="str">
        <f t="shared" si="158"/>
        <v>3-2031</v>
      </c>
      <c r="B2988" s="86">
        <v>47914</v>
      </c>
      <c r="C2988" t="str">
        <f t="shared" si="159"/>
        <v>L-V</v>
      </c>
      <c r="D2988" t="str">
        <f t="shared" si="160"/>
        <v>Viernes</v>
      </c>
    </row>
    <row r="2989" spans="1:4" x14ac:dyDescent="0.25">
      <c r="A2989" s="88" t="str">
        <f t="shared" si="158"/>
        <v>3-2031</v>
      </c>
      <c r="B2989" s="86">
        <v>47915</v>
      </c>
      <c r="C2989" t="str">
        <f t="shared" si="159"/>
        <v>SAB</v>
      </c>
      <c r="D2989" t="str">
        <f t="shared" si="160"/>
        <v>Sábado</v>
      </c>
    </row>
    <row r="2990" spans="1:4" x14ac:dyDescent="0.25">
      <c r="A2990" s="88" t="str">
        <f t="shared" si="158"/>
        <v>3-2031</v>
      </c>
      <c r="B2990" s="86">
        <v>47916</v>
      </c>
      <c r="C2990" t="str">
        <f t="shared" si="159"/>
        <v>DOM</v>
      </c>
      <c r="D2990" t="str">
        <f t="shared" si="160"/>
        <v>Domingo</v>
      </c>
    </row>
    <row r="2991" spans="1:4" x14ac:dyDescent="0.25">
      <c r="A2991" s="88" t="str">
        <f t="shared" si="158"/>
        <v>3-2031</v>
      </c>
      <c r="B2991" s="86">
        <v>47917</v>
      </c>
      <c r="C2991" t="str">
        <f t="shared" si="159"/>
        <v>L-V</v>
      </c>
      <c r="D2991" t="str">
        <f t="shared" si="160"/>
        <v>Lunes</v>
      </c>
    </row>
    <row r="2992" spans="1:4" x14ac:dyDescent="0.25">
      <c r="A2992" s="88" t="str">
        <f t="shared" si="158"/>
        <v>3-2031</v>
      </c>
      <c r="B2992" s="86">
        <v>47918</v>
      </c>
      <c r="C2992" t="str">
        <f t="shared" si="159"/>
        <v>L-V</v>
      </c>
      <c r="D2992" t="str">
        <f t="shared" si="160"/>
        <v>Martes</v>
      </c>
    </row>
    <row r="2993" spans="1:4" x14ac:dyDescent="0.25">
      <c r="A2993" s="88" t="str">
        <f t="shared" si="158"/>
        <v>3-2031</v>
      </c>
      <c r="B2993" s="86">
        <v>47919</v>
      </c>
      <c r="C2993" t="str">
        <f t="shared" si="159"/>
        <v>L-V</v>
      </c>
      <c r="D2993" t="str">
        <f t="shared" si="160"/>
        <v>Miércoles</v>
      </c>
    </row>
    <row r="2994" spans="1:4" x14ac:dyDescent="0.25">
      <c r="A2994" s="88" t="str">
        <f t="shared" si="158"/>
        <v>3-2031</v>
      </c>
      <c r="B2994" s="86">
        <v>47920</v>
      </c>
      <c r="C2994" t="str">
        <f t="shared" si="159"/>
        <v>L-V</v>
      </c>
      <c r="D2994" t="str">
        <f t="shared" si="160"/>
        <v>Jueves</v>
      </c>
    </row>
    <row r="2995" spans="1:4" x14ac:dyDescent="0.25">
      <c r="A2995" s="88" t="str">
        <f t="shared" si="158"/>
        <v>3-2031</v>
      </c>
      <c r="B2995" s="86">
        <v>47921</v>
      </c>
      <c r="C2995" t="str">
        <f t="shared" si="159"/>
        <v>L-V</v>
      </c>
      <c r="D2995" t="str">
        <f t="shared" si="160"/>
        <v>Viernes</v>
      </c>
    </row>
    <row r="2996" spans="1:4" x14ac:dyDescent="0.25">
      <c r="A2996" s="88" t="str">
        <f t="shared" si="158"/>
        <v>3-2031</v>
      </c>
      <c r="B2996" s="86">
        <v>47922</v>
      </c>
      <c r="C2996" t="str">
        <f t="shared" si="159"/>
        <v>SAB</v>
      </c>
      <c r="D2996" t="str">
        <f t="shared" si="160"/>
        <v>Sábado</v>
      </c>
    </row>
    <row r="2997" spans="1:4" x14ac:dyDescent="0.25">
      <c r="A2997" s="88" t="str">
        <f t="shared" si="158"/>
        <v>3-2031</v>
      </c>
      <c r="B2997" s="86">
        <v>47923</v>
      </c>
      <c r="C2997" t="str">
        <f t="shared" si="159"/>
        <v>DOM</v>
      </c>
      <c r="D2997" t="str">
        <f t="shared" si="160"/>
        <v>Domingo</v>
      </c>
    </row>
    <row r="2998" spans="1:4" x14ac:dyDescent="0.25">
      <c r="A2998" s="88" t="str">
        <f t="shared" si="158"/>
        <v>3-2031</v>
      </c>
      <c r="B2998" s="86">
        <v>47924</v>
      </c>
      <c r="C2998" t="str">
        <f t="shared" si="159"/>
        <v>L-V</v>
      </c>
      <c r="D2998" t="str">
        <f t="shared" si="160"/>
        <v>Lunes</v>
      </c>
    </row>
    <row r="2999" spans="1:4" x14ac:dyDescent="0.25">
      <c r="A2999" s="88" t="str">
        <f t="shared" si="158"/>
        <v>3-2031</v>
      </c>
      <c r="B2999" s="86">
        <v>47925</v>
      </c>
      <c r="C2999" t="str">
        <f t="shared" si="159"/>
        <v>L-V</v>
      </c>
      <c r="D2999" t="str">
        <f t="shared" si="160"/>
        <v>Martes</v>
      </c>
    </row>
    <row r="3000" spans="1:4" x14ac:dyDescent="0.25">
      <c r="A3000" s="88" t="str">
        <f t="shared" si="158"/>
        <v>3-2031</v>
      </c>
      <c r="B3000" s="86">
        <v>47926</v>
      </c>
      <c r="C3000" t="str">
        <f t="shared" si="159"/>
        <v>L-V</v>
      </c>
      <c r="D3000" t="str">
        <f t="shared" si="160"/>
        <v>Miércoles</v>
      </c>
    </row>
    <row r="3001" spans="1:4" x14ac:dyDescent="0.25">
      <c r="A3001" s="88" t="str">
        <f t="shared" si="158"/>
        <v>3-2031</v>
      </c>
      <c r="B3001" s="86">
        <v>47927</v>
      </c>
      <c r="C3001" t="str">
        <f t="shared" si="159"/>
        <v>L-V</v>
      </c>
      <c r="D3001" t="str">
        <f t="shared" si="160"/>
        <v>Jueves</v>
      </c>
    </row>
    <row r="3002" spans="1:4" x14ac:dyDescent="0.25">
      <c r="A3002" s="88" t="str">
        <f t="shared" si="158"/>
        <v>3-2031</v>
      </c>
      <c r="B3002" s="86">
        <v>47928</v>
      </c>
      <c r="C3002" t="str">
        <f t="shared" si="159"/>
        <v>L-V</v>
      </c>
      <c r="D3002" t="str">
        <f t="shared" si="160"/>
        <v>Viernes</v>
      </c>
    </row>
    <row r="3003" spans="1:4" x14ac:dyDescent="0.25">
      <c r="A3003" s="88" t="str">
        <f t="shared" si="158"/>
        <v>3-2031</v>
      </c>
      <c r="B3003" s="86">
        <v>47929</v>
      </c>
      <c r="C3003" t="str">
        <f t="shared" si="159"/>
        <v>SAB</v>
      </c>
      <c r="D3003" t="str">
        <f t="shared" si="160"/>
        <v>Sábado</v>
      </c>
    </row>
    <row r="3004" spans="1:4" x14ac:dyDescent="0.25">
      <c r="A3004" s="88" t="str">
        <f t="shared" si="158"/>
        <v>3-2031</v>
      </c>
      <c r="B3004" s="86">
        <v>47930</v>
      </c>
      <c r="C3004" t="str">
        <f t="shared" si="159"/>
        <v>DOM</v>
      </c>
      <c r="D3004" t="str">
        <f t="shared" si="160"/>
        <v>Domingo</v>
      </c>
    </row>
    <row r="3005" spans="1:4" x14ac:dyDescent="0.25">
      <c r="A3005" s="88" t="str">
        <f t="shared" si="158"/>
        <v>3-2031</v>
      </c>
      <c r="B3005" s="86">
        <v>47931</v>
      </c>
      <c r="C3005" t="str">
        <f t="shared" si="159"/>
        <v>L-V</v>
      </c>
      <c r="D3005" t="str">
        <f t="shared" si="160"/>
        <v>Lunes</v>
      </c>
    </row>
    <row r="3006" spans="1:4" x14ac:dyDescent="0.25">
      <c r="A3006" s="88" t="str">
        <f t="shared" si="158"/>
        <v>3-2031</v>
      </c>
      <c r="B3006" s="86">
        <v>47932</v>
      </c>
      <c r="C3006" t="str">
        <f t="shared" si="159"/>
        <v>L-V</v>
      </c>
      <c r="D3006" t="str">
        <f t="shared" si="160"/>
        <v>Martes</v>
      </c>
    </row>
    <row r="3007" spans="1:4" x14ac:dyDescent="0.25">
      <c r="A3007" s="88" t="str">
        <f t="shared" si="158"/>
        <v>3-2031</v>
      </c>
      <c r="B3007" s="86">
        <v>47933</v>
      </c>
      <c r="C3007" t="str">
        <f t="shared" si="159"/>
        <v>L-V</v>
      </c>
      <c r="D3007" t="str">
        <f t="shared" si="160"/>
        <v>Miércoles</v>
      </c>
    </row>
    <row r="3008" spans="1:4" x14ac:dyDescent="0.25">
      <c r="A3008" s="88" t="str">
        <f t="shared" si="158"/>
        <v>3-2031</v>
      </c>
      <c r="B3008" s="86">
        <v>47934</v>
      </c>
      <c r="C3008" t="str">
        <f t="shared" si="159"/>
        <v>L-V</v>
      </c>
      <c r="D3008" t="str">
        <f t="shared" si="160"/>
        <v>Jueves</v>
      </c>
    </row>
    <row r="3009" spans="1:4" x14ac:dyDescent="0.25">
      <c r="A3009" s="88" t="str">
        <f t="shared" si="158"/>
        <v>3-2031</v>
      </c>
      <c r="B3009" s="86">
        <v>47935</v>
      </c>
      <c r="C3009" t="str">
        <f t="shared" si="159"/>
        <v>L-V</v>
      </c>
      <c r="D3009" t="str">
        <f t="shared" si="160"/>
        <v>Viernes</v>
      </c>
    </row>
    <row r="3010" spans="1:4" x14ac:dyDescent="0.25">
      <c r="A3010" s="88" t="str">
        <f t="shared" ref="A3010:A3073" si="161">MONTH(B3010)&amp;"-"&amp;YEAR(B3010)</f>
        <v>3-2031</v>
      </c>
      <c r="B3010" s="86">
        <v>47936</v>
      </c>
      <c r="C3010" t="str">
        <f t="shared" si="159"/>
        <v>SAB</v>
      </c>
      <c r="D3010" t="str">
        <f t="shared" si="160"/>
        <v>Sábado</v>
      </c>
    </row>
    <row r="3011" spans="1:4" x14ac:dyDescent="0.25">
      <c r="A3011" s="88" t="str">
        <f t="shared" si="161"/>
        <v>3-2031</v>
      </c>
      <c r="B3011" s="86">
        <v>47937</v>
      </c>
      <c r="C3011" t="str">
        <f t="shared" ref="C3011:C3074" si="162">VLOOKUP(WEEKDAY(B3011,2),$F$1:$H$7,2)</f>
        <v>DOM</v>
      </c>
      <c r="D3011" t="str">
        <f t="shared" ref="D3011:D3074" si="163">VLOOKUP(WEEKDAY($B3011,2),$F$1:$H$7,3)</f>
        <v>Domingo</v>
      </c>
    </row>
    <row r="3012" spans="1:4" x14ac:dyDescent="0.25">
      <c r="A3012" s="88" t="str">
        <f t="shared" si="161"/>
        <v>3-2031</v>
      </c>
      <c r="B3012" s="86">
        <v>47938</v>
      </c>
      <c r="C3012" t="str">
        <f t="shared" si="162"/>
        <v>L-V</v>
      </c>
      <c r="D3012" t="str">
        <f t="shared" si="163"/>
        <v>Lunes</v>
      </c>
    </row>
    <row r="3013" spans="1:4" x14ac:dyDescent="0.25">
      <c r="A3013" s="88" t="str">
        <f t="shared" si="161"/>
        <v>4-2031</v>
      </c>
      <c r="B3013" s="86">
        <v>47939</v>
      </c>
      <c r="C3013" t="str">
        <f t="shared" si="162"/>
        <v>L-V</v>
      </c>
      <c r="D3013" t="str">
        <f t="shared" si="163"/>
        <v>Martes</v>
      </c>
    </row>
    <row r="3014" spans="1:4" x14ac:dyDescent="0.25">
      <c r="A3014" s="88" t="str">
        <f t="shared" si="161"/>
        <v>4-2031</v>
      </c>
      <c r="B3014" s="86">
        <v>47940</v>
      </c>
      <c r="C3014" t="str">
        <f t="shared" si="162"/>
        <v>L-V</v>
      </c>
      <c r="D3014" t="str">
        <f t="shared" si="163"/>
        <v>Miércoles</v>
      </c>
    </row>
    <row r="3015" spans="1:4" x14ac:dyDescent="0.25">
      <c r="A3015" s="88" t="str">
        <f t="shared" si="161"/>
        <v>4-2031</v>
      </c>
      <c r="B3015" s="86">
        <v>47941</v>
      </c>
      <c r="C3015" t="str">
        <f t="shared" si="162"/>
        <v>L-V</v>
      </c>
      <c r="D3015" t="str">
        <f t="shared" si="163"/>
        <v>Jueves</v>
      </c>
    </row>
    <row r="3016" spans="1:4" x14ac:dyDescent="0.25">
      <c r="A3016" s="88" t="str">
        <f t="shared" si="161"/>
        <v>4-2031</v>
      </c>
      <c r="B3016" s="86">
        <v>47942</v>
      </c>
      <c r="C3016" t="str">
        <f t="shared" si="162"/>
        <v>L-V</v>
      </c>
      <c r="D3016" t="str">
        <f t="shared" si="163"/>
        <v>Viernes</v>
      </c>
    </row>
    <row r="3017" spans="1:4" x14ac:dyDescent="0.25">
      <c r="A3017" s="88" t="str">
        <f t="shared" si="161"/>
        <v>4-2031</v>
      </c>
      <c r="B3017" s="86">
        <v>47943</v>
      </c>
      <c r="C3017" t="str">
        <f t="shared" si="162"/>
        <v>SAB</v>
      </c>
      <c r="D3017" t="str">
        <f t="shared" si="163"/>
        <v>Sábado</v>
      </c>
    </row>
    <row r="3018" spans="1:4" x14ac:dyDescent="0.25">
      <c r="A3018" s="88" t="str">
        <f t="shared" si="161"/>
        <v>4-2031</v>
      </c>
      <c r="B3018" s="86">
        <v>47944</v>
      </c>
      <c r="C3018" t="str">
        <f t="shared" si="162"/>
        <v>DOM</v>
      </c>
      <c r="D3018" t="str">
        <f t="shared" si="163"/>
        <v>Domingo</v>
      </c>
    </row>
    <row r="3019" spans="1:4" x14ac:dyDescent="0.25">
      <c r="A3019" s="88" t="str">
        <f t="shared" si="161"/>
        <v>4-2031</v>
      </c>
      <c r="B3019" s="86">
        <v>47945</v>
      </c>
      <c r="C3019" t="str">
        <f t="shared" si="162"/>
        <v>L-V</v>
      </c>
      <c r="D3019" t="str">
        <f t="shared" si="163"/>
        <v>Lunes</v>
      </c>
    </row>
    <row r="3020" spans="1:4" x14ac:dyDescent="0.25">
      <c r="A3020" s="88" t="str">
        <f t="shared" si="161"/>
        <v>4-2031</v>
      </c>
      <c r="B3020" s="86">
        <v>47946</v>
      </c>
      <c r="C3020" t="str">
        <f t="shared" si="162"/>
        <v>L-V</v>
      </c>
      <c r="D3020" t="str">
        <f t="shared" si="163"/>
        <v>Martes</v>
      </c>
    </row>
    <row r="3021" spans="1:4" x14ac:dyDescent="0.25">
      <c r="A3021" s="88" t="str">
        <f t="shared" si="161"/>
        <v>4-2031</v>
      </c>
      <c r="B3021" s="86">
        <v>47947</v>
      </c>
      <c r="C3021" t="str">
        <f t="shared" si="162"/>
        <v>L-V</v>
      </c>
      <c r="D3021" t="str">
        <f t="shared" si="163"/>
        <v>Miércoles</v>
      </c>
    </row>
    <row r="3022" spans="1:4" x14ac:dyDescent="0.25">
      <c r="A3022" s="88" t="str">
        <f t="shared" si="161"/>
        <v>4-2031</v>
      </c>
      <c r="B3022" s="86">
        <v>47948</v>
      </c>
      <c r="C3022" t="str">
        <f t="shared" si="162"/>
        <v>L-V</v>
      </c>
      <c r="D3022" t="str">
        <f t="shared" si="163"/>
        <v>Jueves</v>
      </c>
    </row>
    <row r="3023" spans="1:4" x14ac:dyDescent="0.25">
      <c r="A3023" s="88" t="str">
        <f t="shared" si="161"/>
        <v>4-2031</v>
      </c>
      <c r="B3023" s="86">
        <v>47949</v>
      </c>
      <c r="C3023" t="str">
        <f t="shared" si="162"/>
        <v>L-V</v>
      </c>
      <c r="D3023" t="str">
        <f t="shared" si="163"/>
        <v>Viernes</v>
      </c>
    </row>
    <row r="3024" spans="1:4" x14ac:dyDescent="0.25">
      <c r="A3024" s="88" t="str">
        <f t="shared" si="161"/>
        <v>4-2031</v>
      </c>
      <c r="B3024" s="86">
        <v>47950</v>
      </c>
      <c r="C3024" t="str">
        <f t="shared" si="162"/>
        <v>SAB</v>
      </c>
      <c r="D3024" t="str">
        <f t="shared" si="163"/>
        <v>Sábado</v>
      </c>
    </row>
    <row r="3025" spans="1:4" x14ac:dyDescent="0.25">
      <c r="A3025" s="88" t="str">
        <f t="shared" si="161"/>
        <v>4-2031</v>
      </c>
      <c r="B3025" s="86">
        <v>47951</v>
      </c>
      <c r="C3025" t="str">
        <f t="shared" si="162"/>
        <v>DOM</v>
      </c>
      <c r="D3025" t="str">
        <f t="shared" si="163"/>
        <v>Domingo</v>
      </c>
    </row>
    <row r="3026" spans="1:4" x14ac:dyDescent="0.25">
      <c r="A3026" s="88" t="str">
        <f t="shared" si="161"/>
        <v>4-2031</v>
      </c>
      <c r="B3026" s="86">
        <v>47952</v>
      </c>
      <c r="C3026" t="str">
        <f t="shared" si="162"/>
        <v>L-V</v>
      </c>
      <c r="D3026" t="str">
        <f t="shared" si="163"/>
        <v>Lunes</v>
      </c>
    </row>
    <row r="3027" spans="1:4" x14ac:dyDescent="0.25">
      <c r="A3027" s="88" t="str">
        <f t="shared" si="161"/>
        <v>4-2031</v>
      </c>
      <c r="B3027" s="86">
        <v>47953</v>
      </c>
      <c r="C3027" t="str">
        <f t="shared" si="162"/>
        <v>L-V</v>
      </c>
      <c r="D3027" t="str">
        <f t="shared" si="163"/>
        <v>Martes</v>
      </c>
    </row>
    <row r="3028" spans="1:4" x14ac:dyDescent="0.25">
      <c r="A3028" s="88" t="str">
        <f t="shared" si="161"/>
        <v>4-2031</v>
      </c>
      <c r="B3028" s="86">
        <v>47954</v>
      </c>
      <c r="C3028" t="str">
        <f t="shared" si="162"/>
        <v>L-V</v>
      </c>
      <c r="D3028" t="str">
        <f t="shared" si="163"/>
        <v>Miércoles</v>
      </c>
    </row>
    <row r="3029" spans="1:4" x14ac:dyDescent="0.25">
      <c r="A3029" s="88" t="str">
        <f t="shared" si="161"/>
        <v>4-2031</v>
      </c>
      <c r="B3029" s="86">
        <v>47955</v>
      </c>
      <c r="C3029" t="str">
        <f t="shared" si="162"/>
        <v>L-V</v>
      </c>
      <c r="D3029" t="str">
        <f t="shared" si="163"/>
        <v>Jueves</v>
      </c>
    </row>
    <row r="3030" spans="1:4" x14ac:dyDescent="0.25">
      <c r="A3030" s="88" t="str">
        <f t="shared" si="161"/>
        <v>4-2031</v>
      </c>
      <c r="B3030" s="86">
        <v>47956</v>
      </c>
      <c r="C3030" t="str">
        <f t="shared" si="162"/>
        <v>L-V</v>
      </c>
      <c r="D3030" t="str">
        <f t="shared" si="163"/>
        <v>Viernes</v>
      </c>
    </row>
    <row r="3031" spans="1:4" x14ac:dyDescent="0.25">
      <c r="A3031" s="88" t="str">
        <f t="shared" si="161"/>
        <v>4-2031</v>
      </c>
      <c r="B3031" s="86">
        <v>47957</v>
      </c>
      <c r="C3031" t="str">
        <f t="shared" si="162"/>
        <v>SAB</v>
      </c>
      <c r="D3031" t="str">
        <f t="shared" si="163"/>
        <v>Sábado</v>
      </c>
    </row>
    <row r="3032" spans="1:4" x14ac:dyDescent="0.25">
      <c r="A3032" s="88" t="str">
        <f t="shared" si="161"/>
        <v>4-2031</v>
      </c>
      <c r="B3032" s="86">
        <v>47958</v>
      </c>
      <c r="C3032" t="str">
        <f t="shared" si="162"/>
        <v>DOM</v>
      </c>
      <c r="D3032" t="str">
        <f t="shared" si="163"/>
        <v>Domingo</v>
      </c>
    </row>
    <row r="3033" spans="1:4" x14ac:dyDescent="0.25">
      <c r="A3033" s="88" t="str">
        <f t="shared" si="161"/>
        <v>4-2031</v>
      </c>
      <c r="B3033" s="86">
        <v>47959</v>
      </c>
      <c r="C3033" t="str">
        <f t="shared" si="162"/>
        <v>L-V</v>
      </c>
      <c r="D3033" t="str">
        <f t="shared" si="163"/>
        <v>Lunes</v>
      </c>
    </row>
    <row r="3034" spans="1:4" x14ac:dyDescent="0.25">
      <c r="A3034" s="88" t="str">
        <f t="shared" si="161"/>
        <v>4-2031</v>
      </c>
      <c r="B3034" s="86">
        <v>47960</v>
      </c>
      <c r="C3034" t="str">
        <f t="shared" si="162"/>
        <v>L-V</v>
      </c>
      <c r="D3034" t="str">
        <f t="shared" si="163"/>
        <v>Martes</v>
      </c>
    </row>
    <row r="3035" spans="1:4" x14ac:dyDescent="0.25">
      <c r="A3035" s="88" t="str">
        <f t="shared" si="161"/>
        <v>4-2031</v>
      </c>
      <c r="B3035" s="86">
        <v>47961</v>
      </c>
      <c r="C3035" t="str">
        <f t="shared" si="162"/>
        <v>L-V</v>
      </c>
      <c r="D3035" t="str">
        <f t="shared" si="163"/>
        <v>Miércoles</v>
      </c>
    </row>
    <row r="3036" spans="1:4" x14ac:dyDescent="0.25">
      <c r="A3036" s="88" t="str">
        <f t="shared" si="161"/>
        <v>4-2031</v>
      </c>
      <c r="B3036" s="86">
        <v>47962</v>
      </c>
      <c r="C3036" t="str">
        <f t="shared" si="162"/>
        <v>L-V</v>
      </c>
      <c r="D3036" t="str">
        <f t="shared" si="163"/>
        <v>Jueves</v>
      </c>
    </row>
    <row r="3037" spans="1:4" x14ac:dyDescent="0.25">
      <c r="A3037" s="88" t="str">
        <f t="shared" si="161"/>
        <v>4-2031</v>
      </c>
      <c r="B3037" s="86">
        <v>47963</v>
      </c>
      <c r="C3037" t="str">
        <f t="shared" si="162"/>
        <v>L-V</v>
      </c>
      <c r="D3037" t="str">
        <f t="shared" si="163"/>
        <v>Viernes</v>
      </c>
    </row>
    <row r="3038" spans="1:4" x14ac:dyDescent="0.25">
      <c r="A3038" s="88" t="str">
        <f t="shared" si="161"/>
        <v>4-2031</v>
      </c>
      <c r="B3038" s="86">
        <v>47964</v>
      </c>
      <c r="C3038" t="str">
        <f t="shared" si="162"/>
        <v>SAB</v>
      </c>
      <c r="D3038" t="str">
        <f t="shared" si="163"/>
        <v>Sábado</v>
      </c>
    </row>
    <row r="3039" spans="1:4" x14ac:dyDescent="0.25">
      <c r="A3039" s="88" t="str">
        <f t="shared" si="161"/>
        <v>4-2031</v>
      </c>
      <c r="B3039" s="86">
        <v>47965</v>
      </c>
      <c r="C3039" t="str">
        <f t="shared" si="162"/>
        <v>DOM</v>
      </c>
      <c r="D3039" t="str">
        <f t="shared" si="163"/>
        <v>Domingo</v>
      </c>
    </row>
    <row r="3040" spans="1:4" x14ac:dyDescent="0.25">
      <c r="A3040" s="88" t="str">
        <f t="shared" si="161"/>
        <v>4-2031</v>
      </c>
      <c r="B3040" s="86">
        <v>47966</v>
      </c>
      <c r="C3040" t="str">
        <f t="shared" si="162"/>
        <v>L-V</v>
      </c>
      <c r="D3040" t="str">
        <f t="shared" si="163"/>
        <v>Lunes</v>
      </c>
    </row>
    <row r="3041" spans="1:4" x14ac:dyDescent="0.25">
      <c r="A3041" s="88" t="str">
        <f t="shared" si="161"/>
        <v>4-2031</v>
      </c>
      <c r="B3041" s="86">
        <v>47967</v>
      </c>
      <c r="C3041" t="str">
        <f t="shared" si="162"/>
        <v>L-V</v>
      </c>
      <c r="D3041" t="str">
        <f t="shared" si="163"/>
        <v>Martes</v>
      </c>
    </row>
    <row r="3042" spans="1:4" x14ac:dyDescent="0.25">
      <c r="A3042" s="88" t="str">
        <f t="shared" si="161"/>
        <v>4-2031</v>
      </c>
      <c r="B3042" s="86">
        <v>47968</v>
      </c>
      <c r="C3042" t="str">
        <f t="shared" si="162"/>
        <v>L-V</v>
      </c>
      <c r="D3042" t="str">
        <f t="shared" si="163"/>
        <v>Miércoles</v>
      </c>
    </row>
    <row r="3043" spans="1:4" x14ac:dyDescent="0.25">
      <c r="A3043" s="88" t="str">
        <f t="shared" si="161"/>
        <v>5-2031</v>
      </c>
      <c r="B3043" s="86">
        <v>47969</v>
      </c>
      <c r="C3043" t="str">
        <f t="shared" si="162"/>
        <v>L-V</v>
      </c>
      <c r="D3043" t="str">
        <f t="shared" si="163"/>
        <v>Jueves</v>
      </c>
    </row>
    <row r="3044" spans="1:4" x14ac:dyDescent="0.25">
      <c r="A3044" s="88" t="str">
        <f t="shared" si="161"/>
        <v>5-2031</v>
      </c>
      <c r="B3044" s="86">
        <v>47970</v>
      </c>
      <c r="C3044" t="str">
        <f t="shared" si="162"/>
        <v>L-V</v>
      </c>
      <c r="D3044" t="str">
        <f t="shared" si="163"/>
        <v>Viernes</v>
      </c>
    </row>
    <row r="3045" spans="1:4" x14ac:dyDescent="0.25">
      <c r="A3045" s="88" t="str">
        <f t="shared" si="161"/>
        <v>5-2031</v>
      </c>
      <c r="B3045" s="86">
        <v>47971</v>
      </c>
      <c r="C3045" t="str">
        <f t="shared" si="162"/>
        <v>SAB</v>
      </c>
      <c r="D3045" t="str">
        <f t="shared" si="163"/>
        <v>Sábado</v>
      </c>
    </row>
    <row r="3046" spans="1:4" x14ac:dyDescent="0.25">
      <c r="A3046" s="88" t="str">
        <f t="shared" si="161"/>
        <v>5-2031</v>
      </c>
      <c r="B3046" s="86">
        <v>47972</v>
      </c>
      <c r="C3046" t="str">
        <f t="shared" si="162"/>
        <v>DOM</v>
      </c>
      <c r="D3046" t="str">
        <f t="shared" si="163"/>
        <v>Domingo</v>
      </c>
    </row>
    <row r="3047" spans="1:4" x14ac:dyDescent="0.25">
      <c r="A3047" s="88" t="str">
        <f t="shared" si="161"/>
        <v>5-2031</v>
      </c>
      <c r="B3047" s="86">
        <v>47973</v>
      </c>
      <c r="C3047" t="str">
        <f t="shared" si="162"/>
        <v>L-V</v>
      </c>
      <c r="D3047" t="str">
        <f t="shared" si="163"/>
        <v>Lunes</v>
      </c>
    </row>
    <row r="3048" spans="1:4" x14ac:dyDescent="0.25">
      <c r="A3048" s="88" t="str">
        <f t="shared" si="161"/>
        <v>5-2031</v>
      </c>
      <c r="B3048" s="86">
        <v>47974</v>
      </c>
      <c r="C3048" t="str">
        <f t="shared" si="162"/>
        <v>L-V</v>
      </c>
      <c r="D3048" t="str">
        <f t="shared" si="163"/>
        <v>Martes</v>
      </c>
    </row>
    <row r="3049" spans="1:4" x14ac:dyDescent="0.25">
      <c r="A3049" s="88" t="str">
        <f t="shared" si="161"/>
        <v>5-2031</v>
      </c>
      <c r="B3049" s="86">
        <v>47975</v>
      </c>
      <c r="C3049" t="str">
        <f t="shared" si="162"/>
        <v>L-V</v>
      </c>
      <c r="D3049" t="str">
        <f t="shared" si="163"/>
        <v>Miércoles</v>
      </c>
    </row>
    <row r="3050" spans="1:4" x14ac:dyDescent="0.25">
      <c r="A3050" s="88" t="str">
        <f t="shared" si="161"/>
        <v>5-2031</v>
      </c>
      <c r="B3050" s="86">
        <v>47976</v>
      </c>
      <c r="C3050" t="str">
        <f t="shared" si="162"/>
        <v>L-V</v>
      </c>
      <c r="D3050" t="str">
        <f t="shared" si="163"/>
        <v>Jueves</v>
      </c>
    </row>
    <row r="3051" spans="1:4" x14ac:dyDescent="0.25">
      <c r="A3051" s="88" t="str">
        <f t="shared" si="161"/>
        <v>5-2031</v>
      </c>
      <c r="B3051" s="86">
        <v>47977</v>
      </c>
      <c r="C3051" t="str">
        <f t="shared" si="162"/>
        <v>L-V</v>
      </c>
      <c r="D3051" t="str">
        <f t="shared" si="163"/>
        <v>Viernes</v>
      </c>
    </row>
    <row r="3052" spans="1:4" x14ac:dyDescent="0.25">
      <c r="A3052" s="88" t="str">
        <f t="shared" si="161"/>
        <v>5-2031</v>
      </c>
      <c r="B3052" s="86">
        <v>47978</v>
      </c>
      <c r="C3052" t="str">
        <f t="shared" si="162"/>
        <v>SAB</v>
      </c>
      <c r="D3052" t="str">
        <f t="shared" si="163"/>
        <v>Sábado</v>
      </c>
    </row>
    <row r="3053" spans="1:4" x14ac:dyDescent="0.25">
      <c r="A3053" s="88" t="str">
        <f t="shared" si="161"/>
        <v>5-2031</v>
      </c>
      <c r="B3053" s="86">
        <v>47979</v>
      </c>
      <c r="C3053" t="str">
        <f t="shared" si="162"/>
        <v>DOM</v>
      </c>
      <c r="D3053" t="str">
        <f t="shared" si="163"/>
        <v>Domingo</v>
      </c>
    </row>
    <row r="3054" spans="1:4" x14ac:dyDescent="0.25">
      <c r="A3054" s="88" t="str">
        <f t="shared" si="161"/>
        <v>5-2031</v>
      </c>
      <c r="B3054" s="86">
        <v>47980</v>
      </c>
      <c r="C3054" t="str">
        <f t="shared" si="162"/>
        <v>L-V</v>
      </c>
      <c r="D3054" t="str">
        <f t="shared" si="163"/>
        <v>Lunes</v>
      </c>
    </row>
    <row r="3055" spans="1:4" x14ac:dyDescent="0.25">
      <c r="A3055" s="88" t="str">
        <f t="shared" si="161"/>
        <v>5-2031</v>
      </c>
      <c r="B3055" s="86">
        <v>47981</v>
      </c>
      <c r="C3055" t="str">
        <f t="shared" si="162"/>
        <v>L-V</v>
      </c>
      <c r="D3055" t="str">
        <f t="shared" si="163"/>
        <v>Martes</v>
      </c>
    </row>
    <row r="3056" spans="1:4" x14ac:dyDescent="0.25">
      <c r="A3056" s="88" t="str">
        <f t="shared" si="161"/>
        <v>5-2031</v>
      </c>
      <c r="B3056" s="86">
        <v>47982</v>
      </c>
      <c r="C3056" t="str">
        <f t="shared" si="162"/>
        <v>L-V</v>
      </c>
      <c r="D3056" t="str">
        <f t="shared" si="163"/>
        <v>Miércoles</v>
      </c>
    </row>
    <row r="3057" spans="1:4" x14ac:dyDescent="0.25">
      <c r="A3057" s="88" t="str">
        <f t="shared" si="161"/>
        <v>5-2031</v>
      </c>
      <c r="B3057" s="86">
        <v>47983</v>
      </c>
      <c r="C3057" t="str">
        <f t="shared" si="162"/>
        <v>L-V</v>
      </c>
      <c r="D3057" t="str">
        <f t="shared" si="163"/>
        <v>Jueves</v>
      </c>
    </row>
    <row r="3058" spans="1:4" x14ac:dyDescent="0.25">
      <c r="A3058" s="88" t="str">
        <f t="shared" si="161"/>
        <v>5-2031</v>
      </c>
      <c r="B3058" s="86">
        <v>47984</v>
      </c>
      <c r="C3058" t="str">
        <f t="shared" si="162"/>
        <v>L-V</v>
      </c>
      <c r="D3058" t="str">
        <f t="shared" si="163"/>
        <v>Viernes</v>
      </c>
    </row>
    <row r="3059" spans="1:4" x14ac:dyDescent="0.25">
      <c r="A3059" s="88" t="str">
        <f t="shared" si="161"/>
        <v>5-2031</v>
      </c>
      <c r="B3059" s="86">
        <v>47985</v>
      </c>
      <c r="C3059" t="str">
        <f t="shared" si="162"/>
        <v>SAB</v>
      </c>
      <c r="D3059" t="str">
        <f t="shared" si="163"/>
        <v>Sábado</v>
      </c>
    </row>
    <row r="3060" spans="1:4" x14ac:dyDescent="0.25">
      <c r="A3060" s="88" t="str">
        <f t="shared" si="161"/>
        <v>5-2031</v>
      </c>
      <c r="B3060" s="86">
        <v>47986</v>
      </c>
      <c r="C3060" t="str">
        <f t="shared" si="162"/>
        <v>DOM</v>
      </c>
      <c r="D3060" t="str">
        <f t="shared" si="163"/>
        <v>Domingo</v>
      </c>
    </row>
    <row r="3061" spans="1:4" x14ac:dyDescent="0.25">
      <c r="A3061" s="88" t="str">
        <f t="shared" si="161"/>
        <v>5-2031</v>
      </c>
      <c r="B3061" s="86">
        <v>47987</v>
      </c>
      <c r="C3061" t="str">
        <f t="shared" si="162"/>
        <v>L-V</v>
      </c>
      <c r="D3061" t="str">
        <f t="shared" si="163"/>
        <v>Lunes</v>
      </c>
    </row>
    <row r="3062" spans="1:4" x14ac:dyDescent="0.25">
      <c r="A3062" s="88" t="str">
        <f t="shared" si="161"/>
        <v>5-2031</v>
      </c>
      <c r="B3062" s="86">
        <v>47988</v>
      </c>
      <c r="C3062" t="str">
        <f t="shared" si="162"/>
        <v>L-V</v>
      </c>
      <c r="D3062" t="str">
        <f t="shared" si="163"/>
        <v>Martes</v>
      </c>
    </row>
    <row r="3063" spans="1:4" x14ac:dyDescent="0.25">
      <c r="A3063" s="88" t="str">
        <f t="shared" si="161"/>
        <v>5-2031</v>
      </c>
      <c r="B3063" s="86">
        <v>47989</v>
      </c>
      <c r="C3063" t="str">
        <f t="shared" si="162"/>
        <v>L-V</v>
      </c>
      <c r="D3063" t="str">
        <f t="shared" si="163"/>
        <v>Miércoles</v>
      </c>
    </row>
    <row r="3064" spans="1:4" x14ac:dyDescent="0.25">
      <c r="A3064" s="88" t="str">
        <f t="shared" si="161"/>
        <v>5-2031</v>
      </c>
      <c r="B3064" s="86">
        <v>47990</v>
      </c>
      <c r="C3064" t="str">
        <f t="shared" si="162"/>
        <v>L-V</v>
      </c>
      <c r="D3064" t="str">
        <f t="shared" si="163"/>
        <v>Jueves</v>
      </c>
    </row>
    <row r="3065" spans="1:4" x14ac:dyDescent="0.25">
      <c r="A3065" s="88" t="str">
        <f t="shared" si="161"/>
        <v>5-2031</v>
      </c>
      <c r="B3065" s="86">
        <v>47991</v>
      </c>
      <c r="C3065" t="str">
        <f t="shared" si="162"/>
        <v>L-V</v>
      </c>
      <c r="D3065" t="str">
        <f t="shared" si="163"/>
        <v>Viernes</v>
      </c>
    </row>
    <row r="3066" spans="1:4" x14ac:dyDescent="0.25">
      <c r="A3066" s="88" t="str">
        <f t="shared" si="161"/>
        <v>5-2031</v>
      </c>
      <c r="B3066" s="86">
        <v>47992</v>
      </c>
      <c r="C3066" t="str">
        <f t="shared" si="162"/>
        <v>SAB</v>
      </c>
      <c r="D3066" t="str">
        <f t="shared" si="163"/>
        <v>Sábado</v>
      </c>
    </row>
    <row r="3067" spans="1:4" x14ac:dyDescent="0.25">
      <c r="A3067" s="88" t="str">
        <f t="shared" si="161"/>
        <v>5-2031</v>
      </c>
      <c r="B3067" s="86">
        <v>47993</v>
      </c>
      <c r="C3067" t="str">
        <f t="shared" si="162"/>
        <v>DOM</v>
      </c>
      <c r="D3067" t="str">
        <f t="shared" si="163"/>
        <v>Domingo</v>
      </c>
    </row>
    <row r="3068" spans="1:4" x14ac:dyDescent="0.25">
      <c r="A3068" s="88" t="str">
        <f t="shared" si="161"/>
        <v>5-2031</v>
      </c>
      <c r="B3068" s="86">
        <v>47994</v>
      </c>
      <c r="C3068" t="str">
        <f t="shared" si="162"/>
        <v>L-V</v>
      </c>
      <c r="D3068" t="str">
        <f t="shared" si="163"/>
        <v>Lunes</v>
      </c>
    </row>
    <row r="3069" spans="1:4" x14ac:dyDescent="0.25">
      <c r="A3069" s="88" t="str">
        <f t="shared" si="161"/>
        <v>5-2031</v>
      </c>
      <c r="B3069" s="86">
        <v>47995</v>
      </c>
      <c r="C3069" t="str">
        <f t="shared" si="162"/>
        <v>L-V</v>
      </c>
      <c r="D3069" t="str">
        <f t="shared" si="163"/>
        <v>Martes</v>
      </c>
    </row>
    <row r="3070" spans="1:4" x14ac:dyDescent="0.25">
      <c r="A3070" s="88" t="str">
        <f t="shared" si="161"/>
        <v>5-2031</v>
      </c>
      <c r="B3070" s="86">
        <v>47996</v>
      </c>
      <c r="C3070" t="str">
        <f t="shared" si="162"/>
        <v>L-V</v>
      </c>
      <c r="D3070" t="str">
        <f t="shared" si="163"/>
        <v>Miércoles</v>
      </c>
    </row>
    <row r="3071" spans="1:4" x14ac:dyDescent="0.25">
      <c r="A3071" s="88" t="str">
        <f t="shared" si="161"/>
        <v>5-2031</v>
      </c>
      <c r="B3071" s="86">
        <v>47997</v>
      </c>
      <c r="C3071" t="str">
        <f t="shared" si="162"/>
        <v>L-V</v>
      </c>
      <c r="D3071" t="str">
        <f t="shared" si="163"/>
        <v>Jueves</v>
      </c>
    </row>
    <row r="3072" spans="1:4" x14ac:dyDescent="0.25">
      <c r="A3072" s="88" t="str">
        <f t="shared" si="161"/>
        <v>5-2031</v>
      </c>
      <c r="B3072" s="86">
        <v>47998</v>
      </c>
      <c r="C3072" t="str">
        <f t="shared" si="162"/>
        <v>L-V</v>
      </c>
      <c r="D3072" t="str">
        <f t="shared" si="163"/>
        <v>Viernes</v>
      </c>
    </row>
    <row r="3073" spans="1:4" x14ac:dyDescent="0.25">
      <c r="A3073" s="88" t="str">
        <f t="shared" si="161"/>
        <v>5-2031</v>
      </c>
      <c r="B3073" s="86">
        <v>47999</v>
      </c>
      <c r="C3073" t="str">
        <f t="shared" si="162"/>
        <v>SAB</v>
      </c>
      <c r="D3073" t="str">
        <f t="shared" si="163"/>
        <v>Sábado</v>
      </c>
    </row>
    <row r="3074" spans="1:4" x14ac:dyDescent="0.25">
      <c r="A3074" s="88" t="str">
        <f t="shared" ref="A3074:A3137" si="164">MONTH(B3074)&amp;"-"&amp;YEAR(B3074)</f>
        <v>6-2031</v>
      </c>
      <c r="B3074" s="86">
        <v>48000</v>
      </c>
      <c r="C3074" t="str">
        <f t="shared" si="162"/>
        <v>DOM</v>
      </c>
      <c r="D3074" t="str">
        <f t="shared" si="163"/>
        <v>Domingo</v>
      </c>
    </row>
    <row r="3075" spans="1:4" x14ac:dyDescent="0.25">
      <c r="A3075" s="88" t="str">
        <f t="shared" si="164"/>
        <v>6-2031</v>
      </c>
      <c r="B3075" s="86">
        <v>48001</v>
      </c>
      <c r="C3075" t="str">
        <f t="shared" ref="C3075:C3138" si="165">VLOOKUP(WEEKDAY(B3075,2),$F$1:$H$7,2)</f>
        <v>L-V</v>
      </c>
      <c r="D3075" t="str">
        <f t="shared" ref="D3075:D3138" si="166">VLOOKUP(WEEKDAY($B3075,2),$F$1:$H$7,3)</f>
        <v>Lunes</v>
      </c>
    </row>
    <row r="3076" spans="1:4" x14ac:dyDescent="0.25">
      <c r="A3076" s="88" t="str">
        <f t="shared" si="164"/>
        <v>6-2031</v>
      </c>
      <c r="B3076" s="86">
        <v>48002</v>
      </c>
      <c r="C3076" t="str">
        <f t="shared" si="165"/>
        <v>L-V</v>
      </c>
      <c r="D3076" t="str">
        <f t="shared" si="166"/>
        <v>Martes</v>
      </c>
    </row>
    <row r="3077" spans="1:4" x14ac:dyDescent="0.25">
      <c r="A3077" s="88" t="str">
        <f t="shared" si="164"/>
        <v>6-2031</v>
      </c>
      <c r="B3077" s="86">
        <v>48003</v>
      </c>
      <c r="C3077" t="str">
        <f t="shared" si="165"/>
        <v>L-V</v>
      </c>
      <c r="D3077" t="str">
        <f t="shared" si="166"/>
        <v>Miércoles</v>
      </c>
    </row>
    <row r="3078" spans="1:4" x14ac:dyDescent="0.25">
      <c r="A3078" s="88" t="str">
        <f t="shared" si="164"/>
        <v>6-2031</v>
      </c>
      <c r="B3078" s="86">
        <v>48004</v>
      </c>
      <c r="C3078" t="str">
        <f t="shared" si="165"/>
        <v>L-V</v>
      </c>
      <c r="D3078" t="str">
        <f t="shared" si="166"/>
        <v>Jueves</v>
      </c>
    </row>
    <row r="3079" spans="1:4" x14ac:dyDescent="0.25">
      <c r="A3079" s="88" t="str">
        <f t="shared" si="164"/>
        <v>6-2031</v>
      </c>
      <c r="B3079" s="86">
        <v>48005</v>
      </c>
      <c r="C3079" t="str">
        <f t="shared" si="165"/>
        <v>L-V</v>
      </c>
      <c r="D3079" t="str">
        <f t="shared" si="166"/>
        <v>Viernes</v>
      </c>
    </row>
    <row r="3080" spans="1:4" x14ac:dyDescent="0.25">
      <c r="A3080" s="88" t="str">
        <f t="shared" si="164"/>
        <v>6-2031</v>
      </c>
      <c r="B3080" s="86">
        <v>48006</v>
      </c>
      <c r="C3080" t="str">
        <f t="shared" si="165"/>
        <v>SAB</v>
      </c>
      <c r="D3080" t="str">
        <f t="shared" si="166"/>
        <v>Sábado</v>
      </c>
    </row>
    <row r="3081" spans="1:4" x14ac:dyDescent="0.25">
      <c r="A3081" s="88" t="str">
        <f t="shared" si="164"/>
        <v>6-2031</v>
      </c>
      <c r="B3081" s="86">
        <v>48007</v>
      </c>
      <c r="C3081" t="str">
        <f t="shared" si="165"/>
        <v>DOM</v>
      </c>
      <c r="D3081" t="str">
        <f t="shared" si="166"/>
        <v>Domingo</v>
      </c>
    </row>
    <row r="3082" spans="1:4" x14ac:dyDescent="0.25">
      <c r="A3082" s="88" t="str">
        <f t="shared" si="164"/>
        <v>6-2031</v>
      </c>
      <c r="B3082" s="86">
        <v>48008</v>
      </c>
      <c r="C3082" t="str">
        <f t="shared" si="165"/>
        <v>L-V</v>
      </c>
      <c r="D3082" t="str">
        <f t="shared" si="166"/>
        <v>Lunes</v>
      </c>
    </row>
    <row r="3083" spans="1:4" x14ac:dyDescent="0.25">
      <c r="A3083" s="88" t="str">
        <f t="shared" si="164"/>
        <v>6-2031</v>
      </c>
      <c r="B3083" s="86">
        <v>48009</v>
      </c>
      <c r="C3083" t="str">
        <f t="shared" si="165"/>
        <v>L-V</v>
      </c>
      <c r="D3083" t="str">
        <f t="shared" si="166"/>
        <v>Martes</v>
      </c>
    </row>
    <row r="3084" spans="1:4" x14ac:dyDescent="0.25">
      <c r="A3084" s="88" t="str">
        <f t="shared" si="164"/>
        <v>6-2031</v>
      </c>
      <c r="B3084" s="86">
        <v>48010</v>
      </c>
      <c r="C3084" t="str">
        <f t="shared" si="165"/>
        <v>L-V</v>
      </c>
      <c r="D3084" t="str">
        <f t="shared" si="166"/>
        <v>Miércoles</v>
      </c>
    </row>
    <row r="3085" spans="1:4" x14ac:dyDescent="0.25">
      <c r="A3085" s="88" t="str">
        <f t="shared" si="164"/>
        <v>6-2031</v>
      </c>
      <c r="B3085" s="86">
        <v>48011</v>
      </c>
      <c r="C3085" t="str">
        <f t="shared" si="165"/>
        <v>L-V</v>
      </c>
      <c r="D3085" t="str">
        <f t="shared" si="166"/>
        <v>Jueves</v>
      </c>
    </row>
    <row r="3086" spans="1:4" x14ac:dyDescent="0.25">
      <c r="A3086" s="88" t="str">
        <f t="shared" si="164"/>
        <v>6-2031</v>
      </c>
      <c r="B3086" s="86">
        <v>48012</v>
      </c>
      <c r="C3086" t="str">
        <f t="shared" si="165"/>
        <v>L-V</v>
      </c>
      <c r="D3086" t="str">
        <f t="shared" si="166"/>
        <v>Viernes</v>
      </c>
    </row>
    <row r="3087" spans="1:4" x14ac:dyDescent="0.25">
      <c r="A3087" s="88" t="str">
        <f t="shared" si="164"/>
        <v>6-2031</v>
      </c>
      <c r="B3087" s="86">
        <v>48013</v>
      </c>
      <c r="C3087" t="str">
        <f t="shared" si="165"/>
        <v>SAB</v>
      </c>
      <c r="D3087" t="str">
        <f t="shared" si="166"/>
        <v>Sábado</v>
      </c>
    </row>
    <row r="3088" spans="1:4" x14ac:dyDescent="0.25">
      <c r="A3088" s="88" t="str">
        <f t="shared" si="164"/>
        <v>6-2031</v>
      </c>
      <c r="B3088" s="86">
        <v>48014</v>
      </c>
      <c r="C3088" t="str">
        <f t="shared" si="165"/>
        <v>DOM</v>
      </c>
      <c r="D3088" t="str">
        <f t="shared" si="166"/>
        <v>Domingo</v>
      </c>
    </row>
    <row r="3089" spans="1:4" x14ac:dyDescent="0.25">
      <c r="A3089" s="88" t="str">
        <f t="shared" si="164"/>
        <v>6-2031</v>
      </c>
      <c r="B3089" s="86">
        <v>48015</v>
      </c>
      <c r="C3089" t="str">
        <f t="shared" si="165"/>
        <v>L-V</v>
      </c>
      <c r="D3089" t="str">
        <f t="shared" si="166"/>
        <v>Lunes</v>
      </c>
    </row>
    <row r="3090" spans="1:4" x14ac:dyDescent="0.25">
      <c r="A3090" s="88" t="str">
        <f t="shared" si="164"/>
        <v>6-2031</v>
      </c>
      <c r="B3090" s="86">
        <v>48016</v>
      </c>
      <c r="C3090" t="str">
        <f t="shared" si="165"/>
        <v>L-V</v>
      </c>
      <c r="D3090" t="str">
        <f t="shared" si="166"/>
        <v>Martes</v>
      </c>
    </row>
    <row r="3091" spans="1:4" x14ac:dyDescent="0.25">
      <c r="A3091" s="88" t="str">
        <f t="shared" si="164"/>
        <v>6-2031</v>
      </c>
      <c r="B3091" s="86">
        <v>48017</v>
      </c>
      <c r="C3091" t="str">
        <f t="shared" si="165"/>
        <v>L-V</v>
      </c>
      <c r="D3091" t="str">
        <f t="shared" si="166"/>
        <v>Miércoles</v>
      </c>
    </row>
    <row r="3092" spans="1:4" x14ac:dyDescent="0.25">
      <c r="A3092" s="88" t="str">
        <f t="shared" si="164"/>
        <v>6-2031</v>
      </c>
      <c r="B3092" s="86">
        <v>48018</v>
      </c>
      <c r="C3092" t="str">
        <f t="shared" si="165"/>
        <v>L-V</v>
      </c>
      <c r="D3092" t="str">
        <f t="shared" si="166"/>
        <v>Jueves</v>
      </c>
    </row>
    <row r="3093" spans="1:4" x14ac:dyDescent="0.25">
      <c r="A3093" s="88" t="str">
        <f t="shared" si="164"/>
        <v>6-2031</v>
      </c>
      <c r="B3093" s="86">
        <v>48019</v>
      </c>
      <c r="C3093" t="str">
        <f t="shared" si="165"/>
        <v>L-V</v>
      </c>
      <c r="D3093" t="str">
        <f t="shared" si="166"/>
        <v>Viernes</v>
      </c>
    </row>
    <row r="3094" spans="1:4" x14ac:dyDescent="0.25">
      <c r="A3094" s="88" t="str">
        <f t="shared" si="164"/>
        <v>6-2031</v>
      </c>
      <c r="B3094" s="86">
        <v>48020</v>
      </c>
      <c r="C3094" t="str">
        <f t="shared" si="165"/>
        <v>SAB</v>
      </c>
      <c r="D3094" t="str">
        <f t="shared" si="166"/>
        <v>Sábado</v>
      </c>
    </row>
    <row r="3095" spans="1:4" x14ac:dyDescent="0.25">
      <c r="A3095" s="88" t="str">
        <f t="shared" si="164"/>
        <v>6-2031</v>
      </c>
      <c r="B3095" s="86">
        <v>48021</v>
      </c>
      <c r="C3095" t="str">
        <f t="shared" si="165"/>
        <v>DOM</v>
      </c>
      <c r="D3095" t="str">
        <f t="shared" si="166"/>
        <v>Domingo</v>
      </c>
    </row>
    <row r="3096" spans="1:4" x14ac:dyDescent="0.25">
      <c r="A3096" s="88" t="str">
        <f t="shared" si="164"/>
        <v>6-2031</v>
      </c>
      <c r="B3096" s="86">
        <v>48022</v>
      </c>
      <c r="C3096" t="str">
        <f t="shared" si="165"/>
        <v>L-V</v>
      </c>
      <c r="D3096" t="str">
        <f t="shared" si="166"/>
        <v>Lunes</v>
      </c>
    </row>
    <row r="3097" spans="1:4" x14ac:dyDescent="0.25">
      <c r="A3097" s="88" t="str">
        <f t="shared" si="164"/>
        <v>6-2031</v>
      </c>
      <c r="B3097" s="86">
        <v>48023</v>
      </c>
      <c r="C3097" t="str">
        <f t="shared" si="165"/>
        <v>L-V</v>
      </c>
      <c r="D3097" t="str">
        <f t="shared" si="166"/>
        <v>Martes</v>
      </c>
    </row>
    <row r="3098" spans="1:4" x14ac:dyDescent="0.25">
      <c r="A3098" s="88" t="str">
        <f t="shared" si="164"/>
        <v>6-2031</v>
      </c>
      <c r="B3098" s="86">
        <v>48024</v>
      </c>
      <c r="C3098" t="str">
        <f t="shared" si="165"/>
        <v>L-V</v>
      </c>
      <c r="D3098" t="str">
        <f t="shared" si="166"/>
        <v>Miércoles</v>
      </c>
    </row>
    <row r="3099" spans="1:4" x14ac:dyDescent="0.25">
      <c r="A3099" s="88" t="str">
        <f t="shared" si="164"/>
        <v>6-2031</v>
      </c>
      <c r="B3099" s="86">
        <v>48025</v>
      </c>
      <c r="C3099" t="str">
        <f t="shared" si="165"/>
        <v>L-V</v>
      </c>
      <c r="D3099" t="str">
        <f t="shared" si="166"/>
        <v>Jueves</v>
      </c>
    </row>
    <row r="3100" spans="1:4" x14ac:dyDescent="0.25">
      <c r="A3100" s="88" t="str">
        <f t="shared" si="164"/>
        <v>6-2031</v>
      </c>
      <c r="B3100" s="86">
        <v>48026</v>
      </c>
      <c r="C3100" t="str">
        <f t="shared" si="165"/>
        <v>L-V</v>
      </c>
      <c r="D3100" t="str">
        <f t="shared" si="166"/>
        <v>Viernes</v>
      </c>
    </row>
    <row r="3101" spans="1:4" x14ac:dyDescent="0.25">
      <c r="A3101" s="88" t="str">
        <f t="shared" si="164"/>
        <v>6-2031</v>
      </c>
      <c r="B3101" s="86">
        <v>48027</v>
      </c>
      <c r="C3101" t="str">
        <f t="shared" si="165"/>
        <v>SAB</v>
      </c>
      <c r="D3101" t="str">
        <f t="shared" si="166"/>
        <v>Sábado</v>
      </c>
    </row>
    <row r="3102" spans="1:4" x14ac:dyDescent="0.25">
      <c r="A3102" s="88" t="str">
        <f t="shared" si="164"/>
        <v>6-2031</v>
      </c>
      <c r="B3102" s="86">
        <v>48028</v>
      </c>
      <c r="C3102" t="str">
        <f t="shared" si="165"/>
        <v>DOM</v>
      </c>
      <c r="D3102" t="str">
        <f t="shared" si="166"/>
        <v>Domingo</v>
      </c>
    </row>
    <row r="3103" spans="1:4" x14ac:dyDescent="0.25">
      <c r="A3103" s="88" t="str">
        <f t="shared" si="164"/>
        <v>6-2031</v>
      </c>
      <c r="B3103" s="86">
        <v>48029</v>
      </c>
      <c r="C3103" t="str">
        <f t="shared" si="165"/>
        <v>L-V</v>
      </c>
      <c r="D3103" t="str">
        <f t="shared" si="166"/>
        <v>Lunes</v>
      </c>
    </row>
    <row r="3104" spans="1:4" x14ac:dyDescent="0.25">
      <c r="A3104" s="88" t="str">
        <f t="shared" si="164"/>
        <v>7-2031</v>
      </c>
      <c r="B3104" s="86">
        <v>48030</v>
      </c>
      <c r="C3104" t="str">
        <f t="shared" si="165"/>
        <v>L-V</v>
      </c>
      <c r="D3104" t="str">
        <f t="shared" si="166"/>
        <v>Martes</v>
      </c>
    </row>
    <row r="3105" spans="1:4" x14ac:dyDescent="0.25">
      <c r="A3105" s="88" t="str">
        <f t="shared" si="164"/>
        <v>7-2031</v>
      </c>
      <c r="B3105" s="86">
        <v>48031</v>
      </c>
      <c r="C3105" t="str">
        <f t="shared" si="165"/>
        <v>L-V</v>
      </c>
      <c r="D3105" t="str">
        <f t="shared" si="166"/>
        <v>Miércoles</v>
      </c>
    </row>
    <row r="3106" spans="1:4" x14ac:dyDescent="0.25">
      <c r="A3106" s="88" t="str">
        <f t="shared" si="164"/>
        <v>7-2031</v>
      </c>
      <c r="B3106" s="86">
        <v>48032</v>
      </c>
      <c r="C3106" t="str">
        <f t="shared" si="165"/>
        <v>L-V</v>
      </c>
      <c r="D3106" t="str">
        <f t="shared" si="166"/>
        <v>Jueves</v>
      </c>
    </row>
    <row r="3107" spans="1:4" x14ac:dyDescent="0.25">
      <c r="A3107" s="88" t="str">
        <f t="shared" si="164"/>
        <v>7-2031</v>
      </c>
      <c r="B3107" s="86">
        <v>48033</v>
      </c>
      <c r="C3107" t="str">
        <f t="shared" si="165"/>
        <v>L-V</v>
      </c>
      <c r="D3107" t="str">
        <f t="shared" si="166"/>
        <v>Viernes</v>
      </c>
    </row>
    <row r="3108" spans="1:4" x14ac:dyDescent="0.25">
      <c r="A3108" s="88" t="str">
        <f t="shared" si="164"/>
        <v>7-2031</v>
      </c>
      <c r="B3108" s="86">
        <v>48034</v>
      </c>
      <c r="C3108" t="str">
        <f t="shared" si="165"/>
        <v>SAB</v>
      </c>
      <c r="D3108" t="str">
        <f t="shared" si="166"/>
        <v>Sábado</v>
      </c>
    </row>
    <row r="3109" spans="1:4" x14ac:dyDescent="0.25">
      <c r="A3109" s="88" t="str">
        <f t="shared" si="164"/>
        <v>7-2031</v>
      </c>
      <c r="B3109" s="86">
        <v>48035</v>
      </c>
      <c r="C3109" t="str">
        <f t="shared" si="165"/>
        <v>DOM</v>
      </c>
      <c r="D3109" t="str">
        <f t="shared" si="166"/>
        <v>Domingo</v>
      </c>
    </row>
    <row r="3110" spans="1:4" x14ac:dyDescent="0.25">
      <c r="A3110" s="88" t="str">
        <f t="shared" si="164"/>
        <v>7-2031</v>
      </c>
      <c r="B3110" s="86">
        <v>48036</v>
      </c>
      <c r="C3110" t="str">
        <f t="shared" si="165"/>
        <v>L-V</v>
      </c>
      <c r="D3110" t="str">
        <f t="shared" si="166"/>
        <v>Lunes</v>
      </c>
    </row>
    <row r="3111" spans="1:4" x14ac:dyDescent="0.25">
      <c r="A3111" s="88" t="str">
        <f t="shared" si="164"/>
        <v>7-2031</v>
      </c>
      <c r="B3111" s="86">
        <v>48037</v>
      </c>
      <c r="C3111" t="str">
        <f t="shared" si="165"/>
        <v>L-V</v>
      </c>
      <c r="D3111" t="str">
        <f t="shared" si="166"/>
        <v>Martes</v>
      </c>
    </row>
    <row r="3112" spans="1:4" x14ac:dyDescent="0.25">
      <c r="A3112" s="88" t="str">
        <f t="shared" si="164"/>
        <v>7-2031</v>
      </c>
      <c r="B3112" s="86">
        <v>48038</v>
      </c>
      <c r="C3112" t="str">
        <f t="shared" si="165"/>
        <v>L-V</v>
      </c>
      <c r="D3112" t="str">
        <f t="shared" si="166"/>
        <v>Miércoles</v>
      </c>
    </row>
    <row r="3113" spans="1:4" x14ac:dyDescent="0.25">
      <c r="A3113" s="88" t="str">
        <f t="shared" si="164"/>
        <v>7-2031</v>
      </c>
      <c r="B3113" s="86">
        <v>48039</v>
      </c>
      <c r="C3113" t="str">
        <f t="shared" si="165"/>
        <v>L-V</v>
      </c>
      <c r="D3113" t="str">
        <f t="shared" si="166"/>
        <v>Jueves</v>
      </c>
    </row>
    <row r="3114" spans="1:4" x14ac:dyDescent="0.25">
      <c r="A3114" s="88" t="str">
        <f t="shared" si="164"/>
        <v>7-2031</v>
      </c>
      <c r="B3114" s="86">
        <v>48040</v>
      </c>
      <c r="C3114" t="str">
        <f t="shared" si="165"/>
        <v>L-V</v>
      </c>
      <c r="D3114" t="str">
        <f t="shared" si="166"/>
        <v>Viernes</v>
      </c>
    </row>
    <row r="3115" spans="1:4" x14ac:dyDescent="0.25">
      <c r="A3115" s="88" t="str">
        <f t="shared" si="164"/>
        <v>7-2031</v>
      </c>
      <c r="B3115" s="86">
        <v>48041</v>
      </c>
      <c r="C3115" t="str">
        <f t="shared" si="165"/>
        <v>SAB</v>
      </c>
      <c r="D3115" t="str">
        <f t="shared" si="166"/>
        <v>Sábado</v>
      </c>
    </row>
    <row r="3116" spans="1:4" x14ac:dyDescent="0.25">
      <c r="A3116" s="88" t="str">
        <f t="shared" si="164"/>
        <v>7-2031</v>
      </c>
      <c r="B3116" s="86">
        <v>48042</v>
      </c>
      <c r="C3116" t="str">
        <f t="shared" si="165"/>
        <v>DOM</v>
      </c>
      <c r="D3116" t="str">
        <f t="shared" si="166"/>
        <v>Domingo</v>
      </c>
    </row>
    <row r="3117" spans="1:4" x14ac:dyDescent="0.25">
      <c r="A3117" s="88" t="str">
        <f t="shared" si="164"/>
        <v>7-2031</v>
      </c>
      <c r="B3117" s="86">
        <v>48043</v>
      </c>
      <c r="C3117" t="str">
        <f t="shared" si="165"/>
        <v>L-V</v>
      </c>
      <c r="D3117" t="str">
        <f t="shared" si="166"/>
        <v>Lunes</v>
      </c>
    </row>
    <row r="3118" spans="1:4" x14ac:dyDescent="0.25">
      <c r="A3118" s="88" t="str">
        <f t="shared" si="164"/>
        <v>7-2031</v>
      </c>
      <c r="B3118" s="86">
        <v>48044</v>
      </c>
      <c r="C3118" t="str">
        <f t="shared" si="165"/>
        <v>L-V</v>
      </c>
      <c r="D3118" t="str">
        <f t="shared" si="166"/>
        <v>Martes</v>
      </c>
    </row>
    <row r="3119" spans="1:4" x14ac:dyDescent="0.25">
      <c r="A3119" s="88" t="str">
        <f t="shared" si="164"/>
        <v>7-2031</v>
      </c>
      <c r="B3119" s="86">
        <v>48045</v>
      </c>
      <c r="C3119" t="str">
        <f t="shared" si="165"/>
        <v>L-V</v>
      </c>
      <c r="D3119" t="str">
        <f t="shared" si="166"/>
        <v>Miércoles</v>
      </c>
    </row>
    <row r="3120" spans="1:4" x14ac:dyDescent="0.25">
      <c r="A3120" s="88" t="str">
        <f t="shared" si="164"/>
        <v>7-2031</v>
      </c>
      <c r="B3120" s="86">
        <v>48046</v>
      </c>
      <c r="C3120" t="str">
        <f t="shared" si="165"/>
        <v>L-V</v>
      </c>
      <c r="D3120" t="str">
        <f t="shared" si="166"/>
        <v>Jueves</v>
      </c>
    </row>
    <row r="3121" spans="1:4" x14ac:dyDescent="0.25">
      <c r="A3121" s="88" t="str">
        <f t="shared" si="164"/>
        <v>7-2031</v>
      </c>
      <c r="B3121" s="86">
        <v>48047</v>
      </c>
      <c r="C3121" t="str">
        <f t="shared" si="165"/>
        <v>L-V</v>
      </c>
      <c r="D3121" t="str">
        <f t="shared" si="166"/>
        <v>Viernes</v>
      </c>
    </row>
    <row r="3122" spans="1:4" x14ac:dyDescent="0.25">
      <c r="A3122" s="88" t="str">
        <f t="shared" si="164"/>
        <v>7-2031</v>
      </c>
      <c r="B3122" s="86">
        <v>48048</v>
      </c>
      <c r="C3122" t="str">
        <f t="shared" si="165"/>
        <v>SAB</v>
      </c>
      <c r="D3122" t="str">
        <f t="shared" si="166"/>
        <v>Sábado</v>
      </c>
    </row>
    <row r="3123" spans="1:4" x14ac:dyDescent="0.25">
      <c r="A3123" s="88" t="str">
        <f t="shared" si="164"/>
        <v>7-2031</v>
      </c>
      <c r="B3123" s="86">
        <v>48049</v>
      </c>
      <c r="C3123" t="str">
        <f t="shared" si="165"/>
        <v>DOM</v>
      </c>
      <c r="D3123" t="str">
        <f t="shared" si="166"/>
        <v>Domingo</v>
      </c>
    </row>
    <row r="3124" spans="1:4" x14ac:dyDescent="0.25">
      <c r="A3124" s="88" t="str">
        <f t="shared" si="164"/>
        <v>7-2031</v>
      </c>
      <c r="B3124" s="86">
        <v>48050</v>
      </c>
      <c r="C3124" t="str">
        <f t="shared" si="165"/>
        <v>L-V</v>
      </c>
      <c r="D3124" t="str">
        <f t="shared" si="166"/>
        <v>Lunes</v>
      </c>
    </row>
    <row r="3125" spans="1:4" x14ac:dyDescent="0.25">
      <c r="A3125" s="88" t="str">
        <f t="shared" si="164"/>
        <v>7-2031</v>
      </c>
      <c r="B3125" s="86">
        <v>48051</v>
      </c>
      <c r="C3125" t="str">
        <f t="shared" si="165"/>
        <v>L-V</v>
      </c>
      <c r="D3125" t="str">
        <f t="shared" si="166"/>
        <v>Martes</v>
      </c>
    </row>
    <row r="3126" spans="1:4" x14ac:dyDescent="0.25">
      <c r="A3126" s="88" t="str">
        <f t="shared" si="164"/>
        <v>7-2031</v>
      </c>
      <c r="B3126" s="86">
        <v>48052</v>
      </c>
      <c r="C3126" t="str">
        <f t="shared" si="165"/>
        <v>L-V</v>
      </c>
      <c r="D3126" t="str">
        <f t="shared" si="166"/>
        <v>Miércoles</v>
      </c>
    </row>
    <row r="3127" spans="1:4" x14ac:dyDescent="0.25">
      <c r="A3127" s="88" t="str">
        <f t="shared" si="164"/>
        <v>7-2031</v>
      </c>
      <c r="B3127" s="86">
        <v>48053</v>
      </c>
      <c r="C3127" t="str">
        <f t="shared" si="165"/>
        <v>L-V</v>
      </c>
      <c r="D3127" t="str">
        <f t="shared" si="166"/>
        <v>Jueves</v>
      </c>
    </row>
    <row r="3128" spans="1:4" x14ac:dyDescent="0.25">
      <c r="A3128" s="88" t="str">
        <f t="shared" si="164"/>
        <v>7-2031</v>
      </c>
      <c r="B3128" s="86">
        <v>48054</v>
      </c>
      <c r="C3128" t="str">
        <f t="shared" si="165"/>
        <v>L-V</v>
      </c>
      <c r="D3128" t="str">
        <f t="shared" si="166"/>
        <v>Viernes</v>
      </c>
    </row>
    <row r="3129" spans="1:4" x14ac:dyDescent="0.25">
      <c r="A3129" s="88" t="str">
        <f t="shared" si="164"/>
        <v>7-2031</v>
      </c>
      <c r="B3129" s="86">
        <v>48055</v>
      </c>
      <c r="C3129" t="str">
        <f t="shared" si="165"/>
        <v>SAB</v>
      </c>
      <c r="D3129" t="str">
        <f t="shared" si="166"/>
        <v>Sábado</v>
      </c>
    </row>
    <row r="3130" spans="1:4" x14ac:dyDescent="0.25">
      <c r="A3130" s="88" t="str">
        <f t="shared" si="164"/>
        <v>7-2031</v>
      </c>
      <c r="B3130" s="86">
        <v>48056</v>
      </c>
      <c r="C3130" t="str">
        <f t="shared" si="165"/>
        <v>DOM</v>
      </c>
      <c r="D3130" t="str">
        <f t="shared" si="166"/>
        <v>Domingo</v>
      </c>
    </row>
    <row r="3131" spans="1:4" x14ac:dyDescent="0.25">
      <c r="A3131" s="88" t="str">
        <f t="shared" si="164"/>
        <v>7-2031</v>
      </c>
      <c r="B3131" s="86">
        <v>48057</v>
      </c>
      <c r="C3131" t="str">
        <f t="shared" si="165"/>
        <v>L-V</v>
      </c>
      <c r="D3131" t="str">
        <f t="shared" si="166"/>
        <v>Lunes</v>
      </c>
    </row>
    <row r="3132" spans="1:4" x14ac:dyDescent="0.25">
      <c r="A3132" s="88" t="str">
        <f t="shared" si="164"/>
        <v>7-2031</v>
      </c>
      <c r="B3132" s="86">
        <v>48058</v>
      </c>
      <c r="C3132" t="str">
        <f t="shared" si="165"/>
        <v>L-V</v>
      </c>
      <c r="D3132" t="str">
        <f t="shared" si="166"/>
        <v>Martes</v>
      </c>
    </row>
    <row r="3133" spans="1:4" x14ac:dyDescent="0.25">
      <c r="A3133" s="88" t="str">
        <f t="shared" si="164"/>
        <v>7-2031</v>
      </c>
      <c r="B3133" s="86">
        <v>48059</v>
      </c>
      <c r="C3133" t="str">
        <f t="shared" si="165"/>
        <v>L-V</v>
      </c>
      <c r="D3133" t="str">
        <f t="shared" si="166"/>
        <v>Miércoles</v>
      </c>
    </row>
    <row r="3134" spans="1:4" x14ac:dyDescent="0.25">
      <c r="A3134" s="88" t="str">
        <f t="shared" si="164"/>
        <v>7-2031</v>
      </c>
      <c r="B3134" s="86">
        <v>48060</v>
      </c>
      <c r="C3134" t="str">
        <f t="shared" si="165"/>
        <v>L-V</v>
      </c>
      <c r="D3134" t="str">
        <f t="shared" si="166"/>
        <v>Jueves</v>
      </c>
    </row>
    <row r="3135" spans="1:4" x14ac:dyDescent="0.25">
      <c r="A3135" s="88" t="str">
        <f t="shared" si="164"/>
        <v>8-2031</v>
      </c>
      <c r="B3135" s="86">
        <v>48061</v>
      </c>
      <c r="C3135" t="str">
        <f t="shared" si="165"/>
        <v>L-V</v>
      </c>
      <c r="D3135" t="str">
        <f t="shared" si="166"/>
        <v>Viernes</v>
      </c>
    </row>
    <row r="3136" spans="1:4" x14ac:dyDescent="0.25">
      <c r="A3136" s="88" t="str">
        <f t="shared" si="164"/>
        <v>8-2031</v>
      </c>
      <c r="B3136" s="86">
        <v>48062</v>
      </c>
      <c r="C3136" t="str">
        <f t="shared" si="165"/>
        <v>SAB</v>
      </c>
      <c r="D3136" t="str">
        <f t="shared" si="166"/>
        <v>Sábado</v>
      </c>
    </row>
    <row r="3137" spans="1:4" x14ac:dyDescent="0.25">
      <c r="A3137" s="88" t="str">
        <f t="shared" si="164"/>
        <v>8-2031</v>
      </c>
      <c r="B3137" s="86">
        <v>48063</v>
      </c>
      <c r="C3137" t="str">
        <f t="shared" si="165"/>
        <v>DOM</v>
      </c>
      <c r="D3137" t="str">
        <f t="shared" si="166"/>
        <v>Domingo</v>
      </c>
    </row>
    <row r="3138" spans="1:4" x14ac:dyDescent="0.25">
      <c r="A3138" s="88" t="str">
        <f t="shared" ref="A3138:A3201" si="167">MONTH(B3138)&amp;"-"&amp;YEAR(B3138)</f>
        <v>8-2031</v>
      </c>
      <c r="B3138" s="86">
        <v>48064</v>
      </c>
      <c r="C3138" t="str">
        <f t="shared" si="165"/>
        <v>L-V</v>
      </c>
      <c r="D3138" t="str">
        <f t="shared" si="166"/>
        <v>Lunes</v>
      </c>
    </row>
    <row r="3139" spans="1:4" x14ac:dyDescent="0.25">
      <c r="A3139" s="88" t="str">
        <f t="shared" si="167"/>
        <v>8-2031</v>
      </c>
      <c r="B3139" s="86">
        <v>48065</v>
      </c>
      <c r="C3139" t="str">
        <f t="shared" ref="C3139:C3202" si="168">VLOOKUP(WEEKDAY(B3139,2),$F$1:$H$7,2)</f>
        <v>L-V</v>
      </c>
      <c r="D3139" t="str">
        <f t="shared" ref="D3139:D3202" si="169">VLOOKUP(WEEKDAY($B3139,2),$F$1:$H$7,3)</f>
        <v>Martes</v>
      </c>
    </row>
    <row r="3140" spans="1:4" x14ac:dyDescent="0.25">
      <c r="A3140" s="88" t="str">
        <f t="shared" si="167"/>
        <v>8-2031</v>
      </c>
      <c r="B3140" s="86">
        <v>48066</v>
      </c>
      <c r="C3140" t="str">
        <f t="shared" si="168"/>
        <v>L-V</v>
      </c>
      <c r="D3140" t="str">
        <f t="shared" si="169"/>
        <v>Miércoles</v>
      </c>
    </row>
    <row r="3141" spans="1:4" x14ac:dyDescent="0.25">
      <c r="A3141" s="88" t="str">
        <f t="shared" si="167"/>
        <v>8-2031</v>
      </c>
      <c r="B3141" s="86">
        <v>48067</v>
      </c>
      <c r="C3141" t="str">
        <f t="shared" si="168"/>
        <v>L-V</v>
      </c>
      <c r="D3141" t="str">
        <f t="shared" si="169"/>
        <v>Jueves</v>
      </c>
    </row>
    <row r="3142" spans="1:4" x14ac:dyDescent="0.25">
      <c r="A3142" s="88" t="str">
        <f t="shared" si="167"/>
        <v>8-2031</v>
      </c>
      <c r="B3142" s="86">
        <v>48068</v>
      </c>
      <c r="C3142" t="str">
        <f t="shared" si="168"/>
        <v>L-V</v>
      </c>
      <c r="D3142" t="str">
        <f t="shared" si="169"/>
        <v>Viernes</v>
      </c>
    </row>
    <row r="3143" spans="1:4" x14ac:dyDescent="0.25">
      <c r="A3143" s="88" t="str">
        <f t="shared" si="167"/>
        <v>8-2031</v>
      </c>
      <c r="B3143" s="86">
        <v>48069</v>
      </c>
      <c r="C3143" t="str">
        <f t="shared" si="168"/>
        <v>SAB</v>
      </c>
      <c r="D3143" t="str">
        <f t="shared" si="169"/>
        <v>Sábado</v>
      </c>
    </row>
    <row r="3144" spans="1:4" x14ac:dyDescent="0.25">
      <c r="A3144" s="88" t="str">
        <f t="shared" si="167"/>
        <v>8-2031</v>
      </c>
      <c r="B3144" s="86">
        <v>48070</v>
      </c>
      <c r="C3144" t="str">
        <f t="shared" si="168"/>
        <v>DOM</v>
      </c>
      <c r="D3144" t="str">
        <f t="shared" si="169"/>
        <v>Domingo</v>
      </c>
    </row>
    <row r="3145" spans="1:4" x14ac:dyDescent="0.25">
      <c r="A3145" s="88" t="str">
        <f t="shared" si="167"/>
        <v>8-2031</v>
      </c>
      <c r="B3145" s="86">
        <v>48071</v>
      </c>
      <c r="C3145" t="str">
        <f t="shared" si="168"/>
        <v>L-V</v>
      </c>
      <c r="D3145" t="str">
        <f t="shared" si="169"/>
        <v>Lunes</v>
      </c>
    </row>
    <row r="3146" spans="1:4" x14ac:dyDescent="0.25">
      <c r="A3146" s="88" t="str">
        <f t="shared" si="167"/>
        <v>8-2031</v>
      </c>
      <c r="B3146" s="86">
        <v>48072</v>
      </c>
      <c r="C3146" t="str">
        <f t="shared" si="168"/>
        <v>L-V</v>
      </c>
      <c r="D3146" t="str">
        <f t="shared" si="169"/>
        <v>Martes</v>
      </c>
    </row>
    <row r="3147" spans="1:4" x14ac:dyDescent="0.25">
      <c r="A3147" s="88" t="str">
        <f t="shared" si="167"/>
        <v>8-2031</v>
      </c>
      <c r="B3147" s="86">
        <v>48073</v>
      </c>
      <c r="C3147" t="str">
        <f t="shared" si="168"/>
        <v>L-V</v>
      </c>
      <c r="D3147" t="str">
        <f t="shared" si="169"/>
        <v>Miércoles</v>
      </c>
    </row>
    <row r="3148" spans="1:4" x14ac:dyDescent="0.25">
      <c r="A3148" s="88" t="str">
        <f t="shared" si="167"/>
        <v>8-2031</v>
      </c>
      <c r="B3148" s="86">
        <v>48074</v>
      </c>
      <c r="C3148" t="str">
        <f t="shared" si="168"/>
        <v>L-V</v>
      </c>
      <c r="D3148" t="str">
        <f t="shared" si="169"/>
        <v>Jueves</v>
      </c>
    </row>
    <row r="3149" spans="1:4" x14ac:dyDescent="0.25">
      <c r="A3149" s="88" t="str">
        <f t="shared" si="167"/>
        <v>8-2031</v>
      </c>
      <c r="B3149" s="86">
        <v>48075</v>
      </c>
      <c r="C3149" t="str">
        <f t="shared" si="168"/>
        <v>L-V</v>
      </c>
      <c r="D3149" t="str">
        <f t="shared" si="169"/>
        <v>Viernes</v>
      </c>
    </row>
    <row r="3150" spans="1:4" x14ac:dyDescent="0.25">
      <c r="A3150" s="88" t="str">
        <f t="shared" si="167"/>
        <v>8-2031</v>
      </c>
      <c r="B3150" s="86">
        <v>48076</v>
      </c>
      <c r="C3150" t="str">
        <f t="shared" si="168"/>
        <v>SAB</v>
      </c>
      <c r="D3150" t="str">
        <f t="shared" si="169"/>
        <v>Sábado</v>
      </c>
    </row>
    <row r="3151" spans="1:4" x14ac:dyDescent="0.25">
      <c r="A3151" s="88" t="str">
        <f t="shared" si="167"/>
        <v>8-2031</v>
      </c>
      <c r="B3151" s="86">
        <v>48077</v>
      </c>
      <c r="C3151" t="str">
        <f t="shared" si="168"/>
        <v>DOM</v>
      </c>
      <c r="D3151" t="str">
        <f t="shared" si="169"/>
        <v>Domingo</v>
      </c>
    </row>
    <row r="3152" spans="1:4" x14ac:dyDescent="0.25">
      <c r="A3152" s="88" t="str">
        <f t="shared" si="167"/>
        <v>8-2031</v>
      </c>
      <c r="B3152" s="86">
        <v>48078</v>
      </c>
      <c r="C3152" t="str">
        <f t="shared" si="168"/>
        <v>L-V</v>
      </c>
      <c r="D3152" t="str">
        <f t="shared" si="169"/>
        <v>Lunes</v>
      </c>
    </row>
    <row r="3153" spans="1:4" x14ac:dyDescent="0.25">
      <c r="A3153" s="88" t="str">
        <f t="shared" si="167"/>
        <v>8-2031</v>
      </c>
      <c r="B3153" s="86">
        <v>48079</v>
      </c>
      <c r="C3153" t="str">
        <f t="shared" si="168"/>
        <v>L-V</v>
      </c>
      <c r="D3153" t="str">
        <f t="shared" si="169"/>
        <v>Martes</v>
      </c>
    </row>
    <row r="3154" spans="1:4" x14ac:dyDescent="0.25">
      <c r="A3154" s="88" t="str">
        <f t="shared" si="167"/>
        <v>8-2031</v>
      </c>
      <c r="B3154" s="86">
        <v>48080</v>
      </c>
      <c r="C3154" t="str">
        <f t="shared" si="168"/>
        <v>L-V</v>
      </c>
      <c r="D3154" t="str">
        <f t="shared" si="169"/>
        <v>Miércoles</v>
      </c>
    </row>
    <row r="3155" spans="1:4" x14ac:dyDescent="0.25">
      <c r="A3155" s="88" t="str">
        <f t="shared" si="167"/>
        <v>8-2031</v>
      </c>
      <c r="B3155" s="86">
        <v>48081</v>
      </c>
      <c r="C3155" t="str">
        <f t="shared" si="168"/>
        <v>L-V</v>
      </c>
      <c r="D3155" t="str">
        <f t="shared" si="169"/>
        <v>Jueves</v>
      </c>
    </row>
    <row r="3156" spans="1:4" x14ac:dyDescent="0.25">
      <c r="A3156" s="88" t="str">
        <f t="shared" si="167"/>
        <v>8-2031</v>
      </c>
      <c r="B3156" s="86">
        <v>48082</v>
      </c>
      <c r="C3156" t="str">
        <f t="shared" si="168"/>
        <v>L-V</v>
      </c>
      <c r="D3156" t="str">
        <f t="shared" si="169"/>
        <v>Viernes</v>
      </c>
    </row>
    <row r="3157" spans="1:4" x14ac:dyDescent="0.25">
      <c r="A3157" s="88" t="str">
        <f t="shared" si="167"/>
        <v>8-2031</v>
      </c>
      <c r="B3157" s="86">
        <v>48083</v>
      </c>
      <c r="C3157" t="str">
        <f t="shared" si="168"/>
        <v>SAB</v>
      </c>
      <c r="D3157" t="str">
        <f t="shared" si="169"/>
        <v>Sábado</v>
      </c>
    </row>
    <row r="3158" spans="1:4" x14ac:dyDescent="0.25">
      <c r="A3158" s="88" t="str">
        <f t="shared" si="167"/>
        <v>8-2031</v>
      </c>
      <c r="B3158" s="86">
        <v>48084</v>
      </c>
      <c r="C3158" t="str">
        <f t="shared" si="168"/>
        <v>DOM</v>
      </c>
      <c r="D3158" t="str">
        <f t="shared" si="169"/>
        <v>Domingo</v>
      </c>
    </row>
    <row r="3159" spans="1:4" x14ac:dyDescent="0.25">
      <c r="A3159" s="88" t="str">
        <f t="shared" si="167"/>
        <v>8-2031</v>
      </c>
      <c r="B3159" s="86">
        <v>48085</v>
      </c>
      <c r="C3159" t="str">
        <f t="shared" si="168"/>
        <v>L-V</v>
      </c>
      <c r="D3159" t="str">
        <f t="shared" si="169"/>
        <v>Lunes</v>
      </c>
    </row>
    <row r="3160" spans="1:4" x14ac:dyDescent="0.25">
      <c r="A3160" s="88" t="str">
        <f t="shared" si="167"/>
        <v>8-2031</v>
      </c>
      <c r="B3160" s="86">
        <v>48086</v>
      </c>
      <c r="C3160" t="str">
        <f t="shared" si="168"/>
        <v>L-V</v>
      </c>
      <c r="D3160" t="str">
        <f t="shared" si="169"/>
        <v>Martes</v>
      </c>
    </row>
    <row r="3161" spans="1:4" x14ac:dyDescent="0.25">
      <c r="A3161" s="88" t="str">
        <f t="shared" si="167"/>
        <v>8-2031</v>
      </c>
      <c r="B3161" s="86">
        <v>48087</v>
      </c>
      <c r="C3161" t="str">
        <f t="shared" si="168"/>
        <v>L-V</v>
      </c>
      <c r="D3161" t="str">
        <f t="shared" si="169"/>
        <v>Miércoles</v>
      </c>
    </row>
    <row r="3162" spans="1:4" x14ac:dyDescent="0.25">
      <c r="A3162" s="88" t="str">
        <f t="shared" si="167"/>
        <v>8-2031</v>
      </c>
      <c r="B3162" s="86">
        <v>48088</v>
      </c>
      <c r="C3162" t="str">
        <f t="shared" si="168"/>
        <v>L-V</v>
      </c>
      <c r="D3162" t="str">
        <f t="shared" si="169"/>
        <v>Jueves</v>
      </c>
    </row>
    <row r="3163" spans="1:4" x14ac:dyDescent="0.25">
      <c r="A3163" s="88" t="str">
        <f t="shared" si="167"/>
        <v>8-2031</v>
      </c>
      <c r="B3163" s="86">
        <v>48089</v>
      </c>
      <c r="C3163" t="str">
        <f t="shared" si="168"/>
        <v>L-V</v>
      </c>
      <c r="D3163" t="str">
        <f t="shared" si="169"/>
        <v>Viernes</v>
      </c>
    </row>
    <row r="3164" spans="1:4" x14ac:dyDescent="0.25">
      <c r="A3164" s="88" t="str">
        <f t="shared" si="167"/>
        <v>8-2031</v>
      </c>
      <c r="B3164" s="86">
        <v>48090</v>
      </c>
      <c r="C3164" t="str">
        <f t="shared" si="168"/>
        <v>SAB</v>
      </c>
      <c r="D3164" t="str">
        <f t="shared" si="169"/>
        <v>Sábado</v>
      </c>
    </row>
    <row r="3165" spans="1:4" x14ac:dyDescent="0.25">
      <c r="A3165" s="88" t="str">
        <f t="shared" si="167"/>
        <v>8-2031</v>
      </c>
      <c r="B3165" s="86">
        <v>48091</v>
      </c>
      <c r="C3165" t="str">
        <f t="shared" si="168"/>
        <v>DOM</v>
      </c>
      <c r="D3165" t="str">
        <f t="shared" si="169"/>
        <v>Domingo</v>
      </c>
    </row>
    <row r="3166" spans="1:4" x14ac:dyDescent="0.25">
      <c r="A3166" s="88" t="str">
        <f t="shared" si="167"/>
        <v>9-2031</v>
      </c>
      <c r="B3166" s="86">
        <v>48092</v>
      </c>
      <c r="C3166" t="str">
        <f t="shared" si="168"/>
        <v>L-V</v>
      </c>
      <c r="D3166" t="str">
        <f t="shared" si="169"/>
        <v>Lunes</v>
      </c>
    </row>
    <row r="3167" spans="1:4" x14ac:dyDescent="0.25">
      <c r="A3167" s="88" t="str">
        <f t="shared" si="167"/>
        <v>9-2031</v>
      </c>
      <c r="B3167" s="86">
        <v>48093</v>
      </c>
      <c r="C3167" t="str">
        <f t="shared" si="168"/>
        <v>L-V</v>
      </c>
      <c r="D3167" t="str">
        <f t="shared" si="169"/>
        <v>Martes</v>
      </c>
    </row>
    <row r="3168" spans="1:4" x14ac:dyDescent="0.25">
      <c r="A3168" s="88" t="str">
        <f t="shared" si="167"/>
        <v>9-2031</v>
      </c>
      <c r="B3168" s="86">
        <v>48094</v>
      </c>
      <c r="C3168" t="str">
        <f t="shared" si="168"/>
        <v>L-V</v>
      </c>
      <c r="D3168" t="str">
        <f t="shared" si="169"/>
        <v>Miércoles</v>
      </c>
    </row>
    <row r="3169" spans="1:4" x14ac:dyDescent="0.25">
      <c r="A3169" s="88" t="str">
        <f t="shared" si="167"/>
        <v>9-2031</v>
      </c>
      <c r="B3169" s="86">
        <v>48095</v>
      </c>
      <c r="C3169" t="str">
        <f t="shared" si="168"/>
        <v>L-V</v>
      </c>
      <c r="D3169" t="str">
        <f t="shared" si="169"/>
        <v>Jueves</v>
      </c>
    </row>
    <row r="3170" spans="1:4" x14ac:dyDescent="0.25">
      <c r="A3170" s="88" t="str">
        <f t="shared" si="167"/>
        <v>9-2031</v>
      </c>
      <c r="B3170" s="86">
        <v>48096</v>
      </c>
      <c r="C3170" t="str">
        <f t="shared" si="168"/>
        <v>L-V</v>
      </c>
      <c r="D3170" t="str">
        <f t="shared" si="169"/>
        <v>Viernes</v>
      </c>
    </row>
    <row r="3171" spans="1:4" x14ac:dyDescent="0.25">
      <c r="A3171" s="88" t="str">
        <f t="shared" si="167"/>
        <v>9-2031</v>
      </c>
      <c r="B3171" s="86">
        <v>48097</v>
      </c>
      <c r="C3171" t="str">
        <f t="shared" si="168"/>
        <v>SAB</v>
      </c>
      <c r="D3171" t="str">
        <f t="shared" si="169"/>
        <v>Sábado</v>
      </c>
    </row>
    <row r="3172" spans="1:4" x14ac:dyDescent="0.25">
      <c r="A3172" s="88" t="str">
        <f t="shared" si="167"/>
        <v>9-2031</v>
      </c>
      <c r="B3172" s="86">
        <v>48098</v>
      </c>
      <c r="C3172" t="str">
        <f t="shared" si="168"/>
        <v>DOM</v>
      </c>
      <c r="D3172" t="str">
        <f t="shared" si="169"/>
        <v>Domingo</v>
      </c>
    </row>
    <row r="3173" spans="1:4" x14ac:dyDescent="0.25">
      <c r="A3173" s="88" t="str">
        <f t="shared" si="167"/>
        <v>9-2031</v>
      </c>
      <c r="B3173" s="86">
        <v>48099</v>
      </c>
      <c r="C3173" t="str">
        <f t="shared" si="168"/>
        <v>L-V</v>
      </c>
      <c r="D3173" t="str">
        <f t="shared" si="169"/>
        <v>Lunes</v>
      </c>
    </row>
    <row r="3174" spans="1:4" x14ac:dyDescent="0.25">
      <c r="A3174" s="88" t="str">
        <f t="shared" si="167"/>
        <v>9-2031</v>
      </c>
      <c r="B3174" s="86">
        <v>48100</v>
      </c>
      <c r="C3174" t="str">
        <f t="shared" si="168"/>
        <v>L-V</v>
      </c>
      <c r="D3174" t="str">
        <f t="shared" si="169"/>
        <v>Martes</v>
      </c>
    </row>
    <row r="3175" spans="1:4" x14ac:dyDescent="0.25">
      <c r="A3175" s="88" t="str">
        <f t="shared" si="167"/>
        <v>9-2031</v>
      </c>
      <c r="B3175" s="86">
        <v>48101</v>
      </c>
      <c r="C3175" t="str">
        <f t="shared" si="168"/>
        <v>L-V</v>
      </c>
      <c r="D3175" t="str">
        <f t="shared" si="169"/>
        <v>Miércoles</v>
      </c>
    </row>
    <row r="3176" spans="1:4" x14ac:dyDescent="0.25">
      <c r="A3176" s="88" t="str">
        <f t="shared" si="167"/>
        <v>9-2031</v>
      </c>
      <c r="B3176" s="86">
        <v>48102</v>
      </c>
      <c r="C3176" t="str">
        <f t="shared" si="168"/>
        <v>L-V</v>
      </c>
      <c r="D3176" t="str">
        <f t="shared" si="169"/>
        <v>Jueves</v>
      </c>
    </row>
    <row r="3177" spans="1:4" x14ac:dyDescent="0.25">
      <c r="A3177" s="88" t="str">
        <f t="shared" si="167"/>
        <v>9-2031</v>
      </c>
      <c r="B3177" s="86">
        <v>48103</v>
      </c>
      <c r="C3177" t="str">
        <f t="shared" si="168"/>
        <v>L-V</v>
      </c>
      <c r="D3177" t="str">
        <f t="shared" si="169"/>
        <v>Viernes</v>
      </c>
    </row>
    <row r="3178" spans="1:4" x14ac:dyDescent="0.25">
      <c r="A3178" s="88" t="str">
        <f t="shared" si="167"/>
        <v>9-2031</v>
      </c>
      <c r="B3178" s="86">
        <v>48104</v>
      </c>
      <c r="C3178" t="str">
        <f t="shared" si="168"/>
        <v>SAB</v>
      </c>
      <c r="D3178" t="str">
        <f t="shared" si="169"/>
        <v>Sábado</v>
      </c>
    </row>
    <row r="3179" spans="1:4" x14ac:dyDescent="0.25">
      <c r="A3179" s="88" t="str">
        <f t="shared" si="167"/>
        <v>9-2031</v>
      </c>
      <c r="B3179" s="86">
        <v>48105</v>
      </c>
      <c r="C3179" t="str">
        <f t="shared" si="168"/>
        <v>DOM</v>
      </c>
      <c r="D3179" t="str">
        <f t="shared" si="169"/>
        <v>Domingo</v>
      </c>
    </row>
    <row r="3180" spans="1:4" x14ac:dyDescent="0.25">
      <c r="A3180" s="88" t="str">
        <f t="shared" si="167"/>
        <v>9-2031</v>
      </c>
      <c r="B3180" s="86">
        <v>48106</v>
      </c>
      <c r="C3180" t="str">
        <f t="shared" si="168"/>
        <v>L-V</v>
      </c>
      <c r="D3180" t="str">
        <f t="shared" si="169"/>
        <v>Lunes</v>
      </c>
    </row>
    <row r="3181" spans="1:4" x14ac:dyDescent="0.25">
      <c r="A3181" s="88" t="str">
        <f t="shared" si="167"/>
        <v>9-2031</v>
      </c>
      <c r="B3181" s="86">
        <v>48107</v>
      </c>
      <c r="C3181" t="str">
        <f t="shared" si="168"/>
        <v>L-V</v>
      </c>
      <c r="D3181" t="str">
        <f t="shared" si="169"/>
        <v>Martes</v>
      </c>
    </row>
    <row r="3182" spans="1:4" x14ac:dyDescent="0.25">
      <c r="A3182" s="88" t="str">
        <f t="shared" si="167"/>
        <v>9-2031</v>
      </c>
      <c r="B3182" s="86">
        <v>48108</v>
      </c>
      <c r="C3182" t="str">
        <f t="shared" si="168"/>
        <v>L-V</v>
      </c>
      <c r="D3182" t="str">
        <f t="shared" si="169"/>
        <v>Miércoles</v>
      </c>
    </row>
    <row r="3183" spans="1:4" x14ac:dyDescent="0.25">
      <c r="A3183" s="88" t="str">
        <f t="shared" si="167"/>
        <v>9-2031</v>
      </c>
      <c r="B3183" s="86">
        <v>48109</v>
      </c>
      <c r="C3183" t="str">
        <f t="shared" si="168"/>
        <v>L-V</v>
      </c>
      <c r="D3183" t="str">
        <f t="shared" si="169"/>
        <v>Jueves</v>
      </c>
    </row>
    <row r="3184" spans="1:4" x14ac:dyDescent="0.25">
      <c r="A3184" s="88" t="str">
        <f t="shared" si="167"/>
        <v>9-2031</v>
      </c>
      <c r="B3184" s="86">
        <v>48110</v>
      </c>
      <c r="C3184" t="str">
        <f t="shared" si="168"/>
        <v>L-V</v>
      </c>
      <c r="D3184" t="str">
        <f t="shared" si="169"/>
        <v>Viernes</v>
      </c>
    </row>
    <row r="3185" spans="1:4" x14ac:dyDescent="0.25">
      <c r="A3185" s="88" t="str">
        <f t="shared" si="167"/>
        <v>9-2031</v>
      </c>
      <c r="B3185" s="86">
        <v>48111</v>
      </c>
      <c r="C3185" t="str">
        <f t="shared" si="168"/>
        <v>SAB</v>
      </c>
      <c r="D3185" t="str">
        <f t="shared" si="169"/>
        <v>Sábado</v>
      </c>
    </row>
    <row r="3186" spans="1:4" x14ac:dyDescent="0.25">
      <c r="A3186" s="88" t="str">
        <f t="shared" si="167"/>
        <v>9-2031</v>
      </c>
      <c r="B3186" s="86">
        <v>48112</v>
      </c>
      <c r="C3186" t="str">
        <f t="shared" si="168"/>
        <v>DOM</v>
      </c>
      <c r="D3186" t="str">
        <f t="shared" si="169"/>
        <v>Domingo</v>
      </c>
    </row>
    <row r="3187" spans="1:4" x14ac:dyDescent="0.25">
      <c r="A3187" s="88" t="str">
        <f t="shared" si="167"/>
        <v>9-2031</v>
      </c>
      <c r="B3187" s="86">
        <v>48113</v>
      </c>
      <c r="C3187" t="str">
        <f t="shared" si="168"/>
        <v>L-V</v>
      </c>
      <c r="D3187" t="str">
        <f t="shared" si="169"/>
        <v>Lunes</v>
      </c>
    </row>
    <row r="3188" spans="1:4" x14ac:dyDescent="0.25">
      <c r="A3188" s="88" t="str">
        <f t="shared" si="167"/>
        <v>9-2031</v>
      </c>
      <c r="B3188" s="86">
        <v>48114</v>
      </c>
      <c r="C3188" t="str">
        <f t="shared" si="168"/>
        <v>L-V</v>
      </c>
      <c r="D3188" t="str">
        <f t="shared" si="169"/>
        <v>Martes</v>
      </c>
    </row>
    <row r="3189" spans="1:4" x14ac:dyDescent="0.25">
      <c r="A3189" s="88" t="str">
        <f t="shared" si="167"/>
        <v>9-2031</v>
      </c>
      <c r="B3189" s="86">
        <v>48115</v>
      </c>
      <c r="C3189" t="str">
        <f t="shared" si="168"/>
        <v>L-V</v>
      </c>
      <c r="D3189" t="str">
        <f t="shared" si="169"/>
        <v>Miércoles</v>
      </c>
    </row>
    <row r="3190" spans="1:4" x14ac:dyDescent="0.25">
      <c r="A3190" s="88" t="str">
        <f t="shared" si="167"/>
        <v>9-2031</v>
      </c>
      <c r="B3190" s="86">
        <v>48116</v>
      </c>
      <c r="C3190" t="str">
        <f t="shared" si="168"/>
        <v>L-V</v>
      </c>
      <c r="D3190" t="str">
        <f t="shared" si="169"/>
        <v>Jueves</v>
      </c>
    </row>
    <row r="3191" spans="1:4" x14ac:dyDescent="0.25">
      <c r="A3191" s="88" t="str">
        <f t="shared" si="167"/>
        <v>9-2031</v>
      </c>
      <c r="B3191" s="86">
        <v>48117</v>
      </c>
      <c r="C3191" t="str">
        <f t="shared" si="168"/>
        <v>L-V</v>
      </c>
      <c r="D3191" t="str">
        <f t="shared" si="169"/>
        <v>Viernes</v>
      </c>
    </row>
    <row r="3192" spans="1:4" x14ac:dyDescent="0.25">
      <c r="A3192" s="88" t="str">
        <f t="shared" si="167"/>
        <v>9-2031</v>
      </c>
      <c r="B3192" s="86">
        <v>48118</v>
      </c>
      <c r="C3192" t="str">
        <f t="shared" si="168"/>
        <v>SAB</v>
      </c>
      <c r="D3192" t="str">
        <f t="shared" si="169"/>
        <v>Sábado</v>
      </c>
    </row>
    <row r="3193" spans="1:4" x14ac:dyDescent="0.25">
      <c r="A3193" s="88" t="str">
        <f t="shared" si="167"/>
        <v>9-2031</v>
      </c>
      <c r="B3193" s="86">
        <v>48119</v>
      </c>
      <c r="C3193" t="str">
        <f t="shared" si="168"/>
        <v>DOM</v>
      </c>
      <c r="D3193" t="str">
        <f t="shared" si="169"/>
        <v>Domingo</v>
      </c>
    </row>
    <row r="3194" spans="1:4" x14ac:dyDescent="0.25">
      <c r="A3194" s="88" t="str">
        <f t="shared" si="167"/>
        <v>9-2031</v>
      </c>
      <c r="B3194" s="86">
        <v>48120</v>
      </c>
      <c r="C3194" t="str">
        <f t="shared" si="168"/>
        <v>L-V</v>
      </c>
      <c r="D3194" t="str">
        <f t="shared" si="169"/>
        <v>Lunes</v>
      </c>
    </row>
    <row r="3195" spans="1:4" x14ac:dyDescent="0.25">
      <c r="A3195" s="88" t="str">
        <f t="shared" si="167"/>
        <v>9-2031</v>
      </c>
      <c r="B3195" s="86">
        <v>48121</v>
      </c>
      <c r="C3195" t="str">
        <f t="shared" si="168"/>
        <v>L-V</v>
      </c>
      <c r="D3195" t="str">
        <f t="shared" si="169"/>
        <v>Martes</v>
      </c>
    </row>
    <row r="3196" spans="1:4" x14ac:dyDescent="0.25">
      <c r="A3196" s="88" t="str">
        <f t="shared" si="167"/>
        <v>10-2031</v>
      </c>
      <c r="B3196" s="86">
        <v>48122</v>
      </c>
      <c r="C3196" t="str">
        <f t="shared" si="168"/>
        <v>L-V</v>
      </c>
      <c r="D3196" t="str">
        <f t="shared" si="169"/>
        <v>Miércoles</v>
      </c>
    </row>
    <row r="3197" spans="1:4" x14ac:dyDescent="0.25">
      <c r="A3197" s="88" t="str">
        <f t="shared" si="167"/>
        <v>10-2031</v>
      </c>
      <c r="B3197" s="86">
        <v>48123</v>
      </c>
      <c r="C3197" t="str">
        <f t="shared" si="168"/>
        <v>L-V</v>
      </c>
      <c r="D3197" t="str">
        <f t="shared" si="169"/>
        <v>Jueves</v>
      </c>
    </row>
    <row r="3198" spans="1:4" x14ac:dyDescent="0.25">
      <c r="A3198" s="88" t="str">
        <f t="shared" si="167"/>
        <v>10-2031</v>
      </c>
      <c r="B3198" s="86">
        <v>48124</v>
      </c>
      <c r="C3198" t="str">
        <f t="shared" si="168"/>
        <v>L-V</v>
      </c>
      <c r="D3198" t="str">
        <f t="shared" si="169"/>
        <v>Viernes</v>
      </c>
    </row>
    <row r="3199" spans="1:4" x14ac:dyDescent="0.25">
      <c r="A3199" s="88" t="str">
        <f t="shared" si="167"/>
        <v>10-2031</v>
      </c>
      <c r="B3199" s="86">
        <v>48125</v>
      </c>
      <c r="C3199" t="str">
        <f t="shared" si="168"/>
        <v>SAB</v>
      </c>
      <c r="D3199" t="str">
        <f t="shared" si="169"/>
        <v>Sábado</v>
      </c>
    </row>
    <row r="3200" spans="1:4" x14ac:dyDescent="0.25">
      <c r="A3200" s="88" t="str">
        <f t="shared" si="167"/>
        <v>10-2031</v>
      </c>
      <c r="B3200" s="86">
        <v>48126</v>
      </c>
      <c r="C3200" t="str">
        <f t="shared" si="168"/>
        <v>DOM</v>
      </c>
      <c r="D3200" t="str">
        <f t="shared" si="169"/>
        <v>Domingo</v>
      </c>
    </row>
    <row r="3201" spans="1:4" x14ac:dyDescent="0.25">
      <c r="A3201" s="88" t="str">
        <f t="shared" si="167"/>
        <v>10-2031</v>
      </c>
      <c r="B3201" s="86">
        <v>48127</v>
      </c>
      <c r="C3201" t="str">
        <f t="shared" si="168"/>
        <v>L-V</v>
      </c>
      <c r="D3201" t="str">
        <f t="shared" si="169"/>
        <v>Lunes</v>
      </c>
    </row>
    <row r="3202" spans="1:4" x14ac:dyDescent="0.25">
      <c r="A3202" s="88" t="str">
        <f t="shared" ref="A3202:A3265" si="170">MONTH(B3202)&amp;"-"&amp;YEAR(B3202)</f>
        <v>10-2031</v>
      </c>
      <c r="B3202" s="86">
        <v>48128</v>
      </c>
      <c r="C3202" t="str">
        <f t="shared" si="168"/>
        <v>L-V</v>
      </c>
      <c r="D3202" t="str">
        <f t="shared" si="169"/>
        <v>Martes</v>
      </c>
    </row>
    <row r="3203" spans="1:4" x14ac:dyDescent="0.25">
      <c r="A3203" s="88" t="str">
        <f t="shared" si="170"/>
        <v>10-2031</v>
      </c>
      <c r="B3203" s="86">
        <v>48129</v>
      </c>
      <c r="C3203" t="str">
        <f t="shared" ref="C3203:C3266" si="171">VLOOKUP(WEEKDAY(B3203,2),$F$1:$H$7,2)</f>
        <v>L-V</v>
      </c>
      <c r="D3203" t="str">
        <f t="shared" ref="D3203:D3266" si="172">VLOOKUP(WEEKDAY($B3203,2),$F$1:$H$7,3)</f>
        <v>Miércoles</v>
      </c>
    </row>
    <row r="3204" spans="1:4" x14ac:dyDescent="0.25">
      <c r="A3204" s="88" t="str">
        <f t="shared" si="170"/>
        <v>10-2031</v>
      </c>
      <c r="B3204" s="86">
        <v>48130</v>
      </c>
      <c r="C3204" t="str">
        <f t="shared" si="171"/>
        <v>L-V</v>
      </c>
      <c r="D3204" t="str">
        <f t="shared" si="172"/>
        <v>Jueves</v>
      </c>
    </row>
    <row r="3205" spans="1:4" x14ac:dyDescent="0.25">
      <c r="A3205" s="88" t="str">
        <f t="shared" si="170"/>
        <v>10-2031</v>
      </c>
      <c r="B3205" s="86">
        <v>48131</v>
      </c>
      <c r="C3205" t="str">
        <f t="shared" si="171"/>
        <v>L-V</v>
      </c>
      <c r="D3205" t="str">
        <f t="shared" si="172"/>
        <v>Viernes</v>
      </c>
    </row>
    <row r="3206" spans="1:4" x14ac:dyDescent="0.25">
      <c r="A3206" s="88" t="str">
        <f t="shared" si="170"/>
        <v>10-2031</v>
      </c>
      <c r="B3206" s="86">
        <v>48132</v>
      </c>
      <c r="C3206" t="str">
        <f t="shared" si="171"/>
        <v>SAB</v>
      </c>
      <c r="D3206" t="str">
        <f t="shared" si="172"/>
        <v>Sábado</v>
      </c>
    </row>
    <row r="3207" spans="1:4" x14ac:dyDescent="0.25">
      <c r="A3207" s="88" t="str">
        <f t="shared" si="170"/>
        <v>10-2031</v>
      </c>
      <c r="B3207" s="86">
        <v>48133</v>
      </c>
      <c r="C3207" t="str">
        <f t="shared" si="171"/>
        <v>DOM</v>
      </c>
      <c r="D3207" t="str">
        <f t="shared" si="172"/>
        <v>Domingo</v>
      </c>
    </row>
    <row r="3208" spans="1:4" x14ac:dyDescent="0.25">
      <c r="A3208" s="88" t="str">
        <f t="shared" si="170"/>
        <v>10-2031</v>
      </c>
      <c r="B3208" s="86">
        <v>48134</v>
      </c>
      <c r="C3208" t="str">
        <f t="shared" si="171"/>
        <v>L-V</v>
      </c>
      <c r="D3208" t="str">
        <f t="shared" si="172"/>
        <v>Lunes</v>
      </c>
    </row>
    <row r="3209" spans="1:4" x14ac:dyDescent="0.25">
      <c r="A3209" s="88" t="str">
        <f t="shared" si="170"/>
        <v>10-2031</v>
      </c>
      <c r="B3209" s="86">
        <v>48135</v>
      </c>
      <c r="C3209" t="str">
        <f t="shared" si="171"/>
        <v>L-V</v>
      </c>
      <c r="D3209" t="str">
        <f t="shared" si="172"/>
        <v>Martes</v>
      </c>
    </row>
    <row r="3210" spans="1:4" x14ac:dyDescent="0.25">
      <c r="A3210" s="88" t="str">
        <f t="shared" si="170"/>
        <v>10-2031</v>
      </c>
      <c r="B3210" s="86">
        <v>48136</v>
      </c>
      <c r="C3210" t="str">
        <f t="shared" si="171"/>
        <v>L-V</v>
      </c>
      <c r="D3210" t="str">
        <f t="shared" si="172"/>
        <v>Miércoles</v>
      </c>
    </row>
    <row r="3211" spans="1:4" x14ac:dyDescent="0.25">
      <c r="A3211" s="88" t="str">
        <f t="shared" si="170"/>
        <v>10-2031</v>
      </c>
      <c r="B3211" s="86">
        <v>48137</v>
      </c>
      <c r="C3211" t="str">
        <f t="shared" si="171"/>
        <v>L-V</v>
      </c>
      <c r="D3211" t="str">
        <f t="shared" si="172"/>
        <v>Jueves</v>
      </c>
    </row>
    <row r="3212" spans="1:4" x14ac:dyDescent="0.25">
      <c r="A3212" s="88" t="str">
        <f t="shared" si="170"/>
        <v>10-2031</v>
      </c>
      <c r="B3212" s="86">
        <v>48138</v>
      </c>
      <c r="C3212" t="str">
        <f t="shared" si="171"/>
        <v>L-V</v>
      </c>
      <c r="D3212" t="str">
        <f t="shared" si="172"/>
        <v>Viernes</v>
      </c>
    </row>
    <row r="3213" spans="1:4" x14ac:dyDescent="0.25">
      <c r="A3213" s="88" t="str">
        <f t="shared" si="170"/>
        <v>10-2031</v>
      </c>
      <c r="B3213" s="86">
        <v>48139</v>
      </c>
      <c r="C3213" t="str">
        <f t="shared" si="171"/>
        <v>SAB</v>
      </c>
      <c r="D3213" t="str">
        <f t="shared" si="172"/>
        <v>Sábado</v>
      </c>
    </row>
    <row r="3214" spans="1:4" x14ac:dyDescent="0.25">
      <c r="A3214" s="88" t="str">
        <f t="shared" si="170"/>
        <v>10-2031</v>
      </c>
      <c r="B3214" s="86">
        <v>48140</v>
      </c>
      <c r="C3214" t="str">
        <f t="shared" si="171"/>
        <v>DOM</v>
      </c>
      <c r="D3214" t="str">
        <f t="shared" si="172"/>
        <v>Domingo</v>
      </c>
    </row>
    <row r="3215" spans="1:4" x14ac:dyDescent="0.25">
      <c r="A3215" s="88" t="str">
        <f t="shared" si="170"/>
        <v>10-2031</v>
      </c>
      <c r="B3215" s="86">
        <v>48141</v>
      </c>
      <c r="C3215" t="str">
        <f t="shared" si="171"/>
        <v>L-V</v>
      </c>
      <c r="D3215" t="str">
        <f t="shared" si="172"/>
        <v>Lunes</v>
      </c>
    </row>
    <row r="3216" spans="1:4" x14ac:dyDescent="0.25">
      <c r="A3216" s="88" t="str">
        <f t="shared" si="170"/>
        <v>10-2031</v>
      </c>
      <c r="B3216" s="86">
        <v>48142</v>
      </c>
      <c r="C3216" t="str">
        <f t="shared" si="171"/>
        <v>L-V</v>
      </c>
      <c r="D3216" t="str">
        <f t="shared" si="172"/>
        <v>Martes</v>
      </c>
    </row>
    <row r="3217" spans="1:4" x14ac:dyDescent="0.25">
      <c r="A3217" s="88" t="str">
        <f t="shared" si="170"/>
        <v>10-2031</v>
      </c>
      <c r="B3217" s="86">
        <v>48143</v>
      </c>
      <c r="C3217" t="str">
        <f t="shared" si="171"/>
        <v>L-V</v>
      </c>
      <c r="D3217" t="str">
        <f t="shared" si="172"/>
        <v>Miércoles</v>
      </c>
    </row>
    <row r="3218" spans="1:4" x14ac:dyDescent="0.25">
      <c r="A3218" s="88" t="str">
        <f t="shared" si="170"/>
        <v>10-2031</v>
      </c>
      <c r="B3218" s="86">
        <v>48144</v>
      </c>
      <c r="C3218" t="str">
        <f t="shared" si="171"/>
        <v>L-V</v>
      </c>
      <c r="D3218" t="str">
        <f t="shared" si="172"/>
        <v>Jueves</v>
      </c>
    </row>
    <row r="3219" spans="1:4" x14ac:dyDescent="0.25">
      <c r="A3219" s="88" t="str">
        <f t="shared" si="170"/>
        <v>10-2031</v>
      </c>
      <c r="B3219" s="86">
        <v>48145</v>
      </c>
      <c r="C3219" t="str">
        <f t="shared" si="171"/>
        <v>L-V</v>
      </c>
      <c r="D3219" t="str">
        <f t="shared" si="172"/>
        <v>Viernes</v>
      </c>
    </row>
    <row r="3220" spans="1:4" x14ac:dyDescent="0.25">
      <c r="A3220" s="88" t="str">
        <f t="shared" si="170"/>
        <v>10-2031</v>
      </c>
      <c r="B3220" s="86">
        <v>48146</v>
      </c>
      <c r="C3220" t="str">
        <f t="shared" si="171"/>
        <v>SAB</v>
      </c>
      <c r="D3220" t="str">
        <f t="shared" si="172"/>
        <v>Sábado</v>
      </c>
    </row>
    <row r="3221" spans="1:4" x14ac:dyDescent="0.25">
      <c r="A3221" s="88" t="str">
        <f t="shared" si="170"/>
        <v>10-2031</v>
      </c>
      <c r="B3221" s="86">
        <v>48147</v>
      </c>
      <c r="C3221" t="str">
        <f t="shared" si="171"/>
        <v>DOM</v>
      </c>
      <c r="D3221" t="str">
        <f t="shared" si="172"/>
        <v>Domingo</v>
      </c>
    </row>
    <row r="3222" spans="1:4" x14ac:dyDescent="0.25">
      <c r="A3222" s="88" t="str">
        <f t="shared" si="170"/>
        <v>10-2031</v>
      </c>
      <c r="B3222" s="86">
        <v>48148</v>
      </c>
      <c r="C3222" t="str">
        <f t="shared" si="171"/>
        <v>L-V</v>
      </c>
      <c r="D3222" t="str">
        <f t="shared" si="172"/>
        <v>Lunes</v>
      </c>
    </row>
    <row r="3223" spans="1:4" x14ac:dyDescent="0.25">
      <c r="A3223" s="88" t="str">
        <f t="shared" si="170"/>
        <v>10-2031</v>
      </c>
      <c r="B3223" s="86">
        <v>48149</v>
      </c>
      <c r="C3223" t="str">
        <f t="shared" si="171"/>
        <v>L-V</v>
      </c>
      <c r="D3223" t="str">
        <f t="shared" si="172"/>
        <v>Martes</v>
      </c>
    </row>
    <row r="3224" spans="1:4" x14ac:dyDescent="0.25">
      <c r="A3224" s="88" t="str">
        <f t="shared" si="170"/>
        <v>10-2031</v>
      </c>
      <c r="B3224" s="86">
        <v>48150</v>
      </c>
      <c r="C3224" t="str">
        <f t="shared" si="171"/>
        <v>L-V</v>
      </c>
      <c r="D3224" t="str">
        <f t="shared" si="172"/>
        <v>Miércoles</v>
      </c>
    </row>
    <row r="3225" spans="1:4" x14ac:dyDescent="0.25">
      <c r="A3225" s="88" t="str">
        <f t="shared" si="170"/>
        <v>10-2031</v>
      </c>
      <c r="B3225" s="86">
        <v>48151</v>
      </c>
      <c r="C3225" t="str">
        <f t="shared" si="171"/>
        <v>L-V</v>
      </c>
      <c r="D3225" t="str">
        <f t="shared" si="172"/>
        <v>Jueves</v>
      </c>
    </row>
    <row r="3226" spans="1:4" x14ac:dyDescent="0.25">
      <c r="A3226" s="88" t="str">
        <f t="shared" si="170"/>
        <v>10-2031</v>
      </c>
      <c r="B3226" s="86">
        <v>48152</v>
      </c>
      <c r="C3226" t="str">
        <f t="shared" si="171"/>
        <v>L-V</v>
      </c>
      <c r="D3226" t="str">
        <f t="shared" si="172"/>
        <v>Viernes</v>
      </c>
    </row>
    <row r="3227" spans="1:4" x14ac:dyDescent="0.25">
      <c r="A3227" s="88" t="str">
        <f t="shared" si="170"/>
        <v>11-2031</v>
      </c>
      <c r="B3227" s="86">
        <v>48153</v>
      </c>
      <c r="C3227" t="str">
        <f t="shared" si="171"/>
        <v>SAB</v>
      </c>
      <c r="D3227" t="str">
        <f t="shared" si="172"/>
        <v>Sábado</v>
      </c>
    </row>
    <row r="3228" spans="1:4" x14ac:dyDescent="0.25">
      <c r="A3228" s="88" t="str">
        <f t="shared" si="170"/>
        <v>11-2031</v>
      </c>
      <c r="B3228" s="86">
        <v>48154</v>
      </c>
      <c r="C3228" t="str">
        <f t="shared" si="171"/>
        <v>DOM</v>
      </c>
      <c r="D3228" t="str">
        <f t="shared" si="172"/>
        <v>Domingo</v>
      </c>
    </row>
    <row r="3229" spans="1:4" x14ac:dyDescent="0.25">
      <c r="A3229" s="88" t="str">
        <f t="shared" si="170"/>
        <v>11-2031</v>
      </c>
      <c r="B3229" s="86">
        <v>48155</v>
      </c>
      <c r="C3229" t="str">
        <f t="shared" si="171"/>
        <v>L-V</v>
      </c>
      <c r="D3229" t="str">
        <f t="shared" si="172"/>
        <v>Lunes</v>
      </c>
    </row>
    <row r="3230" spans="1:4" x14ac:dyDescent="0.25">
      <c r="A3230" s="88" t="str">
        <f t="shared" si="170"/>
        <v>11-2031</v>
      </c>
      <c r="B3230" s="86">
        <v>48156</v>
      </c>
      <c r="C3230" t="str">
        <f t="shared" si="171"/>
        <v>L-V</v>
      </c>
      <c r="D3230" t="str">
        <f t="shared" si="172"/>
        <v>Martes</v>
      </c>
    </row>
    <row r="3231" spans="1:4" x14ac:dyDescent="0.25">
      <c r="A3231" s="88" t="str">
        <f t="shared" si="170"/>
        <v>11-2031</v>
      </c>
      <c r="B3231" s="86">
        <v>48157</v>
      </c>
      <c r="C3231" t="str">
        <f t="shared" si="171"/>
        <v>L-V</v>
      </c>
      <c r="D3231" t="str">
        <f t="shared" si="172"/>
        <v>Miércoles</v>
      </c>
    </row>
    <row r="3232" spans="1:4" x14ac:dyDescent="0.25">
      <c r="A3232" s="88" t="str">
        <f t="shared" si="170"/>
        <v>11-2031</v>
      </c>
      <c r="B3232" s="86">
        <v>48158</v>
      </c>
      <c r="C3232" t="str">
        <f t="shared" si="171"/>
        <v>L-V</v>
      </c>
      <c r="D3232" t="str">
        <f t="shared" si="172"/>
        <v>Jueves</v>
      </c>
    </row>
    <row r="3233" spans="1:4" x14ac:dyDescent="0.25">
      <c r="A3233" s="88" t="str">
        <f t="shared" si="170"/>
        <v>11-2031</v>
      </c>
      <c r="B3233" s="86">
        <v>48159</v>
      </c>
      <c r="C3233" t="str">
        <f t="shared" si="171"/>
        <v>L-V</v>
      </c>
      <c r="D3233" t="str">
        <f t="shared" si="172"/>
        <v>Viernes</v>
      </c>
    </row>
    <row r="3234" spans="1:4" x14ac:dyDescent="0.25">
      <c r="A3234" s="88" t="str">
        <f t="shared" si="170"/>
        <v>11-2031</v>
      </c>
      <c r="B3234" s="86">
        <v>48160</v>
      </c>
      <c r="C3234" t="str">
        <f t="shared" si="171"/>
        <v>SAB</v>
      </c>
      <c r="D3234" t="str">
        <f t="shared" si="172"/>
        <v>Sábado</v>
      </c>
    </row>
    <row r="3235" spans="1:4" x14ac:dyDescent="0.25">
      <c r="A3235" s="88" t="str">
        <f t="shared" si="170"/>
        <v>11-2031</v>
      </c>
      <c r="B3235" s="86">
        <v>48161</v>
      </c>
      <c r="C3235" t="str">
        <f t="shared" si="171"/>
        <v>DOM</v>
      </c>
      <c r="D3235" t="str">
        <f t="shared" si="172"/>
        <v>Domingo</v>
      </c>
    </row>
    <row r="3236" spans="1:4" x14ac:dyDescent="0.25">
      <c r="A3236" s="88" t="str">
        <f t="shared" si="170"/>
        <v>11-2031</v>
      </c>
      <c r="B3236" s="86">
        <v>48162</v>
      </c>
      <c r="C3236" t="str">
        <f t="shared" si="171"/>
        <v>L-V</v>
      </c>
      <c r="D3236" t="str">
        <f t="shared" si="172"/>
        <v>Lunes</v>
      </c>
    </row>
    <row r="3237" spans="1:4" x14ac:dyDescent="0.25">
      <c r="A3237" s="88" t="str">
        <f t="shared" si="170"/>
        <v>11-2031</v>
      </c>
      <c r="B3237" s="86">
        <v>48163</v>
      </c>
      <c r="C3237" t="str">
        <f t="shared" si="171"/>
        <v>L-V</v>
      </c>
      <c r="D3237" t="str">
        <f t="shared" si="172"/>
        <v>Martes</v>
      </c>
    </row>
    <row r="3238" spans="1:4" x14ac:dyDescent="0.25">
      <c r="A3238" s="88" t="str">
        <f t="shared" si="170"/>
        <v>11-2031</v>
      </c>
      <c r="B3238" s="86">
        <v>48164</v>
      </c>
      <c r="C3238" t="str">
        <f t="shared" si="171"/>
        <v>L-V</v>
      </c>
      <c r="D3238" t="str">
        <f t="shared" si="172"/>
        <v>Miércoles</v>
      </c>
    </row>
    <row r="3239" spans="1:4" x14ac:dyDescent="0.25">
      <c r="A3239" s="88" t="str">
        <f t="shared" si="170"/>
        <v>11-2031</v>
      </c>
      <c r="B3239" s="86">
        <v>48165</v>
      </c>
      <c r="C3239" t="str">
        <f t="shared" si="171"/>
        <v>L-V</v>
      </c>
      <c r="D3239" t="str">
        <f t="shared" si="172"/>
        <v>Jueves</v>
      </c>
    </row>
    <row r="3240" spans="1:4" x14ac:dyDescent="0.25">
      <c r="A3240" s="88" t="str">
        <f t="shared" si="170"/>
        <v>11-2031</v>
      </c>
      <c r="B3240" s="86">
        <v>48166</v>
      </c>
      <c r="C3240" t="str">
        <f t="shared" si="171"/>
        <v>L-V</v>
      </c>
      <c r="D3240" t="str">
        <f t="shared" si="172"/>
        <v>Viernes</v>
      </c>
    </row>
    <row r="3241" spans="1:4" x14ac:dyDescent="0.25">
      <c r="A3241" s="88" t="str">
        <f t="shared" si="170"/>
        <v>11-2031</v>
      </c>
      <c r="B3241" s="86">
        <v>48167</v>
      </c>
      <c r="C3241" t="str">
        <f t="shared" si="171"/>
        <v>SAB</v>
      </c>
      <c r="D3241" t="str">
        <f t="shared" si="172"/>
        <v>Sábado</v>
      </c>
    </row>
    <row r="3242" spans="1:4" x14ac:dyDescent="0.25">
      <c r="A3242" s="88" t="str">
        <f t="shared" si="170"/>
        <v>11-2031</v>
      </c>
      <c r="B3242" s="86">
        <v>48168</v>
      </c>
      <c r="C3242" t="str">
        <f t="shared" si="171"/>
        <v>DOM</v>
      </c>
      <c r="D3242" t="str">
        <f t="shared" si="172"/>
        <v>Domingo</v>
      </c>
    </row>
    <row r="3243" spans="1:4" x14ac:dyDescent="0.25">
      <c r="A3243" s="88" t="str">
        <f t="shared" si="170"/>
        <v>11-2031</v>
      </c>
      <c r="B3243" s="86">
        <v>48169</v>
      </c>
      <c r="C3243" t="str">
        <f t="shared" si="171"/>
        <v>L-V</v>
      </c>
      <c r="D3243" t="str">
        <f t="shared" si="172"/>
        <v>Lunes</v>
      </c>
    </row>
    <row r="3244" spans="1:4" x14ac:dyDescent="0.25">
      <c r="A3244" s="88" t="str">
        <f t="shared" si="170"/>
        <v>11-2031</v>
      </c>
      <c r="B3244" s="86">
        <v>48170</v>
      </c>
      <c r="C3244" t="str">
        <f t="shared" si="171"/>
        <v>L-V</v>
      </c>
      <c r="D3244" t="str">
        <f t="shared" si="172"/>
        <v>Martes</v>
      </c>
    </row>
    <row r="3245" spans="1:4" x14ac:dyDescent="0.25">
      <c r="A3245" s="88" t="str">
        <f t="shared" si="170"/>
        <v>11-2031</v>
      </c>
      <c r="B3245" s="86">
        <v>48171</v>
      </c>
      <c r="C3245" t="str">
        <f t="shared" si="171"/>
        <v>L-V</v>
      </c>
      <c r="D3245" t="str">
        <f t="shared" si="172"/>
        <v>Miércoles</v>
      </c>
    </row>
    <row r="3246" spans="1:4" x14ac:dyDescent="0.25">
      <c r="A3246" s="88" t="str">
        <f t="shared" si="170"/>
        <v>11-2031</v>
      </c>
      <c r="B3246" s="86">
        <v>48172</v>
      </c>
      <c r="C3246" t="str">
        <f t="shared" si="171"/>
        <v>L-V</v>
      </c>
      <c r="D3246" t="str">
        <f t="shared" si="172"/>
        <v>Jueves</v>
      </c>
    </row>
    <row r="3247" spans="1:4" x14ac:dyDescent="0.25">
      <c r="A3247" s="88" t="str">
        <f t="shared" si="170"/>
        <v>11-2031</v>
      </c>
      <c r="B3247" s="86">
        <v>48173</v>
      </c>
      <c r="C3247" t="str">
        <f t="shared" si="171"/>
        <v>L-V</v>
      </c>
      <c r="D3247" t="str">
        <f t="shared" si="172"/>
        <v>Viernes</v>
      </c>
    </row>
    <row r="3248" spans="1:4" x14ac:dyDescent="0.25">
      <c r="A3248" s="88" t="str">
        <f t="shared" si="170"/>
        <v>11-2031</v>
      </c>
      <c r="B3248" s="86">
        <v>48174</v>
      </c>
      <c r="C3248" t="str">
        <f t="shared" si="171"/>
        <v>SAB</v>
      </c>
      <c r="D3248" t="str">
        <f t="shared" si="172"/>
        <v>Sábado</v>
      </c>
    </row>
    <row r="3249" spans="1:4" x14ac:dyDescent="0.25">
      <c r="A3249" s="88" t="str">
        <f t="shared" si="170"/>
        <v>11-2031</v>
      </c>
      <c r="B3249" s="86">
        <v>48175</v>
      </c>
      <c r="C3249" t="str">
        <f t="shared" si="171"/>
        <v>DOM</v>
      </c>
      <c r="D3249" t="str">
        <f t="shared" si="172"/>
        <v>Domingo</v>
      </c>
    </row>
    <row r="3250" spans="1:4" x14ac:dyDescent="0.25">
      <c r="A3250" s="88" t="str">
        <f t="shared" si="170"/>
        <v>11-2031</v>
      </c>
      <c r="B3250" s="86">
        <v>48176</v>
      </c>
      <c r="C3250" t="str">
        <f t="shared" si="171"/>
        <v>L-V</v>
      </c>
      <c r="D3250" t="str">
        <f t="shared" si="172"/>
        <v>Lunes</v>
      </c>
    </row>
    <row r="3251" spans="1:4" x14ac:dyDescent="0.25">
      <c r="A3251" s="88" t="str">
        <f t="shared" si="170"/>
        <v>11-2031</v>
      </c>
      <c r="B3251" s="86">
        <v>48177</v>
      </c>
      <c r="C3251" t="str">
        <f t="shared" si="171"/>
        <v>L-V</v>
      </c>
      <c r="D3251" t="str">
        <f t="shared" si="172"/>
        <v>Martes</v>
      </c>
    </row>
    <row r="3252" spans="1:4" x14ac:dyDescent="0.25">
      <c r="A3252" s="88" t="str">
        <f t="shared" si="170"/>
        <v>11-2031</v>
      </c>
      <c r="B3252" s="86">
        <v>48178</v>
      </c>
      <c r="C3252" t="str">
        <f t="shared" si="171"/>
        <v>L-V</v>
      </c>
      <c r="D3252" t="str">
        <f t="shared" si="172"/>
        <v>Miércoles</v>
      </c>
    </row>
    <row r="3253" spans="1:4" x14ac:dyDescent="0.25">
      <c r="A3253" s="88" t="str">
        <f t="shared" si="170"/>
        <v>11-2031</v>
      </c>
      <c r="B3253" s="86">
        <v>48179</v>
      </c>
      <c r="C3253" t="str">
        <f t="shared" si="171"/>
        <v>L-V</v>
      </c>
      <c r="D3253" t="str">
        <f t="shared" si="172"/>
        <v>Jueves</v>
      </c>
    </row>
    <row r="3254" spans="1:4" x14ac:dyDescent="0.25">
      <c r="A3254" s="88" t="str">
        <f t="shared" si="170"/>
        <v>11-2031</v>
      </c>
      <c r="B3254" s="86">
        <v>48180</v>
      </c>
      <c r="C3254" t="str">
        <f t="shared" si="171"/>
        <v>L-V</v>
      </c>
      <c r="D3254" t="str">
        <f t="shared" si="172"/>
        <v>Viernes</v>
      </c>
    </row>
    <row r="3255" spans="1:4" x14ac:dyDescent="0.25">
      <c r="A3255" s="88" t="str">
        <f t="shared" si="170"/>
        <v>11-2031</v>
      </c>
      <c r="B3255" s="86">
        <v>48181</v>
      </c>
      <c r="C3255" t="str">
        <f t="shared" si="171"/>
        <v>SAB</v>
      </c>
      <c r="D3255" t="str">
        <f t="shared" si="172"/>
        <v>Sábado</v>
      </c>
    </row>
    <row r="3256" spans="1:4" x14ac:dyDescent="0.25">
      <c r="A3256" s="88" t="str">
        <f t="shared" si="170"/>
        <v>11-2031</v>
      </c>
      <c r="B3256" s="86">
        <v>48182</v>
      </c>
      <c r="C3256" t="str">
        <f t="shared" si="171"/>
        <v>DOM</v>
      </c>
      <c r="D3256" t="str">
        <f t="shared" si="172"/>
        <v>Domingo</v>
      </c>
    </row>
    <row r="3257" spans="1:4" x14ac:dyDescent="0.25">
      <c r="A3257" s="88" t="str">
        <f t="shared" si="170"/>
        <v>12-2031</v>
      </c>
      <c r="B3257" s="86">
        <v>48183</v>
      </c>
      <c r="C3257" t="str">
        <f t="shared" si="171"/>
        <v>L-V</v>
      </c>
      <c r="D3257" t="str">
        <f t="shared" si="172"/>
        <v>Lunes</v>
      </c>
    </row>
    <row r="3258" spans="1:4" x14ac:dyDescent="0.25">
      <c r="A3258" s="88" t="str">
        <f t="shared" si="170"/>
        <v>12-2031</v>
      </c>
      <c r="B3258" s="86">
        <v>48184</v>
      </c>
      <c r="C3258" t="str">
        <f t="shared" si="171"/>
        <v>L-V</v>
      </c>
      <c r="D3258" t="str">
        <f t="shared" si="172"/>
        <v>Martes</v>
      </c>
    </row>
    <row r="3259" spans="1:4" x14ac:dyDescent="0.25">
      <c r="A3259" s="88" t="str">
        <f t="shared" si="170"/>
        <v>12-2031</v>
      </c>
      <c r="B3259" s="86">
        <v>48185</v>
      </c>
      <c r="C3259" t="str">
        <f t="shared" si="171"/>
        <v>L-V</v>
      </c>
      <c r="D3259" t="str">
        <f t="shared" si="172"/>
        <v>Miércoles</v>
      </c>
    </row>
    <row r="3260" spans="1:4" x14ac:dyDescent="0.25">
      <c r="A3260" s="88" t="str">
        <f t="shared" si="170"/>
        <v>12-2031</v>
      </c>
      <c r="B3260" s="86">
        <v>48186</v>
      </c>
      <c r="C3260" t="str">
        <f t="shared" si="171"/>
        <v>L-V</v>
      </c>
      <c r="D3260" t="str">
        <f t="shared" si="172"/>
        <v>Jueves</v>
      </c>
    </row>
    <row r="3261" spans="1:4" x14ac:dyDescent="0.25">
      <c r="A3261" s="88" t="str">
        <f t="shared" si="170"/>
        <v>12-2031</v>
      </c>
      <c r="B3261" s="86">
        <v>48187</v>
      </c>
      <c r="C3261" t="str">
        <f t="shared" si="171"/>
        <v>L-V</v>
      </c>
      <c r="D3261" t="str">
        <f t="shared" si="172"/>
        <v>Viernes</v>
      </c>
    </row>
    <row r="3262" spans="1:4" x14ac:dyDescent="0.25">
      <c r="A3262" s="88" t="str">
        <f t="shared" si="170"/>
        <v>12-2031</v>
      </c>
      <c r="B3262" s="86">
        <v>48188</v>
      </c>
      <c r="C3262" t="str">
        <f t="shared" si="171"/>
        <v>SAB</v>
      </c>
      <c r="D3262" t="str">
        <f t="shared" si="172"/>
        <v>Sábado</v>
      </c>
    </row>
    <row r="3263" spans="1:4" x14ac:dyDescent="0.25">
      <c r="A3263" s="88" t="str">
        <f t="shared" si="170"/>
        <v>12-2031</v>
      </c>
      <c r="B3263" s="86">
        <v>48189</v>
      </c>
      <c r="C3263" t="str">
        <f t="shared" si="171"/>
        <v>DOM</v>
      </c>
      <c r="D3263" t="str">
        <f t="shared" si="172"/>
        <v>Domingo</v>
      </c>
    </row>
    <row r="3264" spans="1:4" x14ac:dyDescent="0.25">
      <c r="A3264" s="88" t="str">
        <f t="shared" si="170"/>
        <v>12-2031</v>
      </c>
      <c r="B3264" s="86">
        <v>48190</v>
      </c>
      <c r="C3264" t="str">
        <f t="shared" si="171"/>
        <v>L-V</v>
      </c>
      <c r="D3264" t="str">
        <f t="shared" si="172"/>
        <v>Lunes</v>
      </c>
    </row>
    <row r="3265" spans="1:4" x14ac:dyDescent="0.25">
      <c r="A3265" s="88" t="str">
        <f t="shared" si="170"/>
        <v>12-2031</v>
      </c>
      <c r="B3265" s="86">
        <v>48191</v>
      </c>
      <c r="C3265" t="str">
        <f t="shared" si="171"/>
        <v>L-V</v>
      </c>
      <c r="D3265" t="str">
        <f t="shared" si="172"/>
        <v>Martes</v>
      </c>
    </row>
    <row r="3266" spans="1:4" x14ac:dyDescent="0.25">
      <c r="A3266" s="88" t="str">
        <f t="shared" ref="A3266:A3329" si="173">MONTH(B3266)&amp;"-"&amp;YEAR(B3266)</f>
        <v>12-2031</v>
      </c>
      <c r="B3266" s="86">
        <v>48192</v>
      </c>
      <c r="C3266" t="str">
        <f t="shared" si="171"/>
        <v>L-V</v>
      </c>
      <c r="D3266" t="str">
        <f t="shared" si="172"/>
        <v>Miércoles</v>
      </c>
    </row>
    <row r="3267" spans="1:4" x14ac:dyDescent="0.25">
      <c r="A3267" s="88" t="str">
        <f t="shared" si="173"/>
        <v>12-2031</v>
      </c>
      <c r="B3267" s="86">
        <v>48193</v>
      </c>
      <c r="C3267" t="str">
        <f t="shared" ref="C3267:C3330" si="174">VLOOKUP(WEEKDAY(B3267,2),$F$1:$H$7,2)</f>
        <v>L-V</v>
      </c>
      <c r="D3267" t="str">
        <f t="shared" ref="D3267:D3330" si="175">VLOOKUP(WEEKDAY($B3267,2),$F$1:$H$7,3)</f>
        <v>Jueves</v>
      </c>
    </row>
    <row r="3268" spans="1:4" x14ac:dyDescent="0.25">
      <c r="A3268" s="88" t="str">
        <f t="shared" si="173"/>
        <v>12-2031</v>
      </c>
      <c r="B3268" s="86">
        <v>48194</v>
      </c>
      <c r="C3268" t="str">
        <f t="shared" si="174"/>
        <v>L-V</v>
      </c>
      <c r="D3268" t="str">
        <f t="shared" si="175"/>
        <v>Viernes</v>
      </c>
    </row>
    <row r="3269" spans="1:4" x14ac:dyDescent="0.25">
      <c r="A3269" s="88" t="str">
        <f t="shared" si="173"/>
        <v>12-2031</v>
      </c>
      <c r="B3269" s="86">
        <v>48195</v>
      </c>
      <c r="C3269" t="str">
        <f t="shared" si="174"/>
        <v>SAB</v>
      </c>
      <c r="D3269" t="str">
        <f t="shared" si="175"/>
        <v>Sábado</v>
      </c>
    </row>
    <row r="3270" spans="1:4" x14ac:dyDescent="0.25">
      <c r="A3270" s="88" t="str">
        <f t="shared" si="173"/>
        <v>12-2031</v>
      </c>
      <c r="B3270" s="86">
        <v>48196</v>
      </c>
      <c r="C3270" t="str">
        <f t="shared" si="174"/>
        <v>DOM</v>
      </c>
      <c r="D3270" t="str">
        <f t="shared" si="175"/>
        <v>Domingo</v>
      </c>
    </row>
    <row r="3271" spans="1:4" x14ac:dyDescent="0.25">
      <c r="A3271" s="88" t="str">
        <f t="shared" si="173"/>
        <v>12-2031</v>
      </c>
      <c r="B3271" s="86">
        <v>48197</v>
      </c>
      <c r="C3271" t="str">
        <f t="shared" si="174"/>
        <v>L-V</v>
      </c>
      <c r="D3271" t="str">
        <f t="shared" si="175"/>
        <v>Lunes</v>
      </c>
    </row>
    <row r="3272" spans="1:4" x14ac:dyDescent="0.25">
      <c r="A3272" s="88" t="str">
        <f t="shared" si="173"/>
        <v>12-2031</v>
      </c>
      <c r="B3272" s="86">
        <v>48198</v>
      </c>
      <c r="C3272" t="str">
        <f t="shared" si="174"/>
        <v>L-V</v>
      </c>
      <c r="D3272" t="str">
        <f t="shared" si="175"/>
        <v>Martes</v>
      </c>
    </row>
    <row r="3273" spans="1:4" x14ac:dyDescent="0.25">
      <c r="A3273" s="88" t="str">
        <f t="shared" si="173"/>
        <v>12-2031</v>
      </c>
      <c r="B3273" s="86">
        <v>48199</v>
      </c>
      <c r="C3273" t="str">
        <f t="shared" si="174"/>
        <v>L-V</v>
      </c>
      <c r="D3273" t="str">
        <f t="shared" si="175"/>
        <v>Miércoles</v>
      </c>
    </row>
    <row r="3274" spans="1:4" x14ac:dyDescent="0.25">
      <c r="A3274" s="88" t="str">
        <f t="shared" si="173"/>
        <v>12-2031</v>
      </c>
      <c r="B3274" s="86">
        <v>48200</v>
      </c>
      <c r="C3274" t="str">
        <f t="shared" si="174"/>
        <v>L-V</v>
      </c>
      <c r="D3274" t="str">
        <f t="shared" si="175"/>
        <v>Jueves</v>
      </c>
    </row>
    <row r="3275" spans="1:4" x14ac:dyDescent="0.25">
      <c r="A3275" s="88" t="str">
        <f t="shared" si="173"/>
        <v>12-2031</v>
      </c>
      <c r="B3275" s="86">
        <v>48201</v>
      </c>
      <c r="C3275" t="str">
        <f t="shared" si="174"/>
        <v>L-V</v>
      </c>
      <c r="D3275" t="str">
        <f t="shared" si="175"/>
        <v>Viernes</v>
      </c>
    </row>
    <row r="3276" spans="1:4" x14ac:dyDescent="0.25">
      <c r="A3276" s="88" t="str">
        <f t="shared" si="173"/>
        <v>12-2031</v>
      </c>
      <c r="B3276" s="86">
        <v>48202</v>
      </c>
      <c r="C3276" t="str">
        <f t="shared" si="174"/>
        <v>SAB</v>
      </c>
      <c r="D3276" t="str">
        <f t="shared" si="175"/>
        <v>Sábado</v>
      </c>
    </row>
    <row r="3277" spans="1:4" x14ac:dyDescent="0.25">
      <c r="A3277" s="88" t="str">
        <f t="shared" si="173"/>
        <v>12-2031</v>
      </c>
      <c r="B3277" s="86">
        <v>48203</v>
      </c>
      <c r="C3277" t="str">
        <f t="shared" si="174"/>
        <v>DOM</v>
      </c>
      <c r="D3277" t="str">
        <f t="shared" si="175"/>
        <v>Domingo</v>
      </c>
    </row>
    <row r="3278" spans="1:4" x14ac:dyDescent="0.25">
      <c r="A3278" s="88" t="str">
        <f t="shared" si="173"/>
        <v>12-2031</v>
      </c>
      <c r="B3278" s="86">
        <v>48204</v>
      </c>
      <c r="C3278" t="str">
        <f t="shared" si="174"/>
        <v>L-V</v>
      </c>
      <c r="D3278" t="str">
        <f t="shared" si="175"/>
        <v>Lunes</v>
      </c>
    </row>
    <row r="3279" spans="1:4" x14ac:dyDescent="0.25">
      <c r="A3279" s="88" t="str">
        <f t="shared" si="173"/>
        <v>12-2031</v>
      </c>
      <c r="B3279" s="86">
        <v>48205</v>
      </c>
      <c r="C3279" t="str">
        <f t="shared" si="174"/>
        <v>L-V</v>
      </c>
      <c r="D3279" t="str">
        <f t="shared" si="175"/>
        <v>Martes</v>
      </c>
    </row>
    <row r="3280" spans="1:4" x14ac:dyDescent="0.25">
      <c r="A3280" s="88" t="str">
        <f t="shared" si="173"/>
        <v>12-2031</v>
      </c>
      <c r="B3280" s="86">
        <v>48206</v>
      </c>
      <c r="C3280" t="str">
        <f t="shared" si="174"/>
        <v>L-V</v>
      </c>
      <c r="D3280" t="str">
        <f t="shared" si="175"/>
        <v>Miércoles</v>
      </c>
    </row>
    <row r="3281" spans="1:4" x14ac:dyDescent="0.25">
      <c r="A3281" s="88" t="str">
        <f t="shared" si="173"/>
        <v>12-2031</v>
      </c>
      <c r="B3281" s="86">
        <v>48207</v>
      </c>
      <c r="C3281" t="str">
        <f t="shared" si="174"/>
        <v>L-V</v>
      </c>
      <c r="D3281" t="str">
        <f t="shared" si="175"/>
        <v>Jueves</v>
      </c>
    </row>
    <row r="3282" spans="1:4" x14ac:dyDescent="0.25">
      <c r="A3282" s="88" t="str">
        <f t="shared" si="173"/>
        <v>12-2031</v>
      </c>
      <c r="B3282" s="86">
        <v>48208</v>
      </c>
      <c r="C3282" t="str">
        <f t="shared" si="174"/>
        <v>L-V</v>
      </c>
      <c r="D3282" t="str">
        <f t="shared" si="175"/>
        <v>Viernes</v>
      </c>
    </row>
    <row r="3283" spans="1:4" x14ac:dyDescent="0.25">
      <c r="A3283" s="88" t="str">
        <f t="shared" si="173"/>
        <v>12-2031</v>
      </c>
      <c r="B3283" s="86">
        <v>48209</v>
      </c>
      <c r="C3283" t="str">
        <f t="shared" si="174"/>
        <v>SAB</v>
      </c>
      <c r="D3283" t="str">
        <f t="shared" si="175"/>
        <v>Sábado</v>
      </c>
    </row>
    <row r="3284" spans="1:4" x14ac:dyDescent="0.25">
      <c r="A3284" s="88" t="str">
        <f t="shared" si="173"/>
        <v>12-2031</v>
      </c>
      <c r="B3284" s="86">
        <v>48210</v>
      </c>
      <c r="C3284" t="str">
        <f t="shared" si="174"/>
        <v>DOM</v>
      </c>
      <c r="D3284" t="str">
        <f t="shared" si="175"/>
        <v>Domingo</v>
      </c>
    </row>
    <row r="3285" spans="1:4" x14ac:dyDescent="0.25">
      <c r="A3285" s="88" t="str">
        <f t="shared" si="173"/>
        <v>12-2031</v>
      </c>
      <c r="B3285" s="86">
        <v>48211</v>
      </c>
      <c r="C3285" t="str">
        <f t="shared" si="174"/>
        <v>L-V</v>
      </c>
      <c r="D3285" t="str">
        <f t="shared" si="175"/>
        <v>Lunes</v>
      </c>
    </row>
    <row r="3286" spans="1:4" x14ac:dyDescent="0.25">
      <c r="A3286" s="88" t="str">
        <f t="shared" si="173"/>
        <v>12-2031</v>
      </c>
      <c r="B3286" s="86">
        <v>48212</v>
      </c>
      <c r="C3286" t="str">
        <f t="shared" si="174"/>
        <v>L-V</v>
      </c>
      <c r="D3286" t="str">
        <f t="shared" si="175"/>
        <v>Martes</v>
      </c>
    </row>
    <row r="3287" spans="1:4" x14ac:dyDescent="0.25">
      <c r="A3287" s="88" t="str">
        <f t="shared" si="173"/>
        <v>12-2031</v>
      </c>
      <c r="B3287" s="86">
        <v>48213</v>
      </c>
      <c r="C3287" t="str">
        <f t="shared" si="174"/>
        <v>L-V</v>
      </c>
      <c r="D3287" t="str">
        <f t="shared" si="175"/>
        <v>Miércoles</v>
      </c>
    </row>
    <row r="3288" spans="1:4" x14ac:dyDescent="0.25">
      <c r="A3288" s="88" t="str">
        <f t="shared" si="173"/>
        <v>1-2032</v>
      </c>
      <c r="B3288" s="86">
        <v>48214</v>
      </c>
      <c r="C3288" t="str">
        <f t="shared" si="174"/>
        <v>L-V</v>
      </c>
      <c r="D3288" t="str">
        <f t="shared" si="175"/>
        <v>Jueves</v>
      </c>
    </row>
    <row r="3289" spans="1:4" x14ac:dyDescent="0.25">
      <c r="A3289" s="88" t="str">
        <f t="shared" si="173"/>
        <v>1-2032</v>
      </c>
      <c r="B3289" s="86">
        <v>48215</v>
      </c>
      <c r="C3289" t="str">
        <f t="shared" si="174"/>
        <v>L-V</v>
      </c>
      <c r="D3289" t="str">
        <f t="shared" si="175"/>
        <v>Viernes</v>
      </c>
    </row>
    <row r="3290" spans="1:4" x14ac:dyDescent="0.25">
      <c r="A3290" s="88" t="str">
        <f t="shared" si="173"/>
        <v>1-2032</v>
      </c>
      <c r="B3290" s="86">
        <v>48216</v>
      </c>
      <c r="C3290" t="str">
        <f t="shared" si="174"/>
        <v>SAB</v>
      </c>
      <c r="D3290" t="str">
        <f t="shared" si="175"/>
        <v>Sábado</v>
      </c>
    </row>
    <row r="3291" spans="1:4" x14ac:dyDescent="0.25">
      <c r="A3291" s="88" t="str">
        <f t="shared" si="173"/>
        <v>1-2032</v>
      </c>
      <c r="B3291" s="86">
        <v>48217</v>
      </c>
      <c r="C3291" t="str">
        <f t="shared" si="174"/>
        <v>DOM</v>
      </c>
      <c r="D3291" t="str">
        <f t="shared" si="175"/>
        <v>Domingo</v>
      </c>
    </row>
    <row r="3292" spans="1:4" x14ac:dyDescent="0.25">
      <c r="A3292" s="88" t="str">
        <f t="shared" si="173"/>
        <v>1-2032</v>
      </c>
      <c r="B3292" s="86">
        <v>48218</v>
      </c>
      <c r="C3292" t="str">
        <f t="shared" si="174"/>
        <v>L-V</v>
      </c>
      <c r="D3292" t="str">
        <f t="shared" si="175"/>
        <v>Lunes</v>
      </c>
    </row>
    <row r="3293" spans="1:4" x14ac:dyDescent="0.25">
      <c r="A3293" s="88" t="str">
        <f t="shared" si="173"/>
        <v>1-2032</v>
      </c>
      <c r="B3293" s="86">
        <v>48219</v>
      </c>
      <c r="C3293" t="str">
        <f t="shared" si="174"/>
        <v>L-V</v>
      </c>
      <c r="D3293" t="str">
        <f t="shared" si="175"/>
        <v>Martes</v>
      </c>
    </row>
    <row r="3294" spans="1:4" x14ac:dyDescent="0.25">
      <c r="A3294" s="88" t="str">
        <f t="shared" si="173"/>
        <v>1-2032</v>
      </c>
      <c r="B3294" s="86">
        <v>48220</v>
      </c>
      <c r="C3294" t="str">
        <f t="shared" si="174"/>
        <v>L-V</v>
      </c>
      <c r="D3294" t="str">
        <f t="shared" si="175"/>
        <v>Miércoles</v>
      </c>
    </row>
    <row r="3295" spans="1:4" x14ac:dyDescent="0.25">
      <c r="A3295" s="88" t="str">
        <f t="shared" si="173"/>
        <v>1-2032</v>
      </c>
      <c r="B3295" s="86">
        <v>48221</v>
      </c>
      <c r="C3295" t="str">
        <f t="shared" si="174"/>
        <v>L-V</v>
      </c>
      <c r="D3295" t="str">
        <f t="shared" si="175"/>
        <v>Jueves</v>
      </c>
    </row>
    <row r="3296" spans="1:4" x14ac:dyDescent="0.25">
      <c r="A3296" s="88" t="str">
        <f t="shared" si="173"/>
        <v>1-2032</v>
      </c>
      <c r="B3296" s="86">
        <v>48222</v>
      </c>
      <c r="C3296" t="str">
        <f t="shared" si="174"/>
        <v>L-V</v>
      </c>
      <c r="D3296" t="str">
        <f t="shared" si="175"/>
        <v>Viernes</v>
      </c>
    </row>
    <row r="3297" spans="1:4" x14ac:dyDescent="0.25">
      <c r="A3297" s="88" t="str">
        <f t="shared" si="173"/>
        <v>1-2032</v>
      </c>
      <c r="B3297" s="86">
        <v>48223</v>
      </c>
      <c r="C3297" t="str">
        <f t="shared" si="174"/>
        <v>SAB</v>
      </c>
      <c r="D3297" t="str">
        <f t="shared" si="175"/>
        <v>Sábado</v>
      </c>
    </row>
    <row r="3298" spans="1:4" x14ac:dyDescent="0.25">
      <c r="A3298" s="88" t="str">
        <f t="shared" si="173"/>
        <v>1-2032</v>
      </c>
      <c r="B3298" s="86">
        <v>48224</v>
      </c>
      <c r="C3298" t="str">
        <f t="shared" si="174"/>
        <v>DOM</v>
      </c>
      <c r="D3298" t="str">
        <f t="shared" si="175"/>
        <v>Domingo</v>
      </c>
    </row>
    <row r="3299" spans="1:4" x14ac:dyDescent="0.25">
      <c r="A3299" s="88" t="str">
        <f t="shared" si="173"/>
        <v>1-2032</v>
      </c>
      <c r="B3299" s="86">
        <v>48225</v>
      </c>
      <c r="C3299" t="str">
        <f t="shared" si="174"/>
        <v>L-V</v>
      </c>
      <c r="D3299" t="str">
        <f t="shared" si="175"/>
        <v>Lunes</v>
      </c>
    </row>
    <row r="3300" spans="1:4" x14ac:dyDescent="0.25">
      <c r="A3300" s="88" t="str">
        <f t="shared" si="173"/>
        <v>1-2032</v>
      </c>
      <c r="B3300" s="86">
        <v>48226</v>
      </c>
      <c r="C3300" t="str">
        <f t="shared" si="174"/>
        <v>L-V</v>
      </c>
      <c r="D3300" t="str">
        <f t="shared" si="175"/>
        <v>Martes</v>
      </c>
    </row>
    <row r="3301" spans="1:4" x14ac:dyDescent="0.25">
      <c r="A3301" s="88" t="str">
        <f t="shared" si="173"/>
        <v>1-2032</v>
      </c>
      <c r="B3301" s="86">
        <v>48227</v>
      </c>
      <c r="C3301" t="str">
        <f t="shared" si="174"/>
        <v>L-V</v>
      </c>
      <c r="D3301" t="str">
        <f t="shared" si="175"/>
        <v>Miércoles</v>
      </c>
    </row>
    <row r="3302" spans="1:4" x14ac:dyDescent="0.25">
      <c r="A3302" s="88" t="str">
        <f t="shared" si="173"/>
        <v>1-2032</v>
      </c>
      <c r="B3302" s="86">
        <v>48228</v>
      </c>
      <c r="C3302" t="str">
        <f t="shared" si="174"/>
        <v>L-V</v>
      </c>
      <c r="D3302" t="str">
        <f t="shared" si="175"/>
        <v>Jueves</v>
      </c>
    </row>
    <row r="3303" spans="1:4" x14ac:dyDescent="0.25">
      <c r="A3303" s="88" t="str">
        <f t="shared" si="173"/>
        <v>1-2032</v>
      </c>
      <c r="B3303" s="86">
        <v>48229</v>
      </c>
      <c r="C3303" t="str">
        <f t="shared" si="174"/>
        <v>L-V</v>
      </c>
      <c r="D3303" t="str">
        <f t="shared" si="175"/>
        <v>Viernes</v>
      </c>
    </row>
    <row r="3304" spans="1:4" x14ac:dyDescent="0.25">
      <c r="A3304" s="88" t="str">
        <f t="shared" si="173"/>
        <v>1-2032</v>
      </c>
      <c r="B3304" s="86">
        <v>48230</v>
      </c>
      <c r="C3304" t="str">
        <f t="shared" si="174"/>
        <v>SAB</v>
      </c>
      <c r="D3304" t="str">
        <f t="shared" si="175"/>
        <v>Sábado</v>
      </c>
    </row>
    <row r="3305" spans="1:4" x14ac:dyDescent="0.25">
      <c r="A3305" s="88" t="str">
        <f t="shared" si="173"/>
        <v>1-2032</v>
      </c>
      <c r="B3305" s="86">
        <v>48231</v>
      </c>
      <c r="C3305" t="str">
        <f t="shared" si="174"/>
        <v>DOM</v>
      </c>
      <c r="D3305" t="str">
        <f t="shared" si="175"/>
        <v>Domingo</v>
      </c>
    </row>
    <row r="3306" spans="1:4" x14ac:dyDescent="0.25">
      <c r="A3306" s="88" t="str">
        <f t="shared" si="173"/>
        <v>1-2032</v>
      </c>
      <c r="B3306" s="86">
        <v>48232</v>
      </c>
      <c r="C3306" t="str">
        <f t="shared" si="174"/>
        <v>L-V</v>
      </c>
      <c r="D3306" t="str">
        <f t="shared" si="175"/>
        <v>Lunes</v>
      </c>
    </row>
    <row r="3307" spans="1:4" x14ac:dyDescent="0.25">
      <c r="A3307" s="88" t="str">
        <f t="shared" si="173"/>
        <v>1-2032</v>
      </c>
      <c r="B3307" s="86">
        <v>48233</v>
      </c>
      <c r="C3307" t="str">
        <f t="shared" si="174"/>
        <v>L-V</v>
      </c>
      <c r="D3307" t="str">
        <f t="shared" si="175"/>
        <v>Martes</v>
      </c>
    </row>
    <row r="3308" spans="1:4" x14ac:dyDescent="0.25">
      <c r="A3308" s="88" t="str">
        <f t="shared" si="173"/>
        <v>1-2032</v>
      </c>
      <c r="B3308" s="86">
        <v>48234</v>
      </c>
      <c r="C3308" t="str">
        <f t="shared" si="174"/>
        <v>L-V</v>
      </c>
      <c r="D3308" t="str">
        <f t="shared" si="175"/>
        <v>Miércoles</v>
      </c>
    </row>
    <row r="3309" spans="1:4" x14ac:dyDescent="0.25">
      <c r="A3309" s="88" t="str">
        <f t="shared" si="173"/>
        <v>1-2032</v>
      </c>
      <c r="B3309" s="86">
        <v>48235</v>
      </c>
      <c r="C3309" t="str">
        <f t="shared" si="174"/>
        <v>L-V</v>
      </c>
      <c r="D3309" t="str">
        <f t="shared" si="175"/>
        <v>Jueves</v>
      </c>
    </row>
    <row r="3310" spans="1:4" x14ac:dyDescent="0.25">
      <c r="A3310" s="88" t="str">
        <f t="shared" si="173"/>
        <v>1-2032</v>
      </c>
      <c r="B3310" s="86">
        <v>48236</v>
      </c>
      <c r="C3310" t="str">
        <f t="shared" si="174"/>
        <v>L-V</v>
      </c>
      <c r="D3310" t="str">
        <f t="shared" si="175"/>
        <v>Viernes</v>
      </c>
    </row>
    <row r="3311" spans="1:4" x14ac:dyDescent="0.25">
      <c r="A3311" s="88" t="str">
        <f t="shared" si="173"/>
        <v>1-2032</v>
      </c>
      <c r="B3311" s="86">
        <v>48237</v>
      </c>
      <c r="C3311" t="str">
        <f t="shared" si="174"/>
        <v>SAB</v>
      </c>
      <c r="D3311" t="str">
        <f t="shared" si="175"/>
        <v>Sábado</v>
      </c>
    </row>
    <row r="3312" spans="1:4" x14ac:dyDescent="0.25">
      <c r="A3312" s="88" t="str">
        <f t="shared" si="173"/>
        <v>1-2032</v>
      </c>
      <c r="B3312" s="86">
        <v>48238</v>
      </c>
      <c r="C3312" t="str">
        <f t="shared" si="174"/>
        <v>DOM</v>
      </c>
      <c r="D3312" t="str">
        <f t="shared" si="175"/>
        <v>Domingo</v>
      </c>
    </row>
    <row r="3313" spans="1:4" x14ac:dyDescent="0.25">
      <c r="A3313" s="88" t="str">
        <f t="shared" si="173"/>
        <v>1-2032</v>
      </c>
      <c r="B3313" s="86">
        <v>48239</v>
      </c>
      <c r="C3313" t="str">
        <f t="shared" si="174"/>
        <v>L-V</v>
      </c>
      <c r="D3313" t="str">
        <f t="shared" si="175"/>
        <v>Lunes</v>
      </c>
    </row>
    <row r="3314" spans="1:4" x14ac:dyDescent="0.25">
      <c r="A3314" s="88" t="str">
        <f t="shared" si="173"/>
        <v>1-2032</v>
      </c>
      <c r="B3314" s="86">
        <v>48240</v>
      </c>
      <c r="C3314" t="str">
        <f t="shared" si="174"/>
        <v>L-V</v>
      </c>
      <c r="D3314" t="str">
        <f t="shared" si="175"/>
        <v>Martes</v>
      </c>
    </row>
    <row r="3315" spans="1:4" x14ac:dyDescent="0.25">
      <c r="A3315" s="88" t="str">
        <f t="shared" si="173"/>
        <v>1-2032</v>
      </c>
      <c r="B3315" s="86">
        <v>48241</v>
      </c>
      <c r="C3315" t="str">
        <f t="shared" si="174"/>
        <v>L-V</v>
      </c>
      <c r="D3315" t="str">
        <f t="shared" si="175"/>
        <v>Miércoles</v>
      </c>
    </row>
    <row r="3316" spans="1:4" x14ac:dyDescent="0.25">
      <c r="A3316" s="88" t="str">
        <f t="shared" si="173"/>
        <v>1-2032</v>
      </c>
      <c r="B3316" s="86">
        <v>48242</v>
      </c>
      <c r="C3316" t="str">
        <f t="shared" si="174"/>
        <v>L-V</v>
      </c>
      <c r="D3316" t="str">
        <f t="shared" si="175"/>
        <v>Jueves</v>
      </c>
    </row>
    <row r="3317" spans="1:4" x14ac:dyDescent="0.25">
      <c r="A3317" s="88" t="str">
        <f t="shared" si="173"/>
        <v>1-2032</v>
      </c>
      <c r="B3317" s="86">
        <v>48243</v>
      </c>
      <c r="C3317" t="str">
        <f t="shared" si="174"/>
        <v>L-V</v>
      </c>
      <c r="D3317" t="str">
        <f t="shared" si="175"/>
        <v>Viernes</v>
      </c>
    </row>
    <row r="3318" spans="1:4" x14ac:dyDescent="0.25">
      <c r="A3318" s="88" t="str">
        <f t="shared" si="173"/>
        <v>1-2032</v>
      </c>
      <c r="B3318" s="86">
        <v>48244</v>
      </c>
      <c r="C3318" t="str">
        <f t="shared" si="174"/>
        <v>SAB</v>
      </c>
      <c r="D3318" t="str">
        <f t="shared" si="175"/>
        <v>Sábado</v>
      </c>
    </row>
    <row r="3319" spans="1:4" x14ac:dyDescent="0.25">
      <c r="A3319" s="88" t="str">
        <f t="shared" si="173"/>
        <v>2-2032</v>
      </c>
      <c r="B3319" s="86">
        <v>48245</v>
      </c>
      <c r="C3319" t="str">
        <f t="shared" si="174"/>
        <v>DOM</v>
      </c>
      <c r="D3319" t="str">
        <f t="shared" si="175"/>
        <v>Domingo</v>
      </c>
    </row>
    <row r="3320" spans="1:4" x14ac:dyDescent="0.25">
      <c r="A3320" s="88" t="str">
        <f t="shared" si="173"/>
        <v>2-2032</v>
      </c>
      <c r="B3320" s="86">
        <v>48246</v>
      </c>
      <c r="C3320" t="str">
        <f t="shared" si="174"/>
        <v>L-V</v>
      </c>
      <c r="D3320" t="str">
        <f t="shared" si="175"/>
        <v>Lunes</v>
      </c>
    </row>
    <row r="3321" spans="1:4" x14ac:dyDescent="0.25">
      <c r="A3321" s="88" t="str">
        <f t="shared" si="173"/>
        <v>2-2032</v>
      </c>
      <c r="B3321" s="86">
        <v>48247</v>
      </c>
      <c r="C3321" t="str">
        <f t="shared" si="174"/>
        <v>L-V</v>
      </c>
      <c r="D3321" t="str">
        <f t="shared" si="175"/>
        <v>Martes</v>
      </c>
    </row>
    <row r="3322" spans="1:4" x14ac:dyDescent="0.25">
      <c r="A3322" s="88" t="str">
        <f t="shared" si="173"/>
        <v>2-2032</v>
      </c>
      <c r="B3322" s="86">
        <v>48248</v>
      </c>
      <c r="C3322" t="str">
        <f t="shared" si="174"/>
        <v>L-V</v>
      </c>
      <c r="D3322" t="str">
        <f t="shared" si="175"/>
        <v>Miércoles</v>
      </c>
    </row>
    <row r="3323" spans="1:4" x14ac:dyDescent="0.25">
      <c r="A3323" s="88" t="str">
        <f t="shared" si="173"/>
        <v>2-2032</v>
      </c>
      <c r="B3323" s="86">
        <v>48249</v>
      </c>
      <c r="C3323" t="str">
        <f t="shared" si="174"/>
        <v>L-V</v>
      </c>
      <c r="D3323" t="str">
        <f t="shared" si="175"/>
        <v>Jueves</v>
      </c>
    </row>
    <row r="3324" spans="1:4" x14ac:dyDescent="0.25">
      <c r="A3324" s="88" t="str">
        <f t="shared" si="173"/>
        <v>2-2032</v>
      </c>
      <c r="B3324" s="86">
        <v>48250</v>
      </c>
      <c r="C3324" t="str">
        <f t="shared" si="174"/>
        <v>L-V</v>
      </c>
      <c r="D3324" t="str">
        <f t="shared" si="175"/>
        <v>Viernes</v>
      </c>
    </row>
    <row r="3325" spans="1:4" x14ac:dyDescent="0.25">
      <c r="A3325" s="88" t="str">
        <f t="shared" si="173"/>
        <v>2-2032</v>
      </c>
      <c r="B3325" s="86">
        <v>48251</v>
      </c>
      <c r="C3325" t="str">
        <f t="shared" si="174"/>
        <v>SAB</v>
      </c>
      <c r="D3325" t="str">
        <f t="shared" si="175"/>
        <v>Sábado</v>
      </c>
    </row>
    <row r="3326" spans="1:4" x14ac:dyDescent="0.25">
      <c r="A3326" s="88" t="str">
        <f t="shared" si="173"/>
        <v>2-2032</v>
      </c>
      <c r="B3326" s="86">
        <v>48252</v>
      </c>
      <c r="C3326" t="str">
        <f t="shared" si="174"/>
        <v>DOM</v>
      </c>
      <c r="D3326" t="str">
        <f t="shared" si="175"/>
        <v>Domingo</v>
      </c>
    </row>
    <row r="3327" spans="1:4" x14ac:dyDescent="0.25">
      <c r="A3327" s="88" t="str">
        <f t="shared" si="173"/>
        <v>2-2032</v>
      </c>
      <c r="B3327" s="86">
        <v>48253</v>
      </c>
      <c r="C3327" t="str">
        <f t="shared" si="174"/>
        <v>L-V</v>
      </c>
      <c r="D3327" t="str">
        <f t="shared" si="175"/>
        <v>Lunes</v>
      </c>
    </row>
    <row r="3328" spans="1:4" x14ac:dyDescent="0.25">
      <c r="A3328" s="88" t="str">
        <f t="shared" si="173"/>
        <v>2-2032</v>
      </c>
      <c r="B3328" s="86">
        <v>48254</v>
      </c>
      <c r="C3328" t="str">
        <f t="shared" si="174"/>
        <v>L-V</v>
      </c>
      <c r="D3328" t="str">
        <f t="shared" si="175"/>
        <v>Martes</v>
      </c>
    </row>
    <row r="3329" spans="1:4" x14ac:dyDescent="0.25">
      <c r="A3329" s="88" t="str">
        <f t="shared" si="173"/>
        <v>2-2032</v>
      </c>
      <c r="B3329" s="86">
        <v>48255</v>
      </c>
      <c r="C3329" t="str">
        <f t="shared" si="174"/>
        <v>L-V</v>
      </c>
      <c r="D3329" t="str">
        <f t="shared" si="175"/>
        <v>Miércoles</v>
      </c>
    </row>
    <row r="3330" spans="1:4" x14ac:dyDescent="0.25">
      <c r="A3330" s="88" t="str">
        <f t="shared" ref="A3330:A3393" si="176">MONTH(B3330)&amp;"-"&amp;YEAR(B3330)</f>
        <v>2-2032</v>
      </c>
      <c r="B3330" s="86">
        <v>48256</v>
      </c>
      <c r="C3330" t="str">
        <f t="shared" si="174"/>
        <v>L-V</v>
      </c>
      <c r="D3330" t="str">
        <f t="shared" si="175"/>
        <v>Jueves</v>
      </c>
    </row>
    <row r="3331" spans="1:4" x14ac:dyDescent="0.25">
      <c r="A3331" s="88" t="str">
        <f t="shared" si="176"/>
        <v>2-2032</v>
      </c>
      <c r="B3331" s="86">
        <v>48257</v>
      </c>
      <c r="C3331" t="str">
        <f t="shared" ref="C3331:C3394" si="177">VLOOKUP(WEEKDAY(B3331,2),$F$1:$H$7,2)</f>
        <v>L-V</v>
      </c>
      <c r="D3331" t="str">
        <f t="shared" ref="D3331:D3394" si="178">VLOOKUP(WEEKDAY($B3331,2),$F$1:$H$7,3)</f>
        <v>Viernes</v>
      </c>
    </row>
    <row r="3332" spans="1:4" x14ac:dyDescent="0.25">
      <c r="A3332" s="88" t="str">
        <f t="shared" si="176"/>
        <v>2-2032</v>
      </c>
      <c r="B3332" s="86">
        <v>48258</v>
      </c>
      <c r="C3332" t="str">
        <f t="shared" si="177"/>
        <v>SAB</v>
      </c>
      <c r="D3332" t="str">
        <f t="shared" si="178"/>
        <v>Sábado</v>
      </c>
    </row>
    <row r="3333" spans="1:4" x14ac:dyDescent="0.25">
      <c r="A3333" s="88" t="str">
        <f t="shared" si="176"/>
        <v>2-2032</v>
      </c>
      <c r="B3333" s="86">
        <v>48259</v>
      </c>
      <c r="C3333" t="str">
        <f t="shared" si="177"/>
        <v>DOM</v>
      </c>
      <c r="D3333" t="str">
        <f t="shared" si="178"/>
        <v>Domingo</v>
      </c>
    </row>
    <row r="3334" spans="1:4" x14ac:dyDescent="0.25">
      <c r="A3334" s="88" t="str">
        <f t="shared" si="176"/>
        <v>2-2032</v>
      </c>
      <c r="B3334" s="86">
        <v>48260</v>
      </c>
      <c r="C3334" t="str">
        <f t="shared" si="177"/>
        <v>L-V</v>
      </c>
      <c r="D3334" t="str">
        <f t="shared" si="178"/>
        <v>Lunes</v>
      </c>
    </row>
    <row r="3335" spans="1:4" x14ac:dyDescent="0.25">
      <c r="A3335" s="88" t="str">
        <f t="shared" si="176"/>
        <v>2-2032</v>
      </c>
      <c r="B3335" s="86">
        <v>48261</v>
      </c>
      <c r="C3335" t="str">
        <f t="shared" si="177"/>
        <v>L-V</v>
      </c>
      <c r="D3335" t="str">
        <f t="shared" si="178"/>
        <v>Martes</v>
      </c>
    </row>
    <row r="3336" spans="1:4" x14ac:dyDescent="0.25">
      <c r="A3336" s="88" t="str">
        <f t="shared" si="176"/>
        <v>2-2032</v>
      </c>
      <c r="B3336" s="86">
        <v>48262</v>
      </c>
      <c r="C3336" t="str">
        <f t="shared" si="177"/>
        <v>L-V</v>
      </c>
      <c r="D3336" t="str">
        <f t="shared" si="178"/>
        <v>Miércoles</v>
      </c>
    </row>
    <row r="3337" spans="1:4" x14ac:dyDescent="0.25">
      <c r="A3337" s="88" t="str">
        <f t="shared" si="176"/>
        <v>2-2032</v>
      </c>
      <c r="B3337" s="86">
        <v>48263</v>
      </c>
      <c r="C3337" t="str">
        <f t="shared" si="177"/>
        <v>L-V</v>
      </c>
      <c r="D3337" t="str">
        <f t="shared" si="178"/>
        <v>Jueves</v>
      </c>
    </row>
    <row r="3338" spans="1:4" x14ac:dyDescent="0.25">
      <c r="A3338" s="88" t="str">
        <f t="shared" si="176"/>
        <v>2-2032</v>
      </c>
      <c r="B3338" s="86">
        <v>48264</v>
      </c>
      <c r="C3338" t="str">
        <f t="shared" si="177"/>
        <v>L-V</v>
      </c>
      <c r="D3338" t="str">
        <f t="shared" si="178"/>
        <v>Viernes</v>
      </c>
    </row>
    <row r="3339" spans="1:4" x14ac:dyDescent="0.25">
      <c r="A3339" s="88" t="str">
        <f t="shared" si="176"/>
        <v>2-2032</v>
      </c>
      <c r="B3339" s="86">
        <v>48265</v>
      </c>
      <c r="C3339" t="str">
        <f t="shared" si="177"/>
        <v>SAB</v>
      </c>
      <c r="D3339" t="str">
        <f t="shared" si="178"/>
        <v>Sábado</v>
      </c>
    </row>
    <row r="3340" spans="1:4" x14ac:dyDescent="0.25">
      <c r="A3340" s="88" t="str">
        <f t="shared" si="176"/>
        <v>2-2032</v>
      </c>
      <c r="B3340" s="86">
        <v>48266</v>
      </c>
      <c r="C3340" t="str">
        <f t="shared" si="177"/>
        <v>DOM</v>
      </c>
      <c r="D3340" t="str">
        <f t="shared" si="178"/>
        <v>Domingo</v>
      </c>
    </row>
    <row r="3341" spans="1:4" x14ac:dyDescent="0.25">
      <c r="A3341" s="88" t="str">
        <f t="shared" si="176"/>
        <v>2-2032</v>
      </c>
      <c r="B3341" s="86">
        <v>48267</v>
      </c>
      <c r="C3341" t="str">
        <f t="shared" si="177"/>
        <v>L-V</v>
      </c>
      <c r="D3341" t="str">
        <f t="shared" si="178"/>
        <v>Lunes</v>
      </c>
    </row>
    <row r="3342" spans="1:4" x14ac:dyDescent="0.25">
      <c r="A3342" s="88" t="str">
        <f t="shared" si="176"/>
        <v>2-2032</v>
      </c>
      <c r="B3342" s="86">
        <v>48268</v>
      </c>
      <c r="C3342" t="str">
        <f t="shared" si="177"/>
        <v>L-V</v>
      </c>
      <c r="D3342" t="str">
        <f t="shared" si="178"/>
        <v>Martes</v>
      </c>
    </row>
    <row r="3343" spans="1:4" x14ac:dyDescent="0.25">
      <c r="A3343" s="88" t="str">
        <f t="shared" si="176"/>
        <v>2-2032</v>
      </c>
      <c r="B3343" s="86">
        <v>48269</v>
      </c>
      <c r="C3343" t="str">
        <f t="shared" si="177"/>
        <v>L-V</v>
      </c>
      <c r="D3343" t="str">
        <f t="shared" si="178"/>
        <v>Miércoles</v>
      </c>
    </row>
    <row r="3344" spans="1:4" x14ac:dyDescent="0.25">
      <c r="A3344" s="88" t="str">
        <f t="shared" si="176"/>
        <v>2-2032</v>
      </c>
      <c r="B3344" s="86">
        <v>48270</v>
      </c>
      <c r="C3344" t="str">
        <f t="shared" si="177"/>
        <v>L-V</v>
      </c>
      <c r="D3344" t="str">
        <f t="shared" si="178"/>
        <v>Jueves</v>
      </c>
    </row>
    <row r="3345" spans="1:4" x14ac:dyDescent="0.25">
      <c r="A3345" s="88" t="str">
        <f t="shared" si="176"/>
        <v>2-2032</v>
      </c>
      <c r="B3345" s="86">
        <v>48271</v>
      </c>
      <c r="C3345" t="str">
        <f t="shared" si="177"/>
        <v>L-V</v>
      </c>
      <c r="D3345" t="str">
        <f t="shared" si="178"/>
        <v>Viernes</v>
      </c>
    </row>
    <row r="3346" spans="1:4" x14ac:dyDescent="0.25">
      <c r="A3346" s="88" t="str">
        <f t="shared" si="176"/>
        <v>2-2032</v>
      </c>
      <c r="B3346" s="86">
        <v>48272</v>
      </c>
      <c r="C3346" t="str">
        <f t="shared" si="177"/>
        <v>SAB</v>
      </c>
      <c r="D3346" t="str">
        <f t="shared" si="178"/>
        <v>Sábado</v>
      </c>
    </row>
    <row r="3347" spans="1:4" x14ac:dyDescent="0.25">
      <c r="A3347" s="88" t="str">
        <f t="shared" si="176"/>
        <v>2-2032</v>
      </c>
      <c r="B3347" s="86">
        <v>48273</v>
      </c>
      <c r="C3347" t="str">
        <f t="shared" si="177"/>
        <v>DOM</v>
      </c>
      <c r="D3347" t="str">
        <f t="shared" si="178"/>
        <v>Domingo</v>
      </c>
    </row>
    <row r="3348" spans="1:4" x14ac:dyDescent="0.25">
      <c r="A3348" s="88" t="str">
        <f t="shared" si="176"/>
        <v>3-2032</v>
      </c>
      <c r="B3348" s="86">
        <v>48274</v>
      </c>
      <c r="C3348" t="str">
        <f t="shared" si="177"/>
        <v>L-V</v>
      </c>
      <c r="D3348" t="str">
        <f t="shared" si="178"/>
        <v>Lunes</v>
      </c>
    </row>
    <row r="3349" spans="1:4" x14ac:dyDescent="0.25">
      <c r="A3349" s="88" t="str">
        <f t="shared" si="176"/>
        <v>3-2032</v>
      </c>
      <c r="B3349" s="86">
        <v>48275</v>
      </c>
      <c r="C3349" t="str">
        <f t="shared" si="177"/>
        <v>L-V</v>
      </c>
      <c r="D3349" t="str">
        <f t="shared" si="178"/>
        <v>Martes</v>
      </c>
    </row>
    <row r="3350" spans="1:4" x14ac:dyDescent="0.25">
      <c r="A3350" s="88" t="str">
        <f t="shared" si="176"/>
        <v>3-2032</v>
      </c>
      <c r="B3350" s="86">
        <v>48276</v>
      </c>
      <c r="C3350" t="str">
        <f t="shared" si="177"/>
        <v>L-V</v>
      </c>
      <c r="D3350" t="str">
        <f t="shared" si="178"/>
        <v>Miércoles</v>
      </c>
    </row>
    <row r="3351" spans="1:4" x14ac:dyDescent="0.25">
      <c r="A3351" s="88" t="str">
        <f t="shared" si="176"/>
        <v>3-2032</v>
      </c>
      <c r="B3351" s="86">
        <v>48277</v>
      </c>
      <c r="C3351" t="str">
        <f t="shared" si="177"/>
        <v>L-V</v>
      </c>
      <c r="D3351" t="str">
        <f t="shared" si="178"/>
        <v>Jueves</v>
      </c>
    </row>
    <row r="3352" spans="1:4" x14ac:dyDescent="0.25">
      <c r="A3352" s="88" t="str">
        <f t="shared" si="176"/>
        <v>3-2032</v>
      </c>
      <c r="B3352" s="86">
        <v>48278</v>
      </c>
      <c r="C3352" t="str">
        <f t="shared" si="177"/>
        <v>L-V</v>
      </c>
      <c r="D3352" t="str">
        <f t="shared" si="178"/>
        <v>Viernes</v>
      </c>
    </row>
    <row r="3353" spans="1:4" x14ac:dyDescent="0.25">
      <c r="A3353" s="88" t="str">
        <f t="shared" si="176"/>
        <v>3-2032</v>
      </c>
      <c r="B3353" s="86">
        <v>48279</v>
      </c>
      <c r="C3353" t="str">
        <f t="shared" si="177"/>
        <v>SAB</v>
      </c>
      <c r="D3353" t="str">
        <f t="shared" si="178"/>
        <v>Sábado</v>
      </c>
    </row>
    <row r="3354" spans="1:4" x14ac:dyDescent="0.25">
      <c r="A3354" s="88" t="str">
        <f t="shared" si="176"/>
        <v>3-2032</v>
      </c>
      <c r="B3354" s="86">
        <v>48280</v>
      </c>
      <c r="C3354" t="str">
        <f t="shared" si="177"/>
        <v>DOM</v>
      </c>
      <c r="D3354" t="str">
        <f t="shared" si="178"/>
        <v>Domingo</v>
      </c>
    </row>
    <row r="3355" spans="1:4" x14ac:dyDescent="0.25">
      <c r="A3355" s="88" t="str">
        <f t="shared" si="176"/>
        <v>3-2032</v>
      </c>
      <c r="B3355" s="86">
        <v>48281</v>
      </c>
      <c r="C3355" t="str">
        <f t="shared" si="177"/>
        <v>L-V</v>
      </c>
      <c r="D3355" t="str">
        <f t="shared" si="178"/>
        <v>Lunes</v>
      </c>
    </row>
    <row r="3356" spans="1:4" x14ac:dyDescent="0.25">
      <c r="A3356" s="88" t="str">
        <f t="shared" si="176"/>
        <v>3-2032</v>
      </c>
      <c r="B3356" s="86">
        <v>48282</v>
      </c>
      <c r="C3356" t="str">
        <f t="shared" si="177"/>
        <v>L-V</v>
      </c>
      <c r="D3356" t="str">
        <f t="shared" si="178"/>
        <v>Martes</v>
      </c>
    </row>
    <row r="3357" spans="1:4" x14ac:dyDescent="0.25">
      <c r="A3357" s="88" t="str">
        <f t="shared" si="176"/>
        <v>3-2032</v>
      </c>
      <c r="B3357" s="86">
        <v>48283</v>
      </c>
      <c r="C3357" t="str">
        <f t="shared" si="177"/>
        <v>L-V</v>
      </c>
      <c r="D3357" t="str">
        <f t="shared" si="178"/>
        <v>Miércoles</v>
      </c>
    </row>
    <row r="3358" spans="1:4" x14ac:dyDescent="0.25">
      <c r="A3358" s="88" t="str">
        <f t="shared" si="176"/>
        <v>3-2032</v>
      </c>
      <c r="B3358" s="86">
        <v>48284</v>
      </c>
      <c r="C3358" t="str">
        <f t="shared" si="177"/>
        <v>L-V</v>
      </c>
      <c r="D3358" t="str">
        <f t="shared" si="178"/>
        <v>Jueves</v>
      </c>
    </row>
    <row r="3359" spans="1:4" x14ac:dyDescent="0.25">
      <c r="A3359" s="88" t="str">
        <f t="shared" si="176"/>
        <v>3-2032</v>
      </c>
      <c r="B3359" s="86">
        <v>48285</v>
      </c>
      <c r="C3359" t="str">
        <f t="shared" si="177"/>
        <v>L-V</v>
      </c>
      <c r="D3359" t="str">
        <f t="shared" si="178"/>
        <v>Viernes</v>
      </c>
    </row>
    <row r="3360" spans="1:4" x14ac:dyDescent="0.25">
      <c r="A3360" s="88" t="str">
        <f t="shared" si="176"/>
        <v>3-2032</v>
      </c>
      <c r="B3360" s="86">
        <v>48286</v>
      </c>
      <c r="C3360" t="str">
        <f t="shared" si="177"/>
        <v>SAB</v>
      </c>
      <c r="D3360" t="str">
        <f t="shared" si="178"/>
        <v>Sábado</v>
      </c>
    </row>
    <row r="3361" spans="1:4" x14ac:dyDescent="0.25">
      <c r="A3361" s="88" t="str">
        <f t="shared" si="176"/>
        <v>3-2032</v>
      </c>
      <c r="B3361" s="86">
        <v>48287</v>
      </c>
      <c r="C3361" t="str">
        <f t="shared" si="177"/>
        <v>DOM</v>
      </c>
      <c r="D3361" t="str">
        <f t="shared" si="178"/>
        <v>Domingo</v>
      </c>
    </row>
    <row r="3362" spans="1:4" x14ac:dyDescent="0.25">
      <c r="A3362" s="88" t="str">
        <f t="shared" si="176"/>
        <v>3-2032</v>
      </c>
      <c r="B3362" s="86">
        <v>48288</v>
      </c>
      <c r="C3362" t="str">
        <f t="shared" si="177"/>
        <v>L-V</v>
      </c>
      <c r="D3362" t="str">
        <f t="shared" si="178"/>
        <v>Lunes</v>
      </c>
    </row>
    <row r="3363" spans="1:4" x14ac:dyDescent="0.25">
      <c r="A3363" s="88" t="str">
        <f t="shared" si="176"/>
        <v>3-2032</v>
      </c>
      <c r="B3363" s="86">
        <v>48289</v>
      </c>
      <c r="C3363" t="str">
        <f t="shared" si="177"/>
        <v>L-V</v>
      </c>
      <c r="D3363" t="str">
        <f t="shared" si="178"/>
        <v>Martes</v>
      </c>
    </row>
    <row r="3364" spans="1:4" x14ac:dyDescent="0.25">
      <c r="A3364" s="88" t="str">
        <f t="shared" si="176"/>
        <v>3-2032</v>
      </c>
      <c r="B3364" s="86">
        <v>48290</v>
      </c>
      <c r="C3364" t="str">
        <f t="shared" si="177"/>
        <v>L-V</v>
      </c>
      <c r="D3364" t="str">
        <f t="shared" si="178"/>
        <v>Miércoles</v>
      </c>
    </row>
    <row r="3365" spans="1:4" x14ac:dyDescent="0.25">
      <c r="A3365" s="88" t="str">
        <f t="shared" si="176"/>
        <v>3-2032</v>
      </c>
      <c r="B3365" s="86">
        <v>48291</v>
      </c>
      <c r="C3365" t="str">
        <f t="shared" si="177"/>
        <v>L-V</v>
      </c>
      <c r="D3365" t="str">
        <f t="shared" si="178"/>
        <v>Jueves</v>
      </c>
    </row>
    <row r="3366" spans="1:4" x14ac:dyDescent="0.25">
      <c r="A3366" s="88" t="str">
        <f t="shared" si="176"/>
        <v>3-2032</v>
      </c>
      <c r="B3366" s="86">
        <v>48292</v>
      </c>
      <c r="C3366" t="str">
        <f t="shared" si="177"/>
        <v>L-V</v>
      </c>
      <c r="D3366" t="str">
        <f t="shared" si="178"/>
        <v>Viernes</v>
      </c>
    </row>
    <row r="3367" spans="1:4" x14ac:dyDescent="0.25">
      <c r="A3367" s="88" t="str">
        <f t="shared" si="176"/>
        <v>3-2032</v>
      </c>
      <c r="B3367" s="86">
        <v>48293</v>
      </c>
      <c r="C3367" t="str">
        <f t="shared" si="177"/>
        <v>SAB</v>
      </c>
      <c r="D3367" t="str">
        <f t="shared" si="178"/>
        <v>Sábado</v>
      </c>
    </row>
    <row r="3368" spans="1:4" x14ac:dyDescent="0.25">
      <c r="A3368" s="88" t="str">
        <f t="shared" si="176"/>
        <v>3-2032</v>
      </c>
      <c r="B3368" s="86">
        <v>48294</v>
      </c>
      <c r="C3368" t="str">
        <f t="shared" si="177"/>
        <v>DOM</v>
      </c>
      <c r="D3368" t="str">
        <f t="shared" si="178"/>
        <v>Domingo</v>
      </c>
    </row>
    <row r="3369" spans="1:4" x14ac:dyDescent="0.25">
      <c r="A3369" s="88" t="str">
        <f t="shared" si="176"/>
        <v>3-2032</v>
      </c>
      <c r="B3369" s="86">
        <v>48295</v>
      </c>
      <c r="C3369" t="str">
        <f t="shared" si="177"/>
        <v>L-V</v>
      </c>
      <c r="D3369" t="str">
        <f t="shared" si="178"/>
        <v>Lunes</v>
      </c>
    </row>
    <row r="3370" spans="1:4" x14ac:dyDescent="0.25">
      <c r="A3370" s="88" t="str">
        <f t="shared" si="176"/>
        <v>3-2032</v>
      </c>
      <c r="B3370" s="86">
        <v>48296</v>
      </c>
      <c r="C3370" t="str">
        <f t="shared" si="177"/>
        <v>L-V</v>
      </c>
      <c r="D3370" t="str">
        <f t="shared" si="178"/>
        <v>Martes</v>
      </c>
    </row>
    <row r="3371" spans="1:4" x14ac:dyDescent="0.25">
      <c r="A3371" s="88" t="str">
        <f t="shared" si="176"/>
        <v>3-2032</v>
      </c>
      <c r="B3371" s="86">
        <v>48297</v>
      </c>
      <c r="C3371" t="str">
        <f t="shared" si="177"/>
        <v>L-V</v>
      </c>
      <c r="D3371" t="str">
        <f t="shared" si="178"/>
        <v>Miércoles</v>
      </c>
    </row>
    <row r="3372" spans="1:4" x14ac:dyDescent="0.25">
      <c r="A3372" s="88" t="str">
        <f t="shared" si="176"/>
        <v>3-2032</v>
      </c>
      <c r="B3372" s="86">
        <v>48298</v>
      </c>
      <c r="C3372" t="str">
        <f t="shared" si="177"/>
        <v>L-V</v>
      </c>
      <c r="D3372" t="str">
        <f t="shared" si="178"/>
        <v>Jueves</v>
      </c>
    </row>
    <row r="3373" spans="1:4" x14ac:dyDescent="0.25">
      <c r="A3373" s="88" t="str">
        <f t="shared" si="176"/>
        <v>3-2032</v>
      </c>
      <c r="B3373" s="86">
        <v>48299</v>
      </c>
      <c r="C3373" t="str">
        <f t="shared" si="177"/>
        <v>L-V</v>
      </c>
      <c r="D3373" t="str">
        <f t="shared" si="178"/>
        <v>Viernes</v>
      </c>
    </row>
    <row r="3374" spans="1:4" x14ac:dyDescent="0.25">
      <c r="A3374" s="88" t="str">
        <f t="shared" si="176"/>
        <v>3-2032</v>
      </c>
      <c r="B3374" s="86">
        <v>48300</v>
      </c>
      <c r="C3374" t="str">
        <f t="shared" si="177"/>
        <v>SAB</v>
      </c>
      <c r="D3374" t="str">
        <f t="shared" si="178"/>
        <v>Sábado</v>
      </c>
    </row>
    <row r="3375" spans="1:4" x14ac:dyDescent="0.25">
      <c r="A3375" s="88" t="str">
        <f t="shared" si="176"/>
        <v>3-2032</v>
      </c>
      <c r="B3375" s="86">
        <v>48301</v>
      </c>
      <c r="C3375" t="str">
        <f t="shared" si="177"/>
        <v>DOM</v>
      </c>
      <c r="D3375" t="str">
        <f t="shared" si="178"/>
        <v>Domingo</v>
      </c>
    </row>
    <row r="3376" spans="1:4" x14ac:dyDescent="0.25">
      <c r="A3376" s="88" t="str">
        <f t="shared" si="176"/>
        <v>3-2032</v>
      </c>
      <c r="B3376" s="86">
        <v>48302</v>
      </c>
      <c r="C3376" t="str">
        <f t="shared" si="177"/>
        <v>L-V</v>
      </c>
      <c r="D3376" t="str">
        <f t="shared" si="178"/>
        <v>Lunes</v>
      </c>
    </row>
    <row r="3377" spans="1:4" x14ac:dyDescent="0.25">
      <c r="A3377" s="88" t="str">
        <f t="shared" si="176"/>
        <v>3-2032</v>
      </c>
      <c r="B3377" s="86">
        <v>48303</v>
      </c>
      <c r="C3377" t="str">
        <f t="shared" si="177"/>
        <v>L-V</v>
      </c>
      <c r="D3377" t="str">
        <f t="shared" si="178"/>
        <v>Martes</v>
      </c>
    </row>
    <row r="3378" spans="1:4" x14ac:dyDescent="0.25">
      <c r="A3378" s="88" t="str">
        <f t="shared" si="176"/>
        <v>3-2032</v>
      </c>
      <c r="B3378" s="86">
        <v>48304</v>
      </c>
      <c r="C3378" t="str">
        <f t="shared" si="177"/>
        <v>L-V</v>
      </c>
      <c r="D3378" t="str">
        <f t="shared" si="178"/>
        <v>Miércoles</v>
      </c>
    </row>
    <row r="3379" spans="1:4" x14ac:dyDescent="0.25">
      <c r="A3379" s="88" t="str">
        <f t="shared" si="176"/>
        <v>4-2032</v>
      </c>
      <c r="B3379" s="86">
        <v>48305</v>
      </c>
      <c r="C3379" t="str">
        <f t="shared" si="177"/>
        <v>L-V</v>
      </c>
      <c r="D3379" t="str">
        <f t="shared" si="178"/>
        <v>Jueves</v>
      </c>
    </row>
    <row r="3380" spans="1:4" x14ac:dyDescent="0.25">
      <c r="A3380" s="88" t="str">
        <f t="shared" si="176"/>
        <v>4-2032</v>
      </c>
      <c r="B3380" s="86">
        <v>48306</v>
      </c>
      <c r="C3380" t="str">
        <f t="shared" si="177"/>
        <v>L-V</v>
      </c>
      <c r="D3380" t="str">
        <f t="shared" si="178"/>
        <v>Viernes</v>
      </c>
    </row>
    <row r="3381" spans="1:4" x14ac:dyDescent="0.25">
      <c r="A3381" s="88" t="str">
        <f t="shared" si="176"/>
        <v>4-2032</v>
      </c>
      <c r="B3381" s="86">
        <v>48307</v>
      </c>
      <c r="C3381" t="str">
        <f t="shared" si="177"/>
        <v>SAB</v>
      </c>
      <c r="D3381" t="str">
        <f t="shared" si="178"/>
        <v>Sábado</v>
      </c>
    </row>
    <row r="3382" spans="1:4" x14ac:dyDescent="0.25">
      <c r="A3382" s="88" t="str">
        <f t="shared" si="176"/>
        <v>4-2032</v>
      </c>
      <c r="B3382" s="86">
        <v>48308</v>
      </c>
      <c r="C3382" t="str">
        <f t="shared" si="177"/>
        <v>DOM</v>
      </c>
      <c r="D3382" t="str">
        <f t="shared" si="178"/>
        <v>Domingo</v>
      </c>
    </row>
    <row r="3383" spans="1:4" x14ac:dyDescent="0.25">
      <c r="A3383" s="88" t="str">
        <f t="shared" si="176"/>
        <v>4-2032</v>
      </c>
      <c r="B3383" s="86">
        <v>48309</v>
      </c>
      <c r="C3383" t="str">
        <f t="shared" si="177"/>
        <v>L-V</v>
      </c>
      <c r="D3383" t="str">
        <f t="shared" si="178"/>
        <v>Lunes</v>
      </c>
    </row>
    <row r="3384" spans="1:4" x14ac:dyDescent="0.25">
      <c r="A3384" s="88" t="str">
        <f t="shared" si="176"/>
        <v>4-2032</v>
      </c>
      <c r="B3384" s="86">
        <v>48310</v>
      </c>
      <c r="C3384" t="str">
        <f t="shared" si="177"/>
        <v>L-V</v>
      </c>
      <c r="D3384" t="str">
        <f t="shared" si="178"/>
        <v>Martes</v>
      </c>
    </row>
    <row r="3385" spans="1:4" x14ac:dyDescent="0.25">
      <c r="A3385" s="88" t="str">
        <f t="shared" si="176"/>
        <v>4-2032</v>
      </c>
      <c r="B3385" s="86">
        <v>48311</v>
      </c>
      <c r="C3385" t="str">
        <f t="shared" si="177"/>
        <v>L-V</v>
      </c>
      <c r="D3385" t="str">
        <f t="shared" si="178"/>
        <v>Miércoles</v>
      </c>
    </row>
    <row r="3386" spans="1:4" x14ac:dyDescent="0.25">
      <c r="A3386" s="88" t="str">
        <f t="shared" si="176"/>
        <v>4-2032</v>
      </c>
      <c r="B3386" s="86">
        <v>48312</v>
      </c>
      <c r="C3386" t="str">
        <f t="shared" si="177"/>
        <v>L-V</v>
      </c>
      <c r="D3386" t="str">
        <f t="shared" si="178"/>
        <v>Jueves</v>
      </c>
    </row>
    <row r="3387" spans="1:4" x14ac:dyDescent="0.25">
      <c r="A3387" s="88" t="str">
        <f t="shared" si="176"/>
        <v>4-2032</v>
      </c>
      <c r="B3387" s="86">
        <v>48313</v>
      </c>
      <c r="C3387" t="str">
        <f t="shared" si="177"/>
        <v>L-V</v>
      </c>
      <c r="D3387" t="str">
        <f t="shared" si="178"/>
        <v>Viernes</v>
      </c>
    </row>
    <row r="3388" spans="1:4" x14ac:dyDescent="0.25">
      <c r="A3388" s="88" t="str">
        <f t="shared" si="176"/>
        <v>4-2032</v>
      </c>
      <c r="B3388" s="86">
        <v>48314</v>
      </c>
      <c r="C3388" t="str">
        <f t="shared" si="177"/>
        <v>SAB</v>
      </c>
      <c r="D3388" t="str">
        <f t="shared" si="178"/>
        <v>Sábado</v>
      </c>
    </row>
    <row r="3389" spans="1:4" x14ac:dyDescent="0.25">
      <c r="A3389" s="88" t="str">
        <f t="shared" si="176"/>
        <v>4-2032</v>
      </c>
      <c r="B3389" s="86">
        <v>48315</v>
      </c>
      <c r="C3389" t="str">
        <f t="shared" si="177"/>
        <v>DOM</v>
      </c>
      <c r="D3389" t="str">
        <f t="shared" si="178"/>
        <v>Domingo</v>
      </c>
    </row>
    <row r="3390" spans="1:4" x14ac:dyDescent="0.25">
      <c r="A3390" s="88" t="str">
        <f t="shared" si="176"/>
        <v>4-2032</v>
      </c>
      <c r="B3390" s="86">
        <v>48316</v>
      </c>
      <c r="C3390" t="str">
        <f t="shared" si="177"/>
        <v>L-V</v>
      </c>
      <c r="D3390" t="str">
        <f t="shared" si="178"/>
        <v>Lunes</v>
      </c>
    </row>
    <row r="3391" spans="1:4" x14ac:dyDescent="0.25">
      <c r="A3391" s="88" t="str">
        <f t="shared" si="176"/>
        <v>4-2032</v>
      </c>
      <c r="B3391" s="86">
        <v>48317</v>
      </c>
      <c r="C3391" t="str">
        <f t="shared" si="177"/>
        <v>L-V</v>
      </c>
      <c r="D3391" t="str">
        <f t="shared" si="178"/>
        <v>Martes</v>
      </c>
    </row>
    <row r="3392" spans="1:4" x14ac:dyDescent="0.25">
      <c r="A3392" s="88" t="str">
        <f t="shared" si="176"/>
        <v>4-2032</v>
      </c>
      <c r="B3392" s="86">
        <v>48318</v>
      </c>
      <c r="C3392" t="str">
        <f t="shared" si="177"/>
        <v>L-V</v>
      </c>
      <c r="D3392" t="str">
        <f t="shared" si="178"/>
        <v>Miércoles</v>
      </c>
    </row>
    <row r="3393" spans="1:4" x14ac:dyDescent="0.25">
      <c r="A3393" s="88" t="str">
        <f t="shared" si="176"/>
        <v>4-2032</v>
      </c>
      <c r="B3393" s="86">
        <v>48319</v>
      </c>
      <c r="C3393" t="str">
        <f t="shared" si="177"/>
        <v>L-V</v>
      </c>
      <c r="D3393" t="str">
        <f t="shared" si="178"/>
        <v>Jueves</v>
      </c>
    </row>
    <row r="3394" spans="1:4" x14ac:dyDescent="0.25">
      <c r="A3394" s="88" t="str">
        <f t="shared" ref="A3394:A3457" si="179">MONTH(B3394)&amp;"-"&amp;YEAR(B3394)</f>
        <v>4-2032</v>
      </c>
      <c r="B3394" s="86">
        <v>48320</v>
      </c>
      <c r="C3394" t="str">
        <f t="shared" si="177"/>
        <v>L-V</v>
      </c>
      <c r="D3394" t="str">
        <f t="shared" si="178"/>
        <v>Viernes</v>
      </c>
    </row>
    <row r="3395" spans="1:4" x14ac:dyDescent="0.25">
      <c r="A3395" s="88" t="str">
        <f t="shared" si="179"/>
        <v>4-2032</v>
      </c>
      <c r="B3395" s="86">
        <v>48321</v>
      </c>
      <c r="C3395" t="str">
        <f t="shared" ref="C3395:C3458" si="180">VLOOKUP(WEEKDAY(B3395,2),$F$1:$H$7,2)</f>
        <v>SAB</v>
      </c>
      <c r="D3395" t="str">
        <f t="shared" ref="D3395:D3458" si="181">VLOOKUP(WEEKDAY($B3395,2),$F$1:$H$7,3)</f>
        <v>Sábado</v>
      </c>
    </row>
    <row r="3396" spans="1:4" x14ac:dyDescent="0.25">
      <c r="A3396" s="88" t="str">
        <f t="shared" si="179"/>
        <v>4-2032</v>
      </c>
      <c r="B3396" s="86">
        <v>48322</v>
      </c>
      <c r="C3396" t="str">
        <f t="shared" si="180"/>
        <v>DOM</v>
      </c>
      <c r="D3396" t="str">
        <f t="shared" si="181"/>
        <v>Domingo</v>
      </c>
    </row>
    <row r="3397" spans="1:4" x14ac:dyDescent="0.25">
      <c r="A3397" s="88" t="str">
        <f t="shared" si="179"/>
        <v>4-2032</v>
      </c>
      <c r="B3397" s="86">
        <v>48323</v>
      </c>
      <c r="C3397" t="str">
        <f t="shared" si="180"/>
        <v>L-V</v>
      </c>
      <c r="D3397" t="str">
        <f t="shared" si="181"/>
        <v>Lunes</v>
      </c>
    </row>
    <row r="3398" spans="1:4" x14ac:dyDescent="0.25">
      <c r="A3398" s="88" t="str">
        <f t="shared" si="179"/>
        <v>4-2032</v>
      </c>
      <c r="B3398" s="86">
        <v>48324</v>
      </c>
      <c r="C3398" t="str">
        <f t="shared" si="180"/>
        <v>L-V</v>
      </c>
      <c r="D3398" t="str">
        <f t="shared" si="181"/>
        <v>Martes</v>
      </c>
    </row>
    <row r="3399" spans="1:4" x14ac:dyDescent="0.25">
      <c r="A3399" s="88" t="str">
        <f t="shared" si="179"/>
        <v>4-2032</v>
      </c>
      <c r="B3399" s="86">
        <v>48325</v>
      </c>
      <c r="C3399" t="str">
        <f t="shared" si="180"/>
        <v>L-V</v>
      </c>
      <c r="D3399" t="str">
        <f t="shared" si="181"/>
        <v>Miércoles</v>
      </c>
    </row>
    <row r="3400" spans="1:4" x14ac:dyDescent="0.25">
      <c r="A3400" s="88" t="str">
        <f t="shared" si="179"/>
        <v>4-2032</v>
      </c>
      <c r="B3400" s="86">
        <v>48326</v>
      </c>
      <c r="C3400" t="str">
        <f t="shared" si="180"/>
        <v>L-V</v>
      </c>
      <c r="D3400" t="str">
        <f t="shared" si="181"/>
        <v>Jueves</v>
      </c>
    </row>
    <row r="3401" spans="1:4" x14ac:dyDescent="0.25">
      <c r="A3401" s="88" t="str">
        <f t="shared" si="179"/>
        <v>4-2032</v>
      </c>
      <c r="B3401" s="86">
        <v>48327</v>
      </c>
      <c r="C3401" t="str">
        <f t="shared" si="180"/>
        <v>L-V</v>
      </c>
      <c r="D3401" t="str">
        <f t="shared" si="181"/>
        <v>Viernes</v>
      </c>
    </row>
    <row r="3402" spans="1:4" x14ac:dyDescent="0.25">
      <c r="A3402" s="88" t="str">
        <f t="shared" si="179"/>
        <v>4-2032</v>
      </c>
      <c r="B3402" s="86">
        <v>48328</v>
      </c>
      <c r="C3402" t="str">
        <f t="shared" si="180"/>
        <v>SAB</v>
      </c>
      <c r="D3402" t="str">
        <f t="shared" si="181"/>
        <v>Sábado</v>
      </c>
    </row>
    <row r="3403" spans="1:4" x14ac:dyDescent="0.25">
      <c r="A3403" s="88" t="str">
        <f t="shared" si="179"/>
        <v>4-2032</v>
      </c>
      <c r="B3403" s="86">
        <v>48329</v>
      </c>
      <c r="C3403" t="str">
        <f t="shared" si="180"/>
        <v>DOM</v>
      </c>
      <c r="D3403" t="str">
        <f t="shared" si="181"/>
        <v>Domingo</v>
      </c>
    </row>
    <row r="3404" spans="1:4" x14ac:dyDescent="0.25">
      <c r="A3404" s="88" t="str">
        <f t="shared" si="179"/>
        <v>4-2032</v>
      </c>
      <c r="B3404" s="86">
        <v>48330</v>
      </c>
      <c r="C3404" t="str">
        <f t="shared" si="180"/>
        <v>L-V</v>
      </c>
      <c r="D3404" t="str">
        <f t="shared" si="181"/>
        <v>Lunes</v>
      </c>
    </row>
    <row r="3405" spans="1:4" x14ac:dyDescent="0.25">
      <c r="A3405" s="88" t="str">
        <f t="shared" si="179"/>
        <v>4-2032</v>
      </c>
      <c r="B3405" s="86">
        <v>48331</v>
      </c>
      <c r="C3405" t="str">
        <f t="shared" si="180"/>
        <v>L-V</v>
      </c>
      <c r="D3405" t="str">
        <f t="shared" si="181"/>
        <v>Martes</v>
      </c>
    </row>
    <row r="3406" spans="1:4" x14ac:dyDescent="0.25">
      <c r="A3406" s="88" t="str">
        <f t="shared" si="179"/>
        <v>4-2032</v>
      </c>
      <c r="B3406" s="86">
        <v>48332</v>
      </c>
      <c r="C3406" t="str">
        <f t="shared" si="180"/>
        <v>L-V</v>
      </c>
      <c r="D3406" t="str">
        <f t="shared" si="181"/>
        <v>Miércoles</v>
      </c>
    </row>
    <row r="3407" spans="1:4" x14ac:dyDescent="0.25">
      <c r="A3407" s="88" t="str">
        <f t="shared" si="179"/>
        <v>4-2032</v>
      </c>
      <c r="B3407" s="86">
        <v>48333</v>
      </c>
      <c r="C3407" t="str">
        <f t="shared" si="180"/>
        <v>L-V</v>
      </c>
      <c r="D3407" t="str">
        <f t="shared" si="181"/>
        <v>Jueves</v>
      </c>
    </row>
    <row r="3408" spans="1:4" x14ac:dyDescent="0.25">
      <c r="A3408" s="88" t="str">
        <f t="shared" si="179"/>
        <v>4-2032</v>
      </c>
      <c r="B3408" s="86">
        <v>48334</v>
      </c>
      <c r="C3408" t="str">
        <f t="shared" si="180"/>
        <v>L-V</v>
      </c>
      <c r="D3408" t="str">
        <f t="shared" si="181"/>
        <v>Viernes</v>
      </c>
    </row>
    <row r="3409" spans="1:4" x14ac:dyDescent="0.25">
      <c r="A3409" s="88" t="str">
        <f t="shared" si="179"/>
        <v>5-2032</v>
      </c>
      <c r="B3409" s="86">
        <v>48335</v>
      </c>
      <c r="C3409" t="str">
        <f t="shared" si="180"/>
        <v>SAB</v>
      </c>
      <c r="D3409" t="str">
        <f t="shared" si="181"/>
        <v>Sábado</v>
      </c>
    </row>
    <row r="3410" spans="1:4" x14ac:dyDescent="0.25">
      <c r="A3410" s="88" t="str">
        <f t="shared" si="179"/>
        <v>5-2032</v>
      </c>
      <c r="B3410" s="86">
        <v>48336</v>
      </c>
      <c r="C3410" t="str">
        <f t="shared" si="180"/>
        <v>DOM</v>
      </c>
      <c r="D3410" t="str">
        <f t="shared" si="181"/>
        <v>Domingo</v>
      </c>
    </row>
    <row r="3411" spans="1:4" x14ac:dyDescent="0.25">
      <c r="A3411" s="88" t="str">
        <f t="shared" si="179"/>
        <v>5-2032</v>
      </c>
      <c r="B3411" s="86">
        <v>48337</v>
      </c>
      <c r="C3411" t="str">
        <f t="shared" si="180"/>
        <v>L-V</v>
      </c>
      <c r="D3411" t="str">
        <f t="shared" si="181"/>
        <v>Lunes</v>
      </c>
    </row>
    <row r="3412" spans="1:4" x14ac:dyDescent="0.25">
      <c r="A3412" s="88" t="str">
        <f t="shared" si="179"/>
        <v>5-2032</v>
      </c>
      <c r="B3412" s="86">
        <v>48338</v>
      </c>
      <c r="C3412" t="str">
        <f t="shared" si="180"/>
        <v>L-V</v>
      </c>
      <c r="D3412" t="str">
        <f t="shared" si="181"/>
        <v>Martes</v>
      </c>
    </row>
    <row r="3413" spans="1:4" x14ac:dyDescent="0.25">
      <c r="A3413" s="88" t="str">
        <f t="shared" si="179"/>
        <v>5-2032</v>
      </c>
      <c r="B3413" s="86">
        <v>48339</v>
      </c>
      <c r="C3413" t="str">
        <f t="shared" si="180"/>
        <v>L-V</v>
      </c>
      <c r="D3413" t="str">
        <f t="shared" si="181"/>
        <v>Miércoles</v>
      </c>
    </row>
    <row r="3414" spans="1:4" x14ac:dyDescent="0.25">
      <c r="A3414" s="88" t="str">
        <f t="shared" si="179"/>
        <v>5-2032</v>
      </c>
      <c r="B3414" s="86">
        <v>48340</v>
      </c>
      <c r="C3414" t="str">
        <f t="shared" si="180"/>
        <v>L-V</v>
      </c>
      <c r="D3414" t="str">
        <f t="shared" si="181"/>
        <v>Jueves</v>
      </c>
    </row>
    <row r="3415" spans="1:4" x14ac:dyDescent="0.25">
      <c r="A3415" s="88" t="str">
        <f t="shared" si="179"/>
        <v>5-2032</v>
      </c>
      <c r="B3415" s="86">
        <v>48341</v>
      </c>
      <c r="C3415" t="str">
        <f t="shared" si="180"/>
        <v>L-V</v>
      </c>
      <c r="D3415" t="str">
        <f t="shared" si="181"/>
        <v>Viernes</v>
      </c>
    </row>
    <row r="3416" spans="1:4" x14ac:dyDescent="0.25">
      <c r="A3416" s="88" t="str">
        <f t="shared" si="179"/>
        <v>5-2032</v>
      </c>
      <c r="B3416" s="86">
        <v>48342</v>
      </c>
      <c r="C3416" t="str">
        <f t="shared" si="180"/>
        <v>SAB</v>
      </c>
      <c r="D3416" t="str">
        <f t="shared" si="181"/>
        <v>Sábado</v>
      </c>
    </row>
    <row r="3417" spans="1:4" x14ac:dyDescent="0.25">
      <c r="A3417" s="88" t="str">
        <f t="shared" si="179"/>
        <v>5-2032</v>
      </c>
      <c r="B3417" s="86">
        <v>48343</v>
      </c>
      <c r="C3417" t="str">
        <f t="shared" si="180"/>
        <v>DOM</v>
      </c>
      <c r="D3417" t="str">
        <f t="shared" si="181"/>
        <v>Domingo</v>
      </c>
    </row>
    <row r="3418" spans="1:4" x14ac:dyDescent="0.25">
      <c r="A3418" s="88" t="str">
        <f t="shared" si="179"/>
        <v>5-2032</v>
      </c>
      <c r="B3418" s="86">
        <v>48344</v>
      </c>
      <c r="C3418" t="str">
        <f t="shared" si="180"/>
        <v>L-V</v>
      </c>
      <c r="D3418" t="str">
        <f t="shared" si="181"/>
        <v>Lunes</v>
      </c>
    </row>
    <row r="3419" spans="1:4" x14ac:dyDescent="0.25">
      <c r="A3419" s="88" t="str">
        <f t="shared" si="179"/>
        <v>5-2032</v>
      </c>
      <c r="B3419" s="86">
        <v>48345</v>
      </c>
      <c r="C3419" t="str">
        <f t="shared" si="180"/>
        <v>L-V</v>
      </c>
      <c r="D3419" t="str">
        <f t="shared" si="181"/>
        <v>Martes</v>
      </c>
    </row>
    <row r="3420" spans="1:4" x14ac:dyDescent="0.25">
      <c r="A3420" s="88" t="str">
        <f t="shared" si="179"/>
        <v>5-2032</v>
      </c>
      <c r="B3420" s="86">
        <v>48346</v>
      </c>
      <c r="C3420" t="str">
        <f t="shared" si="180"/>
        <v>L-V</v>
      </c>
      <c r="D3420" t="str">
        <f t="shared" si="181"/>
        <v>Miércoles</v>
      </c>
    </row>
    <row r="3421" spans="1:4" x14ac:dyDescent="0.25">
      <c r="A3421" s="88" t="str">
        <f t="shared" si="179"/>
        <v>5-2032</v>
      </c>
      <c r="B3421" s="86">
        <v>48347</v>
      </c>
      <c r="C3421" t="str">
        <f t="shared" si="180"/>
        <v>L-V</v>
      </c>
      <c r="D3421" t="str">
        <f t="shared" si="181"/>
        <v>Jueves</v>
      </c>
    </row>
    <row r="3422" spans="1:4" x14ac:dyDescent="0.25">
      <c r="A3422" s="88" t="str">
        <f t="shared" si="179"/>
        <v>5-2032</v>
      </c>
      <c r="B3422" s="86">
        <v>48348</v>
      </c>
      <c r="C3422" t="str">
        <f t="shared" si="180"/>
        <v>L-V</v>
      </c>
      <c r="D3422" t="str">
        <f t="shared" si="181"/>
        <v>Viernes</v>
      </c>
    </row>
    <row r="3423" spans="1:4" x14ac:dyDescent="0.25">
      <c r="A3423" s="88" t="str">
        <f t="shared" si="179"/>
        <v>5-2032</v>
      </c>
      <c r="B3423" s="86">
        <v>48349</v>
      </c>
      <c r="C3423" t="str">
        <f t="shared" si="180"/>
        <v>SAB</v>
      </c>
      <c r="D3423" t="str">
        <f t="shared" si="181"/>
        <v>Sábado</v>
      </c>
    </row>
    <row r="3424" spans="1:4" x14ac:dyDescent="0.25">
      <c r="A3424" s="88" t="str">
        <f t="shared" si="179"/>
        <v>5-2032</v>
      </c>
      <c r="B3424" s="86">
        <v>48350</v>
      </c>
      <c r="C3424" t="str">
        <f t="shared" si="180"/>
        <v>DOM</v>
      </c>
      <c r="D3424" t="str">
        <f t="shared" si="181"/>
        <v>Domingo</v>
      </c>
    </row>
    <row r="3425" spans="1:4" x14ac:dyDescent="0.25">
      <c r="A3425" s="88" t="str">
        <f t="shared" si="179"/>
        <v>5-2032</v>
      </c>
      <c r="B3425" s="86">
        <v>48351</v>
      </c>
      <c r="C3425" t="str">
        <f t="shared" si="180"/>
        <v>L-V</v>
      </c>
      <c r="D3425" t="str">
        <f t="shared" si="181"/>
        <v>Lunes</v>
      </c>
    </row>
    <row r="3426" spans="1:4" x14ac:dyDescent="0.25">
      <c r="A3426" s="88" t="str">
        <f t="shared" si="179"/>
        <v>5-2032</v>
      </c>
      <c r="B3426" s="86">
        <v>48352</v>
      </c>
      <c r="C3426" t="str">
        <f t="shared" si="180"/>
        <v>L-V</v>
      </c>
      <c r="D3426" t="str">
        <f t="shared" si="181"/>
        <v>Martes</v>
      </c>
    </row>
    <row r="3427" spans="1:4" x14ac:dyDescent="0.25">
      <c r="A3427" s="88" t="str">
        <f t="shared" si="179"/>
        <v>5-2032</v>
      </c>
      <c r="B3427" s="86">
        <v>48353</v>
      </c>
      <c r="C3427" t="str">
        <f t="shared" si="180"/>
        <v>L-V</v>
      </c>
      <c r="D3427" t="str">
        <f t="shared" si="181"/>
        <v>Miércoles</v>
      </c>
    </row>
    <row r="3428" spans="1:4" x14ac:dyDescent="0.25">
      <c r="A3428" s="88" t="str">
        <f t="shared" si="179"/>
        <v>5-2032</v>
      </c>
      <c r="B3428" s="86">
        <v>48354</v>
      </c>
      <c r="C3428" t="str">
        <f t="shared" si="180"/>
        <v>L-V</v>
      </c>
      <c r="D3428" t="str">
        <f t="shared" si="181"/>
        <v>Jueves</v>
      </c>
    </row>
    <row r="3429" spans="1:4" x14ac:dyDescent="0.25">
      <c r="A3429" s="88" t="str">
        <f t="shared" si="179"/>
        <v>5-2032</v>
      </c>
      <c r="B3429" s="86">
        <v>48355</v>
      </c>
      <c r="C3429" t="str">
        <f t="shared" si="180"/>
        <v>L-V</v>
      </c>
      <c r="D3429" t="str">
        <f t="shared" si="181"/>
        <v>Viernes</v>
      </c>
    </row>
    <row r="3430" spans="1:4" x14ac:dyDescent="0.25">
      <c r="A3430" s="88" t="str">
        <f t="shared" si="179"/>
        <v>5-2032</v>
      </c>
      <c r="B3430" s="86">
        <v>48356</v>
      </c>
      <c r="C3430" t="str">
        <f t="shared" si="180"/>
        <v>SAB</v>
      </c>
      <c r="D3430" t="str">
        <f t="shared" si="181"/>
        <v>Sábado</v>
      </c>
    </row>
    <row r="3431" spans="1:4" x14ac:dyDescent="0.25">
      <c r="A3431" s="88" t="str">
        <f t="shared" si="179"/>
        <v>5-2032</v>
      </c>
      <c r="B3431" s="86">
        <v>48357</v>
      </c>
      <c r="C3431" t="str">
        <f t="shared" si="180"/>
        <v>DOM</v>
      </c>
      <c r="D3431" t="str">
        <f t="shared" si="181"/>
        <v>Domingo</v>
      </c>
    </row>
    <row r="3432" spans="1:4" x14ac:dyDescent="0.25">
      <c r="A3432" s="88" t="str">
        <f t="shared" si="179"/>
        <v>5-2032</v>
      </c>
      <c r="B3432" s="86">
        <v>48358</v>
      </c>
      <c r="C3432" t="str">
        <f t="shared" si="180"/>
        <v>L-V</v>
      </c>
      <c r="D3432" t="str">
        <f t="shared" si="181"/>
        <v>Lunes</v>
      </c>
    </row>
    <row r="3433" spans="1:4" x14ac:dyDescent="0.25">
      <c r="A3433" s="88" t="str">
        <f t="shared" si="179"/>
        <v>5-2032</v>
      </c>
      <c r="B3433" s="86">
        <v>48359</v>
      </c>
      <c r="C3433" t="str">
        <f t="shared" si="180"/>
        <v>L-V</v>
      </c>
      <c r="D3433" t="str">
        <f t="shared" si="181"/>
        <v>Martes</v>
      </c>
    </row>
    <row r="3434" spans="1:4" x14ac:dyDescent="0.25">
      <c r="A3434" s="88" t="str">
        <f t="shared" si="179"/>
        <v>5-2032</v>
      </c>
      <c r="B3434" s="86">
        <v>48360</v>
      </c>
      <c r="C3434" t="str">
        <f t="shared" si="180"/>
        <v>L-V</v>
      </c>
      <c r="D3434" t="str">
        <f t="shared" si="181"/>
        <v>Miércoles</v>
      </c>
    </row>
    <row r="3435" spans="1:4" x14ac:dyDescent="0.25">
      <c r="A3435" s="88" t="str">
        <f t="shared" si="179"/>
        <v>5-2032</v>
      </c>
      <c r="B3435" s="86">
        <v>48361</v>
      </c>
      <c r="C3435" t="str">
        <f t="shared" si="180"/>
        <v>L-V</v>
      </c>
      <c r="D3435" t="str">
        <f t="shared" si="181"/>
        <v>Jueves</v>
      </c>
    </row>
    <row r="3436" spans="1:4" x14ac:dyDescent="0.25">
      <c r="A3436" s="88" t="str">
        <f t="shared" si="179"/>
        <v>5-2032</v>
      </c>
      <c r="B3436" s="86">
        <v>48362</v>
      </c>
      <c r="C3436" t="str">
        <f t="shared" si="180"/>
        <v>L-V</v>
      </c>
      <c r="D3436" t="str">
        <f t="shared" si="181"/>
        <v>Viernes</v>
      </c>
    </row>
    <row r="3437" spans="1:4" x14ac:dyDescent="0.25">
      <c r="A3437" s="88" t="str">
        <f t="shared" si="179"/>
        <v>5-2032</v>
      </c>
      <c r="B3437" s="86">
        <v>48363</v>
      </c>
      <c r="C3437" t="str">
        <f t="shared" si="180"/>
        <v>SAB</v>
      </c>
      <c r="D3437" t="str">
        <f t="shared" si="181"/>
        <v>Sábado</v>
      </c>
    </row>
    <row r="3438" spans="1:4" x14ac:dyDescent="0.25">
      <c r="A3438" s="88" t="str">
        <f t="shared" si="179"/>
        <v>5-2032</v>
      </c>
      <c r="B3438" s="86">
        <v>48364</v>
      </c>
      <c r="C3438" t="str">
        <f t="shared" si="180"/>
        <v>DOM</v>
      </c>
      <c r="D3438" t="str">
        <f t="shared" si="181"/>
        <v>Domingo</v>
      </c>
    </row>
    <row r="3439" spans="1:4" x14ac:dyDescent="0.25">
      <c r="A3439" s="88" t="str">
        <f t="shared" si="179"/>
        <v>5-2032</v>
      </c>
      <c r="B3439" s="86">
        <v>48365</v>
      </c>
      <c r="C3439" t="str">
        <f t="shared" si="180"/>
        <v>L-V</v>
      </c>
      <c r="D3439" t="str">
        <f t="shared" si="181"/>
        <v>Lunes</v>
      </c>
    </row>
    <row r="3440" spans="1:4" x14ac:dyDescent="0.25">
      <c r="A3440" s="88" t="str">
        <f t="shared" si="179"/>
        <v>6-2032</v>
      </c>
      <c r="B3440" s="86">
        <v>48366</v>
      </c>
      <c r="C3440" t="str">
        <f t="shared" si="180"/>
        <v>L-V</v>
      </c>
      <c r="D3440" t="str">
        <f t="shared" si="181"/>
        <v>Martes</v>
      </c>
    </row>
    <row r="3441" spans="1:4" x14ac:dyDescent="0.25">
      <c r="A3441" s="88" t="str">
        <f t="shared" si="179"/>
        <v>6-2032</v>
      </c>
      <c r="B3441" s="86">
        <v>48367</v>
      </c>
      <c r="C3441" t="str">
        <f t="shared" si="180"/>
        <v>L-V</v>
      </c>
      <c r="D3441" t="str">
        <f t="shared" si="181"/>
        <v>Miércoles</v>
      </c>
    </row>
    <row r="3442" spans="1:4" x14ac:dyDescent="0.25">
      <c r="A3442" s="88" t="str">
        <f t="shared" si="179"/>
        <v>6-2032</v>
      </c>
      <c r="B3442" s="86">
        <v>48368</v>
      </c>
      <c r="C3442" t="str">
        <f t="shared" si="180"/>
        <v>L-V</v>
      </c>
      <c r="D3442" t="str">
        <f t="shared" si="181"/>
        <v>Jueves</v>
      </c>
    </row>
    <row r="3443" spans="1:4" x14ac:dyDescent="0.25">
      <c r="A3443" s="88" t="str">
        <f t="shared" si="179"/>
        <v>6-2032</v>
      </c>
      <c r="B3443" s="86">
        <v>48369</v>
      </c>
      <c r="C3443" t="str">
        <f t="shared" si="180"/>
        <v>L-V</v>
      </c>
      <c r="D3443" t="str">
        <f t="shared" si="181"/>
        <v>Viernes</v>
      </c>
    </row>
    <row r="3444" spans="1:4" x14ac:dyDescent="0.25">
      <c r="A3444" s="88" t="str">
        <f t="shared" si="179"/>
        <v>6-2032</v>
      </c>
      <c r="B3444" s="86">
        <v>48370</v>
      </c>
      <c r="C3444" t="str">
        <f t="shared" si="180"/>
        <v>SAB</v>
      </c>
      <c r="D3444" t="str">
        <f t="shared" si="181"/>
        <v>Sábado</v>
      </c>
    </row>
    <row r="3445" spans="1:4" x14ac:dyDescent="0.25">
      <c r="A3445" s="88" t="str">
        <f t="shared" si="179"/>
        <v>6-2032</v>
      </c>
      <c r="B3445" s="86">
        <v>48371</v>
      </c>
      <c r="C3445" t="str">
        <f t="shared" si="180"/>
        <v>DOM</v>
      </c>
      <c r="D3445" t="str">
        <f t="shared" si="181"/>
        <v>Domingo</v>
      </c>
    </row>
    <row r="3446" spans="1:4" x14ac:dyDescent="0.25">
      <c r="A3446" s="88" t="str">
        <f t="shared" si="179"/>
        <v>6-2032</v>
      </c>
      <c r="B3446" s="86">
        <v>48372</v>
      </c>
      <c r="C3446" t="str">
        <f t="shared" si="180"/>
        <v>L-V</v>
      </c>
      <c r="D3446" t="str">
        <f t="shared" si="181"/>
        <v>Lunes</v>
      </c>
    </row>
    <row r="3447" spans="1:4" x14ac:dyDescent="0.25">
      <c r="A3447" s="88" t="str">
        <f t="shared" si="179"/>
        <v>6-2032</v>
      </c>
      <c r="B3447" s="86">
        <v>48373</v>
      </c>
      <c r="C3447" t="str">
        <f t="shared" si="180"/>
        <v>L-V</v>
      </c>
      <c r="D3447" t="str">
        <f t="shared" si="181"/>
        <v>Martes</v>
      </c>
    </row>
    <row r="3448" spans="1:4" x14ac:dyDescent="0.25">
      <c r="A3448" s="88" t="str">
        <f t="shared" si="179"/>
        <v>6-2032</v>
      </c>
      <c r="B3448" s="86">
        <v>48374</v>
      </c>
      <c r="C3448" t="str">
        <f t="shared" si="180"/>
        <v>L-V</v>
      </c>
      <c r="D3448" t="str">
        <f t="shared" si="181"/>
        <v>Miércoles</v>
      </c>
    </row>
    <row r="3449" spans="1:4" x14ac:dyDescent="0.25">
      <c r="A3449" s="88" t="str">
        <f t="shared" si="179"/>
        <v>6-2032</v>
      </c>
      <c r="B3449" s="86">
        <v>48375</v>
      </c>
      <c r="C3449" t="str">
        <f t="shared" si="180"/>
        <v>L-V</v>
      </c>
      <c r="D3449" t="str">
        <f t="shared" si="181"/>
        <v>Jueves</v>
      </c>
    </row>
    <row r="3450" spans="1:4" x14ac:dyDescent="0.25">
      <c r="A3450" s="88" t="str">
        <f t="shared" si="179"/>
        <v>6-2032</v>
      </c>
      <c r="B3450" s="86">
        <v>48376</v>
      </c>
      <c r="C3450" t="str">
        <f t="shared" si="180"/>
        <v>L-V</v>
      </c>
      <c r="D3450" t="str">
        <f t="shared" si="181"/>
        <v>Viernes</v>
      </c>
    </row>
    <row r="3451" spans="1:4" x14ac:dyDescent="0.25">
      <c r="A3451" s="88" t="str">
        <f t="shared" si="179"/>
        <v>6-2032</v>
      </c>
      <c r="B3451" s="86">
        <v>48377</v>
      </c>
      <c r="C3451" t="str">
        <f t="shared" si="180"/>
        <v>SAB</v>
      </c>
      <c r="D3451" t="str">
        <f t="shared" si="181"/>
        <v>Sábado</v>
      </c>
    </row>
    <row r="3452" spans="1:4" x14ac:dyDescent="0.25">
      <c r="A3452" s="88" t="str">
        <f t="shared" si="179"/>
        <v>6-2032</v>
      </c>
      <c r="B3452" s="86">
        <v>48378</v>
      </c>
      <c r="C3452" t="str">
        <f t="shared" si="180"/>
        <v>DOM</v>
      </c>
      <c r="D3452" t="str">
        <f t="shared" si="181"/>
        <v>Domingo</v>
      </c>
    </row>
    <row r="3453" spans="1:4" x14ac:dyDescent="0.25">
      <c r="A3453" s="88" t="str">
        <f t="shared" si="179"/>
        <v>6-2032</v>
      </c>
      <c r="B3453" s="86">
        <v>48379</v>
      </c>
      <c r="C3453" t="str">
        <f t="shared" si="180"/>
        <v>L-V</v>
      </c>
      <c r="D3453" t="str">
        <f t="shared" si="181"/>
        <v>Lunes</v>
      </c>
    </row>
    <row r="3454" spans="1:4" x14ac:dyDescent="0.25">
      <c r="A3454" s="88" t="str">
        <f t="shared" si="179"/>
        <v>6-2032</v>
      </c>
      <c r="B3454" s="86">
        <v>48380</v>
      </c>
      <c r="C3454" t="str">
        <f t="shared" si="180"/>
        <v>L-V</v>
      </c>
      <c r="D3454" t="str">
        <f t="shared" si="181"/>
        <v>Martes</v>
      </c>
    </row>
    <row r="3455" spans="1:4" x14ac:dyDescent="0.25">
      <c r="A3455" s="88" t="str">
        <f t="shared" si="179"/>
        <v>6-2032</v>
      </c>
      <c r="B3455" s="86">
        <v>48381</v>
      </c>
      <c r="C3455" t="str">
        <f t="shared" si="180"/>
        <v>L-V</v>
      </c>
      <c r="D3455" t="str">
        <f t="shared" si="181"/>
        <v>Miércoles</v>
      </c>
    </row>
    <row r="3456" spans="1:4" x14ac:dyDescent="0.25">
      <c r="A3456" s="88" t="str">
        <f t="shared" si="179"/>
        <v>6-2032</v>
      </c>
      <c r="B3456" s="86">
        <v>48382</v>
      </c>
      <c r="C3456" t="str">
        <f t="shared" si="180"/>
        <v>L-V</v>
      </c>
      <c r="D3456" t="str">
        <f t="shared" si="181"/>
        <v>Jueves</v>
      </c>
    </row>
    <row r="3457" spans="1:4" x14ac:dyDescent="0.25">
      <c r="A3457" s="88" t="str">
        <f t="shared" si="179"/>
        <v>6-2032</v>
      </c>
      <c r="B3457" s="86">
        <v>48383</v>
      </c>
      <c r="C3457" t="str">
        <f t="shared" si="180"/>
        <v>L-V</v>
      </c>
      <c r="D3457" t="str">
        <f t="shared" si="181"/>
        <v>Viernes</v>
      </c>
    </row>
    <row r="3458" spans="1:4" x14ac:dyDescent="0.25">
      <c r="A3458" s="88" t="str">
        <f t="shared" ref="A3458:A3521" si="182">MONTH(B3458)&amp;"-"&amp;YEAR(B3458)</f>
        <v>6-2032</v>
      </c>
      <c r="B3458" s="86">
        <v>48384</v>
      </c>
      <c r="C3458" t="str">
        <f t="shared" si="180"/>
        <v>SAB</v>
      </c>
      <c r="D3458" t="str">
        <f t="shared" si="181"/>
        <v>Sábado</v>
      </c>
    </row>
    <row r="3459" spans="1:4" x14ac:dyDescent="0.25">
      <c r="A3459" s="88" t="str">
        <f t="shared" si="182"/>
        <v>6-2032</v>
      </c>
      <c r="B3459" s="86">
        <v>48385</v>
      </c>
      <c r="C3459" t="str">
        <f t="shared" ref="C3459:C3522" si="183">VLOOKUP(WEEKDAY(B3459,2),$F$1:$H$7,2)</f>
        <v>DOM</v>
      </c>
      <c r="D3459" t="str">
        <f t="shared" ref="D3459:D3522" si="184">VLOOKUP(WEEKDAY($B3459,2),$F$1:$H$7,3)</f>
        <v>Domingo</v>
      </c>
    </row>
    <row r="3460" spans="1:4" x14ac:dyDescent="0.25">
      <c r="A3460" s="88" t="str">
        <f t="shared" si="182"/>
        <v>6-2032</v>
      </c>
      <c r="B3460" s="86">
        <v>48386</v>
      </c>
      <c r="C3460" t="str">
        <f t="shared" si="183"/>
        <v>L-V</v>
      </c>
      <c r="D3460" t="str">
        <f t="shared" si="184"/>
        <v>Lunes</v>
      </c>
    </row>
    <row r="3461" spans="1:4" x14ac:dyDescent="0.25">
      <c r="A3461" s="88" t="str">
        <f t="shared" si="182"/>
        <v>6-2032</v>
      </c>
      <c r="B3461" s="86">
        <v>48387</v>
      </c>
      <c r="C3461" t="str">
        <f t="shared" si="183"/>
        <v>L-V</v>
      </c>
      <c r="D3461" t="str">
        <f t="shared" si="184"/>
        <v>Martes</v>
      </c>
    </row>
    <row r="3462" spans="1:4" x14ac:dyDescent="0.25">
      <c r="A3462" s="88" t="str">
        <f t="shared" si="182"/>
        <v>6-2032</v>
      </c>
      <c r="B3462" s="86">
        <v>48388</v>
      </c>
      <c r="C3462" t="str">
        <f t="shared" si="183"/>
        <v>L-V</v>
      </c>
      <c r="D3462" t="str">
        <f t="shared" si="184"/>
        <v>Miércoles</v>
      </c>
    </row>
    <row r="3463" spans="1:4" x14ac:dyDescent="0.25">
      <c r="A3463" s="88" t="str">
        <f t="shared" si="182"/>
        <v>6-2032</v>
      </c>
      <c r="B3463" s="86">
        <v>48389</v>
      </c>
      <c r="C3463" t="str">
        <f t="shared" si="183"/>
        <v>L-V</v>
      </c>
      <c r="D3463" t="str">
        <f t="shared" si="184"/>
        <v>Jueves</v>
      </c>
    </row>
    <row r="3464" spans="1:4" x14ac:dyDescent="0.25">
      <c r="A3464" s="88" t="str">
        <f t="shared" si="182"/>
        <v>6-2032</v>
      </c>
      <c r="B3464" s="86">
        <v>48390</v>
      </c>
      <c r="C3464" t="str">
        <f t="shared" si="183"/>
        <v>L-V</v>
      </c>
      <c r="D3464" t="str">
        <f t="shared" si="184"/>
        <v>Viernes</v>
      </c>
    </row>
    <row r="3465" spans="1:4" x14ac:dyDescent="0.25">
      <c r="A3465" s="88" t="str">
        <f t="shared" si="182"/>
        <v>6-2032</v>
      </c>
      <c r="B3465" s="86">
        <v>48391</v>
      </c>
      <c r="C3465" t="str">
        <f t="shared" si="183"/>
        <v>SAB</v>
      </c>
      <c r="D3465" t="str">
        <f t="shared" si="184"/>
        <v>Sábado</v>
      </c>
    </row>
    <row r="3466" spans="1:4" x14ac:dyDescent="0.25">
      <c r="A3466" s="88" t="str">
        <f t="shared" si="182"/>
        <v>6-2032</v>
      </c>
      <c r="B3466" s="86">
        <v>48392</v>
      </c>
      <c r="C3466" t="str">
        <f t="shared" si="183"/>
        <v>DOM</v>
      </c>
      <c r="D3466" t="str">
        <f t="shared" si="184"/>
        <v>Domingo</v>
      </c>
    </row>
    <row r="3467" spans="1:4" x14ac:dyDescent="0.25">
      <c r="A3467" s="88" t="str">
        <f t="shared" si="182"/>
        <v>6-2032</v>
      </c>
      <c r="B3467" s="86">
        <v>48393</v>
      </c>
      <c r="C3467" t="str">
        <f t="shared" si="183"/>
        <v>L-V</v>
      </c>
      <c r="D3467" t="str">
        <f t="shared" si="184"/>
        <v>Lunes</v>
      </c>
    </row>
    <row r="3468" spans="1:4" x14ac:dyDescent="0.25">
      <c r="A3468" s="88" t="str">
        <f t="shared" si="182"/>
        <v>6-2032</v>
      </c>
      <c r="B3468" s="86">
        <v>48394</v>
      </c>
      <c r="C3468" t="str">
        <f t="shared" si="183"/>
        <v>L-V</v>
      </c>
      <c r="D3468" t="str">
        <f t="shared" si="184"/>
        <v>Martes</v>
      </c>
    </row>
    <row r="3469" spans="1:4" x14ac:dyDescent="0.25">
      <c r="A3469" s="88" t="str">
        <f t="shared" si="182"/>
        <v>6-2032</v>
      </c>
      <c r="B3469" s="86">
        <v>48395</v>
      </c>
      <c r="C3469" t="str">
        <f t="shared" si="183"/>
        <v>L-V</v>
      </c>
      <c r="D3469" t="str">
        <f t="shared" si="184"/>
        <v>Miércoles</v>
      </c>
    </row>
    <row r="3470" spans="1:4" x14ac:dyDescent="0.25">
      <c r="A3470" s="88" t="str">
        <f t="shared" si="182"/>
        <v>7-2032</v>
      </c>
      <c r="B3470" s="86">
        <v>48396</v>
      </c>
      <c r="C3470" t="str">
        <f t="shared" si="183"/>
        <v>L-V</v>
      </c>
      <c r="D3470" t="str">
        <f t="shared" si="184"/>
        <v>Jueves</v>
      </c>
    </row>
    <row r="3471" spans="1:4" x14ac:dyDescent="0.25">
      <c r="A3471" s="88" t="str">
        <f t="shared" si="182"/>
        <v>7-2032</v>
      </c>
      <c r="B3471" s="86">
        <v>48397</v>
      </c>
      <c r="C3471" t="str">
        <f t="shared" si="183"/>
        <v>L-V</v>
      </c>
      <c r="D3471" t="str">
        <f t="shared" si="184"/>
        <v>Viernes</v>
      </c>
    </row>
    <row r="3472" spans="1:4" x14ac:dyDescent="0.25">
      <c r="A3472" s="88" t="str">
        <f t="shared" si="182"/>
        <v>7-2032</v>
      </c>
      <c r="B3472" s="86">
        <v>48398</v>
      </c>
      <c r="C3472" t="str">
        <f t="shared" si="183"/>
        <v>SAB</v>
      </c>
      <c r="D3472" t="str">
        <f t="shared" si="184"/>
        <v>Sábado</v>
      </c>
    </row>
    <row r="3473" spans="1:4" x14ac:dyDescent="0.25">
      <c r="A3473" s="88" t="str">
        <f t="shared" si="182"/>
        <v>7-2032</v>
      </c>
      <c r="B3473" s="86">
        <v>48399</v>
      </c>
      <c r="C3473" t="str">
        <f t="shared" si="183"/>
        <v>DOM</v>
      </c>
      <c r="D3473" t="str">
        <f t="shared" si="184"/>
        <v>Domingo</v>
      </c>
    </row>
    <row r="3474" spans="1:4" x14ac:dyDescent="0.25">
      <c r="A3474" s="88" t="str">
        <f t="shared" si="182"/>
        <v>7-2032</v>
      </c>
      <c r="B3474" s="86">
        <v>48400</v>
      </c>
      <c r="C3474" t="str">
        <f t="shared" si="183"/>
        <v>L-V</v>
      </c>
      <c r="D3474" t="str">
        <f t="shared" si="184"/>
        <v>Lunes</v>
      </c>
    </row>
    <row r="3475" spans="1:4" x14ac:dyDescent="0.25">
      <c r="A3475" s="88" t="str">
        <f t="shared" si="182"/>
        <v>7-2032</v>
      </c>
      <c r="B3475" s="86">
        <v>48401</v>
      </c>
      <c r="C3475" t="str">
        <f t="shared" si="183"/>
        <v>L-V</v>
      </c>
      <c r="D3475" t="str">
        <f t="shared" si="184"/>
        <v>Martes</v>
      </c>
    </row>
    <row r="3476" spans="1:4" x14ac:dyDescent="0.25">
      <c r="A3476" s="88" t="str">
        <f t="shared" si="182"/>
        <v>7-2032</v>
      </c>
      <c r="B3476" s="86">
        <v>48402</v>
      </c>
      <c r="C3476" t="str">
        <f t="shared" si="183"/>
        <v>L-V</v>
      </c>
      <c r="D3476" t="str">
        <f t="shared" si="184"/>
        <v>Miércoles</v>
      </c>
    </row>
    <row r="3477" spans="1:4" x14ac:dyDescent="0.25">
      <c r="A3477" s="88" t="str">
        <f t="shared" si="182"/>
        <v>7-2032</v>
      </c>
      <c r="B3477" s="86">
        <v>48403</v>
      </c>
      <c r="C3477" t="str">
        <f t="shared" si="183"/>
        <v>L-V</v>
      </c>
      <c r="D3477" t="str">
        <f t="shared" si="184"/>
        <v>Jueves</v>
      </c>
    </row>
    <row r="3478" spans="1:4" x14ac:dyDescent="0.25">
      <c r="A3478" s="88" t="str">
        <f t="shared" si="182"/>
        <v>7-2032</v>
      </c>
      <c r="B3478" s="86">
        <v>48404</v>
      </c>
      <c r="C3478" t="str">
        <f t="shared" si="183"/>
        <v>L-V</v>
      </c>
      <c r="D3478" t="str">
        <f t="shared" si="184"/>
        <v>Viernes</v>
      </c>
    </row>
    <row r="3479" spans="1:4" x14ac:dyDescent="0.25">
      <c r="A3479" s="88" t="str">
        <f t="shared" si="182"/>
        <v>7-2032</v>
      </c>
      <c r="B3479" s="86">
        <v>48405</v>
      </c>
      <c r="C3479" t="str">
        <f t="shared" si="183"/>
        <v>SAB</v>
      </c>
      <c r="D3479" t="str">
        <f t="shared" si="184"/>
        <v>Sábado</v>
      </c>
    </row>
    <row r="3480" spans="1:4" x14ac:dyDescent="0.25">
      <c r="A3480" s="88" t="str">
        <f t="shared" si="182"/>
        <v>7-2032</v>
      </c>
      <c r="B3480" s="86">
        <v>48406</v>
      </c>
      <c r="C3480" t="str">
        <f t="shared" si="183"/>
        <v>DOM</v>
      </c>
      <c r="D3480" t="str">
        <f t="shared" si="184"/>
        <v>Domingo</v>
      </c>
    </row>
    <row r="3481" spans="1:4" x14ac:dyDescent="0.25">
      <c r="A3481" s="88" t="str">
        <f t="shared" si="182"/>
        <v>7-2032</v>
      </c>
      <c r="B3481" s="86">
        <v>48407</v>
      </c>
      <c r="C3481" t="str">
        <f t="shared" si="183"/>
        <v>L-V</v>
      </c>
      <c r="D3481" t="str">
        <f t="shared" si="184"/>
        <v>Lunes</v>
      </c>
    </row>
    <row r="3482" spans="1:4" x14ac:dyDescent="0.25">
      <c r="A3482" s="88" t="str">
        <f t="shared" si="182"/>
        <v>7-2032</v>
      </c>
      <c r="B3482" s="86">
        <v>48408</v>
      </c>
      <c r="C3482" t="str">
        <f t="shared" si="183"/>
        <v>L-V</v>
      </c>
      <c r="D3482" t="str">
        <f t="shared" si="184"/>
        <v>Martes</v>
      </c>
    </row>
    <row r="3483" spans="1:4" x14ac:dyDescent="0.25">
      <c r="A3483" s="88" t="str">
        <f t="shared" si="182"/>
        <v>7-2032</v>
      </c>
      <c r="B3483" s="86">
        <v>48409</v>
      </c>
      <c r="C3483" t="str">
        <f t="shared" si="183"/>
        <v>L-V</v>
      </c>
      <c r="D3483" t="str">
        <f t="shared" si="184"/>
        <v>Miércoles</v>
      </c>
    </row>
    <row r="3484" spans="1:4" x14ac:dyDescent="0.25">
      <c r="A3484" s="88" t="str">
        <f t="shared" si="182"/>
        <v>7-2032</v>
      </c>
      <c r="B3484" s="86">
        <v>48410</v>
      </c>
      <c r="C3484" t="str">
        <f t="shared" si="183"/>
        <v>L-V</v>
      </c>
      <c r="D3484" t="str">
        <f t="shared" si="184"/>
        <v>Jueves</v>
      </c>
    </row>
    <row r="3485" spans="1:4" x14ac:dyDescent="0.25">
      <c r="A3485" s="88" t="str">
        <f t="shared" si="182"/>
        <v>7-2032</v>
      </c>
      <c r="B3485" s="86">
        <v>48411</v>
      </c>
      <c r="C3485" t="str">
        <f t="shared" si="183"/>
        <v>L-V</v>
      </c>
      <c r="D3485" t="str">
        <f t="shared" si="184"/>
        <v>Viernes</v>
      </c>
    </row>
    <row r="3486" spans="1:4" x14ac:dyDescent="0.25">
      <c r="A3486" s="88" t="str">
        <f t="shared" si="182"/>
        <v>7-2032</v>
      </c>
      <c r="B3486" s="86">
        <v>48412</v>
      </c>
      <c r="C3486" t="str">
        <f t="shared" si="183"/>
        <v>SAB</v>
      </c>
      <c r="D3486" t="str">
        <f t="shared" si="184"/>
        <v>Sábado</v>
      </c>
    </row>
    <row r="3487" spans="1:4" x14ac:dyDescent="0.25">
      <c r="A3487" s="88" t="str">
        <f t="shared" si="182"/>
        <v>7-2032</v>
      </c>
      <c r="B3487" s="86">
        <v>48413</v>
      </c>
      <c r="C3487" t="str">
        <f t="shared" si="183"/>
        <v>DOM</v>
      </c>
      <c r="D3487" t="str">
        <f t="shared" si="184"/>
        <v>Domingo</v>
      </c>
    </row>
    <row r="3488" spans="1:4" x14ac:dyDescent="0.25">
      <c r="A3488" s="88" t="str">
        <f t="shared" si="182"/>
        <v>7-2032</v>
      </c>
      <c r="B3488" s="86">
        <v>48414</v>
      </c>
      <c r="C3488" t="str">
        <f t="shared" si="183"/>
        <v>L-V</v>
      </c>
      <c r="D3488" t="str">
        <f t="shared" si="184"/>
        <v>Lunes</v>
      </c>
    </row>
    <row r="3489" spans="1:4" x14ac:dyDescent="0.25">
      <c r="A3489" s="88" t="str">
        <f t="shared" si="182"/>
        <v>7-2032</v>
      </c>
      <c r="B3489" s="86">
        <v>48415</v>
      </c>
      <c r="C3489" t="str">
        <f t="shared" si="183"/>
        <v>L-V</v>
      </c>
      <c r="D3489" t="str">
        <f t="shared" si="184"/>
        <v>Martes</v>
      </c>
    </row>
    <row r="3490" spans="1:4" x14ac:dyDescent="0.25">
      <c r="A3490" s="88" t="str">
        <f t="shared" si="182"/>
        <v>7-2032</v>
      </c>
      <c r="B3490" s="86">
        <v>48416</v>
      </c>
      <c r="C3490" t="str">
        <f t="shared" si="183"/>
        <v>L-V</v>
      </c>
      <c r="D3490" t="str">
        <f t="shared" si="184"/>
        <v>Miércoles</v>
      </c>
    </row>
    <row r="3491" spans="1:4" x14ac:dyDescent="0.25">
      <c r="A3491" s="88" t="str">
        <f t="shared" si="182"/>
        <v>7-2032</v>
      </c>
      <c r="B3491" s="86">
        <v>48417</v>
      </c>
      <c r="C3491" t="str">
        <f t="shared" si="183"/>
        <v>L-V</v>
      </c>
      <c r="D3491" t="str">
        <f t="shared" si="184"/>
        <v>Jueves</v>
      </c>
    </row>
    <row r="3492" spans="1:4" x14ac:dyDescent="0.25">
      <c r="A3492" s="88" t="str">
        <f t="shared" si="182"/>
        <v>7-2032</v>
      </c>
      <c r="B3492" s="86">
        <v>48418</v>
      </c>
      <c r="C3492" t="str">
        <f t="shared" si="183"/>
        <v>L-V</v>
      </c>
      <c r="D3492" t="str">
        <f t="shared" si="184"/>
        <v>Viernes</v>
      </c>
    </row>
    <row r="3493" spans="1:4" x14ac:dyDescent="0.25">
      <c r="A3493" s="88" t="str">
        <f t="shared" si="182"/>
        <v>7-2032</v>
      </c>
      <c r="B3493" s="86">
        <v>48419</v>
      </c>
      <c r="C3493" t="str">
        <f t="shared" si="183"/>
        <v>SAB</v>
      </c>
      <c r="D3493" t="str">
        <f t="shared" si="184"/>
        <v>Sábado</v>
      </c>
    </row>
    <row r="3494" spans="1:4" x14ac:dyDescent="0.25">
      <c r="A3494" s="88" t="str">
        <f t="shared" si="182"/>
        <v>7-2032</v>
      </c>
      <c r="B3494" s="86">
        <v>48420</v>
      </c>
      <c r="C3494" t="str">
        <f t="shared" si="183"/>
        <v>DOM</v>
      </c>
      <c r="D3494" t="str">
        <f t="shared" si="184"/>
        <v>Domingo</v>
      </c>
    </row>
    <row r="3495" spans="1:4" x14ac:dyDescent="0.25">
      <c r="A3495" s="88" t="str">
        <f t="shared" si="182"/>
        <v>7-2032</v>
      </c>
      <c r="B3495" s="86">
        <v>48421</v>
      </c>
      <c r="C3495" t="str">
        <f t="shared" si="183"/>
        <v>L-V</v>
      </c>
      <c r="D3495" t="str">
        <f t="shared" si="184"/>
        <v>Lunes</v>
      </c>
    </row>
    <row r="3496" spans="1:4" x14ac:dyDescent="0.25">
      <c r="A3496" s="88" t="str">
        <f t="shared" si="182"/>
        <v>7-2032</v>
      </c>
      <c r="B3496" s="86">
        <v>48422</v>
      </c>
      <c r="C3496" t="str">
        <f t="shared" si="183"/>
        <v>L-V</v>
      </c>
      <c r="D3496" t="str">
        <f t="shared" si="184"/>
        <v>Martes</v>
      </c>
    </row>
    <row r="3497" spans="1:4" x14ac:dyDescent="0.25">
      <c r="A3497" s="88" t="str">
        <f t="shared" si="182"/>
        <v>7-2032</v>
      </c>
      <c r="B3497" s="86">
        <v>48423</v>
      </c>
      <c r="C3497" t="str">
        <f t="shared" si="183"/>
        <v>L-V</v>
      </c>
      <c r="D3497" t="str">
        <f t="shared" si="184"/>
        <v>Miércoles</v>
      </c>
    </row>
    <row r="3498" spans="1:4" x14ac:dyDescent="0.25">
      <c r="A3498" s="88" t="str">
        <f t="shared" si="182"/>
        <v>7-2032</v>
      </c>
      <c r="B3498" s="86">
        <v>48424</v>
      </c>
      <c r="C3498" t="str">
        <f t="shared" si="183"/>
        <v>L-V</v>
      </c>
      <c r="D3498" t="str">
        <f t="shared" si="184"/>
        <v>Jueves</v>
      </c>
    </row>
    <row r="3499" spans="1:4" x14ac:dyDescent="0.25">
      <c r="A3499" s="88" t="str">
        <f t="shared" si="182"/>
        <v>7-2032</v>
      </c>
      <c r="B3499" s="86">
        <v>48425</v>
      </c>
      <c r="C3499" t="str">
        <f t="shared" si="183"/>
        <v>L-V</v>
      </c>
      <c r="D3499" t="str">
        <f t="shared" si="184"/>
        <v>Viernes</v>
      </c>
    </row>
    <row r="3500" spans="1:4" x14ac:dyDescent="0.25">
      <c r="A3500" s="88" t="str">
        <f t="shared" si="182"/>
        <v>7-2032</v>
      </c>
      <c r="B3500" s="86">
        <v>48426</v>
      </c>
      <c r="C3500" t="str">
        <f t="shared" si="183"/>
        <v>SAB</v>
      </c>
      <c r="D3500" t="str">
        <f t="shared" si="184"/>
        <v>Sábado</v>
      </c>
    </row>
    <row r="3501" spans="1:4" x14ac:dyDescent="0.25">
      <c r="A3501" s="88" t="str">
        <f t="shared" si="182"/>
        <v>8-2032</v>
      </c>
      <c r="B3501" s="86">
        <v>48427</v>
      </c>
      <c r="C3501" t="str">
        <f t="shared" si="183"/>
        <v>DOM</v>
      </c>
      <c r="D3501" t="str">
        <f t="shared" si="184"/>
        <v>Domingo</v>
      </c>
    </row>
    <row r="3502" spans="1:4" x14ac:dyDescent="0.25">
      <c r="A3502" s="88" t="str">
        <f t="shared" si="182"/>
        <v>8-2032</v>
      </c>
      <c r="B3502" s="86">
        <v>48428</v>
      </c>
      <c r="C3502" t="str">
        <f t="shared" si="183"/>
        <v>L-V</v>
      </c>
      <c r="D3502" t="str">
        <f t="shared" si="184"/>
        <v>Lunes</v>
      </c>
    </row>
    <row r="3503" spans="1:4" x14ac:dyDescent="0.25">
      <c r="A3503" s="88" t="str">
        <f t="shared" si="182"/>
        <v>8-2032</v>
      </c>
      <c r="B3503" s="86">
        <v>48429</v>
      </c>
      <c r="C3503" t="str">
        <f t="shared" si="183"/>
        <v>L-V</v>
      </c>
      <c r="D3503" t="str">
        <f t="shared" si="184"/>
        <v>Martes</v>
      </c>
    </row>
    <row r="3504" spans="1:4" x14ac:dyDescent="0.25">
      <c r="A3504" s="88" t="str">
        <f t="shared" si="182"/>
        <v>8-2032</v>
      </c>
      <c r="B3504" s="86">
        <v>48430</v>
      </c>
      <c r="C3504" t="str">
        <f t="shared" si="183"/>
        <v>L-V</v>
      </c>
      <c r="D3504" t="str">
        <f t="shared" si="184"/>
        <v>Miércoles</v>
      </c>
    </row>
    <row r="3505" spans="1:4" x14ac:dyDescent="0.25">
      <c r="A3505" s="88" t="str">
        <f t="shared" si="182"/>
        <v>8-2032</v>
      </c>
      <c r="B3505" s="86">
        <v>48431</v>
      </c>
      <c r="C3505" t="str">
        <f t="shared" si="183"/>
        <v>L-V</v>
      </c>
      <c r="D3505" t="str">
        <f t="shared" si="184"/>
        <v>Jueves</v>
      </c>
    </row>
    <row r="3506" spans="1:4" x14ac:dyDescent="0.25">
      <c r="A3506" s="88" t="str">
        <f t="shared" si="182"/>
        <v>8-2032</v>
      </c>
      <c r="B3506" s="86">
        <v>48432</v>
      </c>
      <c r="C3506" t="str">
        <f t="shared" si="183"/>
        <v>L-V</v>
      </c>
      <c r="D3506" t="str">
        <f t="shared" si="184"/>
        <v>Viernes</v>
      </c>
    </row>
    <row r="3507" spans="1:4" x14ac:dyDescent="0.25">
      <c r="A3507" s="88" t="str">
        <f t="shared" si="182"/>
        <v>8-2032</v>
      </c>
      <c r="B3507" s="86">
        <v>48433</v>
      </c>
      <c r="C3507" t="str">
        <f t="shared" si="183"/>
        <v>SAB</v>
      </c>
      <c r="D3507" t="str">
        <f t="shared" si="184"/>
        <v>Sábado</v>
      </c>
    </row>
    <row r="3508" spans="1:4" x14ac:dyDescent="0.25">
      <c r="A3508" s="88" t="str">
        <f t="shared" si="182"/>
        <v>8-2032</v>
      </c>
      <c r="B3508" s="86">
        <v>48434</v>
      </c>
      <c r="C3508" t="str">
        <f t="shared" si="183"/>
        <v>DOM</v>
      </c>
      <c r="D3508" t="str">
        <f t="shared" si="184"/>
        <v>Domingo</v>
      </c>
    </row>
    <row r="3509" spans="1:4" x14ac:dyDescent="0.25">
      <c r="A3509" s="88" t="str">
        <f t="shared" si="182"/>
        <v>8-2032</v>
      </c>
      <c r="B3509" s="86">
        <v>48435</v>
      </c>
      <c r="C3509" t="str">
        <f t="shared" si="183"/>
        <v>L-V</v>
      </c>
      <c r="D3509" t="str">
        <f t="shared" si="184"/>
        <v>Lunes</v>
      </c>
    </row>
    <row r="3510" spans="1:4" x14ac:dyDescent="0.25">
      <c r="A3510" s="88" t="str">
        <f t="shared" si="182"/>
        <v>8-2032</v>
      </c>
      <c r="B3510" s="86">
        <v>48436</v>
      </c>
      <c r="C3510" t="str">
        <f t="shared" si="183"/>
        <v>L-V</v>
      </c>
      <c r="D3510" t="str">
        <f t="shared" si="184"/>
        <v>Martes</v>
      </c>
    </row>
    <row r="3511" spans="1:4" x14ac:dyDescent="0.25">
      <c r="A3511" s="88" t="str">
        <f t="shared" si="182"/>
        <v>8-2032</v>
      </c>
      <c r="B3511" s="86">
        <v>48437</v>
      </c>
      <c r="C3511" t="str">
        <f t="shared" si="183"/>
        <v>L-V</v>
      </c>
      <c r="D3511" t="str">
        <f t="shared" si="184"/>
        <v>Miércoles</v>
      </c>
    </row>
    <row r="3512" spans="1:4" x14ac:dyDescent="0.25">
      <c r="A3512" s="88" t="str">
        <f t="shared" si="182"/>
        <v>8-2032</v>
      </c>
      <c r="B3512" s="86">
        <v>48438</v>
      </c>
      <c r="C3512" t="str">
        <f t="shared" si="183"/>
        <v>L-V</v>
      </c>
      <c r="D3512" t="str">
        <f t="shared" si="184"/>
        <v>Jueves</v>
      </c>
    </row>
    <row r="3513" spans="1:4" x14ac:dyDescent="0.25">
      <c r="A3513" s="88" t="str">
        <f t="shared" si="182"/>
        <v>8-2032</v>
      </c>
      <c r="B3513" s="86">
        <v>48439</v>
      </c>
      <c r="C3513" t="str">
        <f t="shared" si="183"/>
        <v>L-V</v>
      </c>
      <c r="D3513" t="str">
        <f t="shared" si="184"/>
        <v>Viernes</v>
      </c>
    </row>
    <row r="3514" spans="1:4" x14ac:dyDescent="0.25">
      <c r="A3514" s="88" t="str">
        <f t="shared" si="182"/>
        <v>8-2032</v>
      </c>
      <c r="B3514" s="86">
        <v>48440</v>
      </c>
      <c r="C3514" t="str">
        <f t="shared" si="183"/>
        <v>SAB</v>
      </c>
      <c r="D3514" t="str">
        <f t="shared" si="184"/>
        <v>Sábado</v>
      </c>
    </row>
    <row r="3515" spans="1:4" x14ac:dyDescent="0.25">
      <c r="A3515" s="88" t="str">
        <f t="shared" si="182"/>
        <v>8-2032</v>
      </c>
      <c r="B3515" s="86">
        <v>48441</v>
      </c>
      <c r="C3515" t="str">
        <f t="shared" si="183"/>
        <v>DOM</v>
      </c>
      <c r="D3515" t="str">
        <f t="shared" si="184"/>
        <v>Domingo</v>
      </c>
    </row>
    <row r="3516" spans="1:4" x14ac:dyDescent="0.25">
      <c r="A3516" s="88" t="str">
        <f t="shared" si="182"/>
        <v>8-2032</v>
      </c>
      <c r="B3516" s="86">
        <v>48442</v>
      </c>
      <c r="C3516" t="str">
        <f t="shared" si="183"/>
        <v>L-V</v>
      </c>
      <c r="D3516" t="str">
        <f t="shared" si="184"/>
        <v>Lunes</v>
      </c>
    </row>
    <row r="3517" spans="1:4" x14ac:dyDescent="0.25">
      <c r="A3517" s="88" t="str">
        <f t="shared" si="182"/>
        <v>8-2032</v>
      </c>
      <c r="B3517" s="86">
        <v>48443</v>
      </c>
      <c r="C3517" t="str">
        <f t="shared" si="183"/>
        <v>L-V</v>
      </c>
      <c r="D3517" t="str">
        <f t="shared" si="184"/>
        <v>Martes</v>
      </c>
    </row>
    <row r="3518" spans="1:4" x14ac:dyDescent="0.25">
      <c r="A3518" s="88" t="str">
        <f t="shared" si="182"/>
        <v>8-2032</v>
      </c>
      <c r="B3518" s="86">
        <v>48444</v>
      </c>
      <c r="C3518" t="str">
        <f t="shared" si="183"/>
        <v>L-V</v>
      </c>
      <c r="D3518" t="str">
        <f t="shared" si="184"/>
        <v>Miércoles</v>
      </c>
    </row>
    <row r="3519" spans="1:4" x14ac:dyDescent="0.25">
      <c r="A3519" s="88" t="str">
        <f t="shared" si="182"/>
        <v>8-2032</v>
      </c>
      <c r="B3519" s="86">
        <v>48445</v>
      </c>
      <c r="C3519" t="str">
        <f t="shared" si="183"/>
        <v>L-V</v>
      </c>
      <c r="D3519" t="str">
        <f t="shared" si="184"/>
        <v>Jueves</v>
      </c>
    </row>
    <row r="3520" spans="1:4" x14ac:dyDescent="0.25">
      <c r="A3520" s="88" t="str">
        <f t="shared" si="182"/>
        <v>8-2032</v>
      </c>
      <c r="B3520" s="86">
        <v>48446</v>
      </c>
      <c r="C3520" t="str">
        <f t="shared" si="183"/>
        <v>L-V</v>
      </c>
      <c r="D3520" t="str">
        <f t="shared" si="184"/>
        <v>Viernes</v>
      </c>
    </row>
    <row r="3521" spans="1:4" x14ac:dyDescent="0.25">
      <c r="A3521" s="88" t="str">
        <f t="shared" si="182"/>
        <v>8-2032</v>
      </c>
      <c r="B3521" s="86">
        <v>48447</v>
      </c>
      <c r="C3521" t="str">
        <f t="shared" si="183"/>
        <v>SAB</v>
      </c>
      <c r="D3521" t="str">
        <f t="shared" si="184"/>
        <v>Sábado</v>
      </c>
    </row>
    <row r="3522" spans="1:4" x14ac:dyDescent="0.25">
      <c r="A3522" s="88" t="str">
        <f t="shared" ref="A3522:A3585" si="185">MONTH(B3522)&amp;"-"&amp;YEAR(B3522)</f>
        <v>8-2032</v>
      </c>
      <c r="B3522" s="86">
        <v>48448</v>
      </c>
      <c r="C3522" t="str">
        <f t="shared" si="183"/>
        <v>DOM</v>
      </c>
      <c r="D3522" t="str">
        <f t="shared" si="184"/>
        <v>Domingo</v>
      </c>
    </row>
    <row r="3523" spans="1:4" x14ac:dyDescent="0.25">
      <c r="A3523" s="88" t="str">
        <f t="shared" si="185"/>
        <v>8-2032</v>
      </c>
      <c r="B3523" s="86">
        <v>48449</v>
      </c>
      <c r="C3523" t="str">
        <f t="shared" ref="C3523:C3586" si="186">VLOOKUP(WEEKDAY(B3523,2),$F$1:$H$7,2)</f>
        <v>L-V</v>
      </c>
      <c r="D3523" t="str">
        <f t="shared" ref="D3523:D3586" si="187">VLOOKUP(WEEKDAY($B3523,2),$F$1:$H$7,3)</f>
        <v>Lunes</v>
      </c>
    </row>
    <row r="3524" spans="1:4" x14ac:dyDescent="0.25">
      <c r="A3524" s="88" t="str">
        <f t="shared" si="185"/>
        <v>8-2032</v>
      </c>
      <c r="B3524" s="86">
        <v>48450</v>
      </c>
      <c r="C3524" t="str">
        <f t="shared" si="186"/>
        <v>L-V</v>
      </c>
      <c r="D3524" t="str">
        <f t="shared" si="187"/>
        <v>Martes</v>
      </c>
    </row>
    <row r="3525" spans="1:4" x14ac:dyDescent="0.25">
      <c r="A3525" s="88" t="str">
        <f t="shared" si="185"/>
        <v>8-2032</v>
      </c>
      <c r="B3525" s="86">
        <v>48451</v>
      </c>
      <c r="C3525" t="str">
        <f t="shared" si="186"/>
        <v>L-V</v>
      </c>
      <c r="D3525" t="str">
        <f t="shared" si="187"/>
        <v>Miércoles</v>
      </c>
    </row>
    <row r="3526" spans="1:4" x14ac:dyDescent="0.25">
      <c r="A3526" s="88" t="str">
        <f t="shared" si="185"/>
        <v>8-2032</v>
      </c>
      <c r="B3526" s="86">
        <v>48452</v>
      </c>
      <c r="C3526" t="str">
        <f t="shared" si="186"/>
        <v>L-V</v>
      </c>
      <c r="D3526" t="str">
        <f t="shared" si="187"/>
        <v>Jueves</v>
      </c>
    </row>
    <row r="3527" spans="1:4" x14ac:dyDescent="0.25">
      <c r="A3527" s="88" t="str">
        <f t="shared" si="185"/>
        <v>8-2032</v>
      </c>
      <c r="B3527" s="86">
        <v>48453</v>
      </c>
      <c r="C3527" t="str">
        <f t="shared" si="186"/>
        <v>L-V</v>
      </c>
      <c r="D3527" t="str">
        <f t="shared" si="187"/>
        <v>Viernes</v>
      </c>
    </row>
    <row r="3528" spans="1:4" x14ac:dyDescent="0.25">
      <c r="A3528" s="88" t="str">
        <f t="shared" si="185"/>
        <v>8-2032</v>
      </c>
      <c r="B3528" s="86">
        <v>48454</v>
      </c>
      <c r="C3528" t="str">
        <f t="shared" si="186"/>
        <v>SAB</v>
      </c>
      <c r="D3528" t="str">
        <f t="shared" si="187"/>
        <v>Sábado</v>
      </c>
    </row>
    <row r="3529" spans="1:4" x14ac:dyDescent="0.25">
      <c r="A3529" s="88" t="str">
        <f t="shared" si="185"/>
        <v>8-2032</v>
      </c>
      <c r="B3529" s="86">
        <v>48455</v>
      </c>
      <c r="C3529" t="str">
        <f t="shared" si="186"/>
        <v>DOM</v>
      </c>
      <c r="D3529" t="str">
        <f t="shared" si="187"/>
        <v>Domingo</v>
      </c>
    </row>
    <row r="3530" spans="1:4" x14ac:dyDescent="0.25">
      <c r="A3530" s="88" t="str">
        <f t="shared" si="185"/>
        <v>8-2032</v>
      </c>
      <c r="B3530" s="86">
        <v>48456</v>
      </c>
      <c r="C3530" t="str">
        <f t="shared" si="186"/>
        <v>L-V</v>
      </c>
      <c r="D3530" t="str">
        <f t="shared" si="187"/>
        <v>Lunes</v>
      </c>
    </row>
    <row r="3531" spans="1:4" x14ac:dyDescent="0.25">
      <c r="A3531" s="88" t="str">
        <f t="shared" si="185"/>
        <v>8-2032</v>
      </c>
      <c r="B3531" s="86">
        <v>48457</v>
      </c>
      <c r="C3531" t="str">
        <f t="shared" si="186"/>
        <v>L-V</v>
      </c>
      <c r="D3531" t="str">
        <f t="shared" si="187"/>
        <v>Martes</v>
      </c>
    </row>
    <row r="3532" spans="1:4" x14ac:dyDescent="0.25">
      <c r="A3532" s="88" t="str">
        <f t="shared" si="185"/>
        <v>9-2032</v>
      </c>
      <c r="B3532" s="86">
        <v>48458</v>
      </c>
      <c r="C3532" t="str">
        <f t="shared" si="186"/>
        <v>L-V</v>
      </c>
      <c r="D3532" t="str">
        <f t="shared" si="187"/>
        <v>Miércoles</v>
      </c>
    </row>
    <row r="3533" spans="1:4" x14ac:dyDescent="0.25">
      <c r="A3533" s="88" t="str">
        <f t="shared" si="185"/>
        <v>9-2032</v>
      </c>
      <c r="B3533" s="86">
        <v>48459</v>
      </c>
      <c r="C3533" t="str">
        <f t="shared" si="186"/>
        <v>L-V</v>
      </c>
      <c r="D3533" t="str">
        <f t="shared" si="187"/>
        <v>Jueves</v>
      </c>
    </row>
    <row r="3534" spans="1:4" x14ac:dyDescent="0.25">
      <c r="A3534" s="88" t="str">
        <f t="shared" si="185"/>
        <v>9-2032</v>
      </c>
      <c r="B3534" s="86">
        <v>48460</v>
      </c>
      <c r="C3534" t="str">
        <f t="shared" si="186"/>
        <v>L-V</v>
      </c>
      <c r="D3534" t="str">
        <f t="shared" si="187"/>
        <v>Viernes</v>
      </c>
    </row>
    <row r="3535" spans="1:4" x14ac:dyDescent="0.25">
      <c r="A3535" s="88" t="str">
        <f t="shared" si="185"/>
        <v>9-2032</v>
      </c>
      <c r="B3535" s="86">
        <v>48461</v>
      </c>
      <c r="C3535" t="str">
        <f t="shared" si="186"/>
        <v>SAB</v>
      </c>
      <c r="D3535" t="str">
        <f t="shared" si="187"/>
        <v>Sábado</v>
      </c>
    </row>
    <row r="3536" spans="1:4" x14ac:dyDescent="0.25">
      <c r="A3536" s="88" t="str">
        <f t="shared" si="185"/>
        <v>9-2032</v>
      </c>
      <c r="B3536" s="86">
        <v>48462</v>
      </c>
      <c r="C3536" t="str">
        <f t="shared" si="186"/>
        <v>DOM</v>
      </c>
      <c r="D3536" t="str">
        <f t="shared" si="187"/>
        <v>Domingo</v>
      </c>
    </row>
    <row r="3537" spans="1:4" x14ac:dyDescent="0.25">
      <c r="A3537" s="88" t="str">
        <f t="shared" si="185"/>
        <v>9-2032</v>
      </c>
      <c r="B3537" s="86">
        <v>48463</v>
      </c>
      <c r="C3537" t="str">
        <f t="shared" si="186"/>
        <v>L-V</v>
      </c>
      <c r="D3537" t="str">
        <f t="shared" si="187"/>
        <v>Lunes</v>
      </c>
    </row>
    <row r="3538" spans="1:4" x14ac:dyDescent="0.25">
      <c r="A3538" s="88" t="str">
        <f t="shared" si="185"/>
        <v>9-2032</v>
      </c>
      <c r="B3538" s="86">
        <v>48464</v>
      </c>
      <c r="C3538" t="str">
        <f t="shared" si="186"/>
        <v>L-V</v>
      </c>
      <c r="D3538" t="str">
        <f t="shared" si="187"/>
        <v>Martes</v>
      </c>
    </row>
    <row r="3539" spans="1:4" x14ac:dyDescent="0.25">
      <c r="A3539" s="88" t="str">
        <f t="shared" si="185"/>
        <v>9-2032</v>
      </c>
      <c r="B3539" s="86">
        <v>48465</v>
      </c>
      <c r="C3539" t="str">
        <f t="shared" si="186"/>
        <v>L-V</v>
      </c>
      <c r="D3539" t="str">
        <f t="shared" si="187"/>
        <v>Miércoles</v>
      </c>
    </row>
    <row r="3540" spans="1:4" x14ac:dyDescent="0.25">
      <c r="A3540" s="88" t="str">
        <f t="shared" si="185"/>
        <v>9-2032</v>
      </c>
      <c r="B3540" s="86">
        <v>48466</v>
      </c>
      <c r="C3540" t="str">
        <f t="shared" si="186"/>
        <v>L-V</v>
      </c>
      <c r="D3540" t="str">
        <f t="shared" si="187"/>
        <v>Jueves</v>
      </c>
    </row>
    <row r="3541" spans="1:4" x14ac:dyDescent="0.25">
      <c r="A3541" s="88" t="str">
        <f t="shared" si="185"/>
        <v>9-2032</v>
      </c>
      <c r="B3541" s="86">
        <v>48467</v>
      </c>
      <c r="C3541" t="str">
        <f t="shared" si="186"/>
        <v>L-V</v>
      </c>
      <c r="D3541" t="str">
        <f t="shared" si="187"/>
        <v>Viernes</v>
      </c>
    </row>
    <row r="3542" spans="1:4" x14ac:dyDescent="0.25">
      <c r="A3542" s="88" t="str">
        <f t="shared" si="185"/>
        <v>9-2032</v>
      </c>
      <c r="B3542" s="86">
        <v>48468</v>
      </c>
      <c r="C3542" t="str">
        <f t="shared" si="186"/>
        <v>SAB</v>
      </c>
      <c r="D3542" t="str">
        <f t="shared" si="187"/>
        <v>Sábado</v>
      </c>
    </row>
    <row r="3543" spans="1:4" x14ac:dyDescent="0.25">
      <c r="A3543" s="88" t="str">
        <f t="shared" si="185"/>
        <v>9-2032</v>
      </c>
      <c r="B3543" s="86">
        <v>48469</v>
      </c>
      <c r="C3543" t="str">
        <f t="shared" si="186"/>
        <v>DOM</v>
      </c>
      <c r="D3543" t="str">
        <f t="shared" si="187"/>
        <v>Domingo</v>
      </c>
    </row>
    <row r="3544" spans="1:4" x14ac:dyDescent="0.25">
      <c r="A3544" s="88" t="str">
        <f t="shared" si="185"/>
        <v>9-2032</v>
      </c>
      <c r="B3544" s="86">
        <v>48470</v>
      </c>
      <c r="C3544" t="str">
        <f t="shared" si="186"/>
        <v>L-V</v>
      </c>
      <c r="D3544" t="str">
        <f t="shared" si="187"/>
        <v>Lunes</v>
      </c>
    </row>
    <row r="3545" spans="1:4" x14ac:dyDescent="0.25">
      <c r="A3545" s="88" t="str">
        <f t="shared" si="185"/>
        <v>9-2032</v>
      </c>
      <c r="B3545" s="86">
        <v>48471</v>
      </c>
      <c r="C3545" t="str">
        <f t="shared" si="186"/>
        <v>L-V</v>
      </c>
      <c r="D3545" t="str">
        <f t="shared" si="187"/>
        <v>Martes</v>
      </c>
    </row>
    <row r="3546" spans="1:4" x14ac:dyDescent="0.25">
      <c r="A3546" s="88" t="str">
        <f t="shared" si="185"/>
        <v>9-2032</v>
      </c>
      <c r="B3546" s="86">
        <v>48472</v>
      </c>
      <c r="C3546" t="str">
        <f t="shared" si="186"/>
        <v>L-V</v>
      </c>
      <c r="D3546" t="str">
        <f t="shared" si="187"/>
        <v>Miércoles</v>
      </c>
    </row>
    <row r="3547" spans="1:4" x14ac:dyDescent="0.25">
      <c r="A3547" s="88" t="str">
        <f t="shared" si="185"/>
        <v>9-2032</v>
      </c>
      <c r="B3547" s="86">
        <v>48473</v>
      </c>
      <c r="C3547" t="str">
        <f t="shared" si="186"/>
        <v>L-V</v>
      </c>
      <c r="D3547" t="str">
        <f t="shared" si="187"/>
        <v>Jueves</v>
      </c>
    </row>
    <row r="3548" spans="1:4" x14ac:dyDescent="0.25">
      <c r="A3548" s="88" t="str">
        <f t="shared" si="185"/>
        <v>9-2032</v>
      </c>
      <c r="B3548" s="86">
        <v>48474</v>
      </c>
      <c r="C3548" t="str">
        <f t="shared" si="186"/>
        <v>L-V</v>
      </c>
      <c r="D3548" t="str">
        <f t="shared" si="187"/>
        <v>Viernes</v>
      </c>
    </row>
    <row r="3549" spans="1:4" x14ac:dyDescent="0.25">
      <c r="A3549" s="88" t="str">
        <f t="shared" si="185"/>
        <v>9-2032</v>
      </c>
      <c r="B3549" s="86">
        <v>48475</v>
      </c>
      <c r="C3549" t="str">
        <f t="shared" si="186"/>
        <v>SAB</v>
      </c>
      <c r="D3549" t="str">
        <f t="shared" si="187"/>
        <v>Sábado</v>
      </c>
    </row>
    <row r="3550" spans="1:4" x14ac:dyDescent="0.25">
      <c r="A3550" s="88" t="str">
        <f t="shared" si="185"/>
        <v>9-2032</v>
      </c>
      <c r="B3550" s="86">
        <v>48476</v>
      </c>
      <c r="C3550" t="str">
        <f t="shared" si="186"/>
        <v>DOM</v>
      </c>
      <c r="D3550" t="str">
        <f t="shared" si="187"/>
        <v>Domingo</v>
      </c>
    </row>
    <row r="3551" spans="1:4" x14ac:dyDescent="0.25">
      <c r="A3551" s="88" t="str">
        <f t="shared" si="185"/>
        <v>9-2032</v>
      </c>
      <c r="B3551" s="86">
        <v>48477</v>
      </c>
      <c r="C3551" t="str">
        <f t="shared" si="186"/>
        <v>L-V</v>
      </c>
      <c r="D3551" t="str">
        <f t="shared" si="187"/>
        <v>Lunes</v>
      </c>
    </row>
    <row r="3552" spans="1:4" x14ac:dyDescent="0.25">
      <c r="A3552" s="88" t="str">
        <f t="shared" si="185"/>
        <v>9-2032</v>
      </c>
      <c r="B3552" s="86">
        <v>48478</v>
      </c>
      <c r="C3552" t="str">
        <f t="shared" si="186"/>
        <v>L-V</v>
      </c>
      <c r="D3552" t="str">
        <f t="shared" si="187"/>
        <v>Martes</v>
      </c>
    </row>
    <row r="3553" spans="1:4" x14ac:dyDescent="0.25">
      <c r="A3553" s="88" t="str">
        <f t="shared" si="185"/>
        <v>9-2032</v>
      </c>
      <c r="B3553" s="86">
        <v>48479</v>
      </c>
      <c r="C3553" t="str">
        <f t="shared" si="186"/>
        <v>L-V</v>
      </c>
      <c r="D3553" t="str">
        <f t="shared" si="187"/>
        <v>Miércoles</v>
      </c>
    </row>
    <row r="3554" spans="1:4" x14ac:dyDescent="0.25">
      <c r="A3554" s="88" t="str">
        <f t="shared" si="185"/>
        <v>9-2032</v>
      </c>
      <c r="B3554" s="86">
        <v>48480</v>
      </c>
      <c r="C3554" t="str">
        <f t="shared" si="186"/>
        <v>L-V</v>
      </c>
      <c r="D3554" t="str">
        <f t="shared" si="187"/>
        <v>Jueves</v>
      </c>
    </row>
    <row r="3555" spans="1:4" x14ac:dyDescent="0.25">
      <c r="A3555" s="88" t="str">
        <f t="shared" si="185"/>
        <v>9-2032</v>
      </c>
      <c r="B3555" s="86">
        <v>48481</v>
      </c>
      <c r="C3555" t="str">
        <f t="shared" si="186"/>
        <v>L-V</v>
      </c>
      <c r="D3555" t="str">
        <f t="shared" si="187"/>
        <v>Viernes</v>
      </c>
    </row>
    <row r="3556" spans="1:4" x14ac:dyDescent="0.25">
      <c r="A3556" s="88" t="str">
        <f t="shared" si="185"/>
        <v>9-2032</v>
      </c>
      <c r="B3556" s="86">
        <v>48482</v>
      </c>
      <c r="C3556" t="str">
        <f t="shared" si="186"/>
        <v>SAB</v>
      </c>
      <c r="D3556" t="str">
        <f t="shared" si="187"/>
        <v>Sábado</v>
      </c>
    </row>
    <row r="3557" spans="1:4" x14ac:dyDescent="0.25">
      <c r="A3557" s="88" t="str">
        <f t="shared" si="185"/>
        <v>9-2032</v>
      </c>
      <c r="B3557" s="86">
        <v>48483</v>
      </c>
      <c r="C3557" t="str">
        <f t="shared" si="186"/>
        <v>DOM</v>
      </c>
      <c r="D3557" t="str">
        <f t="shared" si="187"/>
        <v>Domingo</v>
      </c>
    </row>
    <row r="3558" spans="1:4" x14ac:dyDescent="0.25">
      <c r="A3558" s="88" t="str">
        <f t="shared" si="185"/>
        <v>9-2032</v>
      </c>
      <c r="B3558" s="86">
        <v>48484</v>
      </c>
      <c r="C3558" t="str">
        <f t="shared" si="186"/>
        <v>L-V</v>
      </c>
      <c r="D3558" t="str">
        <f t="shared" si="187"/>
        <v>Lunes</v>
      </c>
    </row>
    <row r="3559" spans="1:4" x14ac:dyDescent="0.25">
      <c r="A3559" s="88" t="str">
        <f t="shared" si="185"/>
        <v>9-2032</v>
      </c>
      <c r="B3559" s="86">
        <v>48485</v>
      </c>
      <c r="C3559" t="str">
        <f t="shared" si="186"/>
        <v>L-V</v>
      </c>
      <c r="D3559" t="str">
        <f t="shared" si="187"/>
        <v>Martes</v>
      </c>
    </row>
    <row r="3560" spans="1:4" x14ac:dyDescent="0.25">
      <c r="A3560" s="88" t="str">
        <f t="shared" si="185"/>
        <v>9-2032</v>
      </c>
      <c r="B3560" s="86">
        <v>48486</v>
      </c>
      <c r="C3560" t="str">
        <f t="shared" si="186"/>
        <v>L-V</v>
      </c>
      <c r="D3560" t="str">
        <f t="shared" si="187"/>
        <v>Miércoles</v>
      </c>
    </row>
    <row r="3561" spans="1:4" x14ac:dyDescent="0.25">
      <c r="A3561" s="88" t="str">
        <f t="shared" si="185"/>
        <v>9-2032</v>
      </c>
      <c r="B3561" s="86">
        <v>48487</v>
      </c>
      <c r="C3561" t="str">
        <f t="shared" si="186"/>
        <v>L-V</v>
      </c>
      <c r="D3561" t="str">
        <f t="shared" si="187"/>
        <v>Jueves</v>
      </c>
    </row>
    <row r="3562" spans="1:4" x14ac:dyDescent="0.25">
      <c r="A3562" s="88" t="str">
        <f t="shared" si="185"/>
        <v>10-2032</v>
      </c>
      <c r="B3562" s="86">
        <v>48488</v>
      </c>
      <c r="C3562" t="str">
        <f t="shared" si="186"/>
        <v>L-V</v>
      </c>
      <c r="D3562" t="str">
        <f t="shared" si="187"/>
        <v>Viernes</v>
      </c>
    </row>
    <row r="3563" spans="1:4" x14ac:dyDescent="0.25">
      <c r="A3563" s="88" t="str">
        <f t="shared" si="185"/>
        <v>10-2032</v>
      </c>
      <c r="B3563" s="86">
        <v>48489</v>
      </c>
      <c r="C3563" t="str">
        <f t="shared" si="186"/>
        <v>SAB</v>
      </c>
      <c r="D3563" t="str">
        <f t="shared" si="187"/>
        <v>Sábado</v>
      </c>
    </row>
    <row r="3564" spans="1:4" x14ac:dyDescent="0.25">
      <c r="A3564" s="88" t="str">
        <f t="shared" si="185"/>
        <v>10-2032</v>
      </c>
      <c r="B3564" s="86">
        <v>48490</v>
      </c>
      <c r="C3564" t="str">
        <f t="shared" si="186"/>
        <v>DOM</v>
      </c>
      <c r="D3564" t="str">
        <f t="shared" si="187"/>
        <v>Domingo</v>
      </c>
    </row>
    <row r="3565" spans="1:4" x14ac:dyDescent="0.25">
      <c r="A3565" s="88" t="str">
        <f t="shared" si="185"/>
        <v>10-2032</v>
      </c>
      <c r="B3565" s="86">
        <v>48491</v>
      </c>
      <c r="C3565" t="str">
        <f t="shared" si="186"/>
        <v>L-V</v>
      </c>
      <c r="D3565" t="str">
        <f t="shared" si="187"/>
        <v>Lunes</v>
      </c>
    </row>
    <row r="3566" spans="1:4" x14ac:dyDescent="0.25">
      <c r="A3566" s="88" t="str">
        <f t="shared" si="185"/>
        <v>10-2032</v>
      </c>
      <c r="B3566" s="86">
        <v>48492</v>
      </c>
      <c r="C3566" t="str">
        <f t="shared" si="186"/>
        <v>L-V</v>
      </c>
      <c r="D3566" t="str">
        <f t="shared" si="187"/>
        <v>Martes</v>
      </c>
    </row>
    <row r="3567" spans="1:4" x14ac:dyDescent="0.25">
      <c r="A3567" s="88" t="str">
        <f t="shared" si="185"/>
        <v>10-2032</v>
      </c>
      <c r="B3567" s="86">
        <v>48493</v>
      </c>
      <c r="C3567" t="str">
        <f t="shared" si="186"/>
        <v>L-V</v>
      </c>
      <c r="D3567" t="str">
        <f t="shared" si="187"/>
        <v>Miércoles</v>
      </c>
    </row>
    <row r="3568" spans="1:4" x14ac:dyDescent="0.25">
      <c r="A3568" s="88" t="str">
        <f t="shared" si="185"/>
        <v>10-2032</v>
      </c>
      <c r="B3568" s="86">
        <v>48494</v>
      </c>
      <c r="C3568" t="str">
        <f t="shared" si="186"/>
        <v>L-V</v>
      </c>
      <c r="D3568" t="str">
        <f t="shared" si="187"/>
        <v>Jueves</v>
      </c>
    </row>
    <row r="3569" spans="1:4" x14ac:dyDescent="0.25">
      <c r="A3569" s="88" t="str">
        <f t="shared" si="185"/>
        <v>10-2032</v>
      </c>
      <c r="B3569" s="86">
        <v>48495</v>
      </c>
      <c r="C3569" t="str">
        <f t="shared" si="186"/>
        <v>L-V</v>
      </c>
      <c r="D3569" t="str">
        <f t="shared" si="187"/>
        <v>Viernes</v>
      </c>
    </row>
    <row r="3570" spans="1:4" x14ac:dyDescent="0.25">
      <c r="A3570" s="88" t="str">
        <f t="shared" si="185"/>
        <v>10-2032</v>
      </c>
      <c r="B3570" s="86">
        <v>48496</v>
      </c>
      <c r="C3570" t="str">
        <f t="shared" si="186"/>
        <v>SAB</v>
      </c>
      <c r="D3570" t="str">
        <f t="shared" si="187"/>
        <v>Sábado</v>
      </c>
    </row>
    <row r="3571" spans="1:4" x14ac:dyDescent="0.25">
      <c r="A3571" s="88" t="str">
        <f t="shared" si="185"/>
        <v>10-2032</v>
      </c>
      <c r="B3571" s="86">
        <v>48497</v>
      </c>
      <c r="C3571" t="str">
        <f t="shared" si="186"/>
        <v>DOM</v>
      </c>
      <c r="D3571" t="str">
        <f t="shared" si="187"/>
        <v>Domingo</v>
      </c>
    </row>
    <row r="3572" spans="1:4" x14ac:dyDescent="0.25">
      <c r="A3572" s="88" t="str">
        <f t="shared" si="185"/>
        <v>10-2032</v>
      </c>
      <c r="B3572" s="86">
        <v>48498</v>
      </c>
      <c r="C3572" t="str">
        <f t="shared" si="186"/>
        <v>L-V</v>
      </c>
      <c r="D3572" t="str">
        <f t="shared" si="187"/>
        <v>Lunes</v>
      </c>
    </row>
    <row r="3573" spans="1:4" x14ac:dyDescent="0.25">
      <c r="A3573" s="88" t="str">
        <f t="shared" si="185"/>
        <v>10-2032</v>
      </c>
      <c r="B3573" s="86">
        <v>48499</v>
      </c>
      <c r="C3573" t="str">
        <f t="shared" si="186"/>
        <v>L-V</v>
      </c>
      <c r="D3573" t="str">
        <f t="shared" si="187"/>
        <v>Martes</v>
      </c>
    </row>
    <row r="3574" spans="1:4" x14ac:dyDescent="0.25">
      <c r="A3574" s="88" t="str">
        <f t="shared" si="185"/>
        <v>10-2032</v>
      </c>
      <c r="B3574" s="86">
        <v>48500</v>
      </c>
      <c r="C3574" t="str">
        <f t="shared" si="186"/>
        <v>L-V</v>
      </c>
      <c r="D3574" t="str">
        <f t="shared" si="187"/>
        <v>Miércoles</v>
      </c>
    </row>
    <row r="3575" spans="1:4" x14ac:dyDescent="0.25">
      <c r="A3575" s="88" t="str">
        <f t="shared" si="185"/>
        <v>10-2032</v>
      </c>
      <c r="B3575" s="86">
        <v>48501</v>
      </c>
      <c r="C3575" t="str">
        <f t="shared" si="186"/>
        <v>L-V</v>
      </c>
      <c r="D3575" t="str">
        <f t="shared" si="187"/>
        <v>Jueves</v>
      </c>
    </row>
    <row r="3576" spans="1:4" x14ac:dyDescent="0.25">
      <c r="A3576" s="88" t="str">
        <f t="shared" si="185"/>
        <v>10-2032</v>
      </c>
      <c r="B3576" s="86">
        <v>48502</v>
      </c>
      <c r="C3576" t="str">
        <f t="shared" si="186"/>
        <v>L-V</v>
      </c>
      <c r="D3576" t="str">
        <f t="shared" si="187"/>
        <v>Viernes</v>
      </c>
    </row>
    <row r="3577" spans="1:4" x14ac:dyDescent="0.25">
      <c r="A3577" s="88" t="str">
        <f t="shared" si="185"/>
        <v>10-2032</v>
      </c>
      <c r="B3577" s="86">
        <v>48503</v>
      </c>
      <c r="C3577" t="str">
        <f t="shared" si="186"/>
        <v>SAB</v>
      </c>
      <c r="D3577" t="str">
        <f t="shared" si="187"/>
        <v>Sábado</v>
      </c>
    </row>
    <row r="3578" spans="1:4" x14ac:dyDescent="0.25">
      <c r="A3578" s="88" t="str">
        <f t="shared" si="185"/>
        <v>10-2032</v>
      </c>
      <c r="B3578" s="86">
        <v>48504</v>
      </c>
      <c r="C3578" t="str">
        <f t="shared" si="186"/>
        <v>DOM</v>
      </c>
      <c r="D3578" t="str">
        <f t="shared" si="187"/>
        <v>Domingo</v>
      </c>
    </row>
    <row r="3579" spans="1:4" x14ac:dyDescent="0.25">
      <c r="A3579" s="88" t="str">
        <f t="shared" si="185"/>
        <v>10-2032</v>
      </c>
      <c r="B3579" s="86">
        <v>48505</v>
      </c>
      <c r="C3579" t="str">
        <f t="shared" si="186"/>
        <v>L-V</v>
      </c>
      <c r="D3579" t="str">
        <f t="shared" si="187"/>
        <v>Lunes</v>
      </c>
    </row>
    <row r="3580" spans="1:4" x14ac:dyDescent="0.25">
      <c r="A3580" s="88" t="str">
        <f t="shared" si="185"/>
        <v>10-2032</v>
      </c>
      <c r="B3580" s="86">
        <v>48506</v>
      </c>
      <c r="C3580" t="str">
        <f t="shared" si="186"/>
        <v>L-V</v>
      </c>
      <c r="D3580" t="str">
        <f t="shared" si="187"/>
        <v>Martes</v>
      </c>
    </row>
    <row r="3581" spans="1:4" x14ac:dyDescent="0.25">
      <c r="A3581" s="88" t="str">
        <f t="shared" si="185"/>
        <v>10-2032</v>
      </c>
      <c r="B3581" s="86">
        <v>48507</v>
      </c>
      <c r="C3581" t="str">
        <f t="shared" si="186"/>
        <v>L-V</v>
      </c>
      <c r="D3581" t="str">
        <f t="shared" si="187"/>
        <v>Miércoles</v>
      </c>
    </row>
    <row r="3582" spans="1:4" x14ac:dyDescent="0.25">
      <c r="A3582" s="88" t="str">
        <f t="shared" si="185"/>
        <v>10-2032</v>
      </c>
      <c r="B3582" s="86">
        <v>48508</v>
      </c>
      <c r="C3582" t="str">
        <f t="shared" si="186"/>
        <v>L-V</v>
      </c>
      <c r="D3582" t="str">
        <f t="shared" si="187"/>
        <v>Jueves</v>
      </c>
    </row>
    <row r="3583" spans="1:4" x14ac:dyDescent="0.25">
      <c r="A3583" s="88" t="str">
        <f t="shared" si="185"/>
        <v>10-2032</v>
      </c>
      <c r="B3583" s="86">
        <v>48509</v>
      </c>
      <c r="C3583" t="str">
        <f t="shared" si="186"/>
        <v>L-V</v>
      </c>
      <c r="D3583" t="str">
        <f t="shared" si="187"/>
        <v>Viernes</v>
      </c>
    </row>
    <row r="3584" spans="1:4" x14ac:dyDescent="0.25">
      <c r="A3584" s="88" t="str">
        <f t="shared" si="185"/>
        <v>10-2032</v>
      </c>
      <c r="B3584" s="86">
        <v>48510</v>
      </c>
      <c r="C3584" t="str">
        <f t="shared" si="186"/>
        <v>SAB</v>
      </c>
      <c r="D3584" t="str">
        <f t="shared" si="187"/>
        <v>Sábado</v>
      </c>
    </row>
    <row r="3585" spans="1:4" x14ac:dyDescent="0.25">
      <c r="A3585" s="88" t="str">
        <f t="shared" si="185"/>
        <v>10-2032</v>
      </c>
      <c r="B3585" s="86">
        <v>48511</v>
      </c>
      <c r="C3585" t="str">
        <f t="shared" si="186"/>
        <v>DOM</v>
      </c>
      <c r="D3585" t="str">
        <f t="shared" si="187"/>
        <v>Domingo</v>
      </c>
    </row>
    <row r="3586" spans="1:4" x14ac:dyDescent="0.25">
      <c r="A3586" s="88" t="str">
        <f t="shared" ref="A3586:A3649" si="188">MONTH(B3586)&amp;"-"&amp;YEAR(B3586)</f>
        <v>10-2032</v>
      </c>
      <c r="B3586" s="86">
        <v>48512</v>
      </c>
      <c r="C3586" t="str">
        <f t="shared" si="186"/>
        <v>L-V</v>
      </c>
      <c r="D3586" t="str">
        <f t="shared" si="187"/>
        <v>Lunes</v>
      </c>
    </row>
    <row r="3587" spans="1:4" x14ac:dyDescent="0.25">
      <c r="A3587" s="88" t="str">
        <f t="shared" si="188"/>
        <v>10-2032</v>
      </c>
      <c r="B3587" s="86">
        <v>48513</v>
      </c>
      <c r="C3587" t="str">
        <f t="shared" ref="C3587:C3650" si="189">VLOOKUP(WEEKDAY(B3587,2),$F$1:$H$7,2)</f>
        <v>L-V</v>
      </c>
      <c r="D3587" t="str">
        <f t="shared" ref="D3587:D3650" si="190">VLOOKUP(WEEKDAY($B3587,2),$F$1:$H$7,3)</f>
        <v>Martes</v>
      </c>
    </row>
    <row r="3588" spans="1:4" x14ac:dyDescent="0.25">
      <c r="A3588" s="88" t="str">
        <f t="shared" si="188"/>
        <v>10-2032</v>
      </c>
      <c r="B3588" s="86">
        <v>48514</v>
      </c>
      <c r="C3588" t="str">
        <f t="shared" si="189"/>
        <v>L-V</v>
      </c>
      <c r="D3588" t="str">
        <f t="shared" si="190"/>
        <v>Miércoles</v>
      </c>
    </row>
    <row r="3589" spans="1:4" x14ac:dyDescent="0.25">
      <c r="A3589" s="88" t="str">
        <f t="shared" si="188"/>
        <v>10-2032</v>
      </c>
      <c r="B3589" s="86">
        <v>48515</v>
      </c>
      <c r="C3589" t="str">
        <f t="shared" si="189"/>
        <v>L-V</v>
      </c>
      <c r="D3589" t="str">
        <f t="shared" si="190"/>
        <v>Jueves</v>
      </c>
    </row>
    <row r="3590" spans="1:4" x14ac:dyDescent="0.25">
      <c r="A3590" s="88" t="str">
        <f t="shared" si="188"/>
        <v>10-2032</v>
      </c>
      <c r="B3590" s="86">
        <v>48516</v>
      </c>
      <c r="C3590" t="str">
        <f t="shared" si="189"/>
        <v>L-V</v>
      </c>
      <c r="D3590" t="str">
        <f t="shared" si="190"/>
        <v>Viernes</v>
      </c>
    </row>
    <row r="3591" spans="1:4" x14ac:dyDescent="0.25">
      <c r="A3591" s="88" t="str">
        <f t="shared" si="188"/>
        <v>10-2032</v>
      </c>
      <c r="B3591" s="86">
        <v>48517</v>
      </c>
      <c r="C3591" t="str">
        <f t="shared" si="189"/>
        <v>SAB</v>
      </c>
      <c r="D3591" t="str">
        <f t="shared" si="190"/>
        <v>Sábado</v>
      </c>
    </row>
    <row r="3592" spans="1:4" x14ac:dyDescent="0.25">
      <c r="A3592" s="88" t="str">
        <f t="shared" si="188"/>
        <v>10-2032</v>
      </c>
      <c r="B3592" s="86">
        <v>48518</v>
      </c>
      <c r="C3592" t="str">
        <f t="shared" si="189"/>
        <v>DOM</v>
      </c>
      <c r="D3592" t="str">
        <f t="shared" si="190"/>
        <v>Domingo</v>
      </c>
    </row>
    <row r="3593" spans="1:4" x14ac:dyDescent="0.25">
      <c r="A3593" s="88" t="str">
        <f t="shared" si="188"/>
        <v>11-2032</v>
      </c>
      <c r="B3593" s="86">
        <v>48519</v>
      </c>
      <c r="C3593" t="str">
        <f t="shared" si="189"/>
        <v>L-V</v>
      </c>
      <c r="D3593" t="str">
        <f t="shared" si="190"/>
        <v>Lunes</v>
      </c>
    </row>
    <row r="3594" spans="1:4" x14ac:dyDescent="0.25">
      <c r="A3594" s="88" t="str">
        <f t="shared" si="188"/>
        <v>11-2032</v>
      </c>
      <c r="B3594" s="86">
        <v>48520</v>
      </c>
      <c r="C3594" t="str">
        <f t="shared" si="189"/>
        <v>L-V</v>
      </c>
      <c r="D3594" t="str">
        <f t="shared" si="190"/>
        <v>Martes</v>
      </c>
    </row>
    <row r="3595" spans="1:4" x14ac:dyDescent="0.25">
      <c r="A3595" s="88" t="str">
        <f t="shared" si="188"/>
        <v>11-2032</v>
      </c>
      <c r="B3595" s="86">
        <v>48521</v>
      </c>
      <c r="C3595" t="str">
        <f t="shared" si="189"/>
        <v>L-V</v>
      </c>
      <c r="D3595" t="str">
        <f t="shared" si="190"/>
        <v>Miércoles</v>
      </c>
    </row>
    <row r="3596" spans="1:4" x14ac:dyDescent="0.25">
      <c r="A3596" s="88" t="str">
        <f t="shared" si="188"/>
        <v>11-2032</v>
      </c>
      <c r="B3596" s="86">
        <v>48522</v>
      </c>
      <c r="C3596" t="str">
        <f t="shared" si="189"/>
        <v>L-V</v>
      </c>
      <c r="D3596" t="str">
        <f t="shared" si="190"/>
        <v>Jueves</v>
      </c>
    </row>
    <row r="3597" spans="1:4" x14ac:dyDescent="0.25">
      <c r="A3597" s="88" t="str">
        <f t="shared" si="188"/>
        <v>11-2032</v>
      </c>
      <c r="B3597" s="86">
        <v>48523</v>
      </c>
      <c r="C3597" t="str">
        <f t="shared" si="189"/>
        <v>L-V</v>
      </c>
      <c r="D3597" t="str">
        <f t="shared" si="190"/>
        <v>Viernes</v>
      </c>
    </row>
    <row r="3598" spans="1:4" x14ac:dyDescent="0.25">
      <c r="A3598" s="88" t="str">
        <f t="shared" si="188"/>
        <v>11-2032</v>
      </c>
      <c r="B3598" s="86">
        <v>48524</v>
      </c>
      <c r="C3598" t="str">
        <f t="shared" si="189"/>
        <v>SAB</v>
      </c>
      <c r="D3598" t="str">
        <f t="shared" si="190"/>
        <v>Sábado</v>
      </c>
    </row>
    <row r="3599" spans="1:4" x14ac:dyDescent="0.25">
      <c r="A3599" s="88" t="str">
        <f t="shared" si="188"/>
        <v>11-2032</v>
      </c>
      <c r="B3599" s="86">
        <v>48525</v>
      </c>
      <c r="C3599" t="str">
        <f t="shared" si="189"/>
        <v>DOM</v>
      </c>
      <c r="D3599" t="str">
        <f t="shared" si="190"/>
        <v>Domingo</v>
      </c>
    </row>
    <row r="3600" spans="1:4" x14ac:dyDescent="0.25">
      <c r="A3600" s="88" t="str">
        <f t="shared" si="188"/>
        <v>11-2032</v>
      </c>
      <c r="B3600" s="86">
        <v>48526</v>
      </c>
      <c r="C3600" t="str">
        <f t="shared" si="189"/>
        <v>L-V</v>
      </c>
      <c r="D3600" t="str">
        <f t="shared" si="190"/>
        <v>Lunes</v>
      </c>
    </row>
    <row r="3601" spans="1:4" x14ac:dyDescent="0.25">
      <c r="A3601" s="88" t="str">
        <f t="shared" si="188"/>
        <v>11-2032</v>
      </c>
      <c r="B3601" s="86">
        <v>48527</v>
      </c>
      <c r="C3601" t="str">
        <f t="shared" si="189"/>
        <v>L-V</v>
      </c>
      <c r="D3601" t="str">
        <f t="shared" si="190"/>
        <v>Martes</v>
      </c>
    </row>
    <row r="3602" spans="1:4" x14ac:dyDescent="0.25">
      <c r="A3602" s="88" t="str">
        <f t="shared" si="188"/>
        <v>11-2032</v>
      </c>
      <c r="B3602" s="86">
        <v>48528</v>
      </c>
      <c r="C3602" t="str">
        <f t="shared" si="189"/>
        <v>L-V</v>
      </c>
      <c r="D3602" t="str">
        <f t="shared" si="190"/>
        <v>Miércoles</v>
      </c>
    </row>
    <row r="3603" spans="1:4" x14ac:dyDescent="0.25">
      <c r="A3603" s="88" t="str">
        <f t="shared" si="188"/>
        <v>11-2032</v>
      </c>
      <c r="B3603" s="86">
        <v>48529</v>
      </c>
      <c r="C3603" t="str">
        <f t="shared" si="189"/>
        <v>L-V</v>
      </c>
      <c r="D3603" t="str">
        <f t="shared" si="190"/>
        <v>Jueves</v>
      </c>
    </row>
    <row r="3604" spans="1:4" x14ac:dyDescent="0.25">
      <c r="A3604" s="88" t="str">
        <f t="shared" si="188"/>
        <v>11-2032</v>
      </c>
      <c r="B3604" s="86">
        <v>48530</v>
      </c>
      <c r="C3604" t="str">
        <f t="shared" si="189"/>
        <v>L-V</v>
      </c>
      <c r="D3604" t="str">
        <f t="shared" si="190"/>
        <v>Viernes</v>
      </c>
    </row>
    <row r="3605" spans="1:4" x14ac:dyDescent="0.25">
      <c r="A3605" s="88" t="str">
        <f t="shared" si="188"/>
        <v>11-2032</v>
      </c>
      <c r="B3605" s="86">
        <v>48531</v>
      </c>
      <c r="C3605" t="str">
        <f t="shared" si="189"/>
        <v>SAB</v>
      </c>
      <c r="D3605" t="str">
        <f t="shared" si="190"/>
        <v>Sábado</v>
      </c>
    </row>
    <row r="3606" spans="1:4" x14ac:dyDescent="0.25">
      <c r="A3606" s="88" t="str">
        <f t="shared" si="188"/>
        <v>11-2032</v>
      </c>
      <c r="B3606" s="86">
        <v>48532</v>
      </c>
      <c r="C3606" t="str">
        <f t="shared" si="189"/>
        <v>DOM</v>
      </c>
      <c r="D3606" t="str">
        <f t="shared" si="190"/>
        <v>Domingo</v>
      </c>
    </row>
    <row r="3607" spans="1:4" x14ac:dyDescent="0.25">
      <c r="A3607" s="88" t="str">
        <f t="shared" si="188"/>
        <v>11-2032</v>
      </c>
      <c r="B3607" s="86">
        <v>48533</v>
      </c>
      <c r="C3607" t="str">
        <f t="shared" si="189"/>
        <v>L-V</v>
      </c>
      <c r="D3607" t="str">
        <f t="shared" si="190"/>
        <v>Lunes</v>
      </c>
    </row>
    <row r="3608" spans="1:4" x14ac:dyDescent="0.25">
      <c r="A3608" s="88" t="str">
        <f t="shared" si="188"/>
        <v>11-2032</v>
      </c>
      <c r="B3608" s="86">
        <v>48534</v>
      </c>
      <c r="C3608" t="str">
        <f t="shared" si="189"/>
        <v>L-V</v>
      </c>
      <c r="D3608" t="str">
        <f t="shared" si="190"/>
        <v>Martes</v>
      </c>
    </row>
    <row r="3609" spans="1:4" x14ac:dyDescent="0.25">
      <c r="A3609" s="88" t="str">
        <f t="shared" si="188"/>
        <v>11-2032</v>
      </c>
      <c r="B3609" s="86">
        <v>48535</v>
      </c>
      <c r="C3609" t="str">
        <f t="shared" si="189"/>
        <v>L-V</v>
      </c>
      <c r="D3609" t="str">
        <f t="shared" si="190"/>
        <v>Miércoles</v>
      </c>
    </row>
    <row r="3610" spans="1:4" x14ac:dyDescent="0.25">
      <c r="A3610" s="88" t="str">
        <f t="shared" si="188"/>
        <v>11-2032</v>
      </c>
      <c r="B3610" s="86">
        <v>48536</v>
      </c>
      <c r="C3610" t="str">
        <f t="shared" si="189"/>
        <v>L-V</v>
      </c>
      <c r="D3610" t="str">
        <f t="shared" si="190"/>
        <v>Jueves</v>
      </c>
    </row>
    <row r="3611" spans="1:4" x14ac:dyDescent="0.25">
      <c r="A3611" s="88" t="str">
        <f t="shared" si="188"/>
        <v>11-2032</v>
      </c>
      <c r="B3611" s="86">
        <v>48537</v>
      </c>
      <c r="C3611" t="str">
        <f t="shared" si="189"/>
        <v>L-V</v>
      </c>
      <c r="D3611" t="str">
        <f t="shared" si="190"/>
        <v>Viernes</v>
      </c>
    </row>
    <row r="3612" spans="1:4" x14ac:dyDescent="0.25">
      <c r="A3612" s="88" t="str">
        <f t="shared" si="188"/>
        <v>11-2032</v>
      </c>
      <c r="B3612" s="86">
        <v>48538</v>
      </c>
      <c r="C3612" t="str">
        <f t="shared" si="189"/>
        <v>SAB</v>
      </c>
      <c r="D3612" t="str">
        <f t="shared" si="190"/>
        <v>Sábado</v>
      </c>
    </row>
    <row r="3613" spans="1:4" x14ac:dyDescent="0.25">
      <c r="A3613" s="88" t="str">
        <f t="shared" si="188"/>
        <v>11-2032</v>
      </c>
      <c r="B3613" s="86">
        <v>48539</v>
      </c>
      <c r="C3613" t="str">
        <f t="shared" si="189"/>
        <v>DOM</v>
      </c>
      <c r="D3613" t="str">
        <f t="shared" si="190"/>
        <v>Domingo</v>
      </c>
    </row>
    <row r="3614" spans="1:4" x14ac:dyDescent="0.25">
      <c r="A3614" s="88" t="str">
        <f t="shared" si="188"/>
        <v>11-2032</v>
      </c>
      <c r="B3614" s="86">
        <v>48540</v>
      </c>
      <c r="C3614" t="str">
        <f t="shared" si="189"/>
        <v>L-V</v>
      </c>
      <c r="D3614" t="str">
        <f t="shared" si="190"/>
        <v>Lunes</v>
      </c>
    </row>
    <row r="3615" spans="1:4" x14ac:dyDescent="0.25">
      <c r="A3615" s="88" t="str">
        <f t="shared" si="188"/>
        <v>11-2032</v>
      </c>
      <c r="B3615" s="86">
        <v>48541</v>
      </c>
      <c r="C3615" t="str">
        <f t="shared" si="189"/>
        <v>L-V</v>
      </c>
      <c r="D3615" t="str">
        <f t="shared" si="190"/>
        <v>Martes</v>
      </c>
    </row>
    <row r="3616" spans="1:4" x14ac:dyDescent="0.25">
      <c r="A3616" s="88" t="str">
        <f t="shared" si="188"/>
        <v>11-2032</v>
      </c>
      <c r="B3616" s="86">
        <v>48542</v>
      </c>
      <c r="C3616" t="str">
        <f t="shared" si="189"/>
        <v>L-V</v>
      </c>
      <c r="D3616" t="str">
        <f t="shared" si="190"/>
        <v>Miércoles</v>
      </c>
    </row>
    <row r="3617" spans="1:4" x14ac:dyDescent="0.25">
      <c r="A3617" s="88" t="str">
        <f t="shared" si="188"/>
        <v>11-2032</v>
      </c>
      <c r="B3617" s="86">
        <v>48543</v>
      </c>
      <c r="C3617" t="str">
        <f t="shared" si="189"/>
        <v>L-V</v>
      </c>
      <c r="D3617" t="str">
        <f t="shared" si="190"/>
        <v>Jueves</v>
      </c>
    </row>
    <row r="3618" spans="1:4" x14ac:dyDescent="0.25">
      <c r="A3618" s="88" t="str">
        <f t="shared" si="188"/>
        <v>11-2032</v>
      </c>
      <c r="B3618" s="86">
        <v>48544</v>
      </c>
      <c r="C3618" t="str">
        <f t="shared" si="189"/>
        <v>L-V</v>
      </c>
      <c r="D3618" t="str">
        <f t="shared" si="190"/>
        <v>Viernes</v>
      </c>
    </row>
    <row r="3619" spans="1:4" x14ac:dyDescent="0.25">
      <c r="A3619" s="88" t="str">
        <f t="shared" si="188"/>
        <v>11-2032</v>
      </c>
      <c r="B3619" s="86">
        <v>48545</v>
      </c>
      <c r="C3619" t="str">
        <f t="shared" si="189"/>
        <v>SAB</v>
      </c>
      <c r="D3619" t="str">
        <f t="shared" si="190"/>
        <v>Sábado</v>
      </c>
    </row>
    <row r="3620" spans="1:4" x14ac:dyDescent="0.25">
      <c r="A3620" s="88" t="str">
        <f t="shared" si="188"/>
        <v>11-2032</v>
      </c>
      <c r="B3620" s="86">
        <v>48546</v>
      </c>
      <c r="C3620" t="str">
        <f t="shared" si="189"/>
        <v>DOM</v>
      </c>
      <c r="D3620" t="str">
        <f t="shared" si="190"/>
        <v>Domingo</v>
      </c>
    </row>
    <row r="3621" spans="1:4" x14ac:dyDescent="0.25">
      <c r="A3621" s="88" t="str">
        <f t="shared" si="188"/>
        <v>11-2032</v>
      </c>
      <c r="B3621" s="86">
        <v>48547</v>
      </c>
      <c r="C3621" t="str">
        <f t="shared" si="189"/>
        <v>L-V</v>
      </c>
      <c r="D3621" t="str">
        <f t="shared" si="190"/>
        <v>Lunes</v>
      </c>
    </row>
    <row r="3622" spans="1:4" x14ac:dyDescent="0.25">
      <c r="A3622" s="88" t="str">
        <f t="shared" si="188"/>
        <v>11-2032</v>
      </c>
      <c r="B3622" s="86">
        <v>48548</v>
      </c>
      <c r="C3622" t="str">
        <f t="shared" si="189"/>
        <v>L-V</v>
      </c>
      <c r="D3622" t="str">
        <f t="shared" si="190"/>
        <v>Martes</v>
      </c>
    </row>
    <row r="3623" spans="1:4" x14ac:dyDescent="0.25">
      <c r="A3623" s="88" t="str">
        <f t="shared" si="188"/>
        <v>12-2032</v>
      </c>
      <c r="B3623" s="86">
        <v>48549</v>
      </c>
      <c r="C3623" t="str">
        <f t="shared" si="189"/>
        <v>L-V</v>
      </c>
      <c r="D3623" t="str">
        <f t="shared" si="190"/>
        <v>Miércoles</v>
      </c>
    </row>
    <row r="3624" spans="1:4" x14ac:dyDescent="0.25">
      <c r="A3624" s="88" t="str">
        <f t="shared" si="188"/>
        <v>12-2032</v>
      </c>
      <c r="B3624" s="86">
        <v>48550</v>
      </c>
      <c r="C3624" t="str">
        <f t="shared" si="189"/>
        <v>L-V</v>
      </c>
      <c r="D3624" t="str">
        <f t="shared" si="190"/>
        <v>Jueves</v>
      </c>
    </row>
    <row r="3625" spans="1:4" x14ac:dyDescent="0.25">
      <c r="A3625" s="88" t="str">
        <f t="shared" si="188"/>
        <v>12-2032</v>
      </c>
      <c r="B3625" s="86">
        <v>48551</v>
      </c>
      <c r="C3625" t="str">
        <f t="shared" si="189"/>
        <v>L-V</v>
      </c>
      <c r="D3625" t="str">
        <f t="shared" si="190"/>
        <v>Viernes</v>
      </c>
    </row>
    <row r="3626" spans="1:4" x14ac:dyDescent="0.25">
      <c r="A3626" s="88" t="str">
        <f t="shared" si="188"/>
        <v>12-2032</v>
      </c>
      <c r="B3626" s="86">
        <v>48552</v>
      </c>
      <c r="C3626" t="str">
        <f t="shared" si="189"/>
        <v>SAB</v>
      </c>
      <c r="D3626" t="str">
        <f t="shared" si="190"/>
        <v>Sábado</v>
      </c>
    </row>
    <row r="3627" spans="1:4" x14ac:dyDescent="0.25">
      <c r="A3627" s="88" t="str">
        <f t="shared" si="188"/>
        <v>12-2032</v>
      </c>
      <c r="B3627" s="86">
        <v>48553</v>
      </c>
      <c r="C3627" t="str">
        <f t="shared" si="189"/>
        <v>DOM</v>
      </c>
      <c r="D3627" t="str">
        <f t="shared" si="190"/>
        <v>Domingo</v>
      </c>
    </row>
    <row r="3628" spans="1:4" x14ac:dyDescent="0.25">
      <c r="A3628" s="88" t="str">
        <f t="shared" si="188"/>
        <v>12-2032</v>
      </c>
      <c r="B3628" s="86">
        <v>48554</v>
      </c>
      <c r="C3628" t="str">
        <f t="shared" si="189"/>
        <v>L-V</v>
      </c>
      <c r="D3628" t="str">
        <f t="shared" si="190"/>
        <v>Lunes</v>
      </c>
    </row>
    <row r="3629" spans="1:4" x14ac:dyDescent="0.25">
      <c r="A3629" s="88" t="str">
        <f t="shared" si="188"/>
        <v>12-2032</v>
      </c>
      <c r="B3629" s="86">
        <v>48555</v>
      </c>
      <c r="C3629" t="str">
        <f t="shared" si="189"/>
        <v>L-V</v>
      </c>
      <c r="D3629" t="str">
        <f t="shared" si="190"/>
        <v>Martes</v>
      </c>
    </row>
    <row r="3630" spans="1:4" x14ac:dyDescent="0.25">
      <c r="A3630" s="88" t="str">
        <f t="shared" si="188"/>
        <v>12-2032</v>
      </c>
      <c r="B3630" s="86">
        <v>48556</v>
      </c>
      <c r="C3630" t="str">
        <f t="shared" si="189"/>
        <v>L-V</v>
      </c>
      <c r="D3630" t="str">
        <f t="shared" si="190"/>
        <v>Miércoles</v>
      </c>
    </row>
    <row r="3631" spans="1:4" x14ac:dyDescent="0.25">
      <c r="A3631" s="88" t="str">
        <f t="shared" si="188"/>
        <v>12-2032</v>
      </c>
      <c r="B3631" s="86">
        <v>48557</v>
      </c>
      <c r="C3631" t="str">
        <f t="shared" si="189"/>
        <v>L-V</v>
      </c>
      <c r="D3631" t="str">
        <f t="shared" si="190"/>
        <v>Jueves</v>
      </c>
    </row>
    <row r="3632" spans="1:4" x14ac:dyDescent="0.25">
      <c r="A3632" s="88" t="str">
        <f t="shared" si="188"/>
        <v>12-2032</v>
      </c>
      <c r="B3632" s="86">
        <v>48558</v>
      </c>
      <c r="C3632" t="str">
        <f t="shared" si="189"/>
        <v>L-V</v>
      </c>
      <c r="D3632" t="str">
        <f t="shared" si="190"/>
        <v>Viernes</v>
      </c>
    </row>
    <row r="3633" spans="1:4" x14ac:dyDescent="0.25">
      <c r="A3633" s="88" t="str">
        <f t="shared" si="188"/>
        <v>12-2032</v>
      </c>
      <c r="B3633" s="86">
        <v>48559</v>
      </c>
      <c r="C3633" t="str">
        <f t="shared" si="189"/>
        <v>SAB</v>
      </c>
      <c r="D3633" t="str">
        <f t="shared" si="190"/>
        <v>Sábado</v>
      </c>
    </row>
    <row r="3634" spans="1:4" x14ac:dyDescent="0.25">
      <c r="A3634" s="88" t="str">
        <f t="shared" si="188"/>
        <v>12-2032</v>
      </c>
      <c r="B3634" s="86">
        <v>48560</v>
      </c>
      <c r="C3634" t="str">
        <f t="shared" si="189"/>
        <v>DOM</v>
      </c>
      <c r="D3634" t="str">
        <f t="shared" si="190"/>
        <v>Domingo</v>
      </c>
    </row>
    <row r="3635" spans="1:4" x14ac:dyDescent="0.25">
      <c r="A3635" s="88" t="str">
        <f t="shared" si="188"/>
        <v>12-2032</v>
      </c>
      <c r="B3635" s="86">
        <v>48561</v>
      </c>
      <c r="C3635" t="str">
        <f t="shared" si="189"/>
        <v>L-V</v>
      </c>
      <c r="D3635" t="str">
        <f t="shared" si="190"/>
        <v>Lunes</v>
      </c>
    </row>
    <row r="3636" spans="1:4" x14ac:dyDescent="0.25">
      <c r="A3636" s="88" t="str">
        <f t="shared" si="188"/>
        <v>12-2032</v>
      </c>
      <c r="B3636" s="86">
        <v>48562</v>
      </c>
      <c r="C3636" t="str">
        <f t="shared" si="189"/>
        <v>L-V</v>
      </c>
      <c r="D3636" t="str">
        <f t="shared" si="190"/>
        <v>Martes</v>
      </c>
    </row>
    <row r="3637" spans="1:4" x14ac:dyDescent="0.25">
      <c r="A3637" s="88" t="str">
        <f t="shared" si="188"/>
        <v>12-2032</v>
      </c>
      <c r="B3637" s="86">
        <v>48563</v>
      </c>
      <c r="C3637" t="str">
        <f t="shared" si="189"/>
        <v>L-V</v>
      </c>
      <c r="D3637" t="str">
        <f t="shared" si="190"/>
        <v>Miércoles</v>
      </c>
    </row>
    <row r="3638" spans="1:4" x14ac:dyDescent="0.25">
      <c r="A3638" s="88" t="str">
        <f t="shared" si="188"/>
        <v>12-2032</v>
      </c>
      <c r="B3638" s="86">
        <v>48564</v>
      </c>
      <c r="C3638" t="str">
        <f t="shared" si="189"/>
        <v>L-V</v>
      </c>
      <c r="D3638" t="str">
        <f t="shared" si="190"/>
        <v>Jueves</v>
      </c>
    </row>
    <row r="3639" spans="1:4" x14ac:dyDescent="0.25">
      <c r="A3639" s="88" t="str">
        <f t="shared" si="188"/>
        <v>12-2032</v>
      </c>
      <c r="B3639" s="86">
        <v>48565</v>
      </c>
      <c r="C3639" t="str">
        <f t="shared" si="189"/>
        <v>L-V</v>
      </c>
      <c r="D3639" t="str">
        <f t="shared" si="190"/>
        <v>Viernes</v>
      </c>
    </row>
    <row r="3640" spans="1:4" x14ac:dyDescent="0.25">
      <c r="A3640" s="88" t="str">
        <f t="shared" si="188"/>
        <v>12-2032</v>
      </c>
      <c r="B3640" s="86">
        <v>48566</v>
      </c>
      <c r="C3640" t="str">
        <f t="shared" si="189"/>
        <v>SAB</v>
      </c>
      <c r="D3640" t="str">
        <f t="shared" si="190"/>
        <v>Sábado</v>
      </c>
    </row>
    <row r="3641" spans="1:4" x14ac:dyDescent="0.25">
      <c r="A3641" s="88" t="str">
        <f t="shared" si="188"/>
        <v>12-2032</v>
      </c>
      <c r="B3641" s="86">
        <v>48567</v>
      </c>
      <c r="C3641" t="str">
        <f t="shared" si="189"/>
        <v>DOM</v>
      </c>
      <c r="D3641" t="str">
        <f t="shared" si="190"/>
        <v>Domingo</v>
      </c>
    </row>
    <row r="3642" spans="1:4" x14ac:dyDescent="0.25">
      <c r="A3642" s="88" t="str">
        <f t="shared" si="188"/>
        <v>12-2032</v>
      </c>
      <c r="B3642" s="86">
        <v>48568</v>
      </c>
      <c r="C3642" t="str">
        <f t="shared" si="189"/>
        <v>L-V</v>
      </c>
      <c r="D3642" t="str">
        <f t="shared" si="190"/>
        <v>Lunes</v>
      </c>
    </row>
    <row r="3643" spans="1:4" x14ac:dyDescent="0.25">
      <c r="A3643" s="88" t="str">
        <f t="shared" si="188"/>
        <v>12-2032</v>
      </c>
      <c r="B3643" s="86">
        <v>48569</v>
      </c>
      <c r="C3643" t="str">
        <f t="shared" si="189"/>
        <v>L-V</v>
      </c>
      <c r="D3643" t="str">
        <f t="shared" si="190"/>
        <v>Martes</v>
      </c>
    </row>
    <row r="3644" spans="1:4" x14ac:dyDescent="0.25">
      <c r="A3644" s="88" t="str">
        <f t="shared" si="188"/>
        <v>12-2032</v>
      </c>
      <c r="B3644" s="86">
        <v>48570</v>
      </c>
      <c r="C3644" t="str">
        <f t="shared" si="189"/>
        <v>L-V</v>
      </c>
      <c r="D3644" t="str">
        <f t="shared" si="190"/>
        <v>Miércoles</v>
      </c>
    </row>
    <row r="3645" spans="1:4" x14ac:dyDescent="0.25">
      <c r="A3645" s="88" t="str">
        <f t="shared" si="188"/>
        <v>12-2032</v>
      </c>
      <c r="B3645" s="86">
        <v>48571</v>
      </c>
      <c r="C3645" t="str">
        <f t="shared" si="189"/>
        <v>L-V</v>
      </c>
      <c r="D3645" t="str">
        <f t="shared" si="190"/>
        <v>Jueves</v>
      </c>
    </row>
    <row r="3646" spans="1:4" x14ac:dyDescent="0.25">
      <c r="A3646" s="88" t="str">
        <f t="shared" si="188"/>
        <v>12-2032</v>
      </c>
      <c r="B3646" s="86">
        <v>48572</v>
      </c>
      <c r="C3646" t="str">
        <f t="shared" si="189"/>
        <v>L-V</v>
      </c>
      <c r="D3646" t="str">
        <f t="shared" si="190"/>
        <v>Viernes</v>
      </c>
    </row>
    <row r="3647" spans="1:4" x14ac:dyDescent="0.25">
      <c r="A3647" s="88" t="str">
        <f t="shared" si="188"/>
        <v>12-2032</v>
      </c>
      <c r="B3647" s="86">
        <v>48573</v>
      </c>
      <c r="C3647" t="str">
        <f t="shared" si="189"/>
        <v>SAB</v>
      </c>
      <c r="D3647" t="str">
        <f t="shared" si="190"/>
        <v>Sábado</v>
      </c>
    </row>
    <row r="3648" spans="1:4" x14ac:dyDescent="0.25">
      <c r="A3648" s="88" t="str">
        <f t="shared" si="188"/>
        <v>12-2032</v>
      </c>
      <c r="B3648" s="86">
        <v>48574</v>
      </c>
      <c r="C3648" t="str">
        <f t="shared" si="189"/>
        <v>DOM</v>
      </c>
      <c r="D3648" t="str">
        <f t="shared" si="190"/>
        <v>Domingo</v>
      </c>
    </row>
    <row r="3649" spans="1:4" x14ac:dyDescent="0.25">
      <c r="A3649" s="88" t="str">
        <f t="shared" si="188"/>
        <v>12-2032</v>
      </c>
      <c r="B3649" s="86">
        <v>48575</v>
      </c>
      <c r="C3649" t="str">
        <f t="shared" si="189"/>
        <v>L-V</v>
      </c>
      <c r="D3649" t="str">
        <f t="shared" si="190"/>
        <v>Lunes</v>
      </c>
    </row>
    <row r="3650" spans="1:4" x14ac:dyDescent="0.25">
      <c r="A3650" s="88" t="str">
        <f t="shared" ref="A3650:A3713" si="191">MONTH(B3650)&amp;"-"&amp;YEAR(B3650)</f>
        <v>12-2032</v>
      </c>
      <c r="B3650" s="86">
        <v>48576</v>
      </c>
      <c r="C3650" t="str">
        <f t="shared" si="189"/>
        <v>L-V</v>
      </c>
      <c r="D3650" t="str">
        <f t="shared" si="190"/>
        <v>Martes</v>
      </c>
    </row>
    <row r="3651" spans="1:4" x14ac:dyDescent="0.25">
      <c r="A3651" s="88" t="str">
        <f t="shared" si="191"/>
        <v>12-2032</v>
      </c>
      <c r="B3651" s="86">
        <v>48577</v>
      </c>
      <c r="C3651" t="str">
        <f t="shared" ref="C3651:C3714" si="192">VLOOKUP(WEEKDAY(B3651,2),$F$1:$H$7,2)</f>
        <v>L-V</v>
      </c>
      <c r="D3651" t="str">
        <f t="shared" ref="D3651:D3714" si="193">VLOOKUP(WEEKDAY($B3651,2),$F$1:$H$7,3)</f>
        <v>Miércoles</v>
      </c>
    </row>
    <row r="3652" spans="1:4" x14ac:dyDescent="0.25">
      <c r="A3652" s="88" t="str">
        <f t="shared" si="191"/>
        <v>12-2032</v>
      </c>
      <c r="B3652" s="86">
        <v>48578</v>
      </c>
      <c r="C3652" t="str">
        <f t="shared" si="192"/>
        <v>L-V</v>
      </c>
      <c r="D3652" t="str">
        <f t="shared" si="193"/>
        <v>Jueves</v>
      </c>
    </row>
    <row r="3653" spans="1:4" x14ac:dyDescent="0.25">
      <c r="A3653" s="88" t="str">
        <f t="shared" si="191"/>
        <v>12-2032</v>
      </c>
      <c r="B3653" s="86">
        <v>48579</v>
      </c>
      <c r="C3653" t="str">
        <f t="shared" si="192"/>
        <v>L-V</v>
      </c>
      <c r="D3653" t="str">
        <f t="shared" si="193"/>
        <v>Viernes</v>
      </c>
    </row>
    <row r="3654" spans="1:4" x14ac:dyDescent="0.25">
      <c r="A3654" s="88" t="str">
        <f t="shared" si="191"/>
        <v>1-2033</v>
      </c>
      <c r="B3654" s="86">
        <v>48580</v>
      </c>
      <c r="C3654" t="str">
        <f t="shared" si="192"/>
        <v>SAB</v>
      </c>
      <c r="D3654" t="str">
        <f t="shared" si="193"/>
        <v>Sábado</v>
      </c>
    </row>
    <row r="3655" spans="1:4" x14ac:dyDescent="0.25">
      <c r="A3655" s="88" t="str">
        <f t="shared" si="191"/>
        <v>1-2033</v>
      </c>
      <c r="B3655" s="86">
        <v>48581</v>
      </c>
      <c r="C3655" t="str">
        <f t="shared" si="192"/>
        <v>DOM</v>
      </c>
      <c r="D3655" t="str">
        <f t="shared" si="193"/>
        <v>Domingo</v>
      </c>
    </row>
    <row r="3656" spans="1:4" x14ac:dyDescent="0.25">
      <c r="A3656" s="88" t="str">
        <f t="shared" si="191"/>
        <v>1-2033</v>
      </c>
      <c r="B3656" s="86">
        <v>48582</v>
      </c>
      <c r="C3656" t="str">
        <f t="shared" si="192"/>
        <v>L-V</v>
      </c>
      <c r="D3656" t="str">
        <f t="shared" si="193"/>
        <v>Lunes</v>
      </c>
    </row>
    <row r="3657" spans="1:4" x14ac:dyDescent="0.25">
      <c r="A3657" s="88" t="str">
        <f t="shared" si="191"/>
        <v>1-2033</v>
      </c>
      <c r="B3657" s="86">
        <v>48583</v>
      </c>
      <c r="C3657" t="str">
        <f t="shared" si="192"/>
        <v>L-V</v>
      </c>
      <c r="D3657" t="str">
        <f t="shared" si="193"/>
        <v>Martes</v>
      </c>
    </row>
    <row r="3658" spans="1:4" x14ac:dyDescent="0.25">
      <c r="A3658" s="88" t="str">
        <f t="shared" si="191"/>
        <v>1-2033</v>
      </c>
      <c r="B3658" s="86">
        <v>48584</v>
      </c>
      <c r="C3658" t="str">
        <f t="shared" si="192"/>
        <v>L-V</v>
      </c>
      <c r="D3658" t="str">
        <f t="shared" si="193"/>
        <v>Miércoles</v>
      </c>
    </row>
    <row r="3659" spans="1:4" x14ac:dyDescent="0.25">
      <c r="A3659" s="88" t="str">
        <f t="shared" si="191"/>
        <v>1-2033</v>
      </c>
      <c r="B3659" s="86">
        <v>48585</v>
      </c>
      <c r="C3659" t="str">
        <f t="shared" si="192"/>
        <v>L-V</v>
      </c>
      <c r="D3659" t="str">
        <f t="shared" si="193"/>
        <v>Jueves</v>
      </c>
    </row>
    <row r="3660" spans="1:4" x14ac:dyDescent="0.25">
      <c r="A3660" s="88" t="str">
        <f t="shared" si="191"/>
        <v>1-2033</v>
      </c>
      <c r="B3660" s="86">
        <v>48586</v>
      </c>
      <c r="C3660" t="str">
        <f t="shared" si="192"/>
        <v>L-V</v>
      </c>
      <c r="D3660" t="str">
        <f t="shared" si="193"/>
        <v>Viernes</v>
      </c>
    </row>
    <row r="3661" spans="1:4" x14ac:dyDescent="0.25">
      <c r="A3661" s="88" t="str">
        <f t="shared" si="191"/>
        <v>1-2033</v>
      </c>
      <c r="B3661" s="86">
        <v>48587</v>
      </c>
      <c r="C3661" t="str">
        <f t="shared" si="192"/>
        <v>SAB</v>
      </c>
      <c r="D3661" t="str">
        <f t="shared" si="193"/>
        <v>Sábado</v>
      </c>
    </row>
    <row r="3662" spans="1:4" x14ac:dyDescent="0.25">
      <c r="A3662" s="88" t="str">
        <f t="shared" si="191"/>
        <v>1-2033</v>
      </c>
      <c r="B3662" s="86">
        <v>48588</v>
      </c>
      <c r="C3662" t="str">
        <f t="shared" si="192"/>
        <v>DOM</v>
      </c>
      <c r="D3662" t="str">
        <f t="shared" si="193"/>
        <v>Domingo</v>
      </c>
    </row>
    <row r="3663" spans="1:4" x14ac:dyDescent="0.25">
      <c r="A3663" s="88" t="str">
        <f t="shared" si="191"/>
        <v>1-2033</v>
      </c>
      <c r="B3663" s="86">
        <v>48589</v>
      </c>
      <c r="C3663" t="str">
        <f t="shared" si="192"/>
        <v>L-V</v>
      </c>
      <c r="D3663" t="str">
        <f t="shared" si="193"/>
        <v>Lunes</v>
      </c>
    </row>
    <row r="3664" spans="1:4" x14ac:dyDescent="0.25">
      <c r="A3664" s="88" t="str">
        <f t="shared" si="191"/>
        <v>1-2033</v>
      </c>
      <c r="B3664" s="86">
        <v>48590</v>
      </c>
      <c r="C3664" t="str">
        <f t="shared" si="192"/>
        <v>L-V</v>
      </c>
      <c r="D3664" t="str">
        <f t="shared" si="193"/>
        <v>Martes</v>
      </c>
    </row>
    <row r="3665" spans="1:4" x14ac:dyDescent="0.25">
      <c r="A3665" s="88" t="str">
        <f t="shared" si="191"/>
        <v>1-2033</v>
      </c>
      <c r="B3665" s="86">
        <v>48591</v>
      </c>
      <c r="C3665" t="str">
        <f t="shared" si="192"/>
        <v>L-V</v>
      </c>
      <c r="D3665" t="str">
        <f t="shared" si="193"/>
        <v>Miércoles</v>
      </c>
    </row>
    <row r="3666" spans="1:4" x14ac:dyDescent="0.25">
      <c r="A3666" s="88" t="str">
        <f t="shared" si="191"/>
        <v>1-2033</v>
      </c>
      <c r="B3666" s="86">
        <v>48592</v>
      </c>
      <c r="C3666" t="str">
        <f t="shared" si="192"/>
        <v>L-V</v>
      </c>
      <c r="D3666" t="str">
        <f t="shared" si="193"/>
        <v>Jueves</v>
      </c>
    </row>
    <row r="3667" spans="1:4" x14ac:dyDescent="0.25">
      <c r="A3667" s="88" t="str">
        <f t="shared" si="191"/>
        <v>1-2033</v>
      </c>
      <c r="B3667" s="86">
        <v>48593</v>
      </c>
      <c r="C3667" t="str">
        <f t="shared" si="192"/>
        <v>L-V</v>
      </c>
      <c r="D3667" t="str">
        <f t="shared" si="193"/>
        <v>Viernes</v>
      </c>
    </row>
    <row r="3668" spans="1:4" x14ac:dyDescent="0.25">
      <c r="A3668" s="88" t="str">
        <f t="shared" si="191"/>
        <v>1-2033</v>
      </c>
      <c r="B3668" s="86">
        <v>48594</v>
      </c>
      <c r="C3668" t="str">
        <f t="shared" si="192"/>
        <v>SAB</v>
      </c>
      <c r="D3668" t="str">
        <f t="shared" si="193"/>
        <v>Sábado</v>
      </c>
    </row>
    <row r="3669" spans="1:4" x14ac:dyDescent="0.25">
      <c r="A3669" s="88" t="str">
        <f t="shared" si="191"/>
        <v>1-2033</v>
      </c>
      <c r="B3669" s="86">
        <v>48595</v>
      </c>
      <c r="C3669" t="str">
        <f t="shared" si="192"/>
        <v>DOM</v>
      </c>
      <c r="D3669" t="str">
        <f t="shared" si="193"/>
        <v>Domingo</v>
      </c>
    </row>
    <row r="3670" spans="1:4" x14ac:dyDescent="0.25">
      <c r="A3670" s="88" t="str">
        <f t="shared" si="191"/>
        <v>1-2033</v>
      </c>
      <c r="B3670" s="86">
        <v>48596</v>
      </c>
      <c r="C3670" t="str">
        <f t="shared" si="192"/>
        <v>L-V</v>
      </c>
      <c r="D3670" t="str">
        <f t="shared" si="193"/>
        <v>Lunes</v>
      </c>
    </row>
    <row r="3671" spans="1:4" x14ac:dyDescent="0.25">
      <c r="A3671" s="88" t="str">
        <f t="shared" si="191"/>
        <v>1-2033</v>
      </c>
      <c r="B3671" s="86">
        <v>48597</v>
      </c>
      <c r="C3671" t="str">
        <f t="shared" si="192"/>
        <v>L-V</v>
      </c>
      <c r="D3671" t="str">
        <f t="shared" si="193"/>
        <v>Martes</v>
      </c>
    </row>
    <row r="3672" spans="1:4" x14ac:dyDescent="0.25">
      <c r="A3672" s="88" t="str">
        <f t="shared" si="191"/>
        <v>1-2033</v>
      </c>
      <c r="B3672" s="86">
        <v>48598</v>
      </c>
      <c r="C3672" t="str">
        <f t="shared" si="192"/>
        <v>L-V</v>
      </c>
      <c r="D3672" t="str">
        <f t="shared" si="193"/>
        <v>Miércoles</v>
      </c>
    </row>
    <row r="3673" spans="1:4" x14ac:dyDescent="0.25">
      <c r="A3673" s="88" t="str">
        <f t="shared" si="191"/>
        <v>1-2033</v>
      </c>
      <c r="B3673" s="86">
        <v>48599</v>
      </c>
      <c r="C3673" t="str">
        <f t="shared" si="192"/>
        <v>L-V</v>
      </c>
      <c r="D3673" t="str">
        <f t="shared" si="193"/>
        <v>Jueves</v>
      </c>
    </row>
    <row r="3674" spans="1:4" x14ac:dyDescent="0.25">
      <c r="A3674" s="88" t="str">
        <f t="shared" si="191"/>
        <v>1-2033</v>
      </c>
      <c r="B3674" s="86">
        <v>48600</v>
      </c>
      <c r="C3674" t="str">
        <f t="shared" si="192"/>
        <v>L-V</v>
      </c>
      <c r="D3674" t="str">
        <f t="shared" si="193"/>
        <v>Viernes</v>
      </c>
    </row>
    <row r="3675" spans="1:4" x14ac:dyDescent="0.25">
      <c r="A3675" s="88" t="str">
        <f t="shared" si="191"/>
        <v>1-2033</v>
      </c>
      <c r="B3675" s="86">
        <v>48601</v>
      </c>
      <c r="C3675" t="str">
        <f t="shared" si="192"/>
        <v>SAB</v>
      </c>
      <c r="D3675" t="str">
        <f t="shared" si="193"/>
        <v>Sábado</v>
      </c>
    </row>
    <row r="3676" spans="1:4" x14ac:dyDescent="0.25">
      <c r="A3676" s="88" t="str">
        <f t="shared" si="191"/>
        <v>1-2033</v>
      </c>
      <c r="B3676" s="86">
        <v>48602</v>
      </c>
      <c r="C3676" t="str">
        <f t="shared" si="192"/>
        <v>DOM</v>
      </c>
      <c r="D3676" t="str">
        <f t="shared" si="193"/>
        <v>Domingo</v>
      </c>
    </row>
    <row r="3677" spans="1:4" x14ac:dyDescent="0.25">
      <c r="A3677" s="88" t="str">
        <f t="shared" si="191"/>
        <v>1-2033</v>
      </c>
      <c r="B3677" s="86">
        <v>48603</v>
      </c>
      <c r="C3677" t="str">
        <f t="shared" si="192"/>
        <v>L-V</v>
      </c>
      <c r="D3677" t="str">
        <f t="shared" si="193"/>
        <v>Lunes</v>
      </c>
    </row>
    <row r="3678" spans="1:4" x14ac:dyDescent="0.25">
      <c r="A3678" s="88" t="str">
        <f t="shared" si="191"/>
        <v>1-2033</v>
      </c>
      <c r="B3678" s="86">
        <v>48604</v>
      </c>
      <c r="C3678" t="str">
        <f t="shared" si="192"/>
        <v>L-V</v>
      </c>
      <c r="D3678" t="str">
        <f t="shared" si="193"/>
        <v>Martes</v>
      </c>
    </row>
    <row r="3679" spans="1:4" x14ac:dyDescent="0.25">
      <c r="A3679" s="88" t="str">
        <f t="shared" si="191"/>
        <v>1-2033</v>
      </c>
      <c r="B3679" s="86">
        <v>48605</v>
      </c>
      <c r="C3679" t="str">
        <f t="shared" si="192"/>
        <v>L-V</v>
      </c>
      <c r="D3679" t="str">
        <f t="shared" si="193"/>
        <v>Miércoles</v>
      </c>
    </row>
    <row r="3680" spans="1:4" x14ac:dyDescent="0.25">
      <c r="A3680" s="88" t="str">
        <f t="shared" si="191"/>
        <v>1-2033</v>
      </c>
      <c r="B3680" s="86">
        <v>48606</v>
      </c>
      <c r="C3680" t="str">
        <f t="shared" si="192"/>
        <v>L-V</v>
      </c>
      <c r="D3680" t="str">
        <f t="shared" si="193"/>
        <v>Jueves</v>
      </c>
    </row>
    <row r="3681" spans="1:4" x14ac:dyDescent="0.25">
      <c r="A3681" s="88" t="str">
        <f t="shared" si="191"/>
        <v>1-2033</v>
      </c>
      <c r="B3681" s="86">
        <v>48607</v>
      </c>
      <c r="C3681" t="str">
        <f t="shared" si="192"/>
        <v>L-V</v>
      </c>
      <c r="D3681" t="str">
        <f t="shared" si="193"/>
        <v>Viernes</v>
      </c>
    </row>
    <row r="3682" spans="1:4" x14ac:dyDescent="0.25">
      <c r="A3682" s="88" t="str">
        <f t="shared" si="191"/>
        <v>1-2033</v>
      </c>
      <c r="B3682" s="86">
        <v>48608</v>
      </c>
      <c r="C3682" t="str">
        <f t="shared" si="192"/>
        <v>SAB</v>
      </c>
      <c r="D3682" t="str">
        <f t="shared" si="193"/>
        <v>Sábado</v>
      </c>
    </row>
    <row r="3683" spans="1:4" x14ac:dyDescent="0.25">
      <c r="A3683" s="88" t="str">
        <f t="shared" si="191"/>
        <v>1-2033</v>
      </c>
      <c r="B3683" s="86">
        <v>48609</v>
      </c>
      <c r="C3683" t="str">
        <f t="shared" si="192"/>
        <v>DOM</v>
      </c>
      <c r="D3683" t="str">
        <f t="shared" si="193"/>
        <v>Domingo</v>
      </c>
    </row>
    <row r="3684" spans="1:4" x14ac:dyDescent="0.25">
      <c r="A3684" s="88" t="str">
        <f t="shared" si="191"/>
        <v>1-2033</v>
      </c>
      <c r="B3684" s="86">
        <v>48610</v>
      </c>
      <c r="C3684" t="str">
        <f t="shared" si="192"/>
        <v>L-V</v>
      </c>
      <c r="D3684" t="str">
        <f t="shared" si="193"/>
        <v>Lunes</v>
      </c>
    </row>
    <row r="3685" spans="1:4" x14ac:dyDescent="0.25">
      <c r="A3685" s="88" t="str">
        <f t="shared" si="191"/>
        <v>2-2033</v>
      </c>
      <c r="B3685" s="86">
        <v>48611</v>
      </c>
      <c r="C3685" t="str">
        <f t="shared" si="192"/>
        <v>L-V</v>
      </c>
      <c r="D3685" t="str">
        <f t="shared" si="193"/>
        <v>Martes</v>
      </c>
    </row>
    <row r="3686" spans="1:4" x14ac:dyDescent="0.25">
      <c r="A3686" s="88" t="str">
        <f t="shared" si="191"/>
        <v>2-2033</v>
      </c>
      <c r="B3686" s="86">
        <v>48612</v>
      </c>
      <c r="C3686" t="str">
        <f t="shared" si="192"/>
        <v>L-V</v>
      </c>
      <c r="D3686" t="str">
        <f t="shared" si="193"/>
        <v>Miércoles</v>
      </c>
    </row>
    <row r="3687" spans="1:4" x14ac:dyDescent="0.25">
      <c r="A3687" s="88" t="str">
        <f t="shared" si="191"/>
        <v>2-2033</v>
      </c>
      <c r="B3687" s="86">
        <v>48613</v>
      </c>
      <c r="C3687" t="str">
        <f t="shared" si="192"/>
        <v>L-V</v>
      </c>
      <c r="D3687" t="str">
        <f t="shared" si="193"/>
        <v>Jueves</v>
      </c>
    </row>
    <row r="3688" spans="1:4" x14ac:dyDescent="0.25">
      <c r="A3688" s="88" t="str">
        <f t="shared" si="191"/>
        <v>2-2033</v>
      </c>
      <c r="B3688" s="86">
        <v>48614</v>
      </c>
      <c r="C3688" t="str">
        <f t="shared" si="192"/>
        <v>L-V</v>
      </c>
      <c r="D3688" t="str">
        <f t="shared" si="193"/>
        <v>Viernes</v>
      </c>
    </row>
    <row r="3689" spans="1:4" x14ac:dyDescent="0.25">
      <c r="A3689" s="88" t="str">
        <f t="shared" si="191"/>
        <v>2-2033</v>
      </c>
      <c r="B3689" s="86">
        <v>48615</v>
      </c>
      <c r="C3689" t="str">
        <f t="shared" si="192"/>
        <v>SAB</v>
      </c>
      <c r="D3689" t="str">
        <f t="shared" si="193"/>
        <v>Sábado</v>
      </c>
    </row>
    <row r="3690" spans="1:4" x14ac:dyDescent="0.25">
      <c r="A3690" s="88" t="str">
        <f t="shared" si="191"/>
        <v>2-2033</v>
      </c>
      <c r="B3690" s="86">
        <v>48616</v>
      </c>
      <c r="C3690" t="str">
        <f t="shared" si="192"/>
        <v>DOM</v>
      </c>
      <c r="D3690" t="str">
        <f t="shared" si="193"/>
        <v>Domingo</v>
      </c>
    </row>
    <row r="3691" spans="1:4" x14ac:dyDescent="0.25">
      <c r="A3691" s="88" t="str">
        <f t="shared" si="191"/>
        <v>2-2033</v>
      </c>
      <c r="B3691" s="86">
        <v>48617</v>
      </c>
      <c r="C3691" t="str">
        <f t="shared" si="192"/>
        <v>L-V</v>
      </c>
      <c r="D3691" t="str">
        <f t="shared" si="193"/>
        <v>Lunes</v>
      </c>
    </row>
    <row r="3692" spans="1:4" x14ac:dyDescent="0.25">
      <c r="A3692" s="88" t="str">
        <f t="shared" si="191"/>
        <v>2-2033</v>
      </c>
      <c r="B3692" s="86">
        <v>48618</v>
      </c>
      <c r="C3692" t="str">
        <f t="shared" si="192"/>
        <v>L-V</v>
      </c>
      <c r="D3692" t="str">
        <f t="shared" si="193"/>
        <v>Martes</v>
      </c>
    </row>
    <row r="3693" spans="1:4" x14ac:dyDescent="0.25">
      <c r="A3693" s="88" t="str">
        <f t="shared" si="191"/>
        <v>2-2033</v>
      </c>
      <c r="B3693" s="86">
        <v>48619</v>
      </c>
      <c r="C3693" t="str">
        <f t="shared" si="192"/>
        <v>L-V</v>
      </c>
      <c r="D3693" t="str">
        <f t="shared" si="193"/>
        <v>Miércoles</v>
      </c>
    </row>
    <row r="3694" spans="1:4" x14ac:dyDescent="0.25">
      <c r="A3694" s="88" t="str">
        <f t="shared" si="191"/>
        <v>2-2033</v>
      </c>
      <c r="B3694" s="86">
        <v>48620</v>
      </c>
      <c r="C3694" t="str">
        <f t="shared" si="192"/>
        <v>L-V</v>
      </c>
      <c r="D3694" t="str">
        <f t="shared" si="193"/>
        <v>Jueves</v>
      </c>
    </row>
    <row r="3695" spans="1:4" x14ac:dyDescent="0.25">
      <c r="A3695" s="88" t="str">
        <f t="shared" si="191"/>
        <v>2-2033</v>
      </c>
      <c r="B3695" s="86">
        <v>48621</v>
      </c>
      <c r="C3695" t="str">
        <f t="shared" si="192"/>
        <v>L-V</v>
      </c>
      <c r="D3695" t="str">
        <f t="shared" si="193"/>
        <v>Viernes</v>
      </c>
    </row>
    <row r="3696" spans="1:4" x14ac:dyDescent="0.25">
      <c r="A3696" s="88" t="str">
        <f t="shared" si="191"/>
        <v>2-2033</v>
      </c>
      <c r="B3696" s="86">
        <v>48622</v>
      </c>
      <c r="C3696" t="str">
        <f t="shared" si="192"/>
        <v>SAB</v>
      </c>
      <c r="D3696" t="str">
        <f t="shared" si="193"/>
        <v>Sábado</v>
      </c>
    </row>
    <row r="3697" spans="1:4" x14ac:dyDescent="0.25">
      <c r="A3697" s="88" t="str">
        <f t="shared" si="191"/>
        <v>2-2033</v>
      </c>
      <c r="B3697" s="86">
        <v>48623</v>
      </c>
      <c r="C3697" t="str">
        <f t="shared" si="192"/>
        <v>DOM</v>
      </c>
      <c r="D3697" t="str">
        <f t="shared" si="193"/>
        <v>Domingo</v>
      </c>
    </row>
    <row r="3698" spans="1:4" x14ac:dyDescent="0.25">
      <c r="A3698" s="88" t="str">
        <f t="shared" si="191"/>
        <v>2-2033</v>
      </c>
      <c r="B3698" s="86">
        <v>48624</v>
      </c>
      <c r="C3698" t="str">
        <f t="shared" si="192"/>
        <v>L-V</v>
      </c>
      <c r="D3698" t="str">
        <f t="shared" si="193"/>
        <v>Lunes</v>
      </c>
    </row>
    <row r="3699" spans="1:4" x14ac:dyDescent="0.25">
      <c r="A3699" s="88" t="str">
        <f t="shared" si="191"/>
        <v>2-2033</v>
      </c>
      <c r="B3699" s="86">
        <v>48625</v>
      </c>
      <c r="C3699" t="str">
        <f t="shared" si="192"/>
        <v>L-V</v>
      </c>
      <c r="D3699" t="str">
        <f t="shared" si="193"/>
        <v>Martes</v>
      </c>
    </row>
    <row r="3700" spans="1:4" x14ac:dyDescent="0.25">
      <c r="A3700" s="88" t="str">
        <f t="shared" si="191"/>
        <v>2-2033</v>
      </c>
      <c r="B3700" s="86">
        <v>48626</v>
      </c>
      <c r="C3700" t="str">
        <f t="shared" si="192"/>
        <v>L-V</v>
      </c>
      <c r="D3700" t="str">
        <f t="shared" si="193"/>
        <v>Miércoles</v>
      </c>
    </row>
    <row r="3701" spans="1:4" x14ac:dyDescent="0.25">
      <c r="A3701" s="88" t="str">
        <f t="shared" si="191"/>
        <v>2-2033</v>
      </c>
      <c r="B3701" s="86">
        <v>48627</v>
      </c>
      <c r="C3701" t="str">
        <f t="shared" si="192"/>
        <v>L-V</v>
      </c>
      <c r="D3701" t="str">
        <f t="shared" si="193"/>
        <v>Jueves</v>
      </c>
    </row>
    <row r="3702" spans="1:4" x14ac:dyDescent="0.25">
      <c r="A3702" s="88" t="str">
        <f t="shared" si="191"/>
        <v>2-2033</v>
      </c>
      <c r="B3702" s="86">
        <v>48628</v>
      </c>
      <c r="C3702" t="str">
        <f t="shared" si="192"/>
        <v>L-V</v>
      </c>
      <c r="D3702" t="str">
        <f t="shared" si="193"/>
        <v>Viernes</v>
      </c>
    </row>
    <row r="3703" spans="1:4" x14ac:dyDescent="0.25">
      <c r="A3703" s="88" t="str">
        <f t="shared" si="191"/>
        <v>2-2033</v>
      </c>
      <c r="B3703" s="86">
        <v>48629</v>
      </c>
      <c r="C3703" t="str">
        <f t="shared" si="192"/>
        <v>SAB</v>
      </c>
      <c r="D3703" t="str">
        <f t="shared" si="193"/>
        <v>Sábado</v>
      </c>
    </row>
    <row r="3704" spans="1:4" x14ac:dyDescent="0.25">
      <c r="A3704" s="88" t="str">
        <f t="shared" si="191"/>
        <v>2-2033</v>
      </c>
      <c r="B3704" s="86">
        <v>48630</v>
      </c>
      <c r="C3704" t="str">
        <f t="shared" si="192"/>
        <v>DOM</v>
      </c>
      <c r="D3704" t="str">
        <f t="shared" si="193"/>
        <v>Domingo</v>
      </c>
    </row>
    <row r="3705" spans="1:4" x14ac:dyDescent="0.25">
      <c r="A3705" s="88" t="str">
        <f t="shared" si="191"/>
        <v>2-2033</v>
      </c>
      <c r="B3705" s="86">
        <v>48631</v>
      </c>
      <c r="C3705" t="str">
        <f t="shared" si="192"/>
        <v>L-V</v>
      </c>
      <c r="D3705" t="str">
        <f t="shared" si="193"/>
        <v>Lunes</v>
      </c>
    </row>
    <row r="3706" spans="1:4" x14ac:dyDescent="0.25">
      <c r="A3706" s="88" t="str">
        <f t="shared" si="191"/>
        <v>2-2033</v>
      </c>
      <c r="B3706" s="86">
        <v>48632</v>
      </c>
      <c r="C3706" t="str">
        <f t="shared" si="192"/>
        <v>L-V</v>
      </c>
      <c r="D3706" t="str">
        <f t="shared" si="193"/>
        <v>Martes</v>
      </c>
    </row>
    <row r="3707" spans="1:4" x14ac:dyDescent="0.25">
      <c r="A3707" s="88" t="str">
        <f t="shared" si="191"/>
        <v>2-2033</v>
      </c>
      <c r="B3707" s="86">
        <v>48633</v>
      </c>
      <c r="C3707" t="str">
        <f t="shared" si="192"/>
        <v>L-V</v>
      </c>
      <c r="D3707" t="str">
        <f t="shared" si="193"/>
        <v>Miércoles</v>
      </c>
    </row>
    <row r="3708" spans="1:4" x14ac:dyDescent="0.25">
      <c r="A3708" s="88" t="str">
        <f t="shared" si="191"/>
        <v>2-2033</v>
      </c>
      <c r="B3708" s="86">
        <v>48634</v>
      </c>
      <c r="C3708" t="str">
        <f t="shared" si="192"/>
        <v>L-V</v>
      </c>
      <c r="D3708" t="str">
        <f t="shared" si="193"/>
        <v>Jueves</v>
      </c>
    </row>
    <row r="3709" spans="1:4" x14ac:dyDescent="0.25">
      <c r="A3709" s="88" t="str">
        <f t="shared" si="191"/>
        <v>2-2033</v>
      </c>
      <c r="B3709" s="86">
        <v>48635</v>
      </c>
      <c r="C3709" t="str">
        <f t="shared" si="192"/>
        <v>L-V</v>
      </c>
      <c r="D3709" t="str">
        <f t="shared" si="193"/>
        <v>Viernes</v>
      </c>
    </row>
    <row r="3710" spans="1:4" x14ac:dyDescent="0.25">
      <c r="A3710" s="88" t="str">
        <f t="shared" si="191"/>
        <v>2-2033</v>
      </c>
      <c r="B3710" s="86">
        <v>48636</v>
      </c>
      <c r="C3710" t="str">
        <f t="shared" si="192"/>
        <v>SAB</v>
      </c>
      <c r="D3710" t="str">
        <f t="shared" si="193"/>
        <v>Sábado</v>
      </c>
    </row>
    <row r="3711" spans="1:4" x14ac:dyDescent="0.25">
      <c r="A3711" s="88" t="str">
        <f t="shared" si="191"/>
        <v>2-2033</v>
      </c>
      <c r="B3711" s="86">
        <v>48637</v>
      </c>
      <c r="C3711" t="str">
        <f t="shared" si="192"/>
        <v>DOM</v>
      </c>
      <c r="D3711" t="str">
        <f t="shared" si="193"/>
        <v>Domingo</v>
      </c>
    </row>
    <row r="3712" spans="1:4" x14ac:dyDescent="0.25">
      <c r="A3712" s="88" t="str">
        <f t="shared" si="191"/>
        <v>2-2033</v>
      </c>
      <c r="B3712" s="86">
        <v>48638</v>
      </c>
      <c r="C3712" t="str">
        <f t="shared" si="192"/>
        <v>L-V</v>
      </c>
      <c r="D3712" t="str">
        <f t="shared" si="193"/>
        <v>Lunes</v>
      </c>
    </row>
    <row r="3713" spans="1:4" x14ac:dyDescent="0.25">
      <c r="A3713" s="88" t="str">
        <f t="shared" si="191"/>
        <v>3-2033</v>
      </c>
      <c r="B3713" s="86">
        <v>48639</v>
      </c>
      <c r="C3713" t="str">
        <f t="shared" si="192"/>
        <v>L-V</v>
      </c>
      <c r="D3713" t="str">
        <f t="shared" si="193"/>
        <v>Martes</v>
      </c>
    </row>
    <row r="3714" spans="1:4" x14ac:dyDescent="0.25">
      <c r="A3714" s="88" t="str">
        <f t="shared" ref="A3714:A3777" si="194">MONTH(B3714)&amp;"-"&amp;YEAR(B3714)</f>
        <v>3-2033</v>
      </c>
      <c r="B3714" s="86">
        <v>48640</v>
      </c>
      <c r="C3714" t="str">
        <f t="shared" si="192"/>
        <v>L-V</v>
      </c>
      <c r="D3714" t="str">
        <f t="shared" si="193"/>
        <v>Miércoles</v>
      </c>
    </row>
    <row r="3715" spans="1:4" x14ac:dyDescent="0.25">
      <c r="A3715" s="88" t="str">
        <f t="shared" si="194"/>
        <v>3-2033</v>
      </c>
      <c r="B3715" s="86">
        <v>48641</v>
      </c>
      <c r="C3715" t="str">
        <f t="shared" ref="C3715:C3778" si="195">VLOOKUP(WEEKDAY(B3715,2),$F$1:$H$7,2)</f>
        <v>L-V</v>
      </c>
      <c r="D3715" t="str">
        <f t="shared" ref="D3715:D3778" si="196">VLOOKUP(WEEKDAY($B3715,2),$F$1:$H$7,3)</f>
        <v>Jueves</v>
      </c>
    </row>
    <row r="3716" spans="1:4" x14ac:dyDescent="0.25">
      <c r="A3716" s="88" t="str">
        <f t="shared" si="194"/>
        <v>3-2033</v>
      </c>
      <c r="B3716" s="86">
        <v>48642</v>
      </c>
      <c r="C3716" t="str">
        <f t="shared" si="195"/>
        <v>L-V</v>
      </c>
      <c r="D3716" t="str">
        <f t="shared" si="196"/>
        <v>Viernes</v>
      </c>
    </row>
    <row r="3717" spans="1:4" x14ac:dyDescent="0.25">
      <c r="A3717" s="88" t="str">
        <f t="shared" si="194"/>
        <v>3-2033</v>
      </c>
      <c r="B3717" s="86">
        <v>48643</v>
      </c>
      <c r="C3717" t="str">
        <f t="shared" si="195"/>
        <v>SAB</v>
      </c>
      <c r="D3717" t="str">
        <f t="shared" si="196"/>
        <v>Sábado</v>
      </c>
    </row>
    <row r="3718" spans="1:4" x14ac:dyDescent="0.25">
      <c r="A3718" s="88" t="str">
        <f t="shared" si="194"/>
        <v>3-2033</v>
      </c>
      <c r="B3718" s="86">
        <v>48644</v>
      </c>
      <c r="C3718" t="str">
        <f t="shared" si="195"/>
        <v>DOM</v>
      </c>
      <c r="D3718" t="str">
        <f t="shared" si="196"/>
        <v>Domingo</v>
      </c>
    </row>
    <row r="3719" spans="1:4" x14ac:dyDescent="0.25">
      <c r="A3719" s="88" t="str">
        <f t="shared" si="194"/>
        <v>3-2033</v>
      </c>
      <c r="B3719" s="86">
        <v>48645</v>
      </c>
      <c r="C3719" t="str">
        <f t="shared" si="195"/>
        <v>L-V</v>
      </c>
      <c r="D3719" t="str">
        <f t="shared" si="196"/>
        <v>Lunes</v>
      </c>
    </row>
    <row r="3720" spans="1:4" x14ac:dyDescent="0.25">
      <c r="A3720" s="88" t="str">
        <f t="shared" si="194"/>
        <v>3-2033</v>
      </c>
      <c r="B3720" s="86">
        <v>48646</v>
      </c>
      <c r="C3720" t="str">
        <f t="shared" si="195"/>
        <v>L-V</v>
      </c>
      <c r="D3720" t="str">
        <f t="shared" si="196"/>
        <v>Martes</v>
      </c>
    </row>
    <row r="3721" spans="1:4" x14ac:dyDescent="0.25">
      <c r="A3721" s="88" t="str">
        <f t="shared" si="194"/>
        <v>3-2033</v>
      </c>
      <c r="B3721" s="86">
        <v>48647</v>
      </c>
      <c r="C3721" t="str">
        <f t="shared" si="195"/>
        <v>L-V</v>
      </c>
      <c r="D3721" t="str">
        <f t="shared" si="196"/>
        <v>Miércoles</v>
      </c>
    </row>
    <row r="3722" spans="1:4" x14ac:dyDescent="0.25">
      <c r="A3722" s="88" t="str">
        <f t="shared" si="194"/>
        <v>3-2033</v>
      </c>
      <c r="B3722" s="86">
        <v>48648</v>
      </c>
      <c r="C3722" t="str">
        <f t="shared" si="195"/>
        <v>L-V</v>
      </c>
      <c r="D3722" t="str">
        <f t="shared" si="196"/>
        <v>Jueves</v>
      </c>
    </row>
    <row r="3723" spans="1:4" x14ac:dyDescent="0.25">
      <c r="A3723" s="88" t="str">
        <f t="shared" si="194"/>
        <v>3-2033</v>
      </c>
      <c r="B3723" s="86">
        <v>48649</v>
      </c>
      <c r="C3723" t="str">
        <f t="shared" si="195"/>
        <v>L-V</v>
      </c>
      <c r="D3723" t="str">
        <f t="shared" si="196"/>
        <v>Viernes</v>
      </c>
    </row>
    <row r="3724" spans="1:4" x14ac:dyDescent="0.25">
      <c r="A3724" s="88" t="str">
        <f t="shared" si="194"/>
        <v>3-2033</v>
      </c>
      <c r="B3724" s="86">
        <v>48650</v>
      </c>
      <c r="C3724" t="str">
        <f t="shared" si="195"/>
        <v>SAB</v>
      </c>
      <c r="D3724" t="str">
        <f t="shared" si="196"/>
        <v>Sábado</v>
      </c>
    </row>
    <row r="3725" spans="1:4" x14ac:dyDescent="0.25">
      <c r="A3725" s="88" t="str">
        <f t="shared" si="194"/>
        <v>3-2033</v>
      </c>
      <c r="B3725" s="86">
        <v>48651</v>
      </c>
      <c r="C3725" t="str">
        <f t="shared" si="195"/>
        <v>DOM</v>
      </c>
      <c r="D3725" t="str">
        <f t="shared" si="196"/>
        <v>Domingo</v>
      </c>
    </row>
    <row r="3726" spans="1:4" x14ac:dyDescent="0.25">
      <c r="A3726" s="88" t="str">
        <f t="shared" si="194"/>
        <v>3-2033</v>
      </c>
      <c r="B3726" s="86">
        <v>48652</v>
      </c>
      <c r="C3726" t="str">
        <f t="shared" si="195"/>
        <v>L-V</v>
      </c>
      <c r="D3726" t="str">
        <f t="shared" si="196"/>
        <v>Lunes</v>
      </c>
    </row>
    <row r="3727" spans="1:4" x14ac:dyDescent="0.25">
      <c r="A3727" s="88" t="str">
        <f t="shared" si="194"/>
        <v>3-2033</v>
      </c>
      <c r="B3727" s="86">
        <v>48653</v>
      </c>
      <c r="C3727" t="str">
        <f t="shared" si="195"/>
        <v>L-V</v>
      </c>
      <c r="D3727" t="str">
        <f t="shared" si="196"/>
        <v>Martes</v>
      </c>
    </row>
    <row r="3728" spans="1:4" x14ac:dyDescent="0.25">
      <c r="A3728" s="88" t="str">
        <f t="shared" si="194"/>
        <v>3-2033</v>
      </c>
      <c r="B3728" s="86">
        <v>48654</v>
      </c>
      <c r="C3728" t="str">
        <f t="shared" si="195"/>
        <v>L-V</v>
      </c>
      <c r="D3728" t="str">
        <f t="shared" si="196"/>
        <v>Miércoles</v>
      </c>
    </row>
    <row r="3729" spans="1:4" x14ac:dyDescent="0.25">
      <c r="A3729" s="88" t="str">
        <f t="shared" si="194"/>
        <v>3-2033</v>
      </c>
      <c r="B3729" s="86">
        <v>48655</v>
      </c>
      <c r="C3729" t="str">
        <f t="shared" si="195"/>
        <v>L-V</v>
      </c>
      <c r="D3729" t="str">
        <f t="shared" si="196"/>
        <v>Jueves</v>
      </c>
    </row>
    <row r="3730" spans="1:4" x14ac:dyDescent="0.25">
      <c r="A3730" s="88" t="str">
        <f t="shared" si="194"/>
        <v>3-2033</v>
      </c>
      <c r="B3730" s="86">
        <v>48656</v>
      </c>
      <c r="C3730" t="str">
        <f t="shared" si="195"/>
        <v>L-V</v>
      </c>
      <c r="D3730" t="str">
        <f t="shared" si="196"/>
        <v>Viernes</v>
      </c>
    </row>
    <row r="3731" spans="1:4" x14ac:dyDescent="0.25">
      <c r="A3731" s="88" t="str">
        <f t="shared" si="194"/>
        <v>3-2033</v>
      </c>
      <c r="B3731" s="86">
        <v>48657</v>
      </c>
      <c r="C3731" t="str">
        <f t="shared" si="195"/>
        <v>SAB</v>
      </c>
      <c r="D3731" t="str">
        <f t="shared" si="196"/>
        <v>Sábado</v>
      </c>
    </row>
    <row r="3732" spans="1:4" x14ac:dyDescent="0.25">
      <c r="A3732" s="88" t="str">
        <f t="shared" si="194"/>
        <v>3-2033</v>
      </c>
      <c r="B3732" s="86">
        <v>48658</v>
      </c>
      <c r="C3732" t="str">
        <f t="shared" si="195"/>
        <v>DOM</v>
      </c>
      <c r="D3732" t="str">
        <f t="shared" si="196"/>
        <v>Domingo</v>
      </c>
    </row>
    <row r="3733" spans="1:4" x14ac:dyDescent="0.25">
      <c r="A3733" s="88" t="str">
        <f t="shared" si="194"/>
        <v>3-2033</v>
      </c>
      <c r="B3733" s="86">
        <v>48659</v>
      </c>
      <c r="C3733" t="str">
        <f t="shared" si="195"/>
        <v>L-V</v>
      </c>
      <c r="D3733" t="str">
        <f t="shared" si="196"/>
        <v>Lunes</v>
      </c>
    </row>
    <row r="3734" spans="1:4" x14ac:dyDescent="0.25">
      <c r="A3734" s="88" t="str">
        <f t="shared" si="194"/>
        <v>3-2033</v>
      </c>
      <c r="B3734" s="86">
        <v>48660</v>
      </c>
      <c r="C3734" t="str">
        <f t="shared" si="195"/>
        <v>L-V</v>
      </c>
      <c r="D3734" t="str">
        <f t="shared" si="196"/>
        <v>Martes</v>
      </c>
    </row>
    <row r="3735" spans="1:4" x14ac:dyDescent="0.25">
      <c r="A3735" s="88" t="str">
        <f t="shared" si="194"/>
        <v>3-2033</v>
      </c>
      <c r="B3735" s="86">
        <v>48661</v>
      </c>
      <c r="C3735" t="str">
        <f t="shared" si="195"/>
        <v>L-V</v>
      </c>
      <c r="D3735" t="str">
        <f t="shared" si="196"/>
        <v>Miércoles</v>
      </c>
    </row>
    <row r="3736" spans="1:4" x14ac:dyDescent="0.25">
      <c r="A3736" s="88" t="str">
        <f t="shared" si="194"/>
        <v>3-2033</v>
      </c>
      <c r="B3736" s="86">
        <v>48662</v>
      </c>
      <c r="C3736" t="str">
        <f t="shared" si="195"/>
        <v>L-V</v>
      </c>
      <c r="D3736" t="str">
        <f t="shared" si="196"/>
        <v>Jueves</v>
      </c>
    </row>
    <row r="3737" spans="1:4" x14ac:dyDescent="0.25">
      <c r="A3737" s="88" t="str">
        <f t="shared" si="194"/>
        <v>3-2033</v>
      </c>
      <c r="B3737" s="86">
        <v>48663</v>
      </c>
      <c r="C3737" t="str">
        <f t="shared" si="195"/>
        <v>L-V</v>
      </c>
      <c r="D3737" t="str">
        <f t="shared" si="196"/>
        <v>Viernes</v>
      </c>
    </row>
    <row r="3738" spans="1:4" x14ac:dyDescent="0.25">
      <c r="A3738" s="88" t="str">
        <f t="shared" si="194"/>
        <v>3-2033</v>
      </c>
      <c r="B3738" s="86">
        <v>48664</v>
      </c>
      <c r="C3738" t="str">
        <f t="shared" si="195"/>
        <v>SAB</v>
      </c>
      <c r="D3738" t="str">
        <f t="shared" si="196"/>
        <v>Sábado</v>
      </c>
    </row>
    <row r="3739" spans="1:4" x14ac:dyDescent="0.25">
      <c r="A3739" s="88" t="str">
        <f t="shared" si="194"/>
        <v>3-2033</v>
      </c>
      <c r="B3739" s="86">
        <v>48665</v>
      </c>
      <c r="C3739" t="str">
        <f t="shared" si="195"/>
        <v>DOM</v>
      </c>
      <c r="D3739" t="str">
        <f t="shared" si="196"/>
        <v>Domingo</v>
      </c>
    </row>
    <row r="3740" spans="1:4" x14ac:dyDescent="0.25">
      <c r="A3740" s="88" t="str">
        <f t="shared" si="194"/>
        <v>3-2033</v>
      </c>
      <c r="B3740" s="86">
        <v>48666</v>
      </c>
      <c r="C3740" t="str">
        <f t="shared" si="195"/>
        <v>L-V</v>
      </c>
      <c r="D3740" t="str">
        <f t="shared" si="196"/>
        <v>Lunes</v>
      </c>
    </row>
    <row r="3741" spans="1:4" x14ac:dyDescent="0.25">
      <c r="A3741" s="88" t="str">
        <f t="shared" si="194"/>
        <v>3-2033</v>
      </c>
      <c r="B3741" s="86">
        <v>48667</v>
      </c>
      <c r="C3741" t="str">
        <f t="shared" si="195"/>
        <v>L-V</v>
      </c>
      <c r="D3741" t="str">
        <f t="shared" si="196"/>
        <v>Martes</v>
      </c>
    </row>
    <row r="3742" spans="1:4" x14ac:dyDescent="0.25">
      <c r="A3742" s="88" t="str">
        <f t="shared" si="194"/>
        <v>3-2033</v>
      </c>
      <c r="B3742" s="86">
        <v>48668</v>
      </c>
      <c r="C3742" t="str">
        <f t="shared" si="195"/>
        <v>L-V</v>
      </c>
      <c r="D3742" t="str">
        <f t="shared" si="196"/>
        <v>Miércoles</v>
      </c>
    </row>
    <row r="3743" spans="1:4" x14ac:dyDescent="0.25">
      <c r="A3743" s="88" t="str">
        <f t="shared" si="194"/>
        <v>3-2033</v>
      </c>
      <c r="B3743" s="86">
        <v>48669</v>
      </c>
      <c r="C3743" t="str">
        <f t="shared" si="195"/>
        <v>L-V</v>
      </c>
      <c r="D3743" t="str">
        <f t="shared" si="196"/>
        <v>Jueves</v>
      </c>
    </row>
    <row r="3744" spans="1:4" x14ac:dyDescent="0.25">
      <c r="A3744" s="88" t="str">
        <f t="shared" si="194"/>
        <v>4-2033</v>
      </c>
      <c r="B3744" s="86">
        <v>48670</v>
      </c>
      <c r="C3744" t="str">
        <f t="shared" si="195"/>
        <v>L-V</v>
      </c>
      <c r="D3744" t="str">
        <f t="shared" si="196"/>
        <v>Viernes</v>
      </c>
    </row>
    <row r="3745" spans="1:4" x14ac:dyDescent="0.25">
      <c r="A3745" s="88" t="str">
        <f t="shared" si="194"/>
        <v>4-2033</v>
      </c>
      <c r="B3745" s="86">
        <v>48671</v>
      </c>
      <c r="C3745" t="str">
        <f t="shared" si="195"/>
        <v>SAB</v>
      </c>
      <c r="D3745" t="str">
        <f t="shared" si="196"/>
        <v>Sábado</v>
      </c>
    </row>
    <row r="3746" spans="1:4" x14ac:dyDescent="0.25">
      <c r="A3746" s="88" t="str">
        <f t="shared" si="194"/>
        <v>4-2033</v>
      </c>
      <c r="B3746" s="86">
        <v>48672</v>
      </c>
      <c r="C3746" t="str">
        <f t="shared" si="195"/>
        <v>DOM</v>
      </c>
      <c r="D3746" t="str">
        <f t="shared" si="196"/>
        <v>Domingo</v>
      </c>
    </row>
    <row r="3747" spans="1:4" x14ac:dyDescent="0.25">
      <c r="A3747" s="88" t="str">
        <f t="shared" si="194"/>
        <v>4-2033</v>
      </c>
      <c r="B3747" s="86">
        <v>48673</v>
      </c>
      <c r="C3747" t="str">
        <f t="shared" si="195"/>
        <v>L-V</v>
      </c>
      <c r="D3747" t="str">
        <f t="shared" si="196"/>
        <v>Lunes</v>
      </c>
    </row>
    <row r="3748" spans="1:4" x14ac:dyDescent="0.25">
      <c r="A3748" s="88" t="str">
        <f t="shared" si="194"/>
        <v>4-2033</v>
      </c>
      <c r="B3748" s="86">
        <v>48674</v>
      </c>
      <c r="C3748" t="str">
        <f t="shared" si="195"/>
        <v>L-V</v>
      </c>
      <c r="D3748" t="str">
        <f t="shared" si="196"/>
        <v>Martes</v>
      </c>
    </row>
    <row r="3749" spans="1:4" x14ac:dyDescent="0.25">
      <c r="A3749" s="88" t="str">
        <f t="shared" si="194"/>
        <v>4-2033</v>
      </c>
      <c r="B3749" s="86">
        <v>48675</v>
      </c>
      <c r="C3749" t="str">
        <f t="shared" si="195"/>
        <v>L-V</v>
      </c>
      <c r="D3749" t="str">
        <f t="shared" si="196"/>
        <v>Miércoles</v>
      </c>
    </row>
    <row r="3750" spans="1:4" x14ac:dyDescent="0.25">
      <c r="A3750" s="88" t="str">
        <f t="shared" si="194"/>
        <v>4-2033</v>
      </c>
      <c r="B3750" s="86">
        <v>48676</v>
      </c>
      <c r="C3750" t="str">
        <f t="shared" si="195"/>
        <v>L-V</v>
      </c>
      <c r="D3750" t="str">
        <f t="shared" si="196"/>
        <v>Jueves</v>
      </c>
    </row>
    <row r="3751" spans="1:4" x14ac:dyDescent="0.25">
      <c r="A3751" s="88" t="str">
        <f t="shared" si="194"/>
        <v>4-2033</v>
      </c>
      <c r="B3751" s="86">
        <v>48677</v>
      </c>
      <c r="C3751" t="str">
        <f t="shared" si="195"/>
        <v>L-V</v>
      </c>
      <c r="D3751" t="str">
        <f t="shared" si="196"/>
        <v>Viernes</v>
      </c>
    </row>
    <row r="3752" spans="1:4" x14ac:dyDescent="0.25">
      <c r="A3752" s="88" t="str">
        <f t="shared" si="194"/>
        <v>4-2033</v>
      </c>
      <c r="B3752" s="86">
        <v>48678</v>
      </c>
      <c r="C3752" t="str">
        <f t="shared" si="195"/>
        <v>SAB</v>
      </c>
      <c r="D3752" t="str">
        <f t="shared" si="196"/>
        <v>Sábado</v>
      </c>
    </row>
    <row r="3753" spans="1:4" x14ac:dyDescent="0.25">
      <c r="A3753" s="88" t="str">
        <f t="shared" si="194"/>
        <v>4-2033</v>
      </c>
      <c r="B3753" s="86">
        <v>48679</v>
      </c>
      <c r="C3753" t="str">
        <f t="shared" si="195"/>
        <v>DOM</v>
      </c>
      <c r="D3753" t="str">
        <f t="shared" si="196"/>
        <v>Domingo</v>
      </c>
    </row>
    <row r="3754" spans="1:4" x14ac:dyDescent="0.25">
      <c r="A3754" s="88" t="str">
        <f t="shared" si="194"/>
        <v>4-2033</v>
      </c>
      <c r="B3754" s="86">
        <v>48680</v>
      </c>
      <c r="C3754" t="str">
        <f t="shared" si="195"/>
        <v>L-V</v>
      </c>
      <c r="D3754" t="str">
        <f t="shared" si="196"/>
        <v>Lunes</v>
      </c>
    </row>
    <row r="3755" spans="1:4" x14ac:dyDescent="0.25">
      <c r="A3755" s="88" t="str">
        <f t="shared" si="194"/>
        <v>4-2033</v>
      </c>
      <c r="B3755" s="86">
        <v>48681</v>
      </c>
      <c r="C3755" t="str">
        <f t="shared" si="195"/>
        <v>L-V</v>
      </c>
      <c r="D3755" t="str">
        <f t="shared" si="196"/>
        <v>Martes</v>
      </c>
    </row>
    <row r="3756" spans="1:4" x14ac:dyDescent="0.25">
      <c r="A3756" s="88" t="str">
        <f t="shared" si="194"/>
        <v>4-2033</v>
      </c>
      <c r="B3756" s="86">
        <v>48682</v>
      </c>
      <c r="C3756" t="str">
        <f t="shared" si="195"/>
        <v>L-V</v>
      </c>
      <c r="D3756" t="str">
        <f t="shared" si="196"/>
        <v>Miércoles</v>
      </c>
    </row>
    <row r="3757" spans="1:4" x14ac:dyDescent="0.25">
      <c r="A3757" s="88" t="str">
        <f t="shared" si="194"/>
        <v>4-2033</v>
      </c>
      <c r="B3757" s="86">
        <v>48683</v>
      </c>
      <c r="C3757" t="str">
        <f t="shared" si="195"/>
        <v>L-V</v>
      </c>
      <c r="D3757" t="str">
        <f t="shared" si="196"/>
        <v>Jueves</v>
      </c>
    </row>
    <row r="3758" spans="1:4" x14ac:dyDescent="0.25">
      <c r="A3758" s="88" t="str">
        <f t="shared" si="194"/>
        <v>4-2033</v>
      </c>
      <c r="B3758" s="86">
        <v>48684</v>
      </c>
      <c r="C3758" t="str">
        <f t="shared" si="195"/>
        <v>L-V</v>
      </c>
      <c r="D3758" t="str">
        <f t="shared" si="196"/>
        <v>Viernes</v>
      </c>
    </row>
    <row r="3759" spans="1:4" x14ac:dyDescent="0.25">
      <c r="A3759" s="88" t="str">
        <f t="shared" si="194"/>
        <v>4-2033</v>
      </c>
      <c r="B3759" s="86">
        <v>48685</v>
      </c>
      <c r="C3759" t="str">
        <f t="shared" si="195"/>
        <v>SAB</v>
      </c>
      <c r="D3759" t="str">
        <f t="shared" si="196"/>
        <v>Sábado</v>
      </c>
    </row>
    <row r="3760" spans="1:4" x14ac:dyDescent="0.25">
      <c r="A3760" s="88" t="str">
        <f t="shared" si="194"/>
        <v>4-2033</v>
      </c>
      <c r="B3760" s="86">
        <v>48686</v>
      </c>
      <c r="C3760" t="str">
        <f t="shared" si="195"/>
        <v>DOM</v>
      </c>
      <c r="D3760" t="str">
        <f t="shared" si="196"/>
        <v>Domingo</v>
      </c>
    </row>
    <row r="3761" spans="1:4" x14ac:dyDescent="0.25">
      <c r="A3761" s="88" t="str">
        <f t="shared" si="194"/>
        <v>4-2033</v>
      </c>
      <c r="B3761" s="86">
        <v>48687</v>
      </c>
      <c r="C3761" t="str">
        <f t="shared" si="195"/>
        <v>L-V</v>
      </c>
      <c r="D3761" t="str">
        <f t="shared" si="196"/>
        <v>Lunes</v>
      </c>
    </row>
    <row r="3762" spans="1:4" x14ac:dyDescent="0.25">
      <c r="A3762" s="88" t="str">
        <f t="shared" si="194"/>
        <v>4-2033</v>
      </c>
      <c r="B3762" s="86">
        <v>48688</v>
      </c>
      <c r="C3762" t="str">
        <f t="shared" si="195"/>
        <v>L-V</v>
      </c>
      <c r="D3762" t="str">
        <f t="shared" si="196"/>
        <v>Martes</v>
      </c>
    </row>
    <row r="3763" spans="1:4" x14ac:dyDescent="0.25">
      <c r="A3763" s="88" t="str">
        <f t="shared" si="194"/>
        <v>4-2033</v>
      </c>
      <c r="B3763" s="86">
        <v>48689</v>
      </c>
      <c r="C3763" t="str">
        <f t="shared" si="195"/>
        <v>L-V</v>
      </c>
      <c r="D3763" t="str">
        <f t="shared" si="196"/>
        <v>Miércoles</v>
      </c>
    </row>
    <row r="3764" spans="1:4" x14ac:dyDescent="0.25">
      <c r="A3764" s="88" t="str">
        <f t="shared" si="194"/>
        <v>4-2033</v>
      </c>
      <c r="B3764" s="86">
        <v>48690</v>
      </c>
      <c r="C3764" t="str">
        <f t="shared" si="195"/>
        <v>L-V</v>
      </c>
      <c r="D3764" t="str">
        <f t="shared" si="196"/>
        <v>Jueves</v>
      </c>
    </row>
    <row r="3765" spans="1:4" x14ac:dyDescent="0.25">
      <c r="A3765" s="88" t="str">
        <f t="shared" si="194"/>
        <v>4-2033</v>
      </c>
      <c r="B3765" s="86">
        <v>48691</v>
      </c>
      <c r="C3765" t="str">
        <f t="shared" si="195"/>
        <v>L-V</v>
      </c>
      <c r="D3765" t="str">
        <f t="shared" si="196"/>
        <v>Viernes</v>
      </c>
    </row>
    <row r="3766" spans="1:4" x14ac:dyDescent="0.25">
      <c r="A3766" s="88" t="str">
        <f t="shared" si="194"/>
        <v>4-2033</v>
      </c>
      <c r="B3766" s="86">
        <v>48692</v>
      </c>
      <c r="C3766" t="str">
        <f t="shared" si="195"/>
        <v>SAB</v>
      </c>
      <c r="D3766" t="str">
        <f t="shared" si="196"/>
        <v>Sábado</v>
      </c>
    </row>
    <row r="3767" spans="1:4" x14ac:dyDescent="0.25">
      <c r="A3767" s="88" t="str">
        <f t="shared" si="194"/>
        <v>4-2033</v>
      </c>
      <c r="B3767" s="86">
        <v>48693</v>
      </c>
      <c r="C3767" t="str">
        <f t="shared" si="195"/>
        <v>DOM</v>
      </c>
      <c r="D3767" t="str">
        <f t="shared" si="196"/>
        <v>Domingo</v>
      </c>
    </row>
    <row r="3768" spans="1:4" x14ac:dyDescent="0.25">
      <c r="A3768" s="88" t="str">
        <f t="shared" si="194"/>
        <v>4-2033</v>
      </c>
      <c r="B3768" s="86">
        <v>48694</v>
      </c>
      <c r="C3768" t="str">
        <f t="shared" si="195"/>
        <v>L-V</v>
      </c>
      <c r="D3768" t="str">
        <f t="shared" si="196"/>
        <v>Lunes</v>
      </c>
    </row>
    <row r="3769" spans="1:4" x14ac:dyDescent="0.25">
      <c r="A3769" s="88" t="str">
        <f t="shared" si="194"/>
        <v>4-2033</v>
      </c>
      <c r="B3769" s="86">
        <v>48695</v>
      </c>
      <c r="C3769" t="str">
        <f t="shared" si="195"/>
        <v>L-V</v>
      </c>
      <c r="D3769" t="str">
        <f t="shared" si="196"/>
        <v>Martes</v>
      </c>
    </row>
    <row r="3770" spans="1:4" x14ac:dyDescent="0.25">
      <c r="A3770" s="88" t="str">
        <f t="shared" si="194"/>
        <v>4-2033</v>
      </c>
      <c r="B3770" s="86">
        <v>48696</v>
      </c>
      <c r="C3770" t="str">
        <f t="shared" si="195"/>
        <v>L-V</v>
      </c>
      <c r="D3770" t="str">
        <f t="shared" si="196"/>
        <v>Miércoles</v>
      </c>
    </row>
    <row r="3771" spans="1:4" x14ac:dyDescent="0.25">
      <c r="A3771" s="88" t="str">
        <f t="shared" si="194"/>
        <v>4-2033</v>
      </c>
      <c r="B3771" s="86">
        <v>48697</v>
      </c>
      <c r="C3771" t="str">
        <f t="shared" si="195"/>
        <v>L-V</v>
      </c>
      <c r="D3771" t="str">
        <f t="shared" si="196"/>
        <v>Jueves</v>
      </c>
    </row>
    <row r="3772" spans="1:4" x14ac:dyDescent="0.25">
      <c r="A3772" s="88" t="str">
        <f t="shared" si="194"/>
        <v>4-2033</v>
      </c>
      <c r="B3772" s="86">
        <v>48698</v>
      </c>
      <c r="C3772" t="str">
        <f t="shared" si="195"/>
        <v>L-V</v>
      </c>
      <c r="D3772" t="str">
        <f t="shared" si="196"/>
        <v>Viernes</v>
      </c>
    </row>
    <row r="3773" spans="1:4" x14ac:dyDescent="0.25">
      <c r="A3773" s="88" t="str">
        <f t="shared" si="194"/>
        <v>4-2033</v>
      </c>
      <c r="B3773" s="86">
        <v>48699</v>
      </c>
      <c r="C3773" t="str">
        <f t="shared" si="195"/>
        <v>SAB</v>
      </c>
      <c r="D3773" t="str">
        <f t="shared" si="196"/>
        <v>Sábado</v>
      </c>
    </row>
    <row r="3774" spans="1:4" x14ac:dyDescent="0.25">
      <c r="A3774" s="88" t="str">
        <f t="shared" si="194"/>
        <v>5-2033</v>
      </c>
      <c r="B3774" s="86">
        <v>48700</v>
      </c>
      <c r="C3774" t="str">
        <f t="shared" si="195"/>
        <v>DOM</v>
      </c>
      <c r="D3774" t="str">
        <f t="shared" si="196"/>
        <v>Domingo</v>
      </c>
    </row>
    <row r="3775" spans="1:4" x14ac:dyDescent="0.25">
      <c r="A3775" s="88" t="str">
        <f t="shared" si="194"/>
        <v>5-2033</v>
      </c>
      <c r="B3775" s="86">
        <v>48701</v>
      </c>
      <c r="C3775" t="str">
        <f t="shared" si="195"/>
        <v>L-V</v>
      </c>
      <c r="D3775" t="str">
        <f t="shared" si="196"/>
        <v>Lunes</v>
      </c>
    </row>
    <row r="3776" spans="1:4" x14ac:dyDescent="0.25">
      <c r="A3776" s="88" t="str">
        <f t="shared" si="194"/>
        <v>5-2033</v>
      </c>
      <c r="B3776" s="86">
        <v>48702</v>
      </c>
      <c r="C3776" t="str">
        <f t="shared" si="195"/>
        <v>L-V</v>
      </c>
      <c r="D3776" t="str">
        <f t="shared" si="196"/>
        <v>Martes</v>
      </c>
    </row>
    <row r="3777" spans="1:4" x14ac:dyDescent="0.25">
      <c r="A3777" s="88" t="str">
        <f t="shared" si="194"/>
        <v>5-2033</v>
      </c>
      <c r="B3777" s="86">
        <v>48703</v>
      </c>
      <c r="C3777" t="str">
        <f t="shared" si="195"/>
        <v>L-V</v>
      </c>
      <c r="D3777" t="str">
        <f t="shared" si="196"/>
        <v>Miércoles</v>
      </c>
    </row>
    <row r="3778" spans="1:4" x14ac:dyDescent="0.25">
      <c r="A3778" s="88" t="str">
        <f t="shared" ref="A3778:A3841" si="197">MONTH(B3778)&amp;"-"&amp;YEAR(B3778)</f>
        <v>5-2033</v>
      </c>
      <c r="B3778" s="86">
        <v>48704</v>
      </c>
      <c r="C3778" t="str">
        <f t="shared" si="195"/>
        <v>L-V</v>
      </c>
      <c r="D3778" t="str">
        <f t="shared" si="196"/>
        <v>Jueves</v>
      </c>
    </row>
    <row r="3779" spans="1:4" x14ac:dyDescent="0.25">
      <c r="A3779" s="88" t="str">
        <f t="shared" si="197"/>
        <v>5-2033</v>
      </c>
      <c r="B3779" s="86">
        <v>48705</v>
      </c>
      <c r="C3779" t="str">
        <f t="shared" ref="C3779:C3842" si="198">VLOOKUP(WEEKDAY(B3779,2),$F$1:$H$7,2)</f>
        <v>L-V</v>
      </c>
      <c r="D3779" t="str">
        <f t="shared" ref="D3779:D3842" si="199">VLOOKUP(WEEKDAY($B3779,2),$F$1:$H$7,3)</f>
        <v>Viernes</v>
      </c>
    </row>
    <row r="3780" spans="1:4" x14ac:dyDescent="0.25">
      <c r="A3780" s="88" t="str">
        <f t="shared" si="197"/>
        <v>5-2033</v>
      </c>
      <c r="B3780" s="86">
        <v>48706</v>
      </c>
      <c r="C3780" t="str">
        <f t="shared" si="198"/>
        <v>SAB</v>
      </c>
      <c r="D3780" t="str">
        <f t="shared" si="199"/>
        <v>Sábado</v>
      </c>
    </row>
    <row r="3781" spans="1:4" x14ac:dyDescent="0.25">
      <c r="A3781" s="88" t="str">
        <f t="shared" si="197"/>
        <v>5-2033</v>
      </c>
      <c r="B3781" s="86">
        <v>48707</v>
      </c>
      <c r="C3781" t="str">
        <f t="shared" si="198"/>
        <v>DOM</v>
      </c>
      <c r="D3781" t="str">
        <f t="shared" si="199"/>
        <v>Domingo</v>
      </c>
    </row>
    <row r="3782" spans="1:4" x14ac:dyDescent="0.25">
      <c r="A3782" s="88" t="str">
        <f t="shared" si="197"/>
        <v>5-2033</v>
      </c>
      <c r="B3782" s="86">
        <v>48708</v>
      </c>
      <c r="C3782" t="str">
        <f t="shared" si="198"/>
        <v>L-V</v>
      </c>
      <c r="D3782" t="str">
        <f t="shared" si="199"/>
        <v>Lunes</v>
      </c>
    </row>
    <row r="3783" spans="1:4" x14ac:dyDescent="0.25">
      <c r="A3783" s="88" t="str">
        <f t="shared" si="197"/>
        <v>5-2033</v>
      </c>
      <c r="B3783" s="86">
        <v>48709</v>
      </c>
      <c r="C3783" t="str">
        <f t="shared" si="198"/>
        <v>L-V</v>
      </c>
      <c r="D3783" t="str">
        <f t="shared" si="199"/>
        <v>Martes</v>
      </c>
    </row>
    <row r="3784" spans="1:4" x14ac:dyDescent="0.25">
      <c r="A3784" s="88" t="str">
        <f t="shared" si="197"/>
        <v>5-2033</v>
      </c>
      <c r="B3784" s="86">
        <v>48710</v>
      </c>
      <c r="C3784" t="str">
        <f t="shared" si="198"/>
        <v>L-V</v>
      </c>
      <c r="D3784" t="str">
        <f t="shared" si="199"/>
        <v>Miércoles</v>
      </c>
    </row>
    <row r="3785" spans="1:4" x14ac:dyDescent="0.25">
      <c r="A3785" s="88" t="str">
        <f t="shared" si="197"/>
        <v>5-2033</v>
      </c>
      <c r="B3785" s="86">
        <v>48711</v>
      </c>
      <c r="C3785" t="str">
        <f t="shared" si="198"/>
        <v>L-V</v>
      </c>
      <c r="D3785" t="str">
        <f t="shared" si="199"/>
        <v>Jueves</v>
      </c>
    </row>
    <row r="3786" spans="1:4" x14ac:dyDescent="0.25">
      <c r="A3786" s="88" t="str">
        <f t="shared" si="197"/>
        <v>5-2033</v>
      </c>
      <c r="B3786" s="86">
        <v>48712</v>
      </c>
      <c r="C3786" t="str">
        <f t="shared" si="198"/>
        <v>L-V</v>
      </c>
      <c r="D3786" t="str">
        <f t="shared" si="199"/>
        <v>Viernes</v>
      </c>
    </row>
    <row r="3787" spans="1:4" x14ac:dyDescent="0.25">
      <c r="A3787" s="88" t="str">
        <f t="shared" si="197"/>
        <v>5-2033</v>
      </c>
      <c r="B3787" s="86">
        <v>48713</v>
      </c>
      <c r="C3787" t="str">
        <f t="shared" si="198"/>
        <v>SAB</v>
      </c>
      <c r="D3787" t="str">
        <f t="shared" si="199"/>
        <v>Sábado</v>
      </c>
    </row>
    <row r="3788" spans="1:4" x14ac:dyDescent="0.25">
      <c r="A3788" s="88" t="str">
        <f t="shared" si="197"/>
        <v>5-2033</v>
      </c>
      <c r="B3788" s="86">
        <v>48714</v>
      </c>
      <c r="C3788" t="str">
        <f t="shared" si="198"/>
        <v>DOM</v>
      </c>
      <c r="D3788" t="str">
        <f t="shared" si="199"/>
        <v>Domingo</v>
      </c>
    </row>
    <row r="3789" spans="1:4" x14ac:dyDescent="0.25">
      <c r="A3789" s="88" t="str">
        <f t="shared" si="197"/>
        <v>5-2033</v>
      </c>
      <c r="B3789" s="86">
        <v>48715</v>
      </c>
      <c r="C3789" t="str">
        <f t="shared" si="198"/>
        <v>L-V</v>
      </c>
      <c r="D3789" t="str">
        <f t="shared" si="199"/>
        <v>Lunes</v>
      </c>
    </row>
    <row r="3790" spans="1:4" x14ac:dyDescent="0.25">
      <c r="A3790" s="88" t="str">
        <f t="shared" si="197"/>
        <v>5-2033</v>
      </c>
      <c r="B3790" s="86">
        <v>48716</v>
      </c>
      <c r="C3790" t="str">
        <f t="shared" si="198"/>
        <v>L-V</v>
      </c>
      <c r="D3790" t="str">
        <f t="shared" si="199"/>
        <v>Martes</v>
      </c>
    </row>
    <row r="3791" spans="1:4" x14ac:dyDescent="0.25">
      <c r="A3791" s="88" t="str">
        <f t="shared" si="197"/>
        <v>5-2033</v>
      </c>
      <c r="B3791" s="86">
        <v>48717</v>
      </c>
      <c r="C3791" t="str">
        <f t="shared" si="198"/>
        <v>L-V</v>
      </c>
      <c r="D3791" t="str">
        <f t="shared" si="199"/>
        <v>Miércoles</v>
      </c>
    </row>
    <row r="3792" spans="1:4" x14ac:dyDescent="0.25">
      <c r="A3792" s="88" t="str">
        <f t="shared" si="197"/>
        <v>5-2033</v>
      </c>
      <c r="B3792" s="86">
        <v>48718</v>
      </c>
      <c r="C3792" t="str">
        <f t="shared" si="198"/>
        <v>L-V</v>
      </c>
      <c r="D3792" t="str">
        <f t="shared" si="199"/>
        <v>Jueves</v>
      </c>
    </row>
    <row r="3793" spans="1:4" x14ac:dyDescent="0.25">
      <c r="A3793" s="88" t="str">
        <f t="shared" si="197"/>
        <v>5-2033</v>
      </c>
      <c r="B3793" s="86">
        <v>48719</v>
      </c>
      <c r="C3793" t="str">
        <f t="shared" si="198"/>
        <v>L-V</v>
      </c>
      <c r="D3793" t="str">
        <f t="shared" si="199"/>
        <v>Viernes</v>
      </c>
    </row>
    <row r="3794" spans="1:4" x14ac:dyDescent="0.25">
      <c r="A3794" s="88" t="str">
        <f t="shared" si="197"/>
        <v>5-2033</v>
      </c>
      <c r="B3794" s="86">
        <v>48720</v>
      </c>
      <c r="C3794" t="str">
        <f t="shared" si="198"/>
        <v>SAB</v>
      </c>
      <c r="D3794" t="str">
        <f t="shared" si="199"/>
        <v>Sábado</v>
      </c>
    </row>
    <row r="3795" spans="1:4" x14ac:dyDescent="0.25">
      <c r="A3795" s="88" t="str">
        <f t="shared" si="197"/>
        <v>5-2033</v>
      </c>
      <c r="B3795" s="86">
        <v>48721</v>
      </c>
      <c r="C3795" t="str">
        <f t="shared" si="198"/>
        <v>DOM</v>
      </c>
      <c r="D3795" t="str">
        <f t="shared" si="199"/>
        <v>Domingo</v>
      </c>
    </row>
    <row r="3796" spans="1:4" x14ac:dyDescent="0.25">
      <c r="A3796" s="88" t="str">
        <f t="shared" si="197"/>
        <v>5-2033</v>
      </c>
      <c r="B3796" s="86">
        <v>48722</v>
      </c>
      <c r="C3796" t="str">
        <f t="shared" si="198"/>
        <v>L-V</v>
      </c>
      <c r="D3796" t="str">
        <f t="shared" si="199"/>
        <v>Lunes</v>
      </c>
    </row>
    <row r="3797" spans="1:4" x14ac:dyDescent="0.25">
      <c r="A3797" s="88" t="str">
        <f t="shared" si="197"/>
        <v>5-2033</v>
      </c>
      <c r="B3797" s="86">
        <v>48723</v>
      </c>
      <c r="C3797" t="str">
        <f t="shared" si="198"/>
        <v>L-V</v>
      </c>
      <c r="D3797" t="str">
        <f t="shared" si="199"/>
        <v>Martes</v>
      </c>
    </row>
    <row r="3798" spans="1:4" x14ac:dyDescent="0.25">
      <c r="A3798" s="88" t="str">
        <f t="shared" si="197"/>
        <v>5-2033</v>
      </c>
      <c r="B3798" s="86">
        <v>48724</v>
      </c>
      <c r="C3798" t="str">
        <f t="shared" si="198"/>
        <v>L-V</v>
      </c>
      <c r="D3798" t="str">
        <f t="shared" si="199"/>
        <v>Miércoles</v>
      </c>
    </row>
    <row r="3799" spans="1:4" x14ac:dyDescent="0.25">
      <c r="A3799" s="88" t="str">
        <f t="shared" si="197"/>
        <v>5-2033</v>
      </c>
      <c r="B3799" s="86">
        <v>48725</v>
      </c>
      <c r="C3799" t="str">
        <f t="shared" si="198"/>
        <v>L-V</v>
      </c>
      <c r="D3799" t="str">
        <f t="shared" si="199"/>
        <v>Jueves</v>
      </c>
    </row>
    <row r="3800" spans="1:4" x14ac:dyDescent="0.25">
      <c r="A3800" s="88" t="str">
        <f t="shared" si="197"/>
        <v>5-2033</v>
      </c>
      <c r="B3800" s="86">
        <v>48726</v>
      </c>
      <c r="C3800" t="str">
        <f t="shared" si="198"/>
        <v>L-V</v>
      </c>
      <c r="D3800" t="str">
        <f t="shared" si="199"/>
        <v>Viernes</v>
      </c>
    </row>
    <row r="3801" spans="1:4" x14ac:dyDescent="0.25">
      <c r="A3801" s="88" t="str">
        <f t="shared" si="197"/>
        <v>5-2033</v>
      </c>
      <c r="B3801" s="86">
        <v>48727</v>
      </c>
      <c r="C3801" t="str">
        <f t="shared" si="198"/>
        <v>SAB</v>
      </c>
      <c r="D3801" t="str">
        <f t="shared" si="199"/>
        <v>Sábado</v>
      </c>
    </row>
    <row r="3802" spans="1:4" x14ac:dyDescent="0.25">
      <c r="A3802" s="88" t="str">
        <f t="shared" si="197"/>
        <v>5-2033</v>
      </c>
      <c r="B3802" s="86">
        <v>48728</v>
      </c>
      <c r="C3802" t="str">
        <f t="shared" si="198"/>
        <v>DOM</v>
      </c>
      <c r="D3802" t="str">
        <f t="shared" si="199"/>
        <v>Domingo</v>
      </c>
    </row>
    <row r="3803" spans="1:4" x14ac:dyDescent="0.25">
      <c r="A3803" s="88" t="str">
        <f t="shared" si="197"/>
        <v>5-2033</v>
      </c>
      <c r="B3803" s="86">
        <v>48729</v>
      </c>
      <c r="C3803" t="str">
        <f t="shared" si="198"/>
        <v>L-V</v>
      </c>
      <c r="D3803" t="str">
        <f t="shared" si="199"/>
        <v>Lunes</v>
      </c>
    </row>
    <row r="3804" spans="1:4" x14ac:dyDescent="0.25">
      <c r="A3804" s="88" t="str">
        <f t="shared" si="197"/>
        <v>5-2033</v>
      </c>
      <c r="B3804" s="86">
        <v>48730</v>
      </c>
      <c r="C3804" t="str">
        <f t="shared" si="198"/>
        <v>L-V</v>
      </c>
      <c r="D3804" t="str">
        <f t="shared" si="199"/>
        <v>Martes</v>
      </c>
    </row>
    <row r="3805" spans="1:4" x14ac:dyDescent="0.25">
      <c r="A3805" s="88" t="str">
        <f t="shared" si="197"/>
        <v>6-2033</v>
      </c>
      <c r="B3805" s="86">
        <v>48731</v>
      </c>
      <c r="C3805" t="str">
        <f t="shared" si="198"/>
        <v>L-V</v>
      </c>
      <c r="D3805" t="str">
        <f t="shared" si="199"/>
        <v>Miércoles</v>
      </c>
    </row>
    <row r="3806" spans="1:4" x14ac:dyDescent="0.25">
      <c r="A3806" s="88" t="str">
        <f t="shared" si="197"/>
        <v>6-2033</v>
      </c>
      <c r="B3806" s="86">
        <v>48732</v>
      </c>
      <c r="C3806" t="str">
        <f t="shared" si="198"/>
        <v>L-V</v>
      </c>
      <c r="D3806" t="str">
        <f t="shared" si="199"/>
        <v>Jueves</v>
      </c>
    </row>
    <row r="3807" spans="1:4" x14ac:dyDescent="0.25">
      <c r="A3807" s="88" t="str">
        <f t="shared" si="197"/>
        <v>6-2033</v>
      </c>
      <c r="B3807" s="86">
        <v>48733</v>
      </c>
      <c r="C3807" t="str">
        <f t="shared" si="198"/>
        <v>L-V</v>
      </c>
      <c r="D3807" t="str">
        <f t="shared" si="199"/>
        <v>Viernes</v>
      </c>
    </row>
    <row r="3808" spans="1:4" x14ac:dyDescent="0.25">
      <c r="A3808" s="88" t="str">
        <f t="shared" si="197"/>
        <v>6-2033</v>
      </c>
      <c r="B3808" s="86">
        <v>48734</v>
      </c>
      <c r="C3808" t="str">
        <f t="shared" si="198"/>
        <v>SAB</v>
      </c>
      <c r="D3808" t="str">
        <f t="shared" si="199"/>
        <v>Sábado</v>
      </c>
    </row>
    <row r="3809" spans="1:4" x14ac:dyDescent="0.25">
      <c r="A3809" s="88" t="str">
        <f t="shared" si="197"/>
        <v>6-2033</v>
      </c>
      <c r="B3809" s="86">
        <v>48735</v>
      </c>
      <c r="C3809" t="str">
        <f t="shared" si="198"/>
        <v>DOM</v>
      </c>
      <c r="D3809" t="str">
        <f t="shared" si="199"/>
        <v>Domingo</v>
      </c>
    </row>
    <row r="3810" spans="1:4" x14ac:dyDescent="0.25">
      <c r="A3810" s="88" t="str">
        <f t="shared" si="197"/>
        <v>6-2033</v>
      </c>
      <c r="B3810" s="86">
        <v>48736</v>
      </c>
      <c r="C3810" t="str">
        <f t="shared" si="198"/>
        <v>L-V</v>
      </c>
      <c r="D3810" t="str">
        <f t="shared" si="199"/>
        <v>Lunes</v>
      </c>
    </row>
    <row r="3811" spans="1:4" x14ac:dyDescent="0.25">
      <c r="A3811" s="88" t="str">
        <f t="shared" si="197"/>
        <v>6-2033</v>
      </c>
      <c r="B3811" s="86">
        <v>48737</v>
      </c>
      <c r="C3811" t="str">
        <f t="shared" si="198"/>
        <v>L-V</v>
      </c>
      <c r="D3811" t="str">
        <f t="shared" si="199"/>
        <v>Martes</v>
      </c>
    </row>
    <row r="3812" spans="1:4" x14ac:dyDescent="0.25">
      <c r="A3812" s="88" t="str">
        <f t="shared" si="197"/>
        <v>6-2033</v>
      </c>
      <c r="B3812" s="86">
        <v>48738</v>
      </c>
      <c r="C3812" t="str">
        <f t="shared" si="198"/>
        <v>L-V</v>
      </c>
      <c r="D3812" t="str">
        <f t="shared" si="199"/>
        <v>Miércoles</v>
      </c>
    </row>
    <row r="3813" spans="1:4" x14ac:dyDescent="0.25">
      <c r="A3813" s="88" t="str">
        <f t="shared" si="197"/>
        <v>6-2033</v>
      </c>
      <c r="B3813" s="86">
        <v>48739</v>
      </c>
      <c r="C3813" t="str">
        <f t="shared" si="198"/>
        <v>L-V</v>
      </c>
      <c r="D3813" t="str">
        <f t="shared" si="199"/>
        <v>Jueves</v>
      </c>
    </row>
    <row r="3814" spans="1:4" x14ac:dyDescent="0.25">
      <c r="A3814" s="88" t="str">
        <f t="shared" si="197"/>
        <v>6-2033</v>
      </c>
      <c r="B3814" s="86">
        <v>48740</v>
      </c>
      <c r="C3814" t="str">
        <f t="shared" si="198"/>
        <v>L-V</v>
      </c>
      <c r="D3814" t="str">
        <f t="shared" si="199"/>
        <v>Viernes</v>
      </c>
    </row>
    <row r="3815" spans="1:4" x14ac:dyDescent="0.25">
      <c r="A3815" s="88" t="str">
        <f t="shared" si="197"/>
        <v>6-2033</v>
      </c>
      <c r="B3815" s="86">
        <v>48741</v>
      </c>
      <c r="C3815" t="str">
        <f t="shared" si="198"/>
        <v>SAB</v>
      </c>
      <c r="D3815" t="str">
        <f t="shared" si="199"/>
        <v>Sábado</v>
      </c>
    </row>
    <row r="3816" spans="1:4" x14ac:dyDescent="0.25">
      <c r="A3816" s="88" t="str">
        <f t="shared" si="197"/>
        <v>6-2033</v>
      </c>
      <c r="B3816" s="86">
        <v>48742</v>
      </c>
      <c r="C3816" t="str">
        <f t="shared" si="198"/>
        <v>DOM</v>
      </c>
      <c r="D3816" t="str">
        <f t="shared" si="199"/>
        <v>Domingo</v>
      </c>
    </row>
    <row r="3817" spans="1:4" x14ac:dyDescent="0.25">
      <c r="A3817" s="88" t="str">
        <f t="shared" si="197"/>
        <v>6-2033</v>
      </c>
      <c r="B3817" s="86">
        <v>48743</v>
      </c>
      <c r="C3817" t="str">
        <f t="shared" si="198"/>
        <v>L-V</v>
      </c>
      <c r="D3817" t="str">
        <f t="shared" si="199"/>
        <v>Lunes</v>
      </c>
    </row>
    <row r="3818" spans="1:4" x14ac:dyDescent="0.25">
      <c r="A3818" s="88" t="str">
        <f t="shared" si="197"/>
        <v>6-2033</v>
      </c>
      <c r="B3818" s="86">
        <v>48744</v>
      </c>
      <c r="C3818" t="str">
        <f t="shared" si="198"/>
        <v>L-V</v>
      </c>
      <c r="D3818" t="str">
        <f t="shared" si="199"/>
        <v>Martes</v>
      </c>
    </row>
    <row r="3819" spans="1:4" x14ac:dyDescent="0.25">
      <c r="A3819" s="88" t="str">
        <f t="shared" si="197"/>
        <v>6-2033</v>
      </c>
      <c r="B3819" s="86">
        <v>48745</v>
      </c>
      <c r="C3819" t="str">
        <f t="shared" si="198"/>
        <v>L-V</v>
      </c>
      <c r="D3819" t="str">
        <f t="shared" si="199"/>
        <v>Miércoles</v>
      </c>
    </row>
    <row r="3820" spans="1:4" x14ac:dyDescent="0.25">
      <c r="A3820" s="88" t="str">
        <f t="shared" si="197"/>
        <v>6-2033</v>
      </c>
      <c r="B3820" s="86">
        <v>48746</v>
      </c>
      <c r="C3820" t="str">
        <f t="shared" si="198"/>
        <v>L-V</v>
      </c>
      <c r="D3820" t="str">
        <f t="shared" si="199"/>
        <v>Jueves</v>
      </c>
    </row>
    <row r="3821" spans="1:4" x14ac:dyDescent="0.25">
      <c r="A3821" s="88" t="str">
        <f t="shared" si="197"/>
        <v>6-2033</v>
      </c>
      <c r="B3821" s="86">
        <v>48747</v>
      </c>
      <c r="C3821" t="str">
        <f t="shared" si="198"/>
        <v>L-V</v>
      </c>
      <c r="D3821" t="str">
        <f t="shared" si="199"/>
        <v>Viernes</v>
      </c>
    </row>
    <row r="3822" spans="1:4" x14ac:dyDescent="0.25">
      <c r="A3822" s="88" t="str">
        <f t="shared" si="197"/>
        <v>6-2033</v>
      </c>
      <c r="B3822" s="86">
        <v>48748</v>
      </c>
      <c r="C3822" t="str">
        <f t="shared" si="198"/>
        <v>SAB</v>
      </c>
      <c r="D3822" t="str">
        <f t="shared" si="199"/>
        <v>Sábado</v>
      </c>
    </row>
    <row r="3823" spans="1:4" x14ac:dyDescent="0.25">
      <c r="A3823" s="88" t="str">
        <f t="shared" si="197"/>
        <v>6-2033</v>
      </c>
      <c r="B3823" s="86">
        <v>48749</v>
      </c>
      <c r="C3823" t="str">
        <f t="shared" si="198"/>
        <v>DOM</v>
      </c>
      <c r="D3823" t="str">
        <f t="shared" si="199"/>
        <v>Domingo</v>
      </c>
    </row>
    <row r="3824" spans="1:4" x14ac:dyDescent="0.25">
      <c r="A3824" s="88" t="str">
        <f t="shared" si="197"/>
        <v>6-2033</v>
      </c>
      <c r="B3824" s="86">
        <v>48750</v>
      </c>
      <c r="C3824" t="str">
        <f t="shared" si="198"/>
        <v>L-V</v>
      </c>
      <c r="D3824" t="str">
        <f t="shared" si="199"/>
        <v>Lunes</v>
      </c>
    </row>
    <row r="3825" spans="1:4" x14ac:dyDescent="0.25">
      <c r="A3825" s="88" t="str">
        <f t="shared" si="197"/>
        <v>6-2033</v>
      </c>
      <c r="B3825" s="86">
        <v>48751</v>
      </c>
      <c r="C3825" t="str">
        <f t="shared" si="198"/>
        <v>L-V</v>
      </c>
      <c r="D3825" t="str">
        <f t="shared" si="199"/>
        <v>Martes</v>
      </c>
    </row>
    <row r="3826" spans="1:4" x14ac:dyDescent="0.25">
      <c r="A3826" s="88" t="str">
        <f t="shared" si="197"/>
        <v>6-2033</v>
      </c>
      <c r="B3826" s="86">
        <v>48752</v>
      </c>
      <c r="C3826" t="str">
        <f t="shared" si="198"/>
        <v>L-V</v>
      </c>
      <c r="D3826" t="str">
        <f t="shared" si="199"/>
        <v>Miércoles</v>
      </c>
    </row>
    <row r="3827" spans="1:4" x14ac:dyDescent="0.25">
      <c r="A3827" s="88" t="str">
        <f t="shared" si="197"/>
        <v>6-2033</v>
      </c>
      <c r="B3827" s="86">
        <v>48753</v>
      </c>
      <c r="C3827" t="str">
        <f t="shared" si="198"/>
        <v>L-V</v>
      </c>
      <c r="D3827" t="str">
        <f t="shared" si="199"/>
        <v>Jueves</v>
      </c>
    </row>
    <row r="3828" spans="1:4" x14ac:dyDescent="0.25">
      <c r="A3828" s="88" t="str">
        <f t="shared" si="197"/>
        <v>6-2033</v>
      </c>
      <c r="B3828" s="86">
        <v>48754</v>
      </c>
      <c r="C3828" t="str">
        <f t="shared" si="198"/>
        <v>L-V</v>
      </c>
      <c r="D3828" t="str">
        <f t="shared" si="199"/>
        <v>Viernes</v>
      </c>
    </row>
    <row r="3829" spans="1:4" x14ac:dyDescent="0.25">
      <c r="A3829" s="88" t="str">
        <f t="shared" si="197"/>
        <v>6-2033</v>
      </c>
      <c r="B3829" s="86">
        <v>48755</v>
      </c>
      <c r="C3829" t="str">
        <f t="shared" si="198"/>
        <v>SAB</v>
      </c>
      <c r="D3829" t="str">
        <f t="shared" si="199"/>
        <v>Sábado</v>
      </c>
    </row>
    <row r="3830" spans="1:4" x14ac:dyDescent="0.25">
      <c r="A3830" s="88" t="str">
        <f t="shared" si="197"/>
        <v>6-2033</v>
      </c>
      <c r="B3830" s="86">
        <v>48756</v>
      </c>
      <c r="C3830" t="str">
        <f t="shared" si="198"/>
        <v>DOM</v>
      </c>
      <c r="D3830" t="str">
        <f t="shared" si="199"/>
        <v>Domingo</v>
      </c>
    </row>
    <row r="3831" spans="1:4" x14ac:dyDescent="0.25">
      <c r="A3831" s="88" t="str">
        <f t="shared" si="197"/>
        <v>6-2033</v>
      </c>
      <c r="B3831" s="86">
        <v>48757</v>
      </c>
      <c r="C3831" t="str">
        <f t="shared" si="198"/>
        <v>L-V</v>
      </c>
      <c r="D3831" t="str">
        <f t="shared" si="199"/>
        <v>Lunes</v>
      </c>
    </row>
    <row r="3832" spans="1:4" x14ac:dyDescent="0.25">
      <c r="A3832" s="88" t="str">
        <f t="shared" si="197"/>
        <v>6-2033</v>
      </c>
      <c r="B3832" s="86">
        <v>48758</v>
      </c>
      <c r="C3832" t="str">
        <f t="shared" si="198"/>
        <v>L-V</v>
      </c>
      <c r="D3832" t="str">
        <f t="shared" si="199"/>
        <v>Martes</v>
      </c>
    </row>
    <row r="3833" spans="1:4" x14ac:dyDescent="0.25">
      <c r="A3833" s="88" t="str">
        <f t="shared" si="197"/>
        <v>6-2033</v>
      </c>
      <c r="B3833" s="86">
        <v>48759</v>
      </c>
      <c r="C3833" t="str">
        <f t="shared" si="198"/>
        <v>L-V</v>
      </c>
      <c r="D3833" t="str">
        <f t="shared" si="199"/>
        <v>Miércoles</v>
      </c>
    </row>
    <row r="3834" spans="1:4" x14ac:dyDescent="0.25">
      <c r="A3834" s="88" t="str">
        <f t="shared" si="197"/>
        <v>6-2033</v>
      </c>
      <c r="B3834" s="86">
        <v>48760</v>
      </c>
      <c r="C3834" t="str">
        <f t="shared" si="198"/>
        <v>L-V</v>
      </c>
      <c r="D3834" t="str">
        <f t="shared" si="199"/>
        <v>Jueves</v>
      </c>
    </row>
    <row r="3835" spans="1:4" x14ac:dyDescent="0.25">
      <c r="A3835" s="88" t="str">
        <f t="shared" si="197"/>
        <v>7-2033</v>
      </c>
      <c r="B3835" s="86">
        <v>48761</v>
      </c>
      <c r="C3835" t="str">
        <f t="shared" si="198"/>
        <v>L-V</v>
      </c>
      <c r="D3835" t="str">
        <f t="shared" si="199"/>
        <v>Viernes</v>
      </c>
    </row>
    <row r="3836" spans="1:4" x14ac:dyDescent="0.25">
      <c r="A3836" s="88" t="str">
        <f t="shared" si="197"/>
        <v>7-2033</v>
      </c>
      <c r="B3836" s="86">
        <v>48762</v>
      </c>
      <c r="C3836" t="str">
        <f t="shared" si="198"/>
        <v>SAB</v>
      </c>
      <c r="D3836" t="str">
        <f t="shared" si="199"/>
        <v>Sábado</v>
      </c>
    </row>
    <row r="3837" spans="1:4" x14ac:dyDescent="0.25">
      <c r="A3837" s="88" t="str">
        <f t="shared" si="197"/>
        <v>7-2033</v>
      </c>
      <c r="B3837" s="86">
        <v>48763</v>
      </c>
      <c r="C3837" t="str">
        <f t="shared" si="198"/>
        <v>DOM</v>
      </c>
      <c r="D3837" t="str">
        <f t="shared" si="199"/>
        <v>Domingo</v>
      </c>
    </row>
    <row r="3838" spans="1:4" x14ac:dyDescent="0.25">
      <c r="A3838" s="88" t="str">
        <f t="shared" si="197"/>
        <v>7-2033</v>
      </c>
      <c r="B3838" s="86">
        <v>48764</v>
      </c>
      <c r="C3838" t="str">
        <f t="shared" si="198"/>
        <v>L-V</v>
      </c>
      <c r="D3838" t="str">
        <f t="shared" si="199"/>
        <v>Lunes</v>
      </c>
    </row>
    <row r="3839" spans="1:4" x14ac:dyDescent="0.25">
      <c r="A3839" s="88" t="str">
        <f t="shared" si="197"/>
        <v>7-2033</v>
      </c>
      <c r="B3839" s="86">
        <v>48765</v>
      </c>
      <c r="C3839" t="str">
        <f t="shared" si="198"/>
        <v>L-V</v>
      </c>
      <c r="D3839" t="str">
        <f t="shared" si="199"/>
        <v>Martes</v>
      </c>
    </row>
    <row r="3840" spans="1:4" x14ac:dyDescent="0.25">
      <c r="A3840" s="88" t="str">
        <f t="shared" si="197"/>
        <v>7-2033</v>
      </c>
      <c r="B3840" s="86">
        <v>48766</v>
      </c>
      <c r="C3840" t="str">
        <f t="shared" si="198"/>
        <v>L-V</v>
      </c>
      <c r="D3840" t="str">
        <f t="shared" si="199"/>
        <v>Miércoles</v>
      </c>
    </row>
    <row r="3841" spans="1:4" x14ac:dyDescent="0.25">
      <c r="A3841" s="88" t="str">
        <f t="shared" si="197"/>
        <v>7-2033</v>
      </c>
      <c r="B3841" s="86">
        <v>48767</v>
      </c>
      <c r="C3841" t="str">
        <f t="shared" si="198"/>
        <v>L-V</v>
      </c>
      <c r="D3841" t="str">
        <f t="shared" si="199"/>
        <v>Jueves</v>
      </c>
    </row>
    <row r="3842" spans="1:4" x14ac:dyDescent="0.25">
      <c r="A3842" s="88" t="str">
        <f t="shared" ref="A3842:A3905" si="200">MONTH(B3842)&amp;"-"&amp;YEAR(B3842)</f>
        <v>7-2033</v>
      </c>
      <c r="B3842" s="86">
        <v>48768</v>
      </c>
      <c r="C3842" t="str">
        <f t="shared" si="198"/>
        <v>L-V</v>
      </c>
      <c r="D3842" t="str">
        <f t="shared" si="199"/>
        <v>Viernes</v>
      </c>
    </row>
    <row r="3843" spans="1:4" x14ac:dyDescent="0.25">
      <c r="A3843" s="88" t="str">
        <f t="shared" si="200"/>
        <v>7-2033</v>
      </c>
      <c r="B3843" s="86">
        <v>48769</v>
      </c>
      <c r="C3843" t="str">
        <f t="shared" ref="C3843:C3906" si="201">VLOOKUP(WEEKDAY(B3843,2),$F$1:$H$7,2)</f>
        <v>SAB</v>
      </c>
      <c r="D3843" t="str">
        <f t="shared" ref="D3843:D3906" si="202">VLOOKUP(WEEKDAY($B3843,2),$F$1:$H$7,3)</f>
        <v>Sábado</v>
      </c>
    </row>
    <row r="3844" spans="1:4" x14ac:dyDescent="0.25">
      <c r="A3844" s="88" t="str">
        <f t="shared" si="200"/>
        <v>7-2033</v>
      </c>
      <c r="B3844" s="86">
        <v>48770</v>
      </c>
      <c r="C3844" t="str">
        <f t="shared" si="201"/>
        <v>DOM</v>
      </c>
      <c r="D3844" t="str">
        <f t="shared" si="202"/>
        <v>Domingo</v>
      </c>
    </row>
    <row r="3845" spans="1:4" x14ac:dyDescent="0.25">
      <c r="A3845" s="88" t="str">
        <f t="shared" si="200"/>
        <v>7-2033</v>
      </c>
      <c r="B3845" s="86">
        <v>48771</v>
      </c>
      <c r="C3845" t="str">
        <f t="shared" si="201"/>
        <v>L-V</v>
      </c>
      <c r="D3845" t="str">
        <f t="shared" si="202"/>
        <v>Lunes</v>
      </c>
    </row>
    <row r="3846" spans="1:4" x14ac:dyDescent="0.25">
      <c r="A3846" s="88" t="str">
        <f t="shared" si="200"/>
        <v>7-2033</v>
      </c>
      <c r="B3846" s="86">
        <v>48772</v>
      </c>
      <c r="C3846" t="str">
        <f t="shared" si="201"/>
        <v>L-V</v>
      </c>
      <c r="D3846" t="str">
        <f t="shared" si="202"/>
        <v>Martes</v>
      </c>
    </row>
    <row r="3847" spans="1:4" x14ac:dyDescent="0.25">
      <c r="A3847" s="88" t="str">
        <f t="shared" si="200"/>
        <v>7-2033</v>
      </c>
      <c r="B3847" s="86">
        <v>48773</v>
      </c>
      <c r="C3847" t="str">
        <f t="shared" si="201"/>
        <v>L-V</v>
      </c>
      <c r="D3847" t="str">
        <f t="shared" si="202"/>
        <v>Miércoles</v>
      </c>
    </row>
    <row r="3848" spans="1:4" x14ac:dyDescent="0.25">
      <c r="A3848" s="88" t="str">
        <f t="shared" si="200"/>
        <v>7-2033</v>
      </c>
      <c r="B3848" s="86">
        <v>48774</v>
      </c>
      <c r="C3848" t="str">
        <f t="shared" si="201"/>
        <v>L-V</v>
      </c>
      <c r="D3848" t="str">
        <f t="shared" si="202"/>
        <v>Jueves</v>
      </c>
    </row>
    <row r="3849" spans="1:4" x14ac:dyDescent="0.25">
      <c r="A3849" s="88" t="str">
        <f t="shared" si="200"/>
        <v>7-2033</v>
      </c>
      <c r="B3849" s="86">
        <v>48775</v>
      </c>
      <c r="C3849" t="str">
        <f t="shared" si="201"/>
        <v>L-V</v>
      </c>
      <c r="D3849" t="str">
        <f t="shared" si="202"/>
        <v>Viernes</v>
      </c>
    </row>
    <row r="3850" spans="1:4" x14ac:dyDescent="0.25">
      <c r="A3850" s="88" t="str">
        <f t="shared" si="200"/>
        <v>7-2033</v>
      </c>
      <c r="B3850" s="86">
        <v>48776</v>
      </c>
      <c r="C3850" t="str">
        <f t="shared" si="201"/>
        <v>SAB</v>
      </c>
      <c r="D3850" t="str">
        <f t="shared" si="202"/>
        <v>Sábado</v>
      </c>
    </row>
    <row r="3851" spans="1:4" x14ac:dyDescent="0.25">
      <c r="A3851" s="88" t="str">
        <f t="shared" si="200"/>
        <v>7-2033</v>
      </c>
      <c r="B3851" s="86">
        <v>48777</v>
      </c>
      <c r="C3851" t="str">
        <f t="shared" si="201"/>
        <v>DOM</v>
      </c>
      <c r="D3851" t="str">
        <f t="shared" si="202"/>
        <v>Domingo</v>
      </c>
    </row>
    <row r="3852" spans="1:4" x14ac:dyDescent="0.25">
      <c r="A3852" s="88" t="str">
        <f t="shared" si="200"/>
        <v>7-2033</v>
      </c>
      <c r="B3852" s="86">
        <v>48778</v>
      </c>
      <c r="C3852" t="str">
        <f t="shared" si="201"/>
        <v>L-V</v>
      </c>
      <c r="D3852" t="str">
        <f t="shared" si="202"/>
        <v>Lunes</v>
      </c>
    </row>
    <row r="3853" spans="1:4" x14ac:dyDescent="0.25">
      <c r="A3853" s="88" t="str">
        <f t="shared" si="200"/>
        <v>7-2033</v>
      </c>
      <c r="B3853" s="86">
        <v>48779</v>
      </c>
      <c r="C3853" t="str">
        <f t="shared" si="201"/>
        <v>L-V</v>
      </c>
      <c r="D3853" t="str">
        <f t="shared" si="202"/>
        <v>Martes</v>
      </c>
    </row>
    <row r="3854" spans="1:4" x14ac:dyDescent="0.25">
      <c r="A3854" s="88" t="str">
        <f t="shared" si="200"/>
        <v>7-2033</v>
      </c>
      <c r="B3854" s="86">
        <v>48780</v>
      </c>
      <c r="C3854" t="str">
        <f t="shared" si="201"/>
        <v>L-V</v>
      </c>
      <c r="D3854" t="str">
        <f t="shared" si="202"/>
        <v>Miércoles</v>
      </c>
    </row>
    <row r="3855" spans="1:4" x14ac:dyDescent="0.25">
      <c r="A3855" s="88" t="str">
        <f t="shared" si="200"/>
        <v>7-2033</v>
      </c>
      <c r="B3855" s="86">
        <v>48781</v>
      </c>
      <c r="C3855" t="str">
        <f t="shared" si="201"/>
        <v>L-V</v>
      </c>
      <c r="D3855" t="str">
        <f t="shared" si="202"/>
        <v>Jueves</v>
      </c>
    </row>
    <row r="3856" spans="1:4" x14ac:dyDescent="0.25">
      <c r="A3856" s="88" t="str">
        <f t="shared" si="200"/>
        <v>7-2033</v>
      </c>
      <c r="B3856" s="86">
        <v>48782</v>
      </c>
      <c r="C3856" t="str">
        <f t="shared" si="201"/>
        <v>L-V</v>
      </c>
      <c r="D3856" t="str">
        <f t="shared" si="202"/>
        <v>Viernes</v>
      </c>
    </row>
    <row r="3857" spans="1:4" x14ac:dyDescent="0.25">
      <c r="A3857" s="88" t="str">
        <f t="shared" si="200"/>
        <v>7-2033</v>
      </c>
      <c r="B3857" s="86">
        <v>48783</v>
      </c>
      <c r="C3857" t="str">
        <f t="shared" si="201"/>
        <v>SAB</v>
      </c>
      <c r="D3857" t="str">
        <f t="shared" si="202"/>
        <v>Sábado</v>
      </c>
    </row>
    <row r="3858" spans="1:4" x14ac:dyDescent="0.25">
      <c r="A3858" s="88" t="str">
        <f t="shared" si="200"/>
        <v>7-2033</v>
      </c>
      <c r="B3858" s="86">
        <v>48784</v>
      </c>
      <c r="C3858" t="str">
        <f t="shared" si="201"/>
        <v>DOM</v>
      </c>
      <c r="D3858" t="str">
        <f t="shared" si="202"/>
        <v>Domingo</v>
      </c>
    </row>
    <row r="3859" spans="1:4" x14ac:dyDescent="0.25">
      <c r="A3859" s="88" t="str">
        <f t="shared" si="200"/>
        <v>7-2033</v>
      </c>
      <c r="B3859" s="86">
        <v>48785</v>
      </c>
      <c r="C3859" t="str">
        <f t="shared" si="201"/>
        <v>L-V</v>
      </c>
      <c r="D3859" t="str">
        <f t="shared" si="202"/>
        <v>Lunes</v>
      </c>
    </row>
    <row r="3860" spans="1:4" x14ac:dyDescent="0.25">
      <c r="A3860" s="88" t="str">
        <f t="shared" si="200"/>
        <v>7-2033</v>
      </c>
      <c r="B3860" s="86">
        <v>48786</v>
      </c>
      <c r="C3860" t="str">
        <f t="shared" si="201"/>
        <v>L-V</v>
      </c>
      <c r="D3860" t="str">
        <f t="shared" si="202"/>
        <v>Martes</v>
      </c>
    </row>
    <row r="3861" spans="1:4" x14ac:dyDescent="0.25">
      <c r="A3861" s="88" t="str">
        <f t="shared" si="200"/>
        <v>7-2033</v>
      </c>
      <c r="B3861" s="86">
        <v>48787</v>
      </c>
      <c r="C3861" t="str">
        <f t="shared" si="201"/>
        <v>L-V</v>
      </c>
      <c r="D3861" t="str">
        <f t="shared" si="202"/>
        <v>Miércoles</v>
      </c>
    </row>
    <row r="3862" spans="1:4" x14ac:dyDescent="0.25">
      <c r="A3862" s="88" t="str">
        <f t="shared" si="200"/>
        <v>7-2033</v>
      </c>
      <c r="B3862" s="86">
        <v>48788</v>
      </c>
      <c r="C3862" t="str">
        <f t="shared" si="201"/>
        <v>L-V</v>
      </c>
      <c r="D3862" t="str">
        <f t="shared" si="202"/>
        <v>Jueves</v>
      </c>
    </row>
    <row r="3863" spans="1:4" x14ac:dyDescent="0.25">
      <c r="A3863" s="88" t="str">
        <f t="shared" si="200"/>
        <v>7-2033</v>
      </c>
      <c r="B3863" s="86">
        <v>48789</v>
      </c>
      <c r="C3863" t="str">
        <f t="shared" si="201"/>
        <v>L-V</v>
      </c>
      <c r="D3863" t="str">
        <f t="shared" si="202"/>
        <v>Viernes</v>
      </c>
    </row>
    <row r="3864" spans="1:4" x14ac:dyDescent="0.25">
      <c r="A3864" s="88" t="str">
        <f t="shared" si="200"/>
        <v>7-2033</v>
      </c>
      <c r="B3864" s="86">
        <v>48790</v>
      </c>
      <c r="C3864" t="str">
        <f t="shared" si="201"/>
        <v>SAB</v>
      </c>
      <c r="D3864" t="str">
        <f t="shared" si="202"/>
        <v>Sábado</v>
      </c>
    </row>
    <row r="3865" spans="1:4" x14ac:dyDescent="0.25">
      <c r="A3865" s="88" t="str">
        <f t="shared" si="200"/>
        <v>7-2033</v>
      </c>
      <c r="B3865" s="86">
        <v>48791</v>
      </c>
      <c r="C3865" t="str">
        <f t="shared" si="201"/>
        <v>DOM</v>
      </c>
      <c r="D3865" t="str">
        <f t="shared" si="202"/>
        <v>Domingo</v>
      </c>
    </row>
    <row r="3866" spans="1:4" x14ac:dyDescent="0.25">
      <c r="A3866" s="88" t="str">
        <f t="shared" si="200"/>
        <v>8-2033</v>
      </c>
      <c r="B3866" s="86">
        <v>48792</v>
      </c>
      <c r="C3866" t="str">
        <f t="shared" si="201"/>
        <v>L-V</v>
      </c>
      <c r="D3866" t="str">
        <f t="shared" si="202"/>
        <v>Lunes</v>
      </c>
    </row>
    <row r="3867" spans="1:4" x14ac:dyDescent="0.25">
      <c r="A3867" s="88" t="str">
        <f t="shared" si="200"/>
        <v>8-2033</v>
      </c>
      <c r="B3867" s="86">
        <v>48793</v>
      </c>
      <c r="C3867" t="str">
        <f t="shared" si="201"/>
        <v>L-V</v>
      </c>
      <c r="D3867" t="str">
        <f t="shared" si="202"/>
        <v>Martes</v>
      </c>
    </row>
    <row r="3868" spans="1:4" x14ac:dyDescent="0.25">
      <c r="A3868" s="88" t="str">
        <f t="shared" si="200"/>
        <v>8-2033</v>
      </c>
      <c r="B3868" s="86">
        <v>48794</v>
      </c>
      <c r="C3868" t="str">
        <f t="shared" si="201"/>
        <v>L-V</v>
      </c>
      <c r="D3868" t="str">
        <f t="shared" si="202"/>
        <v>Miércoles</v>
      </c>
    </row>
    <row r="3869" spans="1:4" x14ac:dyDescent="0.25">
      <c r="A3869" s="88" t="str">
        <f t="shared" si="200"/>
        <v>8-2033</v>
      </c>
      <c r="B3869" s="86">
        <v>48795</v>
      </c>
      <c r="C3869" t="str">
        <f t="shared" si="201"/>
        <v>L-V</v>
      </c>
      <c r="D3869" t="str">
        <f t="shared" si="202"/>
        <v>Jueves</v>
      </c>
    </row>
    <row r="3870" spans="1:4" x14ac:dyDescent="0.25">
      <c r="A3870" s="88" t="str">
        <f t="shared" si="200"/>
        <v>8-2033</v>
      </c>
      <c r="B3870" s="86">
        <v>48796</v>
      </c>
      <c r="C3870" t="str">
        <f t="shared" si="201"/>
        <v>L-V</v>
      </c>
      <c r="D3870" t="str">
        <f t="shared" si="202"/>
        <v>Viernes</v>
      </c>
    </row>
    <row r="3871" spans="1:4" x14ac:dyDescent="0.25">
      <c r="A3871" s="88" t="str">
        <f t="shared" si="200"/>
        <v>8-2033</v>
      </c>
      <c r="B3871" s="86">
        <v>48797</v>
      </c>
      <c r="C3871" t="str">
        <f t="shared" si="201"/>
        <v>SAB</v>
      </c>
      <c r="D3871" t="str">
        <f t="shared" si="202"/>
        <v>Sábado</v>
      </c>
    </row>
    <row r="3872" spans="1:4" x14ac:dyDescent="0.25">
      <c r="A3872" s="88" t="str">
        <f t="shared" si="200"/>
        <v>8-2033</v>
      </c>
      <c r="B3872" s="86">
        <v>48798</v>
      </c>
      <c r="C3872" t="str">
        <f t="shared" si="201"/>
        <v>DOM</v>
      </c>
      <c r="D3872" t="str">
        <f t="shared" si="202"/>
        <v>Domingo</v>
      </c>
    </row>
    <row r="3873" spans="1:4" x14ac:dyDescent="0.25">
      <c r="A3873" s="88" t="str">
        <f t="shared" si="200"/>
        <v>8-2033</v>
      </c>
      <c r="B3873" s="86">
        <v>48799</v>
      </c>
      <c r="C3873" t="str">
        <f t="shared" si="201"/>
        <v>L-V</v>
      </c>
      <c r="D3873" t="str">
        <f t="shared" si="202"/>
        <v>Lunes</v>
      </c>
    </row>
    <row r="3874" spans="1:4" x14ac:dyDescent="0.25">
      <c r="A3874" s="88" t="str">
        <f t="shared" si="200"/>
        <v>8-2033</v>
      </c>
      <c r="B3874" s="86">
        <v>48800</v>
      </c>
      <c r="C3874" t="str">
        <f t="shared" si="201"/>
        <v>L-V</v>
      </c>
      <c r="D3874" t="str">
        <f t="shared" si="202"/>
        <v>Martes</v>
      </c>
    </row>
    <row r="3875" spans="1:4" x14ac:dyDescent="0.25">
      <c r="A3875" s="88" t="str">
        <f t="shared" si="200"/>
        <v>8-2033</v>
      </c>
      <c r="B3875" s="86">
        <v>48801</v>
      </c>
      <c r="C3875" t="str">
        <f t="shared" si="201"/>
        <v>L-V</v>
      </c>
      <c r="D3875" t="str">
        <f t="shared" si="202"/>
        <v>Miércoles</v>
      </c>
    </row>
    <row r="3876" spans="1:4" x14ac:dyDescent="0.25">
      <c r="A3876" s="88" t="str">
        <f t="shared" si="200"/>
        <v>8-2033</v>
      </c>
      <c r="B3876" s="86">
        <v>48802</v>
      </c>
      <c r="C3876" t="str">
        <f t="shared" si="201"/>
        <v>L-V</v>
      </c>
      <c r="D3876" t="str">
        <f t="shared" si="202"/>
        <v>Jueves</v>
      </c>
    </row>
    <row r="3877" spans="1:4" x14ac:dyDescent="0.25">
      <c r="A3877" s="88" t="str">
        <f t="shared" si="200"/>
        <v>8-2033</v>
      </c>
      <c r="B3877" s="86">
        <v>48803</v>
      </c>
      <c r="C3877" t="str">
        <f t="shared" si="201"/>
        <v>L-V</v>
      </c>
      <c r="D3877" t="str">
        <f t="shared" si="202"/>
        <v>Viernes</v>
      </c>
    </row>
    <row r="3878" spans="1:4" x14ac:dyDescent="0.25">
      <c r="A3878" s="88" t="str">
        <f t="shared" si="200"/>
        <v>8-2033</v>
      </c>
      <c r="B3878" s="86">
        <v>48804</v>
      </c>
      <c r="C3878" t="str">
        <f t="shared" si="201"/>
        <v>SAB</v>
      </c>
      <c r="D3878" t="str">
        <f t="shared" si="202"/>
        <v>Sábado</v>
      </c>
    </row>
    <row r="3879" spans="1:4" x14ac:dyDescent="0.25">
      <c r="A3879" s="88" t="str">
        <f t="shared" si="200"/>
        <v>8-2033</v>
      </c>
      <c r="B3879" s="86">
        <v>48805</v>
      </c>
      <c r="C3879" t="str">
        <f t="shared" si="201"/>
        <v>DOM</v>
      </c>
      <c r="D3879" t="str">
        <f t="shared" si="202"/>
        <v>Domingo</v>
      </c>
    </row>
    <row r="3880" spans="1:4" x14ac:dyDescent="0.25">
      <c r="A3880" s="88" t="str">
        <f t="shared" si="200"/>
        <v>8-2033</v>
      </c>
      <c r="B3880" s="86">
        <v>48806</v>
      </c>
      <c r="C3880" t="str">
        <f t="shared" si="201"/>
        <v>L-V</v>
      </c>
      <c r="D3880" t="str">
        <f t="shared" si="202"/>
        <v>Lunes</v>
      </c>
    </row>
    <row r="3881" spans="1:4" x14ac:dyDescent="0.25">
      <c r="A3881" s="88" t="str">
        <f t="shared" si="200"/>
        <v>8-2033</v>
      </c>
      <c r="B3881" s="86">
        <v>48807</v>
      </c>
      <c r="C3881" t="str">
        <f t="shared" si="201"/>
        <v>L-V</v>
      </c>
      <c r="D3881" t="str">
        <f t="shared" si="202"/>
        <v>Martes</v>
      </c>
    </row>
    <row r="3882" spans="1:4" x14ac:dyDescent="0.25">
      <c r="A3882" s="88" t="str">
        <f t="shared" si="200"/>
        <v>8-2033</v>
      </c>
      <c r="B3882" s="86">
        <v>48808</v>
      </c>
      <c r="C3882" t="str">
        <f t="shared" si="201"/>
        <v>L-V</v>
      </c>
      <c r="D3882" t="str">
        <f t="shared" si="202"/>
        <v>Miércoles</v>
      </c>
    </row>
    <row r="3883" spans="1:4" x14ac:dyDescent="0.25">
      <c r="A3883" s="88" t="str">
        <f t="shared" si="200"/>
        <v>8-2033</v>
      </c>
      <c r="B3883" s="86">
        <v>48809</v>
      </c>
      <c r="C3883" t="str">
        <f t="shared" si="201"/>
        <v>L-V</v>
      </c>
      <c r="D3883" t="str">
        <f t="shared" si="202"/>
        <v>Jueves</v>
      </c>
    </row>
    <row r="3884" spans="1:4" x14ac:dyDescent="0.25">
      <c r="A3884" s="88" t="str">
        <f t="shared" si="200"/>
        <v>8-2033</v>
      </c>
      <c r="B3884" s="86">
        <v>48810</v>
      </c>
      <c r="C3884" t="str">
        <f t="shared" si="201"/>
        <v>L-V</v>
      </c>
      <c r="D3884" t="str">
        <f t="shared" si="202"/>
        <v>Viernes</v>
      </c>
    </row>
    <row r="3885" spans="1:4" x14ac:dyDescent="0.25">
      <c r="A3885" s="88" t="str">
        <f t="shared" si="200"/>
        <v>8-2033</v>
      </c>
      <c r="B3885" s="86">
        <v>48811</v>
      </c>
      <c r="C3885" t="str">
        <f t="shared" si="201"/>
        <v>SAB</v>
      </c>
      <c r="D3885" t="str">
        <f t="shared" si="202"/>
        <v>Sábado</v>
      </c>
    </row>
    <row r="3886" spans="1:4" x14ac:dyDescent="0.25">
      <c r="A3886" s="88" t="str">
        <f t="shared" si="200"/>
        <v>8-2033</v>
      </c>
      <c r="B3886" s="86">
        <v>48812</v>
      </c>
      <c r="C3886" t="str">
        <f t="shared" si="201"/>
        <v>DOM</v>
      </c>
      <c r="D3886" t="str">
        <f t="shared" si="202"/>
        <v>Domingo</v>
      </c>
    </row>
    <row r="3887" spans="1:4" x14ac:dyDescent="0.25">
      <c r="A3887" s="88" t="str">
        <f t="shared" si="200"/>
        <v>8-2033</v>
      </c>
      <c r="B3887" s="86">
        <v>48813</v>
      </c>
      <c r="C3887" t="str">
        <f t="shared" si="201"/>
        <v>L-V</v>
      </c>
      <c r="D3887" t="str">
        <f t="shared" si="202"/>
        <v>Lunes</v>
      </c>
    </row>
    <row r="3888" spans="1:4" x14ac:dyDescent="0.25">
      <c r="A3888" s="88" t="str">
        <f t="shared" si="200"/>
        <v>8-2033</v>
      </c>
      <c r="B3888" s="86">
        <v>48814</v>
      </c>
      <c r="C3888" t="str">
        <f t="shared" si="201"/>
        <v>L-V</v>
      </c>
      <c r="D3888" t="str">
        <f t="shared" si="202"/>
        <v>Martes</v>
      </c>
    </row>
    <row r="3889" spans="1:4" x14ac:dyDescent="0.25">
      <c r="A3889" s="88" t="str">
        <f t="shared" si="200"/>
        <v>8-2033</v>
      </c>
      <c r="B3889" s="86">
        <v>48815</v>
      </c>
      <c r="C3889" t="str">
        <f t="shared" si="201"/>
        <v>L-V</v>
      </c>
      <c r="D3889" t="str">
        <f t="shared" si="202"/>
        <v>Miércoles</v>
      </c>
    </row>
    <row r="3890" spans="1:4" x14ac:dyDescent="0.25">
      <c r="A3890" s="88" t="str">
        <f t="shared" si="200"/>
        <v>8-2033</v>
      </c>
      <c r="B3890" s="86">
        <v>48816</v>
      </c>
      <c r="C3890" t="str">
        <f t="shared" si="201"/>
        <v>L-V</v>
      </c>
      <c r="D3890" t="str">
        <f t="shared" si="202"/>
        <v>Jueves</v>
      </c>
    </row>
    <row r="3891" spans="1:4" x14ac:dyDescent="0.25">
      <c r="A3891" s="88" t="str">
        <f t="shared" si="200"/>
        <v>8-2033</v>
      </c>
      <c r="B3891" s="86">
        <v>48817</v>
      </c>
      <c r="C3891" t="str">
        <f t="shared" si="201"/>
        <v>L-V</v>
      </c>
      <c r="D3891" t="str">
        <f t="shared" si="202"/>
        <v>Viernes</v>
      </c>
    </row>
    <row r="3892" spans="1:4" x14ac:dyDescent="0.25">
      <c r="A3892" s="88" t="str">
        <f t="shared" si="200"/>
        <v>8-2033</v>
      </c>
      <c r="B3892" s="86">
        <v>48818</v>
      </c>
      <c r="C3892" t="str">
        <f t="shared" si="201"/>
        <v>SAB</v>
      </c>
      <c r="D3892" t="str">
        <f t="shared" si="202"/>
        <v>Sábado</v>
      </c>
    </row>
    <row r="3893" spans="1:4" x14ac:dyDescent="0.25">
      <c r="A3893" s="88" t="str">
        <f t="shared" si="200"/>
        <v>8-2033</v>
      </c>
      <c r="B3893" s="86">
        <v>48819</v>
      </c>
      <c r="C3893" t="str">
        <f t="shared" si="201"/>
        <v>DOM</v>
      </c>
      <c r="D3893" t="str">
        <f t="shared" si="202"/>
        <v>Domingo</v>
      </c>
    </row>
    <row r="3894" spans="1:4" x14ac:dyDescent="0.25">
      <c r="A3894" s="88" t="str">
        <f t="shared" si="200"/>
        <v>8-2033</v>
      </c>
      <c r="B3894" s="86">
        <v>48820</v>
      </c>
      <c r="C3894" t="str">
        <f t="shared" si="201"/>
        <v>L-V</v>
      </c>
      <c r="D3894" t="str">
        <f t="shared" si="202"/>
        <v>Lunes</v>
      </c>
    </row>
    <row r="3895" spans="1:4" x14ac:dyDescent="0.25">
      <c r="A3895" s="88" t="str">
        <f t="shared" si="200"/>
        <v>8-2033</v>
      </c>
      <c r="B3895" s="86">
        <v>48821</v>
      </c>
      <c r="C3895" t="str">
        <f t="shared" si="201"/>
        <v>L-V</v>
      </c>
      <c r="D3895" t="str">
        <f t="shared" si="202"/>
        <v>Martes</v>
      </c>
    </row>
    <row r="3896" spans="1:4" x14ac:dyDescent="0.25">
      <c r="A3896" s="88" t="str">
        <f t="shared" si="200"/>
        <v>8-2033</v>
      </c>
      <c r="B3896" s="86">
        <v>48822</v>
      </c>
      <c r="C3896" t="str">
        <f t="shared" si="201"/>
        <v>L-V</v>
      </c>
      <c r="D3896" t="str">
        <f t="shared" si="202"/>
        <v>Miércoles</v>
      </c>
    </row>
    <row r="3897" spans="1:4" x14ac:dyDescent="0.25">
      <c r="A3897" s="88" t="str">
        <f t="shared" si="200"/>
        <v>9-2033</v>
      </c>
      <c r="B3897" s="86">
        <v>48823</v>
      </c>
      <c r="C3897" t="str">
        <f t="shared" si="201"/>
        <v>L-V</v>
      </c>
      <c r="D3897" t="str">
        <f t="shared" si="202"/>
        <v>Jueves</v>
      </c>
    </row>
    <row r="3898" spans="1:4" x14ac:dyDescent="0.25">
      <c r="A3898" s="88" t="str">
        <f t="shared" si="200"/>
        <v>9-2033</v>
      </c>
      <c r="B3898" s="86">
        <v>48824</v>
      </c>
      <c r="C3898" t="str">
        <f t="shared" si="201"/>
        <v>L-V</v>
      </c>
      <c r="D3898" t="str">
        <f t="shared" si="202"/>
        <v>Viernes</v>
      </c>
    </row>
    <row r="3899" spans="1:4" x14ac:dyDescent="0.25">
      <c r="A3899" s="88" t="str">
        <f t="shared" si="200"/>
        <v>9-2033</v>
      </c>
      <c r="B3899" s="86">
        <v>48825</v>
      </c>
      <c r="C3899" t="str">
        <f t="shared" si="201"/>
        <v>SAB</v>
      </c>
      <c r="D3899" t="str">
        <f t="shared" si="202"/>
        <v>Sábado</v>
      </c>
    </row>
    <row r="3900" spans="1:4" x14ac:dyDescent="0.25">
      <c r="A3900" s="88" t="str">
        <f t="shared" si="200"/>
        <v>9-2033</v>
      </c>
      <c r="B3900" s="86">
        <v>48826</v>
      </c>
      <c r="C3900" t="str">
        <f t="shared" si="201"/>
        <v>DOM</v>
      </c>
      <c r="D3900" t="str">
        <f t="shared" si="202"/>
        <v>Domingo</v>
      </c>
    </row>
    <row r="3901" spans="1:4" x14ac:dyDescent="0.25">
      <c r="A3901" s="88" t="str">
        <f t="shared" si="200"/>
        <v>9-2033</v>
      </c>
      <c r="B3901" s="86">
        <v>48827</v>
      </c>
      <c r="C3901" t="str">
        <f t="shared" si="201"/>
        <v>L-V</v>
      </c>
      <c r="D3901" t="str">
        <f t="shared" si="202"/>
        <v>Lunes</v>
      </c>
    </row>
    <row r="3902" spans="1:4" x14ac:dyDescent="0.25">
      <c r="A3902" s="88" t="str">
        <f t="shared" si="200"/>
        <v>9-2033</v>
      </c>
      <c r="B3902" s="86">
        <v>48828</v>
      </c>
      <c r="C3902" t="str">
        <f t="shared" si="201"/>
        <v>L-V</v>
      </c>
      <c r="D3902" t="str">
        <f t="shared" si="202"/>
        <v>Martes</v>
      </c>
    </row>
    <row r="3903" spans="1:4" x14ac:dyDescent="0.25">
      <c r="A3903" s="88" t="str">
        <f t="shared" si="200"/>
        <v>9-2033</v>
      </c>
      <c r="B3903" s="86">
        <v>48829</v>
      </c>
      <c r="C3903" t="str">
        <f t="shared" si="201"/>
        <v>L-V</v>
      </c>
      <c r="D3903" t="str">
        <f t="shared" si="202"/>
        <v>Miércoles</v>
      </c>
    </row>
    <row r="3904" spans="1:4" x14ac:dyDescent="0.25">
      <c r="A3904" s="88" t="str">
        <f t="shared" si="200"/>
        <v>9-2033</v>
      </c>
      <c r="B3904" s="86">
        <v>48830</v>
      </c>
      <c r="C3904" t="str">
        <f t="shared" si="201"/>
        <v>L-V</v>
      </c>
      <c r="D3904" t="str">
        <f t="shared" si="202"/>
        <v>Jueves</v>
      </c>
    </row>
    <row r="3905" spans="1:4" x14ac:dyDescent="0.25">
      <c r="A3905" s="88" t="str">
        <f t="shared" si="200"/>
        <v>9-2033</v>
      </c>
      <c r="B3905" s="86">
        <v>48831</v>
      </c>
      <c r="C3905" t="str">
        <f t="shared" si="201"/>
        <v>L-V</v>
      </c>
      <c r="D3905" t="str">
        <f t="shared" si="202"/>
        <v>Viernes</v>
      </c>
    </row>
    <row r="3906" spans="1:4" x14ac:dyDescent="0.25">
      <c r="A3906" s="88" t="str">
        <f t="shared" ref="A3906:A3969" si="203">MONTH(B3906)&amp;"-"&amp;YEAR(B3906)</f>
        <v>9-2033</v>
      </c>
      <c r="B3906" s="86">
        <v>48832</v>
      </c>
      <c r="C3906" t="str">
        <f t="shared" si="201"/>
        <v>SAB</v>
      </c>
      <c r="D3906" t="str">
        <f t="shared" si="202"/>
        <v>Sábado</v>
      </c>
    </row>
    <row r="3907" spans="1:4" x14ac:dyDescent="0.25">
      <c r="A3907" s="88" t="str">
        <f t="shared" si="203"/>
        <v>9-2033</v>
      </c>
      <c r="B3907" s="86">
        <v>48833</v>
      </c>
      <c r="C3907" t="str">
        <f t="shared" ref="C3907:C3970" si="204">VLOOKUP(WEEKDAY(B3907,2),$F$1:$H$7,2)</f>
        <v>DOM</v>
      </c>
      <c r="D3907" t="str">
        <f t="shared" ref="D3907:D3970" si="205">VLOOKUP(WEEKDAY($B3907,2),$F$1:$H$7,3)</f>
        <v>Domingo</v>
      </c>
    </row>
    <row r="3908" spans="1:4" x14ac:dyDescent="0.25">
      <c r="A3908" s="88" t="str">
        <f t="shared" si="203"/>
        <v>9-2033</v>
      </c>
      <c r="B3908" s="86">
        <v>48834</v>
      </c>
      <c r="C3908" t="str">
        <f t="shared" si="204"/>
        <v>L-V</v>
      </c>
      <c r="D3908" t="str">
        <f t="shared" si="205"/>
        <v>Lunes</v>
      </c>
    </row>
    <row r="3909" spans="1:4" x14ac:dyDescent="0.25">
      <c r="A3909" s="88" t="str">
        <f t="shared" si="203"/>
        <v>9-2033</v>
      </c>
      <c r="B3909" s="86">
        <v>48835</v>
      </c>
      <c r="C3909" t="str">
        <f t="shared" si="204"/>
        <v>L-V</v>
      </c>
      <c r="D3909" t="str">
        <f t="shared" si="205"/>
        <v>Martes</v>
      </c>
    </row>
    <row r="3910" spans="1:4" x14ac:dyDescent="0.25">
      <c r="A3910" s="88" t="str">
        <f t="shared" si="203"/>
        <v>9-2033</v>
      </c>
      <c r="B3910" s="86">
        <v>48836</v>
      </c>
      <c r="C3910" t="str">
        <f t="shared" si="204"/>
        <v>L-V</v>
      </c>
      <c r="D3910" t="str">
        <f t="shared" si="205"/>
        <v>Miércoles</v>
      </c>
    </row>
    <row r="3911" spans="1:4" x14ac:dyDescent="0.25">
      <c r="A3911" s="88" t="str">
        <f t="shared" si="203"/>
        <v>9-2033</v>
      </c>
      <c r="B3911" s="86">
        <v>48837</v>
      </c>
      <c r="C3911" t="str">
        <f t="shared" si="204"/>
        <v>L-V</v>
      </c>
      <c r="D3911" t="str">
        <f t="shared" si="205"/>
        <v>Jueves</v>
      </c>
    </row>
    <row r="3912" spans="1:4" x14ac:dyDescent="0.25">
      <c r="A3912" s="88" t="str">
        <f t="shared" si="203"/>
        <v>9-2033</v>
      </c>
      <c r="B3912" s="86">
        <v>48838</v>
      </c>
      <c r="C3912" t="str">
        <f t="shared" si="204"/>
        <v>L-V</v>
      </c>
      <c r="D3912" t="str">
        <f t="shared" si="205"/>
        <v>Viernes</v>
      </c>
    </row>
    <row r="3913" spans="1:4" x14ac:dyDescent="0.25">
      <c r="A3913" s="88" t="str">
        <f t="shared" si="203"/>
        <v>9-2033</v>
      </c>
      <c r="B3913" s="86">
        <v>48839</v>
      </c>
      <c r="C3913" t="str">
        <f t="shared" si="204"/>
        <v>SAB</v>
      </c>
      <c r="D3913" t="str">
        <f t="shared" si="205"/>
        <v>Sábado</v>
      </c>
    </row>
    <row r="3914" spans="1:4" x14ac:dyDescent="0.25">
      <c r="A3914" s="88" t="str">
        <f t="shared" si="203"/>
        <v>9-2033</v>
      </c>
      <c r="B3914" s="86">
        <v>48840</v>
      </c>
      <c r="C3914" t="str">
        <f t="shared" si="204"/>
        <v>DOM</v>
      </c>
      <c r="D3914" t="str">
        <f t="shared" si="205"/>
        <v>Domingo</v>
      </c>
    </row>
    <row r="3915" spans="1:4" x14ac:dyDescent="0.25">
      <c r="A3915" s="88" t="str">
        <f t="shared" si="203"/>
        <v>9-2033</v>
      </c>
      <c r="B3915" s="86">
        <v>48841</v>
      </c>
      <c r="C3915" t="str">
        <f t="shared" si="204"/>
        <v>L-V</v>
      </c>
      <c r="D3915" t="str">
        <f t="shared" si="205"/>
        <v>Lunes</v>
      </c>
    </row>
    <row r="3916" spans="1:4" x14ac:dyDescent="0.25">
      <c r="A3916" s="88" t="str">
        <f t="shared" si="203"/>
        <v>9-2033</v>
      </c>
      <c r="B3916" s="86">
        <v>48842</v>
      </c>
      <c r="C3916" t="str">
        <f t="shared" si="204"/>
        <v>L-V</v>
      </c>
      <c r="D3916" t="str">
        <f t="shared" si="205"/>
        <v>Martes</v>
      </c>
    </row>
    <row r="3917" spans="1:4" x14ac:dyDescent="0.25">
      <c r="A3917" s="88" t="str">
        <f t="shared" si="203"/>
        <v>9-2033</v>
      </c>
      <c r="B3917" s="86">
        <v>48843</v>
      </c>
      <c r="C3917" t="str">
        <f t="shared" si="204"/>
        <v>L-V</v>
      </c>
      <c r="D3917" t="str">
        <f t="shared" si="205"/>
        <v>Miércoles</v>
      </c>
    </row>
    <row r="3918" spans="1:4" x14ac:dyDescent="0.25">
      <c r="A3918" s="88" t="str">
        <f t="shared" si="203"/>
        <v>9-2033</v>
      </c>
      <c r="B3918" s="86">
        <v>48844</v>
      </c>
      <c r="C3918" t="str">
        <f t="shared" si="204"/>
        <v>L-V</v>
      </c>
      <c r="D3918" t="str">
        <f t="shared" si="205"/>
        <v>Jueves</v>
      </c>
    </row>
    <row r="3919" spans="1:4" x14ac:dyDescent="0.25">
      <c r="A3919" s="88" t="str">
        <f t="shared" si="203"/>
        <v>9-2033</v>
      </c>
      <c r="B3919" s="86">
        <v>48845</v>
      </c>
      <c r="C3919" t="str">
        <f t="shared" si="204"/>
        <v>L-V</v>
      </c>
      <c r="D3919" t="str">
        <f t="shared" si="205"/>
        <v>Viernes</v>
      </c>
    </row>
    <row r="3920" spans="1:4" x14ac:dyDescent="0.25">
      <c r="A3920" s="88" t="str">
        <f t="shared" si="203"/>
        <v>9-2033</v>
      </c>
      <c r="B3920" s="86">
        <v>48846</v>
      </c>
      <c r="C3920" t="str">
        <f t="shared" si="204"/>
        <v>SAB</v>
      </c>
      <c r="D3920" t="str">
        <f t="shared" si="205"/>
        <v>Sábado</v>
      </c>
    </row>
    <row r="3921" spans="1:4" x14ac:dyDescent="0.25">
      <c r="A3921" s="88" t="str">
        <f t="shared" si="203"/>
        <v>9-2033</v>
      </c>
      <c r="B3921" s="86">
        <v>48847</v>
      </c>
      <c r="C3921" t="str">
        <f t="shared" si="204"/>
        <v>DOM</v>
      </c>
      <c r="D3921" t="str">
        <f t="shared" si="205"/>
        <v>Domingo</v>
      </c>
    </row>
    <row r="3922" spans="1:4" x14ac:dyDescent="0.25">
      <c r="A3922" s="88" t="str">
        <f t="shared" si="203"/>
        <v>9-2033</v>
      </c>
      <c r="B3922" s="86">
        <v>48848</v>
      </c>
      <c r="C3922" t="str">
        <f t="shared" si="204"/>
        <v>L-V</v>
      </c>
      <c r="D3922" t="str">
        <f t="shared" si="205"/>
        <v>Lunes</v>
      </c>
    </row>
    <row r="3923" spans="1:4" x14ac:dyDescent="0.25">
      <c r="A3923" s="88" t="str">
        <f t="shared" si="203"/>
        <v>9-2033</v>
      </c>
      <c r="B3923" s="86">
        <v>48849</v>
      </c>
      <c r="C3923" t="str">
        <f t="shared" si="204"/>
        <v>L-V</v>
      </c>
      <c r="D3923" t="str">
        <f t="shared" si="205"/>
        <v>Martes</v>
      </c>
    </row>
    <row r="3924" spans="1:4" x14ac:dyDescent="0.25">
      <c r="A3924" s="88" t="str">
        <f t="shared" si="203"/>
        <v>9-2033</v>
      </c>
      <c r="B3924" s="86">
        <v>48850</v>
      </c>
      <c r="C3924" t="str">
        <f t="shared" si="204"/>
        <v>L-V</v>
      </c>
      <c r="D3924" t="str">
        <f t="shared" si="205"/>
        <v>Miércoles</v>
      </c>
    </row>
    <row r="3925" spans="1:4" x14ac:dyDescent="0.25">
      <c r="A3925" s="88" t="str">
        <f t="shared" si="203"/>
        <v>9-2033</v>
      </c>
      <c r="B3925" s="86">
        <v>48851</v>
      </c>
      <c r="C3925" t="str">
        <f t="shared" si="204"/>
        <v>L-V</v>
      </c>
      <c r="D3925" t="str">
        <f t="shared" si="205"/>
        <v>Jueves</v>
      </c>
    </row>
    <row r="3926" spans="1:4" x14ac:dyDescent="0.25">
      <c r="A3926" s="88" t="str">
        <f t="shared" si="203"/>
        <v>9-2033</v>
      </c>
      <c r="B3926" s="86">
        <v>48852</v>
      </c>
      <c r="C3926" t="str">
        <f t="shared" si="204"/>
        <v>L-V</v>
      </c>
      <c r="D3926" t="str">
        <f t="shared" si="205"/>
        <v>Viernes</v>
      </c>
    </row>
    <row r="3927" spans="1:4" x14ac:dyDescent="0.25">
      <c r="A3927" s="88" t="str">
        <f t="shared" si="203"/>
        <v>10-2033</v>
      </c>
      <c r="B3927" s="86">
        <v>48853</v>
      </c>
      <c r="C3927" t="str">
        <f t="shared" si="204"/>
        <v>SAB</v>
      </c>
      <c r="D3927" t="str">
        <f t="shared" si="205"/>
        <v>Sábado</v>
      </c>
    </row>
    <row r="3928" spans="1:4" x14ac:dyDescent="0.25">
      <c r="A3928" s="88" t="str">
        <f t="shared" si="203"/>
        <v>10-2033</v>
      </c>
      <c r="B3928" s="86">
        <v>48854</v>
      </c>
      <c r="C3928" t="str">
        <f t="shared" si="204"/>
        <v>DOM</v>
      </c>
      <c r="D3928" t="str">
        <f t="shared" si="205"/>
        <v>Domingo</v>
      </c>
    </row>
    <row r="3929" spans="1:4" x14ac:dyDescent="0.25">
      <c r="A3929" s="88" t="str">
        <f t="shared" si="203"/>
        <v>10-2033</v>
      </c>
      <c r="B3929" s="86">
        <v>48855</v>
      </c>
      <c r="C3929" t="str">
        <f t="shared" si="204"/>
        <v>L-V</v>
      </c>
      <c r="D3929" t="str">
        <f t="shared" si="205"/>
        <v>Lunes</v>
      </c>
    </row>
    <row r="3930" spans="1:4" x14ac:dyDescent="0.25">
      <c r="A3930" s="88" t="str">
        <f t="shared" si="203"/>
        <v>10-2033</v>
      </c>
      <c r="B3930" s="86">
        <v>48856</v>
      </c>
      <c r="C3930" t="str">
        <f t="shared" si="204"/>
        <v>L-V</v>
      </c>
      <c r="D3930" t="str">
        <f t="shared" si="205"/>
        <v>Martes</v>
      </c>
    </row>
    <row r="3931" spans="1:4" x14ac:dyDescent="0.25">
      <c r="A3931" s="88" t="str">
        <f t="shared" si="203"/>
        <v>10-2033</v>
      </c>
      <c r="B3931" s="86">
        <v>48857</v>
      </c>
      <c r="C3931" t="str">
        <f t="shared" si="204"/>
        <v>L-V</v>
      </c>
      <c r="D3931" t="str">
        <f t="shared" si="205"/>
        <v>Miércoles</v>
      </c>
    </row>
    <row r="3932" spans="1:4" x14ac:dyDescent="0.25">
      <c r="A3932" s="88" t="str">
        <f t="shared" si="203"/>
        <v>10-2033</v>
      </c>
      <c r="B3932" s="86">
        <v>48858</v>
      </c>
      <c r="C3932" t="str">
        <f t="shared" si="204"/>
        <v>L-V</v>
      </c>
      <c r="D3932" t="str">
        <f t="shared" si="205"/>
        <v>Jueves</v>
      </c>
    </row>
    <row r="3933" spans="1:4" x14ac:dyDescent="0.25">
      <c r="A3933" s="88" t="str">
        <f t="shared" si="203"/>
        <v>10-2033</v>
      </c>
      <c r="B3933" s="86">
        <v>48859</v>
      </c>
      <c r="C3933" t="str">
        <f t="shared" si="204"/>
        <v>L-V</v>
      </c>
      <c r="D3933" t="str">
        <f t="shared" si="205"/>
        <v>Viernes</v>
      </c>
    </row>
    <row r="3934" spans="1:4" x14ac:dyDescent="0.25">
      <c r="A3934" s="88" t="str">
        <f t="shared" si="203"/>
        <v>10-2033</v>
      </c>
      <c r="B3934" s="86">
        <v>48860</v>
      </c>
      <c r="C3934" t="str">
        <f t="shared" si="204"/>
        <v>SAB</v>
      </c>
      <c r="D3934" t="str">
        <f t="shared" si="205"/>
        <v>Sábado</v>
      </c>
    </row>
    <row r="3935" spans="1:4" x14ac:dyDescent="0.25">
      <c r="A3935" s="88" t="str">
        <f t="shared" si="203"/>
        <v>10-2033</v>
      </c>
      <c r="B3935" s="86">
        <v>48861</v>
      </c>
      <c r="C3935" t="str">
        <f t="shared" si="204"/>
        <v>DOM</v>
      </c>
      <c r="D3935" t="str">
        <f t="shared" si="205"/>
        <v>Domingo</v>
      </c>
    </row>
    <row r="3936" spans="1:4" x14ac:dyDescent="0.25">
      <c r="A3936" s="88" t="str">
        <f t="shared" si="203"/>
        <v>10-2033</v>
      </c>
      <c r="B3936" s="86">
        <v>48862</v>
      </c>
      <c r="C3936" t="str">
        <f t="shared" si="204"/>
        <v>L-V</v>
      </c>
      <c r="D3936" t="str">
        <f t="shared" si="205"/>
        <v>Lunes</v>
      </c>
    </row>
    <row r="3937" spans="1:4" x14ac:dyDescent="0.25">
      <c r="A3937" s="88" t="str">
        <f t="shared" si="203"/>
        <v>10-2033</v>
      </c>
      <c r="B3937" s="86">
        <v>48863</v>
      </c>
      <c r="C3937" t="str">
        <f t="shared" si="204"/>
        <v>L-V</v>
      </c>
      <c r="D3937" t="str">
        <f t="shared" si="205"/>
        <v>Martes</v>
      </c>
    </row>
    <row r="3938" spans="1:4" x14ac:dyDescent="0.25">
      <c r="A3938" s="88" t="str">
        <f t="shared" si="203"/>
        <v>10-2033</v>
      </c>
      <c r="B3938" s="86">
        <v>48864</v>
      </c>
      <c r="C3938" t="str">
        <f t="shared" si="204"/>
        <v>L-V</v>
      </c>
      <c r="D3938" t="str">
        <f t="shared" si="205"/>
        <v>Miércoles</v>
      </c>
    </row>
    <row r="3939" spans="1:4" x14ac:dyDescent="0.25">
      <c r="A3939" s="88" t="str">
        <f t="shared" si="203"/>
        <v>10-2033</v>
      </c>
      <c r="B3939" s="86">
        <v>48865</v>
      </c>
      <c r="C3939" t="str">
        <f t="shared" si="204"/>
        <v>L-V</v>
      </c>
      <c r="D3939" t="str">
        <f t="shared" si="205"/>
        <v>Jueves</v>
      </c>
    </row>
    <row r="3940" spans="1:4" x14ac:dyDescent="0.25">
      <c r="A3940" s="88" t="str">
        <f t="shared" si="203"/>
        <v>10-2033</v>
      </c>
      <c r="B3940" s="86">
        <v>48866</v>
      </c>
      <c r="C3940" t="str">
        <f t="shared" si="204"/>
        <v>L-V</v>
      </c>
      <c r="D3940" t="str">
        <f t="shared" si="205"/>
        <v>Viernes</v>
      </c>
    </row>
    <row r="3941" spans="1:4" x14ac:dyDescent="0.25">
      <c r="A3941" s="88" t="str">
        <f t="shared" si="203"/>
        <v>10-2033</v>
      </c>
      <c r="B3941" s="86">
        <v>48867</v>
      </c>
      <c r="C3941" t="str">
        <f t="shared" si="204"/>
        <v>SAB</v>
      </c>
      <c r="D3941" t="str">
        <f t="shared" si="205"/>
        <v>Sábado</v>
      </c>
    </row>
    <row r="3942" spans="1:4" x14ac:dyDescent="0.25">
      <c r="A3942" s="88" t="str">
        <f t="shared" si="203"/>
        <v>10-2033</v>
      </c>
      <c r="B3942" s="86">
        <v>48868</v>
      </c>
      <c r="C3942" t="str">
        <f t="shared" si="204"/>
        <v>DOM</v>
      </c>
      <c r="D3942" t="str">
        <f t="shared" si="205"/>
        <v>Domingo</v>
      </c>
    </row>
    <row r="3943" spans="1:4" x14ac:dyDescent="0.25">
      <c r="A3943" s="88" t="str">
        <f t="shared" si="203"/>
        <v>10-2033</v>
      </c>
      <c r="B3943" s="86">
        <v>48869</v>
      </c>
      <c r="C3943" t="str">
        <f t="shared" si="204"/>
        <v>L-V</v>
      </c>
      <c r="D3943" t="str">
        <f t="shared" si="205"/>
        <v>Lunes</v>
      </c>
    </row>
    <row r="3944" spans="1:4" x14ac:dyDescent="0.25">
      <c r="A3944" s="88" t="str">
        <f t="shared" si="203"/>
        <v>10-2033</v>
      </c>
      <c r="B3944" s="86">
        <v>48870</v>
      </c>
      <c r="C3944" t="str">
        <f t="shared" si="204"/>
        <v>L-V</v>
      </c>
      <c r="D3944" t="str">
        <f t="shared" si="205"/>
        <v>Martes</v>
      </c>
    </row>
    <row r="3945" spans="1:4" x14ac:dyDescent="0.25">
      <c r="A3945" s="88" t="str">
        <f t="shared" si="203"/>
        <v>10-2033</v>
      </c>
      <c r="B3945" s="86">
        <v>48871</v>
      </c>
      <c r="C3945" t="str">
        <f t="shared" si="204"/>
        <v>L-V</v>
      </c>
      <c r="D3945" t="str">
        <f t="shared" si="205"/>
        <v>Miércoles</v>
      </c>
    </row>
    <row r="3946" spans="1:4" x14ac:dyDescent="0.25">
      <c r="A3946" s="88" t="str">
        <f t="shared" si="203"/>
        <v>10-2033</v>
      </c>
      <c r="B3946" s="86">
        <v>48872</v>
      </c>
      <c r="C3946" t="str">
        <f t="shared" si="204"/>
        <v>L-V</v>
      </c>
      <c r="D3946" t="str">
        <f t="shared" si="205"/>
        <v>Jueves</v>
      </c>
    </row>
    <row r="3947" spans="1:4" x14ac:dyDescent="0.25">
      <c r="A3947" s="88" t="str">
        <f t="shared" si="203"/>
        <v>10-2033</v>
      </c>
      <c r="B3947" s="86">
        <v>48873</v>
      </c>
      <c r="C3947" t="str">
        <f t="shared" si="204"/>
        <v>L-V</v>
      </c>
      <c r="D3947" t="str">
        <f t="shared" si="205"/>
        <v>Viernes</v>
      </c>
    </row>
    <row r="3948" spans="1:4" x14ac:dyDescent="0.25">
      <c r="A3948" s="88" t="str">
        <f t="shared" si="203"/>
        <v>10-2033</v>
      </c>
      <c r="B3948" s="86">
        <v>48874</v>
      </c>
      <c r="C3948" t="str">
        <f t="shared" si="204"/>
        <v>SAB</v>
      </c>
      <c r="D3948" t="str">
        <f t="shared" si="205"/>
        <v>Sábado</v>
      </c>
    </row>
    <row r="3949" spans="1:4" x14ac:dyDescent="0.25">
      <c r="A3949" s="88" t="str">
        <f t="shared" si="203"/>
        <v>10-2033</v>
      </c>
      <c r="B3949" s="86">
        <v>48875</v>
      </c>
      <c r="C3949" t="str">
        <f t="shared" si="204"/>
        <v>DOM</v>
      </c>
      <c r="D3949" t="str">
        <f t="shared" si="205"/>
        <v>Domingo</v>
      </c>
    </row>
    <row r="3950" spans="1:4" x14ac:dyDescent="0.25">
      <c r="A3950" s="88" t="str">
        <f t="shared" si="203"/>
        <v>10-2033</v>
      </c>
      <c r="B3950" s="86">
        <v>48876</v>
      </c>
      <c r="C3950" t="str">
        <f t="shared" si="204"/>
        <v>L-V</v>
      </c>
      <c r="D3950" t="str">
        <f t="shared" si="205"/>
        <v>Lunes</v>
      </c>
    </row>
    <row r="3951" spans="1:4" x14ac:dyDescent="0.25">
      <c r="A3951" s="88" t="str">
        <f t="shared" si="203"/>
        <v>10-2033</v>
      </c>
      <c r="B3951" s="86">
        <v>48877</v>
      </c>
      <c r="C3951" t="str">
        <f t="shared" si="204"/>
        <v>L-V</v>
      </c>
      <c r="D3951" t="str">
        <f t="shared" si="205"/>
        <v>Martes</v>
      </c>
    </row>
    <row r="3952" spans="1:4" x14ac:dyDescent="0.25">
      <c r="A3952" s="88" t="str">
        <f t="shared" si="203"/>
        <v>10-2033</v>
      </c>
      <c r="B3952" s="86">
        <v>48878</v>
      </c>
      <c r="C3952" t="str">
        <f t="shared" si="204"/>
        <v>L-V</v>
      </c>
      <c r="D3952" t="str">
        <f t="shared" si="205"/>
        <v>Miércoles</v>
      </c>
    </row>
    <row r="3953" spans="1:4" x14ac:dyDescent="0.25">
      <c r="A3953" s="88" t="str">
        <f t="shared" si="203"/>
        <v>10-2033</v>
      </c>
      <c r="B3953" s="86">
        <v>48879</v>
      </c>
      <c r="C3953" t="str">
        <f t="shared" si="204"/>
        <v>L-V</v>
      </c>
      <c r="D3953" t="str">
        <f t="shared" si="205"/>
        <v>Jueves</v>
      </c>
    </row>
    <row r="3954" spans="1:4" x14ac:dyDescent="0.25">
      <c r="A3954" s="88" t="str">
        <f t="shared" si="203"/>
        <v>10-2033</v>
      </c>
      <c r="B3954" s="86">
        <v>48880</v>
      </c>
      <c r="C3954" t="str">
        <f t="shared" si="204"/>
        <v>L-V</v>
      </c>
      <c r="D3954" t="str">
        <f t="shared" si="205"/>
        <v>Viernes</v>
      </c>
    </row>
    <row r="3955" spans="1:4" x14ac:dyDescent="0.25">
      <c r="A3955" s="88" t="str">
        <f t="shared" si="203"/>
        <v>10-2033</v>
      </c>
      <c r="B3955" s="86">
        <v>48881</v>
      </c>
      <c r="C3955" t="str">
        <f t="shared" si="204"/>
        <v>SAB</v>
      </c>
      <c r="D3955" t="str">
        <f t="shared" si="205"/>
        <v>Sábado</v>
      </c>
    </row>
    <row r="3956" spans="1:4" x14ac:dyDescent="0.25">
      <c r="A3956" s="88" t="str">
        <f t="shared" si="203"/>
        <v>10-2033</v>
      </c>
      <c r="B3956" s="86">
        <v>48882</v>
      </c>
      <c r="C3956" t="str">
        <f t="shared" si="204"/>
        <v>DOM</v>
      </c>
      <c r="D3956" t="str">
        <f t="shared" si="205"/>
        <v>Domingo</v>
      </c>
    </row>
    <row r="3957" spans="1:4" x14ac:dyDescent="0.25">
      <c r="A3957" s="88" t="str">
        <f t="shared" si="203"/>
        <v>10-2033</v>
      </c>
      <c r="B3957" s="86">
        <v>48883</v>
      </c>
      <c r="C3957" t="str">
        <f t="shared" si="204"/>
        <v>L-V</v>
      </c>
      <c r="D3957" t="str">
        <f t="shared" si="205"/>
        <v>Lunes</v>
      </c>
    </row>
    <row r="3958" spans="1:4" x14ac:dyDescent="0.25">
      <c r="A3958" s="88" t="str">
        <f t="shared" si="203"/>
        <v>11-2033</v>
      </c>
      <c r="B3958" s="86">
        <v>48884</v>
      </c>
      <c r="C3958" t="str">
        <f t="shared" si="204"/>
        <v>L-V</v>
      </c>
      <c r="D3958" t="str">
        <f t="shared" si="205"/>
        <v>Martes</v>
      </c>
    </row>
    <row r="3959" spans="1:4" x14ac:dyDescent="0.25">
      <c r="A3959" s="88" t="str">
        <f t="shared" si="203"/>
        <v>11-2033</v>
      </c>
      <c r="B3959" s="86">
        <v>48885</v>
      </c>
      <c r="C3959" t="str">
        <f t="shared" si="204"/>
        <v>L-V</v>
      </c>
      <c r="D3959" t="str">
        <f t="shared" si="205"/>
        <v>Miércoles</v>
      </c>
    </row>
    <row r="3960" spans="1:4" x14ac:dyDescent="0.25">
      <c r="A3960" s="88" t="str">
        <f t="shared" si="203"/>
        <v>11-2033</v>
      </c>
      <c r="B3960" s="86">
        <v>48886</v>
      </c>
      <c r="C3960" t="str">
        <f t="shared" si="204"/>
        <v>L-V</v>
      </c>
      <c r="D3960" t="str">
        <f t="shared" si="205"/>
        <v>Jueves</v>
      </c>
    </row>
    <row r="3961" spans="1:4" x14ac:dyDescent="0.25">
      <c r="A3961" s="88" t="str">
        <f t="shared" si="203"/>
        <v>11-2033</v>
      </c>
      <c r="B3961" s="86">
        <v>48887</v>
      </c>
      <c r="C3961" t="str">
        <f t="shared" si="204"/>
        <v>L-V</v>
      </c>
      <c r="D3961" t="str">
        <f t="shared" si="205"/>
        <v>Viernes</v>
      </c>
    </row>
    <row r="3962" spans="1:4" x14ac:dyDescent="0.25">
      <c r="A3962" s="88" t="str">
        <f t="shared" si="203"/>
        <v>11-2033</v>
      </c>
      <c r="B3962" s="86">
        <v>48888</v>
      </c>
      <c r="C3962" t="str">
        <f t="shared" si="204"/>
        <v>SAB</v>
      </c>
      <c r="D3962" t="str">
        <f t="shared" si="205"/>
        <v>Sábado</v>
      </c>
    </row>
    <row r="3963" spans="1:4" x14ac:dyDescent="0.25">
      <c r="A3963" s="88" t="str">
        <f t="shared" si="203"/>
        <v>11-2033</v>
      </c>
      <c r="B3963" s="86">
        <v>48889</v>
      </c>
      <c r="C3963" t="str">
        <f t="shared" si="204"/>
        <v>DOM</v>
      </c>
      <c r="D3963" t="str">
        <f t="shared" si="205"/>
        <v>Domingo</v>
      </c>
    </row>
    <row r="3964" spans="1:4" x14ac:dyDescent="0.25">
      <c r="A3964" s="88" t="str">
        <f t="shared" si="203"/>
        <v>11-2033</v>
      </c>
      <c r="B3964" s="86">
        <v>48890</v>
      </c>
      <c r="C3964" t="str">
        <f t="shared" si="204"/>
        <v>L-V</v>
      </c>
      <c r="D3964" t="str">
        <f t="shared" si="205"/>
        <v>Lunes</v>
      </c>
    </row>
    <row r="3965" spans="1:4" x14ac:dyDescent="0.25">
      <c r="A3965" s="88" t="str">
        <f t="shared" si="203"/>
        <v>11-2033</v>
      </c>
      <c r="B3965" s="86">
        <v>48891</v>
      </c>
      <c r="C3965" t="str">
        <f t="shared" si="204"/>
        <v>L-V</v>
      </c>
      <c r="D3965" t="str">
        <f t="shared" si="205"/>
        <v>Martes</v>
      </c>
    </row>
    <row r="3966" spans="1:4" x14ac:dyDescent="0.25">
      <c r="A3966" s="88" t="str">
        <f t="shared" si="203"/>
        <v>11-2033</v>
      </c>
      <c r="B3966" s="86">
        <v>48892</v>
      </c>
      <c r="C3966" t="str">
        <f t="shared" si="204"/>
        <v>L-V</v>
      </c>
      <c r="D3966" t="str">
        <f t="shared" si="205"/>
        <v>Miércoles</v>
      </c>
    </row>
    <row r="3967" spans="1:4" x14ac:dyDescent="0.25">
      <c r="A3967" s="88" t="str">
        <f t="shared" si="203"/>
        <v>11-2033</v>
      </c>
      <c r="B3967" s="86">
        <v>48893</v>
      </c>
      <c r="C3967" t="str">
        <f t="shared" si="204"/>
        <v>L-V</v>
      </c>
      <c r="D3967" t="str">
        <f t="shared" si="205"/>
        <v>Jueves</v>
      </c>
    </row>
    <row r="3968" spans="1:4" x14ac:dyDescent="0.25">
      <c r="A3968" s="88" t="str">
        <f t="shared" si="203"/>
        <v>11-2033</v>
      </c>
      <c r="B3968" s="86">
        <v>48894</v>
      </c>
      <c r="C3968" t="str">
        <f t="shared" si="204"/>
        <v>L-V</v>
      </c>
      <c r="D3968" t="str">
        <f t="shared" si="205"/>
        <v>Viernes</v>
      </c>
    </row>
    <row r="3969" spans="1:4" x14ac:dyDescent="0.25">
      <c r="A3969" s="88" t="str">
        <f t="shared" si="203"/>
        <v>11-2033</v>
      </c>
      <c r="B3969" s="86">
        <v>48895</v>
      </c>
      <c r="C3969" t="str">
        <f t="shared" si="204"/>
        <v>SAB</v>
      </c>
      <c r="D3969" t="str">
        <f t="shared" si="205"/>
        <v>Sábado</v>
      </c>
    </row>
    <row r="3970" spans="1:4" x14ac:dyDescent="0.25">
      <c r="A3970" s="88" t="str">
        <f t="shared" ref="A3970:A4033" si="206">MONTH(B3970)&amp;"-"&amp;YEAR(B3970)</f>
        <v>11-2033</v>
      </c>
      <c r="B3970" s="86">
        <v>48896</v>
      </c>
      <c r="C3970" t="str">
        <f t="shared" si="204"/>
        <v>DOM</v>
      </c>
      <c r="D3970" t="str">
        <f t="shared" si="205"/>
        <v>Domingo</v>
      </c>
    </row>
    <row r="3971" spans="1:4" x14ac:dyDescent="0.25">
      <c r="A3971" s="88" t="str">
        <f t="shared" si="206"/>
        <v>11-2033</v>
      </c>
      <c r="B3971" s="86">
        <v>48897</v>
      </c>
      <c r="C3971" t="str">
        <f t="shared" ref="C3971:C4034" si="207">VLOOKUP(WEEKDAY(B3971,2),$F$1:$H$7,2)</f>
        <v>L-V</v>
      </c>
      <c r="D3971" t="str">
        <f t="shared" ref="D3971:D4034" si="208">VLOOKUP(WEEKDAY($B3971,2),$F$1:$H$7,3)</f>
        <v>Lunes</v>
      </c>
    </row>
    <row r="3972" spans="1:4" x14ac:dyDescent="0.25">
      <c r="A3972" s="88" t="str">
        <f t="shared" si="206"/>
        <v>11-2033</v>
      </c>
      <c r="B3972" s="86">
        <v>48898</v>
      </c>
      <c r="C3972" t="str">
        <f t="shared" si="207"/>
        <v>L-V</v>
      </c>
      <c r="D3972" t="str">
        <f t="shared" si="208"/>
        <v>Martes</v>
      </c>
    </row>
    <row r="3973" spans="1:4" x14ac:dyDescent="0.25">
      <c r="A3973" s="88" t="str">
        <f t="shared" si="206"/>
        <v>11-2033</v>
      </c>
      <c r="B3973" s="86">
        <v>48899</v>
      </c>
      <c r="C3973" t="str">
        <f t="shared" si="207"/>
        <v>L-V</v>
      </c>
      <c r="D3973" t="str">
        <f t="shared" si="208"/>
        <v>Miércoles</v>
      </c>
    </row>
    <row r="3974" spans="1:4" x14ac:dyDescent="0.25">
      <c r="A3974" s="88" t="str">
        <f t="shared" si="206"/>
        <v>11-2033</v>
      </c>
      <c r="B3974" s="86">
        <v>48900</v>
      </c>
      <c r="C3974" t="str">
        <f t="shared" si="207"/>
        <v>L-V</v>
      </c>
      <c r="D3974" t="str">
        <f t="shared" si="208"/>
        <v>Jueves</v>
      </c>
    </row>
    <row r="3975" spans="1:4" x14ac:dyDescent="0.25">
      <c r="A3975" s="88" t="str">
        <f t="shared" si="206"/>
        <v>11-2033</v>
      </c>
      <c r="B3975" s="86">
        <v>48901</v>
      </c>
      <c r="C3975" t="str">
        <f t="shared" si="207"/>
        <v>L-V</v>
      </c>
      <c r="D3975" t="str">
        <f t="shared" si="208"/>
        <v>Viernes</v>
      </c>
    </row>
    <row r="3976" spans="1:4" x14ac:dyDescent="0.25">
      <c r="A3976" s="88" t="str">
        <f t="shared" si="206"/>
        <v>11-2033</v>
      </c>
      <c r="B3976" s="86">
        <v>48902</v>
      </c>
      <c r="C3976" t="str">
        <f t="shared" si="207"/>
        <v>SAB</v>
      </c>
      <c r="D3976" t="str">
        <f t="shared" si="208"/>
        <v>Sábado</v>
      </c>
    </row>
    <row r="3977" spans="1:4" x14ac:dyDescent="0.25">
      <c r="A3977" s="88" t="str">
        <f t="shared" si="206"/>
        <v>11-2033</v>
      </c>
      <c r="B3977" s="86">
        <v>48903</v>
      </c>
      <c r="C3977" t="str">
        <f t="shared" si="207"/>
        <v>DOM</v>
      </c>
      <c r="D3977" t="str">
        <f t="shared" si="208"/>
        <v>Domingo</v>
      </c>
    </row>
    <row r="3978" spans="1:4" x14ac:dyDescent="0.25">
      <c r="A3978" s="88" t="str">
        <f t="shared" si="206"/>
        <v>11-2033</v>
      </c>
      <c r="B3978" s="86">
        <v>48904</v>
      </c>
      <c r="C3978" t="str">
        <f t="shared" si="207"/>
        <v>L-V</v>
      </c>
      <c r="D3978" t="str">
        <f t="shared" si="208"/>
        <v>Lunes</v>
      </c>
    </row>
    <row r="3979" spans="1:4" x14ac:dyDescent="0.25">
      <c r="A3979" s="88" t="str">
        <f t="shared" si="206"/>
        <v>11-2033</v>
      </c>
      <c r="B3979" s="86">
        <v>48905</v>
      </c>
      <c r="C3979" t="str">
        <f t="shared" si="207"/>
        <v>L-V</v>
      </c>
      <c r="D3979" t="str">
        <f t="shared" si="208"/>
        <v>Martes</v>
      </c>
    </row>
    <row r="3980" spans="1:4" x14ac:dyDescent="0.25">
      <c r="A3980" s="88" t="str">
        <f t="shared" si="206"/>
        <v>11-2033</v>
      </c>
      <c r="B3980" s="86">
        <v>48906</v>
      </c>
      <c r="C3980" t="str">
        <f t="shared" si="207"/>
        <v>L-V</v>
      </c>
      <c r="D3980" t="str">
        <f t="shared" si="208"/>
        <v>Miércoles</v>
      </c>
    </row>
    <row r="3981" spans="1:4" x14ac:dyDescent="0.25">
      <c r="A3981" s="88" t="str">
        <f t="shared" si="206"/>
        <v>11-2033</v>
      </c>
      <c r="B3981" s="86">
        <v>48907</v>
      </c>
      <c r="C3981" t="str">
        <f t="shared" si="207"/>
        <v>L-V</v>
      </c>
      <c r="D3981" t="str">
        <f t="shared" si="208"/>
        <v>Jueves</v>
      </c>
    </row>
    <row r="3982" spans="1:4" x14ac:dyDescent="0.25">
      <c r="A3982" s="88" t="str">
        <f t="shared" si="206"/>
        <v>11-2033</v>
      </c>
      <c r="B3982" s="86">
        <v>48908</v>
      </c>
      <c r="C3982" t="str">
        <f t="shared" si="207"/>
        <v>L-V</v>
      </c>
      <c r="D3982" t="str">
        <f t="shared" si="208"/>
        <v>Viernes</v>
      </c>
    </row>
    <row r="3983" spans="1:4" x14ac:dyDescent="0.25">
      <c r="A3983" s="88" t="str">
        <f t="shared" si="206"/>
        <v>11-2033</v>
      </c>
      <c r="B3983" s="86">
        <v>48909</v>
      </c>
      <c r="C3983" t="str">
        <f t="shared" si="207"/>
        <v>SAB</v>
      </c>
      <c r="D3983" t="str">
        <f t="shared" si="208"/>
        <v>Sábado</v>
      </c>
    </row>
    <row r="3984" spans="1:4" x14ac:dyDescent="0.25">
      <c r="A3984" s="88" t="str">
        <f t="shared" si="206"/>
        <v>11-2033</v>
      </c>
      <c r="B3984" s="86">
        <v>48910</v>
      </c>
      <c r="C3984" t="str">
        <f t="shared" si="207"/>
        <v>DOM</v>
      </c>
      <c r="D3984" t="str">
        <f t="shared" si="208"/>
        <v>Domingo</v>
      </c>
    </row>
    <row r="3985" spans="1:4" x14ac:dyDescent="0.25">
      <c r="A3985" s="88" t="str">
        <f t="shared" si="206"/>
        <v>11-2033</v>
      </c>
      <c r="B3985" s="86">
        <v>48911</v>
      </c>
      <c r="C3985" t="str">
        <f t="shared" si="207"/>
        <v>L-V</v>
      </c>
      <c r="D3985" t="str">
        <f t="shared" si="208"/>
        <v>Lunes</v>
      </c>
    </row>
    <row r="3986" spans="1:4" x14ac:dyDescent="0.25">
      <c r="A3986" s="88" t="str">
        <f t="shared" si="206"/>
        <v>11-2033</v>
      </c>
      <c r="B3986" s="86">
        <v>48912</v>
      </c>
      <c r="C3986" t="str">
        <f t="shared" si="207"/>
        <v>L-V</v>
      </c>
      <c r="D3986" t="str">
        <f t="shared" si="208"/>
        <v>Martes</v>
      </c>
    </row>
    <row r="3987" spans="1:4" x14ac:dyDescent="0.25">
      <c r="A3987" s="88" t="str">
        <f t="shared" si="206"/>
        <v>11-2033</v>
      </c>
      <c r="B3987" s="86">
        <v>48913</v>
      </c>
      <c r="C3987" t="str">
        <f t="shared" si="207"/>
        <v>L-V</v>
      </c>
      <c r="D3987" t="str">
        <f t="shared" si="208"/>
        <v>Miércoles</v>
      </c>
    </row>
    <row r="3988" spans="1:4" x14ac:dyDescent="0.25">
      <c r="A3988" s="88" t="str">
        <f t="shared" si="206"/>
        <v>12-2033</v>
      </c>
      <c r="B3988" s="86">
        <v>48914</v>
      </c>
      <c r="C3988" t="str">
        <f t="shared" si="207"/>
        <v>L-V</v>
      </c>
      <c r="D3988" t="str">
        <f t="shared" si="208"/>
        <v>Jueves</v>
      </c>
    </row>
    <row r="3989" spans="1:4" x14ac:dyDescent="0.25">
      <c r="A3989" s="88" t="str">
        <f t="shared" si="206"/>
        <v>12-2033</v>
      </c>
      <c r="B3989" s="86">
        <v>48915</v>
      </c>
      <c r="C3989" t="str">
        <f t="shared" si="207"/>
        <v>L-V</v>
      </c>
      <c r="D3989" t="str">
        <f t="shared" si="208"/>
        <v>Viernes</v>
      </c>
    </row>
    <row r="3990" spans="1:4" x14ac:dyDescent="0.25">
      <c r="A3990" s="88" t="str">
        <f t="shared" si="206"/>
        <v>12-2033</v>
      </c>
      <c r="B3990" s="86">
        <v>48916</v>
      </c>
      <c r="C3990" t="str">
        <f t="shared" si="207"/>
        <v>SAB</v>
      </c>
      <c r="D3990" t="str">
        <f t="shared" si="208"/>
        <v>Sábado</v>
      </c>
    </row>
    <row r="3991" spans="1:4" x14ac:dyDescent="0.25">
      <c r="A3991" s="88" t="str">
        <f t="shared" si="206"/>
        <v>12-2033</v>
      </c>
      <c r="B3991" s="86">
        <v>48917</v>
      </c>
      <c r="C3991" t="str">
        <f t="shared" si="207"/>
        <v>DOM</v>
      </c>
      <c r="D3991" t="str">
        <f t="shared" si="208"/>
        <v>Domingo</v>
      </c>
    </row>
    <row r="3992" spans="1:4" x14ac:dyDescent="0.25">
      <c r="A3992" s="88" t="str">
        <f t="shared" si="206"/>
        <v>12-2033</v>
      </c>
      <c r="B3992" s="86">
        <v>48918</v>
      </c>
      <c r="C3992" t="str">
        <f t="shared" si="207"/>
        <v>L-V</v>
      </c>
      <c r="D3992" t="str">
        <f t="shared" si="208"/>
        <v>Lunes</v>
      </c>
    </row>
    <row r="3993" spans="1:4" x14ac:dyDescent="0.25">
      <c r="A3993" s="88" t="str">
        <f t="shared" si="206"/>
        <v>12-2033</v>
      </c>
      <c r="B3993" s="86">
        <v>48919</v>
      </c>
      <c r="C3993" t="str">
        <f t="shared" si="207"/>
        <v>L-V</v>
      </c>
      <c r="D3993" t="str">
        <f t="shared" si="208"/>
        <v>Martes</v>
      </c>
    </row>
    <row r="3994" spans="1:4" x14ac:dyDescent="0.25">
      <c r="A3994" s="88" t="str">
        <f t="shared" si="206"/>
        <v>12-2033</v>
      </c>
      <c r="B3994" s="86">
        <v>48920</v>
      </c>
      <c r="C3994" t="str">
        <f t="shared" si="207"/>
        <v>L-V</v>
      </c>
      <c r="D3994" t="str">
        <f t="shared" si="208"/>
        <v>Miércoles</v>
      </c>
    </row>
    <row r="3995" spans="1:4" x14ac:dyDescent="0.25">
      <c r="A3995" s="88" t="str">
        <f t="shared" si="206"/>
        <v>12-2033</v>
      </c>
      <c r="B3995" s="86">
        <v>48921</v>
      </c>
      <c r="C3995" t="str">
        <f t="shared" si="207"/>
        <v>L-V</v>
      </c>
      <c r="D3995" t="str">
        <f t="shared" si="208"/>
        <v>Jueves</v>
      </c>
    </row>
    <row r="3996" spans="1:4" x14ac:dyDescent="0.25">
      <c r="A3996" s="88" t="str">
        <f t="shared" si="206"/>
        <v>12-2033</v>
      </c>
      <c r="B3996" s="86">
        <v>48922</v>
      </c>
      <c r="C3996" t="str">
        <f t="shared" si="207"/>
        <v>L-V</v>
      </c>
      <c r="D3996" t="str">
        <f t="shared" si="208"/>
        <v>Viernes</v>
      </c>
    </row>
    <row r="3997" spans="1:4" x14ac:dyDescent="0.25">
      <c r="A3997" s="88" t="str">
        <f t="shared" si="206"/>
        <v>12-2033</v>
      </c>
      <c r="B3997" s="86">
        <v>48923</v>
      </c>
      <c r="C3997" t="str">
        <f t="shared" si="207"/>
        <v>SAB</v>
      </c>
      <c r="D3997" t="str">
        <f t="shared" si="208"/>
        <v>Sábado</v>
      </c>
    </row>
    <row r="3998" spans="1:4" x14ac:dyDescent="0.25">
      <c r="A3998" s="88" t="str">
        <f t="shared" si="206"/>
        <v>12-2033</v>
      </c>
      <c r="B3998" s="86">
        <v>48924</v>
      </c>
      <c r="C3998" t="str">
        <f t="shared" si="207"/>
        <v>DOM</v>
      </c>
      <c r="D3998" t="str">
        <f t="shared" si="208"/>
        <v>Domingo</v>
      </c>
    </row>
    <row r="3999" spans="1:4" x14ac:dyDescent="0.25">
      <c r="A3999" s="88" t="str">
        <f t="shared" si="206"/>
        <v>12-2033</v>
      </c>
      <c r="B3999" s="86">
        <v>48925</v>
      </c>
      <c r="C3999" t="str">
        <f t="shared" si="207"/>
        <v>L-V</v>
      </c>
      <c r="D3999" t="str">
        <f t="shared" si="208"/>
        <v>Lunes</v>
      </c>
    </row>
    <row r="4000" spans="1:4" x14ac:dyDescent="0.25">
      <c r="A4000" s="88" t="str">
        <f t="shared" si="206"/>
        <v>12-2033</v>
      </c>
      <c r="B4000" s="86">
        <v>48926</v>
      </c>
      <c r="C4000" t="str">
        <f t="shared" si="207"/>
        <v>L-V</v>
      </c>
      <c r="D4000" t="str">
        <f t="shared" si="208"/>
        <v>Martes</v>
      </c>
    </row>
    <row r="4001" spans="1:4" x14ac:dyDescent="0.25">
      <c r="A4001" s="88" t="str">
        <f t="shared" si="206"/>
        <v>12-2033</v>
      </c>
      <c r="B4001" s="86">
        <v>48927</v>
      </c>
      <c r="C4001" t="str">
        <f t="shared" si="207"/>
        <v>L-V</v>
      </c>
      <c r="D4001" t="str">
        <f t="shared" si="208"/>
        <v>Miércoles</v>
      </c>
    </row>
    <row r="4002" spans="1:4" x14ac:dyDescent="0.25">
      <c r="A4002" s="88" t="str">
        <f t="shared" si="206"/>
        <v>12-2033</v>
      </c>
      <c r="B4002" s="86">
        <v>48928</v>
      </c>
      <c r="C4002" t="str">
        <f t="shared" si="207"/>
        <v>L-V</v>
      </c>
      <c r="D4002" t="str">
        <f t="shared" si="208"/>
        <v>Jueves</v>
      </c>
    </row>
    <row r="4003" spans="1:4" x14ac:dyDescent="0.25">
      <c r="A4003" s="88" t="str">
        <f t="shared" si="206"/>
        <v>12-2033</v>
      </c>
      <c r="B4003" s="86">
        <v>48929</v>
      </c>
      <c r="C4003" t="str">
        <f t="shared" si="207"/>
        <v>L-V</v>
      </c>
      <c r="D4003" t="str">
        <f t="shared" si="208"/>
        <v>Viernes</v>
      </c>
    </row>
    <row r="4004" spans="1:4" x14ac:dyDescent="0.25">
      <c r="A4004" s="88" t="str">
        <f t="shared" si="206"/>
        <v>12-2033</v>
      </c>
      <c r="B4004" s="86">
        <v>48930</v>
      </c>
      <c r="C4004" t="str">
        <f t="shared" si="207"/>
        <v>SAB</v>
      </c>
      <c r="D4004" t="str">
        <f t="shared" si="208"/>
        <v>Sábado</v>
      </c>
    </row>
    <row r="4005" spans="1:4" x14ac:dyDescent="0.25">
      <c r="A4005" s="88" t="str">
        <f t="shared" si="206"/>
        <v>12-2033</v>
      </c>
      <c r="B4005" s="86">
        <v>48931</v>
      </c>
      <c r="C4005" t="str">
        <f t="shared" si="207"/>
        <v>DOM</v>
      </c>
      <c r="D4005" t="str">
        <f t="shared" si="208"/>
        <v>Domingo</v>
      </c>
    </row>
    <row r="4006" spans="1:4" x14ac:dyDescent="0.25">
      <c r="A4006" s="88" t="str">
        <f t="shared" si="206"/>
        <v>12-2033</v>
      </c>
      <c r="B4006" s="86">
        <v>48932</v>
      </c>
      <c r="C4006" t="str">
        <f t="shared" si="207"/>
        <v>L-V</v>
      </c>
      <c r="D4006" t="str">
        <f t="shared" si="208"/>
        <v>Lunes</v>
      </c>
    </row>
    <row r="4007" spans="1:4" x14ac:dyDescent="0.25">
      <c r="A4007" s="88" t="str">
        <f t="shared" si="206"/>
        <v>12-2033</v>
      </c>
      <c r="B4007" s="86">
        <v>48933</v>
      </c>
      <c r="C4007" t="str">
        <f t="shared" si="207"/>
        <v>L-V</v>
      </c>
      <c r="D4007" t="str">
        <f t="shared" si="208"/>
        <v>Martes</v>
      </c>
    </row>
    <row r="4008" spans="1:4" x14ac:dyDescent="0.25">
      <c r="A4008" s="88" t="str">
        <f t="shared" si="206"/>
        <v>12-2033</v>
      </c>
      <c r="B4008" s="86">
        <v>48934</v>
      </c>
      <c r="C4008" t="str">
        <f t="shared" si="207"/>
        <v>L-V</v>
      </c>
      <c r="D4008" t="str">
        <f t="shared" si="208"/>
        <v>Miércoles</v>
      </c>
    </row>
    <row r="4009" spans="1:4" x14ac:dyDescent="0.25">
      <c r="A4009" s="88" t="str">
        <f t="shared" si="206"/>
        <v>12-2033</v>
      </c>
      <c r="B4009" s="86">
        <v>48935</v>
      </c>
      <c r="C4009" t="str">
        <f t="shared" si="207"/>
        <v>L-V</v>
      </c>
      <c r="D4009" t="str">
        <f t="shared" si="208"/>
        <v>Jueves</v>
      </c>
    </row>
    <row r="4010" spans="1:4" x14ac:dyDescent="0.25">
      <c r="A4010" s="88" t="str">
        <f t="shared" si="206"/>
        <v>12-2033</v>
      </c>
      <c r="B4010" s="86">
        <v>48936</v>
      </c>
      <c r="C4010" t="str">
        <f t="shared" si="207"/>
        <v>L-V</v>
      </c>
      <c r="D4010" t="str">
        <f t="shared" si="208"/>
        <v>Viernes</v>
      </c>
    </row>
    <row r="4011" spans="1:4" x14ac:dyDescent="0.25">
      <c r="A4011" s="88" t="str">
        <f t="shared" si="206"/>
        <v>12-2033</v>
      </c>
      <c r="B4011" s="86">
        <v>48937</v>
      </c>
      <c r="C4011" t="str">
        <f t="shared" si="207"/>
        <v>SAB</v>
      </c>
      <c r="D4011" t="str">
        <f t="shared" si="208"/>
        <v>Sábado</v>
      </c>
    </row>
    <row r="4012" spans="1:4" x14ac:dyDescent="0.25">
      <c r="A4012" s="88" t="str">
        <f t="shared" si="206"/>
        <v>12-2033</v>
      </c>
      <c r="B4012" s="86">
        <v>48938</v>
      </c>
      <c r="C4012" t="str">
        <f t="shared" si="207"/>
        <v>DOM</v>
      </c>
      <c r="D4012" t="str">
        <f t="shared" si="208"/>
        <v>Domingo</v>
      </c>
    </row>
    <row r="4013" spans="1:4" x14ac:dyDescent="0.25">
      <c r="A4013" s="88" t="str">
        <f t="shared" si="206"/>
        <v>12-2033</v>
      </c>
      <c r="B4013" s="86">
        <v>48939</v>
      </c>
      <c r="C4013" t="str">
        <f t="shared" si="207"/>
        <v>L-V</v>
      </c>
      <c r="D4013" t="str">
        <f t="shared" si="208"/>
        <v>Lunes</v>
      </c>
    </row>
    <row r="4014" spans="1:4" x14ac:dyDescent="0.25">
      <c r="A4014" s="88" t="str">
        <f t="shared" si="206"/>
        <v>12-2033</v>
      </c>
      <c r="B4014" s="86">
        <v>48940</v>
      </c>
      <c r="C4014" t="str">
        <f t="shared" si="207"/>
        <v>L-V</v>
      </c>
      <c r="D4014" t="str">
        <f t="shared" si="208"/>
        <v>Martes</v>
      </c>
    </row>
    <row r="4015" spans="1:4" x14ac:dyDescent="0.25">
      <c r="A4015" s="88" t="str">
        <f t="shared" si="206"/>
        <v>12-2033</v>
      </c>
      <c r="B4015" s="86">
        <v>48941</v>
      </c>
      <c r="C4015" t="str">
        <f t="shared" si="207"/>
        <v>L-V</v>
      </c>
      <c r="D4015" t="str">
        <f t="shared" si="208"/>
        <v>Miércoles</v>
      </c>
    </row>
    <row r="4016" spans="1:4" x14ac:dyDescent="0.25">
      <c r="A4016" s="88" t="str">
        <f t="shared" si="206"/>
        <v>12-2033</v>
      </c>
      <c r="B4016" s="86">
        <v>48942</v>
      </c>
      <c r="C4016" t="str">
        <f t="shared" si="207"/>
        <v>L-V</v>
      </c>
      <c r="D4016" t="str">
        <f t="shared" si="208"/>
        <v>Jueves</v>
      </c>
    </row>
    <row r="4017" spans="1:4" x14ac:dyDescent="0.25">
      <c r="A4017" s="88" t="str">
        <f t="shared" si="206"/>
        <v>12-2033</v>
      </c>
      <c r="B4017" s="86">
        <v>48943</v>
      </c>
      <c r="C4017" t="str">
        <f t="shared" si="207"/>
        <v>L-V</v>
      </c>
      <c r="D4017" t="str">
        <f t="shared" si="208"/>
        <v>Viernes</v>
      </c>
    </row>
    <row r="4018" spans="1:4" x14ac:dyDescent="0.25">
      <c r="A4018" s="88" t="str">
        <f t="shared" si="206"/>
        <v>12-2033</v>
      </c>
      <c r="B4018" s="86">
        <v>48944</v>
      </c>
      <c r="C4018" t="str">
        <f t="shared" si="207"/>
        <v>SAB</v>
      </c>
      <c r="D4018" t="str">
        <f t="shared" si="208"/>
        <v>Sábado</v>
      </c>
    </row>
    <row r="4019" spans="1:4" x14ac:dyDescent="0.25">
      <c r="A4019" s="88" t="str">
        <f t="shared" si="206"/>
        <v>1-2034</v>
      </c>
      <c r="B4019" s="86">
        <v>48945</v>
      </c>
      <c r="C4019" t="str">
        <f t="shared" si="207"/>
        <v>DOM</v>
      </c>
      <c r="D4019" t="str">
        <f t="shared" si="208"/>
        <v>Domingo</v>
      </c>
    </row>
    <row r="4020" spans="1:4" x14ac:dyDescent="0.25">
      <c r="A4020" s="88" t="str">
        <f t="shared" si="206"/>
        <v>1-2034</v>
      </c>
      <c r="B4020" s="86">
        <v>48946</v>
      </c>
      <c r="C4020" t="str">
        <f t="shared" si="207"/>
        <v>L-V</v>
      </c>
      <c r="D4020" t="str">
        <f t="shared" si="208"/>
        <v>Lunes</v>
      </c>
    </row>
    <row r="4021" spans="1:4" x14ac:dyDescent="0.25">
      <c r="A4021" s="88" t="str">
        <f t="shared" si="206"/>
        <v>1-2034</v>
      </c>
      <c r="B4021" s="86">
        <v>48947</v>
      </c>
      <c r="C4021" t="str">
        <f t="shared" si="207"/>
        <v>L-V</v>
      </c>
      <c r="D4021" t="str">
        <f t="shared" si="208"/>
        <v>Martes</v>
      </c>
    </row>
    <row r="4022" spans="1:4" x14ac:dyDescent="0.25">
      <c r="A4022" s="88" t="str">
        <f t="shared" si="206"/>
        <v>1-2034</v>
      </c>
      <c r="B4022" s="86">
        <v>48948</v>
      </c>
      <c r="C4022" t="str">
        <f t="shared" si="207"/>
        <v>L-V</v>
      </c>
      <c r="D4022" t="str">
        <f t="shared" si="208"/>
        <v>Miércoles</v>
      </c>
    </row>
    <row r="4023" spans="1:4" x14ac:dyDescent="0.25">
      <c r="A4023" s="88" t="str">
        <f t="shared" si="206"/>
        <v>1-2034</v>
      </c>
      <c r="B4023" s="86">
        <v>48949</v>
      </c>
      <c r="C4023" t="str">
        <f t="shared" si="207"/>
        <v>L-V</v>
      </c>
      <c r="D4023" t="str">
        <f t="shared" si="208"/>
        <v>Jueves</v>
      </c>
    </row>
    <row r="4024" spans="1:4" x14ac:dyDescent="0.25">
      <c r="A4024" s="88" t="str">
        <f t="shared" si="206"/>
        <v>1-2034</v>
      </c>
      <c r="B4024" s="86">
        <v>48950</v>
      </c>
      <c r="C4024" t="str">
        <f t="shared" si="207"/>
        <v>L-V</v>
      </c>
      <c r="D4024" t="str">
        <f t="shared" si="208"/>
        <v>Viernes</v>
      </c>
    </row>
    <row r="4025" spans="1:4" x14ac:dyDescent="0.25">
      <c r="A4025" s="88" t="str">
        <f t="shared" si="206"/>
        <v>1-2034</v>
      </c>
      <c r="B4025" s="86">
        <v>48951</v>
      </c>
      <c r="C4025" t="str">
        <f t="shared" si="207"/>
        <v>SAB</v>
      </c>
      <c r="D4025" t="str">
        <f t="shared" si="208"/>
        <v>Sábado</v>
      </c>
    </row>
    <row r="4026" spans="1:4" x14ac:dyDescent="0.25">
      <c r="A4026" s="88" t="str">
        <f t="shared" si="206"/>
        <v>1-2034</v>
      </c>
      <c r="B4026" s="86">
        <v>48952</v>
      </c>
      <c r="C4026" t="str">
        <f t="shared" si="207"/>
        <v>DOM</v>
      </c>
      <c r="D4026" t="str">
        <f t="shared" si="208"/>
        <v>Domingo</v>
      </c>
    </row>
    <row r="4027" spans="1:4" x14ac:dyDescent="0.25">
      <c r="A4027" s="88" t="str">
        <f t="shared" si="206"/>
        <v>1-2034</v>
      </c>
      <c r="B4027" s="86">
        <v>48953</v>
      </c>
      <c r="C4027" t="str">
        <f t="shared" si="207"/>
        <v>L-V</v>
      </c>
      <c r="D4027" t="str">
        <f t="shared" si="208"/>
        <v>Lunes</v>
      </c>
    </row>
    <row r="4028" spans="1:4" x14ac:dyDescent="0.25">
      <c r="A4028" s="88" t="str">
        <f t="shared" si="206"/>
        <v>1-2034</v>
      </c>
      <c r="B4028" s="86">
        <v>48954</v>
      </c>
      <c r="C4028" t="str">
        <f t="shared" si="207"/>
        <v>L-V</v>
      </c>
      <c r="D4028" t="str">
        <f t="shared" si="208"/>
        <v>Martes</v>
      </c>
    </row>
    <row r="4029" spans="1:4" x14ac:dyDescent="0.25">
      <c r="A4029" s="88" t="str">
        <f t="shared" si="206"/>
        <v>1-2034</v>
      </c>
      <c r="B4029" s="86">
        <v>48955</v>
      </c>
      <c r="C4029" t="str">
        <f t="shared" si="207"/>
        <v>L-V</v>
      </c>
      <c r="D4029" t="str">
        <f t="shared" si="208"/>
        <v>Miércoles</v>
      </c>
    </row>
    <row r="4030" spans="1:4" x14ac:dyDescent="0.25">
      <c r="A4030" s="88" t="str">
        <f t="shared" si="206"/>
        <v>1-2034</v>
      </c>
      <c r="B4030" s="86">
        <v>48956</v>
      </c>
      <c r="C4030" t="str">
        <f t="shared" si="207"/>
        <v>L-V</v>
      </c>
      <c r="D4030" t="str">
        <f t="shared" si="208"/>
        <v>Jueves</v>
      </c>
    </row>
    <row r="4031" spans="1:4" x14ac:dyDescent="0.25">
      <c r="A4031" s="88" t="str">
        <f t="shared" si="206"/>
        <v>1-2034</v>
      </c>
      <c r="B4031" s="86">
        <v>48957</v>
      </c>
      <c r="C4031" t="str">
        <f t="shared" si="207"/>
        <v>L-V</v>
      </c>
      <c r="D4031" t="str">
        <f t="shared" si="208"/>
        <v>Viernes</v>
      </c>
    </row>
    <row r="4032" spans="1:4" x14ac:dyDescent="0.25">
      <c r="A4032" s="88" t="str">
        <f t="shared" si="206"/>
        <v>1-2034</v>
      </c>
      <c r="B4032" s="86">
        <v>48958</v>
      </c>
      <c r="C4032" t="str">
        <f t="shared" si="207"/>
        <v>SAB</v>
      </c>
      <c r="D4032" t="str">
        <f t="shared" si="208"/>
        <v>Sábado</v>
      </c>
    </row>
    <row r="4033" spans="1:4" x14ac:dyDescent="0.25">
      <c r="A4033" s="88" t="str">
        <f t="shared" si="206"/>
        <v>1-2034</v>
      </c>
      <c r="B4033" s="86">
        <v>48959</v>
      </c>
      <c r="C4033" t="str">
        <f t="shared" si="207"/>
        <v>DOM</v>
      </c>
      <c r="D4033" t="str">
        <f t="shared" si="208"/>
        <v>Domingo</v>
      </c>
    </row>
    <row r="4034" spans="1:4" x14ac:dyDescent="0.25">
      <c r="A4034" s="88" t="str">
        <f t="shared" ref="A4034:A4097" si="209">MONTH(B4034)&amp;"-"&amp;YEAR(B4034)</f>
        <v>1-2034</v>
      </c>
      <c r="B4034" s="86">
        <v>48960</v>
      </c>
      <c r="C4034" t="str">
        <f t="shared" si="207"/>
        <v>L-V</v>
      </c>
      <c r="D4034" t="str">
        <f t="shared" si="208"/>
        <v>Lunes</v>
      </c>
    </row>
    <row r="4035" spans="1:4" x14ac:dyDescent="0.25">
      <c r="A4035" s="88" t="str">
        <f t="shared" si="209"/>
        <v>1-2034</v>
      </c>
      <c r="B4035" s="86">
        <v>48961</v>
      </c>
      <c r="C4035" t="str">
        <f t="shared" ref="C4035:C4098" si="210">VLOOKUP(WEEKDAY(B4035,2),$F$1:$H$7,2)</f>
        <v>L-V</v>
      </c>
      <c r="D4035" t="str">
        <f t="shared" ref="D4035:D4098" si="211">VLOOKUP(WEEKDAY($B4035,2),$F$1:$H$7,3)</f>
        <v>Martes</v>
      </c>
    </row>
    <row r="4036" spans="1:4" x14ac:dyDescent="0.25">
      <c r="A4036" s="88" t="str">
        <f t="shared" si="209"/>
        <v>1-2034</v>
      </c>
      <c r="B4036" s="86">
        <v>48962</v>
      </c>
      <c r="C4036" t="str">
        <f t="shared" si="210"/>
        <v>L-V</v>
      </c>
      <c r="D4036" t="str">
        <f t="shared" si="211"/>
        <v>Miércoles</v>
      </c>
    </row>
    <row r="4037" spans="1:4" x14ac:dyDescent="0.25">
      <c r="A4037" s="88" t="str">
        <f t="shared" si="209"/>
        <v>1-2034</v>
      </c>
      <c r="B4037" s="86">
        <v>48963</v>
      </c>
      <c r="C4037" t="str">
        <f t="shared" si="210"/>
        <v>L-V</v>
      </c>
      <c r="D4037" t="str">
        <f t="shared" si="211"/>
        <v>Jueves</v>
      </c>
    </row>
    <row r="4038" spans="1:4" x14ac:dyDescent="0.25">
      <c r="A4038" s="88" t="str">
        <f t="shared" si="209"/>
        <v>1-2034</v>
      </c>
      <c r="B4038" s="86">
        <v>48964</v>
      </c>
      <c r="C4038" t="str">
        <f t="shared" si="210"/>
        <v>L-V</v>
      </c>
      <c r="D4038" t="str">
        <f t="shared" si="211"/>
        <v>Viernes</v>
      </c>
    </row>
    <row r="4039" spans="1:4" x14ac:dyDescent="0.25">
      <c r="A4039" s="88" t="str">
        <f t="shared" si="209"/>
        <v>1-2034</v>
      </c>
      <c r="B4039" s="86">
        <v>48965</v>
      </c>
      <c r="C4039" t="str">
        <f t="shared" si="210"/>
        <v>SAB</v>
      </c>
      <c r="D4039" t="str">
        <f t="shared" si="211"/>
        <v>Sábado</v>
      </c>
    </row>
    <row r="4040" spans="1:4" x14ac:dyDescent="0.25">
      <c r="A4040" s="88" t="str">
        <f t="shared" si="209"/>
        <v>1-2034</v>
      </c>
      <c r="B4040" s="86">
        <v>48966</v>
      </c>
      <c r="C4040" t="str">
        <f t="shared" si="210"/>
        <v>DOM</v>
      </c>
      <c r="D4040" t="str">
        <f t="shared" si="211"/>
        <v>Domingo</v>
      </c>
    </row>
    <row r="4041" spans="1:4" x14ac:dyDescent="0.25">
      <c r="A4041" s="88" t="str">
        <f t="shared" si="209"/>
        <v>1-2034</v>
      </c>
      <c r="B4041" s="86">
        <v>48967</v>
      </c>
      <c r="C4041" t="str">
        <f t="shared" si="210"/>
        <v>L-V</v>
      </c>
      <c r="D4041" t="str">
        <f t="shared" si="211"/>
        <v>Lunes</v>
      </c>
    </row>
    <row r="4042" spans="1:4" x14ac:dyDescent="0.25">
      <c r="A4042" s="88" t="str">
        <f t="shared" si="209"/>
        <v>1-2034</v>
      </c>
      <c r="B4042" s="86">
        <v>48968</v>
      </c>
      <c r="C4042" t="str">
        <f t="shared" si="210"/>
        <v>L-V</v>
      </c>
      <c r="D4042" t="str">
        <f t="shared" si="211"/>
        <v>Martes</v>
      </c>
    </row>
    <row r="4043" spans="1:4" x14ac:dyDescent="0.25">
      <c r="A4043" s="88" t="str">
        <f t="shared" si="209"/>
        <v>1-2034</v>
      </c>
      <c r="B4043" s="86">
        <v>48969</v>
      </c>
      <c r="C4043" t="str">
        <f t="shared" si="210"/>
        <v>L-V</v>
      </c>
      <c r="D4043" t="str">
        <f t="shared" si="211"/>
        <v>Miércoles</v>
      </c>
    </row>
    <row r="4044" spans="1:4" x14ac:dyDescent="0.25">
      <c r="A4044" s="88" t="str">
        <f t="shared" si="209"/>
        <v>1-2034</v>
      </c>
      <c r="B4044" s="86">
        <v>48970</v>
      </c>
      <c r="C4044" t="str">
        <f t="shared" si="210"/>
        <v>L-V</v>
      </c>
      <c r="D4044" t="str">
        <f t="shared" si="211"/>
        <v>Jueves</v>
      </c>
    </row>
    <row r="4045" spans="1:4" x14ac:dyDescent="0.25">
      <c r="A4045" s="88" t="str">
        <f t="shared" si="209"/>
        <v>1-2034</v>
      </c>
      <c r="B4045" s="86">
        <v>48971</v>
      </c>
      <c r="C4045" t="str">
        <f t="shared" si="210"/>
        <v>L-V</v>
      </c>
      <c r="D4045" t="str">
        <f t="shared" si="211"/>
        <v>Viernes</v>
      </c>
    </row>
    <row r="4046" spans="1:4" x14ac:dyDescent="0.25">
      <c r="A4046" s="88" t="str">
        <f t="shared" si="209"/>
        <v>1-2034</v>
      </c>
      <c r="B4046" s="86">
        <v>48972</v>
      </c>
      <c r="C4046" t="str">
        <f t="shared" si="210"/>
        <v>SAB</v>
      </c>
      <c r="D4046" t="str">
        <f t="shared" si="211"/>
        <v>Sábado</v>
      </c>
    </row>
    <row r="4047" spans="1:4" x14ac:dyDescent="0.25">
      <c r="A4047" s="88" t="str">
        <f t="shared" si="209"/>
        <v>1-2034</v>
      </c>
      <c r="B4047" s="86">
        <v>48973</v>
      </c>
      <c r="C4047" t="str">
        <f t="shared" si="210"/>
        <v>DOM</v>
      </c>
      <c r="D4047" t="str">
        <f t="shared" si="211"/>
        <v>Domingo</v>
      </c>
    </row>
    <row r="4048" spans="1:4" x14ac:dyDescent="0.25">
      <c r="A4048" s="88" t="str">
        <f t="shared" si="209"/>
        <v>1-2034</v>
      </c>
      <c r="B4048" s="86">
        <v>48974</v>
      </c>
      <c r="C4048" t="str">
        <f t="shared" si="210"/>
        <v>L-V</v>
      </c>
      <c r="D4048" t="str">
        <f t="shared" si="211"/>
        <v>Lunes</v>
      </c>
    </row>
    <row r="4049" spans="1:4" x14ac:dyDescent="0.25">
      <c r="A4049" s="88" t="str">
        <f t="shared" si="209"/>
        <v>1-2034</v>
      </c>
      <c r="B4049" s="86">
        <v>48975</v>
      </c>
      <c r="C4049" t="str">
        <f t="shared" si="210"/>
        <v>L-V</v>
      </c>
      <c r="D4049" t="str">
        <f t="shared" si="211"/>
        <v>Martes</v>
      </c>
    </row>
    <row r="4050" spans="1:4" x14ac:dyDescent="0.25">
      <c r="A4050" s="88" t="str">
        <f t="shared" si="209"/>
        <v>2-2034</v>
      </c>
      <c r="B4050" s="86">
        <v>48976</v>
      </c>
      <c r="C4050" t="str">
        <f t="shared" si="210"/>
        <v>L-V</v>
      </c>
      <c r="D4050" t="str">
        <f t="shared" si="211"/>
        <v>Miércoles</v>
      </c>
    </row>
    <row r="4051" spans="1:4" x14ac:dyDescent="0.25">
      <c r="A4051" s="88" t="str">
        <f t="shared" si="209"/>
        <v>2-2034</v>
      </c>
      <c r="B4051" s="86">
        <v>48977</v>
      </c>
      <c r="C4051" t="str">
        <f t="shared" si="210"/>
        <v>L-V</v>
      </c>
      <c r="D4051" t="str">
        <f t="shared" si="211"/>
        <v>Jueves</v>
      </c>
    </row>
    <row r="4052" spans="1:4" x14ac:dyDescent="0.25">
      <c r="A4052" s="88" t="str">
        <f t="shared" si="209"/>
        <v>2-2034</v>
      </c>
      <c r="B4052" s="86">
        <v>48978</v>
      </c>
      <c r="C4052" t="str">
        <f t="shared" si="210"/>
        <v>L-V</v>
      </c>
      <c r="D4052" t="str">
        <f t="shared" si="211"/>
        <v>Viernes</v>
      </c>
    </row>
    <row r="4053" spans="1:4" x14ac:dyDescent="0.25">
      <c r="A4053" s="88" t="str">
        <f t="shared" si="209"/>
        <v>2-2034</v>
      </c>
      <c r="B4053" s="86">
        <v>48979</v>
      </c>
      <c r="C4053" t="str">
        <f t="shared" si="210"/>
        <v>SAB</v>
      </c>
      <c r="D4053" t="str">
        <f t="shared" si="211"/>
        <v>Sábado</v>
      </c>
    </row>
    <row r="4054" spans="1:4" x14ac:dyDescent="0.25">
      <c r="A4054" s="88" t="str">
        <f t="shared" si="209"/>
        <v>2-2034</v>
      </c>
      <c r="B4054" s="86">
        <v>48980</v>
      </c>
      <c r="C4054" t="str">
        <f t="shared" si="210"/>
        <v>DOM</v>
      </c>
      <c r="D4054" t="str">
        <f t="shared" si="211"/>
        <v>Domingo</v>
      </c>
    </row>
    <row r="4055" spans="1:4" x14ac:dyDescent="0.25">
      <c r="A4055" s="88" t="str">
        <f t="shared" si="209"/>
        <v>2-2034</v>
      </c>
      <c r="B4055" s="86">
        <v>48981</v>
      </c>
      <c r="C4055" t="str">
        <f t="shared" si="210"/>
        <v>L-V</v>
      </c>
      <c r="D4055" t="str">
        <f t="shared" si="211"/>
        <v>Lunes</v>
      </c>
    </row>
    <row r="4056" spans="1:4" x14ac:dyDescent="0.25">
      <c r="A4056" s="88" t="str">
        <f t="shared" si="209"/>
        <v>2-2034</v>
      </c>
      <c r="B4056" s="86">
        <v>48982</v>
      </c>
      <c r="C4056" t="str">
        <f t="shared" si="210"/>
        <v>L-V</v>
      </c>
      <c r="D4056" t="str">
        <f t="shared" si="211"/>
        <v>Martes</v>
      </c>
    </row>
    <row r="4057" spans="1:4" x14ac:dyDescent="0.25">
      <c r="A4057" s="88" t="str">
        <f t="shared" si="209"/>
        <v>2-2034</v>
      </c>
      <c r="B4057" s="86">
        <v>48983</v>
      </c>
      <c r="C4057" t="str">
        <f t="shared" si="210"/>
        <v>L-V</v>
      </c>
      <c r="D4057" t="str">
        <f t="shared" si="211"/>
        <v>Miércoles</v>
      </c>
    </row>
    <row r="4058" spans="1:4" x14ac:dyDescent="0.25">
      <c r="A4058" s="88" t="str">
        <f t="shared" si="209"/>
        <v>2-2034</v>
      </c>
      <c r="B4058" s="86">
        <v>48984</v>
      </c>
      <c r="C4058" t="str">
        <f t="shared" si="210"/>
        <v>L-V</v>
      </c>
      <c r="D4058" t="str">
        <f t="shared" si="211"/>
        <v>Jueves</v>
      </c>
    </row>
    <row r="4059" spans="1:4" x14ac:dyDescent="0.25">
      <c r="A4059" s="88" t="str">
        <f t="shared" si="209"/>
        <v>2-2034</v>
      </c>
      <c r="B4059" s="86">
        <v>48985</v>
      </c>
      <c r="C4059" t="str">
        <f t="shared" si="210"/>
        <v>L-V</v>
      </c>
      <c r="D4059" t="str">
        <f t="shared" si="211"/>
        <v>Viernes</v>
      </c>
    </row>
    <row r="4060" spans="1:4" x14ac:dyDescent="0.25">
      <c r="A4060" s="88" t="str">
        <f t="shared" si="209"/>
        <v>2-2034</v>
      </c>
      <c r="B4060" s="86">
        <v>48986</v>
      </c>
      <c r="C4060" t="str">
        <f t="shared" si="210"/>
        <v>SAB</v>
      </c>
      <c r="D4060" t="str">
        <f t="shared" si="211"/>
        <v>Sábado</v>
      </c>
    </row>
    <row r="4061" spans="1:4" x14ac:dyDescent="0.25">
      <c r="A4061" s="88" t="str">
        <f t="shared" si="209"/>
        <v>2-2034</v>
      </c>
      <c r="B4061" s="86">
        <v>48987</v>
      </c>
      <c r="C4061" t="str">
        <f t="shared" si="210"/>
        <v>DOM</v>
      </c>
      <c r="D4061" t="str">
        <f t="shared" si="211"/>
        <v>Domingo</v>
      </c>
    </row>
    <row r="4062" spans="1:4" x14ac:dyDescent="0.25">
      <c r="A4062" s="88" t="str">
        <f t="shared" si="209"/>
        <v>2-2034</v>
      </c>
      <c r="B4062" s="86">
        <v>48988</v>
      </c>
      <c r="C4062" t="str">
        <f t="shared" si="210"/>
        <v>L-V</v>
      </c>
      <c r="D4062" t="str">
        <f t="shared" si="211"/>
        <v>Lunes</v>
      </c>
    </row>
    <row r="4063" spans="1:4" x14ac:dyDescent="0.25">
      <c r="A4063" s="88" t="str">
        <f t="shared" si="209"/>
        <v>2-2034</v>
      </c>
      <c r="B4063" s="86">
        <v>48989</v>
      </c>
      <c r="C4063" t="str">
        <f t="shared" si="210"/>
        <v>L-V</v>
      </c>
      <c r="D4063" t="str">
        <f t="shared" si="211"/>
        <v>Martes</v>
      </c>
    </row>
    <row r="4064" spans="1:4" x14ac:dyDescent="0.25">
      <c r="A4064" s="88" t="str">
        <f t="shared" si="209"/>
        <v>2-2034</v>
      </c>
      <c r="B4064" s="86">
        <v>48990</v>
      </c>
      <c r="C4064" t="str">
        <f t="shared" si="210"/>
        <v>L-V</v>
      </c>
      <c r="D4064" t="str">
        <f t="shared" si="211"/>
        <v>Miércoles</v>
      </c>
    </row>
    <row r="4065" spans="1:4" x14ac:dyDescent="0.25">
      <c r="A4065" s="88" t="str">
        <f t="shared" si="209"/>
        <v>2-2034</v>
      </c>
      <c r="B4065" s="86">
        <v>48991</v>
      </c>
      <c r="C4065" t="str">
        <f t="shared" si="210"/>
        <v>L-V</v>
      </c>
      <c r="D4065" t="str">
        <f t="shared" si="211"/>
        <v>Jueves</v>
      </c>
    </row>
    <row r="4066" spans="1:4" x14ac:dyDescent="0.25">
      <c r="A4066" s="88" t="str">
        <f t="shared" si="209"/>
        <v>2-2034</v>
      </c>
      <c r="B4066" s="86">
        <v>48992</v>
      </c>
      <c r="C4066" t="str">
        <f t="shared" si="210"/>
        <v>L-V</v>
      </c>
      <c r="D4066" t="str">
        <f t="shared" si="211"/>
        <v>Viernes</v>
      </c>
    </row>
    <row r="4067" spans="1:4" x14ac:dyDescent="0.25">
      <c r="A4067" s="88" t="str">
        <f t="shared" si="209"/>
        <v>2-2034</v>
      </c>
      <c r="B4067" s="86">
        <v>48993</v>
      </c>
      <c r="C4067" t="str">
        <f t="shared" si="210"/>
        <v>SAB</v>
      </c>
      <c r="D4067" t="str">
        <f t="shared" si="211"/>
        <v>Sábado</v>
      </c>
    </row>
    <row r="4068" spans="1:4" x14ac:dyDescent="0.25">
      <c r="A4068" s="88" t="str">
        <f t="shared" si="209"/>
        <v>2-2034</v>
      </c>
      <c r="B4068" s="86">
        <v>48994</v>
      </c>
      <c r="C4068" t="str">
        <f t="shared" si="210"/>
        <v>DOM</v>
      </c>
      <c r="D4068" t="str">
        <f t="shared" si="211"/>
        <v>Domingo</v>
      </c>
    </row>
    <row r="4069" spans="1:4" x14ac:dyDescent="0.25">
      <c r="A4069" s="88" t="str">
        <f t="shared" si="209"/>
        <v>2-2034</v>
      </c>
      <c r="B4069" s="86">
        <v>48995</v>
      </c>
      <c r="C4069" t="str">
        <f t="shared" si="210"/>
        <v>L-V</v>
      </c>
      <c r="D4069" t="str">
        <f t="shared" si="211"/>
        <v>Lunes</v>
      </c>
    </row>
    <row r="4070" spans="1:4" x14ac:dyDescent="0.25">
      <c r="A4070" s="88" t="str">
        <f t="shared" si="209"/>
        <v>2-2034</v>
      </c>
      <c r="B4070" s="86">
        <v>48996</v>
      </c>
      <c r="C4070" t="str">
        <f t="shared" si="210"/>
        <v>L-V</v>
      </c>
      <c r="D4070" t="str">
        <f t="shared" si="211"/>
        <v>Martes</v>
      </c>
    </row>
    <row r="4071" spans="1:4" x14ac:dyDescent="0.25">
      <c r="A4071" s="88" t="str">
        <f t="shared" si="209"/>
        <v>2-2034</v>
      </c>
      <c r="B4071" s="86">
        <v>48997</v>
      </c>
      <c r="C4071" t="str">
        <f t="shared" si="210"/>
        <v>L-V</v>
      </c>
      <c r="D4071" t="str">
        <f t="shared" si="211"/>
        <v>Miércoles</v>
      </c>
    </row>
    <row r="4072" spans="1:4" x14ac:dyDescent="0.25">
      <c r="A4072" s="88" t="str">
        <f t="shared" si="209"/>
        <v>2-2034</v>
      </c>
      <c r="B4072" s="86">
        <v>48998</v>
      </c>
      <c r="C4072" t="str">
        <f t="shared" si="210"/>
        <v>L-V</v>
      </c>
      <c r="D4072" t="str">
        <f t="shared" si="211"/>
        <v>Jueves</v>
      </c>
    </row>
    <row r="4073" spans="1:4" x14ac:dyDescent="0.25">
      <c r="A4073" s="88" t="str">
        <f t="shared" si="209"/>
        <v>2-2034</v>
      </c>
      <c r="B4073" s="86">
        <v>48999</v>
      </c>
      <c r="C4073" t="str">
        <f t="shared" si="210"/>
        <v>L-V</v>
      </c>
      <c r="D4073" t="str">
        <f t="shared" si="211"/>
        <v>Viernes</v>
      </c>
    </row>
    <row r="4074" spans="1:4" x14ac:dyDescent="0.25">
      <c r="A4074" s="88" t="str">
        <f t="shared" si="209"/>
        <v>2-2034</v>
      </c>
      <c r="B4074" s="86">
        <v>49000</v>
      </c>
      <c r="C4074" t="str">
        <f t="shared" si="210"/>
        <v>SAB</v>
      </c>
      <c r="D4074" t="str">
        <f t="shared" si="211"/>
        <v>Sábado</v>
      </c>
    </row>
    <row r="4075" spans="1:4" x14ac:dyDescent="0.25">
      <c r="A4075" s="88" t="str">
        <f t="shared" si="209"/>
        <v>2-2034</v>
      </c>
      <c r="B4075" s="86">
        <v>49001</v>
      </c>
      <c r="C4075" t="str">
        <f t="shared" si="210"/>
        <v>DOM</v>
      </c>
      <c r="D4075" t="str">
        <f t="shared" si="211"/>
        <v>Domingo</v>
      </c>
    </row>
    <row r="4076" spans="1:4" x14ac:dyDescent="0.25">
      <c r="A4076" s="88" t="str">
        <f t="shared" si="209"/>
        <v>2-2034</v>
      </c>
      <c r="B4076" s="86">
        <v>49002</v>
      </c>
      <c r="C4076" t="str">
        <f t="shared" si="210"/>
        <v>L-V</v>
      </c>
      <c r="D4076" t="str">
        <f t="shared" si="211"/>
        <v>Lunes</v>
      </c>
    </row>
    <row r="4077" spans="1:4" x14ac:dyDescent="0.25">
      <c r="A4077" s="88" t="str">
        <f t="shared" si="209"/>
        <v>2-2034</v>
      </c>
      <c r="B4077" s="86">
        <v>49003</v>
      </c>
      <c r="C4077" t="str">
        <f t="shared" si="210"/>
        <v>L-V</v>
      </c>
      <c r="D4077" t="str">
        <f t="shared" si="211"/>
        <v>Martes</v>
      </c>
    </row>
    <row r="4078" spans="1:4" x14ac:dyDescent="0.25">
      <c r="A4078" s="88" t="str">
        <f t="shared" si="209"/>
        <v>3-2034</v>
      </c>
      <c r="B4078" s="86">
        <v>49004</v>
      </c>
      <c r="C4078" t="str">
        <f t="shared" si="210"/>
        <v>L-V</v>
      </c>
      <c r="D4078" t="str">
        <f t="shared" si="211"/>
        <v>Miércoles</v>
      </c>
    </row>
    <row r="4079" spans="1:4" x14ac:dyDescent="0.25">
      <c r="A4079" s="88" t="str">
        <f t="shared" si="209"/>
        <v>3-2034</v>
      </c>
      <c r="B4079" s="86">
        <v>49005</v>
      </c>
      <c r="C4079" t="str">
        <f t="shared" si="210"/>
        <v>L-V</v>
      </c>
      <c r="D4079" t="str">
        <f t="shared" si="211"/>
        <v>Jueves</v>
      </c>
    </row>
    <row r="4080" spans="1:4" x14ac:dyDescent="0.25">
      <c r="A4080" s="88" t="str">
        <f t="shared" si="209"/>
        <v>3-2034</v>
      </c>
      <c r="B4080" s="86">
        <v>49006</v>
      </c>
      <c r="C4080" t="str">
        <f t="shared" si="210"/>
        <v>L-V</v>
      </c>
      <c r="D4080" t="str">
        <f t="shared" si="211"/>
        <v>Viernes</v>
      </c>
    </row>
    <row r="4081" spans="1:4" x14ac:dyDescent="0.25">
      <c r="A4081" s="88" t="str">
        <f t="shared" si="209"/>
        <v>3-2034</v>
      </c>
      <c r="B4081" s="86">
        <v>49007</v>
      </c>
      <c r="C4081" t="str">
        <f t="shared" si="210"/>
        <v>SAB</v>
      </c>
      <c r="D4081" t="str">
        <f t="shared" si="211"/>
        <v>Sábado</v>
      </c>
    </row>
    <row r="4082" spans="1:4" x14ac:dyDescent="0.25">
      <c r="A4082" s="88" t="str">
        <f t="shared" si="209"/>
        <v>3-2034</v>
      </c>
      <c r="B4082" s="86">
        <v>49008</v>
      </c>
      <c r="C4082" t="str">
        <f t="shared" si="210"/>
        <v>DOM</v>
      </c>
      <c r="D4082" t="str">
        <f t="shared" si="211"/>
        <v>Domingo</v>
      </c>
    </row>
    <row r="4083" spans="1:4" x14ac:dyDescent="0.25">
      <c r="A4083" s="88" t="str">
        <f t="shared" si="209"/>
        <v>3-2034</v>
      </c>
      <c r="B4083" s="86">
        <v>49009</v>
      </c>
      <c r="C4083" t="str">
        <f t="shared" si="210"/>
        <v>L-V</v>
      </c>
      <c r="D4083" t="str">
        <f t="shared" si="211"/>
        <v>Lunes</v>
      </c>
    </row>
    <row r="4084" spans="1:4" x14ac:dyDescent="0.25">
      <c r="A4084" s="88" t="str">
        <f t="shared" si="209"/>
        <v>3-2034</v>
      </c>
      <c r="B4084" s="86">
        <v>49010</v>
      </c>
      <c r="C4084" t="str">
        <f t="shared" si="210"/>
        <v>L-V</v>
      </c>
      <c r="D4084" t="str">
        <f t="shared" si="211"/>
        <v>Martes</v>
      </c>
    </row>
    <row r="4085" spans="1:4" x14ac:dyDescent="0.25">
      <c r="A4085" s="88" t="str">
        <f t="shared" si="209"/>
        <v>3-2034</v>
      </c>
      <c r="B4085" s="86">
        <v>49011</v>
      </c>
      <c r="C4085" t="str">
        <f t="shared" si="210"/>
        <v>L-V</v>
      </c>
      <c r="D4085" t="str">
        <f t="shared" si="211"/>
        <v>Miércoles</v>
      </c>
    </row>
    <row r="4086" spans="1:4" x14ac:dyDescent="0.25">
      <c r="A4086" s="88" t="str">
        <f t="shared" si="209"/>
        <v>3-2034</v>
      </c>
      <c r="B4086" s="86">
        <v>49012</v>
      </c>
      <c r="C4086" t="str">
        <f t="shared" si="210"/>
        <v>L-V</v>
      </c>
      <c r="D4086" t="str">
        <f t="shared" si="211"/>
        <v>Jueves</v>
      </c>
    </row>
    <row r="4087" spans="1:4" x14ac:dyDescent="0.25">
      <c r="A4087" s="88" t="str">
        <f t="shared" si="209"/>
        <v>3-2034</v>
      </c>
      <c r="B4087" s="86">
        <v>49013</v>
      </c>
      <c r="C4087" t="str">
        <f t="shared" si="210"/>
        <v>L-V</v>
      </c>
      <c r="D4087" t="str">
        <f t="shared" si="211"/>
        <v>Viernes</v>
      </c>
    </row>
    <row r="4088" spans="1:4" x14ac:dyDescent="0.25">
      <c r="A4088" s="88" t="str">
        <f t="shared" si="209"/>
        <v>3-2034</v>
      </c>
      <c r="B4088" s="86">
        <v>49014</v>
      </c>
      <c r="C4088" t="str">
        <f t="shared" si="210"/>
        <v>SAB</v>
      </c>
      <c r="D4088" t="str">
        <f t="shared" si="211"/>
        <v>Sábado</v>
      </c>
    </row>
    <row r="4089" spans="1:4" x14ac:dyDescent="0.25">
      <c r="A4089" s="88" t="str">
        <f t="shared" si="209"/>
        <v>3-2034</v>
      </c>
      <c r="B4089" s="86">
        <v>49015</v>
      </c>
      <c r="C4089" t="str">
        <f t="shared" si="210"/>
        <v>DOM</v>
      </c>
      <c r="D4089" t="str">
        <f t="shared" si="211"/>
        <v>Domingo</v>
      </c>
    </row>
    <row r="4090" spans="1:4" x14ac:dyDescent="0.25">
      <c r="A4090" s="88" t="str">
        <f t="shared" si="209"/>
        <v>3-2034</v>
      </c>
      <c r="B4090" s="86">
        <v>49016</v>
      </c>
      <c r="C4090" t="str">
        <f t="shared" si="210"/>
        <v>L-V</v>
      </c>
      <c r="D4090" t="str">
        <f t="shared" si="211"/>
        <v>Lunes</v>
      </c>
    </row>
    <row r="4091" spans="1:4" x14ac:dyDescent="0.25">
      <c r="A4091" s="88" t="str">
        <f t="shared" si="209"/>
        <v>3-2034</v>
      </c>
      <c r="B4091" s="86">
        <v>49017</v>
      </c>
      <c r="C4091" t="str">
        <f t="shared" si="210"/>
        <v>L-V</v>
      </c>
      <c r="D4091" t="str">
        <f t="shared" si="211"/>
        <v>Martes</v>
      </c>
    </row>
    <row r="4092" spans="1:4" x14ac:dyDescent="0.25">
      <c r="A4092" s="88" t="str">
        <f t="shared" si="209"/>
        <v>3-2034</v>
      </c>
      <c r="B4092" s="86">
        <v>49018</v>
      </c>
      <c r="C4092" t="str">
        <f t="shared" si="210"/>
        <v>L-V</v>
      </c>
      <c r="D4092" t="str">
        <f t="shared" si="211"/>
        <v>Miércoles</v>
      </c>
    </row>
    <row r="4093" spans="1:4" x14ac:dyDescent="0.25">
      <c r="A4093" s="88" t="str">
        <f t="shared" si="209"/>
        <v>3-2034</v>
      </c>
      <c r="B4093" s="86">
        <v>49019</v>
      </c>
      <c r="C4093" t="str">
        <f t="shared" si="210"/>
        <v>L-V</v>
      </c>
      <c r="D4093" t="str">
        <f t="shared" si="211"/>
        <v>Jueves</v>
      </c>
    </row>
    <row r="4094" spans="1:4" x14ac:dyDescent="0.25">
      <c r="A4094" s="88" t="str">
        <f t="shared" si="209"/>
        <v>3-2034</v>
      </c>
      <c r="B4094" s="86">
        <v>49020</v>
      </c>
      <c r="C4094" t="str">
        <f t="shared" si="210"/>
        <v>L-V</v>
      </c>
      <c r="D4094" t="str">
        <f t="shared" si="211"/>
        <v>Viernes</v>
      </c>
    </row>
    <row r="4095" spans="1:4" x14ac:dyDescent="0.25">
      <c r="A4095" s="88" t="str">
        <f t="shared" si="209"/>
        <v>3-2034</v>
      </c>
      <c r="B4095" s="86">
        <v>49021</v>
      </c>
      <c r="C4095" t="str">
        <f t="shared" si="210"/>
        <v>SAB</v>
      </c>
      <c r="D4095" t="str">
        <f t="shared" si="211"/>
        <v>Sábado</v>
      </c>
    </row>
    <row r="4096" spans="1:4" x14ac:dyDescent="0.25">
      <c r="A4096" s="88" t="str">
        <f t="shared" si="209"/>
        <v>3-2034</v>
      </c>
      <c r="B4096" s="86">
        <v>49022</v>
      </c>
      <c r="C4096" t="str">
        <f t="shared" si="210"/>
        <v>DOM</v>
      </c>
      <c r="D4096" t="str">
        <f t="shared" si="211"/>
        <v>Domingo</v>
      </c>
    </row>
    <row r="4097" spans="1:4" x14ac:dyDescent="0.25">
      <c r="A4097" s="88" t="str">
        <f t="shared" si="209"/>
        <v>3-2034</v>
      </c>
      <c r="B4097" s="86">
        <v>49023</v>
      </c>
      <c r="C4097" t="str">
        <f t="shared" si="210"/>
        <v>L-V</v>
      </c>
      <c r="D4097" t="str">
        <f t="shared" si="211"/>
        <v>Lunes</v>
      </c>
    </row>
    <row r="4098" spans="1:4" x14ac:dyDescent="0.25">
      <c r="A4098" s="88" t="str">
        <f t="shared" ref="A4098:A4161" si="212">MONTH(B4098)&amp;"-"&amp;YEAR(B4098)</f>
        <v>3-2034</v>
      </c>
      <c r="B4098" s="86">
        <v>49024</v>
      </c>
      <c r="C4098" t="str">
        <f t="shared" si="210"/>
        <v>L-V</v>
      </c>
      <c r="D4098" t="str">
        <f t="shared" si="211"/>
        <v>Martes</v>
      </c>
    </row>
    <row r="4099" spans="1:4" x14ac:dyDescent="0.25">
      <c r="A4099" s="88" t="str">
        <f t="shared" si="212"/>
        <v>3-2034</v>
      </c>
      <c r="B4099" s="86">
        <v>49025</v>
      </c>
      <c r="C4099" t="str">
        <f t="shared" ref="C4099:C4162" si="213">VLOOKUP(WEEKDAY(B4099,2),$F$1:$H$7,2)</f>
        <v>L-V</v>
      </c>
      <c r="D4099" t="str">
        <f t="shared" ref="D4099:D4162" si="214">VLOOKUP(WEEKDAY($B4099,2),$F$1:$H$7,3)</f>
        <v>Miércoles</v>
      </c>
    </row>
    <row r="4100" spans="1:4" x14ac:dyDescent="0.25">
      <c r="A4100" s="88" t="str">
        <f t="shared" si="212"/>
        <v>3-2034</v>
      </c>
      <c r="B4100" s="86">
        <v>49026</v>
      </c>
      <c r="C4100" t="str">
        <f t="shared" si="213"/>
        <v>L-V</v>
      </c>
      <c r="D4100" t="str">
        <f t="shared" si="214"/>
        <v>Jueves</v>
      </c>
    </row>
    <row r="4101" spans="1:4" x14ac:dyDescent="0.25">
      <c r="A4101" s="88" t="str">
        <f t="shared" si="212"/>
        <v>3-2034</v>
      </c>
      <c r="B4101" s="86">
        <v>49027</v>
      </c>
      <c r="C4101" t="str">
        <f t="shared" si="213"/>
        <v>L-V</v>
      </c>
      <c r="D4101" t="str">
        <f t="shared" si="214"/>
        <v>Viernes</v>
      </c>
    </row>
    <row r="4102" spans="1:4" x14ac:dyDescent="0.25">
      <c r="A4102" s="88" t="str">
        <f t="shared" si="212"/>
        <v>3-2034</v>
      </c>
      <c r="B4102" s="86">
        <v>49028</v>
      </c>
      <c r="C4102" t="str">
        <f t="shared" si="213"/>
        <v>SAB</v>
      </c>
      <c r="D4102" t="str">
        <f t="shared" si="214"/>
        <v>Sábado</v>
      </c>
    </row>
    <row r="4103" spans="1:4" x14ac:dyDescent="0.25">
      <c r="A4103" s="88" t="str">
        <f t="shared" si="212"/>
        <v>3-2034</v>
      </c>
      <c r="B4103" s="86">
        <v>49029</v>
      </c>
      <c r="C4103" t="str">
        <f t="shared" si="213"/>
        <v>DOM</v>
      </c>
      <c r="D4103" t="str">
        <f t="shared" si="214"/>
        <v>Domingo</v>
      </c>
    </row>
    <row r="4104" spans="1:4" x14ac:dyDescent="0.25">
      <c r="A4104" s="88" t="str">
        <f t="shared" si="212"/>
        <v>3-2034</v>
      </c>
      <c r="B4104" s="86">
        <v>49030</v>
      </c>
      <c r="C4104" t="str">
        <f t="shared" si="213"/>
        <v>L-V</v>
      </c>
      <c r="D4104" t="str">
        <f t="shared" si="214"/>
        <v>Lunes</v>
      </c>
    </row>
    <row r="4105" spans="1:4" x14ac:dyDescent="0.25">
      <c r="A4105" s="88" t="str">
        <f t="shared" si="212"/>
        <v>3-2034</v>
      </c>
      <c r="B4105" s="86">
        <v>49031</v>
      </c>
      <c r="C4105" t="str">
        <f t="shared" si="213"/>
        <v>L-V</v>
      </c>
      <c r="D4105" t="str">
        <f t="shared" si="214"/>
        <v>Martes</v>
      </c>
    </row>
    <row r="4106" spans="1:4" x14ac:dyDescent="0.25">
      <c r="A4106" s="88" t="str">
        <f t="shared" si="212"/>
        <v>3-2034</v>
      </c>
      <c r="B4106" s="86">
        <v>49032</v>
      </c>
      <c r="C4106" t="str">
        <f t="shared" si="213"/>
        <v>L-V</v>
      </c>
      <c r="D4106" t="str">
        <f t="shared" si="214"/>
        <v>Miércoles</v>
      </c>
    </row>
    <row r="4107" spans="1:4" x14ac:dyDescent="0.25">
      <c r="A4107" s="88" t="str">
        <f t="shared" si="212"/>
        <v>3-2034</v>
      </c>
      <c r="B4107" s="86">
        <v>49033</v>
      </c>
      <c r="C4107" t="str">
        <f t="shared" si="213"/>
        <v>L-V</v>
      </c>
      <c r="D4107" t="str">
        <f t="shared" si="214"/>
        <v>Jueves</v>
      </c>
    </row>
    <row r="4108" spans="1:4" x14ac:dyDescent="0.25">
      <c r="A4108" s="88" t="str">
        <f t="shared" si="212"/>
        <v>3-2034</v>
      </c>
      <c r="B4108" s="86">
        <v>49034</v>
      </c>
      <c r="C4108" t="str">
        <f t="shared" si="213"/>
        <v>L-V</v>
      </c>
      <c r="D4108" t="str">
        <f t="shared" si="214"/>
        <v>Viernes</v>
      </c>
    </row>
    <row r="4109" spans="1:4" x14ac:dyDescent="0.25">
      <c r="A4109" s="88" t="str">
        <f t="shared" si="212"/>
        <v>4-2034</v>
      </c>
      <c r="B4109" s="86">
        <v>49035</v>
      </c>
      <c r="C4109" t="str">
        <f t="shared" si="213"/>
        <v>SAB</v>
      </c>
      <c r="D4109" t="str">
        <f t="shared" si="214"/>
        <v>Sábado</v>
      </c>
    </row>
    <row r="4110" spans="1:4" x14ac:dyDescent="0.25">
      <c r="A4110" s="88" t="str">
        <f t="shared" si="212"/>
        <v>4-2034</v>
      </c>
      <c r="B4110" s="86">
        <v>49036</v>
      </c>
      <c r="C4110" t="str">
        <f t="shared" si="213"/>
        <v>DOM</v>
      </c>
      <c r="D4110" t="str">
        <f t="shared" si="214"/>
        <v>Domingo</v>
      </c>
    </row>
    <row r="4111" spans="1:4" x14ac:dyDescent="0.25">
      <c r="A4111" s="88" t="str">
        <f t="shared" si="212"/>
        <v>4-2034</v>
      </c>
      <c r="B4111" s="86">
        <v>49037</v>
      </c>
      <c r="C4111" t="str">
        <f t="shared" si="213"/>
        <v>L-V</v>
      </c>
      <c r="D4111" t="str">
        <f t="shared" si="214"/>
        <v>Lunes</v>
      </c>
    </row>
    <row r="4112" spans="1:4" x14ac:dyDescent="0.25">
      <c r="A4112" s="88" t="str">
        <f t="shared" si="212"/>
        <v>4-2034</v>
      </c>
      <c r="B4112" s="86">
        <v>49038</v>
      </c>
      <c r="C4112" t="str">
        <f t="shared" si="213"/>
        <v>L-V</v>
      </c>
      <c r="D4112" t="str">
        <f t="shared" si="214"/>
        <v>Martes</v>
      </c>
    </row>
    <row r="4113" spans="1:4" x14ac:dyDescent="0.25">
      <c r="A4113" s="88" t="str">
        <f t="shared" si="212"/>
        <v>4-2034</v>
      </c>
      <c r="B4113" s="86">
        <v>49039</v>
      </c>
      <c r="C4113" t="str">
        <f t="shared" si="213"/>
        <v>L-V</v>
      </c>
      <c r="D4113" t="str">
        <f t="shared" si="214"/>
        <v>Miércoles</v>
      </c>
    </row>
    <row r="4114" spans="1:4" x14ac:dyDescent="0.25">
      <c r="A4114" s="88" t="str">
        <f t="shared" si="212"/>
        <v>4-2034</v>
      </c>
      <c r="B4114" s="86">
        <v>49040</v>
      </c>
      <c r="C4114" t="str">
        <f t="shared" si="213"/>
        <v>L-V</v>
      </c>
      <c r="D4114" t="str">
        <f t="shared" si="214"/>
        <v>Jueves</v>
      </c>
    </row>
    <row r="4115" spans="1:4" x14ac:dyDescent="0.25">
      <c r="A4115" s="88" t="str">
        <f t="shared" si="212"/>
        <v>4-2034</v>
      </c>
      <c r="B4115" s="86">
        <v>49041</v>
      </c>
      <c r="C4115" t="str">
        <f t="shared" si="213"/>
        <v>L-V</v>
      </c>
      <c r="D4115" t="str">
        <f t="shared" si="214"/>
        <v>Viernes</v>
      </c>
    </row>
    <row r="4116" spans="1:4" x14ac:dyDescent="0.25">
      <c r="A4116" s="88" t="str">
        <f t="shared" si="212"/>
        <v>4-2034</v>
      </c>
      <c r="B4116" s="86">
        <v>49042</v>
      </c>
      <c r="C4116" t="str">
        <f t="shared" si="213"/>
        <v>SAB</v>
      </c>
      <c r="D4116" t="str">
        <f t="shared" si="214"/>
        <v>Sábado</v>
      </c>
    </row>
    <row r="4117" spans="1:4" x14ac:dyDescent="0.25">
      <c r="A4117" s="88" t="str">
        <f t="shared" si="212"/>
        <v>4-2034</v>
      </c>
      <c r="B4117" s="86">
        <v>49043</v>
      </c>
      <c r="C4117" t="str">
        <f t="shared" si="213"/>
        <v>DOM</v>
      </c>
      <c r="D4117" t="str">
        <f t="shared" si="214"/>
        <v>Domingo</v>
      </c>
    </row>
    <row r="4118" spans="1:4" x14ac:dyDescent="0.25">
      <c r="A4118" s="88" t="str">
        <f t="shared" si="212"/>
        <v>4-2034</v>
      </c>
      <c r="B4118" s="86">
        <v>49044</v>
      </c>
      <c r="C4118" t="str">
        <f t="shared" si="213"/>
        <v>L-V</v>
      </c>
      <c r="D4118" t="str">
        <f t="shared" si="214"/>
        <v>Lunes</v>
      </c>
    </row>
    <row r="4119" spans="1:4" x14ac:dyDescent="0.25">
      <c r="A4119" s="88" t="str">
        <f t="shared" si="212"/>
        <v>4-2034</v>
      </c>
      <c r="B4119" s="86">
        <v>49045</v>
      </c>
      <c r="C4119" t="str">
        <f t="shared" si="213"/>
        <v>L-V</v>
      </c>
      <c r="D4119" t="str">
        <f t="shared" si="214"/>
        <v>Martes</v>
      </c>
    </row>
    <row r="4120" spans="1:4" x14ac:dyDescent="0.25">
      <c r="A4120" s="88" t="str">
        <f t="shared" si="212"/>
        <v>4-2034</v>
      </c>
      <c r="B4120" s="86">
        <v>49046</v>
      </c>
      <c r="C4120" t="str">
        <f t="shared" si="213"/>
        <v>L-V</v>
      </c>
      <c r="D4120" t="str">
        <f t="shared" si="214"/>
        <v>Miércoles</v>
      </c>
    </row>
    <row r="4121" spans="1:4" x14ac:dyDescent="0.25">
      <c r="A4121" s="88" t="str">
        <f t="shared" si="212"/>
        <v>4-2034</v>
      </c>
      <c r="B4121" s="86">
        <v>49047</v>
      </c>
      <c r="C4121" t="str">
        <f t="shared" si="213"/>
        <v>L-V</v>
      </c>
      <c r="D4121" t="str">
        <f t="shared" si="214"/>
        <v>Jueves</v>
      </c>
    </row>
    <row r="4122" spans="1:4" x14ac:dyDescent="0.25">
      <c r="A4122" s="88" t="str">
        <f t="shared" si="212"/>
        <v>4-2034</v>
      </c>
      <c r="B4122" s="86">
        <v>49048</v>
      </c>
      <c r="C4122" t="str">
        <f t="shared" si="213"/>
        <v>L-V</v>
      </c>
      <c r="D4122" t="str">
        <f t="shared" si="214"/>
        <v>Viernes</v>
      </c>
    </row>
    <row r="4123" spans="1:4" x14ac:dyDescent="0.25">
      <c r="A4123" s="88" t="str">
        <f t="shared" si="212"/>
        <v>4-2034</v>
      </c>
      <c r="B4123" s="86">
        <v>49049</v>
      </c>
      <c r="C4123" t="str">
        <f t="shared" si="213"/>
        <v>SAB</v>
      </c>
      <c r="D4123" t="str">
        <f t="shared" si="214"/>
        <v>Sábado</v>
      </c>
    </row>
    <row r="4124" spans="1:4" x14ac:dyDescent="0.25">
      <c r="A4124" s="88" t="str">
        <f t="shared" si="212"/>
        <v>4-2034</v>
      </c>
      <c r="B4124" s="86">
        <v>49050</v>
      </c>
      <c r="C4124" t="str">
        <f t="shared" si="213"/>
        <v>DOM</v>
      </c>
      <c r="D4124" t="str">
        <f t="shared" si="214"/>
        <v>Domingo</v>
      </c>
    </row>
    <row r="4125" spans="1:4" x14ac:dyDescent="0.25">
      <c r="A4125" s="88" t="str">
        <f t="shared" si="212"/>
        <v>4-2034</v>
      </c>
      <c r="B4125" s="86">
        <v>49051</v>
      </c>
      <c r="C4125" t="str">
        <f t="shared" si="213"/>
        <v>L-V</v>
      </c>
      <c r="D4125" t="str">
        <f t="shared" si="214"/>
        <v>Lunes</v>
      </c>
    </row>
    <row r="4126" spans="1:4" x14ac:dyDescent="0.25">
      <c r="A4126" s="88" t="str">
        <f t="shared" si="212"/>
        <v>4-2034</v>
      </c>
      <c r="B4126" s="86">
        <v>49052</v>
      </c>
      <c r="C4126" t="str">
        <f t="shared" si="213"/>
        <v>L-V</v>
      </c>
      <c r="D4126" t="str">
        <f t="shared" si="214"/>
        <v>Martes</v>
      </c>
    </row>
    <row r="4127" spans="1:4" x14ac:dyDescent="0.25">
      <c r="A4127" s="88" t="str">
        <f t="shared" si="212"/>
        <v>4-2034</v>
      </c>
      <c r="B4127" s="86">
        <v>49053</v>
      </c>
      <c r="C4127" t="str">
        <f t="shared" si="213"/>
        <v>L-V</v>
      </c>
      <c r="D4127" t="str">
        <f t="shared" si="214"/>
        <v>Miércoles</v>
      </c>
    </row>
    <row r="4128" spans="1:4" x14ac:dyDescent="0.25">
      <c r="A4128" s="88" t="str">
        <f t="shared" si="212"/>
        <v>4-2034</v>
      </c>
      <c r="B4128" s="86">
        <v>49054</v>
      </c>
      <c r="C4128" t="str">
        <f t="shared" si="213"/>
        <v>L-V</v>
      </c>
      <c r="D4128" t="str">
        <f t="shared" si="214"/>
        <v>Jueves</v>
      </c>
    </row>
    <row r="4129" spans="1:4" x14ac:dyDescent="0.25">
      <c r="A4129" s="88" t="str">
        <f t="shared" si="212"/>
        <v>4-2034</v>
      </c>
      <c r="B4129" s="86">
        <v>49055</v>
      </c>
      <c r="C4129" t="str">
        <f t="shared" si="213"/>
        <v>L-V</v>
      </c>
      <c r="D4129" t="str">
        <f t="shared" si="214"/>
        <v>Viernes</v>
      </c>
    </row>
    <row r="4130" spans="1:4" x14ac:dyDescent="0.25">
      <c r="A4130" s="88" t="str">
        <f t="shared" si="212"/>
        <v>4-2034</v>
      </c>
      <c r="B4130" s="86">
        <v>49056</v>
      </c>
      <c r="C4130" t="str">
        <f t="shared" si="213"/>
        <v>SAB</v>
      </c>
      <c r="D4130" t="str">
        <f t="shared" si="214"/>
        <v>Sábado</v>
      </c>
    </row>
    <row r="4131" spans="1:4" x14ac:dyDescent="0.25">
      <c r="A4131" s="88" t="str">
        <f t="shared" si="212"/>
        <v>4-2034</v>
      </c>
      <c r="B4131" s="86">
        <v>49057</v>
      </c>
      <c r="C4131" t="str">
        <f t="shared" si="213"/>
        <v>DOM</v>
      </c>
      <c r="D4131" t="str">
        <f t="shared" si="214"/>
        <v>Domingo</v>
      </c>
    </row>
    <row r="4132" spans="1:4" x14ac:dyDescent="0.25">
      <c r="A4132" s="88" t="str">
        <f t="shared" si="212"/>
        <v>4-2034</v>
      </c>
      <c r="B4132" s="86">
        <v>49058</v>
      </c>
      <c r="C4132" t="str">
        <f t="shared" si="213"/>
        <v>L-V</v>
      </c>
      <c r="D4132" t="str">
        <f t="shared" si="214"/>
        <v>Lunes</v>
      </c>
    </row>
    <row r="4133" spans="1:4" x14ac:dyDescent="0.25">
      <c r="A4133" s="88" t="str">
        <f t="shared" si="212"/>
        <v>4-2034</v>
      </c>
      <c r="B4133" s="86">
        <v>49059</v>
      </c>
      <c r="C4133" t="str">
        <f t="shared" si="213"/>
        <v>L-V</v>
      </c>
      <c r="D4133" t="str">
        <f t="shared" si="214"/>
        <v>Martes</v>
      </c>
    </row>
    <row r="4134" spans="1:4" x14ac:dyDescent="0.25">
      <c r="A4134" s="88" t="str">
        <f t="shared" si="212"/>
        <v>4-2034</v>
      </c>
      <c r="B4134" s="86">
        <v>49060</v>
      </c>
      <c r="C4134" t="str">
        <f t="shared" si="213"/>
        <v>L-V</v>
      </c>
      <c r="D4134" t="str">
        <f t="shared" si="214"/>
        <v>Miércoles</v>
      </c>
    </row>
    <row r="4135" spans="1:4" x14ac:dyDescent="0.25">
      <c r="A4135" s="88" t="str">
        <f t="shared" si="212"/>
        <v>4-2034</v>
      </c>
      <c r="B4135" s="86">
        <v>49061</v>
      </c>
      <c r="C4135" t="str">
        <f t="shared" si="213"/>
        <v>L-V</v>
      </c>
      <c r="D4135" t="str">
        <f t="shared" si="214"/>
        <v>Jueves</v>
      </c>
    </row>
    <row r="4136" spans="1:4" x14ac:dyDescent="0.25">
      <c r="A4136" s="88" t="str">
        <f t="shared" si="212"/>
        <v>4-2034</v>
      </c>
      <c r="B4136" s="86">
        <v>49062</v>
      </c>
      <c r="C4136" t="str">
        <f t="shared" si="213"/>
        <v>L-V</v>
      </c>
      <c r="D4136" t="str">
        <f t="shared" si="214"/>
        <v>Viernes</v>
      </c>
    </row>
    <row r="4137" spans="1:4" x14ac:dyDescent="0.25">
      <c r="A4137" s="88" t="str">
        <f t="shared" si="212"/>
        <v>4-2034</v>
      </c>
      <c r="B4137" s="86">
        <v>49063</v>
      </c>
      <c r="C4137" t="str">
        <f t="shared" si="213"/>
        <v>SAB</v>
      </c>
      <c r="D4137" t="str">
        <f t="shared" si="214"/>
        <v>Sábado</v>
      </c>
    </row>
    <row r="4138" spans="1:4" x14ac:dyDescent="0.25">
      <c r="A4138" s="88" t="str">
        <f t="shared" si="212"/>
        <v>4-2034</v>
      </c>
      <c r="B4138" s="86">
        <v>49064</v>
      </c>
      <c r="C4138" t="str">
        <f t="shared" si="213"/>
        <v>DOM</v>
      </c>
      <c r="D4138" t="str">
        <f t="shared" si="214"/>
        <v>Domingo</v>
      </c>
    </row>
    <row r="4139" spans="1:4" x14ac:dyDescent="0.25">
      <c r="A4139" s="88" t="str">
        <f t="shared" si="212"/>
        <v>5-2034</v>
      </c>
      <c r="B4139" s="86">
        <v>49065</v>
      </c>
      <c r="C4139" t="str">
        <f t="shared" si="213"/>
        <v>L-V</v>
      </c>
      <c r="D4139" t="str">
        <f t="shared" si="214"/>
        <v>Lunes</v>
      </c>
    </row>
    <row r="4140" spans="1:4" x14ac:dyDescent="0.25">
      <c r="A4140" s="88" t="str">
        <f t="shared" si="212"/>
        <v>5-2034</v>
      </c>
      <c r="B4140" s="86">
        <v>49066</v>
      </c>
      <c r="C4140" t="str">
        <f t="shared" si="213"/>
        <v>L-V</v>
      </c>
      <c r="D4140" t="str">
        <f t="shared" si="214"/>
        <v>Martes</v>
      </c>
    </row>
    <row r="4141" spans="1:4" x14ac:dyDescent="0.25">
      <c r="A4141" s="88" t="str">
        <f t="shared" si="212"/>
        <v>5-2034</v>
      </c>
      <c r="B4141" s="86">
        <v>49067</v>
      </c>
      <c r="C4141" t="str">
        <f t="shared" si="213"/>
        <v>L-V</v>
      </c>
      <c r="D4141" t="str">
        <f t="shared" si="214"/>
        <v>Miércoles</v>
      </c>
    </row>
    <row r="4142" spans="1:4" x14ac:dyDescent="0.25">
      <c r="A4142" s="88" t="str">
        <f t="shared" si="212"/>
        <v>5-2034</v>
      </c>
      <c r="B4142" s="86">
        <v>49068</v>
      </c>
      <c r="C4142" t="str">
        <f t="shared" si="213"/>
        <v>L-V</v>
      </c>
      <c r="D4142" t="str">
        <f t="shared" si="214"/>
        <v>Jueves</v>
      </c>
    </row>
    <row r="4143" spans="1:4" x14ac:dyDescent="0.25">
      <c r="A4143" s="88" t="str">
        <f t="shared" si="212"/>
        <v>5-2034</v>
      </c>
      <c r="B4143" s="86">
        <v>49069</v>
      </c>
      <c r="C4143" t="str">
        <f t="shared" si="213"/>
        <v>L-V</v>
      </c>
      <c r="D4143" t="str">
        <f t="shared" si="214"/>
        <v>Viernes</v>
      </c>
    </row>
    <row r="4144" spans="1:4" x14ac:dyDescent="0.25">
      <c r="A4144" s="88" t="str">
        <f t="shared" si="212"/>
        <v>5-2034</v>
      </c>
      <c r="B4144" s="86">
        <v>49070</v>
      </c>
      <c r="C4144" t="str">
        <f t="shared" si="213"/>
        <v>SAB</v>
      </c>
      <c r="D4144" t="str">
        <f t="shared" si="214"/>
        <v>Sábado</v>
      </c>
    </row>
    <row r="4145" spans="1:4" x14ac:dyDescent="0.25">
      <c r="A4145" s="88" t="str">
        <f t="shared" si="212"/>
        <v>5-2034</v>
      </c>
      <c r="B4145" s="86">
        <v>49071</v>
      </c>
      <c r="C4145" t="str">
        <f t="shared" si="213"/>
        <v>DOM</v>
      </c>
      <c r="D4145" t="str">
        <f t="shared" si="214"/>
        <v>Domingo</v>
      </c>
    </row>
    <row r="4146" spans="1:4" x14ac:dyDescent="0.25">
      <c r="A4146" s="88" t="str">
        <f t="shared" si="212"/>
        <v>5-2034</v>
      </c>
      <c r="B4146" s="86">
        <v>49072</v>
      </c>
      <c r="C4146" t="str">
        <f t="shared" si="213"/>
        <v>L-V</v>
      </c>
      <c r="D4146" t="str">
        <f t="shared" si="214"/>
        <v>Lunes</v>
      </c>
    </row>
    <row r="4147" spans="1:4" x14ac:dyDescent="0.25">
      <c r="A4147" s="88" t="str">
        <f t="shared" si="212"/>
        <v>5-2034</v>
      </c>
      <c r="B4147" s="86">
        <v>49073</v>
      </c>
      <c r="C4147" t="str">
        <f t="shared" si="213"/>
        <v>L-V</v>
      </c>
      <c r="D4147" t="str">
        <f t="shared" si="214"/>
        <v>Martes</v>
      </c>
    </row>
    <row r="4148" spans="1:4" x14ac:dyDescent="0.25">
      <c r="A4148" s="88" t="str">
        <f t="shared" si="212"/>
        <v>5-2034</v>
      </c>
      <c r="B4148" s="86">
        <v>49074</v>
      </c>
      <c r="C4148" t="str">
        <f t="shared" si="213"/>
        <v>L-V</v>
      </c>
      <c r="D4148" t="str">
        <f t="shared" si="214"/>
        <v>Miércoles</v>
      </c>
    </row>
    <row r="4149" spans="1:4" x14ac:dyDescent="0.25">
      <c r="A4149" s="88" t="str">
        <f t="shared" si="212"/>
        <v>5-2034</v>
      </c>
      <c r="B4149" s="86">
        <v>49075</v>
      </c>
      <c r="C4149" t="str">
        <f t="shared" si="213"/>
        <v>L-V</v>
      </c>
      <c r="D4149" t="str">
        <f t="shared" si="214"/>
        <v>Jueves</v>
      </c>
    </row>
    <row r="4150" spans="1:4" x14ac:dyDescent="0.25">
      <c r="A4150" s="88" t="str">
        <f t="shared" si="212"/>
        <v>5-2034</v>
      </c>
      <c r="B4150" s="86">
        <v>49076</v>
      </c>
      <c r="C4150" t="str">
        <f t="shared" si="213"/>
        <v>L-V</v>
      </c>
      <c r="D4150" t="str">
        <f t="shared" si="214"/>
        <v>Viernes</v>
      </c>
    </row>
    <row r="4151" spans="1:4" x14ac:dyDescent="0.25">
      <c r="A4151" s="88" t="str">
        <f t="shared" si="212"/>
        <v>5-2034</v>
      </c>
      <c r="B4151" s="86">
        <v>49077</v>
      </c>
      <c r="C4151" t="str">
        <f t="shared" si="213"/>
        <v>SAB</v>
      </c>
      <c r="D4151" t="str">
        <f t="shared" si="214"/>
        <v>Sábado</v>
      </c>
    </row>
    <row r="4152" spans="1:4" x14ac:dyDescent="0.25">
      <c r="A4152" s="88" t="str">
        <f t="shared" si="212"/>
        <v>5-2034</v>
      </c>
      <c r="B4152" s="86">
        <v>49078</v>
      </c>
      <c r="C4152" t="str">
        <f t="shared" si="213"/>
        <v>DOM</v>
      </c>
      <c r="D4152" t="str">
        <f t="shared" si="214"/>
        <v>Domingo</v>
      </c>
    </row>
    <row r="4153" spans="1:4" x14ac:dyDescent="0.25">
      <c r="A4153" s="88" t="str">
        <f t="shared" si="212"/>
        <v>5-2034</v>
      </c>
      <c r="B4153" s="86">
        <v>49079</v>
      </c>
      <c r="C4153" t="str">
        <f t="shared" si="213"/>
        <v>L-V</v>
      </c>
      <c r="D4153" t="str">
        <f t="shared" si="214"/>
        <v>Lunes</v>
      </c>
    </row>
    <row r="4154" spans="1:4" x14ac:dyDescent="0.25">
      <c r="A4154" s="88" t="str">
        <f t="shared" si="212"/>
        <v>5-2034</v>
      </c>
      <c r="B4154" s="86">
        <v>49080</v>
      </c>
      <c r="C4154" t="str">
        <f t="shared" si="213"/>
        <v>L-V</v>
      </c>
      <c r="D4154" t="str">
        <f t="shared" si="214"/>
        <v>Martes</v>
      </c>
    </row>
    <row r="4155" spans="1:4" x14ac:dyDescent="0.25">
      <c r="A4155" s="88" t="str">
        <f t="shared" si="212"/>
        <v>5-2034</v>
      </c>
      <c r="B4155" s="86">
        <v>49081</v>
      </c>
      <c r="C4155" t="str">
        <f t="shared" si="213"/>
        <v>L-V</v>
      </c>
      <c r="D4155" t="str">
        <f t="shared" si="214"/>
        <v>Miércoles</v>
      </c>
    </row>
    <row r="4156" spans="1:4" x14ac:dyDescent="0.25">
      <c r="A4156" s="88" t="str">
        <f t="shared" si="212"/>
        <v>5-2034</v>
      </c>
      <c r="B4156" s="86">
        <v>49082</v>
      </c>
      <c r="C4156" t="str">
        <f t="shared" si="213"/>
        <v>L-V</v>
      </c>
      <c r="D4156" t="str">
        <f t="shared" si="214"/>
        <v>Jueves</v>
      </c>
    </row>
    <row r="4157" spans="1:4" x14ac:dyDescent="0.25">
      <c r="A4157" s="88" t="str">
        <f t="shared" si="212"/>
        <v>5-2034</v>
      </c>
      <c r="B4157" s="86">
        <v>49083</v>
      </c>
      <c r="C4157" t="str">
        <f t="shared" si="213"/>
        <v>L-V</v>
      </c>
      <c r="D4157" t="str">
        <f t="shared" si="214"/>
        <v>Viernes</v>
      </c>
    </row>
    <row r="4158" spans="1:4" x14ac:dyDescent="0.25">
      <c r="A4158" s="88" t="str">
        <f t="shared" si="212"/>
        <v>5-2034</v>
      </c>
      <c r="B4158" s="86">
        <v>49084</v>
      </c>
      <c r="C4158" t="str">
        <f t="shared" si="213"/>
        <v>SAB</v>
      </c>
      <c r="D4158" t="str">
        <f t="shared" si="214"/>
        <v>Sábado</v>
      </c>
    </row>
    <row r="4159" spans="1:4" x14ac:dyDescent="0.25">
      <c r="A4159" s="88" t="str">
        <f t="shared" si="212"/>
        <v>5-2034</v>
      </c>
      <c r="B4159" s="86">
        <v>49085</v>
      </c>
      <c r="C4159" t="str">
        <f t="shared" si="213"/>
        <v>DOM</v>
      </c>
      <c r="D4159" t="str">
        <f t="shared" si="214"/>
        <v>Domingo</v>
      </c>
    </row>
    <row r="4160" spans="1:4" x14ac:dyDescent="0.25">
      <c r="A4160" s="88" t="str">
        <f t="shared" si="212"/>
        <v>5-2034</v>
      </c>
      <c r="B4160" s="86">
        <v>49086</v>
      </c>
      <c r="C4160" t="str">
        <f t="shared" si="213"/>
        <v>L-V</v>
      </c>
      <c r="D4160" t="str">
        <f t="shared" si="214"/>
        <v>Lunes</v>
      </c>
    </row>
    <row r="4161" spans="1:4" x14ac:dyDescent="0.25">
      <c r="A4161" s="88" t="str">
        <f t="shared" si="212"/>
        <v>5-2034</v>
      </c>
      <c r="B4161" s="86">
        <v>49087</v>
      </c>
      <c r="C4161" t="str">
        <f t="shared" si="213"/>
        <v>L-V</v>
      </c>
      <c r="D4161" t="str">
        <f t="shared" si="214"/>
        <v>Martes</v>
      </c>
    </row>
    <row r="4162" spans="1:4" x14ac:dyDescent="0.25">
      <c r="A4162" s="88" t="str">
        <f t="shared" ref="A4162:A4225" si="215">MONTH(B4162)&amp;"-"&amp;YEAR(B4162)</f>
        <v>5-2034</v>
      </c>
      <c r="B4162" s="86">
        <v>49088</v>
      </c>
      <c r="C4162" t="str">
        <f t="shared" si="213"/>
        <v>L-V</v>
      </c>
      <c r="D4162" t="str">
        <f t="shared" si="214"/>
        <v>Miércoles</v>
      </c>
    </row>
    <row r="4163" spans="1:4" x14ac:dyDescent="0.25">
      <c r="A4163" s="88" t="str">
        <f t="shared" si="215"/>
        <v>5-2034</v>
      </c>
      <c r="B4163" s="86">
        <v>49089</v>
      </c>
      <c r="C4163" t="str">
        <f t="shared" ref="C4163:C4226" si="216">VLOOKUP(WEEKDAY(B4163,2),$F$1:$H$7,2)</f>
        <v>L-V</v>
      </c>
      <c r="D4163" t="str">
        <f t="shared" ref="D4163:D4226" si="217">VLOOKUP(WEEKDAY($B4163,2),$F$1:$H$7,3)</f>
        <v>Jueves</v>
      </c>
    </row>
    <row r="4164" spans="1:4" x14ac:dyDescent="0.25">
      <c r="A4164" s="88" t="str">
        <f t="shared" si="215"/>
        <v>5-2034</v>
      </c>
      <c r="B4164" s="86">
        <v>49090</v>
      </c>
      <c r="C4164" t="str">
        <f t="shared" si="216"/>
        <v>L-V</v>
      </c>
      <c r="D4164" t="str">
        <f t="shared" si="217"/>
        <v>Viernes</v>
      </c>
    </row>
    <row r="4165" spans="1:4" x14ac:dyDescent="0.25">
      <c r="A4165" s="88" t="str">
        <f t="shared" si="215"/>
        <v>5-2034</v>
      </c>
      <c r="B4165" s="86">
        <v>49091</v>
      </c>
      <c r="C4165" t="str">
        <f t="shared" si="216"/>
        <v>SAB</v>
      </c>
      <c r="D4165" t="str">
        <f t="shared" si="217"/>
        <v>Sábado</v>
      </c>
    </row>
    <row r="4166" spans="1:4" x14ac:dyDescent="0.25">
      <c r="A4166" s="88" t="str">
        <f t="shared" si="215"/>
        <v>5-2034</v>
      </c>
      <c r="B4166" s="86">
        <v>49092</v>
      </c>
      <c r="C4166" t="str">
        <f t="shared" si="216"/>
        <v>DOM</v>
      </c>
      <c r="D4166" t="str">
        <f t="shared" si="217"/>
        <v>Domingo</v>
      </c>
    </row>
    <row r="4167" spans="1:4" x14ac:dyDescent="0.25">
      <c r="A4167" s="88" t="str">
        <f t="shared" si="215"/>
        <v>5-2034</v>
      </c>
      <c r="B4167" s="86">
        <v>49093</v>
      </c>
      <c r="C4167" t="str">
        <f t="shared" si="216"/>
        <v>L-V</v>
      </c>
      <c r="D4167" t="str">
        <f t="shared" si="217"/>
        <v>Lunes</v>
      </c>
    </row>
    <row r="4168" spans="1:4" x14ac:dyDescent="0.25">
      <c r="A4168" s="88" t="str">
        <f t="shared" si="215"/>
        <v>5-2034</v>
      </c>
      <c r="B4168" s="86">
        <v>49094</v>
      </c>
      <c r="C4168" t="str">
        <f t="shared" si="216"/>
        <v>L-V</v>
      </c>
      <c r="D4168" t="str">
        <f t="shared" si="217"/>
        <v>Martes</v>
      </c>
    </row>
    <row r="4169" spans="1:4" x14ac:dyDescent="0.25">
      <c r="A4169" s="88" t="str">
        <f t="shared" si="215"/>
        <v>5-2034</v>
      </c>
      <c r="B4169" s="86">
        <v>49095</v>
      </c>
      <c r="C4169" t="str">
        <f t="shared" si="216"/>
        <v>L-V</v>
      </c>
      <c r="D4169" t="str">
        <f t="shared" si="217"/>
        <v>Miércoles</v>
      </c>
    </row>
    <row r="4170" spans="1:4" x14ac:dyDescent="0.25">
      <c r="A4170" s="88" t="str">
        <f t="shared" si="215"/>
        <v>6-2034</v>
      </c>
      <c r="B4170" s="86">
        <v>49096</v>
      </c>
      <c r="C4170" t="str">
        <f t="shared" si="216"/>
        <v>L-V</v>
      </c>
      <c r="D4170" t="str">
        <f t="shared" si="217"/>
        <v>Jueves</v>
      </c>
    </row>
    <row r="4171" spans="1:4" x14ac:dyDescent="0.25">
      <c r="A4171" s="88" t="str">
        <f t="shared" si="215"/>
        <v>6-2034</v>
      </c>
      <c r="B4171" s="86">
        <v>49097</v>
      </c>
      <c r="C4171" t="str">
        <f t="shared" si="216"/>
        <v>L-V</v>
      </c>
      <c r="D4171" t="str">
        <f t="shared" si="217"/>
        <v>Viernes</v>
      </c>
    </row>
    <row r="4172" spans="1:4" x14ac:dyDescent="0.25">
      <c r="A4172" s="88" t="str">
        <f t="shared" si="215"/>
        <v>6-2034</v>
      </c>
      <c r="B4172" s="86">
        <v>49098</v>
      </c>
      <c r="C4172" t="str">
        <f t="shared" si="216"/>
        <v>SAB</v>
      </c>
      <c r="D4172" t="str">
        <f t="shared" si="217"/>
        <v>Sábado</v>
      </c>
    </row>
    <row r="4173" spans="1:4" x14ac:dyDescent="0.25">
      <c r="A4173" s="88" t="str">
        <f t="shared" si="215"/>
        <v>6-2034</v>
      </c>
      <c r="B4173" s="86">
        <v>49099</v>
      </c>
      <c r="C4173" t="str">
        <f t="shared" si="216"/>
        <v>DOM</v>
      </c>
      <c r="D4173" t="str">
        <f t="shared" si="217"/>
        <v>Domingo</v>
      </c>
    </row>
    <row r="4174" spans="1:4" x14ac:dyDescent="0.25">
      <c r="A4174" s="88" t="str">
        <f t="shared" si="215"/>
        <v>6-2034</v>
      </c>
      <c r="B4174" s="86">
        <v>49100</v>
      </c>
      <c r="C4174" t="str">
        <f t="shared" si="216"/>
        <v>L-V</v>
      </c>
      <c r="D4174" t="str">
        <f t="shared" si="217"/>
        <v>Lunes</v>
      </c>
    </row>
    <row r="4175" spans="1:4" x14ac:dyDescent="0.25">
      <c r="A4175" s="88" t="str">
        <f t="shared" si="215"/>
        <v>6-2034</v>
      </c>
      <c r="B4175" s="86">
        <v>49101</v>
      </c>
      <c r="C4175" t="str">
        <f t="shared" si="216"/>
        <v>L-V</v>
      </c>
      <c r="D4175" t="str">
        <f t="shared" si="217"/>
        <v>Martes</v>
      </c>
    </row>
    <row r="4176" spans="1:4" x14ac:dyDescent="0.25">
      <c r="A4176" s="88" t="str">
        <f t="shared" si="215"/>
        <v>6-2034</v>
      </c>
      <c r="B4176" s="86">
        <v>49102</v>
      </c>
      <c r="C4176" t="str">
        <f t="shared" si="216"/>
        <v>L-V</v>
      </c>
      <c r="D4176" t="str">
        <f t="shared" si="217"/>
        <v>Miércoles</v>
      </c>
    </row>
    <row r="4177" spans="1:4" x14ac:dyDescent="0.25">
      <c r="A4177" s="88" t="str">
        <f t="shared" si="215"/>
        <v>6-2034</v>
      </c>
      <c r="B4177" s="86">
        <v>49103</v>
      </c>
      <c r="C4177" t="str">
        <f t="shared" si="216"/>
        <v>L-V</v>
      </c>
      <c r="D4177" t="str">
        <f t="shared" si="217"/>
        <v>Jueves</v>
      </c>
    </row>
    <row r="4178" spans="1:4" x14ac:dyDescent="0.25">
      <c r="A4178" s="88" t="str">
        <f t="shared" si="215"/>
        <v>6-2034</v>
      </c>
      <c r="B4178" s="86">
        <v>49104</v>
      </c>
      <c r="C4178" t="str">
        <f t="shared" si="216"/>
        <v>L-V</v>
      </c>
      <c r="D4178" t="str">
        <f t="shared" si="217"/>
        <v>Viernes</v>
      </c>
    </row>
    <row r="4179" spans="1:4" x14ac:dyDescent="0.25">
      <c r="A4179" s="88" t="str">
        <f t="shared" si="215"/>
        <v>6-2034</v>
      </c>
      <c r="B4179" s="86">
        <v>49105</v>
      </c>
      <c r="C4179" t="str">
        <f t="shared" si="216"/>
        <v>SAB</v>
      </c>
      <c r="D4179" t="str">
        <f t="shared" si="217"/>
        <v>Sábado</v>
      </c>
    </row>
    <row r="4180" spans="1:4" x14ac:dyDescent="0.25">
      <c r="A4180" s="88" t="str">
        <f t="shared" si="215"/>
        <v>6-2034</v>
      </c>
      <c r="B4180" s="86">
        <v>49106</v>
      </c>
      <c r="C4180" t="str">
        <f t="shared" si="216"/>
        <v>DOM</v>
      </c>
      <c r="D4180" t="str">
        <f t="shared" si="217"/>
        <v>Domingo</v>
      </c>
    </row>
    <row r="4181" spans="1:4" x14ac:dyDescent="0.25">
      <c r="A4181" s="88" t="str">
        <f t="shared" si="215"/>
        <v>6-2034</v>
      </c>
      <c r="B4181" s="86">
        <v>49107</v>
      </c>
      <c r="C4181" t="str">
        <f t="shared" si="216"/>
        <v>L-V</v>
      </c>
      <c r="D4181" t="str">
        <f t="shared" si="217"/>
        <v>Lunes</v>
      </c>
    </row>
    <row r="4182" spans="1:4" x14ac:dyDescent="0.25">
      <c r="A4182" s="88" t="str">
        <f t="shared" si="215"/>
        <v>6-2034</v>
      </c>
      <c r="B4182" s="86">
        <v>49108</v>
      </c>
      <c r="C4182" t="str">
        <f t="shared" si="216"/>
        <v>L-V</v>
      </c>
      <c r="D4182" t="str">
        <f t="shared" si="217"/>
        <v>Martes</v>
      </c>
    </row>
    <row r="4183" spans="1:4" x14ac:dyDescent="0.25">
      <c r="A4183" s="88" t="str">
        <f t="shared" si="215"/>
        <v>6-2034</v>
      </c>
      <c r="B4183" s="86">
        <v>49109</v>
      </c>
      <c r="C4183" t="str">
        <f t="shared" si="216"/>
        <v>L-V</v>
      </c>
      <c r="D4183" t="str">
        <f t="shared" si="217"/>
        <v>Miércoles</v>
      </c>
    </row>
    <row r="4184" spans="1:4" x14ac:dyDescent="0.25">
      <c r="A4184" s="88" t="str">
        <f t="shared" si="215"/>
        <v>6-2034</v>
      </c>
      <c r="B4184" s="86">
        <v>49110</v>
      </c>
      <c r="C4184" t="str">
        <f t="shared" si="216"/>
        <v>L-V</v>
      </c>
      <c r="D4184" t="str">
        <f t="shared" si="217"/>
        <v>Jueves</v>
      </c>
    </row>
    <row r="4185" spans="1:4" x14ac:dyDescent="0.25">
      <c r="A4185" s="88" t="str">
        <f t="shared" si="215"/>
        <v>6-2034</v>
      </c>
      <c r="B4185" s="86">
        <v>49111</v>
      </c>
      <c r="C4185" t="str">
        <f t="shared" si="216"/>
        <v>L-V</v>
      </c>
      <c r="D4185" t="str">
        <f t="shared" si="217"/>
        <v>Viernes</v>
      </c>
    </row>
    <row r="4186" spans="1:4" x14ac:dyDescent="0.25">
      <c r="A4186" s="88" t="str">
        <f t="shared" si="215"/>
        <v>6-2034</v>
      </c>
      <c r="B4186" s="86">
        <v>49112</v>
      </c>
      <c r="C4186" t="str">
        <f t="shared" si="216"/>
        <v>SAB</v>
      </c>
      <c r="D4186" t="str">
        <f t="shared" si="217"/>
        <v>Sábado</v>
      </c>
    </row>
    <row r="4187" spans="1:4" x14ac:dyDescent="0.25">
      <c r="A4187" s="88" t="str">
        <f t="shared" si="215"/>
        <v>6-2034</v>
      </c>
      <c r="B4187" s="86">
        <v>49113</v>
      </c>
      <c r="C4187" t="str">
        <f t="shared" si="216"/>
        <v>DOM</v>
      </c>
      <c r="D4187" t="str">
        <f t="shared" si="217"/>
        <v>Domingo</v>
      </c>
    </row>
    <row r="4188" spans="1:4" x14ac:dyDescent="0.25">
      <c r="A4188" s="88" t="str">
        <f t="shared" si="215"/>
        <v>6-2034</v>
      </c>
      <c r="B4188" s="86">
        <v>49114</v>
      </c>
      <c r="C4188" t="str">
        <f t="shared" si="216"/>
        <v>L-V</v>
      </c>
      <c r="D4188" t="str">
        <f t="shared" si="217"/>
        <v>Lunes</v>
      </c>
    </row>
    <row r="4189" spans="1:4" x14ac:dyDescent="0.25">
      <c r="A4189" s="88" t="str">
        <f t="shared" si="215"/>
        <v>6-2034</v>
      </c>
      <c r="B4189" s="86">
        <v>49115</v>
      </c>
      <c r="C4189" t="str">
        <f t="shared" si="216"/>
        <v>L-V</v>
      </c>
      <c r="D4189" t="str">
        <f t="shared" si="217"/>
        <v>Martes</v>
      </c>
    </row>
    <row r="4190" spans="1:4" x14ac:dyDescent="0.25">
      <c r="A4190" s="88" t="str">
        <f t="shared" si="215"/>
        <v>6-2034</v>
      </c>
      <c r="B4190" s="86">
        <v>49116</v>
      </c>
      <c r="C4190" t="str">
        <f t="shared" si="216"/>
        <v>L-V</v>
      </c>
      <c r="D4190" t="str">
        <f t="shared" si="217"/>
        <v>Miércoles</v>
      </c>
    </row>
    <row r="4191" spans="1:4" x14ac:dyDescent="0.25">
      <c r="A4191" s="88" t="str">
        <f t="shared" si="215"/>
        <v>6-2034</v>
      </c>
      <c r="B4191" s="86">
        <v>49117</v>
      </c>
      <c r="C4191" t="str">
        <f t="shared" si="216"/>
        <v>L-V</v>
      </c>
      <c r="D4191" t="str">
        <f t="shared" si="217"/>
        <v>Jueves</v>
      </c>
    </row>
    <row r="4192" spans="1:4" x14ac:dyDescent="0.25">
      <c r="A4192" s="88" t="str">
        <f t="shared" si="215"/>
        <v>6-2034</v>
      </c>
      <c r="B4192" s="86">
        <v>49118</v>
      </c>
      <c r="C4192" t="str">
        <f t="shared" si="216"/>
        <v>L-V</v>
      </c>
      <c r="D4192" t="str">
        <f t="shared" si="217"/>
        <v>Viernes</v>
      </c>
    </row>
    <row r="4193" spans="1:4" x14ac:dyDescent="0.25">
      <c r="A4193" s="88" t="str">
        <f t="shared" si="215"/>
        <v>6-2034</v>
      </c>
      <c r="B4193" s="86">
        <v>49119</v>
      </c>
      <c r="C4193" t="str">
        <f t="shared" si="216"/>
        <v>SAB</v>
      </c>
      <c r="D4193" t="str">
        <f t="shared" si="217"/>
        <v>Sábado</v>
      </c>
    </row>
    <row r="4194" spans="1:4" x14ac:dyDescent="0.25">
      <c r="A4194" s="88" t="str">
        <f t="shared" si="215"/>
        <v>6-2034</v>
      </c>
      <c r="B4194" s="86">
        <v>49120</v>
      </c>
      <c r="C4194" t="str">
        <f t="shared" si="216"/>
        <v>DOM</v>
      </c>
      <c r="D4194" t="str">
        <f t="shared" si="217"/>
        <v>Domingo</v>
      </c>
    </row>
    <row r="4195" spans="1:4" x14ac:dyDescent="0.25">
      <c r="A4195" s="88" t="str">
        <f t="shared" si="215"/>
        <v>6-2034</v>
      </c>
      <c r="B4195" s="86">
        <v>49121</v>
      </c>
      <c r="C4195" t="str">
        <f t="shared" si="216"/>
        <v>L-V</v>
      </c>
      <c r="D4195" t="str">
        <f t="shared" si="217"/>
        <v>Lunes</v>
      </c>
    </row>
    <row r="4196" spans="1:4" x14ac:dyDescent="0.25">
      <c r="A4196" s="88" t="str">
        <f t="shared" si="215"/>
        <v>6-2034</v>
      </c>
      <c r="B4196" s="86">
        <v>49122</v>
      </c>
      <c r="C4196" t="str">
        <f t="shared" si="216"/>
        <v>L-V</v>
      </c>
      <c r="D4196" t="str">
        <f t="shared" si="217"/>
        <v>Martes</v>
      </c>
    </row>
    <row r="4197" spans="1:4" x14ac:dyDescent="0.25">
      <c r="A4197" s="88" t="str">
        <f t="shared" si="215"/>
        <v>6-2034</v>
      </c>
      <c r="B4197" s="86">
        <v>49123</v>
      </c>
      <c r="C4197" t="str">
        <f t="shared" si="216"/>
        <v>L-V</v>
      </c>
      <c r="D4197" t="str">
        <f t="shared" si="217"/>
        <v>Miércoles</v>
      </c>
    </row>
    <row r="4198" spans="1:4" x14ac:dyDescent="0.25">
      <c r="A4198" s="88" t="str">
        <f t="shared" si="215"/>
        <v>6-2034</v>
      </c>
      <c r="B4198" s="86">
        <v>49124</v>
      </c>
      <c r="C4198" t="str">
        <f t="shared" si="216"/>
        <v>L-V</v>
      </c>
      <c r="D4198" t="str">
        <f t="shared" si="217"/>
        <v>Jueves</v>
      </c>
    </row>
    <row r="4199" spans="1:4" x14ac:dyDescent="0.25">
      <c r="A4199" s="88" t="str">
        <f t="shared" si="215"/>
        <v>6-2034</v>
      </c>
      <c r="B4199" s="86">
        <v>49125</v>
      </c>
      <c r="C4199" t="str">
        <f t="shared" si="216"/>
        <v>L-V</v>
      </c>
      <c r="D4199" t="str">
        <f t="shared" si="217"/>
        <v>Viernes</v>
      </c>
    </row>
    <row r="4200" spans="1:4" x14ac:dyDescent="0.25">
      <c r="A4200" s="88" t="str">
        <f t="shared" si="215"/>
        <v>7-2034</v>
      </c>
      <c r="B4200" s="86">
        <v>49126</v>
      </c>
      <c r="C4200" t="str">
        <f t="shared" si="216"/>
        <v>SAB</v>
      </c>
      <c r="D4200" t="str">
        <f t="shared" si="217"/>
        <v>Sábado</v>
      </c>
    </row>
    <row r="4201" spans="1:4" x14ac:dyDescent="0.25">
      <c r="A4201" s="88" t="str">
        <f t="shared" si="215"/>
        <v>7-2034</v>
      </c>
      <c r="B4201" s="86">
        <v>49127</v>
      </c>
      <c r="C4201" t="str">
        <f t="shared" si="216"/>
        <v>DOM</v>
      </c>
      <c r="D4201" t="str">
        <f t="shared" si="217"/>
        <v>Domingo</v>
      </c>
    </row>
    <row r="4202" spans="1:4" x14ac:dyDescent="0.25">
      <c r="A4202" s="88" t="str">
        <f t="shared" si="215"/>
        <v>7-2034</v>
      </c>
      <c r="B4202" s="86">
        <v>49128</v>
      </c>
      <c r="C4202" t="str">
        <f t="shared" si="216"/>
        <v>L-V</v>
      </c>
      <c r="D4202" t="str">
        <f t="shared" si="217"/>
        <v>Lunes</v>
      </c>
    </row>
    <row r="4203" spans="1:4" x14ac:dyDescent="0.25">
      <c r="A4203" s="88" t="str">
        <f t="shared" si="215"/>
        <v>7-2034</v>
      </c>
      <c r="B4203" s="86">
        <v>49129</v>
      </c>
      <c r="C4203" t="str">
        <f t="shared" si="216"/>
        <v>L-V</v>
      </c>
      <c r="D4203" t="str">
        <f t="shared" si="217"/>
        <v>Martes</v>
      </c>
    </row>
    <row r="4204" spans="1:4" x14ac:dyDescent="0.25">
      <c r="A4204" s="88" t="str">
        <f t="shared" si="215"/>
        <v>7-2034</v>
      </c>
      <c r="B4204" s="86">
        <v>49130</v>
      </c>
      <c r="C4204" t="str">
        <f t="shared" si="216"/>
        <v>L-V</v>
      </c>
      <c r="D4204" t="str">
        <f t="shared" si="217"/>
        <v>Miércoles</v>
      </c>
    </row>
    <row r="4205" spans="1:4" x14ac:dyDescent="0.25">
      <c r="A4205" s="88" t="str">
        <f t="shared" si="215"/>
        <v>7-2034</v>
      </c>
      <c r="B4205" s="86">
        <v>49131</v>
      </c>
      <c r="C4205" t="str">
        <f t="shared" si="216"/>
        <v>L-V</v>
      </c>
      <c r="D4205" t="str">
        <f t="shared" si="217"/>
        <v>Jueves</v>
      </c>
    </row>
    <row r="4206" spans="1:4" x14ac:dyDescent="0.25">
      <c r="A4206" s="88" t="str">
        <f t="shared" si="215"/>
        <v>7-2034</v>
      </c>
      <c r="B4206" s="86">
        <v>49132</v>
      </c>
      <c r="C4206" t="str">
        <f t="shared" si="216"/>
        <v>L-V</v>
      </c>
      <c r="D4206" t="str">
        <f t="shared" si="217"/>
        <v>Viernes</v>
      </c>
    </row>
    <row r="4207" spans="1:4" x14ac:dyDescent="0.25">
      <c r="A4207" s="88" t="str">
        <f t="shared" si="215"/>
        <v>7-2034</v>
      </c>
      <c r="B4207" s="86">
        <v>49133</v>
      </c>
      <c r="C4207" t="str">
        <f t="shared" si="216"/>
        <v>SAB</v>
      </c>
      <c r="D4207" t="str">
        <f t="shared" si="217"/>
        <v>Sábado</v>
      </c>
    </row>
    <row r="4208" spans="1:4" x14ac:dyDescent="0.25">
      <c r="A4208" s="88" t="str">
        <f t="shared" si="215"/>
        <v>7-2034</v>
      </c>
      <c r="B4208" s="86">
        <v>49134</v>
      </c>
      <c r="C4208" t="str">
        <f t="shared" si="216"/>
        <v>DOM</v>
      </c>
      <c r="D4208" t="str">
        <f t="shared" si="217"/>
        <v>Domingo</v>
      </c>
    </row>
    <row r="4209" spans="1:4" x14ac:dyDescent="0.25">
      <c r="A4209" s="88" t="str">
        <f t="shared" si="215"/>
        <v>7-2034</v>
      </c>
      <c r="B4209" s="86">
        <v>49135</v>
      </c>
      <c r="C4209" t="str">
        <f t="shared" si="216"/>
        <v>L-V</v>
      </c>
      <c r="D4209" t="str">
        <f t="shared" si="217"/>
        <v>Lunes</v>
      </c>
    </row>
    <row r="4210" spans="1:4" x14ac:dyDescent="0.25">
      <c r="A4210" s="88" t="str">
        <f t="shared" si="215"/>
        <v>7-2034</v>
      </c>
      <c r="B4210" s="86">
        <v>49136</v>
      </c>
      <c r="C4210" t="str">
        <f t="shared" si="216"/>
        <v>L-V</v>
      </c>
      <c r="D4210" t="str">
        <f t="shared" si="217"/>
        <v>Martes</v>
      </c>
    </row>
    <row r="4211" spans="1:4" x14ac:dyDescent="0.25">
      <c r="A4211" s="88" t="str">
        <f t="shared" si="215"/>
        <v>7-2034</v>
      </c>
      <c r="B4211" s="86">
        <v>49137</v>
      </c>
      <c r="C4211" t="str">
        <f t="shared" si="216"/>
        <v>L-V</v>
      </c>
      <c r="D4211" t="str">
        <f t="shared" si="217"/>
        <v>Miércoles</v>
      </c>
    </row>
    <row r="4212" spans="1:4" x14ac:dyDescent="0.25">
      <c r="A4212" s="88" t="str">
        <f t="shared" si="215"/>
        <v>7-2034</v>
      </c>
      <c r="B4212" s="86">
        <v>49138</v>
      </c>
      <c r="C4212" t="str">
        <f t="shared" si="216"/>
        <v>L-V</v>
      </c>
      <c r="D4212" t="str">
        <f t="shared" si="217"/>
        <v>Jueves</v>
      </c>
    </row>
    <row r="4213" spans="1:4" x14ac:dyDescent="0.25">
      <c r="A4213" s="88" t="str">
        <f t="shared" si="215"/>
        <v>7-2034</v>
      </c>
      <c r="B4213" s="86">
        <v>49139</v>
      </c>
      <c r="C4213" t="str">
        <f t="shared" si="216"/>
        <v>L-V</v>
      </c>
      <c r="D4213" t="str">
        <f t="shared" si="217"/>
        <v>Viernes</v>
      </c>
    </row>
    <row r="4214" spans="1:4" x14ac:dyDescent="0.25">
      <c r="A4214" s="88" t="str">
        <f t="shared" si="215"/>
        <v>7-2034</v>
      </c>
      <c r="B4214" s="86">
        <v>49140</v>
      </c>
      <c r="C4214" t="str">
        <f t="shared" si="216"/>
        <v>SAB</v>
      </c>
      <c r="D4214" t="str">
        <f t="shared" si="217"/>
        <v>Sábado</v>
      </c>
    </row>
    <row r="4215" spans="1:4" x14ac:dyDescent="0.25">
      <c r="A4215" s="88" t="str">
        <f t="shared" si="215"/>
        <v>7-2034</v>
      </c>
      <c r="B4215" s="86">
        <v>49141</v>
      </c>
      <c r="C4215" t="str">
        <f t="shared" si="216"/>
        <v>DOM</v>
      </c>
      <c r="D4215" t="str">
        <f t="shared" si="217"/>
        <v>Domingo</v>
      </c>
    </row>
    <row r="4216" spans="1:4" x14ac:dyDescent="0.25">
      <c r="A4216" s="88" t="str">
        <f t="shared" si="215"/>
        <v>7-2034</v>
      </c>
      <c r="B4216" s="86">
        <v>49142</v>
      </c>
      <c r="C4216" t="str">
        <f t="shared" si="216"/>
        <v>L-V</v>
      </c>
      <c r="D4216" t="str">
        <f t="shared" si="217"/>
        <v>Lunes</v>
      </c>
    </row>
    <row r="4217" spans="1:4" x14ac:dyDescent="0.25">
      <c r="A4217" s="88" t="str">
        <f t="shared" si="215"/>
        <v>7-2034</v>
      </c>
      <c r="B4217" s="86">
        <v>49143</v>
      </c>
      <c r="C4217" t="str">
        <f t="shared" si="216"/>
        <v>L-V</v>
      </c>
      <c r="D4217" t="str">
        <f t="shared" si="217"/>
        <v>Martes</v>
      </c>
    </row>
    <row r="4218" spans="1:4" x14ac:dyDescent="0.25">
      <c r="A4218" s="88" t="str">
        <f t="shared" si="215"/>
        <v>7-2034</v>
      </c>
      <c r="B4218" s="86">
        <v>49144</v>
      </c>
      <c r="C4218" t="str">
        <f t="shared" si="216"/>
        <v>L-V</v>
      </c>
      <c r="D4218" t="str">
        <f t="shared" si="217"/>
        <v>Miércoles</v>
      </c>
    </row>
    <row r="4219" spans="1:4" x14ac:dyDescent="0.25">
      <c r="A4219" s="88" t="str">
        <f t="shared" si="215"/>
        <v>7-2034</v>
      </c>
      <c r="B4219" s="86">
        <v>49145</v>
      </c>
      <c r="C4219" t="str">
        <f t="shared" si="216"/>
        <v>L-V</v>
      </c>
      <c r="D4219" t="str">
        <f t="shared" si="217"/>
        <v>Jueves</v>
      </c>
    </row>
    <row r="4220" spans="1:4" x14ac:dyDescent="0.25">
      <c r="A4220" s="88" t="str">
        <f t="shared" si="215"/>
        <v>7-2034</v>
      </c>
      <c r="B4220" s="86">
        <v>49146</v>
      </c>
      <c r="C4220" t="str">
        <f t="shared" si="216"/>
        <v>L-V</v>
      </c>
      <c r="D4220" t="str">
        <f t="shared" si="217"/>
        <v>Viernes</v>
      </c>
    </row>
    <row r="4221" spans="1:4" x14ac:dyDescent="0.25">
      <c r="A4221" s="88" t="str">
        <f t="shared" si="215"/>
        <v>7-2034</v>
      </c>
      <c r="B4221" s="86">
        <v>49147</v>
      </c>
      <c r="C4221" t="str">
        <f t="shared" si="216"/>
        <v>SAB</v>
      </c>
      <c r="D4221" t="str">
        <f t="shared" si="217"/>
        <v>Sábado</v>
      </c>
    </row>
    <row r="4222" spans="1:4" x14ac:dyDescent="0.25">
      <c r="A4222" s="88" t="str">
        <f t="shared" si="215"/>
        <v>7-2034</v>
      </c>
      <c r="B4222" s="86">
        <v>49148</v>
      </c>
      <c r="C4222" t="str">
        <f t="shared" si="216"/>
        <v>DOM</v>
      </c>
      <c r="D4222" t="str">
        <f t="shared" si="217"/>
        <v>Domingo</v>
      </c>
    </row>
    <row r="4223" spans="1:4" x14ac:dyDescent="0.25">
      <c r="A4223" s="88" t="str">
        <f t="shared" si="215"/>
        <v>7-2034</v>
      </c>
      <c r="B4223" s="86">
        <v>49149</v>
      </c>
      <c r="C4223" t="str">
        <f t="shared" si="216"/>
        <v>L-V</v>
      </c>
      <c r="D4223" t="str">
        <f t="shared" si="217"/>
        <v>Lunes</v>
      </c>
    </row>
    <row r="4224" spans="1:4" x14ac:dyDescent="0.25">
      <c r="A4224" s="88" t="str">
        <f t="shared" si="215"/>
        <v>7-2034</v>
      </c>
      <c r="B4224" s="86">
        <v>49150</v>
      </c>
      <c r="C4224" t="str">
        <f t="shared" si="216"/>
        <v>L-V</v>
      </c>
      <c r="D4224" t="str">
        <f t="shared" si="217"/>
        <v>Martes</v>
      </c>
    </row>
    <row r="4225" spans="1:4" x14ac:dyDescent="0.25">
      <c r="A4225" s="88" t="str">
        <f t="shared" si="215"/>
        <v>7-2034</v>
      </c>
      <c r="B4225" s="86">
        <v>49151</v>
      </c>
      <c r="C4225" t="str">
        <f t="shared" si="216"/>
        <v>L-V</v>
      </c>
      <c r="D4225" t="str">
        <f t="shared" si="217"/>
        <v>Miércoles</v>
      </c>
    </row>
    <row r="4226" spans="1:4" x14ac:dyDescent="0.25">
      <c r="A4226" s="88" t="str">
        <f t="shared" ref="A4226:A4289" si="218">MONTH(B4226)&amp;"-"&amp;YEAR(B4226)</f>
        <v>7-2034</v>
      </c>
      <c r="B4226" s="86">
        <v>49152</v>
      </c>
      <c r="C4226" t="str">
        <f t="shared" si="216"/>
        <v>L-V</v>
      </c>
      <c r="D4226" t="str">
        <f t="shared" si="217"/>
        <v>Jueves</v>
      </c>
    </row>
    <row r="4227" spans="1:4" x14ac:dyDescent="0.25">
      <c r="A4227" s="88" t="str">
        <f t="shared" si="218"/>
        <v>7-2034</v>
      </c>
      <c r="B4227" s="86">
        <v>49153</v>
      </c>
      <c r="C4227" t="str">
        <f t="shared" ref="C4227:C4290" si="219">VLOOKUP(WEEKDAY(B4227,2),$F$1:$H$7,2)</f>
        <v>L-V</v>
      </c>
      <c r="D4227" t="str">
        <f t="shared" ref="D4227:D4290" si="220">VLOOKUP(WEEKDAY($B4227,2),$F$1:$H$7,3)</f>
        <v>Viernes</v>
      </c>
    </row>
    <row r="4228" spans="1:4" x14ac:dyDescent="0.25">
      <c r="A4228" s="88" t="str">
        <f t="shared" si="218"/>
        <v>7-2034</v>
      </c>
      <c r="B4228" s="86">
        <v>49154</v>
      </c>
      <c r="C4228" t="str">
        <f t="shared" si="219"/>
        <v>SAB</v>
      </c>
      <c r="D4228" t="str">
        <f t="shared" si="220"/>
        <v>Sábado</v>
      </c>
    </row>
    <row r="4229" spans="1:4" x14ac:dyDescent="0.25">
      <c r="A4229" s="88" t="str">
        <f t="shared" si="218"/>
        <v>7-2034</v>
      </c>
      <c r="B4229" s="86">
        <v>49155</v>
      </c>
      <c r="C4229" t="str">
        <f t="shared" si="219"/>
        <v>DOM</v>
      </c>
      <c r="D4229" t="str">
        <f t="shared" si="220"/>
        <v>Domingo</v>
      </c>
    </row>
    <row r="4230" spans="1:4" x14ac:dyDescent="0.25">
      <c r="A4230" s="88" t="str">
        <f t="shared" si="218"/>
        <v>7-2034</v>
      </c>
      <c r="B4230" s="86">
        <v>49156</v>
      </c>
      <c r="C4230" t="str">
        <f t="shared" si="219"/>
        <v>L-V</v>
      </c>
      <c r="D4230" t="str">
        <f t="shared" si="220"/>
        <v>Lunes</v>
      </c>
    </row>
    <row r="4231" spans="1:4" x14ac:dyDescent="0.25">
      <c r="A4231" s="88" t="str">
        <f t="shared" si="218"/>
        <v>8-2034</v>
      </c>
      <c r="B4231" s="86">
        <v>49157</v>
      </c>
      <c r="C4231" t="str">
        <f t="shared" si="219"/>
        <v>L-V</v>
      </c>
      <c r="D4231" t="str">
        <f t="shared" si="220"/>
        <v>Martes</v>
      </c>
    </row>
    <row r="4232" spans="1:4" x14ac:dyDescent="0.25">
      <c r="A4232" s="88" t="str">
        <f t="shared" si="218"/>
        <v>8-2034</v>
      </c>
      <c r="B4232" s="86">
        <v>49158</v>
      </c>
      <c r="C4232" t="str">
        <f t="shared" si="219"/>
        <v>L-V</v>
      </c>
      <c r="D4232" t="str">
        <f t="shared" si="220"/>
        <v>Miércoles</v>
      </c>
    </row>
    <row r="4233" spans="1:4" x14ac:dyDescent="0.25">
      <c r="A4233" s="88" t="str">
        <f t="shared" si="218"/>
        <v>8-2034</v>
      </c>
      <c r="B4233" s="86">
        <v>49159</v>
      </c>
      <c r="C4233" t="str">
        <f t="shared" si="219"/>
        <v>L-V</v>
      </c>
      <c r="D4233" t="str">
        <f t="shared" si="220"/>
        <v>Jueves</v>
      </c>
    </row>
    <row r="4234" spans="1:4" x14ac:dyDescent="0.25">
      <c r="A4234" s="88" t="str">
        <f t="shared" si="218"/>
        <v>8-2034</v>
      </c>
      <c r="B4234" s="86">
        <v>49160</v>
      </c>
      <c r="C4234" t="str">
        <f t="shared" si="219"/>
        <v>L-V</v>
      </c>
      <c r="D4234" t="str">
        <f t="shared" si="220"/>
        <v>Viernes</v>
      </c>
    </row>
    <row r="4235" spans="1:4" x14ac:dyDescent="0.25">
      <c r="A4235" s="88" t="str">
        <f t="shared" si="218"/>
        <v>8-2034</v>
      </c>
      <c r="B4235" s="86">
        <v>49161</v>
      </c>
      <c r="C4235" t="str">
        <f t="shared" si="219"/>
        <v>SAB</v>
      </c>
      <c r="D4235" t="str">
        <f t="shared" si="220"/>
        <v>Sábado</v>
      </c>
    </row>
    <row r="4236" spans="1:4" x14ac:dyDescent="0.25">
      <c r="A4236" s="88" t="str">
        <f t="shared" si="218"/>
        <v>8-2034</v>
      </c>
      <c r="B4236" s="86">
        <v>49162</v>
      </c>
      <c r="C4236" t="str">
        <f t="shared" si="219"/>
        <v>DOM</v>
      </c>
      <c r="D4236" t="str">
        <f t="shared" si="220"/>
        <v>Domingo</v>
      </c>
    </row>
    <row r="4237" spans="1:4" x14ac:dyDescent="0.25">
      <c r="A4237" s="88" t="str">
        <f t="shared" si="218"/>
        <v>8-2034</v>
      </c>
      <c r="B4237" s="86">
        <v>49163</v>
      </c>
      <c r="C4237" t="str">
        <f t="shared" si="219"/>
        <v>L-V</v>
      </c>
      <c r="D4237" t="str">
        <f t="shared" si="220"/>
        <v>Lunes</v>
      </c>
    </row>
    <row r="4238" spans="1:4" x14ac:dyDescent="0.25">
      <c r="A4238" s="88" t="str">
        <f t="shared" si="218"/>
        <v>8-2034</v>
      </c>
      <c r="B4238" s="86">
        <v>49164</v>
      </c>
      <c r="C4238" t="str">
        <f t="shared" si="219"/>
        <v>L-V</v>
      </c>
      <c r="D4238" t="str">
        <f t="shared" si="220"/>
        <v>Martes</v>
      </c>
    </row>
    <row r="4239" spans="1:4" x14ac:dyDescent="0.25">
      <c r="A4239" s="88" t="str">
        <f t="shared" si="218"/>
        <v>8-2034</v>
      </c>
      <c r="B4239" s="86">
        <v>49165</v>
      </c>
      <c r="C4239" t="str">
        <f t="shared" si="219"/>
        <v>L-V</v>
      </c>
      <c r="D4239" t="str">
        <f t="shared" si="220"/>
        <v>Miércoles</v>
      </c>
    </row>
    <row r="4240" spans="1:4" x14ac:dyDescent="0.25">
      <c r="A4240" s="88" t="str">
        <f t="shared" si="218"/>
        <v>8-2034</v>
      </c>
      <c r="B4240" s="86">
        <v>49166</v>
      </c>
      <c r="C4240" t="str">
        <f t="shared" si="219"/>
        <v>L-V</v>
      </c>
      <c r="D4240" t="str">
        <f t="shared" si="220"/>
        <v>Jueves</v>
      </c>
    </row>
    <row r="4241" spans="1:4" x14ac:dyDescent="0.25">
      <c r="A4241" s="88" t="str">
        <f t="shared" si="218"/>
        <v>8-2034</v>
      </c>
      <c r="B4241" s="86">
        <v>49167</v>
      </c>
      <c r="C4241" t="str">
        <f t="shared" si="219"/>
        <v>L-V</v>
      </c>
      <c r="D4241" t="str">
        <f t="shared" si="220"/>
        <v>Viernes</v>
      </c>
    </row>
    <row r="4242" spans="1:4" x14ac:dyDescent="0.25">
      <c r="A4242" s="88" t="str">
        <f t="shared" si="218"/>
        <v>8-2034</v>
      </c>
      <c r="B4242" s="86">
        <v>49168</v>
      </c>
      <c r="C4242" t="str">
        <f t="shared" si="219"/>
        <v>SAB</v>
      </c>
      <c r="D4242" t="str">
        <f t="shared" si="220"/>
        <v>Sábado</v>
      </c>
    </row>
    <row r="4243" spans="1:4" x14ac:dyDescent="0.25">
      <c r="A4243" s="88" t="str">
        <f t="shared" si="218"/>
        <v>8-2034</v>
      </c>
      <c r="B4243" s="86">
        <v>49169</v>
      </c>
      <c r="C4243" t="str">
        <f t="shared" si="219"/>
        <v>DOM</v>
      </c>
      <c r="D4243" t="str">
        <f t="shared" si="220"/>
        <v>Domingo</v>
      </c>
    </row>
    <row r="4244" spans="1:4" x14ac:dyDescent="0.25">
      <c r="A4244" s="88" t="str">
        <f t="shared" si="218"/>
        <v>8-2034</v>
      </c>
      <c r="B4244" s="86">
        <v>49170</v>
      </c>
      <c r="C4244" t="str">
        <f t="shared" si="219"/>
        <v>L-V</v>
      </c>
      <c r="D4244" t="str">
        <f t="shared" si="220"/>
        <v>Lunes</v>
      </c>
    </row>
    <row r="4245" spans="1:4" x14ac:dyDescent="0.25">
      <c r="A4245" s="88" t="str">
        <f t="shared" si="218"/>
        <v>8-2034</v>
      </c>
      <c r="B4245" s="86">
        <v>49171</v>
      </c>
      <c r="C4245" t="str">
        <f t="shared" si="219"/>
        <v>L-V</v>
      </c>
      <c r="D4245" t="str">
        <f t="shared" si="220"/>
        <v>Martes</v>
      </c>
    </row>
    <row r="4246" spans="1:4" x14ac:dyDescent="0.25">
      <c r="A4246" s="88" t="str">
        <f t="shared" si="218"/>
        <v>8-2034</v>
      </c>
      <c r="B4246" s="86">
        <v>49172</v>
      </c>
      <c r="C4246" t="str">
        <f t="shared" si="219"/>
        <v>L-V</v>
      </c>
      <c r="D4246" t="str">
        <f t="shared" si="220"/>
        <v>Miércoles</v>
      </c>
    </row>
    <row r="4247" spans="1:4" x14ac:dyDescent="0.25">
      <c r="A4247" s="88" t="str">
        <f t="shared" si="218"/>
        <v>8-2034</v>
      </c>
      <c r="B4247" s="86">
        <v>49173</v>
      </c>
      <c r="C4247" t="str">
        <f t="shared" si="219"/>
        <v>L-V</v>
      </c>
      <c r="D4247" t="str">
        <f t="shared" si="220"/>
        <v>Jueves</v>
      </c>
    </row>
    <row r="4248" spans="1:4" x14ac:dyDescent="0.25">
      <c r="A4248" s="88" t="str">
        <f t="shared" si="218"/>
        <v>8-2034</v>
      </c>
      <c r="B4248" s="86">
        <v>49174</v>
      </c>
      <c r="C4248" t="str">
        <f t="shared" si="219"/>
        <v>L-V</v>
      </c>
      <c r="D4248" t="str">
        <f t="shared" si="220"/>
        <v>Viernes</v>
      </c>
    </row>
    <row r="4249" spans="1:4" x14ac:dyDescent="0.25">
      <c r="A4249" s="88" t="str">
        <f t="shared" si="218"/>
        <v>8-2034</v>
      </c>
      <c r="B4249" s="86">
        <v>49175</v>
      </c>
      <c r="C4249" t="str">
        <f t="shared" si="219"/>
        <v>SAB</v>
      </c>
      <c r="D4249" t="str">
        <f t="shared" si="220"/>
        <v>Sábado</v>
      </c>
    </row>
    <row r="4250" spans="1:4" x14ac:dyDescent="0.25">
      <c r="A4250" s="88" t="str">
        <f t="shared" si="218"/>
        <v>8-2034</v>
      </c>
      <c r="B4250" s="86">
        <v>49176</v>
      </c>
      <c r="C4250" t="str">
        <f t="shared" si="219"/>
        <v>DOM</v>
      </c>
      <c r="D4250" t="str">
        <f t="shared" si="220"/>
        <v>Domingo</v>
      </c>
    </row>
    <row r="4251" spans="1:4" x14ac:dyDescent="0.25">
      <c r="A4251" s="88" t="str">
        <f t="shared" si="218"/>
        <v>8-2034</v>
      </c>
      <c r="B4251" s="86">
        <v>49177</v>
      </c>
      <c r="C4251" t="str">
        <f t="shared" si="219"/>
        <v>L-V</v>
      </c>
      <c r="D4251" t="str">
        <f t="shared" si="220"/>
        <v>Lunes</v>
      </c>
    </row>
    <row r="4252" spans="1:4" x14ac:dyDescent="0.25">
      <c r="A4252" s="88" t="str">
        <f t="shared" si="218"/>
        <v>8-2034</v>
      </c>
      <c r="B4252" s="86">
        <v>49178</v>
      </c>
      <c r="C4252" t="str">
        <f t="shared" si="219"/>
        <v>L-V</v>
      </c>
      <c r="D4252" t="str">
        <f t="shared" si="220"/>
        <v>Martes</v>
      </c>
    </row>
    <row r="4253" spans="1:4" x14ac:dyDescent="0.25">
      <c r="A4253" s="88" t="str">
        <f t="shared" si="218"/>
        <v>8-2034</v>
      </c>
      <c r="B4253" s="86">
        <v>49179</v>
      </c>
      <c r="C4253" t="str">
        <f t="shared" si="219"/>
        <v>L-V</v>
      </c>
      <c r="D4253" t="str">
        <f t="shared" si="220"/>
        <v>Miércoles</v>
      </c>
    </row>
    <row r="4254" spans="1:4" x14ac:dyDescent="0.25">
      <c r="A4254" s="88" t="str">
        <f t="shared" si="218"/>
        <v>8-2034</v>
      </c>
      <c r="B4254" s="86">
        <v>49180</v>
      </c>
      <c r="C4254" t="str">
        <f t="shared" si="219"/>
        <v>L-V</v>
      </c>
      <c r="D4254" t="str">
        <f t="shared" si="220"/>
        <v>Jueves</v>
      </c>
    </row>
    <row r="4255" spans="1:4" x14ac:dyDescent="0.25">
      <c r="A4255" s="88" t="str">
        <f t="shared" si="218"/>
        <v>8-2034</v>
      </c>
      <c r="B4255" s="86">
        <v>49181</v>
      </c>
      <c r="C4255" t="str">
        <f t="shared" si="219"/>
        <v>L-V</v>
      </c>
      <c r="D4255" t="str">
        <f t="shared" si="220"/>
        <v>Viernes</v>
      </c>
    </row>
    <row r="4256" spans="1:4" x14ac:dyDescent="0.25">
      <c r="A4256" s="88" t="str">
        <f t="shared" si="218"/>
        <v>8-2034</v>
      </c>
      <c r="B4256" s="86">
        <v>49182</v>
      </c>
      <c r="C4256" t="str">
        <f t="shared" si="219"/>
        <v>SAB</v>
      </c>
      <c r="D4256" t="str">
        <f t="shared" si="220"/>
        <v>Sábado</v>
      </c>
    </row>
    <row r="4257" spans="1:4" x14ac:dyDescent="0.25">
      <c r="A4257" s="88" t="str">
        <f t="shared" si="218"/>
        <v>8-2034</v>
      </c>
      <c r="B4257" s="86">
        <v>49183</v>
      </c>
      <c r="C4257" t="str">
        <f t="shared" si="219"/>
        <v>DOM</v>
      </c>
      <c r="D4257" t="str">
        <f t="shared" si="220"/>
        <v>Domingo</v>
      </c>
    </row>
    <row r="4258" spans="1:4" x14ac:dyDescent="0.25">
      <c r="A4258" s="88" t="str">
        <f t="shared" si="218"/>
        <v>8-2034</v>
      </c>
      <c r="B4258" s="86">
        <v>49184</v>
      </c>
      <c r="C4258" t="str">
        <f t="shared" si="219"/>
        <v>L-V</v>
      </c>
      <c r="D4258" t="str">
        <f t="shared" si="220"/>
        <v>Lunes</v>
      </c>
    </row>
    <row r="4259" spans="1:4" x14ac:dyDescent="0.25">
      <c r="A4259" s="88" t="str">
        <f t="shared" si="218"/>
        <v>8-2034</v>
      </c>
      <c r="B4259" s="86">
        <v>49185</v>
      </c>
      <c r="C4259" t="str">
        <f t="shared" si="219"/>
        <v>L-V</v>
      </c>
      <c r="D4259" t="str">
        <f t="shared" si="220"/>
        <v>Martes</v>
      </c>
    </row>
    <row r="4260" spans="1:4" x14ac:dyDescent="0.25">
      <c r="A4260" s="88" t="str">
        <f t="shared" si="218"/>
        <v>8-2034</v>
      </c>
      <c r="B4260" s="86">
        <v>49186</v>
      </c>
      <c r="C4260" t="str">
        <f t="shared" si="219"/>
        <v>L-V</v>
      </c>
      <c r="D4260" t="str">
        <f t="shared" si="220"/>
        <v>Miércoles</v>
      </c>
    </row>
    <row r="4261" spans="1:4" x14ac:dyDescent="0.25">
      <c r="A4261" s="88" t="str">
        <f t="shared" si="218"/>
        <v>8-2034</v>
      </c>
      <c r="B4261" s="86">
        <v>49187</v>
      </c>
      <c r="C4261" t="str">
        <f t="shared" si="219"/>
        <v>L-V</v>
      </c>
      <c r="D4261" t="str">
        <f t="shared" si="220"/>
        <v>Jueves</v>
      </c>
    </row>
    <row r="4262" spans="1:4" x14ac:dyDescent="0.25">
      <c r="A4262" s="88" t="str">
        <f t="shared" si="218"/>
        <v>9-2034</v>
      </c>
      <c r="B4262" s="86">
        <v>49188</v>
      </c>
      <c r="C4262" t="str">
        <f t="shared" si="219"/>
        <v>L-V</v>
      </c>
      <c r="D4262" t="str">
        <f t="shared" si="220"/>
        <v>Viernes</v>
      </c>
    </row>
    <row r="4263" spans="1:4" x14ac:dyDescent="0.25">
      <c r="A4263" s="88" t="str">
        <f t="shared" si="218"/>
        <v>9-2034</v>
      </c>
      <c r="B4263" s="86">
        <v>49189</v>
      </c>
      <c r="C4263" t="str">
        <f t="shared" si="219"/>
        <v>SAB</v>
      </c>
      <c r="D4263" t="str">
        <f t="shared" si="220"/>
        <v>Sábado</v>
      </c>
    </row>
    <row r="4264" spans="1:4" x14ac:dyDescent="0.25">
      <c r="A4264" s="88" t="str">
        <f t="shared" si="218"/>
        <v>9-2034</v>
      </c>
      <c r="B4264" s="86">
        <v>49190</v>
      </c>
      <c r="C4264" t="str">
        <f t="shared" si="219"/>
        <v>DOM</v>
      </c>
      <c r="D4264" t="str">
        <f t="shared" si="220"/>
        <v>Domingo</v>
      </c>
    </row>
    <row r="4265" spans="1:4" x14ac:dyDescent="0.25">
      <c r="A4265" s="88" t="str">
        <f t="shared" si="218"/>
        <v>9-2034</v>
      </c>
      <c r="B4265" s="86">
        <v>49191</v>
      </c>
      <c r="C4265" t="str">
        <f t="shared" si="219"/>
        <v>L-V</v>
      </c>
      <c r="D4265" t="str">
        <f t="shared" si="220"/>
        <v>Lunes</v>
      </c>
    </row>
    <row r="4266" spans="1:4" x14ac:dyDescent="0.25">
      <c r="A4266" s="88" t="str">
        <f t="shared" si="218"/>
        <v>9-2034</v>
      </c>
      <c r="B4266" s="86">
        <v>49192</v>
      </c>
      <c r="C4266" t="str">
        <f t="shared" si="219"/>
        <v>L-V</v>
      </c>
      <c r="D4266" t="str">
        <f t="shared" si="220"/>
        <v>Martes</v>
      </c>
    </row>
    <row r="4267" spans="1:4" x14ac:dyDescent="0.25">
      <c r="A4267" s="88" t="str">
        <f t="shared" si="218"/>
        <v>9-2034</v>
      </c>
      <c r="B4267" s="86">
        <v>49193</v>
      </c>
      <c r="C4267" t="str">
        <f t="shared" si="219"/>
        <v>L-V</v>
      </c>
      <c r="D4267" t="str">
        <f t="shared" si="220"/>
        <v>Miércoles</v>
      </c>
    </row>
    <row r="4268" spans="1:4" x14ac:dyDescent="0.25">
      <c r="A4268" s="88" t="str">
        <f t="shared" si="218"/>
        <v>9-2034</v>
      </c>
      <c r="B4268" s="86">
        <v>49194</v>
      </c>
      <c r="C4268" t="str">
        <f t="shared" si="219"/>
        <v>L-V</v>
      </c>
      <c r="D4268" t="str">
        <f t="shared" si="220"/>
        <v>Jueves</v>
      </c>
    </row>
    <row r="4269" spans="1:4" x14ac:dyDescent="0.25">
      <c r="A4269" s="88" t="str">
        <f t="shared" si="218"/>
        <v>9-2034</v>
      </c>
      <c r="B4269" s="86">
        <v>49195</v>
      </c>
      <c r="C4269" t="str">
        <f t="shared" si="219"/>
        <v>L-V</v>
      </c>
      <c r="D4269" t="str">
        <f t="shared" si="220"/>
        <v>Viernes</v>
      </c>
    </row>
    <row r="4270" spans="1:4" x14ac:dyDescent="0.25">
      <c r="A4270" s="88" t="str">
        <f t="shared" si="218"/>
        <v>9-2034</v>
      </c>
      <c r="B4270" s="86">
        <v>49196</v>
      </c>
      <c r="C4270" t="str">
        <f t="shared" si="219"/>
        <v>SAB</v>
      </c>
      <c r="D4270" t="str">
        <f t="shared" si="220"/>
        <v>Sábado</v>
      </c>
    </row>
    <row r="4271" spans="1:4" x14ac:dyDescent="0.25">
      <c r="A4271" s="88" t="str">
        <f t="shared" si="218"/>
        <v>9-2034</v>
      </c>
      <c r="B4271" s="86">
        <v>49197</v>
      </c>
      <c r="C4271" t="str">
        <f t="shared" si="219"/>
        <v>DOM</v>
      </c>
      <c r="D4271" t="str">
        <f t="shared" si="220"/>
        <v>Domingo</v>
      </c>
    </row>
    <row r="4272" spans="1:4" x14ac:dyDescent="0.25">
      <c r="A4272" s="88" t="str">
        <f t="shared" si="218"/>
        <v>9-2034</v>
      </c>
      <c r="B4272" s="86">
        <v>49198</v>
      </c>
      <c r="C4272" t="str">
        <f t="shared" si="219"/>
        <v>L-V</v>
      </c>
      <c r="D4272" t="str">
        <f t="shared" si="220"/>
        <v>Lunes</v>
      </c>
    </row>
    <row r="4273" spans="1:4" x14ac:dyDescent="0.25">
      <c r="A4273" s="88" t="str">
        <f t="shared" si="218"/>
        <v>9-2034</v>
      </c>
      <c r="B4273" s="86">
        <v>49199</v>
      </c>
      <c r="C4273" t="str">
        <f t="shared" si="219"/>
        <v>L-V</v>
      </c>
      <c r="D4273" t="str">
        <f t="shared" si="220"/>
        <v>Martes</v>
      </c>
    </row>
    <row r="4274" spans="1:4" x14ac:dyDescent="0.25">
      <c r="A4274" s="88" t="str">
        <f t="shared" si="218"/>
        <v>9-2034</v>
      </c>
      <c r="B4274" s="86">
        <v>49200</v>
      </c>
      <c r="C4274" t="str">
        <f t="shared" si="219"/>
        <v>L-V</v>
      </c>
      <c r="D4274" t="str">
        <f t="shared" si="220"/>
        <v>Miércoles</v>
      </c>
    </row>
    <row r="4275" spans="1:4" x14ac:dyDescent="0.25">
      <c r="A4275" s="88" t="str">
        <f t="shared" si="218"/>
        <v>9-2034</v>
      </c>
      <c r="B4275" s="86">
        <v>49201</v>
      </c>
      <c r="C4275" t="str">
        <f t="shared" si="219"/>
        <v>L-V</v>
      </c>
      <c r="D4275" t="str">
        <f t="shared" si="220"/>
        <v>Jueves</v>
      </c>
    </row>
    <row r="4276" spans="1:4" x14ac:dyDescent="0.25">
      <c r="A4276" s="88" t="str">
        <f t="shared" si="218"/>
        <v>9-2034</v>
      </c>
      <c r="B4276" s="86">
        <v>49202</v>
      </c>
      <c r="C4276" t="str">
        <f t="shared" si="219"/>
        <v>L-V</v>
      </c>
      <c r="D4276" t="str">
        <f t="shared" si="220"/>
        <v>Viernes</v>
      </c>
    </row>
    <row r="4277" spans="1:4" x14ac:dyDescent="0.25">
      <c r="A4277" s="88" t="str">
        <f t="shared" si="218"/>
        <v>9-2034</v>
      </c>
      <c r="B4277" s="86">
        <v>49203</v>
      </c>
      <c r="C4277" t="str">
        <f t="shared" si="219"/>
        <v>SAB</v>
      </c>
      <c r="D4277" t="str">
        <f t="shared" si="220"/>
        <v>Sábado</v>
      </c>
    </row>
    <row r="4278" spans="1:4" x14ac:dyDescent="0.25">
      <c r="A4278" s="88" t="str">
        <f t="shared" si="218"/>
        <v>9-2034</v>
      </c>
      <c r="B4278" s="86">
        <v>49204</v>
      </c>
      <c r="C4278" t="str">
        <f t="shared" si="219"/>
        <v>DOM</v>
      </c>
      <c r="D4278" t="str">
        <f t="shared" si="220"/>
        <v>Domingo</v>
      </c>
    </row>
    <row r="4279" spans="1:4" x14ac:dyDescent="0.25">
      <c r="A4279" s="88" t="str">
        <f t="shared" si="218"/>
        <v>9-2034</v>
      </c>
      <c r="B4279" s="86">
        <v>49205</v>
      </c>
      <c r="C4279" t="str">
        <f t="shared" si="219"/>
        <v>L-V</v>
      </c>
      <c r="D4279" t="str">
        <f t="shared" si="220"/>
        <v>Lunes</v>
      </c>
    </row>
    <row r="4280" spans="1:4" x14ac:dyDescent="0.25">
      <c r="A4280" s="88" t="str">
        <f t="shared" si="218"/>
        <v>9-2034</v>
      </c>
      <c r="B4280" s="86">
        <v>49206</v>
      </c>
      <c r="C4280" t="str">
        <f t="shared" si="219"/>
        <v>L-V</v>
      </c>
      <c r="D4280" t="str">
        <f t="shared" si="220"/>
        <v>Martes</v>
      </c>
    </row>
    <row r="4281" spans="1:4" x14ac:dyDescent="0.25">
      <c r="A4281" s="88" t="str">
        <f t="shared" si="218"/>
        <v>9-2034</v>
      </c>
      <c r="B4281" s="86">
        <v>49207</v>
      </c>
      <c r="C4281" t="str">
        <f t="shared" si="219"/>
        <v>L-V</v>
      </c>
      <c r="D4281" t="str">
        <f t="shared" si="220"/>
        <v>Miércoles</v>
      </c>
    </row>
    <row r="4282" spans="1:4" x14ac:dyDescent="0.25">
      <c r="A4282" s="88" t="str">
        <f t="shared" si="218"/>
        <v>9-2034</v>
      </c>
      <c r="B4282" s="86">
        <v>49208</v>
      </c>
      <c r="C4282" t="str">
        <f t="shared" si="219"/>
        <v>L-V</v>
      </c>
      <c r="D4282" t="str">
        <f t="shared" si="220"/>
        <v>Jueves</v>
      </c>
    </row>
    <row r="4283" spans="1:4" x14ac:dyDescent="0.25">
      <c r="A4283" s="88" t="str">
        <f t="shared" si="218"/>
        <v>9-2034</v>
      </c>
      <c r="B4283" s="86">
        <v>49209</v>
      </c>
      <c r="C4283" t="str">
        <f t="shared" si="219"/>
        <v>L-V</v>
      </c>
      <c r="D4283" t="str">
        <f t="shared" si="220"/>
        <v>Viernes</v>
      </c>
    </row>
    <row r="4284" spans="1:4" x14ac:dyDescent="0.25">
      <c r="A4284" s="88" t="str">
        <f t="shared" si="218"/>
        <v>9-2034</v>
      </c>
      <c r="B4284" s="86">
        <v>49210</v>
      </c>
      <c r="C4284" t="str">
        <f t="shared" si="219"/>
        <v>SAB</v>
      </c>
      <c r="D4284" t="str">
        <f t="shared" si="220"/>
        <v>Sábado</v>
      </c>
    </row>
    <row r="4285" spans="1:4" x14ac:dyDescent="0.25">
      <c r="A4285" s="88" t="str">
        <f t="shared" si="218"/>
        <v>9-2034</v>
      </c>
      <c r="B4285" s="86">
        <v>49211</v>
      </c>
      <c r="C4285" t="str">
        <f t="shared" si="219"/>
        <v>DOM</v>
      </c>
      <c r="D4285" t="str">
        <f t="shared" si="220"/>
        <v>Domingo</v>
      </c>
    </row>
    <row r="4286" spans="1:4" x14ac:dyDescent="0.25">
      <c r="A4286" s="88" t="str">
        <f t="shared" si="218"/>
        <v>9-2034</v>
      </c>
      <c r="B4286" s="86">
        <v>49212</v>
      </c>
      <c r="C4286" t="str">
        <f t="shared" si="219"/>
        <v>L-V</v>
      </c>
      <c r="D4286" t="str">
        <f t="shared" si="220"/>
        <v>Lunes</v>
      </c>
    </row>
    <row r="4287" spans="1:4" x14ac:dyDescent="0.25">
      <c r="A4287" s="88" t="str">
        <f t="shared" si="218"/>
        <v>9-2034</v>
      </c>
      <c r="B4287" s="86">
        <v>49213</v>
      </c>
      <c r="C4287" t="str">
        <f t="shared" si="219"/>
        <v>L-V</v>
      </c>
      <c r="D4287" t="str">
        <f t="shared" si="220"/>
        <v>Martes</v>
      </c>
    </row>
    <row r="4288" spans="1:4" x14ac:dyDescent="0.25">
      <c r="A4288" s="88" t="str">
        <f t="shared" si="218"/>
        <v>9-2034</v>
      </c>
      <c r="B4288" s="86">
        <v>49214</v>
      </c>
      <c r="C4288" t="str">
        <f t="shared" si="219"/>
        <v>L-V</v>
      </c>
      <c r="D4288" t="str">
        <f t="shared" si="220"/>
        <v>Miércoles</v>
      </c>
    </row>
    <row r="4289" spans="1:4" x14ac:dyDescent="0.25">
      <c r="A4289" s="88" t="str">
        <f t="shared" si="218"/>
        <v>9-2034</v>
      </c>
      <c r="B4289" s="86">
        <v>49215</v>
      </c>
      <c r="C4289" t="str">
        <f t="shared" si="219"/>
        <v>L-V</v>
      </c>
      <c r="D4289" t="str">
        <f t="shared" si="220"/>
        <v>Jueves</v>
      </c>
    </row>
    <row r="4290" spans="1:4" x14ac:dyDescent="0.25">
      <c r="A4290" s="88" t="str">
        <f t="shared" ref="A4290:A4353" si="221">MONTH(B4290)&amp;"-"&amp;YEAR(B4290)</f>
        <v>9-2034</v>
      </c>
      <c r="B4290" s="86">
        <v>49216</v>
      </c>
      <c r="C4290" t="str">
        <f t="shared" si="219"/>
        <v>L-V</v>
      </c>
      <c r="D4290" t="str">
        <f t="shared" si="220"/>
        <v>Viernes</v>
      </c>
    </row>
    <row r="4291" spans="1:4" x14ac:dyDescent="0.25">
      <c r="A4291" s="88" t="str">
        <f t="shared" si="221"/>
        <v>9-2034</v>
      </c>
      <c r="B4291" s="86">
        <v>49217</v>
      </c>
      <c r="C4291" t="str">
        <f t="shared" ref="C4291:C4354" si="222">VLOOKUP(WEEKDAY(B4291,2),$F$1:$H$7,2)</f>
        <v>SAB</v>
      </c>
      <c r="D4291" t="str">
        <f t="shared" ref="D4291:D4354" si="223">VLOOKUP(WEEKDAY($B4291,2),$F$1:$H$7,3)</f>
        <v>Sábado</v>
      </c>
    </row>
    <row r="4292" spans="1:4" x14ac:dyDescent="0.25">
      <c r="A4292" s="88" t="str">
        <f t="shared" si="221"/>
        <v>10-2034</v>
      </c>
      <c r="B4292" s="86">
        <v>49218</v>
      </c>
      <c r="C4292" t="str">
        <f t="shared" si="222"/>
        <v>DOM</v>
      </c>
      <c r="D4292" t="str">
        <f t="shared" si="223"/>
        <v>Domingo</v>
      </c>
    </row>
    <row r="4293" spans="1:4" x14ac:dyDescent="0.25">
      <c r="A4293" s="88" t="str">
        <f t="shared" si="221"/>
        <v>10-2034</v>
      </c>
      <c r="B4293" s="86">
        <v>49219</v>
      </c>
      <c r="C4293" t="str">
        <f t="shared" si="222"/>
        <v>L-V</v>
      </c>
      <c r="D4293" t="str">
        <f t="shared" si="223"/>
        <v>Lunes</v>
      </c>
    </row>
    <row r="4294" spans="1:4" x14ac:dyDescent="0.25">
      <c r="A4294" s="88" t="str">
        <f t="shared" si="221"/>
        <v>10-2034</v>
      </c>
      <c r="B4294" s="86">
        <v>49220</v>
      </c>
      <c r="C4294" t="str">
        <f t="shared" si="222"/>
        <v>L-V</v>
      </c>
      <c r="D4294" t="str">
        <f t="shared" si="223"/>
        <v>Martes</v>
      </c>
    </row>
    <row r="4295" spans="1:4" x14ac:dyDescent="0.25">
      <c r="A4295" s="88" t="str">
        <f t="shared" si="221"/>
        <v>10-2034</v>
      </c>
      <c r="B4295" s="86">
        <v>49221</v>
      </c>
      <c r="C4295" t="str">
        <f t="shared" si="222"/>
        <v>L-V</v>
      </c>
      <c r="D4295" t="str">
        <f t="shared" si="223"/>
        <v>Miércoles</v>
      </c>
    </row>
    <row r="4296" spans="1:4" x14ac:dyDescent="0.25">
      <c r="A4296" s="88" t="str">
        <f t="shared" si="221"/>
        <v>10-2034</v>
      </c>
      <c r="B4296" s="86">
        <v>49222</v>
      </c>
      <c r="C4296" t="str">
        <f t="shared" si="222"/>
        <v>L-V</v>
      </c>
      <c r="D4296" t="str">
        <f t="shared" si="223"/>
        <v>Jueves</v>
      </c>
    </row>
    <row r="4297" spans="1:4" x14ac:dyDescent="0.25">
      <c r="A4297" s="88" t="str">
        <f t="shared" si="221"/>
        <v>10-2034</v>
      </c>
      <c r="B4297" s="86">
        <v>49223</v>
      </c>
      <c r="C4297" t="str">
        <f t="shared" si="222"/>
        <v>L-V</v>
      </c>
      <c r="D4297" t="str">
        <f t="shared" si="223"/>
        <v>Viernes</v>
      </c>
    </row>
    <row r="4298" spans="1:4" x14ac:dyDescent="0.25">
      <c r="A4298" s="88" t="str">
        <f t="shared" si="221"/>
        <v>10-2034</v>
      </c>
      <c r="B4298" s="86">
        <v>49224</v>
      </c>
      <c r="C4298" t="str">
        <f t="shared" si="222"/>
        <v>SAB</v>
      </c>
      <c r="D4298" t="str">
        <f t="shared" si="223"/>
        <v>Sábado</v>
      </c>
    </row>
    <row r="4299" spans="1:4" x14ac:dyDescent="0.25">
      <c r="A4299" s="88" t="str">
        <f t="shared" si="221"/>
        <v>10-2034</v>
      </c>
      <c r="B4299" s="86">
        <v>49225</v>
      </c>
      <c r="C4299" t="str">
        <f t="shared" si="222"/>
        <v>DOM</v>
      </c>
      <c r="D4299" t="str">
        <f t="shared" si="223"/>
        <v>Domingo</v>
      </c>
    </row>
    <row r="4300" spans="1:4" x14ac:dyDescent="0.25">
      <c r="A4300" s="88" t="str">
        <f t="shared" si="221"/>
        <v>10-2034</v>
      </c>
      <c r="B4300" s="86">
        <v>49226</v>
      </c>
      <c r="C4300" t="str">
        <f t="shared" si="222"/>
        <v>L-V</v>
      </c>
      <c r="D4300" t="str">
        <f t="shared" si="223"/>
        <v>Lunes</v>
      </c>
    </row>
    <row r="4301" spans="1:4" x14ac:dyDescent="0.25">
      <c r="A4301" s="88" t="str">
        <f t="shared" si="221"/>
        <v>10-2034</v>
      </c>
      <c r="B4301" s="86">
        <v>49227</v>
      </c>
      <c r="C4301" t="str">
        <f t="shared" si="222"/>
        <v>L-V</v>
      </c>
      <c r="D4301" t="str">
        <f t="shared" si="223"/>
        <v>Martes</v>
      </c>
    </row>
    <row r="4302" spans="1:4" x14ac:dyDescent="0.25">
      <c r="A4302" s="88" t="str">
        <f t="shared" si="221"/>
        <v>10-2034</v>
      </c>
      <c r="B4302" s="86">
        <v>49228</v>
      </c>
      <c r="C4302" t="str">
        <f t="shared" si="222"/>
        <v>L-V</v>
      </c>
      <c r="D4302" t="str">
        <f t="shared" si="223"/>
        <v>Miércoles</v>
      </c>
    </row>
    <row r="4303" spans="1:4" x14ac:dyDescent="0.25">
      <c r="A4303" s="88" t="str">
        <f t="shared" si="221"/>
        <v>10-2034</v>
      </c>
      <c r="B4303" s="86">
        <v>49229</v>
      </c>
      <c r="C4303" t="str">
        <f t="shared" si="222"/>
        <v>L-V</v>
      </c>
      <c r="D4303" t="str">
        <f t="shared" si="223"/>
        <v>Jueves</v>
      </c>
    </row>
    <row r="4304" spans="1:4" x14ac:dyDescent="0.25">
      <c r="A4304" s="88" t="str">
        <f t="shared" si="221"/>
        <v>10-2034</v>
      </c>
      <c r="B4304" s="86">
        <v>49230</v>
      </c>
      <c r="C4304" t="str">
        <f t="shared" si="222"/>
        <v>L-V</v>
      </c>
      <c r="D4304" t="str">
        <f t="shared" si="223"/>
        <v>Viernes</v>
      </c>
    </row>
    <row r="4305" spans="1:4" x14ac:dyDescent="0.25">
      <c r="A4305" s="88" t="str">
        <f t="shared" si="221"/>
        <v>10-2034</v>
      </c>
      <c r="B4305" s="86">
        <v>49231</v>
      </c>
      <c r="C4305" t="str">
        <f t="shared" si="222"/>
        <v>SAB</v>
      </c>
      <c r="D4305" t="str">
        <f t="shared" si="223"/>
        <v>Sábado</v>
      </c>
    </row>
    <row r="4306" spans="1:4" x14ac:dyDescent="0.25">
      <c r="A4306" s="88" t="str">
        <f t="shared" si="221"/>
        <v>10-2034</v>
      </c>
      <c r="B4306" s="86">
        <v>49232</v>
      </c>
      <c r="C4306" t="str">
        <f t="shared" si="222"/>
        <v>DOM</v>
      </c>
      <c r="D4306" t="str">
        <f t="shared" si="223"/>
        <v>Domingo</v>
      </c>
    </row>
    <row r="4307" spans="1:4" x14ac:dyDescent="0.25">
      <c r="A4307" s="88" t="str">
        <f t="shared" si="221"/>
        <v>10-2034</v>
      </c>
      <c r="B4307" s="86">
        <v>49233</v>
      </c>
      <c r="C4307" t="str">
        <f t="shared" si="222"/>
        <v>L-V</v>
      </c>
      <c r="D4307" t="str">
        <f t="shared" si="223"/>
        <v>Lunes</v>
      </c>
    </row>
    <row r="4308" spans="1:4" x14ac:dyDescent="0.25">
      <c r="A4308" s="88" t="str">
        <f t="shared" si="221"/>
        <v>10-2034</v>
      </c>
      <c r="B4308" s="86">
        <v>49234</v>
      </c>
      <c r="C4308" t="str">
        <f t="shared" si="222"/>
        <v>L-V</v>
      </c>
      <c r="D4308" t="str">
        <f t="shared" si="223"/>
        <v>Martes</v>
      </c>
    </row>
    <row r="4309" spans="1:4" x14ac:dyDescent="0.25">
      <c r="A4309" s="88" t="str">
        <f t="shared" si="221"/>
        <v>10-2034</v>
      </c>
      <c r="B4309" s="86">
        <v>49235</v>
      </c>
      <c r="C4309" t="str">
        <f t="shared" si="222"/>
        <v>L-V</v>
      </c>
      <c r="D4309" t="str">
        <f t="shared" si="223"/>
        <v>Miércoles</v>
      </c>
    </row>
    <row r="4310" spans="1:4" x14ac:dyDescent="0.25">
      <c r="A4310" s="88" t="str">
        <f t="shared" si="221"/>
        <v>10-2034</v>
      </c>
      <c r="B4310" s="86">
        <v>49236</v>
      </c>
      <c r="C4310" t="str">
        <f t="shared" si="222"/>
        <v>L-V</v>
      </c>
      <c r="D4310" t="str">
        <f t="shared" si="223"/>
        <v>Jueves</v>
      </c>
    </row>
    <row r="4311" spans="1:4" x14ac:dyDescent="0.25">
      <c r="A4311" s="88" t="str">
        <f t="shared" si="221"/>
        <v>10-2034</v>
      </c>
      <c r="B4311" s="86">
        <v>49237</v>
      </c>
      <c r="C4311" t="str">
        <f t="shared" si="222"/>
        <v>L-V</v>
      </c>
      <c r="D4311" t="str">
        <f t="shared" si="223"/>
        <v>Viernes</v>
      </c>
    </row>
    <row r="4312" spans="1:4" x14ac:dyDescent="0.25">
      <c r="A4312" s="88" t="str">
        <f t="shared" si="221"/>
        <v>10-2034</v>
      </c>
      <c r="B4312" s="86">
        <v>49238</v>
      </c>
      <c r="C4312" t="str">
        <f t="shared" si="222"/>
        <v>SAB</v>
      </c>
      <c r="D4312" t="str">
        <f t="shared" si="223"/>
        <v>Sábado</v>
      </c>
    </row>
    <row r="4313" spans="1:4" x14ac:dyDescent="0.25">
      <c r="A4313" s="88" t="str">
        <f t="shared" si="221"/>
        <v>10-2034</v>
      </c>
      <c r="B4313" s="86">
        <v>49239</v>
      </c>
      <c r="C4313" t="str">
        <f t="shared" si="222"/>
        <v>DOM</v>
      </c>
      <c r="D4313" t="str">
        <f t="shared" si="223"/>
        <v>Domingo</v>
      </c>
    </row>
    <row r="4314" spans="1:4" x14ac:dyDescent="0.25">
      <c r="A4314" s="88" t="str">
        <f t="shared" si="221"/>
        <v>10-2034</v>
      </c>
      <c r="B4314" s="86">
        <v>49240</v>
      </c>
      <c r="C4314" t="str">
        <f t="shared" si="222"/>
        <v>L-V</v>
      </c>
      <c r="D4314" t="str">
        <f t="shared" si="223"/>
        <v>Lunes</v>
      </c>
    </row>
    <row r="4315" spans="1:4" x14ac:dyDescent="0.25">
      <c r="A4315" s="88" t="str">
        <f t="shared" si="221"/>
        <v>10-2034</v>
      </c>
      <c r="B4315" s="86">
        <v>49241</v>
      </c>
      <c r="C4315" t="str">
        <f t="shared" si="222"/>
        <v>L-V</v>
      </c>
      <c r="D4315" t="str">
        <f t="shared" si="223"/>
        <v>Martes</v>
      </c>
    </row>
    <row r="4316" spans="1:4" x14ac:dyDescent="0.25">
      <c r="A4316" s="88" t="str">
        <f t="shared" si="221"/>
        <v>10-2034</v>
      </c>
      <c r="B4316" s="86">
        <v>49242</v>
      </c>
      <c r="C4316" t="str">
        <f t="shared" si="222"/>
        <v>L-V</v>
      </c>
      <c r="D4316" t="str">
        <f t="shared" si="223"/>
        <v>Miércoles</v>
      </c>
    </row>
    <row r="4317" spans="1:4" x14ac:dyDescent="0.25">
      <c r="A4317" s="88" t="str">
        <f t="shared" si="221"/>
        <v>10-2034</v>
      </c>
      <c r="B4317" s="86">
        <v>49243</v>
      </c>
      <c r="C4317" t="str">
        <f t="shared" si="222"/>
        <v>L-V</v>
      </c>
      <c r="D4317" t="str">
        <f t="shared" si="223"/>
        <v>Jueves</v>
      </c>
    </row>
    <row r="4318" spans="1:4" x14ac:dyDescent="0.25">
      <c r="A4318" s="88" t="str">
        <f t="shared" si="221"/>
        <v>10-2034</v>
      </c>
      <c r="B4318" s="86">
        <v>49244</v>
      </c>
      <c r="C4318" t="str">
        <f t="shared" si="222"/>
        <v>L-V</v>
      </c>
      <c r="D4318" t="str">
        <f t="shared" si="223"/>
        <v>Viernes</v>
      </c>
    </row>
    <row r="4319" spans="1:4" x14ac:dyDescent="0.25">
      <c r="A4319" s="88" t="str">
        <f t="shared" si="221"/>
        <v>10-2034</v>
      </c>
      <c r="B4319" s="86">
        <v>49245</v>
      </c>
      <c r="C4319" t="str">
        <f t="shared" si="222"/>
        <v>SAB</v>
      </c>
      <c r="D4319" t="str">
        <f t="shared" si="223"/>
        <v>Sábado</v>
      </c>
    </row>
    <row r="4320" spans="1:4" x14ac:dyDescent="0.25">
      <c r="A4320" s="88" t="str">
        <f t="shared" si="221"/>
        <v>10-2034</v>
      </c>
      <c r="B4320" s="86">
        <v>49246</v>
      </c>
      <c r="C4320" t="str">
        <f t="shared" si="222"/>
        <v>DOM</v>
      </c>
      <c r="D4320" t="str">
        <f t="shared" si="223"/>
        <v>Domingo</v>
      </c>
    </row>
    <row r="4321" spans="1:4" x14ac:dyDescent="0.25">
      <c r="A4321" s="88" t="str">
        <f t="shared" si="221"/>
        <v>10-2034</v>
      </c>
      <c r="B4321" s="86">
        <v>49247</v>
      </c>
      <c r="C4321" t="str">
        <f t="shared" si="222"/>
        <v>L-V</v>
      </c>
      <c r="D4321" t="str">
        <f t="shared" si="223"/>
        <v>Lunes</v>
      </c>
    </row>
    <row r="4322" spans="1:4" x14ac:dyDescent="0.25">
      <c r="A4322" s="88" t="str">
        <f t="shared" si="221"/>
        <v>10-2034</v>
      </c>
      <c r="B4322" s="86">
        <v>49248</v>
      </c>
      <c r="C4322" t="str">
        <f t="shared" si="222"/>
        <v>L-V</v>
      </c>
      <c r="D4322" t="str">
        <f t="shared" si="223"/>
        <v>Martes</v>
      </c>
    </row>
    <row r="4323" spans="1:4" x14ac:dyDescent="0.25">
      <c r="A4323" s="88" t="str">
        <f t="shared" si="221"/>
        <v>11-2034</v>
      </c>
      <c r="B4323" s="86">
        <v>49249</v>
      </c>
      <c r="C4323" t="str">
        <f t="shared" si="222"/>
        <v>L-V</v>
      </c>
      <c r="D4323" t="str">
        <f t="shared" si="223"/>
        <v>Miércoles</v>
      </c>
    </row>
    <row r="4324" spans="1:4" x14ac:dyDescent="0.25">
      <c r="A4324" s="88" t="str">
        <f t="shared" si="221"/>
        <v>11-2034</v>
      </c>
      <c r="B4324" s="86">
        <v>49250</v>
      </c>
      <c r="C4324" t="str">
        <f t="shared" si="222"/>
        <v>L-V</v>
      </c>
      <c r="D4324" t="str">
        <f t="shared" si="223"/>
        <v>Jueves</v>
      </c>
    </row>
    <row r="4325" spans="1:4" x14ac:dyDescent="0.25">
      <c r="A4325" s="88" t="str">
        <f t="shared" si="221"/>
        <v>11-2034</v>
      </c>
      <c r="B4325" s="86">
        <v>49251</v>
      </c>
      <c r="C4325" t="str">
        <f t="shared" si="222"/>
        <v>L-V</v>
      </c>
      <c r="D4325" t="str">
        <f t="shared" si="223"/>
        <v>Viernes</v>
      </c>
    </row>
    <row r="4326" spans="1:4" x14ac:dyDescent="0.25">
      <c r="A4326" s="88" t="str">
        <f t="shared" si="221"/>
        <v>11-2034</v>
      </c>
      <c r="B4326" s="86">
        <v>49252</v>
      </c>
      <c r="C4326" t="str">
        <f t="shared" si="222"/>
        <v>SAB</v>
      </c>
      <c r="D4326" t="str">
        <f t="shared" si="223"/>
        <v>Sábado</v>
      </c>
    </row>
    <row r="4327" spans="1:4" x14ac:dyDescent="0.25">
      <c r="A4327" s="88" t="str">
        <f t="shared" si="221"/>
        <v>11-2034</v>
      </c>
      <c r="B4327" s="86">
        <v>49253</v>
      </c>
      <c r="C4327" t="str">
        <f t="shared" si="222"/>
        <v>DOM</v>
      </c>
      <c r="D4327" t="str">
        <f t="shared" si="223"/>
        <v>Domingo</v>
      </c>
    </row>
    <row r="4328" spans="1:4" x14ac:dyDescent="0.25">
      <c r="A4328" s="88" t="str">
        <f t="shared" si="221"/>
        <v>11-2034</v>
      </c>
      <c r="B4328" s="86">
        <v>49254</v>
      </c>
      <c r="C4328" t="str">
        <f t="shared" si="222"/>
        <v>L-V</v>
      </c>
      <c r="D4328" t="str">
        <f t="shared" si="223"/>
        <v>Lunes</v>
      </c>
    </row>
    <row r="4329" spans="1:4" x14ac:dyDescent="0.25">
      <c r="A4329" s="88" t="str">
        <f t="shared" si="221"/>
        <v>11-2034</v>
      </c>
      <c r="B4329" s="86">
        <v>49255</v>
      </c>
      <c r="C4329" t="str">
        <f t="shared" si="222"/>
        <v>L-V</v>
      </c>
      <c r="D4329" t="str">
        <f t="shared" si="223"/>
        <v>Martes</v>
      </c>
    </row>
    <row r="4330" spans="1:4" x14ac:dyDescent="0.25">
      <c r="A4330" s="88" t="str">
        <f t="shared" si="221"/>
        <v>11-2034</v>
      </c>
      <c r="B4330" s="86">
        <v>49256</v>
      </c>
      <c r="C4330" t="str">
        <f t="shared" si="222"/>
        <v>L-V</v>
      </c>
      <c r="D4330" t="str">
        <f t="shared" si="223"/>
        <v>Miércoles</v>
      </c>
    </row>
    <row r="4331" spans="1:4" x14ac:dyDescent="0.25">
      <c r="A4331" s="88" t="str">
        <f t="shared" si="221"/>
        <v>11-2034</v>
      </c>
      <c r="B4331" s="86">
        <v>49257</v>
      </c>
      <c r="C4331" t="str">
        <f t="shared" si="222"/>
        <v>L-V</v>
      </c>
      <c r="D4331" t="str">
        <f t="shared" si="223"/>
        <v>Jueves</v>
      </c>
    </row>
    <row r="4332" spans="1:4" x14ac:dyDescent="0.25">
      <c r="A4332" s="88" t="str">
        <f t="shared" si="221"/>
        <v>11-2034</v>
      </c>
      <c r="B4332" s="86">
        <v>49258</v>
      </c>
      <c r="C4332" t="str">
        <f t="shared" si="222"/>
        <v>L-V</v>
      </c>
      <c r="D4332" t="str">
        <f t="shared" si="223"/>
        <v>Viernes</v>
      </c>
    </row>
    <row r="4333" spans="1:4" x14ac:dyDescent="0.25">
      <c r="A4333" s="88" t="str">
        <f t="shared" si="221"/>
        <v>11-2034</v>
      </c>
      <c r="B4333" s="86">
        <v>49259</v>
      </c>
      <c r="C4333" t="str">
        <f t="shared" si="222"/>
        <v>SAB</v>
      </c>
      <c r="D4333" t="str">
        <f t="shared" si="223"/>
        <v>Sábado</v>
      </c>
    </row>
    <row r="4334" spans="1:4" x14ac:dyDescent="0.25">
      <c r="A4334" s="88" t="str">
        <f t="shared" si="221"/>
        <v>11-2034</v>
      </c>
      <c r="B4334" s="86">
        <v>49260</v>
      </c>
      <c r="C4334" t="str">
        <f t="shared" si="222"/>
        <v>DOM</v>
      </c>
      <c r="D4334" t="str">
        <f t="shared" si="223"/>
        <v>Domingo</v>
      </c>
    </row>
    <row r="4335" spans="1:4" x14ac:dyDescent="0.25">
      <c r="A4335" s="88" t="str">
        <f t="shared" si="221"/>
        <v>11-2034</v>
      </c>
      <c r="B4335" s="86">
        <v>49261</v>
      </c>
      <c r="C4335" t="str">
        <f t="shared" si="222"/>
        <v>L-V</v>
      </c>
      <c r="D4335" t="str">
        <f t="shared" si="223"/>
        <v>Lunes</v>
      </c>
    </row>
    <row r="4336" spans="1:4" x14ac:dyDescent="0.25">
      <c r="A4336" s="88" t="str">
        <f t="shared" si="221"/>
        <v>11-2034</v>
      </c>
      <c r="B4336" s="86">
        <v>49262</v>
      </c>
      <c r="C4336" t="str">
        <f t="shared" si="222"/>
        <v>L-V</v>
      </c>
      <c r="D4336" t="str">
        <f t="shared" si="223"/>
        <v>Martes</v>
      </c>
    </row>
    <row r="4337" spans="1:4" x14ac:dyDescent="0.25">
      <c r="A4337" s="88" t="str">
        <f t="shared" si="221"/>
        <v>11-2034</v>
      </c>
      <c r="B4337" s="86">
        <v>49263</v>
      </c>
      <c r="C4337" t="str">
        <f t="shared" si="222"/>
        <v>L-V</v>
      </c>
      <c r="D4337" t="str">
        <f t="shared" si="223"/>
        <v>Miércoles</v>
      </c>
    </row>
    <row r="4338" spans="1:4" x14ac:dyDescent="0.25">
      <c r="A4338" s="88" t="str">
        <f t="shared" si="221"/>
        <v>11-2034</v>
      </c>
      <c r="B4338" s="86">
        <v>49264</v>
      </c>
      <c r="C4338" t="str">
        <f t="shared" si="222"/>
        <v>L-V</v>
      </c>
      <c r="D4338" t="str">
        <f t="shared" si="223"/>
        <v>Jueves</v>
      </c>
    </row>
    <row r="4339" spans="1:4" x14ac:dyDescent="0.25">
      <c r="A4339" s="88" t="str">
        <f t="shared" si="221"/>
        <v>11-2034</v>
      </c>
      <c r="B4339" s="86">
        <v>49265</v>
      </c>
      <c r="C4339" t="str">
        <f t="shared" si="222"/>
        <v>L-V</v>
      </c>
      <c r="D4339" t="str">
        <f t="shared" si="223"/>
        <v>Viernes</v>
      </c>
    </row>
    <row r="4340" spans="1:4" x14ac:dyDescent="0.25">
      <c r="A4340" s="88" t="str">
        <f t="shared" si="221"/>
        <v>11-2034</v>
      </c>
      <c r="B4340" s="86">
        <v>49266</v>
      </c>
      <c r="C4340" t="str">
        <f t="shared" si="222"/>
        <v>SAB</v>
      </c>
      <c r="D4340" t="str">
        <f t="shared" si="223"/>
        <v>Sábado</v>
      </c>
    </row>
    <row r="4341" spans="1:4" x14ac:dyDescent="0.25">
      <c r="A4341" s="88" t="str">
        <f t="shared" si="221"/>
        <v>11-2034</v>
      </c>
      <c r="B4341" s="86">
        <v>49267</v>
      </c>
      <c r="C4341" t="str">
        <f t="shared" si="222"/>
        <v>DOM</v>
      </c>
      <c r="D4341" t="str">
        <f t="shared" si="223"/>
        <v>Domingo</v>
      </c>
    </row>
    <row r="4342" spans="1:4" x14ac:dyDescent="0.25">
      <c r="A4342" s="88" t="str">
        <f t="shared" si="221"/>
        <v>11-2034</v>
      </c>
      <c r="B4342" s="86">
        <v>49268</v>
      </c>
      <c r="C4342" t="str">
        <f t="shared" si="222"/>
        <v>L-V</v>
      </c>
      <c r="D4342" t="str">
        <f t="shared" si="223"/>
        <v>Lunes</v>
      </c>
    </row>
    <row r="4343" spans="1:4" x14ac:dyDescent="0.25">
      <c r="A4343" s="88" t="str">
        <f t="shared" si="221"/>
        <v>11-2034</v>
      </c>
      <c r="B4343" s="86">
        <v>49269</v>
      </c>
      <c r="C4343" t="str">
        <f t="shared" si="222"/>
        <v>L-V</v>
      </c>
      <c r="D4343" t="str">
        <f t="shared" si="223"/>
        <v>Martes</v>
      </c>
    </row>
    <row r="4344" spans="1:4" x14ac:dyDescent="0.25">
      <c r="A4344" s="88" t="str">
        <f t="shared" si="221"/>
        <v>11-2034</v>
      </c>
      <c r="B4344" s="86">
        <v>49270</v>
      </c>
      <c r="C4344" t="str">
        <f t="shared" si="222"/>
        <v>L-V</v>
      </c>
      <c r="D4344" t="str">
        <f t="shared" si="223"/>
        <v>Miércoles</v>
      </c>
    </row>
    <row r="4345" spans="1:4" x14ac:dyDescent="0.25">
      <c r="A4345" s="88" t="str">
        <f t="shared" si="221"/>
        <v>11-2034</v>
      </c>
      <c r="B4345" s="86">
        <v>49271</v>
      </c>
      <c r="C4345" t="str">
        <f t="shared" si="222"/>
        <v>L-V</v>
      </c>
      <c r="D4345" t="str">
        <f t="shared" si="223"/>
        <v>Jueves</v>
      </c>
    </row>
    <row r="4346" spans="1:4" x14ac:dyDescent="0.25">
      <c r="A4346" s="88" t="str">
        <f t="shared" si="221"/>
        <v>11-2034</v>
      </c>
      <c r="B4346" s="86">
        <v>49272</v>
      </c>
      <c r="C4346" t="str">
        <f t="shared" si="222"/>
        <v>L-V</v>
      </c>
      <c r="D4346" t="str">
        <f t="shared" si="223"/>
        <v>Viernes</v>
      </c>
    </row>
    <row r="4347" spans="1:4" x14ac:dyDescent="0.25">
      <c r="A4347" s="88" t="str">
        <f t="shared" si="221"/>
        <v>11-2034</v>
      </c>
      <c r="B4347" s="86">
        <v>49273</v>
      </c>
      <c r="C4347" t="str">
        <f t="shared" si="222"/>
        <v>SAB</v>
      </c>
      <c r="D4347" t="str">
        <f t="shared" si="223"/>
        <v>Sábado</v>
      </c>
    </row>
    <row r="4348" spans="1:4" x14ac:dyDescent="0.25">
      <c r="A4348" s="88" t="str">
        <f t="shared" si="221"/>
        <v>11-2034</v>
      </c>
      <c r="B4348" s="86">
        <v>49274</v>
      </c>
      <c r="C4348" t="str">
        <f t="shared" si="222"/>
        <v>DOM</v>
      </c>
      <c r="D4348" t="str">
        <f t="shared" si="223"/>
        <v>Domingo</v>
      </c>
    </row>
    <row r="4349" spans="1:4" x14ac:dyDescent="0.25">
      <c r="A4349" s="88" t="str">
        <f t="shared" si="221"/>
        <v>11-2034</v>
      </c>
      <c r="B4349" s="86">
        <v>49275</v>
      </c>
      <c r="C4349" t="str">
        <f t="shared" si="222"/>
        <v>L-V</v>
      </c>
      <c r="D4349" t="str">
        <f t="shared" si="223"/>
        <v>Lunes</v>
      </c>
    </row>
    <row r="4350" spans="1:4" x14ac:dyDescent="0.25">
      <c r="A4350" s="88" t="str">
        <f t="shared" si="221"/>
        <v>11-2034</v>
      </c>
      <c r="B4350" s="86">
        <v>49276</v>
      </c>
      <c r="C4350" t="str">
        <f t="shared" si="222"/>
        <v>L-V</v>
      </c>
      <c r="D4350" t="str">
        <f t="shared" si="223"/>
        <v>Martes</v>
      </c>
    </row>
    <row r="4351" spans="1:4" x14ac:dyDescent="0.25">
      <c r="A4351" s="88" t="str">
        <f t="shared" si="221"/>
        <v>11-2034</v>
      </c>
      <c r="B4351" s="86">
        <v>49277</v>
      </c>
      <c r="C4351" t="str">
        <f t="shared" si="222"/>
        <v>L-V</v>
      </c>
      <c r="D4351" t="str">
        <f t="shared" si="223"/>
        <v>Miércoles</v>
      </c>
    </row>
    <row r="4352" spans="1:4" x14ac:dyDescent="0.25">
      <c r="A4352" s="88" t="str">
        <f t="shared" si="221"/>
        <v>11-2034</v>
      </c>
      <c r="B4352" s="86">
        <v>49278</v>
      </c>
      <c r="C4352" t="str">
        <f t="shared" si="222"/>
        <v>L-V</v>
      </c>
      <c r="D4352" t="str">
        <f t="shared" si="223"/>
        <v>Jueves</v>
      </c>
    </row>
    <row r="4353" spans="1:4" x14ac:dyDescent="0.25">
      <c r="A4353" s="88" t="str">
        <f t="shared" si="221"/>
        <v>12-2034</v>
      </c>
      <c r="B4353" s="86">
        <v>49279</v>
      </c>
      <c r="C4353" t="str">
        <f t="shared" si="222"/>
        <v>L-V</v>
      </c>
      <c r="D4353" t="str">
        <f t="shared" si="223"/>
        <v>Viernes</v>
      </c>
    </row>
    <row r="4354" spans="1:4" x14ac:dyDescent="0.25">
      <c r="A4354" s="88" t="str">
        <f t="shared" ref="A4354:A4417" si="224">MONTH(B4354)&amp;"-"&amp;YEAR(B4354)</f>
        <v>12-2034</v>
      </c>
      <c r="B4354" s="86">
        <v>49280</v>
      </c>
      <c r="C4354" t="str">
        <f t="shared" si="222"/>
        <v>SAB</v>
      </c>
      <c r="D4354" t="str">
        <f t="shared" si="223"/>
        <v>Sábado</v>
      </c>
    </row>
    <row r="4355" spans="1:4" x14ac:dyDescent="0.25">
      <c r="A4355" s="88" t="str">
        <f t="shared" si="224"/>
        <v>12-2034</v>
      </c>
      <c r="B4355" s="86">
        <v>49281</v>
      </c>
      <c r="C4355" t="str">
        <f t="shared" ref="C4355:C4418" si="225">VLOOKUP(WEEKDAY(B4355,2),$F$1:$H$7,2)</f>
        <v>DOM</v>
      </c>
      <c r="D4355" t="str">
        <f t="shared" ref="D4355:D4418" si="226">VLOOKUP(WEEKDAY($B4355,2),$F$1:$H$7,3)</f>
        <v>Domingo</v>
      </c>
    </row>
    <row r="4356" spans="1:4" x14ac:dyDescent="0.25">
      <c r="A4356" s="88" t="str">
        <f t="shared" si="224"/>
        <v>12-2034</v>
      </c>
      <c r="B4356" s="86">
        <v>49282</v>
      </c>
      <c r="C4356" t="str">
        <f t="shared" si="225"/>
        <v>L-V</v>
      </c>
      <c r="D4356" t="str">
        <f t="shared" si="226"/>
        <v>Lunes</v>
      </c>
    </row>
    <row r="4357" spans="1:4" x14ac:dyDescent="0.25">
      <c r="A4357" s="88" t="str">
        <f t="shared" si="224"/>
        <v>12-2034</v>
      </c>
      <c r="B4357" s="86">
        <v>49283</v>
      </c>
      <c r="C4357" t="str">
        <f t="shared" si="225"/>
        <v>L-V</v>
      </c>
      <c r="D4357" t="str">
        <f t="shared" si="226"/>
        <v>Martes</v>
      </c>
    </row>
    <row r="4358" spans="1:4" x14ac:dyDescent="0.25">
      <c r="A4358" s="88" t="str">
        <f t="shared" si="224"/>
        <v>12-2034</v>
      </c>
      <c r="B4358" s="86">
        <v>49284</v>
      </c>
      <c r="C4358" t="str">
        <f t="shared" si="225"/>
        <v>L-V</v>
      </c>
      <c r="D4358" t="str">
        <f t="shared" si="226"/>
        <v>Miércoles</v>
      </c>
    </row>
    <row r="4359" spans="1:4" x14ac:dyDescent="0.25">
      <c r="A4359" s="88" t="str">
        <f t="shared" si="224"/>
        <v>12-2034</v>
      </c>
      <c r="B4359" s="86">
        <v>49285</v>
      </c>
      <c r="C4359" t="str">
        <f t="shared" si="225"/>
        <v>L-V</v>
      </c>
      <c r="D4359" t="str">
        <f t="shared" si="226"/>
        <v>Jueves</v>
      </c>
    </row>
    <row r="4360" spans="1:4" x14ac:dyDescent="0.25">
      <c r="A4360" s="88" t="str">
        <f t="shared" si="224"/>
        <v>12-2034</v>
      </c>
      <c r="B4360" s="86">
        <v>49286</v>
      </c>
      <c r="C4360" t="str">
        <f t="shared" si="225"/>
        <v>L-V</v>
      </c>
      <c r="D4360" t="str">
        <f t="shared" si="226"/>
        <v>Viernes</v>
      </c>
    </row>
    <row r="4361" spans="1:4" x14ac:dyDescent="0.25">
      <c r="A4361" s="88" t="str">
        <f t="shared" si="224"/>
        <v>12-2034</v>
      </c>
      <c r="B4361" s="86">
        <v>49287</v>
      </c>
      <c r="C4361" t="str">
        <f t="shared" si="225"/>
        <v>SAB</v>
      </c>
      <c r="D4361" t="str">
        <f t="shared" si="226"/>
        <v>Sábado</v>
      </c>
    </row>
    <row r="4362" spans="1:4" x14ac:dyDescent="0.25">
      <c r="A4362" s="88" t="str">
        <f t="shared" si="224"/>
        <v>12-2034</v>
      </c>
      <c r="B4362" s="86">
        <v>49288</v>
      </c>
      <c r="C4362" t="str">
        <f t="shared" si="225"/>
        <v>DOM</v>
      </c>
      <c r="D4362" t="str">
        <f t="shared" si="226"/>
        <v>Domingo</v>
      </c>
    </row>
    <row r="4363" spans="1:4" x14ac:dyDescent="0.25">
      <c r="A4363" s="88" t="str">
        <f t="shared" si="224"/>
        <v>12-2034</v>
      </c>
      <c r="B4363" s="86">
        <v>49289</v>
      </c>
      <c r="C4363" t="str">
        <f t="shared" si="225"/>
        <v>L-V</v>
      </c>
      <c r="D4363" t="str">
        <f t="shared" si="226"/>
        <v>Lunes</v>
      </c>
    </row>
    <row r="4364" spans="1:4" x14ac:dyDescent="0.25">
      <c r="A4364" s="88" t="str">
        <f t="shared" si="224"/>
        <v>12-2034</v>
      </c>
      <c r="B4364" s="86">
        <v>49290</v>
      </c>
      <c r="C4364" t="str">
        <f t="shared" si="225"/>
        <v>L-V</v>
      </c>
      <c r="D4364" t="str">
        <f t="shared" si="226"/>
        <v>Martes</v>
      </c>
    </row>
    <row r="4365" spans="1:4" x14ac:dyDescent="0.25">
      <c r="A4365" s="88" t="str">
        <f t="shared" si="224"/>
        <v>12-2034</v>
      </c>
      <c r="B4365" s="86">
        <v>49291</v>
      </c>
      <c r="C4365" t="str">
        <f t="shared" si="225"/>
        <v>L-V</v>
      </c>
      <c r="D4365" t="str">
        <f t="shared" si="226"/>
        <v>Miércoles</v>
      </c>
    </row>
    <row r="4366" spans="1:4" x14ac:dyDescent="0.25">
      <c r="A4366" s="88" t="str">
        <f t="shared" si="224"/>
        <v>12-2034</v>
      </c>
      <c r="B4366" s="86">
        <v>49292</v>
      </c>
      <c r="C4366" t="str">
        <f t="shared" si="225"/>
        <v>L-V</v>
      </c>
      <c r="D4366" t="str">
        <f t="shared" si="226"/>
        <v>Jueves</v>
      </c>
    </row>
    <row r="4367" spans="1:4" x14ac:dyDescent="0.25">
      <c r="A4367" s="88" t="str">
        <f t="shared" si="224"/>
        <v>12-2034</v>
      </c>
      <c r="B4367" s="86">
        <v>49293</v>
      </c>
      <c r="C4367" t="str">
        <f t="shared" si="225"/>
        <v>L-V</v>
      </c>
      <c r="D4367" t="str">
        <f t="shared" si="226"/>
        <v>Viernes</v>
      </c>
    </row>
    <row r="4368" spans="1:4" x14ac:dyDescent="0.25">
      <c r="A4368" s="88" t="str">
        <f t="shared" si="224"/>
        <v>12-2034</v>
      </c>
      <c r="B4368" s="86">
        <v>49294</v>
      </c>
      <c r="C4368" t="str">
        <f t="shared" si="225"/>
        <v>SAB</v>
      </c>
      <c r="D4368" t="str">
        <f t="shared" si="226"/>
        <v>Sábado</v>
      </c>
    </row>
    <row r="4369" spans="1:4" x14ac:dyDescent="0.25">
      <c r="A4369" s="88" t="str">
        <f t="shared" si="224"/>
        <v>12-2034</v>
      </c>
      <c r="B4369" s="86">
        <v>49295</v>
      </c>
      <c r="C4369" t="str">
        <f t="shared" si="225"/>
        <v>DOM</v>
      </c>
      <c r="D4369" t="str">
        <f t="shared" si="226"/>
        <v>Domingo</v>
      </c>
    </row>
    <row r="4370" spans="1:4" x14ac:dyDescent="0.25">
      <c r="A4370" s="88" t="str">
        <f t="shared" si="224"/>
        <v>12-2034</v>
      </c>
      <c r="B4370" s="86">
        <v>49296</v>
      </c>
      <c r="C4370" t="str">
        <f t="shared" si="225"/>
        <v>L-V</v>
      </c>
      <c r="D4370" t="str">
        <f t="shared" si="226"/>
        <v>Lunes</v>
      </c>
    </row>
    <row r="4371" spans="1:4" x14ac:dyDescent="0.25">
      <c r="A4371" s="88" t="str">
        <f t="shared" si="224"/>
        <v>12-2034</v>
      </c>
      <c r="B4371" s="86">
        <v>49297</v>
      </c>
      <c r="C4371" t="str">
        <f t="shared" si="225"/>
        <v>L-V</v>
      </c>
      <c r="D4371" t="str">
        <f t="shared" si="226"/>
        <v>Martes</v>
      </c>
    </row>
    <row r="4372" spans="1:4" x14ac:dyDescent="0.25">
      <c r="A4372" s="88" t="str">
        <f t="shared" si="224"/>
        <v>12-2034</v>
      </c>
      <c r="B4372" s="86">
        <v>49298</v>
      </c>
      <c r="C4372" t="str">
        <f t="shared" si="225"/>
        <v>L-V</v>
      </c>
      <c r="D4372" t="str">
        <f t="shared" si="226"/>
        <v>Miércoles</v>
      </c>
    </row>
    <row r="4373" spans="1:4" x14ac:dyDescent="0.25">
      <c r="A4373" s="88" t="str">
        <f t="shared" si="224"/>
        <v>12-2034</v>
      </c>
      <c r="B4373" s="86">
        <v>49299</v>
      </c>
      <c r="C4373" t="str">
        <f t="shared" si="225"/>
        <v>L-V</v>
      </c>
      <c r="D4373" t="str">
        <f t="shared" si="226"/>
        <v>Jueves</v>
      </c>
    </row>
    <row r="4374" spans="1:4" x14ac:dyDescent="0.25">
      <c r="A4374" s="88" t="str">
        <f t="shared" si="224"/>
        <v>12-2034</v>
      </c>
      <c r="B4374" s="86">
        <v>49300</v>
      </c>
      <c r="C4374" t="str">
        <f t="shared" si="225"/>
        <v>L-V</v>
      </c>
      <c r="D4374" t="str">
        <f t="shared" si="226"/>
        <v>Viernes</v>
      </c>
    </row>
    <row r="4375" spans="1:4" x14ac:dyDescent="0.25">
      <c r="A4375" s="88" t="str">
        <f t="shared" si="224"/>
        <v>12-2034</v>
      </c>
      <c r="B4375" s="86">
        <v>49301</v>
      </c>
      <c r="C4375" t="str">
        <f t="shared" si="225"/>
        <v>SAB</v>
      </c>
      <c r="D4375" t="str">
        <f t="shared" si="226"/>
        <v>Sábado</v>
      </c>
    </row>
    <row r="4376" spans="1:4" x14ac:dyDescent="0.25">
      <c r="A4376" s="88" t="str">
        <f t="shared" si="224"/>
        <v>12-2034</v>
      </c>
      <c r="B4376" s="86">
        <v>49302</v>
      </c>
      <c r="C4376" t="str">
        <f t="shared" si="225"/>
        <v>DOM</v>
      </c>
      <c r="D4376" t="str">
        <f t="shared" si="226"/>
        <v>Domingo</v>
      </c>
    </row>
    <row r="4377" spans="1:4" x14ac:dyDescent="0.25">
      <c r="A4377" s="88" t="str">
        <f t="shared" si="224"/>
        <v>12-2034</v>
      </c>
      <c r="B4377" s="86">
        <v>49303</v>
      </c>
      <c r="C4377" t="str">
        <f t="shared" si="225"/>
        <v>L-V</v>
      </c>
      <c r="D4377" t="str">
        <f t="shared" si="226"/>
        <v>Lunes</v>
      </c>
    </row>
    <row r="4378" spans="1:4" x14ac:dyDescent="0.25">
      <c r="A4378" s="88" t="str">
        <f t="shared" si="224"/>
        <v>12-2034</v>
      </c>
      <c r="B4378" s="86">
        <v>49304</v>
      </c>
      <c r="C4378" t="str">
        <f t="shared" si="225"/>
        <v>L-V</v>
      </c>
      <c r="D4378" t="str">
        <f t="shared" si="226"/>
        <v>Martes</v>
      </c>
    </row>
    <row r="4379" spans="1:4" x14ac:dyDescent="0.25">
      <c r="A4379" s="88" t="str">
        <f t="shared" si="224"/>
        <v>12-2034</v>
      </c>
      <c r="B4379" s="86">
        <v>49305</v>
      </c>
      <c r="C4379" t="str">
        <f t="shared" si="225"/>
        <v>L-V</v>
      </c>
      <c r="D4379" t="str">
        <f t="shared" si="226"/>
        <v>Miércoles</v>
      </c>
    </row>
    <row r="4380" spans="1:4" x14ac:dyDescent="0.25">
      <c r="A4380" s="88" t="str">
        <f t="shared" si="224"/>
        <v>12-2034</v>
      </c>
      <c r="B4380" s="86">
        <v>49306</v>
      </c>
      <c r="C4380" t="str">
        <f t="shared" si="225"/>
        <v>L-V</v>
      </c>
      <c r="D4380" t="str">
        <f t="shared" si="226"/>
        <v>Jueves</v>
      </c>
    </row>
    <row r="4381" spans="1:4" x14ac:dyDescent="0.25">
      <c r="A4381" s="88" t="str">
        <f t="shared" si="224"/>
        <v>12-2034</v>
      </c>
      <c r="B4381" s="86">
        <v>49307</v>
      </c>
      <c r="C4381" t="str">
        <f t="shared" si="225"/>
        <v>L-V</v>
      </c>
      <c r="D4381" t="str">
        <f t="shared" si="226"/>
        <v>Viernes</v>
      </c>
    </row>
    <row r="4382" spans="1:4" x14ac:dyDescent="0.25">
      <c r="A4382" s="88" t="str">
        <f t="shared" si="224"/>
        <v>12-2034</v>
      </c>
      <c r="B4382" s="86">
        <v>49308</v>
      </c>
      <c r="C4382" t="str">
        <f t="shared" si="225"/>
        <v>SAB</v>
      </c>
      <c r="D4382" t="str">
        <f t="shared" si="226"/>
        <v>Sábado</v>
      </c>
    </row>
    <row r="4383" spans="1:4" x14ac:dyDescent="0.25">
      <c r="A4383" s="88" t="str">
        <f t="shared" si="224"/>
        <v>12-2034</v>
      </c>
      <c r="B4383" s="86">
        <v>49309</v>
      </c>
      <c r="C4383" t="str">
        <f t="shared" si="225"/>
        <v>DOM</v>
      </c>
      <c r="D4383" t="str">
        <f t="shared" si="226"/>
        <v>Domingo</v>
      </c>
    </row>
    <row r="4384" spans="1:4" x14ac:dyDescent="0.25">
      <c r="A4384" s="88" t="str">
        <f t="shared" si="224"/>
        <v>1-2035</v>
      </c>
      <c r="B4384" s="86">
        <v>49310</v>
      </c>
      <c r="C4384" t="str">
        <f t="shared" si="225"/>
        <v>L-V</v>
      </c>
      <c r="D4384" t="str">
        <f t="shared" si="226"/>
        <v>Lunes</v>
      </c>
    </row>
    <row r="4385" spans="1:4" x14ac:dyDescent="0.25">
      <c r="A4385" s="88" t="str">
        <f t="shared" si="224"/>
        <v>1-2035</v>
      </c>
      <c r="B4385" s="86">
        <v>49311</v>
      </c>
      <c r="C4385" t="str">
        <f t="shared" si="225"/>
        <v>L-V</v>
      </c>
      <c r="D4385" t="str">
        <f t="shared" si="226"/>
        <v>Martes</v>
      </c>
    </row>
    <row r="4386" spans="1:4" x14ac:dyDescent="0.25">
      <c r="A4386" s="88" t="str">
        <f t="shared" si="224"/>
        <v>1-2035</v>
      </c>
      <c r="B4386" s="86">
        <v>49312</v>
      </c>
      <c r="C4386" t="str">
        <f t="shared" si="225"/>
        <v>L-V</v>
      </c>
      <c r="D4386" t="str">
        <f t="shared" si="226"/>
        <v>Miércoles</v>
      </c>
    </row>
    <row r="4387" spans="1:4" x14ac:dyDescent="0.25">
      <c r="A4387" s="88" t="str">
        <f t="shared" si="224"/>
        <v>1-2035</v>
      </c>
      <c r="B4387" s="86">
        <v>49313</v>
      </c>
      <c r="C4387" t="str">
        <f t="shared" si="225"/>
        <v>L-V</v>
      </c>
      <c r="D4387" t="str">
        <f t="shared" si="226"/>
        <v>Jueves</v>
      </c>
    </row>
    <row r="4388" spans="1:4" x14ac:dyDescent="0.25">
      <c r="A4388" s="88" t="str">
        <f t="shared" si="224"/>
        <v>1-2035</v>
      </c>
      <c r="B4388" s="86">
        <v>49314</v>
      </c>
      <c r="C4388" t="str">
        <f t="shared" si="225"/>
        <v>L-V</v>
      </c>
      <c r="D4388" t="str">
        <f t="shared" si="226"/>
        <v>Viernes</v>
      </c>
    </row>
    <row r="4389" spans="1:4" x14ac:dyDescent="0.25">
      <c r="A4389" s="88" t="str">
        <f t="shared" si="224"/>
        <v>1-2035</v>
      </c>
      <c r="B4389" s="86">
        <v>49315</v>
      </c>
      <c r="C4389" t="str">
        <f t="shared" si="225"/>
        <v>SAB</v>
      </c>
      <c r="D4389" t="str">
        <f t="shared" si="226"/>
        <v>Sábado</v>
      </c>
    </row>
    <row r="4390" spans="1:4" x14ac:dyDescent="0.25">
      <c r="A4390" s="88" t="str">
        <f t="shared" si="224"/>
        <v>1-2035</v>
      </c>
      <c r="B4390" s="86">
        <v>49316</v>
      </c>
      <c r="C4390" t="str">
        <f t="shared" si="225"/>
        <v>DOM</v>
      </c>
      <c r="D4390" t="str">
        <f t="shared" si="226"/>
        <v>Domingo</v>
      </c>
    </row>
    <row r="4391" spans="1:4" x14ac:dyDescent="0.25">
      <c r="A4391" s="88" t="str">
        <f t="shared" si="224"/>
        <v>1-2035</v>
      </c>
      <c r="B4391" s="86">
        <v>49317</v>
      </c>
      <c r="C4391" t="str">
        <f t="shared" si="225"/>
        <v>L-V</v>
      </c>
      <c r="D4391" t="str">
        <f t="shared" si="226"/>
        <v>Lunes</v>
      </c>
    </row>
    <row r="4392" spans="1:4" x14ac:dyDescent="0.25">
      <c r="A4392" s="88" t="str">
        <f t="shared" si="224"/>
        <v>1-2035</v>
      </c>
      <c r="B4392" s="86">
        <v>49318</v>
      </c>
      <c r="C4392" t="str">
        <f t="shared" si="225"/>
        <v>L-V</v>
      </c>
      <c r="D4392" t="str">
        <f t="shared" si="226"/>
        <v>Martes</v>
      </c>
    </row>
    <row r="4393" spans="1:4" x14ac:dyDescent="0.25">
      <c r="A4393" s="88" t="str">
        <f t="shared" si="224"/>
        <v>1-2035</v>
      </c>
      <c r="B4393" s="86">
        <v>49319</v>
      </c>
      <c r="C4393" t="str">
        <f t="shared" si="225"/>
        <v>L-V</v>
      </c>
      <c r="D4393" t="str">
        <f t="shared" si="226"/>
        <v>Miércoles</v>
      </c>
    </row>
    <row r="4394" spans="1:4" x14ac:dyDescent="0.25">
      <c r="A4394" s="88" t="str">
        <f t="shared" si="224"/>
        <v>1-2035</v>
      </c>
      <c r="B4394" s="86">
        <v>49320</v>
      </c>
      <c r="C4394" t="str">
        <f t="shared" si="225"/>
        <v>L-V</v>
      </c>
      <c r="D4394" t="str">
        <f t="shared" si="226"/>
        <v>Jueves</v>
      </c>
    </row>
    <row r="4395" spans="1:4" x14ac:dyDescent="0.25">
      <c r="A4395" s="88" t="str">
        <f t="shared" si="224"/>
        <v>1-2035</v>
      </c>
      <c r="B4395" s="86">
        <v>49321</v>
      </c>
      <c r="C4395" t="str">
        <f t="shared" si="225"/>
        <v>L-V</v>
      </c>
      <c r="D4395" t="str">
        <f t="shared" si="226"/>
        <v>Viernes</v>
      </c>
    </row>
    <row r="4396" spans="1:4" x14ac:dyDescent="0.25">
      <c r="A4396" s="88" t="str">
        <f t="shared" si="224"/>
        <v>1-2035</v>
      </c>
      <c r="B4396" s="86">
        <v>49322</v>
      </c>
      <c r="C4396" t="str">
        <f t="shared" si="225"/>
        <v>SAB</v>
      </c>
      <c r="D4396" t="str">
        <f t="shared" si="226"/>
        <v>Sábado</v>
      </c>
    </row>
    <row r="4397" spans="1:4" x14ac:dyDescent="0.25">
      <c r="A4397" s="88" t="str">
        <f t="shared" si="224"/>
        <v>1-2035</v>
      </c>
      <c r="B4397" s="86">
        <v>49323</v>
      </c>
      <c r="C4397" t="str">
        <f t="shared" si="225"/>
        <v>DOM</v>
      </c>
      <c r="D4397" t="str">
        <f t="shared" si="226"/>
        <v>Domingo</v>
      </c>
    </row>
    <row r="4398" spans="1:4" x14ac:dyDescent="0.25">
      <c r="A4398" s="88" t="str">
        <f t="shared" si="224"/>
        <v>1-2035</v>
      </c>
      <c r="B4398" s="86">
        <v>49324</v>
      </c>
      <c r="C4398" t="str">
        <f t="shared" si="225"/>
        <v>L-V</v>
      </c>
      <c r="D4398" t="str">
        <f t="shared" si="226"/>
        <v>Lunes</v>
      </c>
    </row>
    <row r="4399" spans="1:4" x14ac:dyDescent="0.25">
      <c r="A4399" s="88" t="str">
        <f t="shared" si="224"/>
        <v>1-2035</v>
      </c>
      <c r="B4399" s="86">
        <v>49325</v>
      </c>
      <c r="C4399" t="str">
        <f t="shared" si="225"/>
        <v>L-V</v>
      </c>
      <c r="D4399" t="str">
        <f t="shared" si="226"/>
        <v>Martes</v>
      </c>
    </row>
    <row r="4400" spans="1:4" x14ac:dyDescent="0.25">
      <c r="A4400" s="88" t="str">
        <f t="shared" si="224"/>
        <v>1-2035</v>
      </c>
      <c r="B4400" s="86">
        <v>49326</v>
      </c>
      <c r="C4400" t="str">
        <f t="shared" si="225"/>
        <v>L-V</v>
      </c>
      <c r="D4400" t="str">
        <f t="shared" si="226"/>
        <v>Miércoles</v>
      </c>
    </row>
    <row r="4401" spans="1:4" x14ac:dyDescent="0.25">
      <c r="A4401" s="88" t="str">
        <f t="shared" si="224"/>
        <v>1-2035</v>
      </c>
      <c r="B4401" s="86">
        <v>49327</v>
      </c>
      <c r="C4401" t="str">
        <f t="shared" si="225"/>
        <v>L-V</v>
      </c>
      <c r="D4401" t="str">
        <f t="shared" si="226"/>
        <v>Jueves</v>
      </c>
    </row>
    <row r="4402" spans="1:4" x14ac:dyDescent="0.25">
      <c r="A4402" s="88" t="str">
        <f t="shared" si="224"/>
        <v>1-2035</v>
      </c>
      <c r="B4402" s="86">
        <v>49328</v>
      </c>
      <c r="C4402" t="str">
        <f t="shared" si="225"/>
        <v>L-V</v>
      </c>
      <c r="D4402" t="str">
        <f t="shared" si="226"/>
        <v>Viernes</v>
      </c>
    </row>
    <row r="4403" spans="1:4" x14ac:dyDescent="0.25">
      <c r="A4403" s="88" t="str">
        <f t="shared" si="224"/>
        <v>1-2035</v>
      </c>
      <c r="B4403" s="86">
        <v>49329</v>
      </c>
      <c r="C4403" t="str">
        <f t="shared" si="225"/>
        <v>SAB</v>
      </c>
      <c r="D4403" t="str">
        <f t="shared" si="226"/>
        <v>Sábado</v>
      </c>
    </row>
    <row r="4404" spans="1:4" x14ac:dyDescent="0.25">
      <c r="A4404" s="88" t="str">
        <f t="shared" si="224"/>
        <v>1-2035</v>
      </c>
      <c r="B4404" s="86">
        <v>49330</v>
      </c>
      <c r="C4404" t="str">
        <f t="shared" si="225"/>
        <v>DOM</v>
      </c>
      <c r="D4404" t="str">
        <f t="shared" si="226"/>
        <v>Domingo</v>
      </c>
    </row>
    <row r="4405" spans="1:4" x14ac:dyDescent="0.25">
      <c r="A4405" s="88" t="str">
        <f t="shared" si="224"/>
        <v>1-2035</v>
      </c>
      <c r="B4405" s="86">
        <v>49331</v>
      </c>
      <c r="C4405" t="str">
        <f t="shared" si="225"/>
        <v>L-V</v>
      </c>
      <c r="D4405" t="str">
        <f t="shared" si="226"/>
        <v>Lunes</v>
      </c>
    </row>
    <row r="4406" spans="1:4" x14ac:dyDescent="0.25">
      <c r="A4406" s="88" t="str">
        <f t="shared" si="224"/>
        <v>1-2035</v>
      </c>
      <c r="B4406" s="86">
        <v>49332</v>
      </c>
      <c r="C4406" t="str">
        <f t="shared" si="225"/>
        <v>L-V</v>
      </c>
      <c r="D4406" t="str">
        <f t="shared" si="226"/>
        <v>Martes</v>
      </c>
    </row>
    <row r="4407" spans="1:4" x14ac:dyDescent="0.25">
      <c r="A4407" s="88" t="str">
        <f t="shared" si="224"/>
        <v>1-2035</v>
      </c>
      <c r="B4407" s="86">
        <v>49333</v>
      </c>
      <c r="C4407" t="str">
        <f t="shared" si="225"/>
        <v>L-V</v>
      </c>
      <c r="D4407" t="str">
        <f t="shared" si="226"/>
        <v>Miércoles</v>
      </c>
    </row>
    <row r="4408" spans="1:4" x14ac:dyDescent="0.25">
      <c r="A4408" s="88" t="str">
        <f t="shared" si="224"/>
        <v>1-2035</v>
      </c>
      <c r="B4408" s="86">
        <v>49334</v>
      </c>
      <c r="C4408" t="str">
        <f t="shared" si="225"/>
        <v>L-V</v>
      </c>
      <c r="D4408" t="str">
        <f t="shared" si="226"/>
        <v>Jueves</v>
      </c>
    </row>
    <row r="4409" spans="1:4" x14ac:dyDescent="0.25">
      <c r="A4409" s="88" t="str">
        <f t="shared" si="224"/>
        <v>1-2035</v>
      </c>
      <c r="B4409" s="86">
        <v>49335</v>
      </c>
      <c r="C4409" t="str">
        <f t="shared" si="225"/>
        <v>L-V</v>
      </c>
      <c r="D4409" t="str">
        <f t="shared" si="226"/>
        <v>Viernes</v>
      </c>
    </row>
    <row r="4410" spans="1:4" x14ac:dyDescent="0.25">
      <c r="A4410" s="88" t="str">
        <f t="shared" si="224"/>
        <v>1-2035</v>
      </c>
      <c r="B4410" s="86">
        <v>49336</v>
      </c>
      <c r="C4410" t="str">
        <f t="shared" si="225"/>
        <v>SAB</v>
      </c>
      <c r="D4410" t="str">
        <f t="shared" si="226"/>
        <v>Sábado</v>
      </c>
    </row>
    <row r="4411" spans="1:4" x14ac:dyDescent="0.25">
      <c r="A4411" s="88" t="str">
        <f t="shared" si="224"/>
        <v>1-2035</v>
      </c>
      <c r="B4411" s="86">
        <v>49337</v>
      </c>
      <c r="C4411" t="str">
        <f t="shared" si="225"/>
        <v>DOM</v>
      </c>
      <c r="D4411" t="str">
        <f t="shared" si="226"/>
        <v>Domingo</v>
      </c>
    </row>
    <row r="4412" spans="1:4" x14ac:dyDescent="0.25">
      <c r="A4412" s="88" t="str">
        <f t="shared" si="224"/>
        <v>1-2035</v>
      </c>
      <c r="B4412" s="86">
        <v>49338</v>
      </c>
      <c r="C4412" t="str">
        <f t="shared" si="225"/>
        <v>L-V</v>
      </c>
      <c r="D4412" t="str">
        <f t="shared" si="226"/>
        <v>Lunes</v>
      </c>
    </row>
    <row r="4413" spans="1:4" x14ac:dyDescent="0.25">
      <c r="A4413" s="88" t="str">
        <f t="shared" si="224"/>
        <v>1-2035</v>
      </c>
      <c r="B4413" s="86">
        <v>49339</v>
      </c>
      <c r="C4413" t="str">
        <f t="shared" si="225"/>
        <v>L-V</v>
      </c>
      <c r="D4413" t="str">
        <f t="shared" si="226"/>
        <v>Martes</v>
      </c>
    </row>
    <row r="4414" spans="1:4" x14ac:dyDescent="0.25">
      <c r="A4414" s="88" t="str">
        <f t="shared" si="224"/>
        <v>1-2035</v>
      </c>
      <c r="B4414" s="86">
        <v>49340</v>
      </c>
      <c r="C4414" t="str">
        <f t="shared" si="225"/>
        <v>L-V</v>
      </c>
      <c r="D4414" t="str">
        <f t="shared" si="226"/>
        <v>Miércoles</v>
      </c>
    </row>
    <row r="4415" spans="1:4" x14ac:dyDescent="0.25">
      <c r="A4415" s="88" t="str">
        <f t="shared" si="224"/>
        <v>2-2035</v>
      </c>
      <c r="B4415" s="86">
        <v>49341</v>
      </c>
      <c r="C4415" t="str">
        <f t="shared" si="225"/>
        <v>L-V</v>
      </c>
      <c r="D4415" t="str">
        <f t="shared" si="226"/>
        <v>Jueves</v>
      </c>
    </row>
    <row r="4416" spans="1:4" x14ac:dyDescent="0.25">
      <c r="A4416" s="88" t="str">
        <f t="shared" si="224"/>
        <v>2-2035</v>
      </c>
      <c r="B4416" s="86">
        <v>49342</v>
      </c>
      <c r="C4416" t="str">
        <f t="shared" si="225"/>
        <v>L-V</v>
      </c>
      <c r="D4416" t="str">
        <f t="shared" si="226"/>
        <v>Viernes</v>
      </c>
    </row>
    <row r="4417" spans="1:4" x14ac:dyDescent="0.25">
      <c r="A4417" s="88" t="str">
        <f t="shared" si="224"/>
        <v>2-2035</v>
      </c>
      <c r="B4417" s="86">
        <v>49343</v>
      </c>
      <c r="C4417" t="str">
        <f t="shared" si="225"/>
        <v>SAB</v>
      </c>
      <c r="D4417" t="str">
        <f t="shared" si="226"/>
        <v>Sábado</v>
      </c>
    </row>
    <row r="4418" spans="1:4" x14ac:dyDescent="0.25">
      <c r="A4418" s="88" t="str">
        <f t="shared" ref="A4418:A4464" si="227">MONTH(B4418)&amp;"-"&amp;YEAR(B4418)</f>
        <v>2-2035</v>
      </c>
      <c r="B4418" s="86">
        <v>49344</v>
      </c>
      <c r="C4418" t="str">
        <f t="shared" si="225"/>
        <v>DOM</v>
      </c>
      <c r="D4418" t="str">
        <f t="shared" si="226"/>
        <v>Domingo</v>
      </c>
    </row>
    <row r="4419" spans="1:4" x14ac:dyDescent="0.25">
      <c r="A4419" s="88" t="str">
        <f t="shared" si="227"/>
        <v>2-2035</v>
      </c>
      <c r="B4419" s="86">
        <v>49345</v>
      </c>
      <c r="C4419" t="str">
        <f t="shared" ref="C4419:C4464" si="228">VLOOKUP(WEEKDAY(B4419,2),$F$1:$H$7,2)</f>
        <v>L-V</v>
      </c>
      <c r="D4419" t="str">
        <f t="shared" ref="D4419:D4482" si="229">VLOOKUP(WEEKDAY($B4419,2),$F$1:$H$7,3)</f>
        <v>Lunes</v>
      </c>
    </row>
    <row r="4420" spans="1:4" x14ac:dyDescent="0.25">
      <c r="A4420" s="88" t="str">
        <f t="shared" si="227"/>
        <v>2-2035</v>
      </c>
      <c r="B4420" s="86">
        <v>49346</v>
      </c>
      <c r="C4420" t="str">
        <f t="shared" si="228"/>
        <v>L-V</v>
      </c>
      <c r="D4420" t="str">
        <f t="shared" si="229"/>
        <v>Martes</v>
      </c>
    </row>
    <row r="4421" spans="1:4" x14ac:dyDescent="0.25">
      <c r="A4421" s="88" t="str">
        <f t="shared" si="227"/>
        <v>2-2035</v>
      </c>
      <c r="B4421" s="86">
        <v>49347</v>
      </c>
      <c r="C4421" t="str">
        <f t="shared" si="228"/>
        <v>L-V</v>
      </c>
      <c r="D4421" t="str">
        <f t="shared" si="229"/>
        <v>Miércoles</v>
      </c>
    </row>
    <row r="4422" spans="1:4" x14ac:dyDescent="0.25">
      <c r="A4422" s="88" t="str">
        <f t="shared" si="227"/>
        <v>2-2035</v>
      </c>
      <c r="B4422" s="86">
        <v>49348</v>
      </c>
      <c r="C4422" t="str">
        <f t="shared" si="228"/>
        <v>L-V</v>
      </c>
      <c r="D4422" t="str">
        <f t="shared" si="229"/>
        <v>Jueves</v>
      </c>
    </row>
    <row r="4423" spans="1:4" x14ac:dyDescent="0.25">
      <c r="A4423" s="88" t="str">
        <f t="shared" si="227"/>
        <v>2-2035</v>
      </c>
      <c r="B4423" s="86">
        <v>49349</v>
      </c>
      <c r="C4423" t="str">
        <f t="shared" si="228"/>
        <v>L-V</v>
      </c>
      <c r="D4423" t="str">
        <f t="shared" si="229"/>
        <v>Viernes</v>
      </c>
    </row>
    <row r="4424" spans="1:4" x14ac:dyDescent="0.25">
      <c r="A4424" s="88" t="str">
        <f t="shared" si="227"/>
        <v>2-2035</v>
      </c>
      <c r="B4424" s="86">
        <v>49350</v>
      </c>
      <c r="C4424" t="str">
        <f t="shared" si="228"/>
        <v>SAB</v>
      </c>
      <c r="D4424" t="str">
        <f t="shared" si="229"/>
        <v>Sábado</v>
      </c>
    </row>
    <row r="4425" spans="1:4" x14ac:dyDescent="0.25">
      <c r="A4425" s="88" t="str">
        <f t="shared" si="227"/>
        <v>2-2035</v>
      </c>
      <c r="B4425" s="86">
        <v>49351</v>
      </c>
      <c r="C4425" t="str">
        <f t="shared" si="228"/>
        <v>DOM</v>
      </c>
      <c r="D4425" t="str">
        <f t="shared" si="229"/>
        <v>Domingo</v>
      </c>
    </row>
    <row r="4426" spans="1:4" x14ac:dyDescent="0.25">
      <c r="A4426" s="88" t="str">
        <f t="shared" si="227"/>
        <v>2-2035</v>
      </c>
      <c r="B4426" s="86">
        <v>49352</v>
      </c>
      <c r="C4426" t="str">
        <f t="shared" si="228"/>
        <v>L-V</v>
      </c>
      <c r="D4426" t="str">
        <f t="shared" si="229"/>
        <v>Lunes</v>
      </c>
    </row>
    <row r="4427" spans="1:4" x14ac:dyDescent="0.25">
      <c r="A4427" s="88" t="str">
        <f t="shared" si="227"/>
        <v>2-2035</v>
      </c>
      <c r="B4427" s="86">
        <v>49353</v>
      </c>
      <c r="C4427" t="str">
        <f t="shared" si="228"/>
        <v>L-V</v>
      </c>
      <c r="D4427" t="str">
        <f t="shared" si="229"/>
        <v>Martes</v>
      </c>
    </row>
    <row r="4428" spans="1:4" x14ac:dyDescent="0.25">
      <c r="A4428" s="88" t="str">
        <f t="shared" si="227"/>
        <v>2-2035</v>
      </c>
      <c r="B4428" s="86">
        <v>49354</v>
      </c>
      <c r="C4428" t="str">
        <f t="shared" si="228"/>
        <v>L-V</v>
      </c>
      <c r="D4428" t="str">
        <f t="shared" si="229"/>
        <v>Miércoles</v>
      </c>
    </row>
    <row r="4429" spans="1:4" x14ac:dyDescent="0.25">
      <c r="A4429" s="88" t="str">
        <f t="shared" si="227"/>
        <v>2-2035</v>
      </c>
      <c r="B4429" s="86">
        <v>49355</v>
      </c>
      <c r="C4429" t="str">
        <f t="shared" si="228"/>
        <v>L-V</v>
      </c>
      <c r="D4429" t="str">
        <f t="shared" si="229"/>
        <v>Jueves</v>
      </c>
    </row>
    <row r="4430" spans="1:4" x14ac:dyDescent="0.25">
      <c r="A4430" s="88" t="str">
        <f t="shared" si="227"/>
        <v>2-2035</v>
      </c>
      <c r="B4430" s="86">
        <v>49356</v>
      </c>
      <c r="C4430" t="str">
        <f t="shared" si="228"/>
        <v>L-V</v>
      </c>
      <c r="D4430" t="str">
        <f t="shared" si="229"/>
        <v>Viernes</v>
      </c>
    </row>
    <row r="4431" spans="1:4" x14ac:dyDescent="0.25">
      <c r="A4431" s="88" t="str">
        <f t="shared" si="227"/>
        <v>2-2035</v>
      </c>
      <c r="B4431" s="86">
        <v>49357</v>
      </c>
      <c r="C4431" t="str">
        <f t="shared" si="228"/>
        <v>SAB</v>
      </c>
      <c r="D4431" t="str">
        <f t="shared" si="229"/>
        <v>Sábado</v>
      </c>
    </row>
    <row r="4432" spans="1:4" x14ac:dyDescent="0.25">
      <c r="A4432" s="88" t="str">
        <f t="shared" si="227"/>
        <v>2-2035</v>
      </c>
      <c r="B4432" s="86">
        <v>49358</v>
      </c>
      <c r="C4432" t="str">
        <f t="shared" si="228"/>
        <v>DOM</v>
      </c>
      <c r="D4432" t="str">
        <f t="shared" si="229"/>
        <v>Domingo</v>
      </c>
    </row>
    <row r="4433" spans="1:4" x14ac:dyDescent="0.25">
      <c r="A4433" s="88" t="str">
        <f t="shared" si="227"/>
        <v>2-2035</v>
      </c>
      <c r="B4433" s="86">
        <v>49359</v>
      </c>
      <c r="C4433" t="str">
        <f t="shared" si="228"/>
        <v>L-V</v>
      </c>
      <c r="D4433" t="str">
        <f t="shared" si="229"/>
        <v>Lunes</v>
      </c>
    </row>
    <row r="4434" spans="1:4" x14ac:dyDescent="0.25">
      <c r="A4434" s="88" t="str">
        <f t="shared" si="227"/>
        <v>2-2035</v>
      </c>
      <c r="B4434" s="86">
        <v>49360</v>
      </c>
      <c r="C4434" t="str">
        <f t="shared" si="228"/>
        <v>L-V</v>
      </c>
      <c r="D4434" t="str">
        <f t="shared" si="229"/>
        <v>Martes</v>
      </c>
    </row>
    <row r="4435" spans="1:4" x14ac:dyDescent="0.25">
      <c r="A4435" s="88" t="str">
        <f t="shared" si="227"/>
        <v>2-2035</v>
      </c>
      <c r="B4435" s="86">
        <v>49361</v>
      </c>
      <c r="C4435" t="str">
        <f t="shared" si="228"/>
        <v>L-V</v>
      </c>
      <c r="D4435" t="str">
        <f t="shared" si="229"/>
        <v>Miércoles</v>
      </c>
    </row>
    <row r="4436" spans="1:4" x14ac:dyDescent="0.25">
      <c r="A4436" s="88" t="str">
        <f t="shared" si="227"/>
        <v>2-2035</v>
      </c>
      <c r="B4436" s="86">
        <v>49362</v>
      </c>
      <c r="C4436" t="str">
        <f t="shared" si="228"/>
        <v>L-V</v>
      </c>
      <c r="D4436" t="str">
        <f t="shared" si="229"/>
        <v>Jueves</v>
      </c>
    </row>
    <row r="4437" spans="1:4" x14ac:dyDescent="0.25">
      <c r="A4437" s="88" t="str">
        <f t="shared" si="227"/>
        <v>2-2035</v>
      </c>
      <c r="B4437" s="86">
        <v>49363</v>
      </c>
      <c r="C4437" t="str">
        <f t="shared" si="228"/>
        <v>L-V</v>
      </c>
      <c r="D4437" t="str">
        <f t="shared" si="229"/>
        <v>Viernes</v>
      </c>
    </row>
    <row r="4438" spans="1:4" x14ac:dyDescent="0.25">
      <c r="A4438" s="88" t="str">
        <f t="shared" si="227"/>
        <v>2-2035</v>
      </c>
      <c r="B4438" s="86">
        <v>49364</v>
      </c>
      <c r="C4438" t="str">
        <f t="shared" si="228"/>
        <v>SAB</v>
      </c>
      <c r="D4438" t="str">
        <f t="shared" si="229"/>
        <v>Sábado</v>
      </c>
    </row>
    <row r="4439" spans="1:4" x14ac:dyDescent="0.25">
      <c r="A4439" s="88" t="str">
        <f t="shared" si="227"/>
        <v>2-2035</v>
      </c>
      <c r="B4439" s="86">
        <v>49365</v>
      </c>
      <c r="C4439" t="str">
        <f t="shared" si="228"/>
        <v>DOM</v>
      </c>
      <c r="D4439" t="str">
        <f t="shared" si="229"/>
        <v>Domingo</v>
      </c>
    </row>
    <row r="4440" spans="1:4" x14ac:dyDescent="0.25">
      <c r="A4440" s="88" t="str">
        <f t="shared" si="227"/>
        <v>2-2035</v>
      </c>
      <c r="B4440" s="86">
        <v>49366</v>
      </c>
      <c r="C4440" t="str">
        <f t="shared" si="228"/>
        <v>L-V</v>
      </c>
      <c r="D4440" t="str">
        <f t="shared" si="229"/>
        <v>Lunes</v>
      </c>
    </row>
    <row r="4441" spans="1:4" x14ac:dyDescent="0.25">
      <c r="A4441" s="88" t="str">
        <f t="shared" si="227"/>
        <v>2-2035</v>
      </c>
      <c r="B4441" s="86">
        <v>49367</v>
      </c>
      <c r="C4441" t="str">
        <f t="shared" si="228"/>
        <v>L-V</v>
      </c>
      <c r="D4441" t="str">
        <f t="shared" si="229"/>
        <v>Martes</v>
      </c>
    </row>
    <row r="4442" spans="1:4" x14ac:dyDescent="0.25">
      <c r="A4442" s="88" t="str">
        <f t="shared" si="227"/>
        <v>2-2035</v>
      </c>
      <c r="B4442" s="86">
        <v>49368</v>
      </c>
      <c r="C4442" t="str">
        <f t="shared" si="228"/>
        <v>L-V</v>
      </c>
      <c r="D4442" t="str">
        <f t="shared" si="229"/>
        <v>Miércoles</v>
      </c>
    </row>
    <row r="4443" spans="1:4" x14ac:dyDescent="0.25">
      <c r="A4443" s="88" t="str">
        <f t="shared" si="227"/>
        <v>3-2035</v>
      </c>
      <c r="B4443" s="86">
        <v>49369</v>
      </c>
      <c r="C4443" t="str">
        <f t="shared" si="228"/>
        <v>L-V</v>
      </c>
      <c r="D4443" t="str">
        <f t="shared" si="229"/>
        <v>Jueves</v>
      </c>
    </row>
    <row r="4444" spans="1:4" x14ac:dyDescent="0.25">
      <c r="A4444" s="88" t="str">
        <f t="shared" si="227"/>
        <v>3-2035</v>
      </c>
      <c r="B4444" s="86">
        <v>49370</v>
      </c>
      <c r="C4444" t="str">
        <f t="shared" si="228"/>
        <v>L-V</v>
      </c>
      <c r="D4444" t="str">
        <f t="shared" si="229"/>
        <v>Viernes</v>
      </c>
    </row>
    <row r="4445" spans="1:4" x14ac:dyDescent="0.25">
      <c r="A4445" s="88" t="str">
        <f t="shared" si="227"/>
        <v>3-2035</v>
      </c>
      <c r="B4445" s="86">
        <v>49371</v>
      </c>
      <c r="C4445" t="str">
        <f t="shared" si="228"/>
        <v>SAB</v>
      </c>
      <c r="D4445" t="str">
        <f t="shared" si="229"/>
        <v>Sábado</v>
      </c>
    </row>
    <row r="4446" spans="1:4" x14ac:dyDescent="0.25">
      <c r="A4446" s="88" t="str">
        <f t="shared" si="227"/>
        <v>3-2035</v>
      </c>
      <c r="B4446" s="86">
        <v>49372</v>
      </c>
      <c r="C4446" t="str">
        <f t="shared" si="228"/>
        <v>DOM</v>
      </c>
      <c r="D4446" t="str">
        <f t="shared" si="229"/>
        <v>Domingo</v>
      </c>
    </row>
    <row r="4447" spans="1:4" x14ac:dyDescent="0.25">
      <c r="A4447" s="88" t="str">
        <f t="shared" si="227"/>
        <v>3-2035</v>
      </c>
      <c r="B4447" s="86">
        <v>49373</v>
      </c>
      <c r="C4447" t="str">
        <f t="shared" si="228"/>
        <v>L-V</v>
      </c>
      <c r="D4447" t="str">
        <f t="shared" si="229"/>
        <v>Lunes</v>
      </c>
    </row>
    <row r="4448" spans="1:4" x14ac:dyDescent="0.25">
      <c r="A4448" s="88" t="str">
        <f t="shared" si="227"/>
        <v>3-2035</v>
      </c>
      <c r="B4448" s="86">
        <v>49374</v>
      </c>
      <c r="C4448" t="str">
        <f t="shared" si="228"/>
        <v>L-V</v>
      </c>
      <c r="D4448" t="str">
        <f t="shared" si="229"/>
        <v>Martes</v>
      </c>
    </row>
    <row r="4449" spans="1:4" x14ac:dyDescent="0.25">
      <c r="A4449" s="88" t="str">
        <f t="shared" si="227"/>
        <v>3-2035</v>
      </c>
      <c r="B4449" s="86">
        <v>49375</v>
      </c>
      <c r="C4449" t="str">
        <f t="shared" si="228"/>
        <v>L-V</v>
      </c>
      <c r="D4449" t="str">
        <f t="shared" si="229"/>
        <v>Miércoles</v>
      </c>
    </row>
    <row r="4450" spans="1:4" x14ac:dyDescent="0.25">
      <c r="A4450" s="88" t="str">
        <f t="shared" si="227"/>
        <v>3-2035</v>
      </c>
      <c r="B4450" s="86">
        <v>49376</v>
      </c>
      <c r="C4450" t="str">
        <f t="shared" si="228"/>
        <v>L-V</v>
      </c>
      <c r="D4450" t="str">
        <f t="shared" si="229"/>
        <v>Jueves</v>
      </c>
    </row>
    <row r="4451" spans="1:4" x14ac:dyDescent="0.25">
      <c r="A4451" s="88" t="str">
        <f t="shared" si="227"/>
        <v>3-2035</v>
      </c>
      <c r="B4451" s="86">
        <v>49377</v>
      </c>
      <c r="C4451" t="str">
        <f t="shared" si="228"/>
        <v>L-V</v>
      </c>
      <c r="D4451" t="str">
        <f t="shared" si="229"/>
        <v>Viernes</v>
      </c>
    </row>
    <row r="4452" spans="1:4" x14ac:dyDescent="0.25">
      <c r="A4452" s="88" t="str">
        <f t="shared" si="227"/>
        <v>3-2035</v>
      </c>
      <c r="B4452" s="86">
        <v>49378</v>
      </c>
      <c r="C4452" t="str">
        <f t="shared" si="228"/>
        <v>SAB</v>
      </c>
      <c r="D4452" t="str">
        <f t="shared" si="229"/>
        <v>Sábado</v>
      </c>
    </row>
    <row r="4453" spans="1:4" x14ac:dyDescent="0.25">
      <c r="A4453" s="88" t="str">
        <f t="shared" si="227"/>
        <v>3-2035</v>
      </c>
      <c r="B4453" s="86">
        <v>49379</v>
      </c>
      <c r="C4453" t="str">
        <f t="shared" si="228"/>
        <v>DOM</v>
      </c>
      <c r="D4453" t="str">
        <f t="shared" si="229"/>
        <v>Domingo</v>
      </c>
    </row>
    <row r="4454" spans="1:4" x14ac:dyDescent="0.25">
      <c r="A4454" s="88" t="str">
        <f t="shared" si="227"/>
        <v>3-2035</v>
      </c>
      <c r="B4454" s="86">
        <v>49380</v>
      </c>
      <c r="C4454" t="str">
        <f t="shared" si="228"/>
        <v>L-V</v>
      </c>
      <c r="D4454" t="str">
        <f t="shared" si="229"/>
        <v>Lunes</v>
      </c>
    </row>
    <row r="4455" spans="1:4" x14ac:dyDescent="0.25">
      <c r="A4455" s="88" t="str">
        <f t="shared" si="227"/>
        <v>3-2035</v>
      </c>
      <c r="B4455" s="86">
        <v>49381</v>
      </c>
      <c r="C4455" t="str">
        <f t="shared" si="228"/>
        <v>L-V</v>
      </c>
      <c r="D4455" t="str">
        <f t="shared" si="229"/>
        <v>Martes</v>
      </c>
    </row>
    <row r="4456" spans="1:4" x14ac:dyDescent="0.25">
      <c r="A4456" s="88" t="str">
        <f t="shared" si="227"/>
        <v>3-2035</v>
      </c>
      <c r="B4456" s="86">
        <v>49382</v>
      </c>
      <c r="C4456" t="str">
        <f t="shared" si="228"/>
        <v>L-V</v>
      </c>
      <c r="D4456" t="str">
        <f t="shared" si="229"/>
        <v>Miércoles</v>
      </c>
    </row>
    <row r="4457" spans="1:4" x14ac:dyDescent="0.25">
      <c r="A4457" s="88" t="str">
        <f t="shared" si="227"/>
        <v>3-2035</v>
      </c>
      <c r="B4457" s="86">
        <v>49383</v>
      </c>
      <c r="C4457" t="str">
        <f t="shared" si="228"/>
        <v>L-V</v>
      </c>
      <c r="D4457" t="str">
        <f t="shared" si="229"/>
        <v>Jueves</v>
      </c>
    </row>
    <row r="4458" spans="1:4" x14ac:dyDescent="0.25">
      <c r="A4458" s="88" t="str">
        <f t="shared" si="227"/>
        <v>3-2035</v>
      </c>
      <c r="B4458" s="86">
        <v>49384</v>
      </c>
      <c r="C4458" t="str">
        <f t="shared" si="228"/>
        <v>L-V</v>
      </c>
      <c r="D4458" t="str">
        <f t="shared" si="229"/>
        <v>Viernes</v>
      </c>
    </row>
    <row r="4459" spans="1:4" x14ac:dyDescent="0.25">
      <c r="A4459" s="88" t="str">
        <f t="shared" si="227"/>
        <v>3-2035</v>
      </c>
      <c r="B4459" s="86">
        <v>49385</v>
      </c>
      <c r="C4459" t="str">
        <f t="shared" si="228"/>
        <v>SAB</v>
      </c>
      <c r="D4459" t="str">
        <f t="shared" si="229"/>
        <v>Sábado</v>
      </c>
    </row>
    <row r="4460" spans="1:4" x14ac:dyDescent="0.25">
      <c r="A4460" s="88" t="str">
        <f t="shared" si="227"/>
        <v>3-2035</v>
      </c>
      <c r="B4460" s="86">
        <v>49386</v>
      </c>
      <c r="C4460" t="str">
        <f t="shared" si="228"/>
        <v>DOM</v>
      </c>
      <c r="D4460" t="str">
        <f t="shared" si="229"/>
        <v>Domingo</v>
      </c>
    </row>
    <row r="4461" spans="1:4" x14ac:dyDescent="0.25">
      <c r="A4461" s="88" t="str">
        <f t="shared" si="227"/>
        <v>3-2035</v>
      </c>
      <c r="B4461" s="86">
        <v>49387</v>
      </c>
      <c r="C4461" t="str">
        <f t="shared" si="228"/>
        <v>L-V</v>
      </c>
      <c r="D4461" t="str">
        <f t="shared" si="229"/>
        <v>Lunes</v>
      </c>
    </row>
    <row r="4462" spans="1:4" x14ac:dyDescent="0.25">
      <c r="A4462" s="88" t="str">
        <f t="shared" si="227"/>
        <v>3-2035</v>
      </c>
      <c r="B4462" s="86">
        <v>49388</v>
      </c>
      <c r="C4462" t="str">
        <f t="shared" si="228"/>
        <v>L-V</v>
      </c>
      <c r="D4462" t="str">
        <f t="shared" si="229"/>
        <v>Martes</v>
      </c>
    </row>
    <row r="4463" spans="1:4" x14ac:dyDescent="0.25">
      <c r="A4463" s="88" t="str">
        <f t="shared" si="227"/>
        <v>3-2035</v>
      </c>
      <c r="B4463" s="86">
        <v>49389</v>
      </c>
      <c r="C4463" t="str">
        <f t="shared" si="228"/>
        <v>L-V</v>
      </c>
      <c r="D4463" t="str">
        <f t="shared" si="229"/>
        <v>Miércoles</v>
      </c>
    </row>
    <row r="4464" spans="1:4" x14ac:dyDescent="0.25">
      <c r="A4464" s="88" t="str">
        <f t="shared" si="227"/>
        <v>3-2035</v>
      </c>
      <c r="B4464" s="86">
        <v>49390</v>
      </c>
      <c r="C4464" t="str">
        <f t="shared" si="228"/>
        <v>L-V</v>
      </c>
      <c r="D4464" t="str">
        <f t="shared" si="229"/>
        <v>Jueves</v>
      </c>
    </row>
    <row r="4465" spans="1:4" x14ac:dyDescent="0.25">
      <c r="A4465" s="88" t="str">
        <f t="shared" ref="A4465:A4528" si="230">MONTH(B4465)&amp;"-"&amp;YEAR(B4465)</f>
        <v>3-2035</v>
      </c>
      <c r="B4465" s="86">
        <v>49391</v>
      </c>
      <c r="C4465" t="str">
        <f t="shared" ref="C4465:C4528" si="231">VLOOKUP(WEEKDAY(B4465,2),$F$1:$H$7,2)</f>
        <v>L-V</v>
      </c>
      <c r="D4465" t="str">
        <f t="shared" si="229"/>
        <v>Viernes</v>
      </c>
    </row>
    <row r="4466" spans="1:4" x14ac:dyDescent="0.25">
      <c r="A4466" s="88" t="str">
        <f t="shared" si="230"/>
        <v>3-2035</v>
      </c>
      <c r="B4466" s="86">
        <v>49392</v>
      </c>
      <c r="C4466" t="str">
        <f t="shared" si="231"/>
        <v>SAB</v>
      </c>
      <c r="D4466" t="str">
        <f t="shared" si="229"/>
        <v>Sábado</v>
      </c>
    </row>
    <row r="4467" spans="1:4" x14ac:dyDescent="0.25">
      <c r="A4467" s="88" t="str">
        <f t="shared" si="230"/>
        <v>3-2035</v>
      </c>
      <c r="B4467" s="86">
        <v>49393</v>
      </c>
      <c r="C4467" t="str">
        <f t="shared" si="231"/>
        <v>DOM</v>
      </c>
      <c r="D4467" t="str">
        <f t="shared" si="229"/>
        <v>Domingo</v>
      </c>
    </row>
    <row r="4468" spans="1:4" x14ac:dyDescent="0.25">
      <c r="A4468" s="88" t="str">
        <f t="shared" si="230"/>
        <v>3-2035</v>
      </c>
      <c r="B4468" s="86">
        <v>49394</v>
      </c>
      <c r="C4468" t="str">
        <f t="shared" si="231"/>
        <v>L-V</v>
      </c>
      <c r="D4468" t="str">
        <f t="shared" si="229"/>
        <v>Lunes</v>
      </c>
    </row>
    <row r="4469" spans="1:4" x14ac:dyDescent="0.25">
      <c r="A4469" s="88" t="str">
        <f t="shared" si="230"/>
        <v>3-2035</v>
      </c>
      <c r="B4469" s="86">
        <v>49395</v>
      </c>
      <c r="C4469" t="str">
        <f t="shared" si="231"/>
        <v>L-V</v>
      </c>
      <c r="D4469" t="str">
        <f t="shared" si="229"/>
        <v>Martes</v>
      </c>
    </row>
    <row r="4470" spans="1:4" x14ac:dyDescent="0.25">
      <c r="A4470" s="88" t="str">
        <f t="shared" si="230"/>
        <v>3-2035</v>
      </c>
      <c r="B4470" s="86">
        <v>49396</v>
      </c>
      <c r="C4470" t="str">
        <f t="shared" si="231"/>
        <v>L-V</v>
      </c>
      <c r="D4470" t="str">
        <f t="shared" si="229"/>
        <v>Miércoles</v>
      </c>
    </row>
    <row r="4471" spans="1:4" x14ac:dyDescent="0.25">
      <c r="A4471" s="88" t="str">
        <f t="shared" si="230"/>
        <v>3-2035</v>
      </c>
      <c r="B4471" s="86">
        <v>49397</v>
      </c>
      <c r="C4471" t="str">
        <f t="shared" si="231"/>
        <v>L-V</v>
      </c>
      <c r="D4471" t="str">
        <f t="shared" si="229"/>
        <v>Jueves</v>
      </c>
    </row>
    <row r="4472" spans="1:4" x14ac:dyDescent="0.25">
      <c r="A4472" s="88" t="str">
        <f t="shared" si="230"/>
        <v>3-2035</v>
      </c>
      <c r="B4472" s="86">
        <v>49398</v>
      </c>
      <c r="C4472" t="str">
        <f t="shared" si="231"/>
        <v>L-V</v>
      </c>
      <c r="D4472" t="str">
        <f t="shared" si="229"/>
        <v>Viernes</v>
      </c>
    </row>
    <row r="4473" spans="1:4" x14ac:dyDescent="0.25">
      <c r="A4473" s="88" t="str">
        <f t="shared" si="230"/>
        <v>3-2035</v>
      </c>
      <c r="B4473" s="86">
        <v>49399</v>
      </c>
      <c r="C4473" t="str">
        <f t="shared" si="231"/>
        <v>SAB</v>
      </c>
      <c r="D4473" t="str">
        <f t="shared" si="229"/>
        <v>Sábado</v>
      </c>
    </row>
    <row r="4474" spans="1:4" x14ac:dyDescent="0.25">
      <c r="A4474" s="88" t="str">
        <f t="shared" si="230"/>
        <v>4-2035</v>
      </c>
      <c r="B4474" s="86">
        <v>49400</v>
      </c>
      <c r="C4474" t="str">
        <f t="shared" si="231"/>
        <v>DOM</v>
      </c>
      <c r="D4474" t="str">
        <f t="shared" si="229"/>
        <v>Domingo</v>
      </c>
    </row>
    <row r="4475" spans="1:4" x14ac:dyDescent="0.25">
      <c r="A4475" s="88" t="str">
        <f t="shared" si="230"/>
        <v>4-2035</v>
      </c>
      <c r="B4475" s="86">
        <v>49401</v>
      </c>
      <c r="C4475" t="str">
        <f t="shared" si="231"/>
        <v>L-V</v>
      </c>
      <c r="D4475" t="str">
        <f t="shared" si="229"/>
        <v>Lunes</v>
      </c>
    </row>
    <row r="4476" spans="1:4" x14ac:dyDescent="0.25">
      <c r="A4476" s="88" t="str">
        <f t="shared" si="230"/>
        <v>4-2035</v>
      </c>
      <c r="B4476" s="86">
        <v>49402</v>
      </c>
      <c r="C4476" t="str">
        <f t="shared" si="231"/>
        <v>L-V</v>
      </c>
      <c r="D4476" t="str">
        <f t="shared" si="229"/>
        <v>Martes</v>
      </c>
    </row>
    <row r="4477" spans="1:4" x14ac:dyDescent="0.25">
      <c r="A4477" s="88" t="str">
        <f t="shared" si="230"/>
        <v>4-2035</v>
      </c>
      <c r="B4477" s="86">
        <v>49403</v>
      </c>
      <c r="C4477" t="str">
        <f t="shared" si="231"/>
        <v>L-V</v>
      </c>
      <c r="D4477" t="str">
        <f t="shared" si="229"/>
        <v>Miércoles</v>
      </c>
    </row>
    <row r="4478" spans="1:4" x14ac:dyDescent="0.25">
      <c r="A4478" s="88" t="str">
        <f t="shared" si="230"/>
        <v>4-2035</v>
      </c>
      <c r="B4478" s="86">
        <v>49404</v>
      </c>
      <c r="C4478" t="str">
        <f t="shared" si="231"/>
        <v>L-V</v>
      </c>
      <c r="D4478" t="str">
        <f t="shared" si="229"/>
        <v>Jueves</v>
      </c>
    </row>
    <row r="4479" spans="1:4" x14ac:dyDescent="0.25">
      <c r="A4479" s="88" t="str">
        <f t="shared" si="230"/>
        <v>4-2035</v>
      </c>
      <c r="B4479" s="86">
        <v>49405</v>
      </c>
      <c r="C4479" t="str">
        <f t="shared" si="231"/>
        <v>L-V</v>
      </c>
      <c r="D4479" t="str">
        <f t="shared" si="229"/>
        <v>Viernes</v>
      </c>
    </row>
    <row r="4480" spans="1:4" x14ac:dyDescent="0.25">
      <c r="A4480" s="88" t="str">
        <f t="shared" si="230"/>
        <v>4-2035</v>
      </c>
      <c r="B4480" s="86">
        <v>49406</v>
      </c>
      <c r="C4480" t="str">
        <f t="shared" si="231"/>
        <v>SAB</v>
      </c>
      <c r="D4480" t="str">
        <f t="shared" si="229"/>
        <v>Sábado</v>
      </c>
    </row>
    <row r="4481" spans="1:4" x14ac:dyDescent="0.25">
      <c r="A4481" s="88" t="str">
        <f t="shared" si="230"/>
        <v>4-2035</v>
      </c>
      <c r="B4481" s="86">
        <v>49407</v>
      </c>
      <c r="C4481" t="str">
        <f t="shared" si="231"/>
        <v>DOM</v>
      </c>
      <c r="D4481" t="str">
        <f t="shared" si="229"/>
        <v>Domingo</v>
      </c>
    </row>
    <row r="4482" spans="1:4" x14ac:dyDescent="0.25">
      <c r="A4482" s="88" t="str">
        <f t="shared" si="230"/>
        <v>4-2035</v>
      </c>
      <c r="B4482" s="86">
        <v>49408</v>
      </c>
      <c r="C4482" t="str">
        <f t="shared" si="231"/>
        <v>L-V</v>
      </c>
      <c r="D4482" t="str">
        <f t="shared" si="229"/>
        <v>Lunes</v>
      </c>
    </row>
    <row r="4483" spans="1:4" x14ac:dyDescent="0.25">
      <c r="A4483" s="88" t="str">
        <f t="shared" si="230"/>
        <v>4-2035</v>
      </c>
      <c r="B4483" s="86">
        <v>49409</v>
      </c>
      <c r="C4483" t="str">
        <f t="shared" si="231"/>
        <v>L-V</v>
      </c>
      <c r="D4483" t="str">
        <f t="shared" ref="D4483:D4546" si="232">VLOOKUP(WEEKDAY($B4483,2),$F$1:$H$7,3)</f>
        <v>Martes</v>
      </c>
    </row>
    <row r="4484" spans="1:4" x14ac:dyDescent="0.25">
      <c r="A4484" s="88" t="str">
        <f t="shared" si="230"/>
        <v>4-2035</v>
      </c>
      <c r="B4484" s="86">
        <v>49410</v>
      </c>
      <c r="C4484" t="str">
        <f t="shared" si="231"/>
        <v>L-V</v>
      </c>
      <c r="D4484" t="str">
        <f t="shared" si="232"/>
        <v>Miércoles</v>
      </c>
    </row>
    <row r="4485" spans="1:4" x14ac:dyDescent="0.25">
      <c r="A4485" s="88" t="str">
        <f t="shared" si="230"/>
        <v>4-2035</v>
      </c>
      <c r="B4485" s="86">
        <v>49411</v>
      </c>
      <c r="C4485" t="str">
        <f t="shared" si="231"/>
        <v>L-V</v>
      </c>
      <c r="D4485" t="str">
        <f t="shared" si="232"/>
        <v>Jueves</v>
      </c>
    </row>
    <row r="4486" spans="1:4" x14ac:dyDescent="0.25">
      <c r="A4486" s="88" t="str">
        <f t="shared" si="230"/>
        <v>4-2035</v>
      </c>
      <c r="B4486" s="86">
        <v>49412</v>
      </c>
      <c r="C4486" t="str">
        <f t="shared" si="231"/>
        <v>L-V</v>
      </c>
      <c r="D4486" t="str">
        <f t="shared" si="232"/>
        <v>Viernes</v>
      </c>
    </row>
    <row r="4487" spans="1:4" x14ac:dyDescent="0.25">
      <c r="A4487" s="88" t="str">
        <f t="shared" si="230"/>
        <v>4-2035</v>
      </c>
      <c r="B4487" s="86">
        <v>49413</v>
      </c>
      <c r="C4487" t="str">
        <f t="shared" si="231"/>
        <v>SAB</v>
      </c>
      <c r="D4487" t="str">
        <f t="shared" si="232"/>
        <v>Sábado</v>
      </c>
    </row>
    <row r="4488" spans="1:4" x14ac:dyDescent="0.25">
      <c r="A4488" s="88" t="str">
        <f t="shared" si="230"/>
        <v>4-2035</v>
      </c>
      <c r="B4488" s="86">
        <v>49414</v>
      </c>
      <c r="C4488" t="str">
        <f t="shared" si="231"/>
        <v>DOM</v>
      </c>
      <c r="D4488" t="str">
        <f t="shared" si="232"/>
        <v>Domingo</v>
      </c>
    </row>
    <row r="4489" spans="1:4" x14ac:dyDescent="0.25">
      <c r="A4489" s="88" t="str">
        <f t="shared" si="230"/>
        <v>4-2035</v>
      </c>
      <c r="B4489" s="86">
        <v>49415</v>
      </c>
      <c r="C4489" t="str">
        <f t="shared" si="231"/>
        <v>L-V</v>
      </c>
      <c r="D4489" t="str">
        <f t="shared" si="232"/>
        <v>Lunes</v>
      </c>
    </row>
    <row r="4490" spans="1:4" x14ac:dyDescent="0.25">
      <c r="A4490" s="88" t="str">
        <f t="shared" si="230"/>
        <v>4-2035</v>
      </c>
      <c r="B4490" s="86">
        <v>49416</v>
      </c>
      <c r="C4490" t="str">
        <f t="shared" si="231"/>
        <v>L-V</v>
      </c>
      <c r="D4490" t="str">
        <f t="shared" si="232"/>
        <v>Martes</v>
      </c>
    </row>
    <row r="4491" spans="1:4" x14ac:dyDescent="0.25">
      <c r="A4491" s="88" t="str">
        <f t="shared" si="230"/>
        <v>4-2035</v>
      </c>
      <c r="B4491" s="86">
        <v>49417</v>
      </c>
      <c r="C4491" t="str">
        <f t="shared" si="231"/>
        <v>L-V</v>
      </c>
      <c r="D4491" t="str">
        <f t="shared" si="232"/>
        <v>Miércoles</v>
      </c>
    </row>
    <row r="4492" spans="1:4" x14ac:dyDescent="0.25">
      <c r="A4492" s="88" t="str">
        <f t="shared" si="230"/>
        <v>4-2035</v>
      </c>
      <c r="B4492" s="86">
        <v>49418</v>
      </c>
      <c r="C4492" t="str">
        <f t="shared" si="231"/>
        <v>L-V</v>
      </c>
      <c r="D4492" t="str">
        <f t="shared" si="232"/>
        <v>Jueves</v>
      </c>
    </row>
    <row r="4493" spans="1:4" x14ac:dyDescent="0.25">
      <c r="A4493" s="88" t="str">
        <f t="shared" si="230"/>
        <v>4-2035</v>
      </c>
      <c r="B4493" s="86">
        <v>49419</v>
      </c>
      <c r="C4493" t="str">
        <f t="shared" si="231"/>
        <v>L-V</v>
      </c>
      <c r="D4493" t="str">
        <f t="shared" si="232"/>
        <v>Viernes</v>
      </c>
    </row>
    <row r="4494" spans="1:4" x14ac:dyDescent="0.25">
      <c r="A4494" s="88" t="str">
        <f t="shared" si="230"/>
        <v>4-2035</v>
      </c>
      <c r="B4494" s="86">
        <v>49420</v>
      </c>
      <c r="C4494" t="str">
        <f t="shared" si="231"/>
        <v>SAB</v>
      </c>
      <c r="D4494" t="str">
        <f t="shared" si="232"/>
        <v>Sábado</v>
      </c>
    </row>
    <row r="4495" spans="1:4" x14ac:dyDescent="0.25">
      <c r="A4495" s="88" t="str">
        <f t="shared" si="230"/>
        <v>4-2035</v>
      </c>
      <c r="B4495" s="86">
        <v>49421</v>
      </c>
      <c r="C4495" t="str">
        <f t="shared" si="231"/>
        <v>DOM</v>
      </c>
      <c r="D4495" t="str">
        <f t="shared" si="232"/>
        <v>Domingo</v>
      </c>
    </row>
    <row r="4496" spans="1:4" x14ac:dyDescent="0.25">
      <c r="A4496" s="88" t="str">
        <f t="shared" si="230"/>
        <v>4-2035</v>
      </c>
      <c r="B4496" s="86">
        <v>49422</v>
      </c>
      <c r="C4496" t="str">
        <f t="shared" si="231"/>
        <v>L-V</v>
      </c>
      <c r="D4496" t="str">
        <f t="shared" si="232"/>
        <v>Lunes</v>
      </c>
    </row>
    <row r="4497" spans="1:4" x14ac:dyDescent="0.25">
      <c r="A4497" s="88" t="str">
        <f t="shared" si="230"/>
        <v>4-2035</v>
      </c>
      <c r="B4497" s="86">
        <v>49423</v>
      </c>
      <c r="C4497" t="str">
        <f t="shared" si="231"/>
        <v>L-V</v>
      </c>
      <c r="D4497" t="str">
        <f t="shared" si="232"/>
        <v>Martes</v>
      </c>
    </row>
    <row r="4498" spans="1:4" x14ac:dyDescent="0.25">
      <c r="A4498" s="88" t="str">
        <f t="shared" si="230"/>
        <v>4-2035</v>
      </c>
      <c r="B4498" s="86">
        <v>49424</v>
      </c>
      <c r="C4498" t="str">
        <f t="shared" si="231"/>
        <v>L-V</v>
      </c>
      <c r="D4498" t="str">
        <f t="shared" si="232"/>
        <v>Miércoles</v>
      </c>
    </row>
    <row r="4499" spans="1:4" x14ac:dyDescent="0.25">
      <c r="A4499" s="88" t="str">
        <f t="shared" si="230"/>
        <v>4-2035</v>
      </c>
      <c r="B4499" s="86">
        <v>49425</v>
      </c>
      <c r="C4499" t="str">
        <f t="shared" si="231"/>
        <v>L-V</v>
      </c>
      <c r="D4499" t="str">
        <f t="shared" si="232"/>
        <v>Jueves</v>
      </c>
    </row>
    <row r="4500" spans="1:4" x14ac:dyDescent="0.25">
      <c r="A4500" s="88" t="str">
        <f t="shared" si="230"/>
        <v>4-2035</v>
      </c>
      <c r="B4500" s="86">
        <v>49426</v>
      </c>
      <c r="C4500" t="str">
        <f t="shared" si="231"/>
        <v>L-V</v>
      </c>
      <c r="D4500" t="str">
        <f t="shared" si="232"/>
        <v>Viernes</v>
      </c>
    </row>
    <row r="4501" spans="1:4" x14ac:dyDescent="0.25">
      <c r="A4501" s="88" t="str">
        <f t="shared" si="230"/>
        <v>4-2035</v>
      </c>
      <c r="B4501" s="86">
        <v>49427</v>
      </c>
      <c r="C4501" t="str">
        <f t="shared" si="231"/>
        <v>SAB</v>
      </c>
      <c r="D4501" t="str">
        <f t="shared" si="232"/>
        <v>Sábado</v>
      </c>
    </row>
    <row r="4502" spans="1:4" x14ac:dyDescent="0.25">
      <c r="A4502" s="88" t="str">
        <f t="shared" si="230"/>
        <v>4-2035</v>
      </c>
      <c r="B4502" s="86">
        <v>49428</v>
      </c>
      <c r="C4502" t="str">
        <f t="shared" si="231"/>
        <v>DOM</v>
      </c>
      <c r="D4502" t="str">
        <f t="shared" si="232"/>
        <v>Domingo</v>
      </c>
    </row>
    <row r="4503" spans="1:4" x14ac:dyDescent="0.25">
      <c r="A4503" s="88" t="str">
        <f t="shared" si="230"/>
        <v>4-2035</v>
      </c>
      <c r="B4503" s="86">
        <v>49429</v>
      </c>
      <c r="C4503" t="str">
        <f t="shared" si="231"/>
        <v>L-V</v>
      </c>
      <c r="D4503" t="str">
        <f t="shared" si="232"/>
        <v>Lunes</v>
      </c>
    </row>
    <row r="4504" spans="1:4" x14ac:dyDescent="0.25">
      <c r="A4504" s="88" t="str">
        <f t="shared" si="230"/>
        <v>5-2035</v>
      </c>
      <c r="B4504" s="86">
        <v>49430</v>
      </c>
      <c r="C4504" t="str">
        <f t="shared" si="231"/>
        <v>L-V</v>
      </c>
      <c r="D4504" t="str">
        <f t="shared" si="232"/>
        <v>Martes</v>
      </c>
    </row>
    <row r="4505" spans="1:4" x14ac:dyDescent="0.25">
      <c r="A4505" s="88" t="str">
        <f t="shared" si="230"/>
        <v>5-2035</v>
      </c>
      <c r="B4505" s="86">
        <v>49431</v>
      </c>
      <c r="C4505" t="str">
        <f t="shared" si="231"/>
        <v>L-V</v>
      </c>
      <c r="D4505" t="str">
        <f t="shared" si="232"/>
        <v>Miércoles</v>
      </c>
    </row>
    <row r="4506" spans="1:4" x14ac:dyDescent="0.25">
      <c r="A4506" s="88" t="str">
        <f t="shared" si="230"/>
        <v>5-2035</v>
      </c>
      <c r="B4506" s="86">
        <v>49432</v>
      </c>
      <c r="C4506" t="str">
        <f t="shared" si="231"/>
        <v>L-V</v>
      </c>
      <c r="D4506" t="str">
        <f t="shared" si="232"/>
        <v>Jueves</v>
      </c>
    </row>
    <row r="4507" spans="1:4" x14ac:dyDescent="0.25">
      <c r="A4507" s="88" t="str">
        <f t="shared" si="230"/>
        <v>5-2035</v>
      </c>
      <c r="B4507" s="86">
        <v>49433</v>
      </c>
      <c r="C4507" t="str">
        <f t="shared" si="231"/>
        <v>L-V</v>
      </c>
      <c r="D4507" t="str">
        <f t="shared" si="232"/>
        <v>Viernes</v>
      </c>
    </row>
    <row r="4508" spans="1:4" x14ac:dyDescent="0.25">
      <c r="A4508" s="88" t="str">
        <f t="shared" si="230"/>
        <v>5-2035</v>
      </c>
      <c r="B4508" s="86">
        <v>49434</v>
      </c>
      <c r="C4508" t="str">
        <f t="shared" si="231"/>
        <v>SAB</v>
      </c>
      <c r="D4508" t="str">
        <f t="shared" si="232"/>
        <v>Sábado</v>
      </c>
    </row>
    <row r="4509" spans="1:4" x14ac:dyDescent="0.25">
      <c r="A4509" s="88" t="str">
        <f t="shared" si="230"/>
        <v>5-2035</v>
      </c>
      <c r="B4509" s="86">
        <v>49435</v>
      </c>
      <c r="C4509" t="str">
        <f t="shared" si="231"/>
        <v>DOM</v>
      </c>
      <c r="D4509" t="str">
        <f t="shared" si="232"/>
        <v>Domingo</v>
      </c>
    </row>
    <row r="4510" spans="1:4" x14ac:dyDescent="0.25">
      <c r="A4510" s="88" t="str">
        <f t="shared" si="230"/>
        <v>5-2035</v>
      </c>
      <c r="B4510" s="86">
        <v>49436</v>
      </c>
      <c r="C4510" t="str">
        <f t="shared" si="231"/>
        <v>L-V</v>
      </c>
      <c r="D4510" t="str">
        <f t="shared" si="232"/>
        <v>Lunes</v>
      </c>
    </row>
    <row r="4511" spans="1:4" x14ac:dyDescent="0.25">
      <c r="A4511" s="88" t="str">
        <f t="shared" si="230"/>
        <v>5-2035</v>
      </c>
      <c r="B4511" s="86">
        <v>49437</v>
      </c>
      <c r="C4511" t="str">
        <f t="shared" si="231"/>
        <v>L-V</v>
      </c>
      <c r="D4511" t="str">
        <f t="shared" si="232"/>
        <v>Martes</v>
      </c>
    </row>
    <row r="4512" spans="1:4" x14ac:dyDescent="0.25">
      <c r="A4512" s="88" t="str">
        <f t="shared" si="230"/>
        <v>5-2035</v>
      </c>
      <c r="B4512" s="86">
        <v>49438</v>
      </c>
      <c r="C4512" t="str">
        <f t="shared" si="231"/>
        <v>L-V</v>
      </c>
      <c r="D4512" t="str">
        <f t="shared" si="232"/>
        <v>Miércoles</v>
      </c>
    </row>
    <row r="4513" spans="1:4" x14ac:dyDescent="0.25">
      <c r="A4513" s="88" t="str">
        <f t="shared" si="230"/>
        <v>5-2035</v>
      </c>
      <c r="B4513" s="86">
        <v>49439</v>
      </c>
      <c r="C4513" t="str">
        <f t="shared" si="231"/>
        <v>L-V</v>
      </c>
      <c r="D4513" t="str">
        <f t="shared" si="232"/>
        <v>Jueves</v>
      </c>
    </row>
    <row r="4514" spans="1:4" x14ac:dyDescent="0.25">
      <c r="A4514" s="88" t="str">
        <f t="shared" si="230"/>
        <v>5-2035</v>
      </c>
      <c r="B4514" s="86">
        <v>49440</v>
      </c>
      <c r="C4514" t="str">
        <f t="shared" si="231"/>
        <v>L-V</v>
      </c>
      <c r="D4514" t="str">
        <f t="shared" si="232"/>
        <v>Viernes</v>
      </c>
    </row>
    <row r="4515" spans="1:4" x14ac:dyDescent="0.25">
      <c r="A4515" s="88" t="str">
        <f t="shared" si="230"/>
        <v>5-2035</v>
      </c>
      <c r="B4515" s="86">
        <v>49441</v>
      </c>
      <c r="C4515" t="str">
        <f t="shared" si="231"/>
        <v>SAB</v>
      </c>
      <c r="D4515" t="str">
        <f t="shared" si="232"/>
        <v>Sábado</v>
      </c>
    </row>
    <row r="4516" spans="1:4" x14ac:dyDescent="0.25">
      <c r="A4516" s="88" t="str">
        <f t="shared" si="230"/>
        <v>5-2035</v>
      </c>
      <c r="B4516" s="86">
        <v>49442</v>
      </c>
      <c r="C4516" t="str">
        <f t="shared" si="231"/>
        <v>DOM</v>
      </c>
      <c r="D4516" t="str">
        <f t="shared" si="232"/>
        <v>Domingo</v>
      </c>
    </row>
    <row r="4517" spans="1:4" x14ac:dyDescent="0.25">
      <c r="A4517" s="88" t="str">
        <f t="shared" si="230"/>
        <v>5-2035</v>
      </c>
      <c r="B4517" s="86">
        <v>49443</v>
      </c>
      <c r="C4517" t="str">
        <f t="shared" si="231"/>
        <v>L-V</v>
      </c>
      <c r="D4517" t="str">
        <f t="shared" si="232"/>
        <v>Lunes</v>
      </c>
    </row>
    <row r="4518" spans="1:4" x14ac:dyDescent="0.25">
      <c r="A4518" s="88" t="str">
        <f t="shared" si="230"/>
        <v>5-2035</v>
      </c>
      <c r="B4518" s="86">
        <v>49444</v>
      </c>
      <c r="C4518" t="str">
        <f t="shared" si="231"/>
        <v>L-V</v>
      </c>
      <c r="D4518" t="str">
        <f t="shared" si="232"/>
        <v>Martes</v>
      </c>
    </row>
    <row r="4519" spans="1:4" x14ac:dyDescent="0.25">
      <c r="A4519" s="88" t="str">
        <f t="shared" si="230"/>
        <v>5-2035</v>
      </c>
      <c r="B4519" s="86">
        <v>49445</v>
      </c>
      <c r="C4519" t="str">
        <f t="shared" si="231"/>
        <v>L-V</v>
      </c>
      <c r="D4519" t="str">
        <f t="shared" si="232"/>
        <v>Miércoles</v>
      </c>
    </row>
    <row r="4520" spans="1:4" x14ac:dyDescent="0.25">
      <c r="A4520" s="88" t="str">
        <f t="shared" si="230"/>
        <v>5-2035</v>
      </c>
      <c r="B4520" s="86">
        <v>49446</v>
      </c>
      <c r="C4520" t="str">
        <f t="shared" si="231"/>
        <v>L-V</v>
      </c>
      <c r="D4520" t="str">
        <f t="shared" si="232"/>
        <v>Jueves</v>
      </c>
    </row>
    <row r="4521" spans="1:4" x14ac:dyDescent="0.25">
      <c r="A4521" s="88" t="str">
        <f t="shared" si="230"/>
        <v>5-2035</v>
      </c>
      <c r="B4521" s="86">
        <v>49447</v>
      </c>
      <c r="C4521" t="str">
        <f t="shared" si="231"/>
        <v>L-V</v>
      </c>
      <c r="D4521" t="str">
        <f t="shared" si="232"/>
        <v>Viernes</v>
      </c>
    </row>
    <row r="4522" spans="1:4" x14ac:dyDescent="0.25">
      <c r="A4522" s="88" t="str">
        <f t="shared" si="230"/>
        <v>5-2035</v>
      </c>
      <c r="B4522" s="86">
        <v>49448</v>
      </c>
      <c r="C4522" t="str">
        <f t="shared" si="231"/>
        <v>SAB</v>
      </c>
      <c r="D4522" t="str">
        <f t="shared" si="232"/>
        <v>Sábado</v>
      </c>
    </row>
    <row r="4523" spans="1:4" x14ac:dyDescent="0.25">
      <c r="A4523" s="88" t="str">
        <f t="shared" si="230"/>
        <v>5-2035</v>
      </c>
      <c r="B4523" s="86">
        <v>49449</v>
      </c>
      <c r="C4523" t="str">
        <f t="shared" si="231"/>
        <v>DOM</v>
      </c>
      <c r="D4523" t="str">
        <f t="shared" si="232"/>
        <v>Domingo</v>
      </c>
    </row>
    <row r="4524" spans="1:4" x14ac:dyDescent="0.25">
      <c r="A4524" s="88" t="str">
        <f t="shared" si="230"/>
        <v>5-2035</v>
      </c>
      <c r="B4524" s="86">
        <v>49450</v>
      </c>
      <c r="C4524" t="str">
        <f t="shared" si="231"/>
        <v>L-V</v>
      </c>
      <c r="D4524" t="str">
        <f t="shared" si="232"/>
        <v>Lunes</v>
      </c>
    </row>
    <row r="4525" spans="1:4" x14ac:dyDescent="0.25">
      <c r="A4525" s="88" t="str">
        <f t="shared" si="230"/>
        <v>5-2035</v>
      </c>
      <c r="B4525" s="86">
        <v>49451</v>
      </c>
      <c r="C4525" t="str">
        <f t="shared" si="231"/>
        <v>L-V</v>
      </c>
      <c r="D4525" t="str">
        <f t="shared" si="232"/>
        <v>Martes</v>
      </c>
    </row>
    <row r="4526" spans="1:4" x14ac:dyDescent="0.25">
      <c r="A4526" s="88" t="str">
        <f t="shared" si="230"/>
        <v>5-2035</v>
      </c>
      <c r="B4526" s="86">
        <v>49452</v>
      </c>
      <c r="C4526" t="str">
        <f t="shared" si="231"/>
        <v>L-V</v>
      </c>
      <c r="D4526" t="str">
        <f t="shared" si="232"/>
        <v>Miércoles</v>
      </c>
    </row>
    <row r="4527" spans="1:4" x14ac:dyDescent="0.25">
      <c r="A4527" s="88" t="str">
        <f t="shared" si="230"/>
        <v>5-2035</v>
      </c>
      <c r="B4527" s="86">
        <v>49453</v>
      </c>
      <c r="C4527" t="str">
        <f t="shared" si="231"/>
        <v>L-V</v>
      </c>
      <c r="D4527" t="str">
        <f t="shared" si="232"/>
        <v>Jueves</v>
      </c>
    </row>
    <row r="4528" spans="1:4" x14ac:dyDescent="0.25">
      <c r="A4528" s="88" t="str">
        <f t="shared" si="230"/>
        <v>5-2035</v>
      </c>
      <c r="B4528" s="86">
        <v>49454</v>
      </c>
      <c r="C4528" t="str">
        <f t="shared" si="231"/>
        <v>L-V</v>
      </c>
      <c r="D4528" t="str">
        <f t="shared" si="232"/>
        <v>Viernes</v>
      </c>
    </row>
    <row r="4529" spans="1:4" x14ac:dyDescent="0.25">
      <c r="A4529" s="88" t="str">
        <f t="shared" ref="A4529:A4572" si="233">MONTH(B4529)&amp;"-"&amp;YEAR(B4529)</f>
        <v>5-2035</v>
      </c>
      <c r="B4529" s="86">
        <v>49455</v>
      </c>
      <c r="C4529" t="str">
        <f t="shared" ref="C4529:C4572" si="234">VLOOKUP(WEEKDAY(B4529,2),$F$1:$H$7,2)</f>
        <v>SAB</v>
      </c>
      <c r="D4529" t="str">
        <f t="shared" si="232"/>
        <v>Sábado</v>
      </c>
    </row>
    <row r="4530" spans="1:4" x14ac:dyDescent="0.25">
      <c r="A4530" s="88" t="str">
        <f t="shared" si="233"/>
        <v>5-2035</v>
      </c>
      <c r="B4530" s="86">
        <v>49456</v>
      </c>
      <c r="C4530" t="str">
        <f t="shared" si="234"/>
        <v>DOM</v>
      </c>
      <c r="D4530" t="str">
        <f t="shared" si="232"/>
        <v>Domingo</v>
      </c>
    </row>
    <row r="4531" spans="1:4" x14ac:dyDescent="0.25">
      <c r="A4531" s="88" t="str">
        <f t="shared" si="233"/>
        <v>5-2035</v>
      </c>
      <c r="B4531" s="86">
        <v>49457</v>
      </c>
      <c r="C4531" t="str">
        <f t="shared" si="234"/>
        <v>L-V</v>
      </c>
      <c r="D4531" t="str">
        <f t="shared" si="232"/>
        <v>Lunes</v>
      </c>
    </row>
    <row r="4532" spans="1:4" x14ac:dyDescent="0.25">
      <c r="A4532" s="88" t="str">
        <f t="shared" si="233"/>
        <v>5-2035</v>
      </c>
      <c r="B4532" s="86">
        <v>49458</v>
      </c>
      <c r="C4532" t="str">
        <f t="shared" si="234"/>
        <v>L-V</v>
      </c>
      <c r="D4532" t="str">
        <f t="shared" si="232"/>
        <v>Martes</v>
      </c>
    </row>
    <row r="4533" spans="1:4" x14ac:dyDescent="0.25">
      <c r="A4533" s="88" t="str">
        <f t="shared" si="233"/>
        <v>5-2035</v>
      </c>
      <c r="B4533" s="86">
        <v>49459</v>
      </c>
      <c r="C4533" t="str">
        <f t="shared" si="234"/>
        <v>L-V</v>
      </c>
      <c r="D4533" t="str">
        <f t="shared" si="232"/>
        <v>Miércoles</v>
      </c>
    </row>
    <row r="4534" spans="1:4" x14ac:dyDescent="0.25">
      <c r="A4534" s="88" t="str">
        <f t="shared" si="233"/>
        <v>5-2035</v>
      </c>
      <c r="B4534" s="86">
        <v>49460</v>
      </c>
      <c r="C4534" t="str">
        <f t="shared" si="234"/>
        <v>L-V</v>
      </c>
      <c r="D4534" t="str">
        <f t="shared" si="232"/>
        <v>Jueves</v>
      </c>
    </row>
    <row r="4535" spans="1:4" x14ac:dyDescent="0.25">
      <c r="A4535" s="88" t="str">
        <f t="shared" si="233"/>
        <v>6-2035</v>
      </c>
      <c r="B4535" s="86">
        <v>49461</v>
      </c>
      <c r="C4535" t="str">
        <f t="shared" si="234"/>
        <v>L-V</v>
      </c>
      <c r="D4535" t="str">
        <f t="shared" si="232"/>
        <v>Viernes</v>
      </c>
    </row>
    <row r="4536" spans="1:4" x14ac:dyDescent="0.25">
      <c r="A4536" s="88" t="str">
        <f t="shared" si="233"/>
        <v>6-2035</v>
      </c>
      <c r="B4536" s="86">
        <v>49462</v>
      </c>
      <c r="C4536" t="str">
        <f t="shared" si="234"/>
        <v>SAB</v>
      </c>
      <c r="D4536" t="str">
        <f t="shared" si="232"/>
        <v>Sábado</v>
      </c>
    </row>
    <row r="4537" spans="1:4" x14ac:dyDescent="0.25">
      <c r="A4537" s="88" t="str">
        <f t="shared" si="233"/>
        <v>6-2035</v>
      </c>
      <c r="B4537" s="86">
        <v>49463</v>
      </c>
      <c r="C4537" t="str">
        <f t="shared" si="234"/>
        <v>DOM</v>
      </c>
      <c r="D4537" t="str">
        <f t="shared" si="232"/>
        <v>Domingo</v>
      </c>
    </row>
    <row r="4538" spans="1:4" x14ac:dyDescent="0.25">
      <c r="A4538" s="88" t="str">
        <f t="shared" si="233"/>
        <v>6-2035</v>
      </c>
      <c r="B4538" s="86">
        <v>49464</v>
      </c>
      <c r="C4538" t="str">
        <f t="shared" si="234"/>
        <v>L-V</v>
      </c>
      <c r="D4538" t="str">
        <f t="shared" si="232"/>
        <v>Lunes</v>
      </c>
    </row>
    <row r="4539" spans="1:4" x14ac:dyDescent="0.25">
      <c r="A4539" s="88" t="str">
        <f t="shared" si="233"/>
        <v>6-2035</v>
      </c>
      <c r="B4539" s="86">
        <v>49465</v>
      </c>
      <c r="C4539" t="str">
        <f t="shared" si="234"/>
        <v>L-V</v>
      </c>
      <c r="D4539" t="str">
        <f t="shared" si="232"/>
        <v>Martes</v>
      </c>
    </row>
    <row r="4540" spans="1:4" x14ac:dyDescent="0.25">
      <c r="A4540" s="88" t="str">
        <f t="shared" si="233"/>
        <v>6-2035</v>
      </c>
      <c r="B4540" s="86">
        <v>49466</v>
      </c>
      <c r="C4540" t="str">
        <f t="shared" si="234"/>
        <v>L-V</v>
      </c>
      <c r="D4540" t="str">
        <f t="shared" si="232"/>
        <v>Miércoles</v>
      </c>
    </row>
    <row r="4541" spans="1:4" x14ac:dyDescent="0.25">
      <c r="A4541" s="88" t="str">
        <f t="shared" si="233"/>
        <v>6-2035</v>
      </c>
      <c r="B4541" s="86">
        <v>49467</v>
      </c>
      <c r="C4541" t="str">
        <f t="shared" si="234"/>
        <v>L-V</v>
      </c>
      <c r="D4541" t="str">
        <f t="shared" si="232"/>
        <v>Jueves</v>
      </c>
    </row>
    <row r="4542" spans="1:4" x14ac:dyDescent="0.25">
      <c r="A4542" s="88" t="str">
        <f t="shared" si="233"/>
        <v>6-2035</v>
      </c>
      <c r="B4542" s="86">
        <v>49468</v>
      </c>
      <c r="C4542" t="str">
        <f t="shared" si="234"/>
        <v>L-V</v>
      </c>
      <c r="D4542" t="str">
        <f t="shared" si="232"/>
        <v>Viernes</v>
      </c>
    </row>
    <row r="4543" spans="1:4" x14ac:dyDescent="0.25">
      <c r="A4543" s="88" t="str">
        <f t="shared" si="233"/>
        <v>6-2035</v>
      </c>
      <c r="B4543" s="86">
        <v>49469</v>
      </c>
      <c r="C4543" t="str">
        <f t="shared" si="234"/>
        <v>SAB</v>
      </c>
      <c r="D4543" t="str">
        <f t="shared" si="232"/>
        <v>Sábado</v>
      </c>
    </row>
    <row r="4544" spans="1:4" x14ac:dyDescent="0.25">
      <c r="A4544" s="88" t="str">
        <f t="shared" si="233"/>
        <v>6-2035</v>
      </c>
      <c r="B4544" s="86">
        <v>49470</v>
      </c>
      <c r="C4544" t="str">
        <f t="shared" si="234"/>
        <v>DOM</v>
      </c>
      <c r="D4544" t="str">
        <f t="shared" si="232"/>
        <v>Domingo</v>
      </c>
    </row>
    <row r="4545" spans="1:4" x14ac:dyDescent="0.25">
      <c r="A4545" s="88" t="str">
        <f t="shared" si="233"/>
        <v>6-2035</v>
      </c>
      <c r="B4545" s="86">
        <v>49471</v>
      </c>
      <c r="C4545" t="str">
        <f t="shared" si="234"/>
        <v>L-V</v>
      </c>
      <c r="D4545" t="str">
        <f t="shared" si="232"/>
        <v>Lunes</v>
      </c>
    </row>
    <row r="4546" spans="1:4" x14ac:dyDescent="0.25">
      <c r="A4546" s="88" t="str">
        <f t="shared" si="233"/>
        <v>6-2035</v>
      </c>
      <c r="B4546" s="86">
        <v>49472</v>
      </c>
      <c r="C4546" t="str">
        <f t="shared" si="234"/>
        <v>L-V</v>
      </c>
      <c r="D4546" t="str">
        <f t="shared" si="232"/>
        <v>Martes</v>
      </c>
    </row>
    <row r="4547" spans="1:4" x14ac:dyDescent="0.25">
      <c r="A4547" s="88" t="str">
        <f t="shared" si="233"/>
        <v>6-2035</v>
      </c>
      <c r="B4547" s="86">
        <v>49473</v>
      </c>
      <c r="C4547" t="str">
        <f t="shared" si="234"/>
        <v>L-V</v>
      </c>
      <c r="D4547" t="str">
        <f t="shared" ref="D4547:D4610" si="235">VLOOKUP(WEEKDAY($B4547,2),$F$1:$H$7,3)</f>
        <v>Miércoles</v>
      </c>
    </row>
    <row r="4548" spans="1:4" x14ac:dyDescent="0.25">
      <c r="A4548" s="88" t="str">
        <f t="shared" si="233"/>
        <v>6-2035</v>
      </c>
      <c r="B4548" s="86">
        <v>49474</v>
      </c>
      <c r="C4548" t="str">
        <f t="shared" si="234"/>
        <v>L-V</v>
      </c>
      <c r="D4548" t="str">
        <f t="shared" si="235"/>
        <v>Jueves</v>
      </c>
    </row>
    <row r="4549" spans="1:4" x14ac:dyDescent="0.25">
      <c r="A4549" s="88" t="str">
        <f t="shared" si="233"/>
        <v>6-2035</v>
      </c>
      <c r="B4549" s="86">
        <v>49475</v>
      </c>
      <c r="C4549" t="str">
        <f t="shared" si="234"/>
        <v>L-V</v>
      </c>
      <c r="D4549" t="str">
        <f t="shared" si="235"/>
        <v>Viernes</v>
      </c>
    </row>
    <row r="4550" spans="1:4" x14ac:dyDescent="0.25">
      <c r="A4550" s="88" t="str">
        <f t="shared" si="233"/>
        <v>6-2035</v>
      </c>
      <c r="B4550" s="86">
        <v>49476</v>
      </c>
      <c r="C4550" t="str">
        <f t="shared" si="234"/>
        <v>SAB</v>
      </c>
      <c r="D4550" t="str">
        <f t="shared" si="235"/>
        <v>Sábado</v>
      </c>
    </row>
    <row r="4551" spans="1:4" x14ac:dyDescent="0.25">
      <c r="A4551" s="88" t="str">
        <f t="shared" si="233"/>
        <v>6-2035</v>
      </c>
      <c r="B4551" s="86">
        <v>49477</v>
      </c>
      <c r="C4551" t="str">
        <f t="shared" si="234"/>
        <v>DOM</v>
      </c>
      <c r="D4551" t="str">
        <f t="shared" si="235"/>
        <v>Domingo</v>
      </c>
    </row>
    <row r="4552" spans="1:4" x14ac:dyDescent="0.25">
      <c r="A4552" s="88" t="str">
        <f t="shared" si="233"/>
        <v>6-2035</v>
      </c>
      <c r="B4552" s="86">
        <v>49478</v>
      </c>
      <c r="C4552" t="str">
        <f t="shared" si="234"/>
        <v>L-V</v>
      </c>
      <c r="D4552" t="str">
        <f t="shared" si="235"/>
        <v>Lunes</v>
      </c>
    </row>
    <row r="4553" spans="1:4" x14ac:dyDescent="0.25">
      <c r="A4553" s="88" t="str">
        <f t="shared" si="233"/>
        <v>6-2035</v>
      </c>
      <c r="B4553" s="86">
        <v>49479</v>
      </c>
      <c r="C4553" t="str">
        <f t="shared" si="234"/>
        <v>L-V</v>
      </c>
      <c r="D4553" t="str">
        <f t="shared" si="235"/>
        <v>Martes</v>
      </c>
    </row>
    <row r="4554" spans="1:4" x14ac:dyDescent="0.25">
      <c r="A4554" s="88" t="str">
        <f t="shared" si="233"/>
        <v>6-2035</v>
      </c>
      <c r="B4554" s="86">
        <v>49480</v>
      </c>
      <c r="C4554" t="str">
        <f t="shared" si="234"/>
        <v>L-V</v>
      </c>
      <c r="D4554" t="str">
        <f t="shared" si="235"/>
        <v>Miércoles</v>
      </c>
    </row>
    <row r="4555" spans="1:4" x14ac:dyDescent="0.25">
      <c r="A4555" s="88" t="str">
        <f t="shared" si="233"/>
        <v>6-2035</v>
      </c>
      <c r="B4555" s="86">
        <v>49481</v>
      </c>
      <c r="C4555" t="str">
        <f t="shared" si="234"/>
        <v>L-V</v>
      </c>
      <c r="D4555" t="str">
        <f t="shared" si="235"/>
        <v>Jueves</v>
      </c>
    </row>
    <row r="4556" spans="1:4" x14ac:dyDescent="0.25">
      <c r="A4556" s="88" t="str">
        <f t="shared" si="233"/>
        <v>6-2035</v>
      </c>
      <c r="B4556" s="86">
        <v>49482</v>
      </c>
      <c r="C4556" t="str">
        <f t="shared" si="234"/>
        <v>L-V</v>
      </c>
      <c r="D4556" t="str">
        <f t="shared" si="235"/>
        <v>Viernes</v>
      </c>
    </row>
    <row r="4557" spans="1:4" x14ac:dyDescent="0.25">
      <c r="A4557" s="88" t="str">
        <f t="shared" si="233"/>
        <v>6-2035</v>
      </c>
      <c r="B4557" s="86">
        <v>49483</v>
      </c>
      <c r="C4557" t="str">
        <f t="shared" si="234"/>
        <v>SAB</v>
      </c>
      <c r="D4557" t="str">
        <f t="shared" si="235"/>
        <v>Sábado</v>
      </c>
    </row>
    <row r="4558" spans="1:4" x14ac:dyDescent="0.25">
      <c r="A4558" s="88" t="str">
        <f t="shared" si="233"/>
        <v>6-2035</v>
      </c>
      <c r="B4558" s="86">
        <v>49484</v>
      </c>
      <c r="C4558" t="str">
        <f t="shared" si="234"/>
        <v>DOM</v>
      </c>
      <c r="D4558" t="str">
        <f t="shared" si="235"/>
        <v>Domingo</v>
      </c>
    </row>
    <row r="4559" spans="1:4" x14ac:dyDescent="0.25">
      <c r="A4559" s="88" t="str">
        <f t="shared" si="233"/>
        <v>6-2035</v>
      </c>
      <c r="B4559" s="86">
        <v>49485</v>
      </c>
      <c r="C4559" t="str">
        <f t="shared" si="234"/>
        <v>L-V</v>
      </c>
      <c r="D4559" t="str">
        <f t="shared" si="235"/>
        <v>Lunes</v>
      </c>
    </row>
    <row r="4560" spans="1:4" x14ac:dyDescent="0.25">
      <c r="A4560" s="88" t="str">
        <f t="shared" si="233"/>
        <v>6-2035</v>
      </c>
      <c r="B4560" s="86">
        <v>49486</v>
      </c>
      <c r="C4560" t="str">
        <f t="shared" si="234"/>
        <v>L-V</v>
      </c>
      <c r="D4560" t="str">
        <f t="shared" si="235"/>
        <v>Martes</v>
      </c>
    </row>
    <row r="4561" spans="1:4" x14ac:dyDescent="0.25">
      <c r="A4561" s="88" t="str">
        <f t="shared" si="233"/>
        <v>6-2035</v>
      </c>
      <c r="B4561" s="86">
        <v>49487</v>
      </c>
      <c r="C4561" t="str">
        <f t="shared" si="234"/>
        <v>L-V</v>
      </c>
      <c r="D4561" t="str">
        <f t="shared" si="235"/>
        <v>Miércoles</v>
      </c>
    </row>
    <row r="4562" spans="1:4" x14ac:dyDescent="0.25">
      <c r="A4562" s="88" t="str">
        <f t="shared" si="233"/>
        <v>6-2035</v>
      </c>
      <c r="B4562" s="86">
        <v>49488</v>
      </c>
      <c r="C4562" t="str">
        <f t="shared" si="234"/>
        <v>L-V</v>
      </c>
      <c r="D4562" t="str">
        <f t="shared" si="235"/>
        <v>Jueves</v>
      </c>
    </row>
    <row r="4563" spans="1:4" x14ac:dyDescent="0.25">
      <c r="A4563" s="88" t="str">
        <f t="shared" si="233"/>
        <v>6-2035</v>
      </c>
      <c r="B4563" s="86">
        <v>49489</v>
      </c>
      <c r="C4563" t="str">
        <f t="shared" si="234"/>
        <v>L-V</v>
      </c>
      <c r="D4563" t="str">
        <f t="shared" si="235"/>
        <v>Viernes</v>
      </c>
    </row>
    <row r="4564" spans="1:4" x14ac:dyDescent="0.25">
      <c r="A4564" s="88" t="str">
        <f t="shared" si="233"/>
        <v>6-2035</v>
      </c>
      <c r="B4564" s="86">
        <v>49490</v>
      </c>
      <c r="C4564" t="str">
        <f t="shared" si="234"/>
        <v>SAB</v>
      </c>
      <c r="D4564" t="str">
        <f t="shared" si="235"/>
        <v>Sábado</v>
      </c>
    </row>
    <row r="4565" spans="1:4" x14ac:dyDescent="0.25">
      <c r="A4565" s="88" t="str">
        <f t="shared" si="233"/>
        <v>7-2035</v>
      </c>
      <c r="B4565" s="86">
        <v>49491</v>
      </c>
      <c r="C4565" t="str">
        <f t="shared" si="234"/>
        <v>DOM</v>
      </c>
      <c r="D4565" t="str">
        <f t="shared" si="235"/>
        <v>Domingo</v>
      </c>
    </row>
    <row r="4566" spans="1:4" x14ac:dyDescent="0.25">
      <c r="A4566" s="88" t="str">
        <f t="shared" si="233"/>
        <v>7-2035</v>
      </c>
      <c r="B4566" s="86">
        <v>49492</v>
      </c>
      <c r="C4566" t="str">
        <f t="shared" si="234"/>
        <v>L-V</v>
      </c>
      <c r="D4566" t="str">
        <f t="shared" si="235"/>
        <v>Lunes</v>
      </c>
    </row>
    <row r="4567" spans="1:4" x14ac:dyDescent="0.25">
      <c r="A4567" s="88" t="str">
        <f t="shared" si="233"/>
        <v>7-2035</v>
      </c>
      <c r="B4567" s="86">
        <v>49493</v>
      </c>
      <c r="C4567" t="str">
        <f t="shared" si="234"/>
        <v>L-V</v>
      </c>
      <c r="D4567" t="str">
        <f t="shared" si="235"/>
        <v>Martes</v>
      </c>
    </row>
    <row r="4568" spans="1:4" x14ac:dyDescent="0.25">
      <c r="A4568" s="88" t="str">
        <f t="shared" si="233"/>
        <v>7-2035</v>
      </c>
      <c r="B4568" s="86">
        <v>49494</v>
      </c>
      <c r="C4568" t="str">
        <f t="shared" si="234"/>
        <v>L-V</v>
      </c>
      <c r="D4568" t="str">
        <f t="shared" si="235"/>
        <v>Miércoles</v>
      </c>
    </row>
    <row r="4569" spans="1:4" x14ac:dyDescent="0.25">
      <c r="A4569" s="88" t="str">
        <f t="shared" si="233"/>
        <v>7-2035</v>
      </c>
      <c r="B4569" s="86">
        <v>49495</v>
      </c>
      <c r="C4569" t="str">
        <f t="shared" si="234"/>
        <v>L-V</v>
      </c>
      <c r="D4569" t="str">
        <f t="shared" si="235"/>
        <v>Jueves</v>
      </c>
    </row>
    <row r="4570" spans="1:4" x14ac:dyDescent="0.25">
      <c r="A4570" s="88" t="str">
        <f t="shared" si="233"/>
        <v>7-2035</v>
      </c>
      <c r="B4570" s="86">
        <v>49496</v>
      </c>
      <c r="C4570" t="str">
        <f t="shared" si="234"/>
        <v>L-V</v>
      </c>
      <c r="D4570" t="str">
        <f t="shared" si="235"/>
        <v>Viernes</v>
      </c>
    </row>
    <row r="4571" spans="1:4" x14ac:dyDescent="0.25">
      <c r="A4571" s="88" t="str">
        <f t="shared" si="233"/>
        <v>7-2035</v>
      </c>
      <c r="B4571" s="86">
        <v>49497</v>
      </c>
      <c r="C4571" t="str">
        <f t="shared" si="234"/>
        <v>SAB</v>
      </c>
      <c r="D4571" t="str">
        <f t="shared" si="235"/>
        <v>Sábado</v>
      </c>
    </row>
    <row r="4572" spans="1:4" x14ac:dyDescent="0.25">
      <c r="A4572" s="88" t="str">
        <f t="shared" si="233"/>
        <v>7-2035</v>
      </c>
      <c r="B4572" s="86">
        <v>49498</v>
      </c>
      <c r="C4572" t="str">
        <f t="shared" si="234"/>
        <v>DOM</v>
      </c>
      <c r="D4572" t="str">
        <f t="shared" si="235"/>
        <v>Domingo</v>
      </c>
    </row>
    <row r="4573" spans="1:4" x14ac:dyDescent="0.25">
      <c r="A4573" s="88" t="str">
        <f t="shared" ref="A4573:A4636" si="236">MONTH(B4573)&amp;"-"&amp;YEAR(B4573)</f>
        <v>7-2035</v>
      </c>
      <c r="B4573" s="86">
        <v>49499</v>
      </c>
      <c r="C4573" t="str">
        <f t="shared" ref="C4573:C4636" si="237">VLOOKUP(WEEKDAY(B4573,2),$F$1:$H$7,2)</f>
        <v>L-V</v>
      </c>
      <c r="D4573" t="str">
        <f t="shared" si="235"/>
        <v>Lunes</v>
      </c>
    </row>
    <row r="4574" spans="1:4" x14ac:dyDescent="0.25">
      <c r="A4574" s="88" t="str">
        <f t="shared" si="236"/>
        <v>7-2035</v>
      </c>
      <c r="B4574" s="86">
        <v>49500</v>
      </c>
      <c r="C4574" t="str">
        <f t="shared" si="237"/>
        <v>L-V</v>
      </c>
      <c r="D4574" t="str">
        <f t="shared" si="235"/>
        <v>Martes</v>
      </c>
    </row>
    <row r="4575" spans="1:4" x14ac:dyDescent="0.25">
      <c r="A4575" s="88" t="str">
        <f t="shared" si="236"/>
        <v>7-2035</v>
      </c>
      <c r="B4575" s="86">
        <v>49501</v>
      </c>
      <c r="C4575" t="str">
        <f t="shared" si="237"/>
        <v>L-V</v>
      </c>
      <c r="D4575" t="str">
        <f t="shared" si="235"/>
        <v>Miércoles</v>
      </c>
    </row>
    <row r="4576" spans="1:4" x14ac:dyDescent="0.25">
      <c r="A4576" s="88" t="str">
        <f t="shared" si="236"/>
        <v>7-2035</v>
      </c>
      <c r="B4576" s="86">
        <v>49502</v>
      </c>
      <c r="C4576" t="str">
        <f t="shared" si="237"/>
        <v>L-V</v>
      </c>
      <c r="D4576" t="str">
        <f t="shared" si="235"/>
        <v>Jueves</v>
      </c>
    </row>
    <row r="4577" spans="1:4" x14ac:dyDescent="0.25">
      <c r="A4577" s="88" t="str">
        <f t="shared" si="236"/>
        <v>7-2035</v>
      </c>
      <c r="B4577" s="86">
        <v>49503</v>
      </c>
      <c r="C4577" t="str">
        <f t="shared" si="237"/>
        <v>L-V</v>
      </c>
      <c r="D4577" t="str">
        <f t="shared" si="235"/>
        <v>Viernes</v>
      </c>
    </row>
    <row r="4578" spans="1:4" x14ac:dyDescent="0.25">
      <c r="A4578" s="88" t="str">
        <f t="shared" si="236"/>
        <v>7-2035</v>
      </c>
      <c r="B4578" s="86">
        <v>49504</v>
      </c>
      <c r="C4578" t="str">
        <f t="shared" si="237"/>
        <v>SAB</v>
      </c>
      <c r="D4578" t="str">
        <f t="shared" si="235"/>
        <v>Sábado</v>
      </c>
    </row>
    <row r="4579" spans="1:4" x14ac:dyDescent="0.25">
      <c r="A4579" s="88" t="str">
        <f t="shared" si="236"/>
        <v>7-2035</v>
      </c>
      <c r="B4579" s="86">
        <v>49505</v>
      </c>
      <c r="C4579" t="str">
        <f t="shared" si="237"/>
        <v>DOM</v>
      </c>
      <c r="D4579" t="str">
        <f t="shared" si="235"/>
        <v>Domingo</v>
      </c>
    </row>
    <row r="4580" spans="1:4" x14ac:dyDescent="0.25">
      <c r="A4580" s="88" t="str">
        <f t="shared" si="236"/>
        <v>7-2035</v>
      </c>
      <c r="B4580" s="86">
        <v>49506</v>
      </c>
      <c r="C4580" t="str">
        <f t="shared" si="237"/>
        <v>L-V</v>
      </c>
      <c r="D4580" t="str">
        <f t="shared" si="235"/>
        <v>Lunes</v>
      </c>
    </row>
    <row r="4581" spans="1:4" x14ac:dyDescent="0.25">
      <c r="A4581" s="88" t="str">
        <f t="shared" si="236"/>
        <v>7-2035</v>
      </c>
      <c r="B4581" s="86">
        <v>49507</v>
      </c>
      <c r="C4581" t="str">
        <f t="shared" si="237"/>
        <v>L-V</v>
      </c>
      <c r="D4581" t="str">
        <f t="shared" si="235"/>
        <v>Martes</v>
      </c>
    </row>
    <row r="4582" spans="1:4" x14ac:dyDescent="0.25">
      <c r="A4582" s="88" t="str">
        <f t="shared" si="236"/>
        <v>7-2035</v>
      </c>
      <c r="B4582" s="86">
        <v>49508</v>
      </c>
      <c r="C4582" t="str">
        <f t="shared" si="237"/>
        <v>L-V</v>
      </c>
      <c r="D4582" t="str">
        <f t="shared" si="235"/>
        <v>Miércoles</v>
      </c>
    </row>
    <row r="4583" spans="1:4" x14ac:dyDescent="0.25">
      <c r="A4583" s="88" t="str">
        <f t="shared" si="236"/>
        <v>7-2035</v>
      </c>
      <c r="B4583" s="86">
        <v>49509</v>
      </c>
      <c r="C4583" t="str">
        <f t="shared" si="237"/>
        <v>L-V</v>
      </c>
      <c r="D4583" t="str">
        <f t="shared" si="235"/>
        <v>Jueves</v>
      </c>
    </row>
    <row r="4584" spans="1:4" x14ac:dyDescent="0.25">
      <c r="A4584" s="88" t="str">
        <f t="shared" si="236"/>
        <v>7-2035</v>
      </c>
      <c r="B4584" s="86">
        <v>49510</v>
      </c>
      <c r="C4584" t="str">
        <f t="shared" si="237"/>
        <v>L-V</v>
      </c>
      <c r="D4584" t="str">
        <f t="shared" si="235"/>
        <v>Viernes</v>
      </c>
    </row>
    <row r="4585" spans="1:4" x14ac:dyDescent="0.25">
      <c r="A4585" s="88" t="str">
        <f t="shared" si="236"/>
        <v>7-2035</v>
      </c>
      <c r="B4585" s="86">
        <v>49511</v>
      </c>
      <c r="C4585" t="str">
        <f t="shared" si="237"/>
        <v>SAB</v>
      </c>
      <c r="D4585" t="str">
        <f t="shared" si="235"/>
        <v>Sábado</v>
      </c>
    </row>
    <row r="4586" spans="1:4" x14ac:dyDescent="0.25">
      <c r="A4586" s="88" t="str">
        <f t="shared" si="236"/>
        <v>7-2035</v>
      </c>
      <c r="B4586" s="86">
        <v>49512</v>
      </c>
      <c r="C4586" t="str">
        <f t="shared" si="237"/>
        <v>DOM</v>
      </c>
      <c r="D4586" t="str">
        <f t="shared" si="235"/>
        <v>Domingo</v>
      </c>
    </row>
    <row r="4587" spans="1:4" x14ac:dyDescent="0.25">
      <c r="A4587" s="88" t="str">
        <f t="shared" si="236"/>
        <v>7-2035</v>
      </c>
      <c r="B4587" s="86">
        <v>49513</v>
      </c>
      <c r="C4587" t="str">
        <f t="shared" si="237"/>
        <v>L-V</v>
      </c>
      <c r="D4587" t="str">
        <f t="shared" si="235"/>
        <v>Lunes</v>
      </c>
    </row>
    <row r="4588" spans="1:4" x14ac:dyDescent="0.25">
      <c r="A4588" s="88" t="str">
        <f t="shared" si="236"/>
        <v>7-2035</v>
      </c>
      <c r="B4588" s="86">
        <v>49514</v>
      </c>
      <c r="C4588" t="str">
        <f t="shared" si="237"/>
        <v>L-V</v>
      </c>
      <c r="D4588" t="str">
        <f t="shared" si="235"/>
        <v>Martes</v>
      </c>
    </row>
    <row r="4589" spans="1:4" x14ac:dyDescent="0.25">
      <c r="A4589" s="88" t="str">
        <f t="shared" si="236"/>
        <v>7-2035</v>
      </c>
      <c r="B4589" s="86">
        <v>49515</v>
      </c>
      <c r="C4589" t="str">
        <f t="shared" si="237"/>
        <v>L-V</v>
      </c>
      <c r="D4589" t="str">
        <f t="shared" si="235"/>
        <v>Miércoles</v>
      </c>
    </row>
    <row r="4590" spans="1:4" x14ac:dyDescent="0.25">
      <c r="A4590" s="88" t="str">
        <f t="shared" si="236"/>
        <v>7-2035</v>
      </c>
      <c r="B4590" s="86">
        <v>49516</v>
      </c>
      <c r="C4590" t="str">
        <f t="shared" si="237"/>
        <v>L-V</v>
      </c>
      <c r="D4590" t="str">
        <f t="shared" si="235"/>
        <v>Jueves</v>
      </c>
    </row>
    <row r="4591" spans="1:4" x14ac:dyDescent="0.25">
      <c r="A4591" s="88" t="str">
        <f t="shared" si="236"/>
        <v>7-2035</v>
      </c>
      <c r="B4591" s="86">
        <v>49517</v>
      </c>
      <c r="C4591" t="str">
        <f t="shared" si="237"/>
        <v>L-V</v>
      </c>
      <c r="D4591" t="str">
        <f t="shared" si="235"/>
        <v>Viernes</v>
      </c>
    </row>
    <row r="4592" spans="1:4" x14ac:dyDescent="0.25">
      <c r="A4592" s="88" t="str">
        <f t="shared" si="236"/>
        <v>7-2035</v>
      </c>
      <c r="B4592" s="86">
        <v>49518</v>
      </c>
      <c r="C4592" t="str">
        <f t="shared" si="237"/>
        <v>SAB</v>
      </c>
      <c r="D4592" t="str">
        <f t="shared" si="235"/>
        <v>Sábado</v>
      </c>
    </row>
    <row r="4593" spans="1:4" x14ac:dyDescent="0.25">
      <c r="A4593" s="88" t="str">
        <f t="shared" si="236"/>
        <v>7-2035</v>
      </c>
      <c r="B4593" s="86">
        <v>49519</v>
      </c>
      <c r="C4593" t="str">
        <f t="shared" si="237"/>
        <v>DOM</v>
      </c>
      <c r="D4593" t="str">
        <f t="shared" si="235"/>
        <v>Domingo</v>
      </c>
    </row>
    <row r="4594" spans="1:4" x14ac:dyDescent="0.25">
      <c r="A4594" s="88" t="str">
        <f t="shared" si="236"/>
        <v>7-2035</v>
      </c>
      <c r="B4594" s="86">
        <v>49520</v>
      </c>
      <c r="C4594" t="str">
        <f t="shared" si="237"/>
        <v>L-V</v>
      </c>
      <c r="D4594" t="str">
        <f t="shared" si="235"/>
        <v>Lunes</v>
      </c>
    </row>
    <row r="4595" spans="1:4" x14ac:dyDescent="0.25">
      <c r="A4595" s="88" t="str">
        <f t="shared" si="236"/>
        <v>7-2035</v>
      </c>
      <c r="B4595" s="86">
        <v>49521</v>
      </c>
      <c r="C4595" t="str">
        <f t="shared" si="237"/>
        <v>L-V</v>
      </c>
      <c r="D4595" t="str">
        <f t="shared" si="235"/>
        <v>Martes</v>
      </c>
    </row>
    <row r="4596" spans="1:4" x14ac:dyDescent="0.25">
      <c r="A4596" s="88" t="str">
        <f t="shared" si="236"/>
        <v>8-2035</v>
      </c>
      <c r="B4596" s="86">
        <v>49522</v>
      </c>
      <c r="C4596" t="str">
        <f t="shared" si="237"/>
        <v>L-V</v>
      </c>
      <c r="D4596" t="str">
        <f t="shared" si="235"/>
        <v>Miércoles</v>
      </c>
    </row>
    <row r="4597" spans="1:4" x14ac:dyDescent="0.25">
      <c r="A4597" s="88" t="str">
        <f t="shared" si="236"/>
        <v>8-2035</v>
      </c>
      <c r="B4597" s="86">
        <v>49523</v>
      </c>
      <c r="C4597" t="str">
        <f t="shared" si="237"/>
        <v>L-V</v>
      </c>
      <c r="D4597" t="str">
        <f t="shared" si="235"/>
        <v>Jueves</v>
      </c>
    </row>
    <row r="4598" spans="1:4" x14ac:dyDescent="0.25">
      <c r="A4598" s="88" t="str">
        <f t="shared" si="236"/>
        <v>8-2035</v>
      </c>
      <c r="B4598" s="86">
        <v>49524</v>
      </c>
      <c r="C4598" t="str">
        <f t="shared" si="237"/>
        <v>L-V</v>
      </c>
      <c r="D4598" t="str">
        <f t="shared" si="235"/>
        <v>Viernes</v>
      </c>
    </row>
    <row r="4599" spans="1:4" x14ac:dyDescent="0.25">
      <c r="A4599" s="88" t="str">
        <f t="shared" si="236"/>
        <v>8-2035</v>
      </c>
      <c r="B4599" s="86">
        <v>49525</v>
      </c>
      <c r="C4599" t="str">
        <f t="shared" si="237"/>
        <v>SAB</v>
      </c>
      <c r="D4599" t="str">
        <f t="shared" si="235"/>
        <v>Sábado</v>
      </c>
    </row>
    <row r="4600" spans="1:4" x14ac:dyDescent="0.25">
      <c r="A4600" s="88" t="str">
        <f t="shared" si="236"/>
        <v>8-2035</v>
      </c>
      <c r="B4600" s="86">
        <v>49526</v>
      </c>
      <c r="C4600" t="str">
        <f t="shared" si="237"/>
        <v>DOM</v>
      </c>
      <c r="D4600" t="str">
        <f t="shared" si="235"/>
        <v>Domingo</v>
      </c>
    </row>
    <row r="4601" spans="1:4" x14ac:dyDescent="0.25">
      <c r="A4601" s="88" t="str">
        <f t="shared" si="236"/>
        <v>8-2035</v>
      </c>
      <c r="B4601" s="86">
        <v>49527</v>
      </c>
      <c r="C4601" t="str">
        <f t="shared" si="237"/>
        <v>L-V</v>
      </c>
      <c r="D4601" t="str">
        <f t="shared" si="235"/>
        <v>Lunes</v>
      </c>
    </row>
    <row r="4602" spans="1:4" x14ac:dyDescent="0.25">
      <c r="A4602" s="88" t="str">
        <f t="shared" si="236"/>
        <v>8-2035</v>
      </c>
      <c r="B4602" s="86">
        <v>49528</v>
      </c>
      <c r="C4602" t="str">
        <f t="shared" si="237"/>
        <v>L-V</v>
      </c>
      <c r="D4602" t="str">
        <f t="shared" si="235"/>
        <v>Martes</v>
      </c>
    </row>
    <row r="4603" spans="1:4" x14ac:dyDescent="0.25">
      <c r="A4603" s="88" t="str">
        <f t="shared" si="236"/>
        <v>8-2035</v>
      </c>
      <c r="B4603" s="86">
        <v>49529</v>
      </c>
      <c r="C4603" t="str">
        <f t="shared" si="237"/>
        <v>L-V</v>
      </c>
      <c r="D4603" t="str">
        <f t="shared" si="235"/>
        <v>Miércoles</v>
      </c>
    </row>
    <row r="4604" spans="1:4" x14ac:dyDescent="0.25">
      <c r="A4604" s="88" t="str">
        <f t="shared" si="236"/>
        <v>8-2035</v>
      </c>
      <c r="B4604" s="86">
        <v>49530</v>
      </c>
      <c r="C4604" t="str">
        <f t="shared" si="237"/>
        <v>L-V</v>
      </c>
      <c r="D4604" t="str">
        <f t="shared" si="235"/>
        <v>Jueves</v>
      </c>
    </row>
    <row r="4605" spans="1:4" x14ac:dyDescent="0.25">
      <c r="A4605" s="88" t="str">
        <f t="shared" si="236"/>
        <v>8-2035</v>
      </c>
      <c r="B4605" s="86">
        <v>49531</v>
      </c>
      <c r="C4605" t="str">
        <f t="shared" si="237"/>
        <v>L-V</v>
      </c>
      <c r="D4605" t="str">
        <f t="shared" si="235"/>
        <v>Viernes</v>
      </c>
    </row>
    <row r="4606" spans="1:4" x14ac:dyDescent="0.25">
      <c r="A4606" s="88" t="str">
        <f t="shared" si="236"/>
        <v>8-2035</v>
      </c>
      <c r="B4606" s="86">
        <v>49532</v>
      </c>
      <c r="C4606" t="str">
        <f t="shared" si="237"/>
        <v>SAB</v>
      </c>
      <c r="D4606" t="str">
        <f t="shared" si="235"/>
        <v>Sábado</v>
      </c>
    </row>
    <row r="4607" spans="1:4" x14ac:dyDescent="0.25">
      <c r="A4607" s="88" t="str">
        <f t="shared" si="236"/>
        <v>8-2035</v>
      </c>
      <c r="B4607" s="86">
        <v>49533</v>
      </c>
      <c r="C4607" t="str">
        <f t="shared" si="237"/>
        <v>DOM</v>
      </c>
      <c r="D4607" t="str">
        <f t="shared" si="235"/>
        <v>Domingo</v>
      </c>
    </row>
    <row r="4608" spans="1:4" x14ac:dyDescent="0.25">
      <c r="A4608" s="88" t="str">
        <f t="shared" si="236"/>
        <v>8-2035</v>
      </c>
      <c r="B4608" s="86">
        <v>49534</v>
      </c>
      <c r="C4608" t="str">
        <f t="shared" si="237"/>
        <v>L-V</v>
      </c>
      <c r="D4608" t="str">
        <f t="shared" si="235"/>
        <v>Lunes</v>
      </c>
    </row>
    <row r="4609" spans="1:4" x14ac:dyDescent="0.25">
      <c r="A4609" s="88" t="str">
        <f t="shared" si="236"/>
        <v>8-2035</v>
      </c>
      <c r="B4609" s="86">
        <v>49535</v>
      </c>
      <c r="C4609" t="str">
        <f t="shared" si="237"/>
        <v>L-V</v>
      </c>
      <c r="D4609" t="str">
        <f t="shared" si="235"/>
        <v>Martes</v>
      </c>
    </row>
    <row r="4610" spans="1:4" x14ac:dyDescent="0.25">
      <c r="A4610" s="88" t="str">
        <f t="shared" si="236"/>
        <v>8-2035</v>
      </c>
      <c r="B4610" s="86">
        <v>49536</v>
      </c>
      <c r="C4610" t="str">
        <f t="shared" si="237"/>
        <v>L-V</v>
      </c>
      <c r="D4610" t="str">
        <f t="shared" si="235"/>
        <v>Miércoles</v>
      </c>
    </row>
    <row r="4611" spans="1:4" x14ac:dyDescent="0.25">
      <c r="A4611" s="88" t="str">
        <f t="shared" si="236"/>
        <v>8-2035</v>
      </c>
      <c r="B4611" s="86">
        <v>49537</v>
      </c>
      <c r="C4611" t="str">
        <f t="shared" si="237"/>
        <v>L-V</v>
      </c>
      <c r="D4611" t="str">
        <f t="shared" ref="D4611:D4674" si="238">VLOOKUP(WEEKDAY($B4611,2),$F$1:$H$7,3)</f>
        <v>Jueves</v>
      </c>
    </row>
    <row r="4612" spans="1:4" x14ac:dyDescent="0.25">
      <c r="A4612" s="88" t="str">
        <f t="shared" si="236"/>
        <v>8-2035</v>
      </c>
      <c r="B4612" s="86">
        <v>49538</v>
      </c>
      <c r="C4612" t="str">
        <f t="shared" si="237"/>
        <v>L-V</v>
      </c>
      <c r="D4612" t="str">
        <f t="shared" si="238"/>
        <v>Viernes</v>
      </c>
    </row>
    <row r="4613" spans="1:4" x14ac:dyDescent="0.25">
      <c r="A4613" s="88" t="str">
        <f t="shared" si="236"/>
        <v>8-2035</v>
      </c>
      <c r="B4613" s="86">
        <v>49539</v>
      </c>
      <c r="C4613" t="str">
        <f t="shared" si="237"/>
        <v>SAB</v>
      </c>
      <c r="D4613" t="str">
        <f t="shared" si="238"/>
        <v>Sábado</v>
      </c>
    </row>
    <row r="4614" spans="1:4" x14ac:dyDescent="0.25">
      <c r="A4614" s="88" t="str">
        <f t="shared" si="236"/>
        <v>8-2035</v>
      </c>
      <c r="B4614" s="86">
        <v>49540</v>
      </c>
      <c r="C4614" t="str">
        <f t="shared" si="237"/>
        <v>DOM</v>
      </c>
      <c r="D4614" t="str">
        <f t="shared" si="238"/>
        <v>Domingo</v>
      </c>
    </row>
    <row r="4615" spans="1:4" x14ac:dyDescent="0.25">
      <c r="A4615" s="88" t="str">
        <f t="shared" si="236"/>
        <v>8-2035</v>
      </c>
      <c r="B4615" s="86">
        <v>49541</v>
      </c>
      <c r="C4615" t="str">
        <f t="shared" si="237"/>
        <v>L-V</v>
      </c>
      <c r="D4615" t="str">
        <f t="shared" si="238"/>
        <v>Lunes</v>
      </c>
    </row>
    <row r="4616" spans="1:4" x14ac:dyDescent="0.25">
      <c r="A4616" s="88" t="str">
        <f t="shared" si="236"/>
        <v>8-2035</v>
      </c>
      <c r="B4616" s="86">
        <v>49542</v>
      </c>
      <c r="C4616" t="str">
        <f t="shared" si="237"/>
        <v>L-V</v>
      </c>
      <c r="D4616" t="str">
        <f t="shared" si="238"/>
        <v>Martes</v>
      </c>
    </row>
    <row r="4617" spans="1:4" x14ac:dyDescent="0.25">
      <c r="A4617" s="88" t="str">
        <f t="shared" si="236"/>
        <v>8-2035</v>
      </c>
      <c r="B4617" s="86">
        <v>49543</v>
      </c>
      <c r="C4617" t="str">
        <f t="shared" si="237"/>
        <v>L-V</v>
      </c>
      <c r="D4617" t="str">
        <f t="shared" si="238"/>
        <v>Miércoles</v>
      </c>
    </row>
    <row r="4618" spans="1:4" x14ac:dyDescent="0.25">
      <c r="A4618" s="88" t="str">
        <f t="shared" si="236"/>
        <v>8-2035</v>
      </c>
      <c r="B4618" s="86">
        <v>49544</v>
      </c>
      <c r="C4618" t="str">
        <f t="shared" si="237"/>
        <v>L-V</v>
      </c>
      <c r="D4618" t="str">
        <f t="shared" si="238"/>
        <v>Jueves</v>
      </c>
    </row>
    <row r="4619" spans="1:4" x14ac:dyDescent="0.25">
      <c r="A4619" s="88" t="str">
        <f t="shared" si="236"/>
        <v>8-2035</v>
      </c>
      <c r="B4619" s="86">
        <v>49545</v>
      </c>
      <c r="C4619" t="str">
        <f t="shared" si="237"/>
        <v>L-V</v>
      </c>
      <c r="D4619" t="str">
        <f t="shared" si="238"/>
        <v>Viernes</v>
      </c>
    </row>
    <row r="4620" spans="1:4" x14ac:dyDescent="0.25">
      <c r="A4620" s="88" t="str">
        <f t="shared" si="236"/>
        <v>8-2035</v>
      </c>
      <c r="B4620" s="86">
        <v>49546</v>
      </c>
      <c r="C4620" t="str">
        <f t="shared" si="237"/>
        <v>SAB</v>
      </c>
      <c r="D4620" t="str">
        <f t="shared" si="238"/>
        <v>Sábado</v>
      </c>
    </row>
    <row r="4621" spans="1:4" x14ac:dyDescent="0.25">
      <c r="A4621" s="88" t="str">
        <f t="shared" si="236"/>
        <v>8-2035</v>
      </c>
      <c r="B4621" s="86">
        <v>49547</v>
      </c>
      <c r="C4621" t="str">
        <f t="shared" si="237"/>
        <v>DOM</v>
      </c>
      <c r="D4621" t="str">
        <f t="shared" si="238"/>
        <v>Domingo</v>
      </c>
    </row>
    <row r="4622" spans="1:4" x14ac:dyDescent="0.25">
      <c r="A4622" s="88" t="str">
        <f t="shared" si="236"/>
        <v>8-2035</v>
      </c>
      <c r="B4622" s="86">
        <v>49548</v>
      </c>
      <c r="C4622" t="str">
        <f t="shared" si="237"/>
        <v>L-V</v>
      </c>
      <c r="D4622" t="str">
        <f t="shared" si="238"/>
        <v>Lunes</v>
      </c>
    </row>
    <row r="4623" spans="1:4" x14ac:dyDescent="0.25">
      <c r="A4623" s="88" t="str">
        <f t="shared" si="236"/>
        <v>8-2035</v>
      </c>
      <c r="B4623" s="86">
        <v>49549</v>
      </c>
      <c r="C4623" t="str">
        <f t="shared" si="237"/>
        <v>L-V</v>
      </c>
      <c r="D4623" t="str">
        <f t="shared" si="238"/>
        <v>Martes</v>
      </c>
    </row>
    <row r="4624" spans="1:4" x14ac:dyDescent="0.25">
      <c r="A4624" s="88" t="str">
        <f t="shared" si="236"/>
        <v>8-2035</v>
      </c>
      <c r="B4624" s="86">
        <v>49550</v>
      </c>
      <c r="C4624" t="str">
        <f t="shared" si="237"/>
        <v>L-V</v>
      </c>
      <c r="D4624" t="str">
        <f t="shared" si="238"/>
        <v>Miércoles</v>
      </c>
    </row>
    <row r="4625" spans="1:4" x14ac:dyDescent="0.25">
      <c r="A4625" s="88" t="str">
        <f t="shared" si="236"/>
        <v>8-2035</v>
      </c>
      <c r="B4625" s="86">
        <v>49551</v>
      </c>
      <c r="C4625" t="str">
        <f t="shared" si="237"/>
        <v>L-V</v>
      </c>
      <c r="D4625" t="str">
        <f t="shared" si="238"/>
        <v>Jueves</v>
      </c>
    </row>
    <row r="4626" spans="1:4" x14ac:dyDescent="0.25">
      <c r="A4626" s="88" t="str">
        <f t="shared" si="236"/>
        <v>8-2035</v>
      </c>
      <c r="B4626" s="86">
        <v>49552</v>
      </c>
      <c r="C4626" t="str">
        <f t="shared" si="237"/>
        <v>L-V</v>
      </c>
      <c r="D4626" t="str">
        <f t="shared" si="238"/>
        <v>Viernes</v>
      </c>
    </row>
    <row r="4627" spans="1:4" x14ac:dyDescent="0.25">
      <c r="A4627" s="88" t="str">
        <f t="shared" si="236"/>
        <v>9-2035</v>
      </c>
      <c r="B4627" s="86">
        <v>49553</v>
      </c>
      <c r="C4627" t="str">
        <f t="shared" si="237"/>
        <v>SAB</v>
      </c>
      <c r="D4627" t="str">
        <f t="shared" si="238"/>
        <v>Sábado</v>
      </c>
    </row>
    <row r="4628" spans="1:4" x14ac:dyDescent="0.25">
      <c r="A4628" s="88" t="str">
        <f t="shared" si="236"/>
        <v>9-2035</v>
      </c>
      <c r="B4628" s="86">
        <v>49554</v>
      </c>
      <c r="C4628" t="str">
        <f t="shared" si="237"/>
        <v>DOM</v>
      </c>
      <c r="D4628" t="str">
        <f t="shared" si="238"/>
        <v>Domingo</v>
      </c>
    </row>
    <row r="4629" spans="1:4" x14ac:dyDescent="0.25">
      <c r="A4629" s="88" t="str">
        <f t="shared" si="236"/>
        <v>9-2035</v>
      </c>
      <c r="B4629" s="86">
        <v>49555</v>
      </c>
      <c r="C4629" t="str">
        <f t="shared" si="237"/>
        <v>L-V</v>
      </c>
      <c r="D4629" t="str">
        <f t="shared" si="238"/>
        <v>Lunes</v>
      </c>
    </row>
    <row r="4630" spans="1:4" x14ac:dyDescent="0.25">
      <c r="A4630" s="88" t="str">
        <f t="shared" si="236"/>
        <v>9-2035</v>
      </c>
      <c r="B4630" s="86">
        <v>49556</v>
      </c>
      <c r="C4630" t="str">
        <f t="shared" si="237"/>
        <v>L-V</v>
      </c>
      <c r="D4630" t="str">
        <f t="shared" si="238"/>
        <v>Martes</v>
      </c>
    </row>
    <row r="4631" spans="1:4" x14ac:dyDescent="0.25">
      <c r="A4631" s="88" t="str">
        <f t="shared" si="236"/>
        <v>9-2035</v>
      </c>
      <c r="B4631" s="86">
        <v>49557</v>
      </c>
      <c r="C4631" t="str">
        <f t="shared" si="237"/>
        <v>L-V</v>
      </c>
      <c r="D4631" t="str">
        <f t="shared" si="238"/>
        <v>Miércoles</v>
      </c>
    </row>
    <row r="4632" spans="1:4" x14ac:dyDescent="0.25">
      <c r="A4632" s="88" t="str">
        <f t="shared" si="236"/>
        <v>9-2035</v>
      </c>
      <c r="B4632" s="86">
        <v>49558</v>
      </c>
      <c r="C4632" t="str">
        <f t="shared" si="237"/>
        <v>L-V</v>
      </c>
      <c r="D4632" t="str">
        <f t="shared" si="238"/>
        <v>Jueves</v>
      </c>
    </row>
    <row r="4633" spans="1:4" x14ac:dyDescent="0.25">
      <c r="A4633" s="88" t="str">
        <f t="shared" si="236"/>
        <v>9-2035</v>
      </c>
      <c r="B4633" s="86">
        <v>49559</v>
      </c>
      <c r="C4633" t="str">
        <f t="shared" si="237"/>
        <v>L-V</v>
      </c>
      <c r="D4633" t="str">
        <f t="shared" si="238"/>
        <v>Viernes</v>
      </c>
    </row>
    <row r="4634" spans="1:4" x14ac:dyDescent="0.25">
      <c r="A4634" s="88" t="str">
        <f t="shared" si="236"/>
        <v>9-2035</v>
      </c>
      <c r="B4634" s="86">
        <v>49560</v>
      </c>
      <c r="C4634" t="str">
        <f t="shared" si="237"/>
        <v>SAB</v>
      </c>
      <c r="D4634" t="str">
        <f t="shared" si="238"/>
        <v>Sábado</v>
      </c>
    </row>
    <row r="4635" spans="1:4" x14ac:dyDescent="0.25">
      <c r="A4635" s="88" t="str">
        <f t="shared" si="236"/>
        <v>9-2035</v>
      </c>
      <c r="B4635" s="86">
        <v>49561</v>
      </c>
      <c r="C4635" t="str">
        <f t="shared" si="237"/>
        <v>DOM</v>
      </c>
      <c r="D4635" t="str">
        <f t="shared" si="238"/>
        <v>Domingo</v>
      </c>
    </row>
    <row r="4636" spans="1:4" x14ac:dyDescent="0.25">
      <c r="A4636" s="88" t="str">
        <f t="shared" si="236"/>
        <v>9-2035</v>
      </c>
      <c r="B4636" s="86">
        <v>49562</v>
      </c>
      <c r="C4636" t="str">
        <f t="shared" si="237"/>
        <v>L-V</v>
      </c>
      <c r="D4636" t="str">
        <f t="shared" si="238"/>
        <v>Lunes</v>
      </c>
    </row>
    <row r="4637" spans="1:4" x14ac:dyDescent="0.25">
      <c r="A4637" s="88" t="str">
        <f t="shared" ref="A4637:A4700" si="239">MONTH(B4637)&amp;"-"&amp;YEAR(B4637)</f>
        <v>9-2035</v>
      </c>
      <c r="B4637" s="86">
        <v>49563</v>
      </c>
      <c r="C4637" t="str">
        <f t="shared" ref="C4637:C4700" si="240">VLOOKUP(WEEKDAY(B4637,2),$F$1:$H$7,2)</f>
        <v>L-V</v>
      </c>
      <c r="D4637" t="str">
        <f t="shared" si="238"/>
        <v>Martes</v>
      </c>
    </row>
    <row r="4638" spans="1:4" x14ac:dyDescent="0.25">
      <c r="A4638" s="88" t="str">
        <f t="shared" si="239"/>
        <v>9-2035</v>
      </c>
      <c r="B4638" s="86">
        <v>49564</v>
      </c>
      <c r="C4638" t="str">
        <f t="shared" si="240"/>
        <v>L-V</v>
      </c>
      <c r="D4638" t="str">
        <f t="shared" si="238"/>
        <v>Miércoles</v>
      </c>
    </row>
    <row r="4639" spans="1:4" x14ac:dyDescent="0.25">
      <c r="A4639" s="88" t="str">
        <f t="shared" si="239"/>
        <v>9-2035</v>
      </c>
      <c r="B4639" s="86">
        <v>49565</v>
      </c>
      <c r="C4639" t="str">
        <f t="shared" si="240"/>
        <v>L-V</v>
      </c>
      <c r="D4639" t="str">
        <f t="shared" si="238"/>
        <v>Jueves</v>
      </c>
    </row>
    <row r="4640" spans="1:4" x14ac:dyDescent="0.25">
      <c r="A4640" s="88" t="str">
        <f t="shared" si="239"/>
        <v>9-2035</v>
      </c>
      <c r="B4640" s="86">
        <v>49566</v>
      </c>
      <c r="C4640" t="str">
        <f t="shared" si="240"/>
        <v>L-V</v>
      </c>
      <c r="D4640" t="str">
        <f t="shared" si="238"/>
        <v>Viernes</v>
      </c>
    </row>
    <row r="4641" spans="1:4" x14ac:dyDescent="0.25">
      <c r="A4641" s="88" t="str">
        <f t="shared" si="239"/>
        <v>9-2035</v>
      </c>
      <c r="B4641" s="86">
        <v>49567</v>
      </c>
      <c r="C4641" t="str">
        <f t="shared" si="240"/>
        <v>SAB</v>
      </c>
      <c r="D4641" t="str">
        <f t="shared" si="238"/>
        <v>Sábado</v>
      </c>
    </row>
    <row r="4642" spans="1:4" x14ac:dyDescent="0.25">
      <c r="A4642" s="88" t="str">
        <f t="shared" si="239"/>
        <v>9-2035</v>
      </c>
      <c r="B4642" s="86">
        <v>49568</v>
      </c>
      <c r="C4642" t="str">
        <f t="shared" si="240"/>
        <v>DOM</v>
      </c>
      <c r="D4642" t="str">
        <f t="shared" si="238"/>
        <v>Domingo</v>
      </c>
    </row>
    <row r="4643" spans="1:4" x14ac:dyDescent="0.25">
      <c r="A4643" s="88" t="str">
        <f t="shared" si="239"/>
        <v>9-2035</v>
      </c>
      <c r="B4643" s="86">
        <v>49569</v>
      </c>
      <c r="C4643" t="str">
        <f t="shared" si="240"/>
        <v>L-V</v>
      </c>
      <c r="D4643" t="str">
        <f t="shared" si="238"/>
        <v>Lunes</v>
      </c>
    </row>
    <row r="4644" spans="1:4" x14ac:dyDescent="0.25">
      <c r="A4644" s="88" t="str">
        <f t="shared" si="239"/>
        <v>9-2035</v>
      </c>
      <c r="B4644" s="86">
        <v>49570</v>
      </c>
      <c r="C4644" t="str">
        <f t="shared" si="240"/>
        <v>L-V</v>
      </c>
      <c r="D4644" t="str">
        <f t="shared" si="238"/>
        <v>Martes</v>
      </c>
    </row>
    <row r="4645" spans="1:4" x14ac:dyDescent="0.25">
      <c r="A4645" s="88" t="str">
        <f t="shared" si="239"/>
        <v>9-2035</v>
      </c>
      <c r="B4645" s="86">
        <v>49571</v>
      </c>
      <c r="C4645" t="str">
        <f t="shared" si="240"/>
        <v>L-V</v>
      </c>
      <c r="D4645" t="str">
        <f t="shared" si="238"/>
        <v>Miércoles</v>
      </c>
    </row>
    <row r="4646" spans="1:4" x14ac:dyDescent="0.25">
      <c r="A4646" s="88" t="str">
        <f t="shared" si="239"/>
        <v>9-2035</v>
      </c>
      <c r="B4646" s="86">
        <v>49572</v>
      </c>
      <c r="C4646" t="str">
        <f t="shared" si="240"/>
        <v>L-V</v>
      </c>
      <c r="D4646" t="str">
        <f t="shared" si="238"/>
        <v>Jueves</v>
      </c>
    </row>
    <row r="4647" spans="1:4" x14ac:dyDescent="0.25">
      <c r="A4647" s="88" t="str">
        <f t="shared" si="239"/>
        <v>9-2035</v>
      </c>
      <c r="B4647" s="86">
        <v>49573</v>
      </c>
      <c r="C4647" t="str">
        <f t="shared" si="240"/>
        <v>L-V</v>
      </c>
      <c r="D4647" t="str">
        <f t="shared" si="238"/>
        <v>Viernes</v>
      </c>
    </row>
    <row r="4648" spans="1:4" x14ac:dyDescent="0.25">
      <c r="A4648" s="88" t="str">
        <f t="shared" si="239"/>
        <v>9-2035</v>
      </c>
      <c r="B4648" s="86">
        <v>49574</v>
      </c>
      <c r="C4648" t="str">
        <f t="shared" si="240"/>
        <v>SAB</v>
      </c>
      <c r="D4648" t="str">
        <f t="shared" si="238"/>
        <v>Sábado</v>
      </c>
    </row>
    <row r="4649" spans="1:4" x14ac:dyDescent="0.25">
      <c r="A4649" s="88" t="str">
        <f t="shared" si="239"/>
        <v>9-2035</v>
      </c>
      <c r="B4649" s="86">
        <v>49575</v>
      </c>
      <c r="C4649" t="str">
        <f t="shared" si="240"/>
        <v>DOM</v>
      </c>
      <c r="D4649" t="str">
        <f t="shared" si="238"/>
        <v>Domingo</v>
      </c>
    </row>
    <row r="4650" spans="1:4" x14ac:dyDescent="0.25">
      <c r="A4650" s="88" t="str">
        <f t="shared" si="239"/>
        <v>9-2035</v>
      </c>
      <c r="B4650" s="86">
        <v>49576</v>
      </c>
      <c r="C4650" t="str">
        <f t="shared" si="240"/>
        <v>L-V</v>
      </c>
      <c r="D4650" t="str">
        <f t="shared" si="238"/>
        <v>Lunes</v>
      </c>
    </row>
    <row r="4651" spans="1:4" x14ac:dyDescent="0.25">
      <c r="A4651" s="88" t="str">
        <f t="shared" si="239"/>
        <v>9-2035</v>
      </c>
      <c r="B4651" s="86">
        <v>49577</v>
      </c>
      <c r="C4651" t="str">
        <f t="shared" si="240"/>
        <v>L-V</v>
      </c>
      <c r="D4651" t="str">
        <f t="shared" si="238"/>
        <v>Martes</v>
      </c>
    </row>
    <row r="4652" spans="1:4" x14ac:dyDescent="0.25">
      <c r="A4652" s="88" t="str">
        <f t="shared" si="239"/>
        <v>9-2035</v>
      </c>
      <c r="B4652" s="86">
        <v>49578</v>
      </c>
      <c r="C4652" t="str">
        <f t="shared" si="240"/>
        <v>L-V</v>
      </c>
      <c r="D4652" t="str">
        <f t="shared" si="238"/>
        <v>Miércoles</v>
      </c>
    </row>
    <row r="4653" spans="1:4" x14ac:dyDescent="0.25">
      <c r="A4653" s="88" t="str">
        <f t="shared" si="239"/>
        <v>9-2035</v>
      </c>
      <c r="B4653" s="86">
        <v>49579</v>
      </c>
      <c r="C4653" t="str">
        <f t="shared" si="240"/>
        <v>L-V</v>
      </c>
      <c r="D4653" t="str">
        <f t="shared" si="238"/>
        <v>Jueves</v>
      </c>
    </row>
    <row r="4654" spans="1:4" x14ac:dyDescent="0.25">
      <c r="A4654" s="88" t="str">
        <f t="shared" si="239"/>
        <v>9-2035</v>
      </c>
      <c r="B4654" s="86">
        <v>49580</v>
      </c>
      <c r="C4654" t="str">
        <f t="shared" si="240"/>
        <v>L-V</v>
      </c>
      <c r="D4654" t="str">
        <f t="shared" si="238"/>
        <v>Viernes</v>
      </c>
    </row>
    <row r="4655" spans="1:4" x14ac:dyDescent="0.25">
      <c r="A4655" s="88" t="str">
        <f t="shared" si="239"/>
        <v>9-2035</v>
      </c>
      <c r="B4655" s="86">
        <v>49581</v>
      </c>
      <c r="C4655" t="str">
        <f t="shared" si="240"/>
        <v>SAB</v>
      </c>
      <c r="D4655" t="str">
        <f t="shared" si="238"/>
        <v>Sábado</v>
      </c>
    </row>
    <row r="4656" spans="1:4" x14ac:dyDescent="0.25">
      <c r="A4656" s="88" t="str">
        <f t="shared" si="239"/>
        <v>9-2035</v>
      </c>
      <c r="B4656" s="86">
        <v>49582</v>
      </c>
      <c r="C4656" t="str">
        <f t="shared" si="240"/>
        <v>DOM</v>
      </c>
      <c r="D4656" t="str">
        <f t="shared" si="238"/>
        <v>Domingo</v>
      </c>
    </row>
    <row r="4657" spans="1:4" x14ac:dyDescent="0.25">
      <c r="A4657" s="88" t="str">
        <f t="shared" si="239"/>
        <v>10-2035</v>
      </c>
      <c r="B4657" s="86">
        <v>49583</v>
      </c>
      <c r="C4657" t="str">
        <f t="shared" si="240"/>
        <v>L-V</v>
      </c>
      <c r="D4657" t="str">
        <f t="shared" si="238"/>
        <v>Lunes</v>
      </c>
    </row>
    <row r="4658" spans="1:4" x14ac:dyDescent="0.25">
      <c r="A4658" s="88" t="str">
        <f t="shared" si="239"/>
        <v>10-2035</v>
      </c>
      <c r="B4658" s="86">
        <v>49584</v>
      </c>
      <c r="C4658" t="str">
        <f t="shared" si="240"/>
        <v>L-V</v>
      </c>
      <c r="D4658" t="str">
        <f t="shared" si="238"/>
        <v>Martes</v>
      </c>
    </row>
    <row r="4659" spans="1:4" x14ac:dyDescent="0.25">
      <c r="A4659" s="88" t="str">
        <f t="shared" si="239"/>
        <v>10-2035</v>
      </c>
      <c r="B4659" s="86">
        <v>49585</v>
      </c>
      <c r="C4659" t="str">
        <f t="shared" si="240"/>
        <v>L-V</v>
      </c>
      <c r="D4659" t="str">
        <f t="shared" si="238"/>
        <v>Miércoles</v>
      </c>
    </row>
    <row r="4660" spans="1:4" x14ac:dyDescent="0.25">
      <c r="A4660" s="88" t="str">
        <f t="shared" si="239"/>
        <v>10-2035</v>
      </c>
      <c r="B4660" s="86">
        <v>49586</v>
      </c>
      <c r="C4660" t="str">
        <f t="shared" si="240"/>
        <v>L-V</v>
      </c>
      <c r="D4660" t="str">
        <f t="shared" si="238"/>
        <v>Jueves</v>
      </c>
    </row>
    <row r="4661" spans="1:4" x14ac:dyDescent="0.25">
      <c r="A4661" s="88" t="str">
        <f t="shared" si="239"/>
        <v>10-2035</v>
      </c>
      <c r="B4661" s="86">
        <v>49587</v>
      </c>
      <c r="C4661" t="str">
        <f t="shared" si="240"/>
        <v>L-V</v>
      </c>
      <c r="D4661" t="str">
        <f t="shared" si="238"/>
        <v>Viernes</v>
      </c>
    </row>
    <row r="4662" spans="1:4" x14ac:dyDescent="0.25">
      <c r="A4662" s="88" t="str">
        <f t="shared" si="239"/>
        <v>10-2035</v>
      </c>
      <c r="B4662" s="86">
        <v>49588</v>
      </c>
      <c r="C4662" t="str">
        <f t="shared" si="240"/>
        <v>SAB</v>
      </c>
      <c r="D4662" t="str">
        <f t="shared" si="238"/>
        <v>Sábado</v>
      </c>
    </row>
    <row r="4663" spans="1:4" x14ac:dyDescent="0.25">
      <c r="A4663" s="88" t="str">
        <f t="shared" si="239"/>
        <v>10-2035</v>
      </c>
      <c r="B4663" s="86">
        <v>49589</v>
      </c>
      <c r="C4663" t="str">
        <f t="shared" si="240"/>
        <v>DOM</v>
      </c>
      <c r="D4663" t="str">
        <f t="shared" si="238"/>
        <v>Domingo</v>
      </c>
    </row>
    <row r="4664" spans="1:4" x14ac:dyDescent="0.25">
      <c r="A4664" s="88" t="str">
        <f t="shared" si="239"/>
        <v>10-2035</v>
      </c>
      <c r="B4664" s="86">
        <v>49590</v>
      </c>
      <c r="C4664" t="str">
        <f t="shared" si="240"/>
        <v>L-V</v>
      </c>
      <c r="D4664" t="str">
        <f t="shared" si="238"/>
        <v>Lunes</v>
      </c>
    </row>
    <row r="4665" spans="1:4" x14ac:dyDescent="0.25">
      <c r="A4665" s="88" t="str">
        <f t="shared" si="239"/>
        <v>10-2035</v>
      </c>
      <c r="B4665" s="86">
        <v>49591</v>
      </c>
      <c r="C4665" t="str">
        <f t="shared" si="240"/>
        <v>L-V</v>
      </c>
      <c r="D4665" t="str">
        <f t="shared" si="238"/>
        <v>Martes</v>
      </c>
    </row>
    <row r="4666" spans="1:4" x14ac:dyDescent="0.25">
      <c r="A4666" s="88" t="str">
        <f t="shared" si="239"/>
        <v>10-2035</v>
      </c>
      <c r="B4666" s="86">
        <v>49592</v>
      </c>
      <c r="C4666" t="str">
        <f t="shared" si="240"/>
        <v>L-V</v>
      </c>
      <c r="D4666" t="str">
        <f t="shared" si="238"/>
        <v>Miércoles</v>
      </c>
    </row>
    <row r="4667" spans="1:4" x14ac:dyDescent="0.25">
      <c r="A4667" s="88" t="str">
        <f t="shared" si="239"/>
        <v>10-2035</v>
      </c>
      <c r="B4667" s="86">
        <v>49593</v>
      </c>
      <c r="C4667" t="str">
        <f t="shared" si="240"/>
        <v>L-V</v>
      </c>
      <c r="D4667" t="str">
        <f t="shared" si="238"/>
        <v>Jueves</v>
      </c>
    </row>
    <row r="4668" spans="1:4" x14ac:dyDescent="0.25">
      <c r="A4668" s="88" t="str">
        <f t="shared" si="239"/>
        <v>10-2035</v>
      </c>
      <c r="B4668" s="86">
        <v>49594</v>
      </c>
      <c r="C4668" t="str">
        <f t="shared" si="240"/>
        <v>L-V</v>
      </c>
      <c r="D4668" t="str">
        <f t="shared" si="238"/>
        <v>Viernes</v>
      </c>
    </row>
    <row r="4669" spans="1:4" x14ac:dyDescent="0.25">
      <c r="A4669" s="88" t="str">
        <f t="shared" si="239"/>
        <v>10-2035</v>
      </c>
      <c r="B4669" s="86">
        <v>49595</v>
      </c>
      <c r="C4669" t="str">
        <f t="shared" si="240"/>
        <v>SAB</v>
      </c>
      <c r="D4669" t="str">
        <f t="shared" si="238"/>
        <v>Sábado</v>
      </c>
    </row>
    <row r="4670" spans="1:4" x14ac:dyDescent="0.25">
      <c r="A4670" s="88" t="str">
        <f t="shared" si="239"/>
        <v>10-2035</v>
      </c>
      <c r="B4670" s="86">
        <v>49596</v>
      </c>
      <c r="C4670" t="str">
        <f t="shared" si="240"/>
        <v>DOM</v>
      </c>
      <c r="D4670" t="str">
        <f t="shared" si="238"/>
        <v>Domingo</v>
      </c>
    </row>
    <row r="4671" spans="1:4" x14ac:dyDescent="0.25">
      <c r="A4671" s="88" t="str">
        <f t="shared" si="239"/>
        <v>10-2035</v>
      </c>
      <c r="B4671" s="86">
        <v>49597</v>
      </c>
      <c r="C4671" t="str">
        <f t="shared" si="240"/>
        <v>L-V</v>
      </c>
      <c r="D4671" t="str">
        <f t="shared" si="238"/>
        <v>Lunes</v>
      </c>
    </row>
    <row r="4672" spans="1:4" x14ac:dyDescent="0.25">
      <c r="A4672" s="88" t="str">
        <f t="shared" si="239"/>
        <v>10-2035</v>
      </c>
      <c r="B4672" s="86">
        <v>49598</v>
      </c>
      <c r="C4672" t="str">
        <f t="shared" si="240"/>
        <v>L-V</v>
      </c>
      <c r="D4672" t="str">
        <f t="shared" si="238"/>
        <v>Martes</v>
      </c>
    </row>
    <row r="4673" spans="1:4" x14ac:dyDescent="0.25">
      <c r="A4673" s="88" t="str">
        <f t="shared" si="239"/>
        <v>10-2035</v>
      </c>
      <c r="B4673" s="86">
        <v>49599</v>
      </c>
      <c r="C4673" t="str">
        <f t="shared" si="240"/>
        <v>L-V</v>
      </c>
      <c r="D4673" t="str">
        <f t="shared" si="238"/>
        <v>Miércoles</v>
      </c>
    </row>
    <row r="4674" spans="1:4" x14ac:dyDescent="0.25">
      <c r="A4674" s="88" t="str">
        <f t="shared" si="239"/>
        <v>10-2035</v>
      </c>
      <c r="B4674" s="86">
        <v>49600</v>
      </c>
      <c r="C4674" t="str">
        <f t="shared" si="240"/>
        <v>L-V</v>
      </c>
      <c r="D4674" t="str">
        <f t="shared" si="238"/>
        <v>Jueves</v>
      </c>
    </row>
    <row r="4675" spans="1:4" x14ac:dyDescent="0.25">
      <c r="A4675" s="88" t="str">
        <f t="shared" si="239"/>
        <v>10-2035</v>
      </c>
      <c r="B4675" s="86">
        <v>49601</v>
      </c>
      <c r="C4675" t="str">
        <f t="shared" si="240"/>
        <v>L-V</v>
      </c>
      <c r="D4675" t="str">
        <f t="shared" ref="D4675:D4738" si="241">VLOOKUP(WEEKDAY($B4675,2),$F$1:$H$7,3)</f>
        <v>Viernes</v>
      </c>
    </row>
    <row r="4676" spans="1:4" x14ac:dyDescent="0.25">
      <c r="A4676" s="88" t="str">
        <f t="shared" si="239"/>
        <v>10-2035</v>
      </c>
      <c r="B4676" s="86">
        <v>49602</v>
      </c>
      <c r="C4676" t="str">
        <f t="shared" si="240"/>
        <v>SAB</v>
      </c>
      <c r="D4676" t="str">
        <f t="shared" si="241"/>
        <v>Sábado</v>
      </c>
    </row>
    <row r="4677" spans="1:4" x14ac:dyDescent="0.25">
      <c r="A4677" s="88" t="str">
        <f t="shared" si="239"/>
        <v>10-2035</v>
      </c>
      <c r="B4677" s="86">
        <v>49603</v>
      </c>
      <c r="C4677" t="str">
        <f t="shared" si="240"/>
        <v>DOM</v>
      </c>
      <c r="D4677" t="str">
        <f t="shared" si="241"/>
        <v>Domingo</v>
      </c>
    </row>
    <row r="4678" spans="1:4" x14ac:dyDescent="0.25">
      <c r="A4678" s="88" t="str">
        <f t="shared" si="239"/>
        <v>10-2035</v>
      </c>
      <c r="B4678" s="86">
        <v>49604</v>
      </c>
      <c r="C4678" t="str">
        <f t="shared" si="240"/>
        <v>L-V</v>
      </c>
      <c r="D4678" t="str">
        <f t="shared" si="241"/>
        <v>Lunes</v>
      </c>
    </row>
    <row r="4679" spans="1:4" x14ac:dyDescent="0.25">
      <c r="A4679" s="88" t="str">
        <f t="shared" si="239"/>
        <v>10-2035</v>
      </c>
      <c r="B4679" s="86">
        <v>49605</v>
      </c>
      <c r="C4679" t="str">
        <f t="shared" si="240"/>
        <v>L-V</v>
      </c>
      <c r="D4679" t="str">
        <f t="shared" si="241"/>
        <v>Martes</v>
      </c>
    </row>
    <row r="4680" spans="1:4" x14ac:dyDescent="0.25">
      <c r="A4680" s="88" t="str">
        <f t="shared" si="239"/>
        <v>10-2035</v>
      </c>
      <c r="B4680" s="86">
        <v>49606</v>
      </c>
      <c r="C4680" t="str">
        <f t="shared" si="240"/>
        <v>L-V</v>
      </c>
      <c r="D4680" t="str">
        <f t="shared" si="241"/>
        <v>Miércoles</v>
      </c>
    </row>
    <row r="4681" spans="1:4" x14ac:dyDescent="0.25">
      <c r="A4681" s="88" t="str">
        <f t="shared" si="239"/>
        <v>10-2035</v>
      </c>
      <c r="B4681" s="86">
        <v>49607</v>
      </c>
      <c r="C4681" t="str">
        <f t="shared" si="240"/>
        <v>L-V</v>
      </c>
      <c r="D4681" t="str">
        <f t="shared" si="241"/>
        <v>Jueves</v>
      </c>
    </row>
    <row r="4682" spans="1:4" x14ac:dyDescent="0.25">
      <c r="A4682" s="88" t="str">
        <f t="shared" si="239"/>
        <v>10-2035</v>
      </c>
      <c r="B4682" s="86">
        <v>49608</v>
      </c>
      <c r="C4682" t="str">
        <f t="shared" si="240"/>
        <v>L-V</v>
      </c>
      <c r="D4682" t="str">
        <f t="shared" si="241"/>
        <v>Viernes</v>
      </c>
    </row>
    <row r="4683" spans="1:4" x14ac:dyDescent="0.25">
      <c r="A4683" s="88" t="str">
        <f t="shared" si="239"/>
        <v>10-2035</v>
      </c>
      <c r="B4683" s="86">
        <v>49609</v>
      </c>
      <c r="C4683" t="str">
        <f t="shared" si="240"/>
        <v>SAB</v>
      </c>
      <c r="D4683" t="str">
        <f t="shared" si="241"/>
        <v>Sábado</v>
      </c>
    </row>
    <row r="4684" spans="1:4" x14ac:dyDescent="0.25">
      <c r="A4684" s="88" t="str">
        <f t="shared" si="239"/>
        <v>10-2035</v>
      </c>
      <c r="B4684" s="86">
        <v>49610</v>
      </c>
      <c r="C4684" t="str">
        <f t="shared" si="240"/>
        <v>DOM</v>
      </c>
      <c r="D4684" t="str">
        <f t="shared" si="241"/>
        <v>Domingo</v>
      </c>
    </row>
    <row r="4685" spans="1:4" x14ac:dyDescent="0.25">
      <c r="A4685" s="88" t="str">
        <f t="shared" si="239"/>
        <v>10-2035</v>
      </c>
      <c r="B4685" s="86">
        <v>49611</v>
      </c>
      <c r="C4685" t="str">
        <f t="shared" si="240"/>
        <v>L-V</v>
      </c>
      <c r="D4685" t="str">
        <f t="shared" si="241"/>
        <v>Lunes</v>
      </c>
    </row>
    <row r="4686" spans="1:4" x14ac:dyDescent="0.25">
      <c r="A4686" s="88" t="str">
        <f t="shared" si="239"/>
        <v>10-2035</v>
      </c>
      <c r="B4686" s="86">
        <v>49612</v>
      </c>
      <c r="C4686" t="str">
        <f t="shared" si="240"/>
        <v>L-V</v>
      </c>
      <c r="D4686" t="str">
        <f t="shared" si="241"/>
        <v>Martes</v>
      </c>
    </row>
    <row r="4687" spans="1:4" x14ac:dyDescent="0.25">
      <c r="A4687" s="88" t="str">
        <f t="shared" si="239"/>
        <v>10-2035</v>
      </c>
      <c r="B4687" s="86">
        <v>49613</v>
      </c>
      <c r="C4687" t="str">
        <f t="shared" si="240"/>
        <v>L-V</v>
      </c>
      <c r="D4687" t="str">
        <f t="shared" si="241"/>
        <v>Miércoles</v>
      </c>
    </row>
    <row r="4688" spans="1:4" x14ac:dyDescent="0.25">
      <c r="A4688" s="88" t="str">
        <f t="shared" si="239"/>
        <v>11-2035</v>
      </c>
      <c r="B4688" s="86">
        <v>49614</v>
      </c>
      <c r="C4688" t="str">
        <f t="shared" si="240"/>
        <v>L-V</v>
      </c>
      <c r="D4688" t="str">
        <f t="shared" si="241"/>
        <v>Jueves</v>
      </c>
    </row>
    <row r="4689" spans="1:4" x14ac:dyDescent="0.25">
      <c r="A4689" s="88" t="str">
        <f t="shared" si="239"/>
        <v>11-2035</v>
      </c>
      <c r="B4689" s="86">
        <v>49615</v>
      </c>
      <c r="C4689" t="str">
        <f t="shared" si="240"/>
        <v>L-V</v>
      </c>
      <c r="D4689" t="str">
        <f t="shared" si="241"/>
        <v>Viernes</v>
      </c>
    </row>
    <row r="4690" spans="1:4" x14ac:dyDescent="0.25">
      <c r="A4690" s="88" t="str">
        <f t="shared" si="239"/>
        <v>11-2035</v>
      </c>
      <c r="B4690" s="86">
        <v>49616</v>
      </c>
      <c r="C4690" t="str">
        <f t="shared" si="240"/>
        <v>SAB</v>
      </c>
      <c r="D4690" t="str">
        <f t="shared" si="241"/>
        <v>Sábado</v>
      </c>
    </row>
    <row r="4691" spans="1:4" x14ac:dyDescent="0.25">
      <c r="A4691" s="88" t="str">
        <f t="shared" si="239"/>
        <v>11-2035</v>
      </c>
      <c r="B4691" s="86">
        <v>49617</v>
      </c>
      <c r="C4691" t="str">
        <f t="shared" si="240"/>
        <v>DOM</v>
      </c>
      <c r="D4691" t="str">
        <f t="shared" si="241"/>
        <v>Domingo</v>
      </c>
    </row>
    <row r="4692" spans="1:4" x14ac:dyDescent="0.25">
      <c r="A4692" s="88" t="str">
        <f t="shared" si="239"/>
        <v>11-2035</v>
      </c>
      <c r="B4692" s="86">
        <v>49618</v>
      </c>
      <c r="C4692" t="str">
        <f t="shared" si="240"/>
        <v>L-V</v>
      </c>
      <c r="D4692" t="str">
        <f t="shared" si="241"/>
        <v>Lunes</v>
      </c>
    </row>
    <row r="4693" spans="1:4" x14ac:dyDescent="0.25">
      <c r="A4693" s="88" t="str">
        <f t="shared" si="239"/>
        <v>11-2035</v>
      </c>
      <c r="B4693" s="86">
        <v>49619</v>
      </c>
      <c r="C4693" t="str">
        <f t="shared" si="240"/>
        <v>L-V</v>
      </c>
      <c r="D4693" t="str">
        <f t="shared" si="241"/>
        <v>Martes</v>
      </c>
    </row>
    <row r="4694" spans="1:4" x14ac:dyDescent="0.25">
      <c r="A4694" s="88" t="str">
        <f t="shared" si="239"/>
        <v>11-2035</v>
      </c>
      <c r="B4694" s="86">
        <v>49620</v>
      </c>
      <c r="C4694" t="str">
        <f t="shared" si="240"/>
        <v>L-V</v>
      </c>
      <c r="D4694" t="str">
        <f t="shared" si="241"/>
        <v>Miércoles</v>
      </c>
    </row>
    <row r="4695" spans="1:4" x14ac:dyDescent="0.25">
      <c r="A4695" s="88" t="str">
        <f t="shared" si="239"/>
        <v>11-2035</v>
      </c>
      <c r="B4695" s="86">
        <v>49621</v>
      </c>
      <c r="C4695" t="str">
        <f t="shared" si="240"/>
        <v>L-V</v>
      </c>
      <c r="D4695" t="str">
        <f t="shared" si="241"/>
        <v>Jueves</v>
      </c>
    </row>
    <row r="4696" spans="1:4" x14ac:dyDescent="0.25">
      <c r="A4696" s="88" t="str">
        <f t="shared" si="239"/>
        <v>11-2035</v>
      </c>
      <c r="B4696" s="86">
        <v>49622</v>
      </c>
      <c r="C4696" t="str">
        <f t="shared" si="240"/>
        <v>L-V</v>
      </c>
      <c r="D4696" t="str">
        <f t="shared" si="241"/>
        <v>Viernes</v>
      </c>
    </row>
    <row r="4697" spans="1:4" x14ac:dyDescent="0.25">
      <c r="A4697" s="88" t="str">
        <f t="shared" si="239"/>
        <v>11-2035</v>
      </c>
      <c r="B4697" s="86">
        <v>49623</v>
      </c>
      <c r="C4697" t="str">
        <f t="shared" si="240"/>
        <v>SAB</v>
      </c>
      <c r="D4697" t="str">
        <f t="shared" si="241"/>
        <v>Sábado</v>
      </c>
    </row>
    <row r="4698" spans="1:4" x14ac:dyDescent="0.25">
      <c r="A4698" s="88" t="str">
        <f t="shared" si="239"/>
        <v>11-2035</v>
      </c>
      <c r="B4698" s="86">
        <v>49624</v>
      </c>
      <c r="C4698" t="str">
        <f t="shared" si="240"/>
        <v>DOM</v>
      </c>
      <c r="D4698" t="str">
        <f t="shared" si="241"/>
        <v>Domingo</v>
      </c>
    </row>
    <row r="4699" spans="1:4" x14ac:dyDescent="0.25">
      <c r="A4699" s="88" t="str">
        <f t="shared" si="239"/>
        <v>11-2035</v>
      </c>
      <c r="B4699" s="86">
        <v>49625</v>
      </c>
      <c r="C4699" t="str">
        <f t="shared" si="240"/>
        <v>L-V</v>
      </c>
      <c r="D4699" t="str">
        <f t="shared" si="241"/>
        <v>Lunes</v>
      </c>
    </row>
    <row r="4700" spans="1:4" x14ac:dyDescent="0.25">
      <c r="A4700" s="88" t="str">
        <f t="shared" si="239"/>
        <v>11-2035</v>
      </c>
      <c r="B4700" s="86">
        <v>49626</v>
      </c>
      <c r="C4700" t="str">
        <f t="shared" si="240"/>
        <v>L-V</v>
      </c>
      <c r="D4700" t="str">
        <f t="shared" si="241"/>
        <v>Martes</v>
      </c>
    </row>
    <row r="4701" spans="1:4" x14ac:dyDescent="0.25">
      <c r="A4701" s="88" t="str">
        <f t="shared" ref="A4701:A4764" si="242">MONTH(B4701)&amp;"-"&amp;YEAR(B4701)</f>
        <v>11-2035</v>
      </c>
      <c r="B4701" s="86">
        <v>49627</v>
      </c>
      <c r="C4701" t="str">
        <f t="shared" ref="C4701:C4764" si="243">VLOOKUP(WEEKDAY(B4701,2),$F$1:$H$7,2)</f>
        <v>L-V</v>
      </c>
      <c r="D4701" t="str">
        <f t="shared" si="241"/>
        <v>Miércoles</v>
      </c>
    </row>
    <row r="4702" spans="1:4" x14ac:dyDescent="0.25">
      <c r="A4702" s="88" t="str">
        <f t="shared" si="242"/>
        <v>11-2035</v>
      </c>
      <c r="B4702" s="86">
        <v>49628</v>
      </c>
      <c r="C4702" t="str">
        <f t="shared" si="243"/>
        <v>L-V</v>
      </c>
      <c r="D4702" t="str">
        <f t="shared" si="241"/>
        <v>Jueves</v>
      </c>
    </row>
    <row r="4703" spans="1:4" x14ac:dyDescent="0.25">
      <c r="A4703" s="88" t="str">
        <f t="shared" si="242"/>
        <v>11-2035</v>
      </c>
      <c r="B4703" s="86">
        <v>49629</v>
      </c>
      <c r="C4703" t="str">
        <f t="shared" si="243"/>
        <v>L-V</v>
      </c>
      <c r="D4703" t="str">
        <f t="shared" si="241"/>
        <v>Viernes</v>
      </c>
    </row>
    <row r="4704" spans="1:4" x14ac:dyDescent="0.25">
      <c r="A4704" s="88" t="str">
        <f t="shared" si="242"/>
        <v>11-2035</v>
      </c>
      <c r="B4704" s="86">
        <v>49630</v>
      </c>
      <c r="C4704" t="str">
        <f t="shared" si="243"/>
        <v>SAB</v>
      </c>
      <c r="D4704" t="str">
        <f t="shared" si="241"/>
        <v>Sábado</v>
      </c>
    </row>
    <row r="4705" spans="1:4" x14ac:dyDescent="0.25">
      <c r="A4705" s="88" t="str">
        <f t="shared" si="242"/>
        <v>11-2035</v>
      </c>
      <c r="B4705" s="86">
        <v>49631</v>
      </c>
      <c r="C4705" t="str">
        <f t="shared" si="243"/>
        <v>DOM</v>
      </c>
      <c r="D4705" t="str">
        <f t="shared" si="241"/>
        <v>Domingo</v>
      </c>
    </row>
    <row r="4706" spans="1:4" x14ac:dyDescent="0.25">
      <c r="A4706" s="88" t="str">
        <f t="shared" si="242"/>
        <v>11-2035</v>
      </c>
      <c r="B4706" s="86">
        <v>49632</v>
      </c>
      <c r="C4706" t="str">
        <f t="shared" si="243"/>
        <v>L-V</v>
      </c>
      <c r="D4706" t="str">
        <f t="shared" si="241"/>
        <v>Lunes</v>
      </c>
    </row>
    <row r="4707" spans="1:4" x14ac:dyDescent="0.25">
      <c r="A4707" s="88" t="str">
        <f t="shared" si="242"/>
        <v>11-2035</v>
      </c>
      <c r="B4707" s="86">
        <v>49633</v>
      </c>
      <c r="C4707" t="str">
        <f t="shared" si="243"/>
        <v>L-V</v>
      </c>
      <c r="D4707" t="str">
        <f t="shared" si="241"/>
        <v>Martes</v>
      </c>
    </row>
    <row r="4708" spans="1:4" x14ac:dyDescent="0.25">
      <c r="A4708" s="88" t="str">
        <f t="shared" si="242"/>
        <v>11-2035</v>
      </c>
      <c r="B4708" s="86">
        <v>49634</v>
      </c>
      <c r="C4708" t="str">
        <f t="shared" si="243"/>
        <v>L-V</v>
      </c>
      <c r="D4708" t="str">
        <f t="shared" si="241"/>
        <v>Miércoles</v>
      </c>
    </row>
    <row r="4709" spans="1:4" x14ac:dyDescent="0.25">
      <c r="A4709" s="88" t="str">
        <f t="shared" si="242"/>
        <v>11-2035</v>
      </c>
      <c r="B4709" s="86">
        <v>49635</v>
      </c>
      <c r="C4709" t="str">
        <f t="shared" si="243"/>
        <v>L-V</v>
      </c>
      <c r="D4709" t="str">
        <f t="shared" si="241"/>
        <v>Jueves</v>
      </c>
    </row>
    <row r="4710" spans="1:4" x14ac:dyDescent="0.25">
      <c r="A4710" s="88" t="str">
        <f t="shared" si="242"/>
        <v>11-2035</v>
      </c>
      <c r="B4710" s="86">
        <v>49636</v>
      </c>
      <c r="C4710" t="str">
        <f t="shared" si="243"/>
        <v>L-V</v>
      </c>
      <c r="D4710" t="str">
        <f t="shared" si="241"/>
        <v>Viernes</v>
      </c>
    </row>
    <row r="4711" spans="1:4" x14ac:dyDescent="0.25">
      <c r="A4711" s="88" t="str">
        <f t="shared" si="242"/>
        <v>11-2035</v>
      </c>
      <c r="B4711" s="86">
        <v>49637</v>
      </c>
      <c r="C4711" t="str">
        <f t="shared" si="243"/>
        <v>SAB</v>
      </c>
      <c r="D4711" t="str">
        <f t="shared" si="241"/>
        <v>Sábado</v>
      </c>
    </row>
    <row r="4712" spans="1:4" x14ac:dyDescent="0.25">
      <c r="A4712" s="88" t="str">
        <f t="shared" si="242"/>
        <v>11-2035</v>
      </c>
      <c r="B4712" s="86">
        <v>49638</v>
      </c>
      <c r="C4712" t="str">
        <f t="shared" si="243"/>
        <v>DOM</v>
      </c>
      <c r="D4712" t="str">
        <f t="shared" si="241"/>
        <v>Domingo</v>
      </c>
    </row>
    <row r="4713" spans="1:4" x14ac:dyDescent="0.25">
      <c r="A4713" s="88" t="str">
        <f t="shared" si="242"/>
        <v>11-2035</v>
      </c>
      <c r="B4713" s="86">
        <v>49639</v>
      </c>
      <c r="C4713" t="str">
        <f t="shared" si="243"/>
        <v>L-V</v>
      </c>
      <c r="D4713" t="str">
        <f t="shared" si="241"/>
        <v>Lunes</v>
      </c>
    </row>
    <row r="4714" spans="1:4" x14ac:dyDescent="0.25">
      <c r="A4714" s="88" t="str">
        <f t="shared" si="242"/>
        <v>11-2035</v>
      </c>
      <c r="B4714" s="86">
        <v>49640</v>
      </c>
      <c r="C4714" t="str">
        <f t="shared" si="243"/>
        <v>L-V</v>
      </c>
      <c r="D4714" t="str">
        <f t="shared" si="241"/>
        <v>Martes</v>
      </c>
    </row>
    <row r="4715" spans="1:4" x14ac:dyDescent="0.25">
      <c r="A4715" s="88" t="str">
        <f t="shared" si="242"/>
        <v>11-2035</v>
      </c>
      <c r="B4715" s="86">
        <v>49641</v>
      </c>
      <c r="C4715" t="str">
        <f t="shared" si="243"/>
        <v>L-V</v>
      </c>
      <c r="D4715" t="str">
        <f t="shared" si="241"/>
        <v>Miércoles</v>
      </c>
    </row>
    <row r="4716" spans="1:4" x14ac:dyDescent="0.25">
      <c r="A4716" s="88" t="str">
        <f t="shared" si="242"/>
        <v>11-2035</v>
      </c>
      <c r="B4716" s="86">
        <v>49642</v>
      </c>
      <c r="C4716" t="str">
        <f t="shared" si="243"/>
        <v>L-V</v>
      </c>
      <c r="D4716" t="str">
        <f t="shared" si="241"/>
        <v>Jueves</v>
      </c>
    </row>
    <row r="4717" spans="1:4" x14ac:dyDescent="0.25">
      <c r="A4717" s="88" t="str">
        <f t="shared" si="242"/>
        <v>11-2035</v>
      </c>
      <c r="B4717" s="86">
        <v>49643</v>
      </c>
      <c r="C4717" t="str">
        <f t="shared" si="243"/>
        <v>L-V</v>
      </c>
      <c r="D4717" t="str">
        <f t="shared" si="241"/>
        <v>Viernes</v>
      </c>
    </row>
    <row r="4718" spans="1:4" x14ac:dyDescent="0.25">
      <c r="A4718" s="88" t="str">
        <f t="shared" si="242"/>
        <v>12-2035</v>
      </c>
      <c r="B4718" s="86">
        <v>49644</v>
      </c>
      <c r="C4718" t="str">
        <f t="shared" si="243"/>
        <v>SAB</v>
      </c>
      <c r="D4718" t="str">
        <f t="shared" si="241"/>
        <v>Sábado</v>
      </c>
    </row>
    <row r="4719" spans="1:4" x14ac:dyDescent="0.25">
      <c r="A4719" s="88" t="str">
        <f t="shared" si="242"/>
        <v>12-2035</v>
      </c>
      <c r="B4719" s="86">
        <v>49645</v>
      </c>
      <c r="C4719" t="str">
        <f t="shared" si="243"/>
        <v>DOM</v>
      </c>
      <c r="D4719" t="str">
        <f t="shared" si="241"/>
        <v>Domingo</v>
      </c>
    </row>
    <row r="4720" spans="1:4" x14ac:dyDescent="0.25">
      <c r="A4720" s="88" t="str">
        <f t="shared" si="242"/>
        <v>12-2035</v>
      </c>
      <c r="B4720" s="86">
        <v>49646</v>
      </c>
      <c r="C4720" t="str">
        <f t="shared" si="243"/>
        <v>L-V</v>
      </c>
      <c r="D4720" t="str">
        <f t="shared" si="241"/>
        <v>Lunes</v>
      </c>
    </row>
    <row r="4721" spans="1:4" x14ac:dyDescent="0.25">
      <c r="A4721" s="88" t="str">
        <f t="shared" si="242"/>
        <v>12-2035</v>
      </c>
      <c r="B4721" s="86">
        <v>49647</v>
      </c>
      <c r="C4721" t="str">
        <f t="shared" si="243"/>
        <v>L-V</v>
      </c>
      <c r="D4721" t="str">
        <f t="shared" si="241"/>
        <v>Martes</v>
      </c>
    </row>
    <row r="4722" spans="1:4" x14ac:dyDescent="0.25">
      <c r="A4722" s="88" t="str">
        <f t="shared" si="242"/>
        <v>12-2035</v>
      </c>
      <c r="B4722" s="86">
        <v>49648</v>
      </c>
      <c r="C4722" t="str">
        <f t="shared" si="243"/>
        <v>L-V</v>
      </c>
      <c r="D4722" t="str">
        <f t="shared" si="241"/>
        <v>Miércoles</v>
      </c>
    </row>
    <row r="4723" spans="1:4" x14ac:dyDescent="0.25">
      <c r="A4723" s="88" t="str">
        <f t="shared" si="242"/>
        <v>12-2035</v>
      </c>
      <c r="B4723" s="86">
        <v>49649</v>
      </c>
      <c r="C4723" t="str">
        <f t="shared" si="243"/>
        <v>L-V</v>
      </c>
      <c r="D4723" t="str">
        <f t="shared" si="241"/>
        <v>Jueves</v>
      </c>
    </row>
    <row r="4724" spans="1:4" x14ac:dyDescent="0.25">
      <c r="A4724" s="88" t="str">
        <f t="shared" si="242"/>
        <v>12-2035</v>
      </c>
      <c r="B4724" s="86">
        <v>49650</v>
      </c>
      <c r="C4724" t="str">
        <f t="shared" si="243"/>
        <v>L-V</v>
      </c>
      <c r="D4724" t="str">
        <f t="shared" si="241"/>
        <v>Viernes</v>
      </c>
    </row>
    <row r="4725" spans="1:4" x14ac:dyDescent="0.25">
      <c r="A4725" s="88" t="str">
        <f t="shared" si="242"/>
        <v>12-2035</v>
      </c>
      <c r="B4725" s="86">
        <v>49651</v>
      </c>
      <c r="C4725" t="str">
        <f t="shared" si="243"/>
        <v>SAB</v>
      </c>
      <c r="D4725" t="str">
        <f t="shared" si="241"/>
        <v>Sábado</v>
      </c>
    </row>
    <row r="4726" spans="1:4" x14ac:dyDescent="0.25">
      <c r="A4726" s="88" t="str">
        <f t="shared" si="242"/>
        <v>12-2035</v>
      </c>
      <c r="B4726" s="86">
        <v>49652</v>
      </c>
      <c r="C4726" t="str">
        <f t="shared" si="243"/>
        <v>DOM</v>
      </c>
      <c r="D4726" t="str">
        <f t="shared" si="241"/>
        <v>Domingo</v>
      </c>
    </row>
    <row r="4727" spans="1:4" x14ac:dyDescent="0.25">
      <c r="A4727" s="88" t="str">
        <f t="shared" si="242"/>
        <v>12-2035</v>
      </c>
      <c r="B4727" s="86">
        <v>49653</v>
      </c>
      <c r="C4727" t="str">
        <f t="shared" si="243"/>
        <v>L-V</v>
      </c>
      <c r="D4727" t="str">
        <f t="shared" si="241"/>
        <v>Lunes</v>
      </c>
    </row>
    <row r="4728" spans="1:4" x14ac:dyDescent="0.25">
      <c r="A4728" s="88" t="str">
        <f t="shared" si="242"/>
        <v>12-2035</v>
      </c>
      <c r="B4728" s="86">
        <v>49654</v>
      </c>
      <c r="C4728" t="str">
        <f t="shared" si="243"/>
        <v>L-V</v>
      </c>
      <c r="D4728" t="str">
        <f t="shared" si="241"/>
        <v>Martes</v>
      </c>
    </row>
    <row r="4729" spans="1:4" x14ac:dyDescent="0.25">
      <c r="A4729" s="88" t="str">
        <f t="shared" si="242"/>
        <v>12-2035</v>
      </c>
      <c r="B4729" s="86">
        <v>49655</v>
      </c>
      <c r="C4729" t="str">
        <f t="shared" si="243"/>
        <v>L-V</v>
      </c>
      <c r="D4729" t="str">
        <f t="shared" si="241"/>
        <v>Miércoles</v>
      </c>
    </row>
    <row r="4730" spans="1:4" x14ac:dyDescent="0.25">
      <c r="A4730" s="88" t="str">
        <f t="shared" si="242"/>
        <v>12-2035</v>
      </c>
      <c r="B4730" s="86">
        <v>49656</v>
      </c>
      <c r="C4730" t="str">
        <f t="shared" si="243"/>
        <v>L-V</v>
      </c>
      <c r="D4730" t="str">
        <f t="shared" si="241"/>
        <v>Jueves</v>
      </c>
    </row>
    <row r="4731" spans="1:4" x14ac:dyDescent="0.25">
      <c r="A4731" s="88" t="str">
        <f t="shared" si="242"/>
        <v>12-2035</v>
      </c>
      <c r="B4731" s="86">
        <v>49657</v>
      </c>
      <c r="C4731" t="str">
        <f t="shared" si="243"/>
        <v>L-V</v>
      </c>
      <c r="D4731" t="str">
        <f t="shared" si="241"/>
        <v>Viernes</v>
      </c>
    </row>
    <row r="4732" spans="1:4" x14ac:dyDescent="0.25">
      <c r="A4732" s="88" t="str">
        <f t="shared" si="242"/>
        <v>12-2035</v>
      </c>
      <c r="B4732" s="86">
        <v>49658</v>
      </c>
      <c r="C4732" t="str">
        <f t="shared" si="243"/>
        <v>SAB</v>
      </c>
      <c r="D4732" t="str">
        <f t="shared" si="241"/>
        <v>Sábado</v>
      </c>
    </row>
    <row r="4733" spans="1:4" x14ac:dyDescent="0.25">
      <c r="A4733" s="88" t="str">
        <f t="shared" si="242"/>
        <v>12-2035</v>
      </c>
      <c r="B4733" s="86">
        <v>49659</v>
      </c>
      <c r="C4733" t="str">
        <f t="shared" si="243"/>
        <v>DOM</v>
      </c>
      <c r="D4733" t="str">
        <f t="shared" si="241"/>
        <v>Domingo</v>
      </c>
    </row>
    <row r="4734" spans="1:4" x14ac:dyDescent="0.25">
      <c r="A4734" s="88" t="str">
        <f t="shared" si="242"/>
        <v>12-2035</v>
      </c>
      <c r="B4734" s="86">
        <v>49660</v>
      </c>
      <c r="C4734" t="str">
        <f t="shared" si="243"/>
        <v>L-V</v>
      </c>
      <c r="D4734" t="str">
        <f t="shared" si="241"/>
        <v>Lunes</v>
      </c>
    </row>
    <row r="4735" spans="1:4" x14ac:dyDescent="0.25">
      <c r="A4735" s="88" t="str">
        <f t="shared" si="242"/>
        <v>12-2035</v>
      </c>
      <c r="B4735" s="86">
        <v>49661</v>
      </c>
      <c r="C4735" t="str">
        <f t="shared" si="243"/>
        <v>L-V</v>
      </c>
      <c r="D4735" t="str">
        <f t="shared" si="241"/>
        <v>Martes</v>
      </c>
    </row>
    <row r="4736" spans="1:4" x14ac:dyDescent="0.25">
      <c r="A4736" s="88" t="str">
        <f t="shared" si="242"/>
        <v>12-2035</v>
      </c>
      <c r="B4736" s="86">
        <v>49662</v>
      </c>
      <c r="C4736" t="str">
        <f t="shared" si="243"/>
        <v>L-V</v>
      </c>
      <c r="D4736" t="str">
        <f t="shared" si="241"/>
        <v>Miércoles</v>
      </c>
    </row>
    <row r="4737" spans="1:4" x14ac:dyDescent="0.25">
      <c r="A4737" s="88" t="str">
        <f t="shared" si="242"/>
        <v>12-2035</v>
      </c>
      <c r="B4737" s="86">
        <v>49663</v>
      </c>
      <c r="C4737" t="str">
        <f t="shared" si="243"/>
        <v>L-V</v>
      </c>
      <c r="D4737" t="str">
        <f t="shared" si="241"/>
        <v>Jueves</v>
      </c>
    </row>
    <row r="4738" spans="1:4" x14ac:dyDescent="0.25">
      <c r="A4738" s="88" t="str">
        <f t="shared" si="242"/>
        <v>12-2035</v>
      </c>
      <c r="B4738" s="86">
        <v>49664</v>
      </c>
      <c r="C4738" t="str">
        <f t="shared" si="243"/>
        <v>L-V</v>
      </c>
      <c r="D4738" t="str">
        <f t="shared" si="241"/>
        <v>Viernes</v>
      </c>
    </row>
    <row r="4739" spans="1:4" x14ac:dyDescent="0.25">
      <c r="A4739" s="88" t="str">
        <f t="shared" si="242"/>
        <v>12-2035</v>
      </c>
      <c r="B4739" s="86">
        <v>49665</v>
      </c>
      <c r="C4739" t="str">
        <f t="shared" si="243"/>
        <v>SAB</v>
      </c>
      <c r="D4739" t="str">
        <f t="shared" ref="D4739:D4802" si="244">VLOOKUP(WEEKDAY($B4739,2),$F$1:$H$7,3)</f>
        <v>Sábado</v>
      </c>
    </row>
    <row r="4740" spans="1:4" x14ac:dyDescent="0.25">
      <c r="A4740" s="88" t="str">
        <f t="shared" si="242"/>
        <v>12-2035</v>
      </c>
      <c r="B4740" s="86">
        <v>49666</v>
      </c>
      <c r="C4740" t="str">
        <f t="shared" si="243"/>
        <v>DOM</v>
      </c>
      <c r="D4740" t="str">
        <f t="shared" si="244"/>
        <v>Domingo</v>
      </c>
    </row>
    <row r="4741" spans="1:4" x14ac:dyDescent="0.25">
      <c r="A4741" s="88" t="str">
        <f t="shared" si="242"/>
        <v>12-2035</v>
      </c>
      <c r="B4741" s="86">
        <v>49667</v>
      </c>
      <c r="C4741" t="str">
        <f t="shared" si="243"/>
        <v>L-V</v>
      </c>
      <c r="D4741" t="str">
        <f t="shared" si="244"/>
        <v>Lunes</v>
      </c>
    </row>
    <row r="4742" spans="1:4" x14ac:dyDescent="0.25">
      <c r="A4742" s="88" t="str">
        <f t="shared" si="242"/>
        <v>12-2035</v>
      </c>
      <c r="B4742" s="86">
        <v>49668</v>
      </c>
      <c r="C4742" t="str">
        <f t="shared" si="243"/>
        <v>L-V</v>
      </c>
      <c r="D4742" t="str">
        <f t="shared" si="244"/>
        <v>Martes</v>
      </c>
    </row>
    <row r="4743" spans="1:4" x14ac:dyDescent="0.25">
      <c r="A4743" s="88" t="str">
        <f t="shared" si="242"/>
        <v>12-2035</v>
      </c>
      <c r="B4743" s="86">
        <v>49669</v>
      </c>
      <c r="C4743" t="str">
        <f t="shared" si="243"/>
        <v>L-V</v>
      </c>
      <c r="D4743" t="str">
        <f t="shared" si="244"/>
        <v>Miércoles</v>
      </c>
    </row>
    <row r="4744" spans="1:4" x14ac:dyDescent="0.25">
      <c r="A4744" s="88" t="str">
        <f t="shared" si="242"/>
        <v>12-2035</v>
      </c>
      <c r="B4744" s="86">
        <v>49670</v>
      </c>
      <c r="C4744" t="str">
        <f t="shared" si="243"/>
        <v>L-V</v>
      </c>
      <c r="D4744" t="str">
        <f t="shared" si="244"/>
        <v>Jueves</v>
      </c>
    </row>
    <row r="4745" spans="1:4" x14ac:dyDescent="0.25">
      <c r="A4745" s="88" t="str">
        <f t="shared" si="242"/>
        <v>12-2035</v>
      </c>
      <c r="B4745" s="86">
        <v>49671</v>
      </c>
      <c r="C4745" t="str">
        <f t="shared" si="243"/>
        <v>L-V</v>
      </c>
      <c r="D4745" t="str">
        <f t="shared" si="244"/>
        <v>Viernes</v>
      </c>
    </row>
    <row r="4746" spans="1:4" x14ac:dyDescent="0.25">
      <c r="A4746" s="88" t="str">
        <f t="shared" si="242"/>
        <v>12-2035</v>
      </c>
      <c r="B4746" s="86">
        <v>49672</v>
      </c>
      <c r="C4746" t="str">
        <f t="shared" si="243"/>
        <v>SAB</v>
      </c>
      <c r="D4746" t="str">
        <f t="shared" si="244"/>
        <v>Sábado</v>
      </c>
    </row>
    <row r="4747" spans="1:4" x14ac:dyDescent="0.25">
      <c r="A4747" s="88" t="str">
        <f t="shared" si="242"/>
        <v>12-2035</v>
      </c>
      <c r="B4747" s="86">
        <v>49673</v>
      </c>
      <c r="C4747" t="str">
        <f t="shared" si="243"/>
        <v>DOM</v>
      </c>
      <c r="D4747" t="str">
        <f t="shared" si="244"/>
        <v>Domingo</v>
      </c>
    </row>
    <row r="4748" spans="1:4" x14ac:dyDescent="0.25">
      <c r="A4748" s="88" t="str">
        <f t="shared" si="242"/>
        <v>12-2035</v>
      </c>
      <c r="B4748" s="86">
        <v>49674</v>
      </c>
      <c r="C4748" t="str">
        <f t="shared" si="243"/>
        <v>L-V</v>
      </c>
      <c r="D4748" t="str">
        <f t="shared" si="244"/>
        <v>Lunes</v>
      </c>
    </row>
    <row r="4749" spans="1:4" x14ac:dyDescent="0.25">
      <c r="A4749" s="88" t="str">
        <f t="shared" si="242"/>
        <v>1-2036</v>
      </c>
      <c r="B4749" s="86">
        <v>49675</v>
      </c>
      <c r="C4749" t="str">
        <f t="shared" si="243"/>
        <v>L-V</v>
      </c>
      <c r="D4749" t="str">
        <f t="shared" si="244"/>
        <v>Martes</v>
      </c>
    </row>
    <row r="4750" spans="1:4" x14ac:dyDescent="0.25">
      <c r="A4750" s="88" t="str">
        <f t="shared" si="242"/>
        <v>1-2036</v>
      </c>
      <c r="B4750" s="86">
        <v>49676</v>
      </c>
      <c r="C4750" t="str">
        <f t="shared" si="243"/>
        <v>L-V</v>
      </c>
      <c r="D4750" t="str">
        <f t="shared" si="244"/>
        <v>Miércoles</v>
      </c>
    </row>
    <row r="4751" spans="1:4" x14ac:dyDescent="0.25">
      <c r="A4751" s="88" t="str">
        <f t="shared" si="242"/>
        <v>1-2036</v>
      </c>
      <c r="B4751" s="86">
        <v>49677</v>
      </c>
      <c r="C4751" t="str">
        <f t="shared" si="243"/>
        <v>L-V</v>
      </c>
      <c r="D4751" t="str">
        <f t="shared" si="244"/>
        <v>Jueves</v>
      </c>
    </row>
    <row r="4752" spans="1:4" x14ac:dyDescent="0.25">
      <c r="A4752" s="88" t="str">
        <f t="shared" si="242"/>
        <v>1-2036</v>
      </c>
      <c r="B4752" s="86">
        <v>49678</v>
      </c>
      <c r="C4752" t="str">
        <f t="shared" si="243"/>
        <v>L-V</v>
      </c>
      <c r="D4752" t="str">
        <f t="shared" si="244"/>
        <v>Viernes</v>
      </c>
    </row>
    <row r="4753" spans="1:4" x14ac:dyDescent="0.25">
      <c r="A4753" s="88" t="str">
        <f t="shared" si="242"/>
        <v>1-2036</v>
      </c>
      <c r="B4753" s="86">
        <v>49679</v>
      </c>
      <c r="C4753" t="str">
        <f t="shared" si="243"/>
        <v>SAB</v>
      </c>
      <c r="D4753" t="str">
        <f t="shared" si="244"/>
        <v>Sábado</v>
      </c>
    </row>
    <row r="4754" spans="1:4" x14ac:dyDescent="0.25">
      <c r="A4754" s="88" t="str">
        <f t="shared" si="242"/>
        <v>1-2036</v>
      </c>
      <c r="B4754" s="86">
        <v>49680</v>
      </c>
      <c r="C4754" t="str">
        <f t="shared" si="243"/>
        <v>DOM</v>
      </c>
      <c r="D4754" t="str">
        <f t="shared" si="244"/>
        <v>Domingo</v>
      </c>
    </row>
    <row r="4755" spans="1:4" x14ac:dyDescent="0.25">
      <c r="A4755" s="88" t="str">
        <f t="shared" si="242"/>
        <v>1-2036</v>
      </c>
      <c r="B4755" s="86">
        <v>49681</v>
      </c>
      <c r="C4755" t="str">
        <f t="shared" si="243"/>
        <v>L-V</v>
      </c>
      <c r="D4755" t="str">
        <f t="shared" si="244"/>
        <v>Lunes</v>
      </c>
    </row>
    <row r="4756" spans="1:4" x14ac:dyDescent="0.25">
      <c r="A4756" s="88" t="str">
        <f t="shared" si="242"/>
        <v>1-2036</v>
      </c>
      <c r="B4756" s="86">
        <v>49682</v>
      </c>
      <c r="C4756" t="str">
        <f t="shared" si="243"/>
        <v>L-V</v>
      </c>
      <c r="D4756" t="str">
        <f t="shared" si="244"/>
        <v>Martes</v>
      </c>
    </row>
    <row r="4757" spans="1:4" x14ac:dyDescent="0.25">
      <c r="A4757" s="88" t="str">
        <f t="shared" si="242"/>
        <v>1-2036</v>
      </c>
      <c r="B4757" s="86">
        <v>49683</v>
      </c>
      <c r="C4757" t="str">
        <f t="shared" si="243"/>
        <v>L-V</v>
      </c>
      <c r="D4757" t="str">
        <f t="shared" si="244"/>
        <v>Miércoles</v>
      </c>
    </row>
    <row r="4758" spans="1:4" x14ac:dyDescent="0.25">
      <c r="A4758" s="88" t="str">
        <f t="shared" si="242"/>
        <v>1-2036</v>
      </c>
      <c r="B4758" s="86">
        <v>49684</v>
      </c>
      <c r="C4758" t="str">
        <f t="shared" si="243"/>
        <v>L-V</v>
      </c>
      <c r="D4758" t="str">
        <f t="shared" si="244"/>
        <v>Jueves</v>
      </c>
    </row>
    <row r="4759" spans="1:4" x14ac:dyDescent="0.25">
      <c r="A4759" s="88" t="str">
        <f t="shared" si="242"/>
        <v>1-2036</v>
      </c>
      <c r="B4759" s="86">
        <v>49685</v>
      </c>
      <c r="C4759" t="str">
        <f t="shared" si="243"/>
        <v>L-V</v>
      </c>
      <c r="D4759" t="str">
        <f t="shared" si="244"/>
        <v>Viernes</v>
      </c>
    </row>
    <row r="4760" spans="1:4" x14ac:dyDescent="0.25">
      <c r="A4760" s="88" t="str">
        <f t="shared" si="242"/>
        <v>1-2036</v>
      </c>
      <c r="B4760" s="86">
        <v>49686</v>
      </c>
      <c r="C4760" t="str">
        <f t="shared" si="243"/>
        <v>SAB</v>
      </c>
      <c r="D4760" t="str">
        <f t="shared" si="244"/>
        <v>Sábado</v>
      </c>
    </row>
    <row r="4761" spans="1:4" x14ac:dyDescent="0.25">
      <c r="A4761" s="88" t="str">
        <f t="shared" si="242"/>
        <v>1-2036</v>
      </c>
      <c r="B4761" s="86">
        <v>49687</v>
      </c>
      <c r="C4761" t="str">
        <f t="shared" si="243"/>
        <v>DOM</v>
      </c>
      <c r="D4761" t="str">
        <f t="shared" si="244"/>
        <v>Domingo</v>
      </c>
    </row>
    <row r="4762" spans="1:4" x14ac:dyDescent="0.25">
      <c r="A4762" s="88" t="str">
        <f t="shared" si="242"/>
        <v>1-2036</v>
      </c>
      <c r="B4762" s="86">
        <v>49688</v>
      </c>
      <c r="C4762" t="str">
        <f t="shared" si="243"/>
        <v>L-V</v>
      </c>
      <c r="D4762" t="str">
        <f t="shared" si="244"/>
        <v>Lunes</v>
      </c>
    </row>
    <row r="4763" spans="1:4" x14ac:dyDescent="0.25">
      <c r="A4763" s="88" t="str">
        <f t="shared" si="242"/>
        <v>1-2036</v>
      </c>
      <c r="B4763" s="86">
        <v>49689</v>
      </c>
      <c r="C4763" t="str">
        <f t="shared" si="243"/>
        <v>L-V</v>
      </c>
      <c r="D4763" t="str">
        <f t="shared" si="244"/>
        <v>Martes</v>
      </c>
    </row>
    <row r="4764" spans="1:4" x14ac:dyDescent="0.25">
      <c r="A4764" s="88" t="str">
        <f t="shared" si="242"/>
        <v>1-2036</v>
      </c>
      <c r="B4764" s="86">
        <v>49690</v>
      </c>
      <c r="C4764" t="str">
        <f t="shared" si="243"/>
        <v>L-V</v>
      </c>
      <c r="D4764" t="str">
        <f t="shared" si="244"/>
        <v>Miércoles</v>
      </c>
    </row>
    <row r="4765" spans="1:4" x14ac:dyDescent="0.25">
      <c r="A4765" s="88" t="str">
        <f t="shared" ref="A4765:A4828" si="245">MONTH(B4765)&amp;"-"&amp;YEAR(B4765)</f>
        <v>1-2036</v>
      </c>
      <c r="B4765" s="86">
        <v>49691</v>
      </c>
      <c r="C4765" t="str">
        <f t="shared" ref="C4765:C4828" si="246">VLOOKUP(WEEKDAY(B4765,2),$F$1:$H$7,2)</f>
        <v>L-V</v>
      </c>
      <c r="D4765" t="str">
        <f t="shared" si="244"/>
        <v>Jueves</v>
      </c>
    </row>
    <row r="4766" spans="1:4" x14ac:dyDescent="0.25">
      <c r="A4766" s="88" t="str">
        <f t="shared" si="245"/>
        <v>1-2036</v>
      </c>
      <c r="B4766" s="86">
        <v>49692</v>
      </c>
      <c r="C4766" t="str">
        <f t="shared" si="246"/>
        <v>L-V</v>
      </c>
      <c r="D4766" t="str">
        <f t="shared" si="244"/>
        <v>Viernes</v>
      </c>
    </row>
    <row r="4767" spans="1:4" x14ac:dyDescent="0.25">
      <c r="A4767" s="88" t="str">
        <f t="shared" si="245"/>
        <v>1-2036</v>
      </c>
      <c r="B4767" s="86">
        <v>49693</v>
      </c>
      <c r="C4767" t="str">
        <f t="shared" si="246"/>
        <v>SAB</v>
      </c>
      <c r="D4767" t="str">
        <f t="shared" si="244"/>
        <v>Sábado</v>
      </c>
    </row>
    <row r="4768" spans="1:4" x14ac:dyDescent="0.25">
      <c r="A4768" s="88" t="str">
        <f t="shared" si="245"/>
        <v>1-2036</v>
      </c>
      <c r="B4768" s="86">
        <v>49694</v>
      </c>
      <c r="C4768" t="str">
        <f t="shared" si="246"/>
        <v>DOM</v>
      </c>
      <c r="D4768" t="str">
        <f t="shared" si="244"/>
        <v>Domingo</v>
      </c>
    </row>
    <row r="4769" spans="1:4" x14ac:dyDescent="0.25">
      <c r="A4769" s="88" t="str">
        <f t="shared" si="245"/>
        <v>1-2036</v>
      </c>
      <c r="B4769" s="86">
        <v>49695</v>
      </c>
      <c r="C4769" t="str">
        <f t="shared" si="246"/>
        <v>L-V</v>
      </c>
      <c r="D4769" t="str">
        <f t="shared" si="244"/>
        <v>Lunes</v>
      </c>
    </row>
    <row r="4770" spans="1:4" x14ac:dyDescent="0.25">
      <c r="A4770" s="88" t="str">
        <f t="shared" si="245"/>
        <v>1-2036</v>
      </c>
      <c r="B4770" s="86">
        <v>49696</v>
      </c>
      <c r="C4770" t="str">
        <f t="shared" si="246"/>
        <v>L-V</v>
      </c>
      <c r="D4770" t="str">
        <f t="shared" si="244"/>
        <v>Martes</v>
      </c>
    </row>
    <row r="4771" spans="1:4" x14ac:dyDescent="0.25">
      <c r="A4771" s="88" t="str">
        <f t="shared" si="245"/>
        <v>1-2036</v>
      </c>
      <c r="B4771" s="86">
        <v>49697</v>
      </c>
      <c r="C4771" t="str">
        <f t="shared" si="246"/>
        <v>L-V</v>
      </c>
      <c r="D4771" t="str">
        <f t="shared" si="244"/>
        <v>Miércoles</v>
      </c>
    </row>
    <row r="4772" spans="1:4" x14ac:dyDescent="0.25">
      <c r="A4772" s="88" t="str">
        <f t="shared" si="245"/>
        <v>1-2036</v>
      </c>
      <c r="B4772" s="86">
        <v>49698</v>
      </c>
      <c r="C4772" t="str">
        <f t="shared" si="246"/>
        <v>L-V</v>
      </c>
      <c r="D4772" t="str">
        <f t="shared" si="244"/>
        <v>Jueves</v>
      </c>
    </row>
    <row r="4773" spans="1:4" x14ac:dyDescent="0.25">
      <c r="A4773" s="88" t="str">
        <f t="shared" si="245"/>
        <v>1-2036</v>
      </c>
      <c r="B4773" s="86">
        <v>49699</v>
      </c>
      <c r="C4773" t="str">
        <f t="shared" si="246"/>
        <v>L-V</v>
      </c>
      <c r="D4773" t="str">
        <f t="shared" si="244"/>
        <v>Viernes</v>
      </c>
    </row>
    <row r="4774" spans="1:4" x14ac:dyDescent="0.25">
      <c r="A4774" s="88" t="str">
        <f t="shared" si="245"/>
        <v>1-2036</v>
      </c>
      <c r="B4774" s="86">
        <v>49700</v>
      </c>
      <c r="C4774" t="str">
        <f t="shared" si="246"/>
        <v>SAB</v>
      </c>
      <c r="D4774" t="str">
        <f t="shared" si="244"/>
        <v>Sábado</v>
      </c>
    </row>
    <row r="4775" spans="1:4" x14ac:dyDescent="0.25">
      <c r="A4775" s="88" t="str">
        <f t="shared" si="245"/>
        <v>1-2036</v>
      </c>
      <c r="B4775" s="86">
        <v>49701</v>
      </c>
      <c r="C4775" t="str">
        <f t="shared" si="246"/>
        <v>DOM</v>
      </c>
      <c r="D4775" t="str">
        <f t="shared" si="244"/>
        <v>Domingo</v>
      </c>
    </row>
    <row r="4776" spans="1:4" x14ac:dyDescent="0.25">
      <c r="A4776" s="88" t="str">
        <f t="shared" si="245"/>
        <v>1-2036</v>
      </c>
      <c r="B4776" s="86">
        <v>49702</v>
      </c>
      <c r="C4776" t="str">
        <f t="shared" si="246"/>
        <v>L-V</v>
      </c>
      <c r="D4776" t="str">
        <f t="shared" si="244"/>
        <v>Lunes</v>
      </c>
    </row>
    <row r="4777" spans="1:4" x14ac:dyDescent="0.25">
      <c r="A4777" s="88" t="str">
        <f t="shared" si="245"/>
        <v>1-2036</v>
      </c>
      <c r="B4777" s="86">
        <v>49703</v>
      </c>
      <c r="C4777" t="str">
        <f t="shared" si="246"/>
        <v>L-V</v>
      </c>
      <c r="D4777" t="str">
        <f t="shared" si="244"/>
        <v>Martes</v>
      </c>
    </row>
    <row r="4778" spans="1:4" x14ac:dyDescent="0.25">
      <c r="A4778" s="88" t="str">
        <f t="shared" si="245"/>
        <v>1-2036</v>
      </c>
      <c r="B4778" s="86">
        <v>49704</v>
      </c>
      <c r="C4778" t="str">
        <f t="shared" si="246"/>
        <v>L-V</v>
      </c>
      <c r="D4778" t="str">
        <f t="shared" si="244"/>
        <v>Miércoles</v>
      </c>
    </row>
    <row r="4779" spans="1:4" x14ac:dyDescent="0.25">
      <c r="A4779" s="88" t="str">
        <f t="shared" si="245"/>
        <v>1-2036</v>
      </c>
      <c r="B4779" s="86">
        <v>49705</v>
      </c>
      <c r="C4779" t="str">
        <f t="shared" si="246"/>
        <v>L-V</v>
      </c>
      <c r="D4779" t="str">
        <f t="shared" si="244"/>
        <v>Jueves</v>
      </c>
    </row>
    <row r="4780" spans="1:4" x14ac:dyDescent="0.25">
      <c r="A4780" s="88" t="str">
        <f t="shared" si="245"/>
        <v>2-2036</v>
      </c>
      <c r="B4780" s="86">
        <v>49706</v>
      </c>
      <c r="C4780" t="str">
        <f t="shared" si="246"/>
        <v>L-V</v>
      </c>
      <c r="D4780" t="str">
        <f t="shared" si="244"/>
        <v>Viernes</v>
      </c>
    </row>
    <row r="4781" spans="1:4" x14ac:dyDescent="0.25">
      <c r="A4781" s="88" t="str">
        <f t="shared" si="245"/>
        <v>2-2036</v>
      </c>
      <c r="B4781" s="86">
        <v>49707</v>
      </c>
      <c r="C4781" t="str">
        <f t="shared" si="246"/>
        <v>SAB</v>
      </c>
      <c r="D4781" t="str">
        <f t="shared" si="244"/>
        <v>Sábado</v>
      </c>
    </row>
    <row r="4782" spans="1:4" x14ac:dyDescent="0.25">
      <c r="A4782" s="88" t="str">
        <f t="shared" si="245"/>
        <v>2-2036</v>
      </c>
      <c r="B4782" s="86">
        <v>49708</v>
      </c>
      <c r="C4782" t="str">
        <f t="shared" si="246"/>
        <v>DOM</v>
      </c>
      <c r="D4782" t="str">
        <f t="shared" si="244"/>
        <v>Domingo</v>
      </c>
    </row>
    <row r="4783" spans="1:4" x14ac:dyDescent="0.25">
      <c r="A4783" s="88" t="str">
        <f t="shared" si="245"/>
        <v>2-2036</v>
      </c>
      <c r="B4783" s="86">
        <v>49709</v>
      </c>
      <c r="C4783" t="str">
        <f t="shared" si="246"/>
        <v>L-V</v>
      </c>
      <c r="D4783" t="str">
        <f t="shared" si="244"/>
        <v>Lunes</v>
      </c>
    </row>
    <row r="4784" spans="1:4" x14ac:dyDescent="0.25">
      <c r="A4784" s="88" t="str">
        <f t="shared" si="245"/>
        <v>2-2036</v>
      </c>
      <c r="B4784" s="86">
        <v>49710</v>
      </c>
      <c r="C4784" t="str">
        <f t="shared" si="246"/>
        <v>L-V</v>
      </c>
      <c r="D4784" t="str">
        <f t="shared" si="244"/>
        <v>Martes</v>
      </c>
    </row>
    <row r="4785" spans="1:4" x14ac:dyDescent="0.25">
      <c r="A4785" s="88" t="str">
        <f t="shared" si="245"/>
        <v>2-2036</v>
      </c>
      <c r="B4785" s="86">
        <v>49711</v>
      </c>
      <c r="C4785" t="str">
        <f t="shared" si="246"/>
        <v>L-V</v>
      </c>
      <c r="D4785" t="str">
        <f t="shared" si="244"/>
        <v>Miércoles</v>
      </c>
    </row>
    <row r="4786" spans="1:4" x14ac:dyDescent="0.25">
      <c r="A4786" s="88" t="str">
        <f t="shared" si="245"/>
        <v>2-2036</v>
      </c>
      <c r="B4786" s="86">
        <v>49712</v>
      </c>
      <c r="C4786" t="str">
        <f t="shared" si="246"/>
        <v>L-V</v>
      </c>
      <c r="D4786" t="str">
        <f t="shared" si="244"/>
        <v>Jueves</v>
      </c>
    </row>
    <row r="4787" spans="1:4" x14ac:dyDescent="0.25">
      <c r="A4787" s="88" t="str">
        <f t="shared" si="245"/>
        <v>2-2036</v>
      </c>
      <c r="B4787" s="86">
        <v>49713</v>
      </c>
      <c r="C4787" t="str">
        <f t="shared" si="246"/>
        <v>L-V</v>
      </c>
      <c r="D4787" t="str">
        <f t="shared" si="244"/>
        <v>Viernes</v>
      </c>
    </row>
    <row r="4788" spans="1:4" x14ac:dyDescent="0.25">
      <c r="A4788" s="88" t="str">
        <f t="shared" si="245"/>
        <v>2-2036</v>
      </c>
      <c r="B4788" s="86">
        <v>49714</v>
      </c>
      <c r="C4788" t="str">
        <f t="shared" si="246"/>
        <v>SAB</v>
      </c>
      <c r="D4788" t="str">
        <f t="shared" si="244"/>
        <v>Sábado</v>
      </c>
    </row>
    <row r="4789" spans="1:4" x14ac:dyDescent="0.25">
      <c r="A4789" s="88" t="str">
        <f t="shared" si="245"/>
        <v>2-2036</v>
      </c>
      <c r="B4789" s="86">
        <v>49715</v>
      </c>
      <c r="C4789" t="str">
        <f t="shared" si="246"/>
        <v>DOM</v>
      </c>
      <c r="D4789" t="str">
        <f t="shared" si="244"/>
        <v>Domingo</v>
      </c>
    </row>
    <row r="4790" spans="1:4" x14ac:dyDescent="0.25">
      <c r="A4790" s="88" t="str">
        <f t="shared" si="245"/>
        <v>2-2036</v>
      </c>
      <c r="B4790" s="86">
        <v>49716</v>
      </c>
      <c r="C4790" t="str">
        <f t="shared" si="246"/>
        <v>L-V</v>
      </c>
      <c r="D4790" t="str">
        <f t="shared" si="244"/>
        <v>Lunes</v>
      </c>
    </row>
    <row r="4791" spans="1:4" x14ac:dyDescent="0.25">
      <c r="A4791" s="88" t="str">
        <f t="shared" si="245"/>
        <v>2-2036</v>
      </c>
      <c r="B4791" s="86">
        <v>49717</v>
      </c>
      <c r="C4791" t="str">
        <f t="shared" si="246"/>
        <v>L-V</v>
      </c>
      <c r="D4791" t="str">
        <f t="shared" si="244"/>
        <v>Martes</v>
      </c>
    </row>
    <row r="4792" spans="1:4" x14ac:dyDescent="0.25">
      <c r="A4792" s="88" t="str">
        <f t="shared" si="245"/>
        <v>2-2036</v>
      </c>
      <c r="B4792" s="86">
        <v>49718</v>
      </c>
      <c r="C4792" t="str">
        <f t="shared" si="246"/>
        <v>L-V</v>
      </c>
      <c r="D4792" t="str">
        <f t="shared" si="244"/>
        <v>Miércoles</v>
      </c>
    </row>
    <row r="4793" spans="1:4" x14ac:dyDescent="0.25">
      <c r="A4793" s="88" t="str">
        <f t="shared" si="245"/>
        <v>2-2036</v>
      </c>
      <c r="B4793" s="86">
        <v>49719</v>
      </c>
      <c r="C4793" t="str">
        <f t="shared" si="246"/>
        <v>L-V</v>
      </c>
      <c r="D4793" t="str">
        <f t="shared" si="244"/>
        <v>Jueves</v>
      </c>
    </row>
    <row r="4794" spans="1:4" x14ac:dyDescent="0.25">
      <c r="A4794" s="88" t="str">
        <f t="shared" si="245"/>
        <v>2-2036</v>
      </c>
      <c r="B4794" s="86">
        <v>49720</v>
      </c>
      <c r="C4794" t="str">
        <f t="shared" si="246"/>
        <v>L-V</v>
      </c>
      <c r="D4794" t="str">
        <f t="shared" si="244"/>
        <v>Viernes</v>
      </c>
    </row>
    <row r="4795" spans="1:4" x14ac:dyDescent="0.25">
      <c r="A4795" s="88" t="str">
        <f t="shared" si="245"/>
        <v>2-2036</v>
      </c>
      <c r="B4795" s="86">
        <v>49721</v>
      </c>
      <c r="C4795" t="str">
        <f t="shared" si="246"/>
        <v>SAB</v>
      </c>
      <c r="D4795" t="str">
        <f t="shared" si="244"/>
        <v>Sábado</v>
      </c>
    </row>
    <row r="4796" spans="1:4" x14ac:dyDescent="0.25">
      <c r="A4796" s="88" t="str">
        <f t="shared" si="245"/>
        <v>2-2036</v>
      </c>
      <c r="B4796" s="86">
        <v>49722</v>
      </c>
      <c r="C4796" t="str">
        <f t="shared" si="246"/>
        <v>DOM</v>
      </c>
      <c r="D4796" t="str">
        <f t="shared" si="244"/>
        <v>Domingo</v>
      </c>
    </row>
    <row r="4797" spans="1:4" x14ac:dyDescent="0.25">
      <c r="A4797" s="88" t="str">
        <f t="shared" si="245"/>
        <v>2-2036</v>
      </c>
      <c r="B4797" s="86">
        <v>49723</v>
      </c>
      <c r="C4797" t="str">
        <f t="shared" si="246"/>
        <v>L-V</v>
      </c>
      <c r="D4797" t="str">
        <f t="shared" si="244"/>
        <v>Lunes</v>
      </c>
    </row>
    <row r="4798" spans="1:4" x14ac:dyDescent="0.25">
      <c r="A4798" s="88" t="str">
        <f t="shared" si="245"/>
        <v>2-2036</v>
      </c>
      <c r="B4798" s="86">
        <v>49724</v>
      </c>
      <c r="C4798" t="str">
        <f t="shared" si="246"/>
        <v>L-V</v>
      </c>
      <c r="D4798" t="str">
        <f t="shared" si="244"/>
        <v>Martes</v>
      </c>
    </row>
    <row r="4799" spans="1:4" x14ac:dyDescent="0.25">
      <c r="A4799" s="88" t="str">
        <f t="shared" si="245"/>
        <v>2-2036</v>
      </c>
      <c r="B4799" s="86">
        <v>49725</v>
      </c>
      <c r="C4799" t="str">
        <f t="shared" si="246"/>
        <v>L-V</v>
      </c>
      <c r="D4799" t="str">
        <f t="shared" si="244"/>
        <v>Miércoles</v>
      </c>
    </row>
    <row r="4800" spans="1:4" x14ac:dyDescent="0.25">
      <c r="A4800" s="88" t="str">
        <f t="shared" si="245"/>
        <v>2-2036</v>
      </c>
      <c r="B4800" s="86">
        <v>49726</v>
      </c>
      <c r="C4800" t="str">
        <f t="shared" si="246"/>
        <v>L-V</v>
      </c>
      <c r="D4800" t="str">
        <f t="shared" si="244"/>
        <v>Jueves</v>
      </c>
    </row>
    <row r="4801" spans="1:4" x14ac:dyDescent="0.25">
      <c r="A4801" s="88" t="str">
        <f t="shared" si="245"/>
        <v>2-2036</v>
      </c>
      <c r="B4801" s="86">
        <v>49727</v>
      </c>
      <c r="C4801" t="str">
        <f t="shared" si="246"/>
        <v>L-V</v>
      </c>
      <c r="D4801" t="str">
        <f t="shared" si="244"/>
        <v>Viernes</v>
      </c>
    </row>
    <row r="4802" spans="1:4" x14ac:dyDescent="0.25">
      <c r="A4802" s="88" t="str">
        <f t="shared" si="245"/>
        <v>2-2036</v>
      </c>
      <c r="B4802" s="86">
        <v>49728</v>
      </c>
      <c r="C4802" t="str">
        <f t="shared" si="246"/>
        <v>SAB</v>
      </c>
      <c r="D4802" t="str">
        <f t="shared" si="244"/>
        <v>Sábado</v>
      </c>
    </row>
    <row r="4803" spans="1:4" x14ac:dyDescent="0.25">
      <c r="A4803" s="88" t="str">
        <f t="shared" si="245"/>
        <v>2-2036</v>
      </c>
      <c r="B4803" s="86">
        <v>49729</v>
      </c>
      <c r="C4803" t="str">
        <f t="shared" si="246"/>
        <v>DOM</v>
      </c>
      <c r="D4803" t="str">
        <f t="shared" ref="D4803:D4866" si="247">VLOOKUP(WEEKDAY($B4803,2),$F$1:$H$7,3)</f>
        <v>Domingo</v>
      </c>
    </row>
    <row r="4804" spans="1:4" x14ac:dyDescent="0.25">
      <c r="A4804" s="88" t="str">
        <f t="shared" si="245"/>
        <v>2-2036</v>
      </c>
      <c r="B4804" s="86">
        <v>49730</v>
      </c>
      <c r="C4804" t="str">
        <f t="shared" si="246"/>
        <v>L-V</v>
      </c>
      <c r="D4804" t="str">
        <f t="shared" si="247"/>
        <v>Lunes</v>
      </c>
    </row>
    <row r="4805" spans="1:4" x14ac:dyDescent="0.25">
      <c r="A4805" s="88" t="str">
        <f t="shared" si="245"/>
        <v>2-2036</v>
      </c>
      <c r="B4805" s="86">
        <v>49731</v>
      </c>
      <c r="C4805" t="str">
        <f t="shared" si="246"/>
        <v>L-V</v>
      </c>
      <c r="D4805" t="str">
        <f t="shared" si="247"/>
        <v>Martes</v>
      </c>
    </row>
    <row r="4806" spans="1:4" x14ac:dyDescent="0.25">
      <c r="A4806" s="88" t="str">
        <f t="shared" si="245"/>
        <v>2-2036</v>
      </c>
      <c r="B4806" s="86">
        <v>49732</v>
      </c>
      <c r="C4806" t="str">
        <f t="shared" si="246"/>
        <v>L-V</v>
      </c>
      <c r="D4806" t="str">
        <f t="shared" si="247"/>
        <v>Miércoles</v>
      </c>
    </row>
    <row r="4807" spans="1:4" x14ac:dyDescent="0.25">
      <c r="A4807" s="88" t="str">
        <f t="shared" si="245"/>
        <v>2-2036</v>
      </c>
      <c r="B4807" s="86">
        <v>49733</v>
      </c>
      <c r="C4807" t="str">
        <f t="shared" si="246"/>
        <v>L-V</v>
      </c>
      <c r="D4807" t="str">
        <f t="shared" si="247"/>
        <v>Jueves</v>
      </c>
    </row>
    <row r="4808" spans="1:4" x14ac:dyDescent="0.25">
      <c r="A4808" s="88" t="str">
        <f t="shared" si="245"/>
        <v>2-2036</v>
      </c>
      <c r="B4808" s="86">
        <v>49734</v>
      </c>
      <c r="C4808" t="str">
        <f t="shared" si="246"/>
        <v>L-V</v>
      </c>
      <c r="D4808" t="str">
        <f t="shared" si="247"/>
        <v>Viernes</v>
      </c>
    </row>
    <row r="4809" spans="1:4" x14ac:dyDescent="0.25">
      <c r="A4809" s="88" t="str">
        <f t="shared" si="245"/>
        <v>3-2036</v>
      </c>
      <c r="B4809" s="86">
        <v>49735</v>
      </c>
      <c r="C4809" t="str">
        <f t="shared" si="246"/>
        <v>SAB</v>
      </c>
      <c r="D4809" t="str">
        <f t="shared" si="247"/>
        <v>Sábado</v>
      </c>
    </row>
    <row r="4810" spans="1:4" x14ac:dyDescent="0.25">
      <c r="A4810" s="88" t="str">
        <f t="shared" si="245"/>
        <v>3-2036</v>
      </c>
      <c r="B4810" s="86">
        <v>49736</v>
      </c>
      <c r="C4810" t="str">
        <f t="shared" si="246"/>
        <v>DOM</v>
      </c>
      <c r="D4810" t="str">
        <f t="shared" si="247"/>
        <v>Domingo</v>
      </c>
    </row>
    <row r="4811" spans="1:4" x14ac:dyDescent="0.25">
      <c r="A4811" s="88" t="str">
        <f t="shared" si="245"/>
        <v>3-2036</v>
      </c>
      <c r="B4811" s="86">
        <v>49737</v>
      </c>
      <c r="C4811" t="str">
        <f t="shared" si="246"/>
        <v>L-V</v>
      </c>
      <c r="D4811" t="str">
        <f t="shared" si="247"/>
        <v>Lunes</v>
      </c>
    </row>
    <row r="4812" spans="1:4" x14ac:dyDescent="0.25">
      <c r="A4812" s="88" t="str">
        <f t="shared" si="245"/>
        <v>3-2036</v>
      </c>
      <c r="B4812" s="86">
        <v>49738</v>
      </c>
      <c r="C4812" t="str">
        <f t="shared" si="246"/>
        <v>L-V</v>
      </c>
      <c r="D4812" t="str">
        <f t="shared" si="247"/>
        <v>Martes</v>
      </c>
    </row>
    <row r="4813" spans="1:4" x14ac:dyDescent="0.25">
      <c r="A4813" s="88" t="str">
        <f t="shared" si="245"/>
        <v>3-2036</v>
      </c>
      <c r="B4813" s="86">
        <v>49739</v>
      </c>
      <c r="C4813" t="str">
        <f t="shared" si="246"/>
        <v>L-V</v>
      </c>
      <c r="D4813" t="str">
        <f t="shared" si="247"/>
        <v>Miércoles</v>
      </c>
    </row>
    <row r="4814" spans="1:4" x14ac:dyDescent="0.25">
      <c r="A4814" s="88" t="str">
        <f t="shared" si="245"/>
        <v>3-2036</v>
      </c>
      <c r="B4814" s="86">
        <v>49740</v>
      </c>
      <c r="C4814" t="str">
        <f t="shared" si="246"/>
        <v>L-V</v>
      </c>
      <c r="D4814" t="str">
        <f t="shared" si="247"/>
        <v>Jueves</v>
      </c>
    </row>
    <row r="4815" spans="1:4" x14ac:dyDescent="0.25">
      <c r="A4815" s="88" t="str">
        <f t="shared" si="245"/>
        <v>3-2036</v>
      </c>
      <c r="B4815" s="86">
        <v>49741</v>
      </c>
      <c r="C4815" t="str">
        <f t="shared" si="246"/>
        <v>L-V</v>
      </c>
      <c r="D4815" t="str">
        <f t="shared" si="247"/>
        <v>Viernes</v>
      </c>
    </row>
    <row r="4816" spans="1:4" x14ac:dyDescent="0.25">
      <c r="A4816" s="88" t="str">
        <f t="shared" si="245"/>
        <v>3-2036</v>
      </c>
      <c r="B4816" s="86">
        <v>49742</v>
      </c>
      <c r="C4816" t="str">
        <f t="shared" si="246"/>
        <v>SAB</v>
      </c>
      <c r="D4816" t="str">
        <f t="shared" si="247"/>
        <v>Sábado</v>
      </c>
    </row>
    <row r="4817" spans="1:4" x14ac:dyDescent="0.25">
      <c r="A4817" s="88" t="str">
        <f t="shared" si="245"/>
        <v>3-2036</v>
      </c>
      <c r="B4817" s="86">
        <v>49743</v>
      </c>
      <c r="C4817" t="str">
        <f t="shared" si="246"/>
        <v>DOM</v>
      </c>
      <c r="D4817" t="str">
        <f t="shared" si="247"/>
        <v>Domingo</v>
      </c>
    </row>
    <row r="4818" spans="1:4" x14ac:dyDescent="0.25">
      <c r="A4818" s="88" t="str">
        <f t="shared" si="245"/>
        <v>3-2036</v>
      </c>
      <c r="B4818" s="86">
        <v>49744</v>
      </c>
      <c r="C4818" t="str">
        <f t="shared" si="246"/>
        <v>L-V</v>
      </c>
      <c r="D4818" t="str">
        <f t="shared" si="247"/>
        <v>Lunes</v>
      </c>
    </row>
    <row r="4819" spans="1:4" x14ac:dyDescent="0.25">
      <c r="A4819" s="88" t="str">
        <f t="shared" si="245"/>
        <v>3-2036</v>
      </c>
      <c r="B4819" s="86">
        <v>49745</v>
      </c>
      <c r="C4819" t="str">
        <f t="shared" si="246"/>
        <v>L-V</v>
      </c>
      <c r="D4819" t="str">
        <f t="shared" si="247"/>
        <v>Martes</v>
      </c>
    </row>
    <row r="4820" spans="1:4" x14ac:dyDescent="0.25">
      <c r="A4820" s="88" t="str">
        <f t="shared" si="245"/>
        <v>3-2036</v>
      </c>
      <c r="B4820" s="86">
        <v>49746</v>
      </c>
      <c r="C4820" t="str">
        <f t="shared" si="246"/>
        <v>L-V</v>
      </c>
      <c r="D4820" t="str">
        <f t="shared" si="247"/>
        <v>Miércoles</v>
      </c>
    </row>
    <row r="4821" spans="1:4" x14ac:dyDescent="0.25">
      <c r="A4821" s="88" t="str">
        <f t="shared" si="245"/>
        <v>3-2036</v>
      </c>
      <c r="B4821" s="86">
        <v>49747</v>
      </c>
      <c r="C4821" t="str">
        <f t="shared" si="246"/>
        <v>L-V</v>
      </c>
      <c r="D4821" t="str">
        <f t="shared" si="247"/>
        <v>Jueves</v>
      </c>
    </row>
    <row r="4822" spans="1:4" x14ac:dyDescent="0.25">
      <c r="A4822" s="88" t="str">
        <f t="shared" si="245"/>
        <v>3-2036</v>
      </c>
      <c r="B4822" s="86">
        <v>49748</v>
      </c>
      <c r="C4822" t="str">
        <f t="shared" si="246"/>
        <v>L-V</v>
      </c>
      <c r="D4822" t="str">
        <f t="shared" si="247"/>
        <v>Viernes</v>
      </c>
    </row>
    <row r="4823" spans="1:4" x14ac:dyDescent="0.25">
      <c r="A4823" s="88" t="str">
        <f t="shared" si="245"/>
        <v>3-2036</v>
      </c>
      <c r="B4823" s="86">
        <v>49749</v>
      </c>
      <c r="C4823" t="str">
        <f t="shared" si="246"/>
        <v>SAB</v>
      </c>
      <c r="D4823" t="str">
        <f t="shared" si="247"/>
        <v>Sábado</v>
      </c>
    </row>
    <row r="4824" spans="1:4" x14ac:dyDescent="0.25">
      <c r="A4824" s="88" t="str">
        <f t="shared" si="245"/>
        <v>3-2036</v>
      </c>
      <c r="B4824" s="86">
        <v>49750</v>
      </c>
      <c r="C4824" t="str">
        <f t="shared" si="246"/>
        <v>DOM</v>
      </c>
      <c r="D4824" t="str">
        <f t="shared" si="247"/>
        <v>Domingo</v>
      </c>
    </row>
    <row r="4825" spans="1:4" x14ac:dyDescent="0.25">
      <c r="A4825" s="88" t="str">
        <f t="shared" si="245"/>
        <v>3-2036</v>
      </c>
      <c r="B4825" s="86">
        <v>49751</v>
      </c>
      <c r="C4825" t="str">
        <f t="shared" si="246"/>
        <v>L-V</v>
      </c>
      <c r="D4825" t="str">
        <f t="shared" si="247"/>
        <v>Lunes</v>
      </c>
    </row>
    <row r="4826" spans="1:4" x14ac:dyDescent="0.25">
      <c r="A4826" s="88" t="str">
        <f t="shared" si="245"/>
        <v>3-2036</v>
      </c>
      <c r="B4826" s="86">
        <v>49752</v>
      </c>
      <c r="C4826" t="str">
        <f t="shared" si="246"/>
        <v>L-V</v>
      </c>
      <c r="D4826" t="str">
        <f t="shared" si="247"/>
        <v>Martes</v>
      </c>
    </row>
    <row r="4827" spans="1:4" x14ac:dyDescent="0.25">
      <c r="A4827" s="88" t="str">
        <f t="shared" si="245"/>
        <v>3-2036</v>
      </c>
      <c r="B4827" s="86">
        <v>49753</v>
      </c>
      <c r="C4827" t="str">
        <f t="shared" si="246"/>
        <v>L-V</v>
      </c>
      <c r="D4827" t="str">
        <f t="shared" si="247"/>
        <v>Miércoles</v>
      </c>
    </row>
    <row r="4828" spans="1:4" x14ac:dyDescent="0.25">
      <c r="A4828" s="88" t="str">
        <f t="shared" si="245"/>
        <v>3-2036</v>
      </c>
      <c r="B4828" s="86">
        <v>49754</v>
      </c>
      <c r="C4828" t="str">
        <f t="shared" si="246"/>
        <v>L-V</v>
      </c>
      <c r="D4828" t="str">
        <f t="shared" si="247"/>
        <v>Jueves</v>
      </c>
    </row>
    <row r="4829" spans="1:4" x14ac:dyDescent="0.25">
      <c r="A4829" s="88" t="str">
        <f t="shared" ref="A4829:A4892" si="248">MONTH(B4829)&amp;"-"&amp;YEAR(B4829)</f>
        <v>3-2036</v>
      </c>
      <c r="B4829" s="86">
        <v>49755</v>
      </c>
      <c r="C4829" t="str">
        <f t="shared" ref="C4829:C4892" si="249">VLOOKUP(WEEKDAY(B4829,2),$F$1:$H$7,2)</f>
        <v>L-V</v>
      </c>
      <c r="D4829" t="str">
        <f t="shared" si="247"/>
        <v>Viernes</v>
      </c>
    </row>
    <row r="4830" spans="1:4" x14ac:dyDescent="0.25">
      <c r="A4830" s="88" t="str">
        <f t="shared" si="248"/>
        <v>3-2036</v>
      </c>
      <c r="B4830" s="86">
        <v>49756</v>
      </c>
      <c r="C4830" t="str">
        <f t="shared" si="249"/>
        <v>SAB</v>
      </c>
      <c r="D4830" t="str">
        <f t="shared" si="247"/>
        <v>Sábado</v>
      </c>
    </row>
    <row r="4831" spans="1:4" x14ac:dyDescent="0.25">
      <c r="A4831" s="88" t="str">
        <f t="shared" si="248"/>
        <v>3-2036</v>
      </c>
      <c r="B4831" s="86">
        <v>49757</v>
      </c>
      <c r="C4831" t="str">
        <f t="shared" si="249"/>
        <v>DOM</v>
      </c>
      <c r="D4831" t="str">
        <f t="shared" si="247"/>
        <v>Domingo</v>
      </c>
    </row>
    <row r="4832" spans="1:4" x14ac:dyDescent="0.25">
      <c r="A4832" s="88" t="str">
        <f t="shared" si="248"/>
        <v>3-2036</v>
      </c>
      <c r="B4832" s="86">
        <v>49758</v>
      </c>
      <c r="C4832" t="str">
        <f t="shared" si="249"/>
        <v>L-V</v>
      </c>
      <c r="D4832" t="str">
        <f t="shared" si="247"/>
        <v>Lunes</v>
      </c>
    </row>
    <row r="4833" spans="1:4" x14ac:dyDescent="0.25">
      <c r="A4833" s="88" t="str">
        <f t="shared" si="248"/>
        <v>3-2036</v>
      </c>
      <c r="B4833" s="86">
        <v>49759</v>
      </c>
      <c r="C4833" t="str">
        <f t="shared" si="249"/>
        <v>L-V</v>
      </c>
      <c r="D4833" t="str">
        <f t="shared" si="247"/>
        <v>Martes</v>
      </c>
    </row>
    <row r="4834" spans="1:4" x14ac:dyDescent="0.25">
      <c r="A4834" s="88" t="str">
        <f t="shared" si="248"/>
        <v>3-2036</v>
      </c>
      <c r="B4834" s="86">
        <v>49760</v>
      </c>
      <c r="C4834" t="str">
        <f t="shared" si="249"/>
        <v>L-V</v>
      </c>
      <c r="D4834" t="str">
        <f t="shared" si="247"/>
        <v>Miércoles</v>
      </c>
    </row>
    <row r="4835" spans="1:4" x14ac:dyDescent="0.25">
      <c r="A4835" s="88" t="str">
        <f t="shared" si="248"/>
        <v>3-2036</v>
      </c>
      <c r="B4835" s="86">
        <v>49761</v>
      </c>
      <c r="C4835" t="str">
        <f t="shared" si="249"/>
        <v>L-V</v>
      </c>
      <c r="D4835" t="str">
        <f t="shared" si="247"/>
        <v>Jueves</v>
      </c>
    </row>
    <row r="4836" spans="1:4" x14ac:dyDescent="0.25">
      <c r="A4836" s="88" t="str">
        <f t="shared" si="248"/>
        <v>3-2036</v>
      </c>
      <c r="B4836" s="86">
        <v>49762</v>
      </c>
      <c r="C4836" t="str">
        <f t="shared" si="249"/>
        <v>L-V</v>
      </c>
      <c r="D4836" t="str">
        <f t="shared" si="247"/>
        <v>Viernes</v>
      </c>
    </row>
    <row r="4837" spans="1:4" x14ac:dyDescent="0.25">
      <c r="A4837" s="88" t="str">
        <f t="shared" si="248"/>
        <v>3-2036</v>
      </c>
      <c r="B4837" s="86">
        <v>49763</v>
      </c>
      <c r="C4837" t="str">
        <f t="shared" si="249"/>
        <v>SAB</v>
      </c>
      <c r="D4837" t="str">
        <f t="shared" si="247"/>
        <v>Sábado</v>
      </c>
    </row>
    <row r="4838" spans="1:4" x14ac:dyDescent="0.25">
      <c r="A4838" s="88" t="str">
        <f t="shared" si="248"/>
        <v>3-2036</v>
      </c>
      <c r="B4838" s="86">
        <v>49764</v>
      </c>
      <c r="C4838" t="str">
        <f t="shared" si="249"/>
        <v>DOM</v>
      </c>
      <c r="D4838" t="str">
        <f t="shared" si="247"/>
        <v>Domingo</v>
      </c>
    </row>
    <row r="4839" spans="1:4" x14ac:dyDescent="0.25">
      <c r="A4839" s="88" t="str">
        <f t="shared" si="248"/>
        <v>3-2036</v>
      </c>
      <c r="B4839" s="86">
        <v>49765</v>
      </c>
      <c r="C4839" t="str">
        <f t="shared" si="249"/>
        <v>L-V</v>
      </c>
      <c r="D4839" t="str">
        <f t="shared" si="247"/>
        <v>Lunes</v>
      </c>
    </row>
    <row r="4840" spans="1:4" x14ac:dyDescent="0.25">
      <c r="A4840" s="88" t="str">
        <f t="shared" si="248"/>
        <v>4-2036</v>
      </c>
      <c r="B4840" s="86">
        <v>49766</v>
      </c>
      <c r="C4840" t="str">
        <f t="shared" si="249"/>
        <v>L-V</v>
      </c>
      <c r="D4840" t="str">
        <f t="shared" si="247"/>
        <v>Martes</v>
      </c>
    </row>
    <row r="4841" spans="1:4" x14ac:dyDescent="0.25">
      <c r="A4841" s="88" t="str">
        <f t="shared" si="248"/>
        <v>4-2036</v>
      </c>
      <c r="B4841" s="86">
        <v>49767</v>
      </c>
      <c r="C4841" t="str">
        <f t="shared" si="249"/>
        <v>L-V</v>
      </c>
      <c r="D4841" t="str">
        <f t="shared" si="247"/>
        <v>Miércoles</v>
      </c>
    </row>
    <row r="4842" spans="1:4" x14ac:dyDescent="0.25">
      <c r="A4842" s="88" t="str">
        <f t="shared" si="248"/>
        <v>4-2036</v>
      </c>
      <c r="B4842" s="86">
        <v>49768</v>
      </c>
      <c r="C4842" t="str">
        <f t="shared" si="249"/>
        <v>L-V</v>
      </c>
      <c r="D4842" t="str">
        <f t="shared" si="247"/>
        <v>Jueves</v>
      </c>
    </row>
    <row r="4843" spans="1:4" x14ac:dyDescent="0.25">
      <c r="A4843" s="88" t="str">
        <f t="shared" si="248"/>
        <v>4-2036</v>
      </c>
      <c r="B4843" s="86">
        <v>49769</v>
      </c>
      <c r="C4843" t="str">
        <f t="shared" si="249"/>
        <v>L-V</v>
      </c>
      <c r="D4843" t="str">
        <f t="shared" si="247"/>
        <v>Viernes</v>
      </c>
    </row>
    <row r="4844" spans="1:4" x14ac:dyDescent="0.25">
      <c r="A4844" s="88" t="str">
        <f t="shared" si="248"/>
        <v>4-2036</v>
      </c>
      <c r="B4844" s="86">
        <v>49770</v>
      </c>
      <c r="C4844" t="str">
        <f t="shared" si="249"/>
        <v>SAB</v>
      </c>
      <c r="D4844" t="str">
        <f t="shared" si="247"/>
        <v>Sábado</v>
      </c>
    </row>
    <row r="4845" spans="1:4" x14ac:dyDescent="0.25">
      <c r="A4845" s="88" t="str">
        <f t="shared" si="248"/>
        <v>4-2036</v>
      </c>
      <c r="B4845" s="86">
        <v>49771</v>
      </c>
      <c r="C4845" t="str">
        <f t="shared" si="249"/>
        <v>DOM</v>
      </c>
      <c r="D4845" t="str">
        <f t="shared" si="247"/>
        <v>Domingo</v>
      </c>
    </row>
    <row r="4846" spans="1:4" x14ac:dyDescent="0.25">
      <c r="A4846" s="88" t="str">
        <f t="shared" si="248"/>
        <v>4-2036</v>
      </c>
      <c r="B4846" s="86">
        <v>49772</v>
      </c>
      <c r="C4846" t="str">
        <f t="shared" si="249"/>
        <v>L-V</v>
      </c>
      <c r="D4846" t="str">
        <f t="shared" si="247"/>
        <v>Lunes</v>
      </c>
    </row>
    <row r="4847" spans="1:4" x14ac:dyDescent="0.25">
      <c r="A4847" s="88" t="str">
        <f t="shared" si="248"/>
        <v>4-2036</v>
      </c>
      <c r="B4847" s="86">
        <v>49773</v>
      </c>
      <c r="C4847" t="str">
        <f t="shared" si="249"/>
        <v>L-V</v>
      </c>
      <c r="D4847" t="str">
        <f t="shared" si="247"/>
        <v>Martes</v>
      </c>
    </row>
    <row r="4848" spans="1:4" x14ac:dyDescent="0.25">
      <c r="A4848" s="88" t="str">
        <f t="shared" si="248"/>
        <v>4-2036</v>
      </c>
      <c r="B4848" s="86">
        <v>49774</v>
      </c>
      <c r="C4848" t="str">
        <f t="shared" si="249"/>
        <v>L-V</v>
      </c>
      <c r="D4848" t="str">
        <f t="shared" si="247"/>
        <v>Miércoles</v>
      </c>
    </row>
    <row r="4849" spans="1:4" x14ac:dyDescent="0.25">
      <c r="A4849" s="88" t="str">
        <f t="shared" si="248"/>
        <v>4-2036</v>
      </c>
      <c r="B4849" s="86">
        <v>49775</v>
      </c>
      <c r="C4849" t="str">
        <f t="shared" si="249"/>
        <v>L-V</v>
      </c>
      <c r="D4849" t="str">
        <f t="shared" si="247"/>
        <v>Jueves</v>
      </c>
    </row>
    <row r="4850" spans="1:4" x14ac:dyDescent="0.25">
      <c r="A4850" s="88" t="str">
        <f t="shared" si="248"/>
        <v>4-2036</v>
      </c>
      <c r="B4850" s="86">
        <v>49776</v>
      </c>
      <c r="C4850" t="str">
        <f t="shared" si="249"/>
        <v>L-V</v>
      </c>
      <c r="D4850" t="str">
        <f t="shared" si="247"/>
        <v>Viernes</v>
      </c>
    </row>
    <row r="4851" spans="1:4" x14ac:dyDescent="0.25">
      <c r="A4851" s="88" t="str">
        <f t="shared" si="248"/>
        <v>4-2036</v>
      </c>
      <c r="B4851" s="86">
        <v>49777</v>
      </c>
      <c r="C4851" t="str">
        <f t="shared" si="249"/>
        <v>SAB</v>
      </c>
      <c r="D4851" t="str">
        <f t="shared" si="247"/>
        <v>Sábado</v>
      </c>
    </row>
    <row r="4852" spans="1:4" x14ac:dyDescent="0.25">
      <c r="A4852" s="88" t="str">
        <f t="shared" si="248"/>
        <v>4-2036</v>
      </c>
      <c r="B4852" s="86">
        <v>49778</v>
      </c>
      <c r="C4852" t="str">
        <f t="shared" si="249"/>
        <v>DOM</v>
      </c>
      <c r="D4852" t="str">
        <f t="shared" si="247"/>
        <v>Domingo</v>
      </c>
    </row>
    <row r="4853" spans="1:4" x14ac:dyDescent="0.25">
      <c r="A4853" s="88" t="str">
        <f t="shared" si="248"/>
        <v>4-2036</v>
      </c>
      <c r="B4853" s="86">
        <v>49779</v>
      </c>
      <c r="C4853" t="str">
        <f t="shared" si="249"/>
        <v>L-V</v>
      </c>
      <c r="D4853" t="str">
        <f t="shared" si="247"/>
        <v>Lunes</v>
      </c>
    </row>
    <row r="4854" spans="1:4" x14ac:dyDescent="0.25">
      <c r="A4854" s="88" t="str">
        <f t="shared" si="248"/>
        <v>4-2036</v>
      </c>
      <c r="B4854" s="86">
        <v>49780</v>
      </c>
      <c r="C4854" t="str">
        <f t="shared" si="249"/>
        <v>L-V</v>
      </c>
      <c r="D4854" t="str">
        <f t="shared" si="247"/>
        <v>Martes</v>
      </c>
    </row>
    <row r="4855" spans="1:4" x14ac:dyDescent="0.25">
      <c r="A4855" s="88" t="str">
        <f t="shared" si="248"/>
        <v>4-2036</v>
      </c>
      <c r="B4855" s="86">
        <v>49781</v>
      </c>
      <c r="C4855" t="str">
        <f t="shared" si="249"/>
        <v>L-V</v>
      </c>
      <c r="D4855" t="str">
        <f t="shared" si="247"/>
        <v>Miércoles</v>
      </c>
    </row>
    <row r="4856" spans="1:4" x14ac:dyDescent="0.25">
      <c r="A4856" s="88" t="str">
        <f t="shared" si="248"/>
        <v>4-2036</v>
      </c>
      <c r="B4856" s="86">
        <v>49782</v>
      </c>
      <c r="C4856" t="str">
        <f t="shared" si="249"/>
        <v>L-V</v>
      </c>
      <c r="D4856" t="str">
        <f t="shared" si="247"/>
        <v>Jueves</v>
      </c>
    </row>
    <row r="4857" spans="1:4" x14ac:dyDescent="0.25">
      <c r="A4857" s="88" t="str">
        <f t="shared" si="248"/>
        <v>4-2036</v>
      </c>
      <c r="B4857" s="86">
        <v>49783</v>
      </c>
      <c r="C4857" t="str">
        <f t="shared" si="249"/>
        <v>L-V</v>
      </c>
      <c r="D4857" t="str">
        <f t="shared" si="247"/>
        <v>Viernes</v>
      </c>
    </row>
    <row r="4858" spans="1:4" x14ac:dyDescent="0.25">
      <c r="A4858" s="88" t="str">
        <f t="shared" si="248"/>
        <v>4-2036</v>
      </c>
      <c r="B4858" s="86">
        <v>49784</v>
      </c>
      <c r="C4858" t="str">
        <f t="shared" si="249"/>
        <v>SAB</v>
      </c>
      <c r="D4858" t="str">
        <f t="shared" si="247"/>
        <v>Sábado</v>
      </c>
    </row>
    <row r="4859" spans="1:4" x14ac:dyDescent="0.25">
      <c r="A4859" s="88" t="str">
        <f t="shared" si="248"/>
        <v>4-2036</v>
      </c>
      <c r="B4859" s="86">
        <v>49785</v>
      </c>
      <c r="C4859" t="str">
        <f t="shared" si="249"/>
        <v>DOM</v>
      </c>
      <c r="D4859" t="str">
        <f t="shared" si="247"/>
        <v>Domingo</v>
      </c>
    </row>
    <row r="4860" spans="1:4" x14ac:dyDescent="0.25">
      <c r="A4860" s="88" t="str">
        <f t="shared" si="248"/>
        <v>4-2036</v>
      </c>
      <c r="B4860" s="86">
        <v>49786</v>
      </c>
      <c r="C4860" t="str">
        <f t="shared" si="249"/>
        <v>L-V</v>
      </c>
      <c r="D4860" t="str">
        <f t="shared" si="247"/>
        <v>Lunes</v>
      </c>
    </row>
    <row r="4861" spans="1:4" x14ac:dyDescent="0.25">
      <c r="A4861" s="88" t="str">
        <f t="shared" si="248"/>
        <v>4-2036</v>
      </c>
      <c r="B4861" s="86">
        <v>49787</v>
      </c>
      <c r="C4861" t="str">
        <f t="shared" si="249"/>
        <v>L-V</v>
      </c>
      <c r="D4861" t="str">
        <f t="shared" si="247"/>
        <v>Martes</v>
      </c>
    </row>
    <row r="4862" spans="1:4" x14ac:dyDescent="0.25">
      <c r="A4862" s="88" t="str">
        <f t="shared" si="248"/>
        <v>4-2036</v>
      </c>
      <c r="B4862" s="86">
        <v>49788</v>
      </c>
      <c r="C4862" t="str">
        <f t="shared" si="249"/>
        <v>L-V</v>
      </c>
      <c r="D4862" t="str">
        <f t="shared" si="247"/>
        <v>Miércoles</v>
      </c>
    </row>
    <row r="4863" spans="1:4" x14ac:dyDescent="0.25">
      <c r="A4863" s="88" t="str">
        <f t="shared" si="248"/>
        <v>4-2036</v>
      </c>
      <c r="B4863" s="86">
        <v>49789</v>
      </c>
      <c r="C4863" t="str">
        <f t="shared" si="249"/>
        <v>L-V</v>
      </c>
      <c r="D4863" t="str">
        <f t="shared" si="247"/>
        <v>Jueves</v>
      </c>
    </row>
    <row r="4864" spans="1:4" x14ac:dyDescent="0.25">
      <c r="A4864" s="88" t="str">
        <f t="shared" si="248"/>
        <v>4-2036</v>
      </c>
      <c r="B4864" s="86">
        <v>49790</v>
      </c>
      <c r="C4864" t="str">
        <f t="shared" si="249"/>
        <v>L-V</v>
      </c>
      <c r="D4864" t="str">
        <f t="shared" si="247"/>
        <v>Viernes</v>
      </c>
    </row>
    <row r="4865" spans="1:4" x14ac:dyDescent="0.25">
      <c r="A4865" s="88" t="str">
        <f t="shared" si="248"/>
        <v>4-2036</v>
      </c>
      <c r="B4865" s="86">
        <v>49791</v>
      </c>
      <c r="C4865" t="str">
        <f t="shared" si="249"/>
        <v>SAB</v>
      </c>
      <c r="D4865" t="str">
        <f t="shared" si="247"/>
        <v>Sábado</v>
      </c>
    </row>
    <row r="4866" spans="1:4" x14ac:dyDescent="0.25">
      <c r="A4866" s="88" t="str">
        <f t="shared" si="248"/>
        <v>4-2036</v>
      </c>
      <c r="B4866" s="86">
        <v>49792</v>
      </c>
      <c r="C4866" t="str">
        <f t="shared" si="249"/>
        <v>DOM</v>
      </c>
      <c r="D4866" t="str">
        <f t="shared" si="247"/>
        <v>Domingo</v>
      </c>
    </row>
    <row r="4867" spans="1:4" x14ac:dyDescent="0.25">
      <c r="A4867" s="88" t="str">
        <f t="shared" si="248"/>
        <v>4-2036</v>
      </c>
      <c r="B4867" s="86">
        <v>49793</v>
      </c>
      <c r="C4867" t="str">
        <f t="shared" si="249"/>
        <v>L-V</v>
      </c>
      <c r="D4867" t="str">
        <f t="shared" ref="D4867:D4930" si="250">VLOOKUP(WEEKDAY($B4867,2),$F$1:$H$7,3)</f>
        <v>Lunes</v>
      </c>
    </row>
    <row r="4868" spans="1:4" x14ac:dyDescent="0.25">
      <c r="A4868" s="88" t="str">
        <f t="shared" si="248"/>
        <v>4-2036</v>
      </c>
      <c r="B4868" s="86">
        <v>49794</v>
      </c>
      <c r="C4868" t="str">
        <f t="shared" si="249"/>
        <v>L-V</v>
      </c>
      <c r="D4868" t="str">
        <f t="shared" si="250"/>
        <v>Martes</v>
      </c>
    </row>
    <row r="4869" spans="1:4" x14ac:dyDescent="0.25">
      <c r="A4869" s="88" t="str">
        <f t="shared" si="248"/>
        <v>4-2036</v>
      </c>
      <c r="B4869" s="86">
        <v>49795</v>
      </c>
      <c r="C4869" t="str">
        <f t="shared" si="249"/>
        <v>L-V</v>
      </c>
      <c r="D4869" t="str">
        <f t="shared" si="250"/>
        <v>Miércoles</v>
      </c>
    </row>
    <row r="4870" spans="1:4" x14ac:dyDescent="0.25">
      <c r="A4870" s="88" t="str">
        <f t="shared" si="248"/>
        <v>5-2036</v>
      </c>
      <c r="B4870" s="86">
        <v>49796</v>
      </c>
      <c r="C4870" t="str">
        <f t="shared" si="249"/>
        <v>L-V</v>
      </c>
      <c r="D4870" t="str">
        <f t="shared" si="250"/>
        <v>Jueves</v>
      </c>
    </row>
    <row r="4871" spans="1:4" x14ac:dyDescent="0.25">
      <c r="A4871" s="88" t="str">
        <f t="shared" si="248"/>
        <v>5-2036</v>
      </c>
      <c r="B4871" s="86">
        <v>49797</v>
      </c>
      <c r="C4871" t="str">
        <f t="shared" si="249"/>
        <v>L-V</v>
      </c>
      <c r="D4871" t="str">
        <f t="shared" si="250"/>
        <v>Viernes</v>
      </c>
    </row>
    <row r="4872" spans="1:4" x14ac:dyDescent="0.25">
      <c r="A4872" s="88" t="str">
        <f t="shared" si="248"/>
        <v>5-2036</v>
      </c>
      <c r="B4872" s="86">
        <v>49798</v>
      </c>
      <c r="C4872" t="str">
        <f t="shared" si="249"/>
        <v>SAB</v>
      </c>
      <c r="D4872" t="str">
        <f t="shared" si="250"/>
        <v>Sábado</v>
      </c>
    </row>
    <row r="4873" spans="1:4" x14ac:dyDescent="0.25">
      <c r="A4873" s="88" t="str">
        <f t="shared" si="248"/>
        <v>5-2036</v>
      </c>
      <c r="B4873" s="86">
        <v>49799</v>
      </c>
      <c r="C4873" t="str">
        <f t="shared" si="249"/>
        <v>DOM</v>
      </c>
      <c r="D4873" t="str">
        <f t="shared" si="250"/>
        <v>Domingo</v>
      </c>
    </row>
    <row r="4874" spans="1:4" x14ac:dyDescent="0.25">
      <c r="A4874" s="88" t="str">
        <f t="shared" si="248"/>
        <v>5-2036</v>
      </c>
      <c r="B4874" s="86">
        <v>49800</v>
      </c>
      <c r="C4874" t="str">
        <f t="shared" si="249"/>
        <v>L-V</v>
      </c>
      <c r="D4874" t="str">
        <f t="shared" si="250"/>
        <v>Lunes</v>
      </c>
    </row>
    <row r="4875" spans="1:4" x14ac:dyDescent="0.25">
      <c r="A4875" s="88" t="str">
        <f t="shared" si="248"/>
        <v>5-2036</v>
      </c>
      <c r="B4875" s="86">
        <v>49801</v>
      </c>
      <c r="C4875" t="str">
        <f t="shared" si="249"/>
        <v>L-V</v>
      </c>
      <c r="D4875" t="str">
        <f t="shared" si="250"/>
        <v>Martes</v>
      </c>
    </row>
    <row r="4876" spans="1:4" x14ac:dyDescent="0.25">
      <c r="A4876" s="88" t="str">
        <f t="shared" si="248"/>
        <v>5-2036</v>
      </c>
      <c r="B4876" s="86">
        <v>49802</v>
      </c>
      <c r="C4876" t="str">
        <f t="shared" si="249"/>
        <v>L-V</v>
      </c>
      <c r="D4876" t="str">
        <f t="shared" si="250"/>
        <v>Miércoles</v>
      </c>
    </row>
    <row r="4877" spans="1:4" x14ac:dyDescent="0.25">
      <c r="A4877" s="88" t="str">
        <f t="shared" si="248"/>
        <v>5-2036</v>
      </c>
      <c r="B4877" s="86">
        <v>49803</v>
      </c>
      <c r="C4877" t="str">
        <f t="shared" si="249"/>
        <v>L-V</v>
      </c>
      <c r="D4877" t="str">
        <f t="shared" si="250"/>
        <v>Jueves</v>
      </c>
    </row>
    <row r="4878" spans="1:4" x14ac:dyDescent="0.25">
      <c r="A4878" s="88" t="str">
        <f t="shared" si="248"/>
        <v>5-2036</v>
      </c>
      <c r="B4878" s="86">
        <v>49804</v>
      </c>
      <c r="C4878" t="str">
        <f t="shared" si="249"/>
        <v>L-V</v>
      </c>
      <c r="D4878" t="str">
        <f t="shared" si="250"/>
        <v>Viernes</v>
      </c>
    </row>
    <row r="4879" spans="1:4" x14ac:dyDescent="0.25">
      <c r="A4879" s="88" t="str">
        <f t="shared" si="248"/>
        <v>5-2036</v>
      </c>
      <c r="B4879" s="86">
        <v>49805</v>
      </c>
      <c r="C4879" t="str">
        <f t="shared" si="249"/>
        <v>SAB</v>
      </c>
      <c r="D4879" t="str">
        <f t="shared" si="250"/>
        <v>Sábado</v>
      </c>
    </row>
    <row r="4880" spans="1:4" x14ac:dyDescent="0.25">
      <c r="A4880" s="88" t="str">
        <f t="shared" si="248"/>
        <v>5-2036</v>
      </c>
      <c r="B4880" s="86">
        <v>49806</v>
      </c>
      <c r="C4880" t="str">
        <f t="shared" si="249"/>
        <v>DOM</v>
      </c>
      <c r="D4880" t="str">
        <f t="shared" si="250"/>
        <v>Domingo</v>
      </c>
    </row>
    <row r="4881" spans="1:4" x14ac:dyDescent="0.25">
      <c r="A4881" s="88" t="str">
        <f t="shared" si="248"/>
        <v>5-2036</v>
      </c>
      <c r="B4881" s="86">
        <v>49807</v>
      </c>
      <c r="C4881" t="str">
        <f t="shared" si="249"/>
        <v>L-V</v>
      </c>
      <c r="D4881" t="str">
        <f t="shared" si="250"/>
        <v>Lunes</v>
      </c>
    </row>
    <row r="4882" spans="1:4" x14ac:dyDescent="0.25">
      <c r="A4882" s="88" t="str">
        <f t="shared" si="248"/>
        <v>5-2036</v>
      </c>
      <c r="B4882" s="86">
        <v>49808</v>
      </c>
      <c r="C4882" t="str">
        <f t="shared" si="249"/>
        <v>L-V</v>
      </c>
      <c r="D4882" t="str">
        <f t="shared" si="250"/>
        <v>Martes</v>
      </c>
    </row>
    <row r="4883" spans="1:4" x14ac:dyDescent="0.25">
      <c r="A4883" s="88" t="str">
        <f t="shared" si="248"/>
        <v>5-2036</v>
      </c>
      <c r="B4883" s="86">
        <v>49809</v>
      </c>
      <c r="C4883" t="str">
        <f t="shared" si="249"/>
        <v>L-V</v>
      </c>
      <c r="D4883" t="str">
        <f t="shared" si="250"/>
        <v>Miércoles</v>
      </c>
    </row>
    <row r="4884" spans="1:4" x14ac:dyDescent="0.25">
      <c r="A4884" s="88" t="str">
        <f t="shared" si="248"/>
        <v>5-2036</v>
      </c>
      <c r="B4884" s="86">
        <v>49810</v>
      </c>
      <c r="C4884" t="str">
        <f t="shared" si="249"/>
        <v>L-V</v>
      </c>
      <c r="D4884" t="str">
        <f t="shared" si="250"/>
        <v>Jueves</v>
      </c>
    </row>
    <row r="4885" spans="1:4" x14ac:dyDescent="0.25">
      <c r="A4885" s="88" t="str">
        <f t="shared" si="248"/>
        <v>5-2036</v>
      </c>
      <c r="B4885" s="86">
        <v>49811</v>
      </c>
      <c r="C4885" t="str">
        <f t="shared" si="249"/>
        <v>L-V</v>
      </c>
      <c r="D4885" t="str">
        <f t="shared" si="250"/>
        <v>Viernes</v>
      </c>
    </row>
    <row r="4886" spans="1:4" x14ac:dyDescent="0.25">
      <c r="A4886" s="88" t="str">
        <f t="shared" si="248"/>
        <v>5-2036</v>
      </c>
      <c r="B4886" s="86">
        <v>49812</v>
      </c>
      <c r="C4886" t="str">
        <f t="shared" si="249"/>
        <v>SAB</v>
      </c>
      <c r="D4886" t="str">
        <f t="shared" si="250"/>
        <v>Sábado</v>
      </c>
    </row>
    <row r="4887" spans="1:4" x14ac:dyDescent="0.25">
      <c r="A4887" s="88" t="str">
        <f t="shared" si="248"/>
        <v>5-2036</v>
      </c>
      <c r="B4887" s="86">
        <v>49813</v>
      </c>
      <c r="C4887" t="str">
        <f t="shared" si="249"/>
        <v>DOM</v>
      </c>
      <c r="D4887" t="str">
        <f t="shared" si="250"/>
        <v>Domingo</v>
      </c>
    </row>
    <row r="4888" spans="1:4" x14ac:dyDescent="0.25">
      <c r="A4888" s="88" t="str">
        <f t="shared" si="248"/>
        <v>5-2036</v>
      </c>
      <c r="B4888" s="86">
        <v>49814</v>
      </c>
      <c r="C4888" t="str">
        <f t="shared" si="249"/>
        <v>L-V</v>
      </c>
      <c r="D4888" t="str">
        <f t="shared" si="250"/>
        <v>Lunes</v>
      </c>
    </row>
    <row r="4889" spans="1:4" x14ac:dyDescent="0.25">
      <c r="A4889" s="88" t="str">
        <f t="shared" si="248"/>
        <v>5-2036</v>
      </c>
      <c r="B4889" s="86">
        <v>49815</v>
      </c>
      <c r="C4889" t="str">
        <f t="shared" si="249"/>
        <v>L-V</v>
      </c>
      <c r="D4889" t="str">
        <f t="shared" si="250"/>
        <v>Martes</v>
      </c>
    </row>
    <row r="4890" spans="1:4" x14ac:dyDescent="0.25">
      <c r="A4890" s="88" t="str">
        <f t="shared" si="248"/>
        <v>5-2036</v>
      </c>
      <c r="B4890" s="86">
        <v>49816</v>
      </c>
      <c r="C4890" t="str">
        <f t="shared" si="249"/>
        <v>L-V</v>
      </c>
      <c r="D4890" t="str">
        <f t="shared" si="250"/>
        <v>Miércoles</v>
      </c>
    </row>
    <row r="4891" spans="1:4" x14ac:dyDescent="0.25">
      <c r="A4891" s="88" t="str">
        <f t="shared" si="248"/>
        <v>5-2036</v>
      </c>
      <c r="B4891" s="86">
        <v>49817</v>
      </c>
      <c r="C4891" t="str">
        <f t="shared" si="249"/>
        <v>L-V</v>
      </c>
      <c r="D4891" t="str">
        <f t="shared" si="250"/>
        <v>Jueves</v>
      </c>
    </row>
    <row r="4892" spans="1:4" x14ac:dyDescent="0.25">
      <c r="A4892" s="88" t="str">
        <f t="shared" si="248"/>
        <v>5-2036</v>
      </c>
      <c r="B4892" s="86">
        <v>49818</v>
      </c>
      <c r="C4892" t="str">
        <f t="shared" si="249"/>
        <v>L-V</v>
      </c>
      <c r="D4892" t="str">
        <f t="shared" si="250"/>
        <v>Viernes</v>
      </c>
    </row>
    <row r="4893" spans="1:4" x14ac:dyDescent="0.25">
      <c r="A4893" s="88" t="str">
        <f t="shared" ref="A4893:A4956" si="251">MONTH(B4893)&amp;"-"&amp;YEAR(B4893)</f>
        <v>5-2036</v>
      </c>
      <c r="B4893" s="86">
        <v>49819</v>
      </c>
      <c r="C4893" t="str">
        <f t="shared" ref="C4893:C4956" si="252">VLOOKUP(WEEKDAY(B4893,2),$F$1:$H$7,2)</f>
        <v>SAB</v>
      </c>
      <c r="D4893" t="str">
        <f t="shared" si="250"/>
        <v>Sábado</v>
      </c>
    </row>
    <row r="4894" spans="1:4" x14ac:dyDescent="0.25">
      <c r="A4894" s="88" t="str">
        <f t="shared" si="251"/>
        <v>5-2036</v>
      </c>
      <c r="B4894" s="86">
        <v>49820</v>
      </c>
      <c r="C4894" t="str">
        <f t="shared" si="252"/>
        <v>DOM</v>
      </c>
      <c r="D4894" t="str">
        <f t="shared" si="250"/>
        <v>Domingo</v>
      </c>
    </row>
    <row r="4895" spans="1:4" x14ac:dyDescent="0.25">
      <c r="A4895" s="88" t="str">
        <f t="shared" si="251"/>
        <v>5-2036</v>
      </c>
      <c r="B4895" s="86">
        <v>49821</v>
      </c>
      <c r="C4895" t="str">
        <f t="shared" si="252"/>
        <v>L-V</v>
      </c>
      <c r="D4895" t="str">
        <f t="shared" si="250"/>
        <v>Lunes</v>
      </c>
    </row>
    <row r="4896" spans="1:4" x14ac:dyDescent="0.25">
      <c r="A4896" s="88" t="str">
        <f t="shared" si="251"/>
        <v>5-2036</v>
      </c>
      <c r="B4896" s="86">
        <v>49822</v>
      </c>
      <c r="C4896" t="str">
        <f t="shared" si="252"/>
        <v>L-V</v>
      </c>
      <c r="D4896" t="str">
        <f t="shared" si="250"/>
        <v>Martes</v>
      </c>
    </row>
    <row r="4897" spans="1:4" x14ac:dyDescent="0.25">
      <c r="A4897" s="88" t="str">
        <f t="shared" si="251"/>
        <v>5-2036</v>
      </c>
      <c r="B4897" s="86">
        <v>49823</v>
      </c>
      <c r="C4897" t="str">
        <f t="shared" si="252"/>
        <v>L-V</v>
      </c>
      <c r="D4897" t="str">
        <f t="shared" si="250"/>
        <v>Miércoles</v>
      </c>
    </row>
    <row r="4898" spans="1:4" x14ac:dyDescent="0.25">
      <c r="A4898" s="88" t="str">
        <f t="shared" si="251"/>
        <v>5-2036</v>
      </c>
      <c r="B4898" s="86">
        <v>49824</v>
      </c>
      <c r="C4898" t="str">
        <f t="shared" si="252"/>
        <v>L-V</v>
      </c>
      <c r="D4898" t="str">
        <f t="shared" si="250"/>
        <v>Jueves</v>
      </c>
    </row>
    <row r="4899" spans="1:4" x14ac:dyDescent="0.25">
      <c r="A4899" s="88" t="str">
        <f t="shared" si="251"/>
        <v>5-2036</v>
      </c>
      <c r="B4899" s="86">
        <v>49825</v>
      </c>
      <c r="C4899" t="str">
        <f t="shared" si="252"/>
        <v>L-V</v>
      </c>
      <c r="D4899" t="str">
        <f t="shared" si="250"/>
        <v>Viernes</v>
      </c>
    </row>
    <row r="4900" spans="1:4" x14ac:dyDescent="0.25">
      <c r="A4900" s="88" t="str">
        <f t="shared" si="251"/>
        <v>5-2036</v>
      </c>
      <c r="B4900" s="86">
        <v>49826</v>
      </c>
      <c r="C4900" t="str">
        <f t="shared" si="252"/>
        <v>SAB</v>
      </c>
      <c r="D4900" t="str">
        <f t="shared" si="250"/>
        <v>Sábado</v>
      </c>
    </row>
    <row r="4901" spans="1:4" x14ac:dyDescent="0.25">
      <c r="A4901" s="88" t="str">
        <f t="shared" si="251"/>
        <v>6-2036</v>
      </c>
      <c r="B4901" s="86">
        <v>49827</v>
      </c>
      <c r="C4901" t="str">
        <f t="shared" si="252"/>
        <v>DOM</v>
      </c>
      <c r="D4901" t="str">
        <f t="shared" si="250"/>
        <v>Domingo</v>
      </c>
    </row>
    <row r="4902" spans="1:4" x14ac:dyDescent="0.25">
      <c r="A4902" s="88" t="str">
        <f t="shared" si="251"/>
        <v>6-2036</v>
      </c>
      <c r="B4902" s="86">
        <v>49828</v>
      </c>
      <c r="C4902" t="str">
        <f t="shared" si="252"/>
        <v>L-V</v>
      </c>
      <c r="D4902" t="str">
        <f t="shared" si="250"/>
        <v>Lunes</v>
      </c>
    </row>
    <row r="4903" spans="1:4" x14ac:dyDescent="0.25">
      <c r="A4903" s="88" t="str">
        <f t="shared" si="251"/>
        <v>6-2036</v>
      </c>
      <c r="B4903" s="86">
        <v>49829</v>
      </c>
      <c r="C4903" t="str">
        <f t="shared" si="252"/>
        <v>L-V</v>
      </c>
      <c r="D4903" t="str">
        <f t="shared" si="250"/>
        <v>Martes</v>
      </c>
    </row>
    <row r="4904" spans="1:4" x14ac:dyDescent="0.25">
      <c r="A4904" s="88" t="str">
        <f t="shared" si="251"/>
        <v>6-2036</v>
      </c>
      <c r="B4904" s="86">
        <v>49830</v>
      </c>
      <c r="C4904" t="str">
        <f t="shared" si="252"/>
        <v>L-V</v>
      </c>
      <c r="D4904" t="str">
        <f t="shared" si="250"/>
        <v>Miércoles</v>
      </c>
    </row>
    <row r="4905" spans="1:4" x14ac:dyDescent="0.25">
      <c r="A4905" s="88" t="str">
        <f t="shared" si="251"/>
        <v>6-2036</v>
      </c>
      <c r="B4905" s="86">
        <v>49831</v>
      </c>
      <c r="C4905" t="str">
        <f t="shared" si="252"/>
        <v>L-V</v>
      </c>
      <c r="D4905" t="str">
        <f t="shared" si="250"/>
        <v>Jueves</v>
      </c>
    </row>
    <row r="4906" spans="1:4" x14ac:dyDescent="0.25">
      <c r="A4906" s="88" t="str">
        <f t="shared" si="251"/>
        <v>6-2036</v>
      </c>
      <c r="B4906" s="86">
        <v>49832</v>
      </c>
      <c r="C4906" t="str">
        <f t="shared" si="252"/>
        <v>L-V</v>
      </c>
      <c r="D4906" t="str">
        <f t="shared" si="250"/>
        <v>Viernes</v>
      </c>
    </row>
    <row r="4907" spans="1:4" x14ac:dyDescent="0.25">
      <c r="A4907" s="88" t="str">
        <f t="shared" si="251"/>
        <v>6-2036</v>
      </c>
      <c r="B4907" s="86">
        <v>49833</v>
      </c>
      <c r="C4907" t="str">
        <f t="shared" si="252"/>
        <v>SAB</v>
      </c>
      <c r="D4907" t="str">
        <f t="shared" si="250"/>
        <v>Sábado</v>
      </c>
    </row>
    <row r="4908" spans="1:4" x14ac:dyDescent="0.25">
      <c r="A4908" s="88" t="str">
        <f t="shared" si="251"/>
        <v>6-2036</v>
      </c>
      <c r="B4908" s="86">
        <v>49834</v>
      </c>
      <c r="C4908" t="str">
        <f t="shared" si="252"/>
        <v>DOM</v>
      </c>
      <c r="D4908" t="str">
        <f t="shared" si="250"/>
        <v>Domingo</v>
      </c>
    </row>
    <row r="4909" spans="1:4" x14ac:dyDescent="0.25">
      <c r="A4909" s="88" t="str">
        <f t="shared" si="251"/>
        <v>6-2036</v>
      </c>
      <c r="B4909" s="86">
        <v>49835</v>
      </c>
      <c r="C4909" t="str">
        <f t="shared" si="252"/>
        <v>L-V</v>
      </c>
      <c r="D4909" t="str">
        <f t="shared" si="250"/>
        <v>Lunes</v>
      </c>
    </row>
    <row r="4910" spans="1:4" x14ac:dyDescent="0.25">
      <c r="A4910" s="88" t="str">
        <f t="shared" si="251"/>
        <v>6-2036</v>
      </c>
      <c r="B4910" s="86">
        <v>49836</v>
      </c>
      <c r="C4910" t="str">
        <f t="shared" si="252"/>
        <v>L-V</v>
      </c>
      <c r="D4910" t="str">
        <f t="shared" si="250"/>
        <v>Martes</v>
      </c>
    </row>
    <row r="4911" spans="1:4" x14ac:dyDescent="0.25">
      <c r="A4911" s="88" t="str">
        <f t="shared" si="251"/>
        <v>6-2036</v>
      </c>
      <c r="B4911" s="86">
        <v>49837</v>
      </c>
      <c r="C4911" t="str">
        <f t="shared" si="252"/>
        <v>L-V</v>
      </c>
      <c r="D4911" t="str">
        <f t="shared" si="250"/>
        <v>Miércoles</v>
      </c>
    </row>
    <row r="4912" spans="1:4" x14ac:dyDescent="0.25">
      <c r="A4912" s="88" t="str">
        <f t="shared" si="251"/>
        <v>6-2036</v>
      </c>
      <c r="B4912" s="86">
        <v>49838</v>
      </c>
      <c r="C4912" t="str">
        <f t="shared" si="252"/>
        <v>L-V</v>
      </c>
      <c r="D4912" t="str">
        <f t="shared" si="250"/>
        <v>Jueves</v>
      </c>
    </row>
    <row r="4913" spans="1:4" x14ac:dyDescent="0.25">
      <c r="A4913" s="88" t="str">
        <f t="shared" si="251"/>
        <v>6-2036</v>
      </c>
      <c r="B4913" s="86">
        <v>49839</v>
      </c>
      <c r="C4913" t="str">
        <f t="shared" si="252"/>
        <v>L-V</v>
      </c>
      <c r="D4913" t="str">
        <f t="shared" si="250"/>
        <v>Viernes</v>
      </c>
    </row>
    <row r="4914" spans="1:4" x14ac:dyDescent="0.25">
      <c r="A4914" s="88" t="str">
        <f t="shared" si="251"/>
        <v>6-2036</v>
      </c>
      <c r="B4914" s="86">
        <v>49840</v>
      </c>
      <c r="C4914" t="str">
        <f t="shared" si="252"/>
        <v>SAB</v>
      </c>
      <c r="D4914" t="str">
        <f t="shared" si="250"/>
        <v>Sábado</v>
      </c>
    </row>
    <row r="4915" spans="1:4" x14ac:dyDescent="0.25">
      <c r="A4915" s="88" t="str">
        <f t="shared" si="251"/>
        <v>6-2036</v>
      </c>
      <c r="B4915" s="86">
        <v>49841</v>
      </c>
      <c r="C4915" t="str">
        <f t="shared" si="252"/>
        <v>DOM</v>
      </c>
      <c r="D4915" t="str">
        <f t="shared" si="250"/>
        <v>Domingo</v>
      </c>
    </row>
    <row r="4916" spans="1:4" x14ac:dyDescent="0.25">
      <c r="A4916" s="88" t="str">
        <f t="shared" si="251"/>
        <v>6-2036</v>
      </c>
      <c r="B4916" s="86">
        <v>49842</v>
      </c>
      <c r="C4916" t="str">
        <f t="shared" si="252"/>
        <v>L-V</v>
      </c>
      <c r="D4916" t="str">
        <f t="shared" si="250"/>
        <v>Lunes</v>
      </c>
    </row>
    <row r="4917" spans="1:4" x14ac:dyDescent="0.25">
      <c r="A4917" s="88" t="str">
        <f t="shared" si="251"/>
        <v>6-2036</v>
      </c>
      <c r="B4917" s="86">
        <v>49843</v>
      </c>
      <c r="C4917" t="str">
        <f t="shared" si="252"/>
        <v>L-V</v>
      </c>
      <c r="D4917" t="str">
        <f t="shared" si="250"/>
        <v>Martes</v>
      </c>
    </row>
    <row r="4918" spans="1:4" x14ac:dyDescent="0.25">
      <c r="A4918" s="88" t="str">
        <f t="shared" si="251"/>
        <v>6-2036</v>
      </c>
      <c r="B4918" s="86">
        <v>49844</v>
      </c>
      <c r="C4918" t="str">
        <f t="shared" si="252"/>
        <v>L-V</v>
      </c>
      <c r="D4918" t="str">
        <f t="shared" si="250"/>
        <v>Miércoles</v>
      </c>
    </row>
    <row r="4919" spans="1:4" x14ac:dyDescent="0.25">
      <c r="A4919" s="88" t="str">
        <f t="shared" si="251"/>
        <v>6-2036</v>
      </c>
      <c r="B4919" s="86">
        <v>49845</v>
      </c>
      <c r="C4919" t="str">
        <f t="shared" si="252"/>
        <v>L-V</v>
      </c>
      <c r="D4919" t="str">
        <f t="shared" si="250"/>
        <v>Jueves</v>
      </c>
    </row>
    <row r="4920" spans="1:4" x14ac:dyDescent="0.25">
      <c r="A4920" s="88" t="str">
        <f t="shared" si="251"/>
        <v>6-2036</v>
      </c>
      <c r="B4920" s="86">
        <v>49846</v>
      </c>
      <c r="C4920" t="str">
        <f t="shared" si="252"/>
        <v>L-V</v>
      </c>
      <c r="D4920" t="str">
        <f t="shared" si="250"/>
        <v>Viernes</v>
      </c>
    </row>
    <row r="4921" spans="1:4" x14ac:dyDescent="0.25">
      <c r="A4921" s="88" t="str">
        <f t="shared" si="251"/>
        <v>6-2036</v>
      </c>
      <c r="B4921" s="86">
        <v>49847</v>
      </c>
      <c r="C4921" t="str">
        <f t="shared" si="252"/>
        <v>SAB</v>
      </c>
      <c r="D4921" t="str">
        <f t="shared" si="250"/>
        <v>Sábado</v>
      </c>
    </row>
    <row r="4922" spans="1:4" x14ac:dyDescent="0.25">
      <c r="A4922" s="88" t="str">
        <f t="shared" si="251"/>
        <v>6-2036</v>
      </c>
      <c r="B4922" s="86">
        <v>49848</v>
      </c>
      <c r="C4922" t="str">
        <f t="shared" si="252"/>
        <v>DOM</v>
      </c>
      <c r="D4922" t="str">
        <f t="shared" si="250"/>
        <v>Domingo</v>
      </c>
    </row>
    <row r="4923" spans="1:4" x14ac:dyDescent="0.25">
      <c r="A4923" s="88" t="str">
        <f t="shared" si="251"/>
        <v>6-2036</v>
      </c>
      <c r="B4923" s="86">
        <v>49849</v>
      </c>
      <c r="C4923" t="str">
        <f t="shared" si="252"/>
        <v>L-V</v>
      </c>
      <c r="D4923" t="str">
        <f t="shared" si="250"/>
        <v>Lunes</v>
      </c>
    </row>
    <row r="4924" spans="1:4" x14ac:dyDescent="0.25">
      <c r="A4924" s="88" t="str">
        <f t="shared" si="251"/>
        <v>6-2036</v>
      </c>
      <c r="B4924" s="86">
        <v>49850</v>
      </c>
      <c r="C4924" t="str">
        <f t="shared" si="252"/>
        <v>L-V</v>
      </c>
      <c r="D4924" t="str">
        <f t="shared" si="250"/>
        <v>Martes</v>
      </c>
    </row>
    <row r="4925" spans="1:4" x14ac:dyDescent="0.25">
      <c r="A4925" s="88" t="str">
        <f t="shared" si="251"/>
        <v>6-2036</v>
      </c>
      <c r="B4925" s="86">
        <v>49851</v>
      </c>
      <c r="C4925" t="str">
        <f t="shared" si="252"/>
        <v>L-V</v>
      </c>
      <c r="D4925" t="str">
        <f t="shared" si="250"/>
        <v>Miércoles</v>
      </c>
    </row>
    <row r="4926" spans="1:4" x14ac:dyDescent="0.25">
      <c r="A4926" s="88" t="str">
        <f t="shared" si="251"/>
        <v>6-2036</v>
      </c>
      <c r="B4926" s="86">
        <v>49852</v>
      </c>
      <c r="C4926" t="str">
        <f t="shared" si="252"/>
        <v>L-V</v>
      </c>
      <c r="D4926" t="str">
        <f t="shared" si="250"/>
        <v>Jueves</v>
      </c>
    </row>
    <row r="4927" spans="1:4" x14ac:dyDescent="0.25">
      <c r="A4927" s="88" t="str">
        <f t="shared" si="251"/>
        <v>6-2036</v>
      </c>
      <c r="B4927" s="86">
        <v>49853</v>
      </c>
      <c r="C4927" t="str">
        <f t="shared" si="252"/>
        <v>L-V</v>
      </c>
      <c r="D4927" t="str">
        <f t="shared" si="250"/>
        <v>Viernes</v>
      </c>
    </row>
    <row r="4928" spans="1:4" x14ac:dyDescent="0.25">
      <c r="A4928" s="88" t="str">
        <f t="shared" si="251"/>
        <v>6-2036</v>
      </c>
      <c r="B4928" s="86">
        <v>49854</v>
      </c>
      <c r="C4928" t="str">
        <f t="shared" si="252"/>
        <v>SAB</v>
      </c>
      <c r="D4928" t="str">
        <f t="shared" si="250"/>
        <v>Sábado</v>
      </c>
    </row>
    <row r="4929" spans="1:4" x14ac:dyDescent="0.25">
      <c r="A4929" s="88" t="str">
        <f t="shared" si="251"/>
        <v>6-2036</v>
      </c>
      <c r="B4929" s="86">
        <v>49855</v>
      </c>
      <c r="C4929" t="str">
        <f t="shared" si="252"/>
        <v>DOM</v>
      </c>
      <c r="D4929" t="str">
        <f t="shared" si="250"/>
        <v>Domingo</v>
      </c>
    </row>
    <row r="4930" spans="1:4" x14ac:dyDescent="0.25">
      <c r="A4930" s="88" t="str">
        <f t="shared" si="251"/>
        <v>6-2036</v>
      </c>
      <c r="B4930" s="86">
        <v>49856</v>
      </c>
      <c r="C4930" t="str">
        <f t="shared" si="252"/>
        <v>L-V</v>
      </c>
      <c r="D4930" t="str">
        <f t="shared" si="250"/>
        <v>Lunes</v>
      </c>
    </row>
    <row r="4931" spans="1:4" x14ac:dyDescent="0.25">
      <c r="A4931" s="88" t="str">
        <f t="shared" si="251"/>
        <v>7-2036</v>
      </c>
      <c r="B4931" s="86">
        <v>49857</v>
      </c>
      <c r="C4931" t="str">
        <f t="shared" si="252"/>
        <v>L-V</v>
      </c>
      <c r="D4931" t="str">
        <f t="shared" ref="D4931:D4994" si="253">VLOOKUP(WEEKDAY($B4931,2),$F$1:$H$7,3)</f>
        <v>Martes</v>
      </c>
    </row>
    <row r="4932" spans="1:4" x14ac:dyDescent="0.25">
      <c r="A4932" s="88" t="str">
        <f t="shared" si="251"/>
        <v>7-2036</v>
      </c>
      <c r="B4932" s="86">
        <v>49858</v>
      </c>
      <c r="C4932" t="str">
        <f t="shared" si="252"/>
        <v>L-V</v>
      </c>
      <c r="D4932" t="str">
        <f t="shared" si="253"/>
        <v>Miércoles</v>
      </c>
    </row>
    <row r="4933" spans="1:4" x14ac:dyDescent="0.25">
      <c r="A4933" s="88" t="str">
        <f t="shared" si="251"/>
        <v>7-2036</v>
      </c>
      <c r="B4933" s="86">
        <v>49859</v>
      </c>
      <c r="C4933" t="str">
        <f t="shared" si="252"/>
        <v>L-V</v>
      </c>
      <c r="D4933" t="str">
        <f t="shared" si="253"/>
        <v>Jueves</v>
      </c>
    </row>
    <row r="4934" spans="1:4" x14ac:dyDescent="0.25">
      <c r="A4934" s="88" t="str">
        <f t="shared" si="251"/>
        <v>7-2036</v>
      </c>
      <c r="B4934" s="86">
        <v>49860</v>
      </c>
      <c r="C4934" t="str">
        <f t="shared" si="252"/>
        <v>L-V</v>
      </c>
      <c r="D4934" t="str">
        <f t="shared" si="253"/>
        <v>Viernes</v>
      </c>
    </row>
    <row r="4935" spans="1:4" x14ac:dyDescent="0.25">
      <c r="A4935" s="88" t="str">
        <f t="shared" si="251"/>
        <v>7-2036</v>
      </c>
      <c r="B4935" s="86">
        <v>49861</v>
      </c>
      <c r="C4935" t="str">
        <f t="shared" si="252"/>
        <v>SAB</v>
      </c>
      <c r="D4935" t="str">
        <f t="shared" si="253"/>
        <v>Sábado</v>
      </c>
    </row>
    <row r="4936" spans="1:4" x14ac:dyDescent="0.25">
      <c r="A4936" s="88" t="str">
        <f t="shared" si="251"/>
        <v>7-2036</v>
      </c>
      <c r="B4936" s="86">
        <v>49862</v>
      </c>
      <c r="C4936" t="str">
        <f t="shared" si="252"/>
        <v>DOM</v>
      </c>
      <c r="D4936" t="str">
        <f t="shared" si="253"/>
        <v>Domingo</v>
      </c>
    </row>
    <row r="4937" spans="1:4" x14ac:dyDescent="0.25">
      <c r="A4937" s="88" t="str">
        <f t="shared" si="251"/>
        <v>7-2036</v>
      </c>
      <c r="B4937" s="86">
        <v>49863</v>
      </c>
      <c r="C4937" t="str">
        <f t="shared" si="252"/>
        <v>L-V</v>
      </c>
      <c r="D4937" t="str">
        <f t="shared" si="253"/>
        <v>Lunes</v>
      </c>
    </row>
    <row r="4938" spans="1:4" x14ac:dyDescent="0.25">
      <c r="A4938" s="88" t="str">
        <f t="shared" si="251"/>
        <v>7-2036</v>
      </c>
      <c r="B4938" s="86">
        <v>49864</v>
      </c>
      <c r="C4938" t="str">
        <f t="shared" si="252"/>
        <v>L-V</v>
      </c>
      <c r="D4938" t="str">
        <f t="shared" si="253"/>
        <v>Martes</v>
      </c>
    </row>
    <row r="4939" spans="1:4" x14ac:dyDescent="0.25">
      <c r="A4939" s="88" t="str">
        <f t="shared" si="251"/>
        <v>7-2036</v>
      </c>
      <c r="B4939" s="86">
        <v>49865</v>
      </c>
      <c r="C4939" t="str">
        <f t="shared" si="252"/>
        <v>L-V</v>
      </c>
      <c r="D4939" t="str">
        <f t="shared" si="253"/>
        <v>Miércoles</v>
      </c>
    </row>
    <row r="4940" spans="1:4" x14ac:dyDescent="0.25">
      <c r="A4940" s="88" t="str">
        <f t="shared" si="251"/>
        <v>7-2036</v>
      </c>
      <c r="B4940" s="86">
        <v>49866</v>
      </c>
      <c r="C4940" t="str">
        <f t="shared" si="252"/>
        <v>L-V</v>
      </c>
      <c r="D4940" t="str">
        <f t="shared" si="253"/>
        <v>Jueves</v>
      </c>
    </row>
    <row r="4941" spans="1:4" x14ac:dyDescent="0.25">
      <c r="A4941" s="88" t="str">
        <f t="shared" si="251"/>
        <v>7-2036</v>
      </c>
      <c r="B4941" s="86">
        <v>49867</v>
      </c>
      <c r="C4941" t="str">
        <f t="shared" si="252"/>
        <v>L-V</v>
      </c>
      <c r="D4941" t="str">
        <f t="shared" si="253"/>
        <v>Viernes</v>
      </c>
    </row>
    <row r="4942" spans="1:4" x14ac:dyDescent="0.25">
      <c r="A4942" s="88" t="str">
        <f t="shared" si="251"/>
        <v>7-2036</v>
      </c>
      <c r="B4942" s="86">
        <v>49868</v>
      </c>
      <c r="C4942" t="str">
        <f t="shared" si="252"/>
        <v>SAB</v>
      </c>
      <c r="D4942" t="str">
        <f t="shared" si="253"/>
        <v>Sábado</v>
      </c>
    </row>
    <row r="4943" spans="1:4" x14ac:dyDescent="0.25">
      <c r="A4943" s="88" t="str">
        <f t="shared" si="251"/>
        <v>7-2036</v>
      </c>
      <c r="B4943" s="86">
        <v>49869</v>
      </c>
      <c r="C4943" t="str">
        <f t="shared" si="252"/>
        <v>DOM</v>
      </c>
      <c r="D4943" t="str">
        <f t="shared" si="253"/>
        <v>Domingo</v>
      </c>
    </row>
    <row r="4944" spans="1:4" x14ac:dyDescent="0.25">
      <c r="A4944" s="88" t="str">
        <f t="shared" si="251"/>
        <v>7-2036</v>
      </c>
      <c r="B4944" s="86">
        <v>49870</v>
      </c>
      <c r="C4944" t="str">
        <f t="shared" si="252"/>
        <v>L-V</v>
      </c>
      <c r="D4944" t="str">
        <f t="shared" si="253"/>
        <v>Lunes</v>
      </c>
    </row>
    <row r="4945" spans="1:4" x14ac:dyDescent="0.25">
      <c r="A4945" s="88" t="str">
        <f t="shared" si="251"/>
        <v>7-2036</v>
      </c>
      <c r="B4945" s="86">
        <v>49871</v>
      </c>
      <c r="C4945" t="str">
        <f t="shared" si="252"/>
        <v>L-V</v>
      </c>
      <c r="D4945" t="str">
        <f t="shared" si="253"/>
        <v>Martes</v>
      </c>
    </row>
    <row r="4946" spans="1:4" x14ac:dyDescent="0.25">
      <c r="A4946" s="88" t="str">
        <f t="shared" si="251"/>
        <v>7-2036</v>
      </c>
      <c r="B4946" s="86">
        <v>49872</v>
      </c>
      <c r="C4946" t="str">
        <f t="shared" si="252"/>
        <v>L-V</v>
      </c>
      <c r="D4946" t="str">
        <f t="shared" si="253"/>
        <v>Miércoles</v>
      </c>
    </row>
    <row r="4947" spans="1:4" x14ac:dyDescent="0.25">
      <c r="A4947" s="88" t="str">
        <f t="shared" si="251"/>
        <v>7-2036</v>
      </c>
      <c r="B4947" s="86">
        <v>49873</v>
      </c>
      <c r="C4947" t="str">
        <f t="shared" si="252"/>
        <v>L-V</v>
      </c>
      <c r="D4947" t="str">
        <f t="shared" si="253"/>
        <v>Jueves</v>
      </c>
    </row>
    <row r="4948" spans="1:4" x14ac:dyDescent="0.25">
      <c r="A4948" s="88" t="str">
        <f t="shared" si="251"/>
        <v>7-2036</v>
      </c>
      <c r="B4948" s="86">
        <v>49874</v>
      </c>
      <c r="C4948" t="str">
        <f t="shared" si="252"/>
        <v>L-V</v>
      </c>
      <c r="D4948" t="str">
        <f t="shared" si="253"/>
        <v>Viernes</v>
      </c>
    </row>
    <row r="4949" spans="1:4" x14ac:dyDescent="0.25">
      <c r="A4949" s="88" t="str">
        <f t="shared" si="251"/>
        <v>7-2036</v>
      </c>
      <c r="B4949" s="86">
        <v>49875</v>
      </c>
      <c r="C4949" t="str">
        <f t="shared" si="252"/>
        <v>SAB</v>
      </c>
      <c r="D4949" t="str">
        <f t="shared" si="253"/>
        <v>Sábado</v>
      </c>
    </row>
    <row r="4950" spans="1:4" x14ac:dyDescent="0.25">
      <c r="A4950" s="88" t="str">
        <f t="shared" si="251"/>
        <v>7-2036</v>
      </c>
      <c r="B4950" s="86">
        <v>49876</v>
      </c>
      <c r="C4950" t="str">
        <f t="shared" si="252"/>
        <v>DOM</v>
      </c>
      <c r="D4950" t="str">
        <f t="shared" si="253"/>
        <v>Domingo</v>
      </c>
    </row>
    <row r="4951" spans="1:4" x14ac:dyDescent="0.25">
      <c r="A4951" s="88" t="str">
        <f t="shared" si="251"/>
        <v>7-2036</v>
      </c>
      <c r="B4951" s="86">
        <v>49877</v>
      </c>
      <c r="C4951" t="str">
        <f t="shared" si="252"/>
        <v>L-V</v>
      </c>
      <c r="D4951" t="str">
        <f t="shared" si="253"/>
        <v>Lunes</v>
      </c>
    </row>
    <row r="4952" spans="1:4" x14ac:dyDescent="0.25">
      <c r="A4952" s="88" t="str">
        <f t="shared" si="251"/>
        <v>7-2036</v>
      </c>
      <c r="B4952" s="86">
        <v>49878</v>
      </c>
      <c r="C4952" t="str">
        <f t="shared" si="252"/>
        <v>L-V</v>
      </c>
      <c r="D4952" t="str">
        <f t="shared" si="253"/>
        <v>Martes</v>
      </c>
    </row>
    <row r="4953" spans="1:4" x14ac:dyDescent="0.25">
      <c r="A4953" s="88" t="str">
        <f t="shared" si="251"/>
        <v>7-2036</v>
      </c>
      <c r="B4953" s="86">
        <v>49879</v>
      </c>
      <c r="C4953" t="str">
        <f t="shared" si="252"/>
        <v>L-V</v>
      </c>
      <c r="D4953" t="str">
        <f t="shared" si="253"/>
        <v>Miércoles</v>
      </c>
    </row>
    <row r="4954" spans="1:4" x14ac:dyDescent="0.25">
      <c r="A4954" s="88" t="str">
        <f t="shared" si="251"/>
        <v>7-2036</v>
      </c>
      <c r="B4954" s="86">
        <v>49880</v>
      </c>
      <c r="C4954" t="str">
        <f t="shared" si="252"/>
        <v>L-V</v>
      </c>
      <c r="D4954" t="str">
        <f t="shared" si="253"/>
        <v>Jueves</v>
      </c>
    </row>
    <row r="4955" spans="1:4" x14ac:dyDescent="0.25">
      <c r="A4955" s="88" t="str">
        <f t="shared" si="251"/>
        <v>7-2036</v>
      </c>
      <c r="B4955" s="86">
        <v>49881</v>
      </c>
      <c r="C4955" t="str">
        <f t="shared" si="252"/>
        <v>L-V</v>
      </c>
      <c r="D4955" t="str">
        <f t="shared" si="253"/>
        <v>Viernes</v>
      </c>
    </row>
    <row r="4956" spans="1:4" x14ac:dyDescent="0.25">
      <c r="A4956" s="88" t="str">
        <f t="shared" si="251"/>
        <v>7-2036</v>
      </c>
      <c r="B4956" s="86">
        <v>49882</v>
      </c>
      <c r="C4956" t="str">
        <f t="shared" si="252"/>
        <v>SAB</v>
      </c>
      <c r="D4956" t="str">
        <f t="shared" si="253"/>
        <v>Sábado</v>
      </c>
    </row>
    <row r="4957" spans="1:4" x14ac:dyDescent="0.25">
      <c r="A4957" s="88" t="str">
        <f t="shared" ref="A4957:A5020" si="254">MONTH(B4957)&amp;"-"&amp;YEAR(B4957)</f>
        <v>7-2036</v>
      </c>
      <c r="B4957" s="86">
        <v>49883</v>
      </c>
      <c r="C4957" t="str">
        <f t="shared" ref="C4957:C5020" si="255">VLOOKUP(WEEKDAY(B4957,2),$F$1:$H$7,2)</f>
        <v>DOM</v>
      </c>
      <c r="D4957" t="str">
        <f t="shared" si="253"/>
        <v>Domingo</v>
      </c>
    </row>
    <row r="4958" spans="1:4" x14ac:dyDescent="0.25">
      <c r="A4958" s="88" t="str">
        <f t="shared" si="254"/>
        <v>7-2036</v>
      </c>
      <c r="B4958" s="86">
        <v>49884</v>
      </c>
      <c r="C4958" t="str">
        <f t="shared" si="255"/>
        <v>L-V</v>
      </c>
      <c r="D4958" t="str">
        <f t="shared" si="253"/>
        <v>Lunes</v>
      </c>
    </row>
    <row r="4959" spans="1:4" x14ac:dyDescent="0.25">
      <c r="A4959" s="88" t="str">
        <f t="shared" si="254"/>
        <v>7-2036</v>
      </c>
      <c r="B4959" s="86">
        <v>49885</v>
      </c>
      <c r="C4959" t="str">
        <f t="shared" si="255"/>
        <v>L-V</v>
      </c>
      <c r="D4959" t="str">
        <f t="shared" si="253"/>
        <v>Martes</v>
      </c>
    </row>
    <row r="4960" spans="1:4" x14ac:dyDescent="0.25">
      <c r="A4960" s="88" t="str">
        <f t="shared" si="254"/>
        <v>7-2036</v>
      </c>
      <c r="B4960" s="86">
        <v>49886</v>
      </c>
      <c r="C4960" t="str">
        <f t="shared" si="255"/>
        <v>L-V</v>
      </c>
      <c r="D4960" t="str">
        <f t="shared" si="253"/>
        <v>Miércoles</v>
      </c>
    </row>
    <row r="4961" spans="1:4" x14ac:dyDescent="0.25">
      <c r="A4961" s="88" t="str">
        <f t="shared" si="254"/>
        <v>7-2036</v>
      </c>
      <c r="B4961" s="86">
        <v>49887</v>
      </c>
      <c r="C4961" t="str">
        <f t="shared" si="255"/>
        <v>L-V</v>
      </c>
      <c r="D4961" t="str">
        <f t="shared" si="253"/>
        <v>Jueves</v>
      </c>
    </row>
    <row r="4962" spans="1:4" x14ac:dyDescent="0.25">
      <c r="A4962" s="88" t="str">
        <f t="shared" si="254"/>
        <v>8-2036</v>
      </c>
      <c r="B4962" s="86">
        <v>49888</v>
      </c>
      <c r="C4962" t="str">
        <f t="shared" si="255"/>
        <v>L-V</v>
      </c>
      <c r="D4962" t="str">
        <f t="shared" si="253"/>
        <v>Viernes</v>
      </c>
    </row>
    <row r="4963" spans="1:4" x14ac:dyDescent="0.25">
      <c r="A4963" s="88" t="str">
        <f t="shared" si="254"/>
        <v>8-2036</v>
      </c>
      <c r="B4963" s="86">
        <v>49889</v>
      </c>
      <c r="C4963" t="str">
        <f t="shared" si="255"/>
        <v>SAB</v>
      </c>
      <c r="D4963" t="str">
        <f t="shared" si="253"/>
        <v>Sábado</v>
      </c>
    </row>
    <row r="4964" spans="1:4" x14ac:dyDescent="0.25">
      <c r="A4964" s="88" t="str">
        <f t="shared" si="254"/>
        <v>8-2036</v>
      </c>
      <c r="B4964" s="86">
        <v>49890</v>
      </c>
      <c r="C4964" t="str">
        <f t="shared" si="255"/>
        <v>DOM</v>
      </c>
      <c r="D4964" t="str">
        <f t="shared" si="253"/>
        <v>Domingo</v>
      </c>
    </row>
    <row r="4965" spans="1:4" x14ac:dyDescent="0.25">
      <c r="A4965" s="88" t="str">
        <f t="shared" si="254"/>
        <v>8-2036</v>
      </c>
      <c r="B4965" s="86">
        <v>49891</v>
      </c>
      <c r="C4965" t="str">
        <f t="shared" si="255"/>
        <v>L-V</v>
      </c>
      <c r="D4965" t="str">
        <f t="shared" si="253"/>
        <v>Lunes</v>
      </c>
    </row>
    <row r="4966" spans="1:4" x14ac:dyDescent="0.25">
      <c r="A4966" s="88" t="str">
        <f t="shared" si="254"/>
        <v>8-2036</v>
      </c>
      <c r="B4966" s="86">
        <v>49892</v>
      </c>
      <c r="C4966" t="str">
        <f t="shared" si="255"/>
        <v>L-V</v>
      </c>
      <c r="D4966" t="str">
        <f t="shared" si="253"/>
        <v>Martes</v>
      </c>
    </row>
    <row r="4967" spans="1:4" x14ac:dyDescent="0.25">
      <c r="A4967" s="88" t="str">
        <f t="shared" si="254"/>
        <v>8-2036</v>
      </c>
      <c r="B4967" s="86">
        <v>49893</v>
      </c>
      <c r="C4967" t="str">
        <f t="shared" si="255"/>
        <v>L-V</v>
      </c>
      <c r="D4967" t="str">
        <f t="shared" si="253"/>
        <v>Miércoles</v>
      </c>
    </row>
    <row r="4968" spans="1:4" x14ac:dyDescent="0.25">
      <c r="A4968" s="88" t="str">
        <f t="shared" si="254"/>
        <v>8-2036</v>
      </c>
      <c r="B4968" s="86">
        <v>49894</v>
      </c>
      <c r="C4968" t="str">
        <f t="shared" si="255"/>
        <v>L-V</v>
      </c>
      <c r="D4968" t="str">
        <f t="shared" si="253"/>
        <v>Jueves</v>
      </c>
    </row>
    <row r="4969" spans="1:4" x14ac:dyDescent="0.25">
      <c r="A4969" s="88" t="str">
        <f t="shared" si="254"/>
        <v>8-2036</v>
      </c>
      <c r="B4969" s="86">
        <v>49895</v>
      </c>
      <c r="C4969" t="str">
        <f t="shared" si="255"/>
        <v>L-V</v>
      </c>
      <c r="D4969" t="str">
        <f t="shared" si="253"/>
        <v>Viernes</v>
      </c>
    </row>
    <row r="4970" spans="1:4" x14ac:dyDescent="0.25">
      <c r="A4970" s="88" t="str">
        <f t="shared" si="254"/>
        <v>8-2036</v>
      </c>
      <c r="B4970" s="86">
        <v>49896</v>
      </c>
      <c r="C4970" t="str">
        <f t="shared" si="255"/>
        <v>SAB</v>
      </c>
      <c r="D4970" t="str">
        <f t="shared" si="253"/>
        <v>Sábado</v>
      </c>
    </row>
    <row r="4971" spans="1:4" x14ac:dyDescent="0.25">
      <c r="A4971" s="88" t="str">
        <f t="shared" si="254"/>
        <v>8-2036</v>
      </c>
      <c r="B4971" s="86">
        <v>49897</v>
      </c>
      <c r="C4971" t="str">
        <f t="shared" si="255"/>
        <v>DOM</v>
      </c>
      <c r="D4971" t="str">
        <f t="shared" si="253"/>
        <v>Domingo</v>
      </c>
    </row>
    <row r="4972" spans="1:4" x14ac:dyDescent="0.25">
      <c r="A4972" s="88" t="str">
        <f t="shared" si="254"/>
        <v>8-2036</v>
      </c>
      <c r="B4972" s="86">
        <v>49898</v>
      </c>
      <c r="C4972" t="str">
        <f t="shared" si="255"/>
        <v>L-V</v>
      </c>
      <c r="D4972" t="str">
        <f t="shared" si="253"/>
        <v>Lunes</v>
      </c>
    </row>
    <row r="4973" spans="1:4" x14ac:dyDescent="0.25">
      <c r="A4973" s="88" t="str">
        <f t="shared" si="254"/>
        <v>8-2036</v>
      </c>
      <c r="B4973" s="86">
        <v>49899</v>
      </c>
      <c r="C4973" t="str">
        <f t="shared" si="255"/>
        <v>L-V</v>
      </c>
      <c r="D4973" t="str">
        <f t="shared" si="253"/>
        <v>Martes</v>
      </c>
    </row>
    <row r="4974" spans="1:4" x14ac:dyDescent="0.25">
      <c r="A4974" s="88" t="str">
        <f t="shared" si="254"/>
        <v>8-2036</v>
      </c>
      <c r="B4974" s="86">
        <v>49900</v>
      </c>
      <c r="C4974" t="str">
        <f t="shared" si="255"/>
        <v>L-V</v>
      </c>
      <c r="D4974" t="str">
        <f t="shared" si="253"/>
        <v>Miércoles</v>
      </c>
    </row>
    <row r="4975" spans="1:4" x14ac:dyDescent="0.25">
      <c r="A4975" s="88" t="str">
        <f t="shared" si="254"/>
        <v>8-2036</v>
      </c>
      <c r="B4975" s="86">
        <v>49901</v>
      </c>
      <c r="C4975" t="str">
        <f t="shared" si="255"/>
        <v>L-V</v>
      </c>
      <c r="D4975" t="str">
        <f t="shared" si="253"/>
        <v>Jueves</v>
      </c>
    </row>
    <row r="4976" spans="1:4" x14ac:dyDescent="0.25">
      <c r="A4976" s="88" t="str">
        <f t="shared" si="254"/>
        <v>8-2036</v>
      </c>
      <c r="B4976" s="86">
        <v>49902</v>
      </c>
      <c r="C4976" t="str">
        <f t="shared" si="255"/>
        <v>L-V</v>
      </c>
      <c r="D4976" t="str">
        <f t="shared" si="253"/>
        <v>Viernes</v>
      </c>
    </row>
    <row r="4977" spans="1:4" x14ac:dyDescent="0.25">
      <c r="A4977" s="88" t="str">
        <f t="shared" si="254"/>
        <v>8-2036</v>
      </c>
      <c r="B4977" s="86">
        <v>49903</v>
      </c>
      <c r="C4977" t="str">
        <f t="shared" si="255"/>
        <v>SAB</v>
      </c>
      <c r="D4977" t="str">
        <f t="shared" si="253"/>
        <v>Sábado</v>
      </c>
    </row>
    <row r="4978" spans="1:4" x14ac:dyDescent="0.25">
      <c r="A4978" s="88" t="str">
        <f t="shared" si="254"/>
        <v>8-2036</v>
      </c>
      <c r="B4978" s="86">
        <v>49904</v>
      </c>
      <c r="C4978" t="str">
        <f t="shared" si="255"/>
        <v>DOM</v>
      </c>
      <c r="D4978" t="str">
        <f t="shared" si="253"/>
        <v>Domingo</v>
      </c>
    </row>
    <row r="4979" spans="1:4" x14ac:dyDescent="0.25">
      <c r="A4979" s="88" t="str">
        <f t="shared" si="254"/>
        <v>8-2036</v>
      </c>
      <c r="B4979" s="86">
        <v>49905</v>
      </c>
      <c r="C4979" t="str">
        <f t="shared" si="255"/>
        <v>L-V</v>
      </c>
      <c r="D4979" t="str">
        <f t="shared" si="253"/>
        <v>Lunes</v>
      </c>
    </row>
    <row r="4980" spans="1:4" x14ac:dyDescent="0.25">
      <c r="A4980" s="88" t="str">
        <f t="shared" si="254"/>
        <v>8-2036</v>
      </c>
      <c r="B4980" s="86">
        <v>49906</v>
      </c>
      <c r="C4980" t="str">
        <f t="shared" si="255"/>
        <v>L-V</v>
      </c>
      <c r="D4980" t="str">
        <f t="shared" si="253"/>
        <v>Martes</v>
      </c>
    </row>
    <row r="4981" spans="1:4" x14ac:dyDescent="0.25">
      <c r="A4981" s="88" t="str">
        <f t="shared" si="254"/>
        <v>8-2036</v>
      </c>
      <c r="B4981" s="86">
        <v>49907</v>
      </c>
      <c r="C4981" t="str">
        <f t="shared" si="255"/>
        <v>L-V</v>
      </c>
      <c r="D4981" t="str">
        <f t="shared" si="253"/>
        <v>Miércoles</v>
      </c>
    </row>
    <row r="4982" spans="1:4" x14ac:dyDescent="0.25">
      <c r="A4982" s="88" t="str">
        <f t="shared" si="254"/>
        <v>8-2036</v>
      </c>
      <c r="B4982" s="86">
        <v>49908</v>
      </c>
      <c r="C4982" t="str">
        <f t="shared" si="255"/>
        <v>L-V</v>
      </c>
      <c r="D4982" t="str">
        <f t="shared" si="253"/>
        <v>Jueves</v>
      </c>
    </row>
    <row r="4983" spans="1:4" x14ac:dyDescent="0.25">
      <c r="A4983" s="88" t="str">
        <f t="shared" si="254"/>
        <v>8-2036</v>
      </c>
      <c r="B4983" s="86">
        <v>49909</v>
      </c>
      <c r="C4983" t="str">
        <f t="shared" si="255"/>
        <v>L-V</v>
      </c>
      <c r="D4983" t="str">
        <f t="shared" si="253"/>
        <v>Viernes</v>
      </c>
    </row>
    <row r="4984" spans="1:4" x14ac:dyDescent="0.25">
      <c r="A4984" s="88" t="str">
        <f t="shared" si="254"/>
        <v>8-2036</v>
      </c>
      <c r="B4984" s="86">
        <v>49910</v>
      </c>
      <c r="C4984" t="str">
        <f t="shared" si="255"/>
        <v>SAB</v>
      </c>
      <c r="D4984" t="str">
        <f t="shared" si="253"/>
        <v>Sábado</v>
      </c>
    </row>
    <row r="4985" spans="1:4" x14ac:dyDescent="0.25">
      <c r="A4985" s="88" t="str">
        <f t="shared" si="254"/>
        <v>8-2036</v>
      </c>
      <c r="B4985" s="86">
        <v>49911</v>
      </c>
      <c r="C4985" t="str">
        <f t="shared" si="255"/>
        <v>DOM</v>
      </c>
      <c r="D4985" t="str">
        <f t="shared" si="253"/>
        <v>Domingo</v>
      </c>
    </row>
    <row r="4986" spans="1:4" x14ac:dyDescent="0.25">
      <c r="A4986" s="88" t="str">
        <f t="shared" si="254"/>
        <v>8-2036</v>
      </c>
      <c r="B4986" s="86">
        <v>49912</v>
      </c>
      <c r="C4986" t="str">
        <f t="shared" si="255"/>
        <v>L-V</v>
      </c>
      <c r="D4986" t="str">
        <f t="shared" si="253"/>
        <v>Lunes</v>
      </c>
    </row>
    <row r="4987" spans="1:4" x14ac:dyDescent="0.25">
      <c r="A4987" s="88" t="str">
        <f t="shared" si="254"/>
        <v>8-2036</v>
      </c>
      <c r="B4987" s="86">
        <v>49913</v>
      </c>
      <c r="C4987" t="str">
        <f t="shared" si="255"/>
        <v>L-V</v>
      </c>
      <c r="D4987" t="str">
        <f t="shared" si="253"/>
        <v>Martes</v>
      </c>
    </row>
    <row r="4988" spans="1:4" x14ac:dyDescent="0.25">
      <c r="A4988" s="88" t="str">
        <f t="shared" si="254"/>
        <v>8-2036</v>
      </c>
      <c r="B4988" s="86">
        <v>49914</v>
      </c>
      <c r="C4988" t="str">
        <f t="shared" si="255"/>
        <v>L-V</v>
      </c>
      <c r="D4988" t="str">
        <f t="shared" si="253"/>
        <v>Miércoles</v>
      </c>
    </row>
    <row r="4989" spans="1:4" x14ac:dyDescent="0.25">
      <c r="A4989" s="88" t="str">
        <f t="shared" si="254"/>
        <v>8-2036</v>
      </c>
      <c r="B4989" s="86">
        <v>49915</v>
      </c>
      <c r="C4989" t="str">
        <f t="shared" si="255"/>
        <v>L-V</v>
      </c>
      <c r="D4989" t="str">
        <f t="shared" si="253"/>
        <v>Jueves</v>
      </c>
    </row>
    <row r="4990" spans="1:4" x14ac:dyDescent="0.25">
      <c r="A4990" s="88" t="str">
        <f t="shared" si="254"/>
        <v>8-2036</v>
      </c>
      <c r="B4990" s="86">
        <v>49916</v>
      </c>
      <c r="C4990" t="str">
        <f t="shared" si="255"/>
        <v>L-V</v>
      </c>
      <c r="D4990" t="str">
        <f t="shared" si="253"/>
        <v>Viernes</v>
      </c>
    </row>
    <row r="4991" spans="1:4" x14ac:dyDescent="0.25">
      <c r="A4991" s="88" t="str">
        <f t="shared" si="254"/>
        <v>8-2036</v>
      </c>
      <c r="B4991" s="86">
        <v>49917</v>
      </c>
      <c r="C4991" t="str">
        <f t="shared" si="255"/>
        <v>SAB</v>
      </c>
      <c r="D4991" t="str">
        <f t="shared" si="253"/>
        <v>Sábado</v>
      </c>
    </row>
    <row r="4992" spans="1:4" x14ac:dyDescent="0.25">
      <c r="A4992" s="88" t="str">
        <f t="shared" si="254"/>
        <v>8-2036</v>
      </c>
      <c r="B4992" s="86">
        <v>49918</v>
      </c>
      <c r="C4992" t="str">
        <f t="shared" si="255"/>
        <v>DOM</v>
      </c>
      <c r="D4992" t="str">
        <f t="shared" si="253"/>
        <v>Domingo</v>
      </c>
    </row>
    <row r="4993" spans="1:4" x14ac:dyDescent="0.25">
      <c r="A4993" s="88" t="str">
        <f t="shared" si="254"/>
        <v>9-2036</v>
      </c>
      <c r="B4993" s="86">
        <v>49919</v>
      </c>
      <c r="C4993" t="str">
        <f t="shared" si="255"/>
        <v>L-V</v>
      </c>
      <c r="D4993" t="str">
        <f t="shared" si="253"/>
        <v>Lunes</v>
      </c>
    </row>
    <row r="4994" spans="1:4" x14ac:dyDescent="0.25">
      <c r="A4994" s="88" t="str">
        <f t="shared" si="254"/>
        <v>9-2036</v>
      </c>
      <c r="B4994" s="86">
        <v>49920</v>
      </c>
      <c r="C4994" t="str">
        <f t="shared" si="255"/>
        <v>L-V</v>
      </c>
      <c r="D4994" t="str">
        <f t="shared" si="253"/>
        <v>Martes</v>
      </c>
    </row>
    <row r="4995" spans="1:4" x14ac:dyDescent="0.25">
      <c r="A4995" s="88" t="str">
        <f t="shared" si="254"/>
        <v>9-2036</v>
      </c>
      <c r="B4995" s="86">
        <v>49921</v>
      </c>
      <c r="C4995" t="str">
        <f t="shared" si="255"/>
        <v>L-V</v>
      </c>
      <c r="D4995" t="str">
        <f t="shared" ref="D4995:D5058" si="256">VLOOKUP(WEEKDAY($B4995,2),$F$1:$H$7,3)</f>
        <v>Miércoles</v>
      </c>
    </row>
    <row r="4996" spans="1:4" x14ac:dyDescent="0.25">
      <c r="A4996" s="88" t="str">
        <f t="shared" si="254"/>
        <v>9-2036</v>
      </c>
      <c r="B4996" s="86">
        <v>49922</v>
      </c>
      <c r="C4996" t="str">
        <f t="shared" si="255"/>
        <v>L-V</v>
      </c>
      <c r="D4996" t="str">
        <f t="shared" si="256"/>
        <v>Jueves</v>
      </c>
    </row>
    <row r="4997" spans="1:4" x14ac:dyDescent="0.25">
      <c r="A4997" s="88" t="str">
        <f t="shared" si="254"/>
        <v>9-2036</v>
      </c>
      <c r="B4997" s="86">
        <v>49923</v>
      </c>
      <c r="C4997" t="str">
        <f t="shared" si="255"/>
        <v>L-V</v>
      </c>
      <c r="D4997" t="str">
        <f t="shared" si="256"/>
        <v>Viernes</v>
      </c>
    </row>
    <row r="4998" spans="1:4" x14ac:dyDescent="0.25">
      <c r="A4998" s="88" t="str">
        <f t="shared" si="254"/>
        <v>9-2036</v>
      </c>
      <c r="B4998" s="86">
        <v>49924</v>
      </c>
      <c r="C4998" t="str">
        <f t="shared" si="255"/>
        <v>SAB</v>
      </c>
      <c r="D4998" t="str">
        <f t="shared" si="256"/>
        <v>Sábado</v>
      </c>
    </row>
    <row r="4999" spans="1:4" x14ac:dyDescent="0.25">
      <c r="A4999" s="88" t="str">
        <f t="shared" si="254"/>
        <v>9-2036</v>
      </c>
      <c r="B4999" s="86">
        <v>49925</v>
      </c>
      <c r="C4999" t="str">
        <f t="shared" si="255"/>
        <v>DOM</v>
      </c>
      <c r="D4999" t="str">
        <f t="shared" si="256"/>
        <v>Domingo</v>
      </c>
    </row>
    <row r="5000" spans="1:4" x14ac:dyDescent="0.25">
      <c r="A5000" s="88" t="str">
        <f t="shared" si="254"/>
        <v>9-2036</v>
      </c>
      <c r="B5000" s="86">
        <v>49926</v>
      </c>
      <c r="C5000" t="str">
        <f t="shared" si="255"/>
        <v>L-V</v>
      </c>
      <c r="D5000" t="str">
        <f t="shared" si="256"/>
        <v>Lunes</v>
      </c>
    </row>
    <row r="5001" spans="1:4" x14ac:dyDescent="0.25">
      <c r="A5001" s="88" t="str">
        <f t="shared" si="254"/>
        <v>9-2036</v>
      </c>
      <c r="B5001" s="86">
        <v>49927</v>
      </c>
      <c r="C5001" t="str">
        <f t="shared" si="255"/>
        <v>L-V</v>
      </c>
      <c r="D5001" t="str">
        <f t="shared" si="256"/>
        <v>Martes</v>
      </c>
    </row>
    <row r="5002" spans="1:4" x14ac:dyDescent="0.25">
      <c r="A5002" s="88" t="str">
        <f t="shared" si="254"/>
        <v>9-2036</v>
      </c>
      <c r="B5002" s="86">
        <v>49928</v>
      </c>
      <c r="C5002" t="str">
        <f t="shared" si="255"/>
        <v>L-V</v>
      </c>
      <c r="D5002" t="str">
        <f t="shared" si="256"/>
        <v>Miércoles</v>
      </c>
    </row>
    <row r="5003" spans="1:4" x14ac:dyDescent="0.25">
      <c r="A5003" s="88" t="str">
        <f t="shared" si="254"/>
        <v>9-2036</v>
      </c>
      <c r="B5003" s="86">
        <v>49929</v>
      </c>
      <c r="C5003" t="str">
        <f t="shared" si="255"/>
        <v>L-V</v>
      </c>
      <c r="D5003" t="str">
        <f t="shared" si="256"/>
        <v>Jueves</v>
      </c>
    </row>
    <row r="5004" spans="1:4" x14ac:dyDescent="0.25">
      <c r="A5004" s="88" t="str">
        <f t="shared" si="254"/>
        <v>9-2036</v>
      </c>
      <c r="B5004" s="86">
        <v>49930</v>
      </c>
      <c r="C5004" t="str">
        <f t="shared" si="255"/>
        <v>L-V</v>
      </c>
      <c r="D5004" t="str">
        <f t="shared" si="256"/>
        <v>Viernes</v>
      </c>
    </row>
    <row r="5005" spans="1:4" x14ac:dyDescent="0.25">
      <c r="A5005" s="88" t="str">
        <f t="shared" si="254"/>
        <v>9-2036</v>
      </c>
      <c r="B5005" s="86">
        <v>49931</v>
      </c>
      <c r="C5005" t="str">
        <f t="shared" si="255"/>
        <v>SAB</v>
      </c>
      <c r="D5005" t="str">
        <f t="shared" si="256"/>
        <v>Sábado</v>
      </c>
    </row>
    <row r="5006" spans="1:4" x14ac:dyDescent="0.25">
      <c r="A5006" s="88" t="str">
        <f t="shared" si="254"/>
        <v>9-2036</v>
      </c>
      <c r="B5006" s="86">
        <v>49932</v>
      </c>
      <c r="C5006" t="str">
        <f t="shared" si="255"/>
        <v>DOM</v>
      </c>
      <c r="D5006" t="str">
        <f t="shared" si="256"/>
        <v>Domingo</v>
      </c>
    </row>
    <row r="5007" spans="1:4" x14ac:dyDescent="0.25">
      <c r="A5007" s="88" t="str">
        <f t="shared" si="254"/>
        <v>9-2036</v>
      </c>
      <c r="B5007" s="86">
        <v>49933</v>
      </c>
      <c r="C5007" t="str">
        <f t="shared" si="255"/>
        <v>L-V</v>
      </c>
      <c r="D5007" t="str">
        <f t="shared" si="256"/>
        <v>Lunes</v>
      </c>
    </row>
    <row r="5008" spans="1:4" x14ac:dyDescent="0.25">
      <c r="A5008" s="88" t="str">
        <f t="shared" si="254"/>
        <v>9-2036</v>
      </c>
      <c r="B5008" s="86">
        <v>49934</v>
      </c>
      <c r="C5008" t="str">
        <f t="shared" si="255"/>
        <v>L-V</v>
      </c>
      <c r="D5008" t="str">
        <f t="shared" si="256"/>
        <v>Martes</v>
      </c>
    </row>
    <row r="5009" spans="1:4" x14ac:dyDescent="0.25">
      <c r="A5009" s="88" t="str">
        <f t="shared" si="254"/>
        <v>9-2036</v>
      </c>
      <c r="B5009" s="86">
        <v>49935</v>
      </c>
      <c r="C5009" t="str">
        <f t="shared" si="255"/>
        <v>L-V</v>
      </c>
      <c r="D5009" t="str">
        <f t="shared" si="256"/>
        <v>Miércoles</v>
      </c>
    </row>
    <row r="5010" spans="1:4" x14ac:dyDescent="0.25">
      <c r="A5010" s="88" t="str">
        <f t="shared" si="254"/>
        <v>9-2036</v>
      </c>
      <c r="B5010" s="86">
        <v>49936</v>
      </c>
      <c r="C5010" t="str">
        <f t="shared" si="255"/>
        <v>L-V</v>
      </c>
      <c r="D5010" t="str">
        <f t="shared" si="256"/>
        <v>Jueves</v>
      </c>
    </row>
    <row r="5011" spans="1:4" x14ac:dyDescent="0.25">
      <c r="A5011" s="88" t="str">
        <f t="shared" si="254"/>
        <v>9-2036</v>
      </c>
      <c r="B5011" s="86">
        <v>49937</v>
      </c>
      <c r="C5011" t="str">
        <f t="shared" si="255"/>
        <v>L-V</v>
      </c>
      <c r="D5011" t="str">
        <f t="shared" si="256"/>
        <v>Viernes</v>
      </c>
    </row>
    <row r="5012" spans="1:4" x14ac:dyDescent="0.25">
      <c r="A5012" s="88" t="str">
        <f t="shared" si="254"/>
        <v>9-2036</v>
      </c>
      <c r="B5012" s="86">
        <v>49938</v>
      </c>
      <c r="C5012" t="str">
        <f t="shared" si="255"/>
        <v>SAB</v>
      </c>
      <c r="D5012" t="str">
        <f t="shared" si="256"/>
        <v>Sábado</v>
      </c>
    </row>
    <row r="5013" spans="1:4" x14ac:dyDescent="0.25">
      <c r="A5013" s="88" t="str">
        <f t="shared" si="254"/>
        <v>9-2036</v>
      </c>
      <c r="B5013" s="86">
        <v>49939</v>
      </c>
      <c r="C5013" t="str">
        <f t="shared" si="255"/>
        <v>DOM</v>
      </c>
      <c r="D5013" t="str">
        <f t="shared" si="256"/>
        <v>Domingo</v>
      </c>
    </row>
    <row r="5014" spans="1:4" x14ac:dyDescent="0.25">
      <c r="A5014" s="88" t="str">
        <f t="shared" si="254"/>
        <v>9-2036</v>
      </c>
      <c r="B5014" s="86">
        <v>49940</v>
      </c>
      <c r="C5014" t="str">
        <f t="shared" si="255"/>
        <v>L-V</v>
      </c>
      <c r="D5014" t="str">
        <f t="shared" si="256"/>
        <v>Lunes</v>
      </c>
    </row>
    <row r="5015" spans="1:4" x14ac:dyDescent="0.25">
      <c r="A5015" s="88" t="str">
        <f t="shared" si="254"/>
        <v>9-2036</v>
      </c>
      <c r="B5015" s="86">
        <v>49941</v>
      </c>
      <c r="C5015" t="str">
        <f t="shared" si="255"/>
        <v>L-V</v>
      </c>
      <c r="D5015" t="str">
        <f t="shared" si="256"/>
        <v>Martes</v>
      </c>
    </row>
    <row r="5016" spans="1:4" x14ac:dyDescent="0.25">
      <c r="A5016" s="88" t="str">
        <f t="shared" si="254"/>
        <v>9-2036</v>
      </c>
      <c r="B5016" s="86">
        <v>49942</v>
      </c>
      <c r="C5016" t="str">
        <f t="shared" si="255"/>
        <v>L-V</v>
      </c>
      <c r="D5016" t="str">
        <f t="shared" si="256"/>
        <v>Miércoles</v>
      </c>
    </row>
    <row r="5017" spans="1:4" x14ac:dyDescent="0.25">
      <c r="A5017" s="88" t="str">
        <f t="shared" si="254"/>
        <v>9-2036</v>
      </c>
      <c r="B5017" s="86">
        <v>49943</v>
      </c>
      <c r="C5017" t="str">
        <f t="shared" si="255"/>
        <v>L-V</v>
      </c>
      <c r="D5017" t="str">
        <f t="shared" si="256"/>
        <v>Jueves</v>
      </c>
    </row>
    <row r="5018" spans="1:4" x14ac:dyDescent="0.25">
      <c r="A5018" s="88" t="str">
        <f t="shared" si="254"/>
        <v>9-2036</v>
      </c>
      <c r="B5018" s="86">
        <v>49944</v>
      </c>
      <c r="C5018" t="str">
        <f t="shared" si="255"/>
        <v>L-V</v>
      </c>
      <c r="D5018" t="str">
        <f t="shared" si="256"/>
        <v>Viernes</v>
      </c>
    </row>
    <row r="5019" spans="1:4" x14ac:dyDescent="0.25">
      <c r="A5019" s="88" t="str">
        <f t="shared" si="254"/>
        <v>9-2036</v>
      </c>
      <c r="B5019" s="86">
        <v>49945</v>
      </c>
      <c r="C5019" t="str">
        <f t="shared" si="255"/>
        <v>SAB</v>
      </c>
      <c r="D5019" t="str">
        <f t="shared" si="256"/>
        <v>Sábado</v>
      </c>
    </row>
    <row r="5020" spans="1:4" x14ac:dyDescent="0.25">
      <c r="A5020" s="88" t="str">
        <f t="shared" si="254"/>
        <v>9-2036</v>
      </c>
      <c r="B5020" s="86">
        <v>49946</v>
      </c>
      <c r="C5020" t="str">
        <f t="shared" si="255"/>
        <v>DOM</v>
      </c>
      <c r="D5020" t="str">
        <f t="shared" si="256"/>
        <v>Domingo</v>
      </c>
    </row>
    <row r="5021" spans="1:4" x14ac:dyDescent="0.25">
      <c r="A5021" s="88" t="str">
        <f t="shared" ref="A5021:A5084" si="257">MONTH(B5021)&amp;"-"&amp;YEAR(B5021)</f>
        <v>9-2036</v>
      </c>
      <c r="B5021" s="86">
        <v>49947</v>
      </c>
      <c r="C5021" t="str">
        <f t="shared" ref="C5021:C5084" si="258">VLOOKUP(WEEKDAY(B5021,2),$F$1:$H$7,2)</f>
        <v>L-V</v>
      </c>
      <c r="D5021" t="str">
        <f t="shared" si="256"/>
        <v>Lunes</v>
      </c>
    </row>
    <row r="5022" spans="1:4" x14ac:dyDescent="0.25">
      <c r="A5022" s="88" t="str">
        <f t="shared" si="257"/>
        <v>9-2036</v>
      </c>
      <c r="B5022" s="86">
        <v>49948</v>
      </c>
      <c r="C5022" t="str">
        <f t="shared" si="258"/>
        <v>L-V</v>
      </c>
      <c r="D5022" t="str">
        <f t="shared" si="256"/>
        <v>Martes</v>
      </c>
    </row>
    <row r="5023" spans="1:4" x14ac:dyDescent="0.25">
      <c r="A5023" s="88" t="str">
        <f t="shared" si="257"/>
        <v>10-2036</v>
      </c>
      <c r="B5023" s="86">
        <v>49949</v>
      </c>
      <c r="C5023" t="str">
        <f t="shared" si="258"/>
        <v>L-V</v>
      </c>
      <c r="D5023" t="str">
        <f t="shared" si="256"/>
        <v>Miércoles</v>
      </c>
    </row>
    <row r="5024" spans="1:4" x14ac:dyDescent="0.25">
      <c r="A5024" s="88" t="str">
        <f t="shared" si="257"/>
        <v>10-2036</v>
      </c>
      <c r="B5024" s="86">
        <v>49950</v>
      </c>
      <c r="C5024" t="str">
        <f t="shared" si="258"/>
        <v>L-V</v>
      </c>
      <c r="D5024" t="str">
        <f t="shared" si="256"/>
        <v>Jueves</v>
      </c>
    </row>
    <row r="5025" spans="1:4" x14ac:dyDescent="0.25">
      <c r="A5025" s="88" t="str">
        <f t="shared" si="257"/>
        <v>10-2036</v>
      </c>
      <c r="B5025" s="86">
        <v>49951</v>
      </c>
      <c r="C5025" t="str">
        <f t="shared" si="258"/>
        <v>L-V</v>
      </c>
      <c r="D5025" t="str">
        <f t="shared" si="256"/>
        <v>Viernes</v>
      </c>
    </row>
    <row r="5026" spans="1:4" x14ac:dyDescent="0.25">
      <c r="A5026" s="88" t="str">
        <f t="shared" si="257"/>
        <v>10-2036</v>
      </c>
      <c r="B5026" s="86">
        <v>49952</v>
      </c>
      <c r="C5026" t="str">
        <f t="shared" si="258"/>
        <v>SAB</v>
      </c>
      <c r="D5026" t="str">
        <f t="shared" si="256"/>
        <v>Sábado</v>
      </c>
    </row>
    <row r="5027" spans="1:4" x14ac:dyDescent="0.25">
      <c r="A5027" s="88" t="str">
        <f t="shared" si="257"/>
        <v>10-2036</v>
      </c>
      <c r="B5027" s="86">
        <v>49953</v>
      </c>
      <c r="C5027" t="str">
        <f t="shared" si="258"/>
        <v>DOM</v>
      </c>
      <c r="D5027" t="str">
        <f t="shared" si="256"/>
        <v>Domingo</v>
      </c>
    </row>
    <row r="5028" spans="1:4" x14ac:dyDescent="0.25">
      <c r="A5028" s="88" t="str">
        <f t="shared" si="257"/>
        <v>10-2036</v>
      </c>
      <c r="B5028" s="86">
        <v>49954</v>
      </c>
      <c r="C5028" t="str">
        <f t="shared" si="258"/>
        <v>L-V</v>
      </c>
      <c r="D5028" t="str">
        <f t="shared" si="256"/>
        <v>Lunes</v>
      </c>
    </row>
    <row r="5029" spans="1:4" x14ac:dyDescent="0.25">
      <c r="A5029" s="88" t="str">
        <f t="shared" si="257"/>
        <v>10-2036</v>
      </c>
      <c r="B5029" s="86">
        <v>49955</v>
      </c>
      <c r="C5029" t="str">
        <f t="shared" si="258"/>
        <v>L-V</v>
      </c>
      <c r="D5029" t="str">
        <f t="shared" si="256"/>
        <v>Martes</v>
      </c>
    </row>
    <row r="5030" spans="1:4" x14ac:dyDescent="0.25">
      <c r="A5030" s="88" t="str">
        <f t="shared" si="257"/>
        <v>10-2036</v>
      </c>
      <c r="B5030" s="86">
        <v>49956</v>
      </c>
      <c r="C5030" t="str">
        <f t="shared" si="258"/>
        <v>L-V</v>
      </c>
      <c r="D5030" t="str">
        <f t="shared" si="256"/>
        <v>Miércoles</v>
      </c>
    </row>
    <row r="5031" spans="1:4" x14ac:dyDescent="0.25">
      <c r="A5031" s="88" t="str">
        <f t="shared" si="257"/>
        <v>10-2036</v>
      </c>
      <c r="B5031" s="86">
        <v>49957</v>
      </c>
      <c r="C5031" t="str">
        <f t="shared" si="258"/>
        <v>L-V</v>
      </c>
      <c r="D5031" t="str">
        <f t="shared" si="256"/>
        <v>Jueves</v>
      </c>
    </row>
    <row r="5032" spans="1:4" x14ac:dyDescent="0.25">
      <c r="A5032" s="88" t="str">
        <f t="shared" si="257"/>
        <v>10-2036</v>
      </c>
      <c r="B5032" s="86">
        <v>49958</v>
      </c>
      <c r="C5032" t="str">
        <f t="shared" si="258"/>
        <v>L-V</v>
      </c>
      <c r="D5032" t="str">
        <f t="shared" si="256"/>
        <v>Viernes</v>
      </c>
    </row>
    <row r="5033" spans="1:4" x14ac:dyDescent="0.25">
      <c r="A5033" s="88" t="str">
        <f t="shared" si="257"/>
        <v>10-2036</v>
      </c>
      <c r="B5033" s="86">
        <v>49959</v>
      </c>
      <c r="C5033" t="str">
        <f t="shared" si="258"/>
        <v>SAB</v>
      </c>
      <c r="D5033" t="str">
        <f t="shared" si="256"/>
        <v>Sábado</v>
      </c>
    </row>
    <row r="5034" spans="1:4" x14ac:dyDescent="0.25">
      <c r="A5034" s="88" t="str">
        <f t="shared" si="257"/>
        <v>10-2036</v>
      </c>
      <c r="B5034" s="86">
        <v>49960</v>
      </c>
      <c r="C5034" t="str">
        <f t="shared" si="258"/>
        <v>DOM</v>
      </c>
      <c r="D5034" t="str">
        <f t="shared" si="256"/>
        <v>Domingo</v>
      </c>
    </row>
    <row r="5035" spans="1:4" x14ac:dyDescent="0.25">
      <c r="A5035" s="88" t="str">
        <f t="shared" si="257"/>
        <v>10-2036</v>
      </c>
      <c r="B5035" s="86">
        <v>49961</v>
      </c>
      <c r="C5035" t="str">
        <f t="shared" si="258"/>
        <v>L-V</v>
      </c>
      <c r="D5035" t="str">
        <f t="shared" si="256"/>
        <v>Lunes</v>
      </c>
    </row>
    <row r="5036" spans="1:4" x14ac:dyDescent="0.25">
      <c r="A5036" s="88" t="str">
        <f t="shared" si="257"/>
        <v>10-2036</v>
      </c>
      <c r="B5036" s="86">
        <v>49962</v>
      </c>
      <c r="C5036" t="str">
        <f t="shared" si="258"/>
        <v>L-V</v>
      </c>
      <c r="D5036" t="str">
        <f t="shared" si="256"/>
        <v>Martes</v>
      </c>
    </row>
    <row r="5037" spans="1:4" x14ac:dyDescent="0.25">
      <c r="A5037" s="88" t="str">
        <f t="shared" si="257"/>
        <v>10-2036</v>
      </c>
      <c r="B5037" s="86">
        <v>49963</v>
      </c>
      <c r="C5037" t="str">
        <f t="shared" si="258"/>
        <v>L-V</v>
      </c>
      <c r="D5037" t="str">
        <f t="shared" si="256"/>
        <v>Miércoles</v>
      </c>
    </row>
    <row r="5038" spans="1:4" x14ac:dyDescent="0.25">
      <c r="A5038" s="88" t="str">
        <f t="shared" si="257"/>
        <v>10-2036</v>
      </c>
      <c r="B5038" s="86">
        <v>49964</v>
      </c>
      <c r="C5038" t="str">
        <f t="shared" si="258"/>
        <v>L-V</v>
      </c>
      <c r="D5038" t="str">
        <f t="shared" si="256"/>
        <v>Jueves</v>
      </c>
    </row>
    <row r="5039" spans="1:4" x14ac:dyDescent="0.25">
      <c r="A5039" s="88" t="str">
        <f t="shared" si="257"/>
        <v>10-2036</v>
      </c>
      <c r="B5039" s="86">
        <v>49965</v>
      </c>
      <c r="C5039" t="str">
        <f t="shared" si="258"/>
        <v>L-V</v>
      </c>
      <c r="D5039" t="str">
        <f t="shared" si="256"/>
        <v>Viernes</v>
      </c>
    </row>
    <row r="5040" spans="1:4" x14ac:dyDescent="0.25">
      <c r="A5040" s="88" t="str">
        <f t="shared" si="257"/>
        <v>10-2036</v>
      </c>
      <c r="B5040" s="86">
        <v>49966</v>
      </c>
      <c r="C5040" t="str">
        <f t="shared" si="258"/>
        <v>SAB</v>
      </c>
      <c r="D5040" t="str">
        <f t="shared" si="256"/>
        <v>Sábado</v>
      </c>
    </row>
    <row r="5041" spans="1:4" x14ac:dyDescent="0.25">
      <c r="A5041" s="88" t="str">
        <f t="shared" si="257"/>
        <v>10-2036</v>
      </c>
      <c r="B5041" s="86">
        <v>49967</v>
      </c>
      <c r="C5041" t="str">
        <f t="shared" si="258"/>
        <v>DOM</v>
      </c>
      <c r="D5041" t="str">
        <f t="shared" si="256"/>
        <v>Domingo</v>
      </c>
    </row>
    <row r="5042" spans="1:4" x14ac:dyDescent="0.25">
      <c r="A5042" s="88" t="str">
        <f t="shared" si="257"/>
        <v>10-2036</v>
      </c>
      <c r="B5042" s="86">
        <v>49968</v>
      </c>
      <c r="C5042" t="str">
        <f t="shared" si="258"/>
        <v>L-V</v>
      </c>
      <c r="D5042" t="str">
        <f t="shared" si="256"/>
        <v>Lunes</v>
      </c>
    </row>
    <row r="5043" spans="1:4" x14ac:dyDescent="0.25">
      <c r="A5043" s="88" t="str">
        <f t="shared" si="257"/>
        <v>10-2036</v>
      </c>
      <c r="B5043" s="86">
        <v>49969</v>
      </c>
      <c r="C5043" t="str">
        <f t="shared" si="258"/>
        <v>L-V</v>
      </c>
      <c r="D5043" t="str">
        <f t="shared" si="256"/>
        <v>Martes</v>
      </c>
    </row>
    <row r="5044" spans="1:4" x14ac:dyDescent="0.25">
      <c r="A5044" s="88" t="str">
        <f t="shared" si="257"/>
        <v>10-2036</v>
      </c>
      <c r="B5044" s="86">
        <v>49970</v>
      </c>
      <c r="C5044" t="str">
        <f t="shared" si="258"/>
        <v>L-V</v>
      </c>
      <c r="D5044" t="str">
        <f t="shared" si="256"/>
        <v>Miércoles</v>
      </c>
    </row>
    <row r="5045" spans="1:4" x14ac:dyDescent="0.25">
      <c r="A5045" s="88" t="str">
        <f t="shared" si="257"/>
        <v>10-2036</v>
      </c>
      <c r="B5045" s="86">
        <v>49971</v>
      </c>
      <c r="C5045" t="str">
        <f t="shared" si="258"/>
        <v>L-V</v>
      </c>
      <c r="D5045" t="str">
        <f t="shared" si="256"/>
        <v>Jueves</v>
      </c>
    </row>
    <row r="5046" spans="1:4" x14ac:dyDescent="0.25">
      <c r="A5046" s="88" t="str">
        <f t="shared" si="257"/>
        <v>10-2036</v>
      </c>
      <c r="B5046" s="86">
        <v>49972</v>
      </c>
      <c r="C5046" t="str">
        <f t="shared" si="258"/>
        <v>L-V</v>
      </c>
      <c r="D5046" t="str">
        <f t="shared" si="256"/>
        <v>Viernes</v>
      </c>
    </row>
    <row r="5047" spans="1:4" x14ac:dyDescent="0.25">
      <c r="A5047" s="88" t="str">
        <f t="shared" si="257"/>
        <v>10-2036</v>
      </c>
      <c r="B5047" s="86">
        <v>49973</v>
      </c>
      <c r="C5047" t="str">
        <f t="shared" si="258"/>
        <v>SAB</v>
      </c>
      <c r="D5047" t="str">
        <f t="shared" si="256"/>
        <v>Sábado</v>
      </c>
    </row>
    <row r="5048" spans="1:4" x14ac:dyDescent="0.25">
      <c r="A5048" s="88" t="str">
        <f t="shared" si="257"/>
        <v>10-2036</v>
      </c>
      <c r="B5048" s="86">
        <v>49974</v>
      </c>
      <c r="C5048" t="str">
        <f t="shared" si="258"/>
        <v>DOM</v>
      </c>
      <c r="D5048" t="str">
        <f t="shared" si="256"/>
        <v>Domingo</v>
      </c>
    </row>
    <row r="5049" spans="1:4" x14ac:dyDescent="0.25">
      <c r="A5049" s="88" t="str">
        <f t="shared" si="257"/>
        <v>10-2036</v>
      </c>
      <c r="B5049" s="86">
        <v>49975</v>
      </c>
      <c r="C5049" t="str">
        <f t="shared" si="258"/>
        <v>L-V</v>
      </c>
      <c r="D5049" t="str">
        <f t="shared" si="256"/>
        <v>Lunes</v>
      </c>
    </row>
    <row r="5050" spans="1:4" x14ac:dyDescent="0.25">
      <c r="A5050" s="88" t="str">
        <f t="shared" si="257"/>
        <v>10-2036</v>
      </c>
      <c r="B5050" s="86">
        <v>49976</v>
      </c>
      <c r="C5050" t="str">
        <f t="shared" si="258"/>
        <v>L-V</v>
      </c>
      <c r="D5050" t="str">
        <f t="shared" si="256"/>
        <v>Martes</v>
      </c>
    </row>
    <row r="5051" spans="1:4" x14ac:dyDescent="0.25">
      <c r="A5051" s="88" t="str">
        <f t="shared" si="257"/>
        <v>10-2036</v>
      </c>
      <c r="B5051" s="86">
        <v>49977</v>
      </c>
      <c r="C5051" t="str">
        <f t="shared" si="258"/>
        <v>L-V</v>
      </c>
      <c r="D5051" t="str">
        <f t="shared" si="256"/>
        <v>Miércoles</v>
      </c>
    </row>
    <row r="5052" spans="1:4" x14ac:dyDescent="0.25">
      <c r="A5052" s="88" t="str">
        <f t="shared" si="257"/>
        <v>10-2036</v>
      </c>
      <c r="B5052" s="86">
        <v>49978</v>
      </c>
      <c r="C5052" t="str">
        <f t="shared" si="258"/>
        <v>L-V</v>
      </c>
      <c r="D5052" t="str">
        <f t="shared" si="256"/>
        <v>Jueves</v>
      </c>
    </row>
    <row r="5053" spans="1:4" x14ac:dyDescent="0.25">
      <c r="A5053" s="88" t="str">
        <f t="shared" si="257"/>
        <v>10-2036</v>
      </c>
      <c r="B5053" s="86">
        <v>49979</v>
      </c>
      <c r="C5053" t="str">
        <f t="shared" si="258"/>
        <v>L-V</v>
      </c>
      <c r="D5053" t="str">
        <f t="shared" si="256"/>
        <v>Viernes</v>
      </c>
    </row>
    <row r="5054" spans="1:4" x14ac:dyDescent="0.25">
      <c r="A5054" s="88" t="str">
        <f t="shared" si="257"/>
        <v>11-2036</v>
      </c>
      <c r="B5054" s="86">
        <v>49980</v>
      </c>
      <c r="C5054" t="str">
        <f t="shared" si="258"/>
        <v>SAB</v>
      </c>
      <c r="D5054" t="str">
        <f t="shared" si="256"/>
        <v>Sábado</v>
      </c>
    </row>
    <row r="5055" spans="1:4" x14ac:dyDescent="0.25">
      <c r="A5055" s="88" t="str">
        <f t="shared" si="257"/>
        <v>11-2036</v>
      </c>
      <c r="B5055" s="86">
        <v>49981</v>
      </c>
      <c r="C5055" t="str">
        <f t="shared" si="258"/>
        <v>DOM</v>
      </c>
      <c r="D5055" t="str">
        <f t="shared" si="256"/>
        <v>Domingo</v>
      </c>
    </row>
    <row r="5056" spans="1:4" x14ac:dyDescent="0.25">
      <c r="A5056" s="88" t="str">
        <f t="shared" si="257"/>
        <v>11-2036</v>
      </c>
      <c r="B5056" s="86">
        <v>49982</v>
      </c>
      <c r="C5056" t="str">
        <f t="shared" si="258"/>
        <v>L-V</v>
      </c>
      <c r="D5056" t="str">
        <f t="shared" si="256"/>
        <v>Lunes</v>
      </c>
    </row>
    <row r="5057" spans="1:4" x14ac:dyDescent="0.25">
      <c r="A5057" s="88" t="str">
        <f t="shared" si="257"/>
        <v>11-2036</v>
      </c>
      <c r="B5057" s="86">
        <v>49983</v>
      </c>
      <c r="C5057" t="str">
        <f t="shared" si="258"/>
        <v>L-V</v>
      </c>
      <c r="D5057" t="str">
        <f t="shared" si="256"/>
        <v>Martes</v>
      </c>
    </row>
    <row r="5058" spans="1:4" x14ac:dyDescent="0.25">
      <c r="A5058" s="88" t="str">
        <f t="shared" si="257"/>
        <v>11-2036</v>
      </c>
      <c r="B5058" s="86">
        <v>49984</v>
      </c>
      <c r="C5058" t="str">
        <f t="shared" si="258"/>
        <v>L-V</v>
      </c>
      <c r="D5058" t="str">
        <f t="shared" si="256"/>
        <v>Miércoles</v>
      </c>
    </row>
    <row r="5059" spans="1:4" x14ac:dyDescent="0.25">
      <c r="A5059" s="88" t="str">
        <f t="shared" si="257"/>
        <v>11-2036</v>
      </c>
      <c r="B5059" s="86">
        <v>49985</v>
      </c>
      <c r="C5059" t="str">
        <f t="shared" si="258"/>
        <v>L-V</v>
      </c>
      <c r="D5059" t="str">
        <f t="shared" ref="D5059:D5122" si="259">VLOOKUP(WEEKDAY($B5059,2),$F$1:$H$7,3)</f>
        <v>Jueves</v>
      </c>
    </row>
    <row r="5060" spans="1:4" x14ac:dyDescent="0.25">
      <c r="A5060" s="88" t="str">
        <f t="shared" si="257"/>
        <v>11-2036</v>
      </c>
      <c r="B5060" s="86">
        <v>49986</v>
      </c>
      <c r="C5060" t="str">
        <f t="shared" si="258"/>
        <v>L-V</v>
      </c>
      <c r="D5060" t="str">
        <f t="shared" si="259"/>
        <v>Viernes</v>
      </c>
    </row>
    <row r="5061" spans="1:4" x14ac:dyDescent="0.25">
      <c r="A5061" s="88" t="str">
        <f t="shared" si="257"/>
        <v>11-2036</v>
      </c>
      <c r="B5061" s="86">
        <v>49987</v>
      </c>
      <c r="C5061" t="str">
        <f t="shared" si="258"/>
        <v>SAB</v>
      </c>
      <c r="D5061" t="str">
        <f t="shared" si="259"/>
        <v>Sábado</v>
      </c>
    </row>
    <row r="5062" spans="1:4" x14ac:dyDescent="0.25">
      <c r="A5062" s="88" t="str">
        <f t="shared" si="257"/>
        <v>11-2036</v>
      </c>
      <c r="B5062" s="86">
        <v>49988</v>
      </c>
      <c r="C5062" t="str">
        <f t="shared" si="258"/>
        <v>DOM</v>
      </c>
      <c r="D5062" t="str">
        <f t="shared" si="259"/>
        <v>Domingo</v>
      </c>
    </row>
    <row r="5063" spans="1:4" x14ac:dyDescent="0.25">
      <c r="A5063" s="88" t="str">
        <f t="shared" si="257"/>
        <v>11-2036</v>
      </c>
      <c r="B5063" s="86">
        <v>49989</v>
      </c>
      <c r="C5063" t="str">
        <f t="shared" si="258"/>
        <v>L-V</v>
      </c>
      <c r="D5063" t="str">
        <f t="shared" si="259"/>
        <v>Lunes</v>
      </c>
    </row>
    <row r="5064" spans="1:4" x14ac:dyDescent="0.25">
      <c r="A5064" s="88" t="str">
        <f t="shared" si="257"/>
        <v>11-2036</v>
      </c>
      <c r="B5064" s="86">
        <v>49990</v>
      </c>
      <c r="C5064" t="str">
        <f t="shared" si="258"/>
        <v>L-V</v>
      </c>
      <c r="D5064" t="str">
        <f t="shared" si="259"/>
        <v>Martes</v>
      </c>
    </row>
    <row r="5065" spans="1:4" x14ac:dyDescent="0.25">
      <c r="A5065" s="88" t="str">
        <f t="shared" si="257"/>
        <v>11-2036</v>
      </c>
      <c r="B5065" s="86">
        <v>49991</v>
      </c>
      <c r="C5065" t="str">
        <f t="shared" si="258"/>
        <v>L-V</v>
      </c>
      <c r="D5065" t="str">
        <f t="shared" si="259"/>
        <v>Miércoles</v>
      </c>
    </row>
    <row r="5066" spans="1:4" x14ac:dyDescent="0.25">
      <c r="A5066" s="88" t="str">
        <f t="shared" si="257"/>
        <v>11-2036</v>
      </c>
      <c r="B5066" s="86">
        <v>49992</v>
      </c>
      <c r="C5066" t="str">
        <f t="shared" si="258"/>
        <v>L-V</v>
      </c>
      <c r="D5066" t="str">
        <f t="shared" si="259"/>
        <v>Jueves</v>
      </c>
    </row>
    <row r="5067" spans="1:4" x14ac:dyDescent="0.25">
      <c r="A5067" s="88" t="str">
        <f t="shared" si="257"/>
        <v>11-2036</v>
      </c>
      <c r="B5067" s="86">
        <v>49993</v>
      </c>
      <c r="C5067" t="str">
        <f t="shared" si="258"/>
        <v>L-V</v>
      </c>
      <c r="D5067" t="str">
        <f t="shared" si="259"/>
        <v>Viernes</v>
      </c>
    </row>
    <row r="5068" spans="1:4" x14ac:dyDescent="0.25">
      <c r="A5068" s="88" t="str">
        <f t="shared" si="257"/>
        <v>11-2036</v>
      </c>
      <c r="B5068" s="86">
        <v>49994</v>
      </c>
      <c r="C5068" t="str">
        <f t="shared" si="258"/>
        <v>SAB</v>
      </c>
      <c r="D5068" t="str">
        <f t="shared" si="259"/>
        <v>Sábado</v>
      </c>
    </row>
    <row r="5069" spans="1:4" x14ac:dyDescent="0.25">
      <c r="A5069" s="88" t="str">
        <f t="shared" si="257"/>
        <v>11-2036</v>
      </c>
      <c r="B5069" s="86">
        <v>49995</v>
      </c>
      <c r="C5069" t="str">
        <f t="shared" si="258"/>
        <v>DOM</v>
      </c>
      <c r="D5069" t="str">
        <f t="shared" si="259"/>
        <v>Domingo</v>
      </c>
    </row>
    <row r="5070" spans="1:4" x14ac:dyDescent="0.25">
      <c r="A5070" s="88" t="str">
        <f t="shared" si="257"/>
        <v>11-2036</v>
      </c>
      <c r="B5070" s="86">
        <v>49996</v>
      </c>
      <c r="C5070" t="str">
        <f t="shared" si="258"/>
        <v>L-V</v>
      </c>
      <c r="D5070" t="str">
        <f t="shared" si="259"/>
        <v>Lunes</v>
      </c>
    </row>
    <row r="5071" spans="1:4" x14ac:dyDescent="0.25">
      <c r="A5071" s="88" t="str">
        <f t="shared" si="257"/>
        <v>11-2036</v>
      </c>
      <c r="B5071" s="86">
        <v>49997</v>
      </c>
      <c r="C5071" t="str">
        <f t="shared" si="258"/>
        <v>L-V</v>
      </c>
      <c r="D5071" t="str">
        <f t="shared" si="259"/>
        <v>Martes</v>
      </c>
    </row>
    <row r="5072" spans="1:4" x14ac:dyDescent="0.25">
      <c r="A5072" s="88" t="str">
        <f t="shared" si="257"/>
        <v>11-2036</v>
      </c>
      <c r="B5072" s="86">
        <v>49998</v>
      </c>
      <c r="C5072" t="str">
        <f t="shared" si="258"/>
        <v>L-V</v>
      </c>
      <c r="D5072" t="str">
        <f t="shared" si="259"/>
        <v>Miércoles</v>
      </c>
    </row>
    <row r="5073" spans="1:4" x14ac:dyDescent="0.25">
      <c r="A5073" s="88" t="str">
        <f t="shared" si="257"/>
        <v>11-2036</v>
      </c>
      <c r="B5073" s="86">
        <v>49999</v>
      </c>
      <c r="C5073" t="str">
        <f t="shared" si="258"/>
        <v>L-V</v>
      </c>
      <c r="D5073" t="str">
        <f t="shared" si="259"/>
        <v>Jueves</v>
      </c>
    </row>
    <row r="5074" spans="1:4" x14ac:dyDescent="0.25">
      <c r="A5074" s="88" t="str">
        <f t="shared" si="257"/>
        <v>11-2036</v>
      </c>
      <c r="B5074" s="86">
        <v>50000</v>
      </c>
      <c r="C5074" t="str">
        <f t="shared" si="258"/>
        <v>L-V</v>
      </c>
      <c r="D5074" t="str">
        <f t="shared" si="259"/>
        <v>Viernes</v>
      </c>
    </row>
    <row r="5075" spans="1:4" x14ac:dyDescent="0.25">
      <c r="A5075" s="88" t="str">
        <f t="shared" si="257"/>
        <v>11-2036</v>
      </c>
      <c r="B5075" s="86">
        <v>50001</v>
      </c>
      <c r="C5075" t="str">
        <f t="shared" si="258"/>
        <v>SAB</v>
      </c>
      <c r="D5075" t="str">
        <f t="shared" si="259"/>
        <v>Sábado</v>
      </c>
    </row>
    <row r="5076" spans="1:4" x14ac:dyDescent="0.25">
      <c r="A5076" s="88" t="str">
        <f t="shared" si="257"/>
        <v>11-2036</v>
      </c>
      <c r="B5076" s="86">
        <v>50002</v>
      </c>
      <c r="C5076" t="str">
        <f t="shared" si="258"/>
        <v>DOM</v>
      </c>
      <c r="D5076" t="str">
        <f t="shared" si="259"/>
        <v>Domingo</v>
      </c>
    </row>
    <row r="5077" spans="1:4" x14ac:dyDescent="0.25">
      <c r="A5077" s="88" t="str">
        <f t="shared" si="257"/>
        <v>11-2036</v>
      </c>
      <c r="B5077" s="86">
        <v>50003</v>
      </c>
      <c r="C5077" t="str">
        <f t="shared" si="258"/>
        <v>L-V</v>
      </c>
      <c r="D5077" t="str">
        <f t="shared" si="259"/>
        <v>Lunes</v>
      </c>
    </row>
    <row r="5078" spans="1:4" x14ac:dyDescent="0.25">
      <c r="A5078" s="88" t="str">
        <f t="shared" si="257"/>
        <v>11-2036</v>
      </c>
      <c r="B5078" s="86">
        <v>50004</v>
      </c>
      <c r="C5078" t="str">
        <f t="shared" si="258"/>
        <v>L-V</v>
      </c>
      <c r="D5078" t="str">
        <f t="shared" si="259"/>
        <v>Martes</v>
      </c>
    </row>
    <row r="5079" spans="1:4" x14ac:dyDescent="0.25">
      <c r="A5079" s="88" t="str">
        <f t="shared" si="257"/>
        <v>11-2036</v>
      </c>
      <c r="B5079" s="86">
        <v>50005</v>
      </c>
      <c r="C5079" t="str">
        <f t="shared" si="258"/>
        <v>L-V</v>
      </c>
      <c r="D5079" t="str">
        <f t="shared" si="259"/>
        <v>Miércoles</v>
      </c>
    </row>
    <row r="5080" spans="1:4" x14ac:dyDescent="0.25">
      <c r="A5080" s="88" t="str">
        <f t="shared" si="257"/>
        <v>11-2036</v>
      </c>
      <c r="B5080" s="86">
        <v>50006</v>
      </c>
      <c r="C5080" t="str">
        <f t="shared" si="258"/>
        <v>L-V</v>
      </c>
      <c r="D5080" t="str">
        <f t="shared" si="259"/>
        <v>Jueves</v>
      </c>
    </row>
    <row r="5081" spans="1:4" x14ac:dyDescent="0.25">
      <c r="A5081" s="88" t="str">
        <f t="shared" si="257"/>
        <v>11-2036</v>
      </c>
      <c r="B5081" s="86">
        <v>50007</v>
      </c>
      <c r="C5081" t="str">
        <f t="shared" si="258"/>
        <v>L-V</v>
      </c>
      <c r="D5081" t="str">
        <f t="shared" si="259"/>
        <v>Viernes</v>
      </c>
    </row>
    <row r="5082" spans="1:4" x14ac:dyDescent="0.25">
      <c r="A5082" s="88" t="str">
        <f t="shared" si="257"/>
        <v>11-2036</v>
      </c>
      <c r="B5082" s="86">
        <v>50008</v>
      </c>
      <c r="C5082" t="str">
        <f t="shared" si="258"/>
        <v>SAB</v>
      </c>
      <c r="D5082" t="str">
        <f t="shared" si="259"/>
        <v>Sábado</v>
      </c>
    </row>
    <row r="5083" spans="1:4" x14ac:dyDescent="0.25">
      <c r="A5083" s="88" t="str">
        <f t="shared" si="257"/>
        <v>11-2036</v>
      </c>
      <c r="B5083" s="86">
        <v>50009</v>
      </c>
      <c r="C5083" t="str">
        <f t="shared" si="258"/>
        <v>DOM</v>
      </c>
      <c r="D5083" t="str">
        <f t="shared" si="259"/>
        <v>Domingo</v>
      </c>
    </row>
    <row r="5084" spans="1:4" x14ac:dyDescent="0.25">
      <c r="A5084" s="88" t="str">
        <f t="shared" si="257"/>
        <v>12-2036</v>
      </c>
      <c r="B5084" s="86">
        <v>50010</v>
      </c>
      <c r="C5084" t="str">
        <f t="shared" si="258"/>
        <v>L-V</v>
      </c>
      <c r="D5084" t="str">
        <f t="shared" si="259"/>
        <v>Lunes</v>
      </c>
    </row>
    <row r="5085" spans="1:4" x14ac:dyDescent="0.25">
      <c r="A5085" s="88" t="str">
        <f t="shared" ref="A5085:A5148" si="260">MONTH(B5085)&amp;"-"&amp;YEAR(B5085)</f>
        <v>12-2036</v>
      </c>
      <c r="B5085" s="86">
        <v>50011</v>
      </c>
      <c r="C5085" t="str">
        <f t="shared" ref="C5085:C5148" si="261">VLOOKUP(WEEKDAY(B5085,2),$F$1:$H$7,2)</f>
        <v>L-V</v>
      </c>
      <c r="D5085" t="str">
        <f t="shared" si="259"/>
        <v>Martes</v>
      </c>
    </row>
    <row r="5086" spans="1:4" x14ac:dyDescent="0.25">
      <c r="A5086" s="88" t="str">
        <f t="shared" si="260"/>
        <v>12-2036</v>
      </c>
      <c r="B5086" s="86">
        <v>50012</v>
      </c>
      <c r="C5086" t="str">
        <f t="shared" si="261"/>
        <v>L-V</v>
      </c>
      <c r="D5086" t="str">
        <f t="shared" si="259"/>
        <v>Miércoles</v>
      </c>
    </row>
    <row r="5087" spans="1:4" x14ac:dyDescent="0.25">
      <c r="A5087" s="88" t="str">
        <f t="shared" si="260"/>
        <v>12-2036</v>
      </c>
      <c r="B5087" s="86">
        <v>50013</v>
      </c>
      <c r="C5087" t="str">
        <f t="shared" si="261"/>
        <v>L-V</v>
      </c>
      <c r="D5087" t="str">
        <f t="shared" si="259"/>
        <v>Jueves</v>
      </c>
    </row>
    <row r="5088" spans="1:4" x14ac:dyDescent="0.25">
      <c r="A5088" s="88" t="str">
        <f t="shared" si="260"/>
        <v>12-2036</v>
      </c>
      <c r="B5088" s="86">
        <v>50014</v>
      </c>
      <c r="C5088" t="str">
        <f t="shared" si="261"/>
        <v>L-V</v>
      </c>
      <c r="D5088" t="str">
        <f t="shared" si="259"/>
        <v>Viernes</v>
      </c>
    </row>
    <row r="5089" spans="1:4" x14ac:dyDescent="0.25">
      <c r="A5089" s="88" t="str">
        <f t="shared" si="260"/>
        <v>12-2036</v>
      </c>
      <c r="B5089" s="86">
        <v>50015</v>
      </c>
      <c r="C5089" t="str">
        <f t="shared" si="261"/>
        <v>SAB</v>
      </c>
      <c r="D5089" t="str">
        <f t="shared" si="259"/>
        <v>Sábado</v>
      </c>
    </row>
    <row r="5090" spans="1:4" x14ac:dyDescent="0.25">
      <c r="A5090" s="88" t="str">
        <f t="shared" si="260"/>
        <v>12-2036</v>
      </c>
      <c r="B5090" s="86">
        <v>50016</v>
      </c>
      <c r="C5090" t="str">
        <f t="shared" si="261"/>
        <v>DOM</v>
      </c>
      <c r="D5090" t="str">
        <f t="shared" si="259"/>
        <v>Domingo</v>
      </c>
    </row>
    <row r="5091" spans="1:4" x14ac:dyDescent="0.25">
      <c r="A5091" s="88" t="str">
        <f t="shared" si="260"/>
        <v>12-2036</v>
      </c>
      <c r="B5091" s="86">
        <v>50017</v>
      </c>
      <c r="C5091" t="str">
        <f t="shared" si="261"/>
        <v>L-V</v>
      </c>
      <c r="D5091" t="str">
        <f t="shared" si="259"/>
        <v>Lunes</v>
      </c>
    </row>
    <row r="5092" spans="1:4" x14ac:dyDescent="0.25">
      <c r="A5092" s="88" t="str">
        <f t="shared" si="260"/>
        <v>12-2036</v>
      </c>
      <c r="B5092" s="86">
        <v>50018</v>
      </c>
      <c r="C5092" t="str">
        <f t="shared" si="261"/>
        <v>L-V</v>
      </c>
      <c r="D5092" t="str">
        <f t="shared" si="259"/>
        <v>Martes</v>
      </c>
    </row>
    <row r="5093" spans="1:4" x14ac:dyDescent="0.25">
      <c r="A5093" s="88" t="str">
        <f t="shared" si="260"/>
        <v>12-2036</v>
      </c>
      <c r="B5093" s="86">
        <v>50019</v>
      </c>
      <c r="C5093" t="str">
        <f t="shared" si="261"/>
        <v>L-V</v>
      </c>
      <c r="D5093" t="str">
        <f t="shared" si="259"/>
        <v>Miércoles</v>
      </c>
    </row>
    <row r="5094" spans="1:4" x14ac:dyDescent="0.25">
      <c r="A5094" s="88" t="str">
        <f t="shared" si="260"/>
        <v>12-2036</v>
      </c>
      <c r="B5094" s="86">
        <v>50020</v>
      </c>
      <c r="C5094" t="str">
        <f t="shared" si="261"/>
        <v>L-V</v>
      </c>
      <c r="D5094" t="str">
        <f t="shared" si="259"/>
        <v>Jueves</v>
      </c>
    </row>
    <row r="5095" spans="1:4" x14ac:dyDescent="0.25">
      <c r="A5095" s="88" t="str">
        <f t="shared" si="260"/>
        <v>12-2036</v>
      </c>
      <c r="B5095" s="86">
        <v>50021</v>
      </c>
      <c r="C5095" t="str">
        <f t="shared" si="261"/>
        <v>L-V</v>
      </c>
      <c r="D5095" t="str">
        <f t="shared" si="259"/>
        <v>Viernes</v>
      </c>
    </row>
    <row r="5096" spans="1:4" x14ac:dyDescent="0.25">
      <c r="A5096" s="88" t="str">
        <f t="shared" si="260"/>
        <v>12-2036</v>
      </c>
      <c r="B5096" s="86">
        <v>50022</v>
      </c>
      <c r="C5096" t="str">
        <f t="shared" si="261"/>
        <v>SAB</v>
      </c>
      <c r="D5096" t="str">
        <f t="shared" si="259"/>
        <v>Sábado</v>
      </c>
    </row>
    <row r="5097" spans="1:4" x14ac:dyDescent="0.25">
      <c r="A5097" s="88" t="str">
        <f t="shared" si="260"/>
        <v>12-2036</v>
      </c>
      <c r="B5097" s="86">
        <v>50023</v>
      </c>
      <c r="C5097" t="str">
        <f t="shared" si="261"/>
        <v>DOM</v>
      </c>
      <c r="D5097" t="str">
        <f t="shared" si="259"/>
        <v>Domingo</v>
      </c>
    </row>
    <row r="5098" spans="1:4" x14ac:dyDescent="0.25">
      <c r="A5098" s="88" t="str">
        <f t="shared" si="260"/>
        <v>12-2036</v>
      </c>
      <c r="B5098" s="86">
        <v>50024</v>
      </c>
      <c r="C5098" t="str">
        <f t="shared" si="261"/>
        <v>L-V</v>
      </c>
      <c r="D5098" t="str">
        <f t="shared" si="259"/>
        <v>Lunes</v>
      </c>
    </row>
    <row r="5099" spans="1:4" x14ac:dyDescent="0.25">
      <c r="A5099" s="88" t="str">
        <f t="shared" si="260"/>
        <v>12-2036</v>
      </c>
      <c r="B5099" s="86">
        <v>50025</v>
      </c>
      <c r="C5099" t="str">
        <f t="shared" si="261"/>
        <v>L-V</v>
      </c>
      <c r="D5099" t="str">
        <f t="shared" si="259"/>
        <v>Martes</v>
      </c>
    </row>
    <row r="5100" spans="1:4" x14ac:dyDescent="0.25">
      <c r="A5100" s="88" t="str">
        <f t="shared" si="260"/>
        <v>12-2036</v>
      </c>
      <c r="B5100" s="86">
        <v>50026</v>
      </c>
      <c r="C5100" t="str">
        <f t="shared" si="261"/>
        <v>L-V</v>
      </c>
      <c r="D5100" t="str">
        <f t="shared" si="259"/>
        <v>Miércoles</v>
      </c>
    </row>
    <row r="5101" spans="1:4" x14ac:dyDescent="0.25">
      <c r="A5101" s="88" t="str">
        <f t="shared" si="260"/>
        <v>12-2036</v>
      </c>
      <c r="B5101" s="86">
        <v>50027</v>
      </c>
      <c r="C5101" t="str">
        <f t="shared" si="261"/>
        <v>L-V</v>
      </c>
      <c r="D5101" t="str">
        <f t="shared" si="259"/>
        <v>Jueves</v>
      </c>
    </row>
    <row r="5102" spans="1:4" x14ac:dyDescent="0.25">
      <c r="A5102" s="88" t="str">
        <f t="shared" si="260"/>
        <v>12-2036</v>
      </c>
      <c r="B5102" s="86">
        <v>50028</v>
      </c>
      <c r="C5102" t="str">
        <f t="shared" si="261"/>
        <v>L-V</v>
      </c>
      <c r="D5102" t="str">
        <f t="shared" si="259"/>
        <v>Viernes</v>
      </c>
    </row>
    <row r="5103" spans="1:4" x14ac:dyDescent="0.25">
      <c r="A5103" s="88" t="str">
        <f t="shared" si="260"/>
        <v>12-2036</v>
      </c>
      <c r="B5103" s="86">
        <v>50029</v>
      </c>
      <c r="C5103" t="str">
        <f t="shared" si="261"/>
        <v>SAB</v>
      </c>
      <c r="D5103" t="str">
        <f t="shared" si="259"/>
        <v>Sábado</v>
      </c>
    </row>
    <row r="5104" spans="1:4" x14ac:dyDescent="0.25">
      <c r="A5104" s="88" t="str">
        <f t="shared" si="260"/>
        <v>12-2036</v>
      </c>
      <c r="B5104" s="86">
        <v>50030</v>
      </c>
      <c r="C5104" t="str">
        <f t="shared" si="261"/>
        <v>DOM</v>
      </c>
      <c r="D5104" t="str">
        <f t="shared" si="259"/>
        <v>Domingo</v>
      </c>
    </row>
    <row r="5105" spans="1:4" x14ac:dyDescent="0.25">
      <c r="A5105" s="88" t="str">
        <f t="shared" si="260"/>
        <v>12-2036</v>
      </c>
      <c r="B5105" s="86">
        <v>50031</v>
      </c>
      <c r="C5105" t="str">
        <f t="shared" si="261"/>
        <v>L-V</v>
      </c>
      <c r="D5105" t="str">
        <f t="shared" si="259"/>
        <v>Lunes</v>
      </c>
    </row>
    <row r="5106" spans="1:4" x14ac:dyDescent="0.25">
      <c r="A5106" s="88" t="str">
        <f t="shared" si="260"/>
        <v>12-2036</v>
      </c>
      <c r="B5106" s="86">
        <v>50032</v>
      </c>
      <c r="C5106" t="str">
        <f t="shared" si="261"/>
        <v>L-V</v>
      </c>
      <c r="D5106" t="str">
        <f t="shared" si="259"/>
        <v>Martes</v>
      </c>
    </row>
    <row r="5107" spans="1:4" x14ac:dyDescent="0.25">
      <c r="A5107" s="88" t="str">
        <f t="shared" si="260"/>
        <v>12-2036</v>
      </c>
      <c r="B5107" s="86">
        <v>50033</v>
      </c>
      <c r="C5107" t="str">
        <f t="shared" si="261"/>
        <v>L-V</v>
      </c>
      <c r="D5107" t="str">
        <f t="shared" si="259"/>
        <v>Miércoles</v>
      </c>
    </row>
    <row r="5108" spans="1:4" x14ac:dyDescent="0.25">
      <c r="A5108" s="88" t="str">
        <f t="shared" si="260"/>
        <v>12-2036</v>
      </c>
      <c r="B5108" s="86">
        <v>50034</v>
      </c>
      <c r="C5108" t="str">
        <f t="shared" si="261"/>
        <v>L-V</v>
      </c>
      <c r="D5108" t="str">
        <f t="shared" si="259"/>
        <v>Jueves</v>
      </c>
    </row>
    <row r="5109" spans="1:4" x14ac:dyDescent="0.25">
      <c r="A5109" s="88" t="str">
        <f t="shared" si="260"/>
        <v>12-2036</v>
      </c>
      <c r="B5109" s="86">
        <v>50035</v>
      </c>
      <c r="C5109" t="str">
        <f t="shared" si="261"/>
        <v>L-V</v>
      </c>
      <c r="D5109" t="str">
        <f t="shared" si="259"/>
        <v>Viernes</v>
      </c>
    </row>
    <row r="5110" spans="1:4" x14ac:dyDescent="0.25">
      <c r="A5110" s="88" t="str">
        <f t="shared" si="260"/>
        <v>12-2036</v>
      </c>
      <c r="B5110" s="86">
        <v>50036</v>
      </c>
      <c r="C5110" t="str">
        <f t="shared" si="261"/>
        <v>SAB</v>
      </c>
      <c r="D5110" t="str">
        <f t="shared" si="259"/>
        <v>Sábado</v>
      </c>
    </row>
    <row r="5111" spans="1:4" x14ac:dyDescent="0.25">
      <c r="A5111" s="88" t="str">
        <f t="shared" si="260"/>
        <v>12-2036</v>
      </c>
      <c r="B5111" s="86">
        <v>50037</v>
      </c>
      <c r="C5111" t="str">
        <f t="shared" si="261"/>
        <v>DOM</v>
      </c>
      <c r="D5111" t="str">
        <f t="shared" si="259"/>
        <v>Domingo</v>
      </c>
    </row>
    <row r="5112" spans="1:4" x14ac:dyDescent="0.25">
      <c r="A5112" s="88" t="str">
        <f t="shared" si="260"/>
        <v>12-2036</v>
      </c>
      <c r="B5112" s="86">
        <v>50038</v>
      </c>
      <c r="C5112" t="str">
        <f t="shared" si="261"/>
        <v>L-V</v>
      </c>
      <c r="D5112" t="str">
        <f t="shared" si="259"/>
        <v>Lunes</v>
      </c>
    </row>
    <row r="5113" spans="1:4" x14ac:dyDescent="0.25">
      <c r="A5113" s="88" t="str">
        <f t="shared" si="260"/>
        <v>12-2036</v>
      </c>
      <c r="B5113" s="86">
        <v>50039</v>
      </c>
      <c r="C5113" t="str">
        <f t="shared" si="261"/>
        <v>L-V</v>
      </c>
      <c r="D5113" t="str">
        <f t="shared" si="259"/>
        <v>Martes</v>
      </c>
    </row>
    <row r="5114" spans="1:4" x14ac:dyDescent="0.25">
      <c r="A5114" s="88" t="str">
        <f t="shared" si="260"/>
        <v>12-2036</v>
      </c>
      <c r="B5114" s="86">
        <v>50040</v>
      </c>
      <c r="C5114" t="str">
        <f t="shared" si="261"/>
        <v>L-V</v>
      </c>
      <c r="D5114" t="str">
        <f t="shared" si="259"/>
        <v>Miércoles</v>
      </c>
    </row>
    <row r="5115" spans="1:4" x14ac:dyDescent="0.25">
      <c r="A5115" s="88" t="str">
        <f t="shared" si="260"/>
        <v>1-2037</v>
      </c>
      <c r="B5115" s="86">
        <v>50041</v>
      </c>
      <c r="C5115" t="str">
        <f t="shared" si="261"/>
        <v>L-V</v>
      </c>
      <c r="D5115" t="str">
        <f t="shared" si="259"/>
        <v>Jueves</v>
      </c>
    </row>
    <row r="5116" spans="1:4" x14ac:dyDescent="0.25">
      <c r="A5116" s="88" t="str">
        <f t="shared" si="260"/>
        <v>1-2037</v>
      </c>
      <c r="B5116" s="86">
        <v>50042</v>
      </c>
      <c r="C5116" t="str">
        <f t="shared" si="261"/>
        <v>L-V</v>
      </c>
      <c r="D5116" t="str">
        <f t="shared" si="259"/>
        <v>Viernes</v>
      </c>
    </row>
    <row r="5117" spans="1:4" x14ac:dyDescent="0.25">
      <c r="A5117" s="88" t="str">
        <f t="shared" si="260"/>
        <v>1-2037</v>
      </c>
      <c r="B5117" s="86">
        <v>50043</v>
      </c>
      <c r="C5117" t="str">
        <f t="shared" si="261"/>
        <v>SAB</v>
      </c>
      <c r="D5117" t="str">
        <f t="shared" si="259"/>
        <v>Sábado</v>
      </c>
    </row>
    <row r="5118" spans="1:4" x14ac:dyDescent="0.25">
      <c r="A5118" s="88" t="str">
        <f t="shared" si="260"/>
        <v>1-2037</v>
      </c>
      <c r="B5118" s="86">
        <v>50044</v>
      </c>
      <c r="C5118" t="str">
        <f t="shared" si="261"/>
        <v>DOM</v>
      </c>
      <c r="D5118" t="str">
        <f t="shared" si="259"/>
        <v>Domingo</v>
      </c>
    </row>
    <row r="5119" spans="1:4" x14ac:dyDescent="0.25">
      <c r="A5119" s="88" t="str">
        <f t="shared" si="260"/>
        <v>1-2037</v>
      </c>
      <c r="B5119" s="86">
        <v>50045</v>
      </c>
      <c r="C5119" t="str">
        <f t="shared" si="261"/>
        <v>L-V</v>
      </c>
      <c r="D5119" t="str">
        <f t="shared" si="259"/>
        <v>Lunes</v>
      </c>
    </row>
    <row r="5120" spans="1:4" x14ac:dyDescent="0.25">
      <c r="A5120" s="88" t="str">
        <f t="shared" si="260"/>
        <v>1-2037</v>
      </c>
      <c r="B5120" s="86">
        <v>50046</v>
      </c>
      <c r="C5120" t="str">
        <f t="shared" si="261"/>
        <v>L-V</v>
      </c>
      <c r="D5120" t="str">
        <f t="shared" si="259"/>
        <v>Martes</v>
      </c>
    </row>
    <row r="5121" spans="1:4" x14ac:dyDescent="0.25">
      <c r="A5121" s="88" t="str">
        <f t="shared" si="260"/>
        <v>1-2037</v>
      </c>
      <c r="B5121" s="86">
        <v>50047</v>
      </c>
      <c r="C5121" t="str">
        <f t="shared" si="261"/>
        <v>L-V</v>
      </c>
      <c r="D5121" t="str">
        <f t="shared" si="259"/>
        <v>Miércoles</v>
      </c>
    </row>
    <row r="5122" spans="1:4" x14ac:dyDescent="0.25">
      <c r="A5122" s="88" t="str">
        <f t="shared" si="260"/>
        <v>1-2037</v>
      </c>
      <c r="B5122" s="86">
        <v>50048</v>
      </c>
      <c r="C5122" t="str">
        <f t="shared" si="261"/>
        <v>L-V</v>
      </c>
      <c r="D5122" t="str">
        <f t="shared" si="259"/>
        <v>Jueves</v>
      </c>
    </row>
    <row r="5123" spans="1:4" x14ac:dyDescent="0.25">
      <c r="A5123" s="88" t="str">
        <f t="shared" si="260"/>
        <v>1-2037</v>
      </c>
      <c r="B5123" s="86">
        <v>50049</v>
      </c>
      <c r="C5123" t="str">
        <f t="shared" si="261"/>
        <v>L-V</v>
      </c>
      <c r="D5123" t="str">
        <f t="shared" ref="D5123:D5186" si="262">VLOOKUP(WEEKDAY($B5123,2),$F$1:$H$7,3)</f>
        <v>Viernes</v>
      </c>
    </row>
    <row r="5124" spans="1:4" x14ac:dyDescent="0.25">
      <c r="A5124" s="88" t="str">
        <f t="shared" si="260"/>
        <v>1-2037</v>
      </c>
      <c r="B5124" s="86">
        <v>50050</v>
      </c>
      <c r="C5124" t="str">
        <f t="shared" si="261"/>
        <v>SAB</v>
      </c>
      <c r="D5124" t="str">
        <f t="shared" si="262"/>
        <v>Sábado</v>
      </c>
    </row>
    <row r="5125" spans="1:4" x14ac:dyDescent="0.25">
      <c r="A5125" s="88" t="str">
        <f t="shared" si="260"/>
        <v>1-2037</v>
      </c>
      <c r="B5125" s="86">
        <v>50051</v>
      </c>
      <c r="C5125" t="str">
        <f t="shared" si="261"/>
        <v>DOM</v>
      </c>
      <c r="D5125" t="str">
        <f t="shared" si="262"/>
        <v>Domingo</v>
      </c>
    </row>
    <row r="5126" spans="1:4" x14ac:dyDescent="0.25">
      <c r="A5126" s="88" t="str">
        <f t="shared" si="260"/>
        <v>1-2037</v>
      </c>
      <c r="B5126" s="86">
        <v>50052</v>
      </c>
      <c r="C5126" t="str">
        <f t="shared" si="261"/>
        <v>L-V</v>
      </c>
      <c r="D5126" t="str">
        <f t="shared" si="262"/>
        <v>Lunes</v>
      </c>
    </row>
    <row r="5127" spans="1:4" x14ac:dyDescent="0.25">
      <c r="A5127" s="88" t="str">
        <f t="shared" si="260"/>
        <v>1-2037</v>
      </c>
      <c r="B5127" s="86">
        <v>50053</v>
      </c>
      <c r="C5127" t="str">
        <f t="shared" si="261"/>
        <v>L-V</v>
      </c>
      <c r="D5127" t="str">
        <f t="shared" si="262"/>
        <v>Martes</v>
      </c>
    </row>
    <row r="5128" spans="1:4" x14ac:dyDescent="0.25">
      <c r="A5128" s="88" t="str">
        <f t="shared" si="260"/>
        <v>1-2037</v>
      </c>
      <c r="B5128" s="86">
        <v>50054</v>
      </c>
      <c r="C5128" t="str">
        <f t="shared" si="261"/>
        <v>L-V</v>
      </c>
      <c r="D5128" t="str">
        <f t="shared" si="262"/>
        <v>Miércoles</v>
      </c>
    </row>
    <row r="5129" spans="1:4" x14ac:dyDescent="0.25">
      <c r="A5129" s="88" t="str">
        <f t="shared" si="260"/>
        <v>1-2037</v>
      </c>
      <c r="B5129" s="86">
        <v>50055</v>
      </c>
      <c r="C5129" t="str">
        <f t="shared" si="261"/>
        <v>L-V</v>
      </c>
      <c r="D5129" t="str">
        <f t="shared" si="262"/>
        <v>Jueves</v>
      </c>
    </row>
    <row r="5130" spans="1:4" x14ac:dyDescent="0.25">
      <c r="A5130" s="88" t="str">
        <f t="shared" si="260"/>
        <v>1-2037</v>
      </c>
      <c r="B5130" s="86">
        <v>50056</v>
      </c>
      <c r="C5130" t="str">
        <f t="shared" si="261"/>
        <v>L-V</v>
      </c>
      <c r="D5130" t="str">
        <f t="shared" si="262"/>
        <v>Viernes</v>
      </c>
    </row>
    <row r="5131" spans="1:4" x14ac:dyDescent="0.25">
      <c r="A5131" s="88" t="str">
        <f t="shared" si="260"/>
        <v>1-2037</v>
      </c>
      <c r="B5131" s="86">
        <v>50057</v>
      </c>
      <c r="C5131" t="str">
        <f t="shared" si="261"/>
        <v>SAB</v>
      </c>
      <c r="D5131" t="str">
        <f t="shared" si="262"/>
        <v>Sábado</v>
      </c>
    </row>
    <row r="5132" spans="1:4" x14ac:dyDescent="0.25">
      <c r="A5132" s="88" t="str">
        <f t="shared" si="260"/>
        <v>1-2037</v>
      </c>
      <c r="B5132" s="86">
        <v>50058</v>
      </c>
      <c r="C5132" t="str">
        <f t="shared" si="261"/>
        <v>DOM</v>
      </c>
      <c r="D5132" t="str">
        <f t="shared" si="262"/>
        <v>Domingo</v>
      </c>
    </row>
    <row r="5133" spans="1:4" x14ac:dyDescent="0.25">
      <c r="A5133" s="88" t="str">
        <f t="shared" si="260"/>
        <v>1-2037</v>
      </c>
      <c r="B5133" s="86">
        <v>50059</v>
      </c>
      <c r="C5133" t="str">
        <f t="shared" si="261"/>
        <v>L-V</v>
      </c>
      <c r="D5133" t="str">
        <f t="shared" si="262"/>
        <v>Lunes</v>
      </c>
    </row>
    <row r="5134" spans="1:4" x14ac:dyDescent="0.25">
      <c r="A5134" s="88" t="str">
        <f t="shared" si="260"/>
        <v>1-2037</v>
      </c>
      <c r="B5134" s="86">
        <v>50060</v>
      </c>
      <c r="C5134" t="str">
        <f t="shared" si="261"/>
        <v>L-V</v>
      </c>
      <c r="D5134" t="str">
        <f t="shared" si="262"/>
        <v>Martes</v>
      </c>
    </row>
    <row r="5135" spans="1:4" x14ac:dyDescent="0.25">
      <c r="A5135" s="88" t="str">
        <f t="shared" si="260"/>
        <v>1-2037</v>
      </c>
      <c r="B5135" s="86">
        <v>50061</v>
      </c>
      <c r="C5135" t="str">
        <f t="shared" si="261"/>
        <v>L-V</v>
      </c>
      <c r="D5135" t="str">
        <f t="shared" si="262"/>
        <v>Miércoles</v>
      </c>
    </row>
    <row r="5136" spans="1:4" x14ac:dyDescent="0.25">
      <c r="A5136" s="88" t="str">
        <f t="shared" si="260"/>
        <v>1-2037</v>
      </c>
      <c r="B5136" s="86">
        <v>50062</v>
      </c>
      <c r="C5136" t="str">
        <f t="shared" si="261"/>
        <v>L-V</v>
      </c>
      <c r="D5136" t="str">
        <f t="shared" si="262"/>
        <v>Jueves</v>
      </c>
    </row>
    <row r="5137" spans="1:4" x14ac:dyDescent="0.25">
      <c r="A5137" s="88" t="str">
        <f t="shared" si="260"/>
        <v>1-2037</v>
      </c>
      <c r="B5137" s="86">
        <v>50063</v>
      </c>
      <c r="C5137" t="str">
        <f t="shared" si="261"/>
        <v>L-V</v>
      </c>
      <c r="D5137" t="str">
        <f t="shared" si="262"/>
        <v>Viernes</v>
      </c>
    </row>
    <row r="5138" spans="1:4" x14ac:dyDescent="0.25">
      <c r="A5138" s="88" t="str">
        <f t="shared" si="260"/>
        <v>1-2037</v>
      </c>
      <c r="B5138" s="86">
        <v>50064</v>
      </c>
      <c r="C5138" t="str">
        <f t="shared" si="261"/>
        <v>SAB</v>
      </c>
      <c r="D5138" t="str">
        <f t="shared" si="262"/>
        <v>Sábado</v>
      </c>
    </row>
    <row r="5139" spans="1:4" x14ac:dyDescent="0.25">
      <c r="A5139" s="88" t="str">
        <f t="shared" si="260"/>
        <v>1-2037</v>
      </c>
      <c r="B5139" s="86">
        <v>50065</v>
      </c>
      <c r="C5139" t="str">
        <f t="shared" si="261"/>
        <v>DOM</v>
      </c>
      <c r="D5139" t="str">
        <f t="shared" si="262"/>
        <v>Domingo</v>
      </c>
    </row>
    <row r="5140" spans="1:4" x14ac:dyDescent="0.25">
      <c r="A5140" s="88" t="str">
        <f t="shared" si="260"/>
        <v>1-2037</v>
      </c>
      <c r="B5140" s="86">
        <v>50066</v>
      </c>
      <c r="C5140" t="str">
        <f t="shared" si="261"/>
        <v>L-V</v>
      </c>
      <c r="D5140" t="str">
        <f t="shared" si="262"/>
        <v>Lunes</v>
      </c>
    </row>
    <row r="5141" spans="1:4" x14ac:dyDescent="0.25">
      <c r="A5141" s="88" t="str">
        <f t="shared" si="260"/>
        <v>1-2037</v>
      </c>
      <c r="B5141" s="86">
        <v>50067</v>
      </c>
      <c r="C5141" t="str">
        <f t="shared" si="261"/>
        <v>L-V</v>
      </c>
      <c r="D5141" t="str">
        <f t="shared" si="262"/>
        <v>Martes</v>
      </c>
    </row>
    <row r="5142" spans="1:4" x14ac:dyDescent="0.25">
      <c r="A5142" s="88" t="str">
        <f t="shared" si="260"/>
        <v>1-2037</v>
      </c>
      <c r="B5142" s="86">
        <v>50068</v>
      </c>
      <c r="C5142" t="str">
        <f t="shared" si="261"/>
        <v>L-V</v>
      </c>
      <c r="D5142" t="str">
        <f t="shared" si="262"/>
        <v>Miércoles</v>
      </c>
    </row>
    <row r="5143" spans="1:4" x14ac:dyDescent="0.25">
      <c r="A5143" s="88" t="str">
        <f t="shared" si="260"/>
        <v>1-2037</v>
      </c>
      <c r="B5143" s="86">
        <v>50069</v>
      </c>
      <c r="C5143" t="str">
        <f t="shared" si="261"/>
        <v>L-V</v>
      </c>
      <c r="D5143" t="str">
        <f t="shared" si="262"/>
        <v>Jueves</v>
      </c>
    </row>
    <row r="5144" spans="1:4" x14ac:dyDescent="0.25">
      <c r="A5144" s="88" t="str">
        <f t="shared" si="260"/>
        <v>1-2037</v>
      </c>
      <c r="B5144" s="86">
        <v>50070</v>
      </c>
      <c r="C5144" t="str">
        <f t="shared" si="261"/>
        <v>L-V</v>
      </c>
      <c r="D5144" t="str">
        <f t="shared" si="262"/>
        <v>Viernes</v>
      </c>
    </row>
    <row r="5145" spans="1:4" x14ac:dyDescent="0.25">
      <c r="A5145" s="88" t="str">
        <f t="shared" si="260"/>
        <v>1-2037</v>
      </c>
      <c r="B5145" s="86">
        <v>50071</v>
      </c>
      <c r="C5145" t="str">
        <f t="shared" si="261"/>
        <v>SAB</v>
      </c>
      <c r="D5145" t="str">
        <f t="shared" si="262"/>
        <v>Sábado</v>
      </c>
    </row>
    <row r="5146" spans="1:4" x14ac:dyDescent="0.25">
      <c r="A5146" s="88" t="str">
        <f t="shared" si="260"/>
        <v>2-2037</v>
      </c>
      <c r="B5146" s="86">
        <v>50072</v>
      </c>
      <c r="C5146" t="str">
        <f t="shared" si="261"/>
        <v>DOM</v>
      </c>
      <c r="D5146" t="str">
        <f t="shared" si="262"/>
        <v>Domingo</v>
      </c>
    </row>
    <row r="5147" spans="1:4" x14ac:dyDescent="0.25">
      <c r="A5147" s="88" t="str">
        <f t="shared" si="260"/>
        <v>2-2037</v>
      </c>
      <c r="B5147" s="86">
        <v>50073</v>
      </c>
      <c r="C5147" t="str">
        <f t="shared" si="261"/>
        <v>L-V</v>
      </c>
      <c r="D5147" t="str">
        <f t="shared" si="262"/>
        <v>Lunes</v>
      </c>
    </row>
    <row r="5148" spans="1:4" x14ac:dyDescent="0.25">
      <c r="A5148" s="88" t="str">
        <f t="shared" si="260"/>
        <v>2-2037</v>
      </c>
      <c r="B5148" s="86">
        <v>50074</v>
      </c>
      <c r="C5148" t="str">
        <f t="shared" si="261"/>
        <v>L-V</v>
      </c>
      <c r="D5148" t="str">
        <f t="shared" si="262"/>
        <v>Martes</v>
      </c>
    </row>
    <row r="5149" spans="1:4" x14ac:dyDescent="0.25">
      <c r="A5149" s="88" t="str">
        <f t="shared" ref="A5149:A5212" si="263">MONTH(B5149)&amp;"-"&amp;YEAR(B5149)</f>
        <v>2-2037</v>
      </c>
      <c r="B5149" s="86">
        <v>50075</v>
      </c>
      <c r="C5149" t="str">
        <f t="shared" ref="C5149:C5212" si="264">VLOOKUP(WEEKDAY(B5149,2),$F$1:$H$7,2)</f>
        <v>L-V</v>
      </c>
      <c r="D5149" t="str">
        <f t="shared" si="262"/>
        <v>Miércoles</v>
      </c>
    </row>
    <row r="5150" spans="1:4" x14ac:dyDescent="0.25">
      <c r="A5150" s="88" t="str">
        <f t="shared" si="263"/>
        <v>2-2037</v>
      </c>
      <c r="B5150" s="86">
        <v>50076</v>
      </c>
      <c r="C5150" t="str">
        <f t="shared" si="264"/>
        <v>L-V</v>
      </c>
      <c r="D5150" t="str">
        <f t="shared" si="262"/>
        <v>Jueves</v>
      </c>
    </row>
    <row r="5151" spans="1:4" x14ac:dyDescent="0.25">
      <c r="A5151" s="88" t="str">
        <f t="shared" si="263"/>
        <v>2-2037</v>
      </c>
      <c r="B5151" s="86">
        <v>50077</v>
      </c>
      <c r="C5151" t="str">
        <f t="shared" si="264"/>
        <v>L-V</v>
      </c>
      <c r="D5151" t="str">
        <f t="shared" si="262"/>
        <v>Viernes</v>
      </c>
    </row>
    <row r="5152" spans="1:4" x14ac:dyDescent="0.25">
      <c r="A5152" s="88" t="str">
        <f t="shared" si="263"/>
        <v>2-2037</v>
      </c>
      <c r="B5152" s="86">
        <v>50078</v>
      </c>
      <c r="C5152" t="str">
        <f t="shared" si="264"/>
        <v>SAB</v>
      </c>
      <c r="D5152" t="str">
        <f t="shared" si="262"/>
        <v>Sábado</v>
      </c>
    </row>
    <row r="5153" spans="1:4" x14ac:dyDescent="0.25">
      <c r="A5153" s="88" t="str">
        <f t="shared" si="263"/>
        <v>2-2037</v>
      </c>
      <c r="B5153" s="86">
        <v>50079</v>
      </c>
      <c r="C5153" t="str">
        <f t="shared" si="264"/>
        <v>DOM</v>
      </c>
      <c r="D5153" t="str">
        <f t="shared" si="262"/>
        <v>Domingo</v>
      </c>
    </row>
    <row r="5154" spans="1:4" x14ac:dyDescent="0.25">
      <c r="A5154" s="88" t="str">
        <f t="shared" si="263"/>
        <v>2-2037</v>
      </c>
      <c r="B5154" s="86">
        <v>50080</v>
      </c>
      <c r="C5154" t="str">
        <f t="shared" si="264"/>
        <v>L-V</v>
      </c>
      <c r="D5154" t="str">
        <f t="shared" si="262"/>
        <v>Lunes</v>
      </c>
    </row>
    <row r="5155" spans="1:4" x14ac:dyDescent="0.25">
      <c r="A5155" s="88" t="str">
        <f t="shared" si="263"/>
        <v>2-2037</v>
      </c>
      <c r="B5155" s="86">
        <v>50081</v>
      </c>
      <c r="C5155" t="str">
        <f t="shared" si="264"/>
        <v>L-V</v>
      </c>
      <c r="D5155" t="str">
        <f t="shared" si="262"/>
        <v>Martes</v>
      </c>
    </row>
    <row r="5156" spans="1:4" x14ac:dyDescent="0.25">
      <c r="A5156" s="88" t="str">
        <f t="shared" si="263"/>
        <v>2-2037</v>
      </c>
      <c r="B5156" s="86">
        <v>50082</v>
      </c>
      <c r="C5156" t="str">
        <f t="shared" si="264"/>
        <v>L-V</v>
      </c>
      <c r="D5156" t="str">
        <f t="shared" si="262"/>
        <v>Miércoles</v>
      </c>
    </row>
    <row r="5157" spans="1:4" x14ac:dyDescent="0.25">
      <c r="A5157" s="88" t="str">
        <f t="shared" si="263"/>
        <v>2-2037</v>
      </c>
      <c r="B5157" s="86">
        <v>50083</v>
      </c>
      <c r="C5157" t="str">
        <f t="shared" si="264"/>
        <v>L-V</v>
      </c>
      <c r="D5157" t="str">
        <f t="shared" si="262"/>
        <v>Jueves</v>
      </c>
    </row>
    <row r="5158" spans="1:4" x14ac:dyDescent="0.25">
      <c r="A5158" s="88" t="str">
        <f t="shared" si="263"/>
        <v>2-2037</v>
      </c>
      <c r="B5158" s="86">
        <v>50084</v>
      </c>
      <c r="C5158" t="str">
        <f t="shared" si="264"/>
        <v>L-V</v>
      </c>
      <c r="D5158" t="str">
        <f t="shared" si="262"/>
        <v>Viernes</v>
      </c>
    </row>
    <row r="5159" spans="1:4" x14ac:dyDescent="0.25">
      <c r="A5159" s="88" t="str">
        <f t="shared" si="263"/>
        <v>2-2037</v>
      </c>
      <c r="B5159" s="86">
        <v>50085</v>
      </c>
      <c r="C5159" t="str">
        <f t="shared" si="264"/>
        <v>SAB</v>
      </c>
      <c r="D5159" t="str">
        <f t="shared" si="262"/>
        <v>Sábado</v>
      </c>
    </row>
    <row r="5160" spans="1:4" x14ac:dyDescent="0.25">
      <c r="A5160" s="88" t="str">
        <f t="shared" si="263"/>
        <v>2-2037</v>
      </c>
      <c r="B5160" s="86">
        <v>50086</v>
      </c>
      <c r="C5160" t="str">
        <f t="shared" si="264"/>
        <v>DOM</v>
      </c>
      <c r="D5160" t="str">
        <f t="shared" si="262"/>
        <v>Domingo</v>
      </c>
    </row>
    <row r="5161" spans="1:4" x14ac:dyDescent="0.25">
      <c r="A5161" s="88" t="str">
        <f t="shared" si="263"/>
        <v>2-2037</v>
      </c>
      <c r="B5161" s="86">
        <v>50087</v>
      </c>
      <c r="C5161" t="str">
        <f t="shared" si="264"/>
        <v>L-V</v>
      </c>
      <c r="D5161" t="str">
        <f t="shared" si="262"/>
        <v>Lunes</v>
      </c>
    </row>
    <row r="5162" spans="1:4" x14ac:dyDescent="0.25">
      <c r="A5162" s="88" t="str">
        <f t="shared" si="263"/>
        <v>2-2037</v>
      </c>
      <c r="B5162" s="86">
        <v>50088</v>
      </c>
      <c r="C5162" t="str">
        <f t="shared" si="264"/>
        <v>L-V</v>
      </c>
      <c r="D5162" t="str">
        <f t="shared" si="262"/>
        <v>Martes</v>
      </c>
    </row>
    <row r="5163" spans="1:4" x14ac:dyDescent="0.25">
      <c r="A5163" s="88" t="str">
        <f t="shared" si="263"/>
        <v>2-2037</v>
      </c>
      <c r="B5163" s="86">
        <v>50089</v>
      </c>
      <c r="C5163" t="str">
        <f t="shared" si="264"/>
        <v>L-V</v>
      </c>
      <c r="D5163" t="str">
        <f t="shared" si="262"/>
        <v>Miércoles</v>
      </c>
    </row>
    <row r="5164" spans="1:4" x14ac:dyDescent="0.25">
      <c r="A5164" s="88" t="str">
        <f t="shared" si="263"/>
        <v>2-2037</v>
      </c>
      <c r="B5164" s="86">
        <v>50090</v>
      </c>
      <c r="C5164" t="str">
        <f t="shared" si="264"/>
        <v>L-V</v>
      </c>
      <c r="D5164" t="str">
        <f t="shared" si="262"/>
        <v>Jueves</v>
      </c>
    </row>
    <row r="5165" spans="1:4" x14ac:dyDescent="0.25">
      <c r="A5165" s="88" t="str">
        <f t="shared" si="263"/>
        <v>2-2037</v>
      </c>
      <c r="B5165" s="86">
        <v>50091</v>
      </c>
      <c r="C5165" t="str">
        <f t="shared" si="264"/>
        <v>L-V</v>
      </c>
      <c r="D5165" t="str">
        <f t="shared" si="262"/>
        <v>Viernes</v>
      </c>
    </row>
    <row r="5166" spans="1:4" x14ac:dyDescent="0.25">
      <c r="A5166" s="88" t="str">
        <f t="shared" si="263"/>
        <v>2-2037</v>
      </c>
      <c r="B5166" s="86">
        <v>50092</v>
      </c>
      <c r="C5166" t="str">
        <f t="shared" si="264"/>
        <v>SAB</v>
      </c>
      <c r="D5166" t="str">
        <f t="shared" si="262"/>
        <v>Sábado</v>
      </c>
    </row>
    <row r="5167" spans="1:4" x14ac:dyDescent="0.25">
      <c r="A5167" s="88" t="str">
        <f t="shared" si="263"/>
        <v>2-2037</v>
      </c>
      <c r="B5167" s="86">
        <v>50093</v>
      </c>
      <c r="C5167" t="str">
        <f t="shared" si="264"/>
        <v>DOM</v>
      </c>
      <c r="D5167" t="str">
        <f t="shared" si="262"/>
        <v>Domingo</v>
      </c>
    </row>
    <row r="5168" spans="1:4" x14ac:dyDescent="0.25">
      <c r="A5168" s="88" t="str">
        <f t="shared" si="263"/>
        <v>2-2037</v>
      </c>
      <c r="B5168" s="86">
        <v>50094</v>
      </c>
      <c r="C5168" t="str">
        <f t="shared" si="264"/>
        <v>L-V</v>
      </c>
      <c r="D5168" t="str">
        <f t="shared" si="262"/>
        <v>Lunes</v>
      </c>
    </row>
    <row r="5169" spans="1:4" x14ac:dyDescent="0.25">
      <c r="A5169" s="88" t="str">
        <f t="shared" si="263"/>
        <v>2-2037</v>
      </c>
      <c r="B5169" s="86">
        <v>50095</v>
      </c>
      <c r="C5169" t="str">
        <f t="shared" si="264"/>
        <v>L-V</v>
      </c>
      <c r="D5169" t="str">
        <f t="shared" si="262"/>
        <v>Martes</v>
      </c>
    </row>
    <row r="5170" spans="1:4" x14ac:dyDescent="0.25">
      <c r="A5170" s="88" t="str">
        <f t="shared" si="263"/>
        <v>2-2037</v>
      </c>
      <c r="B5170" s="86">
        <v>50096</v>
      </c>
      <c r="C5170" t="str">
        <f t="shared" si="264"/>
        <v>L-V</v>
      </c>
      <c r="D5170" t="str">
        <f t="shared" si="262"/>
        <v>Miércoles</v>
      </c>
    </row>
    <row r="5171" spans="1:4" x14ac:dyDescent="0.25">
      <c r="A5171" s="88" t="str">
        <f t="shared" si="263"/>
        <v>2-2037</v>
      </c>
      <c r="B5171" s="86">
        <v>50097</v>
      </c>
      <c r="C5171" t="str">
        <f t="shared" si="264"/>
        <v>L-V</v>
      </c>
      <c r="D5171" t="str">
        <f t="shared" si="262"/>
        <v>Jueves</v>
      </c>
    </row>
    <row r="5172" spans="1:4" x14ac:dyDescent="0.25">
      <c r="A5172" s="88" t="str">
        <f t="shared" si="263"/>
        <v>2-2037</v>
      </c>
      <c r="B5172" s="86">
        <v>50098</v>
      </c>
      <c r="C5172" t="str">
        <f t="shared" si="264"/>
        <v>L-V</v>
      </c>
      <c r="D5172" t="str">
        <f t="shared" si="262"/>
        <v>Viernes</v>
      </c>
    </row>
    <row r="5173" spans="1:4" x14ac:dyDescent="0.25">
      <c r="A5173" s="88" t="str">
        <f t="shared" si="263"/>
        <v>2-2037</v>
      </c>
      <c r="B5173" s="86">
        <v>50099</v>
      </c>
      <c r="C5173" t="str">
        <f t="shared" si="264"/>
        <v>SAB</v>
      </c>
      <c r="D5173" t="str">
        <f t="shared" si="262"/>
        <v>Sábado</v>
      </c>
    </row>
    <row r="5174" spans="1:4" x14ac:dyDescent="0.25">
      <c r="A5174" s="88" t="str">
        <f t="shared" si="263"/>
        <v>3-2037</v>
      </c>
      <c r="B5174" s="86">
        <v>50100</v>
      </c>
      <c r="C5174" t="str">
        <f t="shared" si="264"/>
        <v>DOM</v>
      </c>
      <c r="D5174" t="str">
        <f t="shared" si="262"/>
        <v>Domingo</v>
      </c>
    </row>
    <row r="5175" spans="1:4" x14ac:dyDescent="0.25">
      <c r="A5175" s="88" t="str">
        <f t="shared" si="263"/>
        <v>3-2037</v>
      </c>
      <c r="B5175" s="86">
        <v>50101</v>
      </c>
      <c r="C5175" t="str">
        <f t="shared" si="264"/>
        <v>L-V</v>
      </c>
      <c r="D5175" t="str">
        <f t="shared" si="262"/>
        <v>Lunes</v>
      </c>
    </row>
    <row r="5176" spans="1:4" x14ac:dyDescent="0.25">
      <c r="A5176" s="88" t="str">
        <f t="shared" si="263"/>
        <v>3-2037</v>
      </c>
      <c r="B5176" s="86">
        <v>50102</v>
      </c>
      <c r="C5176" t="str">
        <f t="shared" si="264"/>
        <v>L-V</v>
      </c>
      <c r="D5176" t="str">
        <f t="shared" si="262"/>
        <v>Martes</v>
      </c>
    </row>
    <row r="5177" spans="1:4" x14ac:dyDescent="0.25">
      <c r="A5177" s="88" t="str">
        <f t="shared" si="263"/>
        <v>3-2037</v>
      </c>
      <c r="B5177" s="86">
        <v>50103</v>
      </c>
      <c r="C5177" t="str">
        <f t="shared" si="264"/>
        <v>L-V</v>
      </c>
      <c r="D5177" t="str">
        <f t="shared" si="262"/>
        <v>Miércoles</v>
      </c>
    </row>
    <row r="5178" spans="1:4" x14ac:dyDescent="0.25">
      <c r="A5178" s="88" t="str">
        <f t="shared" si="263"/>
        <v>3-2037</v>
      </c>
      <c r="B5178" s="86">
        <v>50104</v>
      </c>
      <c r="C5178" t="str">
        <f t="shared" si="264"/>
        <v>L-V</v>
      </c>
      <c r="D5178" t="str">
        <f t="shared" si="262"/>
        <v>Jueves</v>
      </c>
    </row>
    <row r="5179" spans="1:4" x14ac:dyDescent="0.25">
      <c r="A5179" s="88" t="str">
        <f t="shared" si="263"/>
        <v>3-2037</v>
      </c>
      <c r="B5179" s="86">
        <v>50105</v>
      </c>
      <c r="C5179" t="str">
        <f t="shared" si="264"/>
        <v>L-V</v>
      </c>
      <c r="D5179" t="str">
        <f t="shared" si="262"/>
        <v>Viernes</v>
      </c>
    </row>
    <row r="5180" spans="1:4" x14ac:dyDescent="0.25">
      <c r="A5180" s="88" t="str">
        <f t="shared" si="263"/>
        <v>3-2037</v>
      </c>
      <c r="B5180" s="86">
        <v>50106</v>
      </c>
      <c r="C5180" t="str">
        <f t="shared" si="264"/>
        <v>SAB</v>
      </c>
      <c r="D5180" t="str">
        <f t="shared" si="262"/>
        <v>Sábado</v>
      </c>
    </row>
    <row r="5181" spans="1:4" x14ac:dyDescent="0.25">
      <c r="A5181" s="88" t="str">
        <f t="shared" si="263"/>
        <v>3-2037</v>
      </c>
      <c r="B5181" s="86">
        <v>50107</v>
      </c>
      <c r="C5181" t="str">
        <f t="shared" si="264"/>
        <v>DOM</v>
      </c>
      <c r="D5181" t="str">
        <f t="shared" si="262"/>
        <v>Domingo</v>
      </c>
    </row>
    <row r="5182" spans="1:4" x14ac:dyDescent="0.25">
      <c r="A5182" s="88" t="str">
        <f t="shared" si="263"/>
        <v>3-2037</v>
      </c>
      <c r="B5182" s="86">
        <v>50108</v>
      </c>
      <c r="C5182" t="str">
        <f t="shared" si="264"/>
        <v>L-V</v>
      </c>
      <c r="D5182" t="str">
        <f t="shared" si="262"/>
        <v>Lunes</v>
      </c>
    </row>
    <row r="5183" spans="1:4" x14ac:dyDescent="0.25">
      <c r="A5183" s="88" t="str">
        <f t="shared" si="263"/>
        <v>3-2037</v>
      </c>
      <c r="B5183" s="86">
        <v>50109</v>
      </c>
      <c r="C5183" t="str">
        <f t="shared" si="264"/>
        <v>L-V</v>
      </c>
      <c r="D5183" t="str">
        <f t="shared" si="262"/>
        <v>Martes</v>
      </c>
    </row>
    <row r="5184" spans="1:4" x14ac:dyDescent="0.25">
      <c r="A5184" s="88" t="str">
        <f t="shared" si="263"/>
        <v>3-2037</v>
      </c>
      <c r="B5184" s="86">
        <v>50110</v>
      </c>
      <c r="C5184" t="str">
        <f t="shared" si="264"/>
        <v>L-V</v>
      </c>
      <c r="D5184" t="str">
        <f t="shared" si="262"/>
        <v>Miércoles</v>
      </c>
    </row>
    <row r="5185" spans="1:4" x14ac:dyDescent="0.25">
      <c r="A5185" s="88" t="str">
        <f t="shared" si="263"/>
        <v>3-2037</v>
      </c>
      <c r="B5185" s="86">
        <v>50111</v>
      </c>
      <c r="C5185" t="str">
        <f t="shared" si="264"/>
        <v>L-V</v>
      </c>
      <c r="D5185" t="str">
        <f t="shared" si="262"/>
        <v>Jueves</v>
      </c>
    </row>
    <row r="5186" spans="1:4" x14ac:dyDescent="0.25">
      <c r="A5186" s="88" t="str">
        <f t="shared" si="263"/>
        <v>3-2037</v>
      </c>
      <c r="B5186" s="86">
        <v>50112</v>
      </c>
      <c r="C5186" t="str">
        <f t="shared" si="264"/>
        <v>L-V</v>
      </c>
      <c r="D5186" t="str">
        <f t="shared" si="262"/>
        <v>Viernes</v>
      </c>
    </row>
    <row r="5187" spans="1:4" x14ac:dyDescent="0.25">
      <c r="A5187" s="88" t="str">
        <f t="shared" si="263"/>
        <v>3-2037</v>
      </c>
      <c r="B5187" s="86">
        <v>50113</v>
      </c>
      <c r="C5187" t="str">
        <f t="shared" si="264"/>
        <v>SAB</v>
      </c>
      <c r="D5187" t="str">
        <f t="shared" ref="D5187:D5250" si="265">VLOOKUP(WEEKDAY($B5187,2),$F$1:$H$7,3)</f>
        <v>Sábado</v>
      </c>
    </row>
    <row r="5188" spans="1:4" x14ac:dyDescent="0.25">
      <c r="A5188" s="88" t="str">
        <f t="shared" si="263"/>
        <v>3-2037</v>
      </c>
      <c r="B5188" s="86">
        <v>50114</v>
      </c>
      <c r="C5188" t="str">
        <f t="shared" si="264"/>
        <v>DOM</v>
      </c>
      <c r="D5188" t="str">
        <f t="shared" si="265"/>
        <v>Domingo</v>
      </c>
    </row>
    <row r="5189" spans="1:4" x14ac:dyDescent="0.25">
      <c r="A5189" s="88" t="str">
        <f t="shared" si="263"/>
        <v>3-2037</v>
      </c>
      <c r="B5189" s="86">
        <v>50115</v>
      </c>
      <c r="C5189" t="str">
        <f t="shared" si="264"/>
        <v>L-V</v>
      </c>
      <c r="D5189" t="str">
        <f t="shared" si="265"/>
        <v>Lunes</v>
      </c>
    </row>
    <row r="5190" spans="1:4" x14ac:dyDescent="0.25">
      <c r="A5190" s="88" t="str">
        <f t="shared" si="263"/>
        <v>3-2037</v>
      </c>
      <c r="B5190" s="86">
        <v>50116</v>
      </c>
      <c r="C5190" t="str">
        <f t="shared" si="264"/>
        <v>L-V</v>
      </c>
      <c r="D5190" t="str">
        <f t="shared" si="265"/>
        <v>Martes</v>
      </c>
    </row>
    <row r="5191" spans="1:4" x14ac:dyDescent="0.25">
      <c r="A5191" s="88" t="str">
        <f t="shared" si="263"/>
        <v>3-2037</v>
      </c>
      <c r="B5191" s="86">
        <v>50117</v>
      </c>
      <c r="C5191" t="str">
        <f t="shared" si="264"/>
        <v>L-V</v>
      </c>
      <c r="D5191" t="str">
        <f t="shared" si="265"/>
        <v>Miércoles</v>
      </c>
    </row>
    <row r="5192" spans="1:4" x14ac:dyDescent="0.25">
      <c r="A5192" s="88" t="str">
        <f t="shared" si="263"/>
        <v>3-2037</v>
      </c>
      <c r="B5192" s="86">
        <v>50118</v>
      </c>
      <c r="C5192" t="str">
        <f t="shared" si="264"/>
        <v>L-V</v>
      </c>
      <c r="D5192" t="str">
        <f t="shared" si="265"/>
        <v>Jueves</v>
      </c>
    </row>
    <row r="5193" spans="1:4" x14ac:dyDescent="0.25">
      <c r="A5193" s="88" t="str">
        <f t="shared" si="263"/>
        <v>3-2037</v>
      </c>
      <c r="B5193" s="86">
        <v>50119</v>
      </c>
      <c r="C5193" t="str">
        <f t="shared" si="264"/>
        <v>L-V</v>
      </c>
      <c r="D5193" t="str">
        <f t="shared" si="265"/>
        <v>Viernes</v>
      </c>
    </row>
    <row r="5194" spans="1:4" x14ac:dyDescent="0.25">
      <c r="A5194" s="88" t="str">
        <f t="shared" si="263"/>
        <v>3-2037</v>
      </c>
      <c r="B5194" s="86">
        <v>50120</v>
      </c>
      <c r="C5194" t="str">
        <f t="shared" si="264"/>
        <v>SAB</v>
      </c>
      <c r="D5194" t="str">
        <f t="shared" si="265"/>
        <v>Sábado</v>
      </c>
    </row>
    <row r="5195" spans="1:4" x14ac:dyDescent="0.25">
      <c r="A5195" s="88" t="str">
        <f t="shared" si="263"/>
        <v>3-2037</v>
      </c>
      <c r="B5195" s="86">
        <v>50121</v>
      </c>
      <c r="C5195" t="str">
        <f t="shared" si="264"/>
        <v>DOM</v>
      </c>
      <c r="D5195" t="str">
        <f t="shared" si="265"/>
        <v>Domingo</v>
      </c>
    </row>
    <row r="5196" spans="1:4" x14ac:dyDescent="0.25">
      <c r="A5196" s="88" t="str">
        <f t="shared" si="263"/>
        <v>3-2037</v>
      </c>
      <c r="B5196" s="86">
        <v>50122</v>
      </c>
      <c r="C5196" t="str">
        <f t="shared" si="264"/>
        <v>L-V</v>
      </c>
      <c r="D5196" t="str">
        <f t="shared" si="265"/>
        <v>Lunes</v>
      </c>
    </row>
    <row r="5197" spans="1:4" x14ac:dyDescent="0.25">
      <c r="A5197" s="88" t="str">
        <f t="shared" si="263"/>
        <v>3-2037</v>
      </c>
      <c r="B5197" s="86">
        <v>50123</v>
      </c>
      <c r="C5197" t="str">
        <f t="shared" si="264"/>
        <v>L-V</v>
      </c>
      <c r="D5197" t="str">
        <f t="shared" si="265"/>
        <v>Martes</v>
      </c>
    </row>
    <row r="5198" spans="1:4" x14ac:dyDescent="0.25">
      <c r="A5198" s="88" t="str">
        <f t="shared" si="263"/>
        <v>3-2037</v>
      </c>
      <c r="B5198" s="86">
        <v>50124</v>
      </c>
      <c r="C5198" t="str">
        <f t="shared" si="264"/>
        <v>L-V</v>
      </c>
      <c r="D5198" t="str">
        <f t="shared" si="265"/>
        <v>Miércoles</v>
      </c>
    </row>
    <row r="5199" spans="1:4" x14ac:dyDescent="0.25">
      <c r="A5199" s="88" t="str">
        <f t="shared" si="263"/>
        <v>3-2037</v>
      </c>
      <c r="B5199" s="86">
        <v>50125</v>
      </c>
      <c r="C5199" t="str">
        <f t="shared" si="264"/>
        <v>L-V</v>
      </c>
      <c r="D5199" t="str">
        <f t="shared" si="265"/>
        <v>Jueves</v>
      </c>
    </row>
    <row r="5200" spans="1:4" x14ac:dyDescent="0.25">
      <c r="A5200" s="88" t="str">
        <f t="shared" si="263"/>
        <v>3-2037</v>
      </c>
      <c r="B5200" s="86">
        <v>50126</v>
      </c>
      <c r="C5200" t="str">
        <f t="shared" si="264"/>
        <v>L-V</v>
      </c>
      <c r="D5200" t="str">
        <f t="shared" si="265"/>
        <v>Viernes</v>
      </c>
    </row>
    <row r="5201" spans="1:4" x14ac:dyDescent="0.25">
      <c r="A5201" s="88" t="str">
        <f t="shared" si="263"/>
        <v>3-2037</v>
      </c>
      <c r="B5201" s="86">
        <v>50127</v>
      </c>
      <c r="C5201" t="str">
        <f t="shared" si="264"/>
        <v>SAB</v>
      </c>
      <c r="D5201" t="str">
        <f t="shared" si="265"/>
        <v>Sábado</v>
      </c>
    </row>
    <row r="5202" spans="1:4" x14ac:dyDescent="0.25">
      <c r="A5202" s="88" t="str">
        <f t="shared" si="263"/>
        <v>3-2037</v>
      </c>
      <c r="B5202" s="86">
        <v>50128</v>
      </c>
      <c r="C5202" t="str">
        <f t="shared" si="264"/>
        <v>DOM</v>
      </c>
      <c r="D5202" t="str">
        <f t="shared" si="265"/>
        <v>Domingo</v>
      </c>
    </row>
    <row r="5203" spans="1:4" x14ac:dyDescent="0.25">
      <c r="A5203" s="88" t="str">
        <f t="shared" si="263"/>
        <v>3-2037</v>
      </c>
      <c r="B5203" s="86">
        <v>50129</v>
      </c>
      <c r="C5203" t="str">
        <f t="shared" si="264"/>
        <v>L-V</v>
      </c>
      <c r="D5203" t="str">
        <f t="shared" si="265"/>
        <v>Lunes</v>
      </c>
    </row>
    <row r="5204" spans="1:4" x14ac:dyDescent="0.25">
      <c r="A5204" s="88" t="str">
        <f t="shared" si="263"/>
        <v>3-2037</v>
      </c>
      <c r="B5204" s="86">
        <v>50130</v>
      </c>
      <c r="C5204" t="str">
        <f t="shared" si="264"/>
        <v>L-V</v>
      </c>
      <c r="D5204" t="str">
        <f t="shared" si="265"/>
        <v>Martes</v>
      </c>
    </row>
    <row r="5205" spans="1:4" x14ac:dyDescent="0.25">
      <c r="A5205" s="88" t="str">
        <f t="shared" si="263"/>
        <v>4-2037</v>
      </c>
      <c r="B5205" s="86">
        <v>50131</v>
      </c>
      <c r="C5205" t="str">
        <f t="shared" si="264"/>
        <v>L-V</v>
      </c>
      <c r="D5205" t="str">
        <f t="shared" si="265"/>
        <v>Miércoles</v>
      </c>
    </row>
    <row r="5206" spans="1:4" x14ac:dyDescent="0.25">
      <c r="A5206" s="88" t="str">
        <f t="shared" si="263"/>
        <v>4-2037</v>
      </c>
      <c r="B5206" s="86">
        <v>50132</v>
      </c>
      <c r="C5206" t="str">
        <f t="shared" si="264"/>
        <v>L-V</v>
      </c>
      <c r="D5206" t="str">
        <f t="shared" si="265"/>
        <v>Jueves</v>
      </c>
    </row>
    <row r="5207" spans="1:4" x14ac:dyDescent="0.25">
      <c r="A5207" s="88" t="str">
        <f t="shared" si="263"/>
        <v>4-2037</v>
      </c>
      <c r="B5207" s="86">
        <v>50133</v>
      </c>
      <c r="C5207" t="str">
        <f t="shared" si="264"/>
        <v>L-V</v>
      </c>
      <c r="D5207" t="str">
        <f t="shared" si="265"/>
        <v>Viernes</v>
      </c>
    </row>
    <row r="5208" spans="1:4" x14ac:dyDescent="0.25">
      <c r="A5208" s="88" t="str">
        <f t="shared" si="263"/>
        <v>4-2037</v>
      </c>
      <c r="B5208" s="86">
        <v>50134</v>
      </c>
      <c r="C5208" t="str">
        <f t="shared" si="264"/>
        <v>SAB</v>
      </c>
      <c r="D5208" t="str">
        <f t="shared" si="265"/>
        <v>Sábado</v>
      </c>
    </row>
    <row r="5209" spans="1:4" x14ac:dyDescent="0.25">
      <c r="A5209" s="88" t="str">
        <f t="shared" si="263"/>
        <v>4-2037</v>
      </c>
      <c r="B5209" s="86">
        <v>50135</v>
      </c>
      <c r="C5209" t="str">
        <f t="shared" si="264"/>
        <v>DOM</v>
      </c>
      <c r="D5209" t="str">
        <f t="shared" si="265"/>
        <v>Domingo</v>
      </c>
    </row>
    <row r="5210" spans="1:4" x14ac:dyDescent="0.25">
      <c r="A5210" s="88" t="str">
        <f t="shared" si="263"/>
        <v>4-2037</v>
      </c>
      <c r="B5210" s="86">
        <v>50136</v>
      </c>
      <c r="C5210" t="str">
        <f t="shared" si="264"/>
        <v>L-V</v>
      </c>
      <c r="D5210" t="str">
        <f t="shared" si="265"/>
        <v>Lunes</v>
      </c>
    </row>
    <row r="5211" spans="1:4" x14ac:dyDescent="0.25">
      <c r="A5211" s="88" t="str">
        <f t="shared" si="263"/>
        <v>4-2037</v>
      </c>
      <c r="B5211" s="86">
        <v>50137</v>
      </c>
      <c r="C5211" t="str">
        <f t="shared" si="264"/>
        <v>L-V</v>
      </c>
      <c r="D5211" t="str">
        <f t="shared" si="265"/>
        <v>Martes</v>
      </c>
    </row>
    <row r="5212" spans="1:4" x14ac:dyDescent="0.25">
      <c r="A5212" s="88" t="str">
        <f t="shared" si="263"/>
        <v>4-2037</v>
      </c>
      <c r="B5212" s="86">
        <v>50138</v>
      </c>
      <c r="C5212" t="str">
        <f t="shared" si="264"/>
        <v>L-V</v>
      </c>
      <c r="D5212" t="str">
        <f t="shared" si="265"/>
        <v>Miércoles</v>
      </c>
    </row>
    <row r="5213" spans="1:4" x14ac:dyDescent="0.25">
      <c r="A5213" s="88" t="str">
        <f t="shared" ref="A5213:A5276" si="266">MONTH(B5213)&amp;"-"&amp;YEAR(B5213)</f>
        <v>4-2037</v>
      </c>
      <c r="B5213" s="86">
        <v>50139</v>
      </c>
      <c r="C5213" t="str">
        <f t="shared" ref="C5213:C5276" si="267">VLOOKUP(WEEKDAY(B5213,2),$F$1:$H$7,2)</f>
        <v>L-V</v>
      </c>
      <c r="D5213" t="str">
        <f t="shared" si="265"/>
        <v>Jueves</v>
      </c>
    </row>
    <row r="5214" spans="1:4" x14ac:dyDescent="0.25">
      <c r="A5214" s="88" t="str">
        <f t="shared" si="266"/>
        <v>4-2037</v>
      </c>
      <c r="B5214" s="86">
        <v>50140</v>
      </c>
      <c r="C5214" t="str">
        <f t="shared" si="267"/>
        <v>L-V</v>
      </c>
      <c r="D5214" t="str">
        <f t="shared" si="265"/>
        <v>Viernes</v>
      </c>
    </row>
    <row r="5215" spans="1:4" x14ac:dyDescent="0.25">
      <c r="A5215" s="88" t="str">
        <f t="shared" si="266"/>
        <v>4-2037</v>
      </c>
      <c r="B5215" s="86">
        <v>50141</v>
      </c>
      <c r="C5215" t="str">
        <f t="shared" si="267"/>
        <v>SAB</v>
      </c>
      <c r="D5215" t="str">
        <f t="shared" si="265"/>
        <v>Sábado</v>
      </c>
    </row>
    <row r="5216" spans="1:4" x14ac:dyDescent="0.25">
      <c r="A5216" s="88" t="str">
        <f t="shared" si="266"/>
        <v>4-2037</v>
      </c>
      <c r="B5216" s="86">
        <v>50142</v>
      </c>
      <c r="C5216" t="str">
        <f t="shared" si="267"/>
        <v>DOM</v>
      </c>
      <c r="D5216" t="str">
        <f t="shared" si="265"/>
        <v>Domingo</v>
      </c>
    </row>
    <row r="5217" spans="1:4" x14ac:dyDescent="0.25">
      <c r="A5217" s="88" t="str">
        <f t="shared" si="266"/>
        <v>4-2037</v>
      </c>
      <c r="B5217" s="86">
        <v>50143</v>
      </c>
      <c r="C5217" t="str">
        <f t="shared" si="267"/>
        <v>L-V</v>
      </c>
      <c r="D5217" t="str">
        <f t="shared" si="265"/>
        <v>Lunes</v>
      </c>
    </row>
    <row r="5218" spans="1:4" x14ac:dyDescent="0.25">
      <c r="A5218" s="88" t="str">
        <f t="shared" si="266"/>
        <v>4-2037</v>
      </c>
      <c r="B5218" s="86">
        <v>50144</v>
      </c>
      <c r="C5218" t="str">
        <f t="shared" si="267"/>
        <v>L-V</v>
      </c>
      <c r="D5218" t="str">
        <f t="shared" si="265"/>
        <v>Martes</v>
      </c>
    </row>
    <row r="5219" spans="1:4" x14ac:dyDescent="0.25">
      <c r="A5219" s="88" t="str">
        <f t="shared" si="266"/>
        <v>4-2037</v>
      </c>
      <c r="B5219" s="86">
        <v>50145</v>
      </c>
      <c r="C5219" t="str">
        <f t="shared" si="267"/>
        <v>L-V</v>
      </c>
      <c r="D5219" t="str">
        <f t="shared" si="265"/>
        <v>Miércoles</v>
      </c>
    </row>
    <row r="5220" spans="1:4" x14ac:dyDescent="0.25">
      <c r="A5220" s="88" t="str">
        <f t="shared" si="266"/>
        <v>4-2037</v>
      </c>
      <c r="B5220" s="86">
        <v>50146</v>
      </c>
      <c r="C5220" t="str">
        <f t="shared" si="267"/>
        <v>L-V</v>
      </c>
      <c r="D5220" t="str">
        <f t="shared" si="265"/>
        <v>Jueves</v>
      </c>
    </row>
    <row r="5221" spans="1:4" x14ac:dyDescent="0.25">
      <c r="A5221" s="88" t="str">
        <f t="shared" si="266"/>
        <v>4-2037</v>
      </c>
      <c r="B5221" s="86">
        <v>50147</v>
      </c>
      <c r="C5221" t="str">
        <f t="shared" si="267"/>
        <v>L-V</v>
      </c>
      <c r="D5221" t="str">
        <f t="shared" si="265"/>
        <v>Viernes</v>
      </c>
    </row>
    <row r="5222" spans="1:4" x14ac:dyDescent="0.25">
      <c r="A5222" s="88" t="str">
        <f t="shared" si="266"/>
        <v>4-2037</v>
      </c>
      <c r="B5222" s="86">
        <v>50148</v>
      </c>
      <c r="C5222" t="str">
        <f t="shared" si="267"/>
        <v>SAB</v>
      </c>
      <c r="D5222" t="str">
        <f t="shared" si="265"/>
        <v>Sábado</v>
      </c>
    </row>
    <row r="5223" spans="1:4" x14ac:dyDescent="0.25">
      <c r="A5223" s="88" t="str">
        <f t="shared" si="266"/>
        <v>4-2037</v>
      </c>
      <c r="B5223" s="86">
        <v>50149</v>
      </c>
      <c r="C5223" t="str">
        <f t="shared" si="267"/>
        <v>DOM</v>
      </c>
      <c r="D5223" t="str">
        <f t="shared" si="265"/>
        <v>Domingo</v>
      </c>
    </row>
    <row r="5224" spans="1:4" x14ac:dyDescent="0.25">
      <c r="A5224" s="88" t="str">
        <f t="shared" si="266"/>
        <v>4-2037</v>
      </c>
      <c r="B5224" s="86">
        <v>50150</v>
      </c>
      <c r="C5224" t="str">
        <f t="shared" si="267"/>
        <v>L-V</v>
      </c>
      <c r="D5224" t="str">
        <f t="shared" si="265"/>
        <v>Lunes</v>
      </c>
    </row>
    <row r="5225" spans="1:4" x14ac:dyDescent="0.25">
      <c r="A5225" s="88" t="str">
        <f t="shared" si="266"/>
        <v>4-2037</v>
      </c>
      <c r="B5225" s="86">
        <v>50151</v>
      </c>
      <c r="C5225" t="str">
        <f t="shared" si="267"/>
        <v>L-V</v>
      </c>
      <c r="D5225" t="str">
        <f t="shared" si="265"/>
        <v>Martes</v>
      </c>
    </row>
    <row r="5226" spans="1:4" x14ac:dyDescent="0.25">
      <c r="A5226" s="88" t="str">
        <f t="shared" si="266"/>
        <v>4-2037</v>
      </c>
      <c r="B5226" s="86">
        <v>50152</v>
      </c>
      <c r="C5226" t="str">
        <f t="shared" si="267"/>
        <v>L-V</v>
      </c>
      <c r="D5226" t="str">
        <f t="shared" si="265"/>
        <v>Miércoles</v>
      </c>
    </row>
    <row r="5227" spans="1:4" x14ac:dyDescent="0.25">
      <c r="A5227" s="88" t="str">
        <f t="shared" si="266"/>
        <v>4-2037</v>
      </c>
      <c r="B5227" s="86">
        <v>50153</v>
      </c>
      <c r="C5227" t="str">
        <f t="shared" si="267"/>
        <v>L-V</v>
      </c>
      <c r="D5227" t="str">
        <f t="shared" si="265"/>
        <v>Jueves</v>
      </c>
    </row>
    <row r="5228" spans="1:4" x14ac:dyDescent="0.25">
      <c r="A5228" s="88" t="str">
        <f t="shared" si="266"/>
        <v>4-2037</v>
      </c>
      <c r="B5228" s="86">
        <v>50154</v>
      </c>
      <c r="C5228" t="str">
        <f t="shared" si="267"/>
        <v>L-V</v>
      </c>
      <c r="D5228" t="str">
        <f t="shared" si="265"/>
        <v>Viernes</v>
      </c>
    </row>
    <row r="5229" spans="1:4" x14ac:dyDescent="0.25">
      <c r="A5229" s="88" t="str">
        <f t="shared" si="266"/>
        <v>4-2037</v>
      </c>
      <c r="B5229" s="86">
        <v>50155</v>
      </c>
      <c r="C5229" t="str">
        <f t="shared" si="267"/>
        <v>SAB</v>
      </c>
      <c r="D5229" t="str">
        <f t="shared" si="265"/>
        <v>Sábado</v>
      </c>
    </row>
    <row r="5230" spans="1:4" x14ac:dyDescent="0.25">
      <c r="A5230" s="88" t="str">
        <f t="shared" si="266"/>
        <v>4-2037</v>
      </c>
      <c r="B5230" s="86">
        <v>50156</v>
      </c>
      <c r="C5230" t="str">
        <f t="shared" si="267"/>
        <v>DOM</v>
      </c>
      <c r="D5230" t="str">
        <f t="shared" si="265"/>
        <v>Domingo</v>
      </c>
    </row>
    <row r="5231" spans="1:4" x14ac:dyDescent="0.25">
      <c r="A5231" s="88" t="str">
        <f t="shared" si="266"/>
        <v>4-2037</v>
      </c>
      <c r="B5231" s="86">
        <v>50157</v>
      </c>
      <c r="C5231" t="str">
        <f t="shared" si="267"/>
        <v>L-V</v>
      </c>
      <c r="D5231" t="str">
        <f t="shared" si="265"/>
        <v>Lunes</v>
      </c>
    </row>
    <row r="5232" spans="1:4" x14ac:dyDescent="0.25">
      <c r="A5232" s="88" t="str">
        <f t="shared" si="266"/>
        <v>4-2037</v>
      </c>
      <c r="B5232" s="86">
        <v>50158</v>
      </c>
      <c r="C5232" t="str">
        <f t="shared" si="267"/>
        <v>L-V</v>
      </c>
      <c r="D5232" t="str">
        <f t="shared" si="265"/>
        <v>Martes</v>
      </c>
    </row>
    <row r="5233" spans="1:4" x14ac:dyDescent="0.25">
      <c r="A5233" s="88" t="str">
        <f t="shared" si="266"/>
        <v>4-2037</v>
      </c>
      <c r="B5233" s="86">
        <v>50159</v>
      </c>
      <c r="C5233" t="str">
        <f t="shared" si="267"/>
        <v>L-V</v>
      </c>
      <c r="D5233" t="str">
        <f t="shared" si="265"/>
        <v>Miércoles</v>
      </c>
    </row>
    <row r="5234" spans="1:4" x14ac:dyDescent="0.25">
      <c r="A5234" s="88" t="str">
        <f t="shared" si="266"/>
        <v>4-2037</v>
      </c>
      <c r="B5234" s="86">
        <v>50160</v>
      </c>
      <c r="C5234" t="str">
        <f t="shared" si="267"/>
        <v>L-V</v>
      </c>
      <c r="D5234" t="str">
        <f t="shared" si="265"/>
        <v>Jueves</v>
      </c>
    </row>
    <row r="5235" spans="1:4" x14ac:dyDescent="0.25">
      <c r="A5235" s="88" t="str">
        <f t="shared" si="266"/>
        <v>5-2037</v>
      </c>
      <c r="B5235" s="86">
        <v>50161</v>
      </c>
      <c r="C5235" t="str">
        <f t="shared" si="267"/>
        <v>L-V</v>
      </c>
      <c r="D5235" t="str">
        <f t="shared" si="265"/>
        <v>Viernes</v>
      </c>
    </row>
    <row r="5236" spans="1:4" x14ac:dyDescent="0.25">
      <c r="A5236" s="88" t="str">
        <f t="shared" si="266"/>
        <v>5-2037</v>
      </c>
      <c r="B5236" s="86">
        <v>50162</v>
      </c>
      <c r="C5236" t="str">
        <f t="shared" si="267"/>
        <v>SAB</v>
      </c>
      <c r="D5236" t="str">
        <f t="shared" si="265"/>
        <v>Sábado</v>
      </c>
    </row>
    <row r="5237" spans="1:4" x14ac:dyDescent="0.25">
      <c r="A5237" s="88" t="str">
        <f t="shared" si="266"/>
        <v>5-2037</v>
      </c>
      <c r="B5237" s="86">
        <v>50163</v>
      </c>
      <c r="C5237" t="str">
        <f t="shared" si="267"/>
        <v>DOM</v>
      </c>
      <c r="D5237" t="str">
        <f t="shared" si="265"/>
        <v>Domingo</v>
      </c>
    </row>
    <row r="5238" spans="1:4" x14ac:dyDescent="0.25">
      <c r="A5238" s="88" t="str">
        <f t="shared" si="266"/>
        <v>5-2037</v>
      </c>
      <c r="B5238" s="86">
        <v>50164</v>
      </c>
      <c r="C5238" t="str">
        <f t="shared" si="267"/>
        <v>L-V</v>
      </c>
      <c r="D5238" t="str">
        <f t="shared" si="265"/>
        <v>Lunes</v>
      </c>
    </row>
    <row r="5239" spans="1:4" x14ac:dyDescent="0.25">
      <c r="A5239" s="88" t="str">
        <f t="shared" si="266"/>
        <v>5-2037</v>
      </c>
      <c r="B5239" s="86">
        <v>50165</v>
      </c>
      <c r="C5239" t="str">
        <f t="shared" si="267"/>
        <v>L-V</v>
      </c>
      <c r="D5239" t="str">
        <f t="shared" si="265"/>
        <v>Martes</v>
      </c>
    </row>
    <row r="5240" spans="1:4" x14ac:dyDescent="0.25">
      <c r="A5240" s="88" t="str">
        <f t="shared" si="266"/>
        <v>5-2037</v>
      </c>
      <c r="B5240" s="86">
        <v>50166</v>
      </c>
      <c r="C5240" t="str">
        <f t="shared" si="267"/>
        <v>L-V</v>
      </c>
      <c r="D5240" t="str">
        <f t="shared" si="265"/>
        <v>Miércoles</v>
      </c>
    </row>
    <row r="5241" spans="1:4" x14ac:dyDescent="0.25">
      <c r="A5241" s="88" t="str">
        <f t="shared" si="266"/>
        <v>5-2037</v>
      </c>
      <c r="B5241" s="86">
        <v>50167</v>
      </c>
      <c r="C5241" t="str">
        <f t="shared" si="267"/>
        <v>L-V</v>
      </c>
      <c r="D5241" t="str">
        <f t="shared" si="265"/>
        <v>Jueves</v>
      </c>
    </row>
    <row r="5242" spans="1:4" x14ac:dyDescent="0.25">
      <c r="A5242" s="88" t="str">
        <f t="shared" si="266"/>
        <v>5-2037</v>
      </c>
      <c r="B5242" s="86">
        <v>50168</v>
      </c>
      <c r="C5242" t="str">
        <f t="shared" si="267"/>
        <v>L-V</v>
      </c>
      <c r="D5242" t="str">
        <f t="shared" si="265"/>
        <v>Viernes</v>
      </c>
    </row>
    <row r="5243" spans="1:4" x14ac:dyDescent="0.25">
      <c r="A5243" s="88" t="str">
        <f t="shared" si="266"/>
        <v>5-2037</v>
      </c>
      <c r="B5243" s="86">
        <v>50169</v>
      </c>
      <c r="C5243" t="str">
        <f t="shared" si="267"/>
        <v>SAB</v>
      </c>
      <c r="D5243" t="str">
        <f t="shared" si="265"/>
        <v>Sábado</v>
      </c>
    </row>
    <row r="5244" spans="1:4" x14ac:dyDescent="0.25">
      <c r="A5244" s="88" t="str">
        <f t="shared" si="266"/>
        <v>5-2037</v>
      </c>
      <c r="B5244" s="86">
        <v>50170</v>
      </c>
      <c r="C5244" t="str">
        <f t="shared" si="267"/>
        <v>DOM</v>
      </c>
      <c r="D5244" t="str">
        <f t="shared" si="265"/>
        <v>Domingo</v>
      </c>
    </row>
    <row r="5245" spans="1:4" x14ac:dyDescent="0.25">
      <c r="A5245" s="88" t="str">
        <f t="shared" si="266"/>
        <v>5-2037</v>
      </c>
      <c r="B5245" s="86">
        <v>50171</v>
      </c>
      <c r="C5245" t="str">
        <f t="shared" si="267"/>
        <v>L-V</v>
      </c>
      <c r="D5245" t="str">
        <f t="shared" si="265"/>
        <v>Lunes</v>
      </c>
    </row>
    <row r="5246" spans="1:4" x14ac:dyDescent="0.25">
      <c r="A5246" s="88" t="str">
        <f t="shared" si="266"/>
        <v>5-2037</v>
      </c>
      <c r="B5246" s="86">
        <v>50172</v>
      </c>
      <c r="C5246" t="str">
        <f t="shared" si="267"/>
        <v>L-V</v>
      </c>
      <c r="D5246" t="str">
        <f t="shared" si="265"/>
        <v>Martes</v>
      </c>
    </row>
    <row r="5247" spans="1:4" x14ac:dyDescent="0.25">
      <c r="A5247" s="88" t="str">
        <f t="shared" si="266"/>
        <v>5-2037</v>
      </c>
      <c r="B5247" s="86">
        <v>50173</v>
      </c>
      <c r="C5247" t="str">
        <f t="shared" si="267"/>
        <v>L-V</v>
      </c>
      <c r="D5247" t="str">
        <f t="shared" si="265"/>
        <v>Miércoles</v>
      </c>
    </row>
    <row r="5248" spans="1:4" x14ac:dyDescent="0.25">
      <c r="A5248" s="88" t="str">
        <f t="shared" si="266"/>
        <v>5-2037</v>
      </c>
      <c r="B5248" s="86">
        <v>50174</v>
      </c>
      <c r="C5248" t="str">
        <f t="shared" si="267"/>
        <v>L-V</v>
      </c>
      <c r="D5248" t="str">
        <f t="shared" si="265"/>
        <v>Jueves</v>
      </c>
    </row>
    <row r="5249" spans="1:4" x14ac:dyDescent="0.25">
      <c r="A5249" s="88" t="str">
        <f t="shared" si="266"/>
        <v>5-2037</v>
      </c>
      <c r="B5249" s="86">
        <v>50175</v>
      </c>
      <c r="C5249" t="str">
        <f t="shared" si="267"/>
        <v>L-V</v>
      </c>
      <c r="D5249" t="str">
        <f t="shared" si="265"/>
        <v>Viernes</v>
      </c>
    </row>
    <row r="5250" spans="1:4" x14ac:dyDescent="0.25">
      <c r="A5250" s="88" t="str">
        <f t="shared" si="266"/>
        <v>5-2037</v>
      </c>
      <c r="B5250" s="86">
        <v>50176</v>
      </c>
      <c r="C5250" t="str">
        <f t="shared" si="267"/>
        <v>SAB</v>
      </c>
      <c r="D5250" t="str">
        <f t="shared" si="265"/>
        <v>Sábado</v>
      </c>
    </row>
    <row r="5251" spans="1:4" x14ac:dyDescent="0.25">
      <c r="A5251" s="88" t="str">
        <f t="shared" si="266"/>
        <v>5-2037</v>
      </c>
      <c r="B5251" s="86">
        <v>50177</v>
      </c>
      <c r="C5251" t="str">
        <f t="shared" si="267"/>
        <v>DOM</v>
      </c>
      <c r="D5251" t="str">
        <f t="shared" ref="D5251:D5314" si="268">VLOOKUP(WEEKDAY($B5251,2),$F$1:$H$7,3)</f>
        <v>Domingo</v>
      </c>
    </row>
    <row r="5252" spans="1:4" x14ac:dyDescent="0.25">
      <c r="A5252" s="88" t="str">
        <f t="shared" si="266"/>
        <v>5-2037</v>
      </c>
      <c r="B5252" s="86">
        <v>50178</v>
      </c>
      <c r="C5252" t="str">
        <f t="shared" si="267"/>
        <v>L-V</v>
      </c>
      <c r="D5252" t="str">
        <f t="shared" si="268"/>
        <v>Lunes</v>
      </c>
    </row>
    <row r="5253" spans="1:4" x14ac:dyDescent="0.25">
      <c r="A5253" s="88" t="str">
        <f t="shared" si="266"/>
        <v>5-2037</v>
      </c>
      <c r="B5253" s="86">
        <v>50179</v>
      </c>
      <c r="C5253" t="str">
        <f t="shared" si="267"/>
        <v>L-V</v>
      </c>
      <c r="D5253" t="str">
        <f t="shared" si="268"/>
        <v>Martes</v>
      </c>
    </row>
    <row r="5254" spans="1:4" x14ac:dyDescent="0.25">
      <c r="A5254" s="88" t="str">
        <f t="shared" si="266"/>
        <v>5-2037</v>
      </c>
      <c r="B5254" s="86">
        <v>50180</v>
      </c>
      <c r="C5254" t="str">
        <f t="shared" si="267"/>
        <v>L-V</v>
      </c>
      <c r="D5254" t="str">
        <f t="shared" si="268"/>
        <v>Miércoles</v>
      </c>
    </row>
    <row r="5255" spans="1:4" x14ac:dyDescent="0.25">
      <c r="A5255" s="88" t="str">
        <f t="shared" si="266"/>
        <v>5-2037</v>
      </c>
      <c r="B5255" s="86">
        <v>50181</v>
      </c>
      <c r="C5255" t="str">
        <f t="shared" si="267"/>
        <v>L-V</v>
      </c>
      <c r="D5255" t="str">
        <f t="shared" si="268"/>
        <v>Jueves</v>
      </c>
    </row>
    <row r="5256" spans="1:4" x14ac:dyDescent="0.25">
      <c r="A5256" s="88" t="str">
        <f t="shared" si="266"/>
        <v>5-2037</v>
      </c>
      <c r="B5256" s="86">
        <v>50182</v>
      </c>
      <c r="C5256" t="str">
        <f t="shared" si="267"/>
        <v>L-V</v>
      </c>
      <c r="D5256" t="str">
        <f t="shared" si="268"/>
        <v>Viernes</v>
      </c>
    </row>
    <row r="5257" spans="1:4" x14ac:dyDescent="0.25">
      <c r="A5257" s="88" t="str">
        <f t="shared" si="266"/>
        <v>5-2037</v>
      </c>
      <c r="B5257" s="86">
        <v>50183</v>
      </c>
      <c r="C5257" t="str">
        <f t="shared" si="267"/>
        <v>SAB</v>
      </c>
      <c r="D5257" t="str">
        <f t="shared" si="268"/>
        <v>Sábado</v>
      </c>
    </row>
    <row r="5258" spans="1:4" x14ac:dyDescent="0.25">
      <c r="A5258" s="88" t="str">
        <f t="shared" si="266"/>
        <v>5-2037</v>
      </c>
      <c r="B5258" s="86">
        <v>50184</v>
      </c>
      <c r="C5258" t="str">
        <f t="shared" si="267"/>
        <v>DOM</v>
      </c>
      <c r="D5258" t="str">
        <f t="shared" si="268"/>
        <v>Domingo</v>
      </c>
    </row>
    <row r="5259" spans="1:4" x14ac:dyDescent="0.25">
      <c r="A5259" s="88" t="str">
        <f t="shared" si="266"/>
        <v>5-2037</v>
      </c>
      <c r="B5259" s="86">
        <v>50185</v>
      </c>
      <c r="C5259" t="str">
        <f t="shared" si="267"/>
        <v>L-V</v>
      </c>
      <c r="D5259" t="str">
        <f t="shared" si="268"/>
        <v>Lunes</v>
      </c>
    </row>
    <row r="5260" spans="1:4" x14ac:dyDescent="0.25">
      <c r="A5260" s="88" t="str">
        <f t="shared" si="266"/>
        <v>5-2037</v>
      </c>
      <c r="B5260" s="86">
        <v>50186</v>
      </c>
      <c r="C5260" t="str">
        <f t="shared" si="267"/>
        <v>L-V</v>
      </c>
      <c r="D5260" t="str">
        <f t="shared" si="268"/>
        <v>Martes</v>
      </c>
    </row>
    <row r="5261" spans="1:4" x14ac:dyDescent="0.25">
      <c r="A5261" s="88" t="str">
        <f t="shared" si="266"/>
        <v>5-2037</v>
      </c>
      <c r="B5261" s="86">
        <v>50187</v>
      </c>
      <c r="C5261" t="str">
        <f t="shared" si="267"/>
        <v>L-V</v>
      </c>
      <c r="D5261" t="str">
        <f t="shared" si="268"/>
        <v>Miércoles</v>
      </c>
    </row>
    <row r="5262" spans="1:4" x14ac:dyDescent="0.25">
      <c r="A5262" s="88" t="str">
        <f t="shared" si="266"/>
        <v>5-2037</v>
      </c>
      <c r="B5262" s="86">
        <v>50188</v>
      </c>
      <c r="C5262" t="str">
        <f t="shared" si="267"/>
        <v>L-V</v>
      </c>
      <c r="D5262" t="str">
        <f t="shared" si="268"/>
        <v>Jueves</v>
      </c>
    </row>
    <row r="5263" spans="1:4" x14ac:dyDescent="0.25">
      <c r="A5263" s="88" t="str">
        <f t="shared" si="266"/>
        <v>5-2037</v>
      </c>
      <c r="B5263" s="86">
        <v>50189</v>
      </c>
      <c r="C5263" t="str">
        <f t="shared" si="267"/>
        <v>L-V</v>
      </c>
      <c r="D5263" t="str">
        <f t="shared" si="268"/>
        <v>Viernes</v>
      </c>
    </row>
    <row r="5264" spans="1:4" x14ac:dyDescent="0.25">
      <c r="A5264" s="88" t="str">
        <f t="shared" si="266"/>
        <v>5-2037</v>
      </c>
      <c r="B5264" s="86">
        <v>50190</v>
      </c>
      <c r="C5264" t="str">
        <f t="shared" si="267"/>
        <v>SAB</v>
      </c>
      <c r="D5264" t="str">
        <f t="shared" si="268"/>
        <v>Sábado</v>
      </c>
    </row>
    <row r="5265" spans="1:4" x14ac:dyDescent="0.25">
      <c r="A5265" s="88" t="str">
        <f t="shared" si="266"/>
        <v>5-2037</v>
      </c>
      <c r="B5265" s="86">
        <v>50191</v>
      </c>
      <c r="C5265" t="str">
        <f t="shared" si="267"/>
        <v>DOM</v>
      </c>
      <c r="D5265" t="str">
        <f t="shared" si="268"/>
        <v>Domingo</v>
      </c>
    </row>
    <row r="5266" spans="1:4" x14ac:dyDescent="0.25">
      <c r="A5266" s="88" t="str">
        <f t="shared" si="266"/>
        <v>6-2037</v>
      </c>
      <c r="B5266" s="86">
        <v>50192</v>
      </c>
      <c r="C5266" t="str">
        <f t="shared" si="267"/>
        <v>L-V</v>
      </c>
      <c r="D5266" t="str">
        <f t="shared" si="268"/>
        <v>Lunes</v>
      </c>
    </row>
    <row r="5267" spans="1:4" x14ac:dyDescent="0.25">
      <c r="A5267" s="88" t="str">
        <f t="shared" si="266"/>
        <v>6-2037</v>
      </c>
      <c r="B5267" s="86">
        <v>50193</v>
      </c>
      <c r="C5267" t="str">
        <f t="shared" si="267"/>
        <v>L-V</v>
      </c>
      <c r="D5267" t="str">
        <f t="shared" si="268"/>
        <v>Martes</v>
      </c>
    </row>
    <row r="5268" spans="1:4" x14ac:dyDescent="0.25">
      <c r="A5268" s="88" t="str">
        <f t="shared" si="266"/>
        <v>6-2037</v>
      </c>
      <c r="B5268" s="86">
        <v>50194</v>
      </c>
      <c r="C5268" t="str">
        <f t="shared" si="267"/>
        <v>L-V</v>
      </c>
      <c r="D5268" t="str">
        <f t="shared" si="268"/>
        <v>Miércoles</v>
      </c>
    </row>
    <row r="5269" spans="1:4" x14ac:dyDescent="0.25">
      <c r="A5269" s="88" t="str">
        <f t="shared" si="266"/>
        <v>6-2037</v>
      </c>
      <c r="B5269" s="86">
        <v>50195</v>
      </c>
      <c r="C5269" t="str">
        <f t="shared" si="267"/>
        <v>L-V</v>
      </c>
      <c r="D5269" t="str">
        <f t="shared" si="268"/>
        <v>Jueves</v>
      </c>
    </row>
    <row r="5270" spans="1:4" x14ac:dyDescent="0.25">
      <c r="A5270" s="88" t="str">
        <f t="shared" si="266"/>
        <v>6-2037</v>
      </c>
      <c r="B5270" s="86">
        <v>50196</v>
      </c>
      <c r="C5270" t="str">
        <f t="shared" si="267"/>
        <v>L-V</v>
      </c>
      <c r="D5270" t="str">
        <f t="shared" si="268"/>
        <v>Viernes</v>
      </c>
    </row>
    <row r="5271" spans="1:4" x14ac:dyDescent="0.25">
      <c r="A5271" s="88" t="str">
        <f t="shared" si="266"/>
        <v>6-2037</v>
      </c>
      <c r="B5271" s="86">
        <v>50197</v>
      </c>
      <c r="C5271" t="str">
        <f t="shared" si="267"/>
        <v>SAB</v>
      </c>
      <c r="D5271" t="str">
        <f t="shared" si="268"/>
        <v>Sábado</v>
      </c>
    </row>
    <row r="5272" spans="1:4" x14ac:dyDescent="0.25">
      <c r="A5272" s="88" t="str">
        <f t="shared" si="266"/>
        <v>6-2037</v>
      </c>
      <c r="B5272" s="86">
        <v>50198</v>
      </c>
      <c r="C5272" t="str">
        <f t="shared" si="267"/>
        <v>DOM</v>
      </c>
      <c r="D5272" t="str">
        <f t="shared" si="268"/>
        <v>Domingo</v>
      </c>
    </row>
    <row r="5273" spans="1:4" x14ac:dyDescent="0.25">
      <c r="A5273" s="88" t="str">
        <f t="shared" si="266"/>
        <v>6-2037</v>
      </c>
      <c r="B5273" s="86">
        <v>50199</v>
      </c>
      <c r="C5273" t="str">
        <f t="shared" si="267"/>
        <v>L-V</v>
      </c>
      <c r="D5273" t="str">
        <f t="shared" si="268"/>
        <v>Lunes</v>
      </c>
    </row>
    <row r="5274" spans="1:4" x14ac:dyDescent="0.25">
      <c r="A5274" s="88" t="str">
        <f t="shared" si="266"/>
        <v>6-2037</v>
      </c>
      <c r="B5274" s="86">
        <v>50200</v>
      </c>
      <c r="C5274" t="str">
        <f t="shared" si="267"/>
        <v>L-V</v>
      </c>
      <c r="D5274" t="str">
        <f t="shared" si="268"/>
        <v>Martes</v>
      </c>
    </row>
    <row r="5275" spans="1:4" x14ac:dyDescent="0.25">
      <c r="A5275" s="88" t="str">
        <f t="shared" si="266"/>
        <v>6-2037</v>
      </c>
      <c r="B5275" s="86">
        <v>50201</v>
      </c>
      <c r="C5275" t="str">
        <f t="shared" si="267"/>
        <v>L-V</v>
      </c>
      <c r="D5275" t="str">
        <f t="shared" si="268"/>
        <v>Miércoles</v>
      </c>
    </row>
    <row r="5276" spans="1:4" x14ac:dyDescent="0.25">
      <c r="A5276" s="88" t="str">
        <f t="shared" si="266"/>
        <v>6-2037</v>
      </c>
      <c r="B5276" s="86">
        <v>50202</v>
      </c>
      <c r="C5276" t="str">
        <f t="shared" si="267"/>
        <v>L-V</v>
      </c>
      <c r="D5276" t="str">
        <f t="shared" si="268"/>
        <v>Jueves</v>
      </c>
    </row>
    <row r="5277" spans="1:4" x14ac:dyDescent="0.25">
      <c r="A5277" s="88" t="str">
        <f t="shared" ref="A5277:A5340" si="269">MONTH(B5277)&amp;"-"&amp;YEAR(B5277)</f>
        <v>6-2037</v>
      </c>
      <c r="B5277" s="86">
        <v>50203</v>
      </c>
      <c r="C5277" t="str">
        <f t="shared" ref="C5277:C5340" si="270">VLOOKUP(WEEKDAY(B5277,2),$F$1:$H$7,2)</f>
        <v>L-V</v>
      </c>
      <c r="D5277" t="str">
        <f t="shared" si="268"/>
        <v>Viernes</v>
      </c>
    </row>
    <row r="5278" spans="1:4" x14ac:dyDescent="0.25">
      <c r="A5278" s="88" t="str">
        <f t="shared" si="269"/>
        <v>6-2037</v>
      </c>
      <c r="B5278" s="86">
        <v>50204</v>
      </c>
      <c r="C5278" t="str">
        <f t="shared" si="270"/>
        <v>SAB</v>
      </c>
      <c r="D5278" t="str">
        <f t="shared" si="268"/>
        <v>Sábado</v>
      </c>
    </row>
    <row r="5279" spans="1:4" x14ac:dyDescent="0.25">
      <c r="A5279" s="88" t="str">
        <f t="shared" si="269"/>
        <v>6-2037</v>
      </c>
      <c r="B5279" s="86">
        <v>50205</v>
      </c>
      <c r="C5279" t="str">
        <f t="shared" si="270"/>
        <v>DOM</v>
      </c>
      <c r="D5279" t="str">
        <f t="shared" si="268"/>
        <v>Domingo</v>
      </c>
    </row>
    <row r="5280" spans="1:4" x14ac:dyDescent="0.25">
      <c r="A5280" s="88" t="str">
        <f t="shared" si="269"/>
        <v>6-2037</v>
      </c>
      <c r="B5280" s="86">
        <v>50206</v>
      </c>
      <c r="C5280" t="str">
        <f t="shared" si="270"/>
        <v>L-V</v>
      </c>
      <c r="D5280" t="str">
        <f t="shared" si="268"/>
        <v>Lunes</v>
      </c>
    </row>
    <row r="5281" spans="1:4" x14ac:dyDescent="0.25">
      <c r="A5281" s="88" t="str">
        <f t="shared" si="269"/>
        <v>6-2037</v>
      </c>
      <c r="B5281" s="86">
        <v>50207</v>
      </c>
      <c r="C5281" t="str">
        <f t="shared" si="270"/>
        <v>L-V</v>
      </c>
      <c r="D5281" t="str">
        <f t="shared" si="268"/>
        <v>Martes</v>
      </c>
    </row>
    <row r="5282" spans="1:4" x14ac:dyDescent="0.25">
      <c r="A5282" s="88" t="str">
        <f t="shared" si="269"/>
        <v>6-2037</v>
      </c>
      <c r="B5282" s="86">
        <v>50208</v>
      </c>
      <c r="C5282" t="str">
        <f t="shared" si="270"/>
        <v>L-V</v>
      </c>
      <c r="D5282" t="str">
        <f t="shared" si="268"/>
        <v>Miércoles</v>
      </c>
    </row>
    <row r="5283" spans="1:4" x14ac:dyDescent="0.25">
      <c r="A5283" s="88" t="str">
        <f t="shared" si="269"/>
        <v>6-2037</v>
      </c>
      <c r="B5283" s="86">
        <v>50209</v>
      </c>
      <c r="C5283" t="str">
        <f t="shared" si="270"/>
        <v>L-V</v>
      </c>
      <c r="D5283" t="str">
        <f t="shared" si="268"/>
        <v>Jueves</v>
      </c>
    </row>
    <row r="5284" spans="1:4" x14ac:dyDescent="0.25">
      <c r="A5284" s="88" t="str">
        <f t="shared" si="269"/>
        <v>6-2037</v>
      </c>
      <c r="B5284" s="86">
        <v>50210</v>
      </c>
      <c r="C5284" t="str">
        <f t="shared" si="270"/>
        <v>L-V</v>
      </c>
      <c r="D5284" t="str">
        <f t="shared" si="268"/>
        <v>Viernes</v>
      </c>
    </row>
    <row r="5285" spans="1:4" x14ac:dyDescent="0.25">
      <c r="A5285" s="88" t="str">
        <f t="shared" si="269"/>
        <v>6-2037</v>
      </c>
      <c r="B5285" s="86">
        <v>50211</v>
      </c>
      <c r="C5285" t="str">
        <f t="shared" si="270"/>
        <v>SAB</v>
      </c>
      <c r="D5285" t="str">
        <f t="shared" si="268"/>
        <v>Sábado</v>
      </c>
    </row>
    <row r="5286" spans="1:4" x14ac:dyDescent="0.25">
      <c r="A5286" s="88" t="str">
        <f t="shared" si="269"/>
        <v>6-2037</v>
      </c>
      <c r="B5286" s="86">
        <v>50212</v>
      </c>
      <c r="C5286" t="str">
        <f t="shared" si="270"/>
        <v>DOM</v>
      </c>
      <c r="D5286" t="str">
        <f t="shared" si="268"/>
        <v>Domingo</v>
      </c>
    </row>
    <row r="5287" spans="1:4" x14ac:dyDescent="0.25">
      <c r="A5287" s="88" t="str">
        <f t="shared" si="269"/>
        <v>6-2037</v>
      </c>
      <c r="B5287" s="86">
        <v>50213</v>
      </c>
      <c r="C5287" t="str">
        <f t="shared" si="270"/>
        <v>L-V</v>
      </c>
      <c r="D5287" t="str">
        <f t="shared" si="268"/>
        <v>Lunes</v>
      </c>
    </row>
    <row r="5288" spans="1:4" x14ac:dyDescent="0.25">
      <c r="A5288" s="88" t="str">
        <f t="shared" si="269"/>
        <v>6-2037</v>
      </c>
      <c r="B5288" s="86">
        <v>50214</v>
      </c>
      <c r="C5288" t="str">
        <f t="shared" si="270"/>
        <v>L-V</v>
      </c>
      <c r="D5288" t="str">
        <f t="shared" si="268"/>
        <v>Martes</v>
      </c>
    </row>
    <row r="5289" spans="1:4" x14ac:dyDescent="0.25">
      <c r="A5289" s="88" t="str">
        <f t="shared" si="269"/>
        <v>6-2037</v>
      </c>
      <c r="B5289" s="86">
        <v>50215</v>
      </c>
      <c r="C5289" t="str">
        <f t="shared" si="270"/>
        <v>L-V</v>
      </c>
      <c r="D5289" t="str">
        <f t="shared" si="268"/>
        <v>Miércoles</v>
      </c>
    </row>
    <row r="5290" spans="1:4" x14ac:dyDescent="0.25">
      <c r="A5290" s="88" t="str">
        <f t="shared" si="269"/>
        <v>6-2037</v>
      </c>
      <c r="B5290" s="86">
        <v>50216</v>
      </c>
      <c r="C5290" t="str">
        <f t="shared" si="270"/>
        <v>L-V</v>
      </c>
      <c r="D5290" t="str">
        <f t="shared" si="268"/>
        <v>Jueves</v>
      </c>
    </row>
    <row r="5291" spans="1:4" x14ac:dyDescent="0.25">
      <c r="A5291" s="88" t="str">
        <f t="shared" si="269"/>
        <v>6-2037</v>
      </c>
      <c r="B5291" s="86">
        <v>50217</v>
      </c>
      <c r="C5291" t="str">
        <f t="shared" si="270"/>
        <v>L-V</v>
      </c>
      <c r="D5291" t="str">
        <f t="shared" si="268"/>
        <v>Viernes</v>
      </c>
    </row>
    <row r="5292" spans="1:4" x14ac:dyDescent="0.25">
      <c r="A5292" s="88" t="str">
        <f t="shared" si="269"/>
        <v>6-2037</v>
      </c>
      <c r="B5292" s="86">
        <v>50218</v>
      </c>
      <c r="C5292" t="str">
        <f t="shared" si="270"/>
        <v>SAB</v>
      </c>
      <c r="D5292" t="str">
        <f t="shared" si="268"/>
        <v>Sábado</v>
      </c>
    </row>
    <row r="5293" spans="1:4" x14ac:dyDescent="0.25">
      <c r="A5293" s="88" t="str">
        <f t="shared" si="269"/>
        <v>6-2037</v>
      </c>
      <c r="B5293" s="86">
        <v>50219</v>
      </c>
      <c r="C5293" t="str">
        <f t="shared" si="270"/>
        <v>DOM</v>
      </c>
      <c r="D5293" t="str">
        <f t="shared" si="268"/>
        <v>Domingo</v>
      </c>
    </row>
    <row r="5294" spans="1:4" x14ac:dyDescent="0.25">
      <c r="A5294" s="88" t="str">
        <f t="shared" si="269"/>
        <v>6-2037</v>
      </c>
      <c r="B5294" s="86">
        <v>50220</v>
      </c>
      <c r="C5294" t="str">
        <f t="shared" si="270"/>
        <v>L-V</v>
      </c>
      <c r="D5294" t="str">
        <f t="shared" si="268"/>
        <v>Lunes</v>
      </c>
    </row>
    <row r="5295" spans="1:4" x14ac:dyDescent="0.25">
      <c r="A5295" s="88" t="str">
        <f t="shared" si="269"/>
        <v>6-2037</v>
      </c>
      <c r="B5295" s="86">
        <v>50221</v>
      </c>
      <c r="C5295" t="str">
        <f t="shared" si="270"/>
        <v>L-V</v>
      </c>
      <c r="D5295" t="str">
        <f t="shared" si="268"/>
        <v>Martes</v>
      </c>
    </row>
    <row r="5296" spans="1:4" x14ac:dyDescent="0.25">
      <c r="A5296" s="88" t="str">
        <f t="shared" si="269"/>
        <v>7-2037</v>
      </c>
      <c r="B5296" s="86">
        <v>50222</v>
      </c>
      <c r="C5296" t="str">
        <f t="shared" si="270"/>
        <v>L-V</v>
      </c>
      <c r="D5296" t="str">
        <f t="shared" si="268"/>
        <v>Miércoles</v>
      </c>
    </row>
    <row r="5297" spans="1:4" x14ac:dyDescent="0.25">
      <c r="A5297" s="88" t="str">
        <f t="shared" si="269"/>
        <v>7-2037</v>
      </c>
      <c r="B5297" s="86">
        <v>50223</v>
      </c>
      <c r="C5297" t="str">
        <f t="shared" si="270"/>
        <v>L-V</v>
      </c>
      <c r="D5297" t="str">
        <f t="shared" si="268"/>
        <v>Jueves</v>
      </c>
    </row>
    <row r="5298" spans="1:4" x14ac:dyDescent="0.25">
      <c r="A5298" s="88" t="str">
        <f t="shared" si="269"/>
        <v>7-2037</v>
      </c>
      <c r="B5298" s="86">
        <v>50224</v>
      </c>
      <c r="C5298" t="str">
        <f t="shared" si="270"/>
        <v>L-V</v>
      </c>
      <c r="D5298" t="str">
        <f t="shared" si="268"/>
        <v>Viernes</v>
      </c>
    </row>
    <row r="5299" spans="1:4" x14ac:dyDescent="0.25">
      <c r="A5299" s="88" t="str">
        <f t="shared" si="269"/>
        <v>7-2037</v>
      </c>
      <c r="B5299" s="86">
        <v>50225</v>
      </c>
      <c r="C5299" t="str">
        <f t="shared" si="270"/>
        <v>SAB</v>
      </c>
      <c r="D5299" t="str">
        <f t="shared" si="268"/>
        <v>Sábado</v>
      </c>
    </row>
    <row r="5300" spans="1:4" x14ac:dyDescent="0.25">
      <c r="A5300" s="88" t="str">
        <f t="shared" si="269"/>
        <v>7-2037</v>
      </c>
      <c r="B5300" s="86">
        <v>50226</v>
      </c>
      <c r="C5300" t="str">
        <f t="shared" si="270"/>
        <v>DOM</v>
      </c>
      <c r="D5300" t="str">
        <f t="shared" si="268"/>
        <v>Domingo</v>
      </c>
    </row>
    <row r="5301" spans="1:4" x14ac:dyDescent="0.25">
      <c r="A5301" s="88" t="str">
        <f t="shared" si="269"/>
        <v>7-2037</v>
      </c>
      <c r="B5301" s="86">
        <v>50227</v>
      </c>
      <c r="C5301" t="str">
        <f t="shared" si="270"/>
        <v>L-V</v>
      </c>
      <c r="D5301" t="str">
        <f t="shared" si="268"/>
        <v>Lunes</v>
      </c>
    </row>
    <row r="5302" spans="1:4" x14ac:dyDescent="0.25">
      <c r="A5302" s="88" t="str">
        <f t="shared" si="269"/>
        <v>7-2037</v>
      </c>
      <c r="B5302" s="86">
        <v>50228</v>
      </c>
      <c r="C5302" t="str">
        <f t="shared" si="270"/>
        <v>L-V</v>
      </c>
      <c r="D5302" t="str">
        <f t="shared" si="268"/>
        <v>Martes</v>
      </c>
    </row>
    <row r="5303" spans="1:4" x14ac:dyDescent="0.25">
      <c r="A5303" s="88" t="str">
        <f t="shared" si="269"/>
        <v>7-2037</v>
      </c>
      <c r="B5303" s="86">
        <v>50229</v>
      </c>
      <c r="C5303" t="str">
        <f t="shared" si="270"/>
        <v>L-V</v>
      </c>
      <c r="D5303" t="str">
        <f t="shared" si="268"/>
        <v>Miércoles</v>
      </c>
    </row>
    <row r="5304" spans="1:4" x14ac:dyDescent="0.25">
      <c r="A5304" s="88" t="str">
        <f t="shared" si="269"/>
        <v>7-2037</v>
      </c>
      <c r="B5304" s="86">
        <v>50230</v>
      </c>
      <c r="C5304" t="str">
        <f t="shared" si="270"/>
        <v>L-V</v>
      </c>
      <c r="D5304" t="str">
        <f t="shared" si="268"/>
        <v>Jueves</v>
      </c>
    </row>
    <row r="5305" spans="1:4" x14ac:dyDescent="0.25">
      <c r="A5305" s="88" t="str">
        <f t="shared" si="269"/>
        <v>7-2037</v>
      </c>
      <c r="B5305" s="86">
        <v>50231</v>
      </c>
      <c r="C5305" t="str">
        <f t="shared" si="270"/>
        <v>L-V</v>
      </c>
      <c r="D5305" t="str">
        <f t="shared" si="268"/>
        <v>Viernes</v>
      </c>
    </row>
    <row r="5306" spans="1:4" x14ac:dyDescent="0.25">
      <c r="A5306" s="88" t="str">
        <f t="shared" si="269"/>
        <v>7-2037</v>
      </c>
      <c r="B5306" s="86">
        <v>50232</v>
      </c>
      <c r="C5306" t="str">
        <f t="shared" si="270"/>
        <v>SAB</v>
      </c>
      <c r="D5306" t="str">
        <f t="shared" si="268"/>
        <v>Sábado</v>
      </c>
    </row>
    <row r="5307" spans="1:4" x14ac:dyDescent="0.25">
      <c r="A5307" s="88" t="str">
        <f t="shared" si="269"/>
        <v>7-2037</v>
      </c>
      <c r="B5307" s="86">
        <v>50233</v>
      </c>
      <c r="C5307" t="str">
        <f t="shared" si="270"/>
        <v>DOM</v>
      </c>
      <c r="D5307" t="str">
        <f t="shared" si="268"/>
        <v>Domingo</v>
      </c>
    </row>
    <row r="5308" spans="1:4" x14ac:dyDescent="0.25">
      <c r="A5308" s="88" t="str">
        <f t="shared" si="269"/>
        <v>7-2037</v>
      </c>
      <c r="B5308" s="86">
        <v>50234</v>
      </c>
      <c r="C5308" t="str">
        <f t="shared" si="270"/>
        <v>L-V</v>
      </c>
      <c r="D5308" t="str">
        <f t="shared" si="268"/>
        <v>Lunes</v>
      </c>
    </row>
    <row r="5309" spans="1:4" x14ac:dyDescent="0.25">
      <c r="A5309" s="88" t="str">
        <f t="shared" si="269"/>
        <v>7-2037</v>
      </c>
      <c r="B5309" s="86">
        <v>50235</v>
      </c>
      <c r="C5309" t="str">
        <f t="shared" si="270"/>
        <v>L-V</v>
      </c>
      <c r="D5309" t="str">
        <f t="shared" si="268"/>
        <v>Martes</v>
      </c>
    </row>
    <row r="5310" spans="1:4" x14ac:dyDescent="0.25">
      <c r="A5310" s="88" t="str">
        <f t="shared" si="269"/>
        <v>7-2037</v>
      </c>
      <c r="B5310" s="86">
        <v>50236</v>
      </c>
      <c r="C5310" t="str">
        <f t="shared" si="270"/>
        <v>L-V</v>
      </c>
      <c r="D5310" t="str">
        <f t="shared" si="268"/>
        <v>Miércoles</v>
      </c>
    </row>
    <row r="5311" spans="1:4" x14ac:dyDescent="0.25">
      <c r="A5311" s="88" t="str">
        <f t="shared" si="269"/>
        <v>7-2037</v>
      </c>
      <c r="B5311" s="86">
        <v>50237</v>
      </c>
      <c r="C5311" t="str">
        <f t="shared" si="270"/>
        <v>L-V</v>
      </c>
      <c r="D5311" t="str">
        <f t="shared" si="268"/>
        <v>Jueves</v>
      </c>
    </row>
    <row r="5312" spans="1:4" x14ac:dyDescent="0.25">
      <c r="A5312" s="88" t="str">
        <f t="shared" si="269"/>
        <v>7-2037</v>
      </c>
      <c r="B5312" s="86">
        <v>50238</v>
      </c>
      <c r="C5312" t="str">
        <f t="shared" si="270"/>
        <v>L-V</v>
      </c>
      <c r="D5312" t="str">
        <f t="shared" si="268"/>
        <v>Viernes</v>
      </c>
    </row>
    <row r="5313" spans="1:4" x14ac:dyDescent="0.25">
      <c r="A5313" s="88" t="str">
        <f t="shared" si="269"/>
        <v>7-2037</v>
      </c>
      <c r="B5313" s="86">
        <v>50239</v>
      </c>
      <c r="C5313" t="str">
        <f t="shared" si="270"/>
        <v>SAB</v>
      </c>
      <c r="D5313" t="str">
        <f t="shared" si="268"/>
        <v>Sábado</v>
      </c>
    </row>
    <row r="5314" spans="1:4" x14ac:dyDescent="0.25">
      <c r="A5314" s="88" t="str">
        <f t="shared" si="269"/>
        <v>7-2037</v>
      </c>
      <c r="B5314" s="86">
        <v>50240</v>
      </c>
      <c r="C5314" t="str">
        <f t="shared" si="270"/>
        <v>DOM</v>
      </c>
      <c r="D5314" t="str">
        <f t="shared" si="268"/>
        <v>Domingo</v>
      </c>
    </row>
    <row r="5315" spans="1:4" x14ac:dyDescent="0.25">
      <c r="A5315" s="88" t="str">
        <f t="shared" si="269"/>
        <v>7-2037</v>
      </c>
      <c r="B5315" s="86">
        <v>50241</v>
      </c>
      <c r="C5315" t="str">
        <f t="shared" si="270"/>
        <v>L-V</v>
      </c>
      <c r="D5315" t="str">
        <f t="shared" ref="D5315:D5378" si="271">VLOOKUP(WEEKDAY($B5315,2),$F$1:$H$7,3)</f>
        <v>Lunes</v>
      </c>
    </row>
    <row r="5316" spans="1:4" x14ac:dyDescent="0.25">
      <c r="A5316" s="88" t="str">
        <f t="shared" si="269"/>
        <v>7-2037</v>
      </c>
      <c r="B5316" s="86">
        <v>50242</v>
      </c>
      <c r="C5316" t="str">
        <f t="shared" si="270"/>
        <v>L-V</v>
      </c>
      <c r="D5316" t="str">
        <f t="shared" si="271"/>
        <v>Martes</v>
      </c>
    </row>
    <row r="5317" spans="1:4" x14ac:dyDescent="0.25">
      <c r="A5317" s="88" t="str">
        <f t="shared" si="269"/>
        <v>7-2037</v>
      </c>
      <c r="B5317" s="86">
        <v>50243</v>
      </c>
      <c r="C5317" t="str">
        <f t="shared" si="270"/>
        <v>L-V</v>
      </c>
      <c r="D5317" t="str">
        <f t="shared" si="271"/>
        <v>Miércoles</v>
      </c>
    </row>
    <row r="5318" spans="1:4" x14ac:dyDescent="0.25">
      <c r="A5318" s="88" t="str">
        <f t="shared" si="269"/>
        <v>7-2037</v>
      </c>
      <c r="B5318" s="86">
        <v>50244</v>
      </c>
      <c r="C5318" t="str">
        <f t="shared" si="270"/>
        <v>L-V</v>
      </c>
      <c r="D5318" t="str">
        <f t="shared" si="271"/>
        <v>Jueves</v>
      </c>
    </row>
    <row r="5319" spans="1:4" x14ac:dyDescent="0.25">
      <c r="A5319" s="88" t="str">
        <f t="shared" si="269"/>
        <v>7-2037</v>
      </c>
      <c r="B5319" s="86">
        <v>50245</v>
      </c>
      <c r="C5319" t="str">
        <f t="shared" si="270"/>
        <v>L-V</v>
      </c>
      <c r="D5319" t="str">
        <f t="shared" si="271"/>
        <v>Viernes</v>
      </c>
    </row>
    <row r="5320" spans="1:4" x14ac:dyDescent="0.25">
      <c r="A5320" s="88" t="str">
        <f t="shared" si="269"/>
        <v>7-2037</v>
      </c>
      <c r="B5320" s="86">
        <v>50246</v>
      </c>
      <c r="C5320" t="str">
        <f t="shared" si="270"/>
        <v>SAB</v>
      </c>
      <c r="D5320" t="str">
        <f t="shared" si="271"/>
        <v>Sábado</v>
      </c>
    </row>
    <row r="5321" spans="1:4" x14ac:dyDescent="0.25">
      <c r="A5321" s="88" t="str">
        <f t="shared" si="269"/>
        <v>7-2037</v>
      </c>
      <c r="B5321" s="86">
        <v>50247</v>
      </c>
      <c r="C5321" t="str">
        <f t="shared" si="270"/>
        <v>DOM</v>
      </c>
      <c r="D5321" t="str">
        <f t="shared" si="271"/>
        <v>Domingo</v>
      </c>
    </row>
    <row r="5322" spans="1:4" x14ac:dyDescent="0.25">
      <c r="A5322" s="88" t="str">
        <f t="shared" si="269"/>
        <v>7-2037</v>
      </c>
      <c r="B5322" s="86">
        <v>50248</v>
      </c>
      <c r="C5322" t="str">
        <f t="shared" si="270"/>
        <v>L-V</v>
      </c>
      <c r="D5322" t="str">
        <f t="shared" si="271"/>
        <v>Lunes</v>
      </c>
    </row>
    <row r="5323" spans="1:4" x14ac:dyDescent="0.25">
      <c r="A5323" s="88" t="str">
        <f t="shared" si="269"/>
        <v>7-2037</v>
      </c>
      <c r="B5323" s="86">
        <v>50249</v>
      </c>
      <c r="C5323" t="str">
        <f t="shared" si="270"/>
        <v>L-V</v>
      </c>
      <c r="D5323" t="str">
        <f t="shared" si="271"/>
        <v>Martes</v>
      </c>
    </row>
    <row r="5324" spans="1:4" x14ac:dyDescent="0.25">
      <c r="A5324" s="88" t="str">
        <f t="shared" si="269"/>
        <v>7-2037</v>
      </c>
      <c r="B5324" s="86">
        <v>50250</v>
      </c>
      <c r="C5324" t="str">
        <f t="shared" si="270"/>
        <v>L-V</v>
      </c>
      <c r="D5324" t="str">
        <f t="shared" si="271"/>
        <v>Miércoles</v>
      </c>
    </row>
    <row r="5325" spans="1:4" x14ac:dyDescent="0.25">
      <c r="A5325" s="88" t="str">
        <f t="shared" si="269"/>
        <v>7-2037</v>
      </c>
      <c r="B5325" s="86">
        <v>50251</v>
      </c>
      <c r="C5325" t="str">
        <f t="shared" si="270"/>
        <v>L-V</v>
      </c>
      <c r="D5325" t="str">
        <f t="shared" si="271"/>
        <v>Jueves</v>
      </c>
    </row>
    <row r="5326" spans="1:4" x14ac:dyDescent="0.25">
      <c r="A5326" s="88" t="str">
        <f t="shared" si="269"/>
        <v>7-2037</v>
      </c>
      <c r="B5326" s="86">
        <v>50252</v>
      </c>
      <c r="C5326" t="str">
        <f t="shared" si="270"/>
        <v>L-V</v>
      </c>
      <c r="D5326" t="str">
        <f t="shared" si="271"/>
        <v>Viernes</v>
      </c>
    </row>
    <row r="5327" spans="1:4" x14ac:dyDescent="0.25">
      <c r="A5327" s="88" t="str">
        <f t="shared" si="269"/>
        <v>8-2037</v>
      </c>
      <c r="B5327" s="86">
        <v>50253</v>
      </c>
      <c r="C5327" t="str">
        <f t="shared" si="270"/>
        <v>SAB</v>
      </c>
      <c r="D5327" t="str">
        <f t="shared" si="271"/>
        <v>Sábado</v>
      </c>
    </row>
    <row r="5328" spans="1:4" x14ac:dyDescent="0.25">
      <c r="A5328" s="88" t="str">
        <f t="shared" si="269"/>
        <v>8-2037</v>
      </c>
      <c r="B5328" s="86">
        <v>50254</v>
      </c>
      <c r="C5328" t="str">
        <f t="shared" si="270"/>
        <v>DOM</v>
      </c>
      <c r="D5328" t="str">
        <f t="shared" si="271"/>
        <v>Domingo</v>
      </c>
    </row>
    <row r="5329" spans="1:4" x14ac:dyDescent="0.25">
      <c r="A5329" s="88" t="str">
        <f t="shared" si="269"/>
        <v>8-2037</v>
      </c>
      <c r="B5329" s="86">
        <v>50255</v>
      </c>
      <c r="C5329" t="str">
        <f t="shared" si="270"/>
        <v>L-V</v>
      </c>
      <c r="D5329" t="str">
        <f t="shared" si="271"/>
        <v>Lunes</v>
      </c>
    </row>
    <row r="5330" spans="1:4" x14ac:dyDescent="0.25">
      <c r="A5330" s="88" t="str">
        <f t="shared" si="269"/>
        <v>8-2037</v>
      </c>
      <c r="B5330" s="86">
        <v>50256</v>
      </c>
      <c r="C5330" t="str">
        <f t="shared" si="270"/>
        <v>L-V</v>
      </c>
      <c r="D5330" t="str">
        <f t="shared" si="271"/>
        <v>Martes</v>
      </c>
    </row>
    <row r="5331" spans="1:4" x14ac:dyDescent="0.25">
      <c r="A5331" s="88" t="str">
        <f t="shared" si="269"/>
        <v>8-2037</v>
      </c>
      <c r="B5331" s="86">
        <v>50257</v>
      </c>
      <c r="C5331" t="str">
        <f t="shared" si="270"/>
        <v>L-V</v>
      </c>
      <c r="D5331" t="str">
        <f t="shared" si="271"/>
        <v>Miércoles</v>
      </c>
    </row>
    <row r="5332" spans="1:4" x14ac:dyDescent="0.25">
      <c r="A5332" s="88" t="str">
        <f t="shared" si="269"/>
        <v>8-2037</v>
      </c>
      <c r="B5332" s="86">
        <v>50258</v>
      </c>
      <c r="C5332" t="str">
        <f t="shared" si="270"/>
        <v>L-V</v>
      </c>
      <c r="D5332" t="str">
        <f t="shared" si="271"/>
        <v>Jueves</v>
      </c>
    </row>
    <row r="5333" spans="1:4" x14ac:dyDescent="0.25">
      <c r="A5333" s="88" t="str">
        <f t="shared" si="269"/>
        <v>8-2037</v>
      </c>
      <c r="B5333" s="86">
        <v>50259</v>
      </c>
      <c r="C5333" t="str">
        <f t="shared" si="270"/>
        <v>L-V</v>
      </c>
      <c r="D5333" t="str">
        <f t="shared" si="271"/>
        <v>Viernes</v>
      </c>
    </row>
    <row r="5334" spans="1:4" x14ac:dyDescent="0.25">
      <c r="A5334" s="88" t="str">
        <f t="shared" si="269"/>
        <v>8-2037</v>
      </c>
      <c r="B5334" s="86">
        <v>50260</v>
      </c>
      <c r="C5334" t="str">
        <f t="shared" si="270"/>
        <v>SAB</v>
      </c>
      <c r="D5334" t="str">
        <f t="shared" si="271"/>
        <v>Sábado</v>
      </c>
    </row>
    <row r="5335" spans="1:4" x14ac:dyDescent="0.25">
      <c r="A5335" s="88" t="str">
        <f t="shared" si="269"/>
        <v>8-2037</v>
      </c>
      <c r="B5335" s="86">
        <v>50261</v>
      </c>
      <c r="C5335" t="str">
        <f t="shared" si="270"/>
        <v>DOM</v>
      </c>
      <c r="D5335" t="str">
        <f t="shared" si="271"/>
        <v>Domingo</v>
      </c>
    </row>
    <row r="5336" spans="1:4" x14ac:dyDescent="0.25">
      <c r="A5336" s="88" t="str">
        <f t="shared" si="269"/>
        <v>8-2037</v>
      </c>
      <c r="B5336" s="86">
        <v>50262</v>
      </c>
      <c r="C5336" t="str">
        <f t="shared" si="270"/>
        <v>L-V</v>
      </c>
      <c r="D5336" t="str">
        <f t="shared" si="271"/>
        <v>Lunes</v>
      </c>
    </row>
    <row r="5337" spans="1:4" x14ac:dyDescent="0.25">
      <c r="A5337" s="88" t="str">
        <f t="shared" si="269"/>
        <v>8-2037</v>
      </c>
      <c r="B5337" s="86">
        <v>50263</v>
      </c>
      <c r="C5337" t="str">
        <f t="shared" si="270"/>
        <v>L-V</v>
      </c>
      <c r="D5337" t="str">
        <f t="shared" si="271"/>
        <v>Martes</v>
      </c>
    </row>
    <row r="5338" spans="1:4" x14ac:dyDescent="0.25">
      <c r="A5338" s="88" t="str">
        <f t="shared" si="269"/>
        <v>8-2037</v>
      </c>
      <c r="B5338" s="86">
        <v>50264</v>
      </c>
      <c r="C5338" t="str">
        <f t="shared" si="270"/>
        <v>L-V</v>
      </c>
      <c r="D5338" t="str">
        <f t="shared" si="271"/>
        <v>Miércoles</v>
      </c>
    </row>
    <row r="5339" spans="1:4" x14ac:dyDescent="0.25">
      <c r="A5339" s="88" t="str">
        <f t="shared" si="269"/>
        <v>8-2037</v>
      </c>
      <c r="B5339" s="86">
        <v>50265</v>
      </c>
      <c r="C5339" t="str">
        <f t="shared" si="270"/>
        <v>L-V</v>
      </c>
      <c r="D5339" t="str">
        <f t="shared" si="271"/>
        <v>Jueves</v>
      </c>
    </row>
    <row r="5340" spans="1:4" x14ac:dyDescent="0.25">
      <c r="A5340" s="88" t="str">
        <f t="shared" si="269"/>
        <v>8-2037</v>
      </c>
      <c r="B5340" s="86">
        <v>50266</v>
      </c>
      <c r="C5340" t="str">
        <f t="shared" si="270"/>
        <v>L-V</v>
      </c>
      <c r="D5340" t="str">
        <f t="shared" si="271"/>
        <v>Viernes</v>
      </c>
    </row>
    <row r="5341" spans="1:4" x14ac:dyDescent="0.25">
      <c r="A5341" s="88" t="str">
        <f t="shared" ref="A5341:A5404" si="272">MONTH(B5341)&amp;"-"&amp;YEAR(B5341)</f>
        <v>8-2037</v>
      </c>
      <c r="B5341" s="86">
        <v>50267</v>
      </c>
      <c r="C5341" t="str">
        <f t="shared" ref="C5341:C5404" si="273">VLOOKUP(WEEKDAY(B5341,2),$F$1:$H$7,2)</f>
        <v>SAB</v>
      </c>
      <c r="D5341" t="str">
        <f t="shared" si="271"/>
        <v>Sábado</v>
      </c>
    </row>
    <row r="5342" spans="1:4" x14ac:dyDescent="0.25">
      <c r="A5342" s="88" t="str">
        <f t="shared" si="272"/>
        <v>8-2037</v>
      </c>
      <c r="B5342" s="86">
        <v>50268</v>
      </c>
      <c r="C5342" t="str">
        <f t="shared" si="273"/>
        <v>DOM</v>
      </c>
      <c r="D5342" t="str">
        <f t="shared" si="271"/>
        <v>Domingo</v>
      </c>
    </row>
    <row r="5343" spans="1:4" x14ac:dyDescent="0.25">
      <c r="A5343" s="88" t="str">
        <f t="shared" si="272"/>
        <v>8-2037</v>
      </c>
      <c r="B5343" s="86">
        <v>50269</v>
      </c>
      <c r="C5343" t="str">
        <f t="shared" si="273"/>
        <v>L-V</v>
      </c>
      <c r="D5343" t="str">
        <f t="shared" si="271"/>
        <v>Lunes</v>
      </c>
    </row>
    <row r="5344" spans="1:4" x14ac:dyDescent="0.25">
      <c r="A5344" s="88" t="str">
        <f t="shared" si="272"/>
        <v>8-2037</v>
      </c>
      <c r="B5344" s="86">
        <v>50270</v>
      </c>
      <c r="C5344" t="str">
        <f t="shared" si="273"/>
        <v>L-V</v>
      </c>
      <c r="D5344" t="str">
        <f t="shared" si="271"/>
        <v>Martes</v>
      </c>
    </row>
    <row r="5345" spans="1:4" x14ac:dyDescent="0.25">
      <c r="A5345" s="88" t="str">
        <f t="shared" si="272"/>
        <v>8-2037</v>
      </c>
      <c r="B5345" s="86">
        <v>50271</v>
      </c>
      <c r="C5345" t="str">
        <f t="shared" si="273"/>
        <v>L-V</v>
      </c>
      <c r="D5345" t="str">
        <f t="shared" si="271"/>
        <v>Miércoles</v>
      </c>
    </row>
    <row r="5346" spans="1:4" x14ac:dyDescent="0.25">
      <c r="A5346" s="88" t="str">
        <f t="shared" si="272"/>
        <v>8-2037</v>
      </c>
      <c r="B5346" s="86">
        <v>50272</v>
      </c>
      <c r="C5346" t="str">
        <f t="shared" si="273"/>
        <v>L-V</v>
      </c>
      <c r="D5346" t="str">
        <f t="shared" si="271"/>
        <v>Jueves</v>
      </c>
    </row>
    <row r="5347" spans="1:4" x14ac:dyDescent="0.25">
      <c r="A5347" s="88" t="str">
        <f t="shared" si="272"/>
        <v>8-2037</v>
      </c>
      <c r="B5347" s="86">
        <v>50273</v>
      </c>
      <c r="C5347" t="str">
        <f t="shared" si="273"/>
        <v>L-V</v>
      </c>
      <c r="D5347" t="str">
        <f t="shared" si="271"/>
        <v>Viernes</v>
      </c>
    </row>
    <row r="5348" spans="1:4" x14ac:dyDescent="0.25">
      <c r="A5348" s="88" t="str">
        <f t="shared" si="272"/>
        <v>8-2037</v>
      </c>
      <c r="B5348" s="86">
        <v>50274</v>
      </c>
      <c r="C5348" t="str">
        <f t="shared" si="273"/>
        <v>SAB</v>
      </c>
      <c r="D5348" t="str">
        <f t="shared" si="271"/>
        <v>Sábado</v>
      </c>
    </row>
    <row r="5349" spans="1:4" x14ac:dyDescent="0.25">
      <c r="A5349" s="88" t="str">
        <f t="shared" si="272"/>
        <v>8-2037</v>
      </c>
      <c r="B5349" s="86">
        <v>50275</v>
      </c>
      <c r="C5349" t="str">
        <f t="shared" si="273"/>
        <v>DOM</v>
      </c>
      <c r="D5349" t="str">
        <f t="shared" si="271"/>
        <v>Domingo</v>
      </c>
    </row>
    <row r="5350" spans="1:4" x14ac:dyDescent="0.25">
      <c r="A5350" s="88" t="str">
        <f t="shared" si="272"/>
        <v>8-2037</v>
      </c>
      <c r="B5350" s="86">
        <v>50276</v>
      </c>
      <c r="C5350" t="str">
        <f t="shared" si="273"/>
        <v>L-V</v>
      </c>
      <c r="D5350" t="str">
        <f t="shared" si="271"/>
        <v>Lunes</v>
      </c>
    </row>
    <row r="5351" spans="1:4" x14ac:dyDescent="0.25">
      <c r="A5351" s="88" t="str">
        <f t="shared" si="272"/>
        <v>8-2037</v>
      </c>
      <c r="B5351" s="86">
        <v>50277</v>
      </c>
      <c r="C5351" t="str">
        <f t="shared" si="273"/>
        <v>L-V</v>
      </c>
      <c r="D5351" t="str">
        <f t="shared" si="271"/>
        <v>Martes</v>
      </c>
    </row>
    <row r="5352" spans="1:4" x14ac:dyDescent="0.25">
      <c r="A5352" s="88" t="str">
        <f t="shared" si="272"/>
        <v>8-2037</v>
      </c>
      <c r="B5352" s="86">
        <v>50278</v>
      </c>
      <c r="C5352" t="str">
        <f t="shared" si="273"/>
        <v>L-V</v>
      </c>
      <c r="D5352" t="str">
        <f t="shared" si="271"/>
        <v>Miércoles</v>
      </c>
    </row>
    <row r="5353" spans="1:4" x14ac:dyDescent="0.25">
      <c r="A5353" s="88" t="str">
        <f t="shared" si="272"/>
        <v>8-2037</v>
      </c>
      <c r="B5353" s="86">
        <v>50279</v>
      </c>
      <c r="C5353" t="str">
        <f t="shared" si="273"/>
        <v>L-V</v>
      </c>
      <c r="D5353" t="str">
        <f t="shared" si="271"/>
        <v>Jueves</v>
      </c>
    </row>
    <row r="5354" spans="1:4" x14ac:dyDescent="0.25">
      <c r="A5354" s="88" t="str">
        <f t="shared" si="272"/>
        <v>8-2037</v>
      </c>
      <c r="B5354" s="86">
        <v>50280</v>
      </c>
      <c r="C5354" t="str">
        <f t="shared" si="273"/>
        <v>L-V</v>
      </c>
      <c r="D5354" t="str">
        <f t="shared" si="271"/>
        <v>Viernes</v>
      </c>
    </row>
    <row r="5355" spans="1:4" x14ac:dyDescent="0.25">
      <c r="A5355" s="88" t="str">
        <f t="shared" si="272"/>
        <v>8-2037</v>
      </c>
      <c r="B5355" s="86">
        <v>50281</v>
      </c>
      <c r="C5355" t="str">
        <f t="shared" si="273"/>
        <v>SAB</v>
      </c>
      <c r="D5355" t="str">
        <f t="shared" si="271"/>
        <v>Sábado</v>
      </c>
    </row>
    <row r="5356" spans="1:4" x14ac:dyDescent="0.25">
      <c r="A5356" s="88" t="str">
        <f t="shared" si="272"/>
        <v>8-2037</v>
      </c>
      <c r="B5356" s="86">
        <v>50282</v>
      </c>
      <c r="C5356" t="str">
        <f t="shared" si="273"/>
        <v>DOM</v>
      </c>
      <c r="D5356" t="str">
        <f t="shared" si="271"/>
        <v>Domingo</v>
      </c>
    </row>
    <row r="5357" spans="1:4" x14ac:dyDescent="0.25">
      <c r="A5357" s="88" t="str">
        <f t="shared" si="272"/>
        <v>8-2037</v>
      </c>
      <c r="B5357" s="86">
        <v>50283</v>
      </c>
      <c r="C5357" t="str">
        <f t="shared" si="273"/>
        <v>L-V</v>
      </c>
      <c r="D5357" t="str">
        <f t="shared" si="271"/>
        <v>Lunes</v>
      </c>
    </row>
    <row r="5358" spans="1:4" x14ac:dyDescent="0.25">
      <c r="A5358" s="88" t="str">
        <f t="shared" si="272"/>
        <v>9-2037</v>
      </c>
      <c r="B5358" s="86">
        <v>50284</v>
      </c>
      <c r="C5358" t="str">
        <f t="shared" si="273"/>
        <v>L-V</v>
      </c>
      <c r="D5358" t="str">
        <f t="shared" si="271"/>
        <v>Martes</v>
      </c>
    </row>
    <row r="5359" spans="1:4" x14ac:dyDescent="0.25">
      <c r="A5359" s="88" t="str">
        <f t="shared" si="272"/>
        <v>9-2037</v>
      </c>
      <c r="B5359" s="86">
        <v>50285</v>
      </c>
      <c r="C5359" t="str">
        <f t="shared" si="273"/>
        <v>L-V</v>
      </c>
      <c r="D5359" t="str">
        <f t="shared" si="271"/>
        <v>Miércoles</v>
      </c>
    </row>
    <row r="5360" spans="1:4" x14ac:dyDescent="0.25">
      <c r="A5360" s="88" t="str">
        <f t="shared" si="272"/>
        <v>9-2037</v>
      </c>
      <c r="B5360" s="86">
        <v>50286</v>
      </c>
      <c r="C5360" t="str">
        <f t="shared" si="273"/>
        <v>L-V</v>
      </c>
      <c r="D5360" t="str">
        <f t="shared" si="271"/>
        <v>Jueves</v>
      </c>
    </row>
    <row r="5361" spans="1:4" x14ac:dyDescent="0.25">
      <c r="A5361" s="88" t="str">
        <f t="shared" si="272"/>
        <v>9-2037</v>
      </c>
      <c r="B5361" s="86">
        <v>50287</v>
      </c>
      <c r="C5361" t="str">
        <f t="shared" si="273"/>
        <v>L-V</v>
      </c>
      <c r="D5361" t="str">
        <f t="shared" si="271"/>
        <v>Viernes</v>
      </c>
    </row>
    <row r="5362" spans="1:4" x14ac:dyDescent="0.25">
      <c r="A5362" s="88" t="str">
        <f t="shared" si="272"/>
        <v>9-2037</v>
      </c>
      <c r="B5362" s="86">
        <v>50288</v>
      </c>
      <c r="C5362" t="str">
        <f t="shared" si="273"/>
        <v>SAB</v>
      </c>
      <c r="D5362" t="str">
        <f t="shared" si="271"/>
        <v>Sábado</v>
      </c>
    </row>
    <row r="5363" spans="1:4" x14ac:dyDescent="0.25">
      <c r="A5363" s="88" t="str">
        <f t="shared" si="272"/>
        <v>9-2037</v>
      </c>
      <c r="B5363" s="86">
        <v>50289</v>
      </c>
      <c r="C5363" t="str">
        <f t="shared" si="273"/>
        <v>DOM</v>
      </c>
      <c r="D5363" t="str">
        <f t="shared" si="271"/>
        <v>Domingo</v>
      </c>
    </row>
    <row r="5364" spans="1:4" x14ac:dyDescent="0.25">
      <c r="A5364" s="88" t="str">
        <f t="shared" si="272"/>
        <v>9-2037</v>
      </c>
      <c r="B5364" s="86">
        <v>50290</v>
      </c>
      <c r="C5364" t="str">
        <f t="shared" si="273"/>
        <v>L-V</v>
      </c>
      <c r="D5364" t="str">
        <f t="shared" si="271"/>
        <v>Lunes</v>
      </c>
    </row>
    <row r="5365" spans="1:4" x14ac:dyDescent="0.25">
      <c r="A5365" s="88" t="str">
        <f t="shared" si="272"/>
        <v>9-2037</v>
      </c>
      <c r="B5365" s="86">
        <v>50291</v>
      </c>
      <c r="C5365" t="str">
        <f t="shared" si="273"/>
        <v>L-V</v>
      </c>
      <c r="D5365" t="str">
        <f t="shared" si="271"/>
        <v>Martes</v>
      </c>
    </row>
    <row r="5366" spans="1:4" x14ac:dyDescent="0.25">
      <c r="A5366" s="88" t="str">
        <f t="shared" si="272"/>
        <v>9-2037</v>
      </c>
      <c r="B5366" s="86">
        <v>50292</v>
      </c>
      <c r="C5366" t="str">
        <f t="shared" si="273"/>
        <v>L-V</v>
      </c>
      <c r="D5366" t="str">
        <f t="shared" si="271"/>
        <v>Miércoles</v>
      </c>
    </row>
    <row r="5367" spans="1:4" x14ac:dyDescent="0.25">
      <c r="A5367" s="88" t="str">
        <f t="shared" si="272"/>
        <v>9-2037</v>
      </c>
      <c r="B5367" s="86">
        <v>50293</v>
      </c>
      <c r="C5367" t="str">
        <f t="shared" si="273"/>
        <v>L-V</v>
      </c>
      <c r="D5367" t="str">
        <f t="shared" si="271"/>
        <v>Jueves</v>
      </c>
    </row>
    <row r="5368" spans="1:4" x14ac:dyDescent="0.25">
      <c r="A5368" s="88" t="str">
        <f t="shared" si="272"/>
        <v>9-2037</v>
      </c>
      <c r="B5368" s="86">
        <v>50294</v>
      </c>
      <c r="C5368" t="str">
        <f t="shared" si="273"/>
        <v>L-V</v>
      </c>
      <c r="D5368" t="str">
        <f t="shared" si="271"/>
        <v>Viernes</v>
      </c>
    </row>
    <row r="5369" spans="1:4" x14ac:dyDescent="0.25">
      <c r="A5369" s="88" t="str">
        <f t="shared" si="272"/>
        <v>9-2037</v>
      </c>
      <c r="B5369" s="86">
        <v>50295</v>
      </c>
      <c r="C5369" t="str">
        <f t="shared" si="273"/>
        <v>SAB</v>
      </c>
      <c r="D5369" t="str">
        <f t="shared" si="271"/>
        <v>Sábado</v>
      </c>
    </row>
    <row r="5370" spans="1:4" x14ac:dyDescent="0.25">
      <c r="A5370" s="88" t="str">
        <f t="shared" si="272"/>
        <v>9-2037</v>
      </c>
      <c r="B5370" s="86">
        <v>50296</v>
      </c>
      <c r="C5370" t="str">
        <f t="shared" si="273"/>
        <v>DOM</v>
      </c>
      <c r="D5370" t="str">
        <f t="shared" si="271"/>
        <v>Domingo</v>
      </c>
    </row>
    <row r="5371" spans="1:4" x14ac:dyDescent="0.25">
      <c r="A5371" s="88" t="str">
        <f t="shared" si="272"/>
        <v>9-2037</v>
      </c>
      <c r="B5371" s="86">
        <v>50297</v>
      </c>
      <c r="C5371" t="str">
        <f t="shared" si="273"/>
        <v>L-V</v>
      </c>
      <c r="D5371" t="str">
        <f t="shared" si="271"/>
        <v>Lunes</v>
      </c>
    </row>
    <row r="5372" spans="1:4" x14ac:dyDescent="0.25">
      <c r="A5372" s="88" t="str">
        <f t="shared" si="272"/>
        <v>9-2037</v>
      </c>
      <c r="B5372" s="86">
        <v>50298</v>
      </c>
      <c r="C5372" t="str">
        <f t="shared" si="273"/>
        <v>L-V</v>
      </c>
      <c r="D5372" t="str">
        <f t="shared" si="271"/>
        <v>Martes</v>
      </c>
    </row>
    <row r="5373" spans="1:4" x14ac:dyDescent="0.25">
      <c r="A5373" s="88" t="str">
        <f t="shared" si="272"/>
        <v>9-2037</v>
      </c>
      <c r="B5373" s="86">
        <v>50299</v>
      </c>
      <c r="C5373" t="str">
        <f t="shared" si="273"/>
        <v>L-V</v>
      </c>
      <c r="D5373" t="str">
        <f t="shared" si="271"/>
        <v>Miércoles</v>
      </c>
    </row>
    <row r="5374" spans="1:4" x14ac:dyDescent="0.25">
      <c r="A5374" s="88" t="str">
        <f t="shared" si="272"/>
        <v>9-2037</v>
      </c>
      <c r="B5374" s="86">
        <v>50300</v>
      </c>
      <c r="C5374" t="str">
        <f t="shared" si="273"/>
        <v>L-V</v>
      </c>
      <c r="D5374" t="str">
        <f t="shared" si="271"/>
        <v>Jueves</v>
      </c>
    </row>
    <row r="5375" spans="1:4" x14ac:dyDescent="0.25">
      <c r="A5375" s="88" t="str">
        <f t="shared" si="272"/>
        <v>9-2037</v>
      </c>
      <c r="B5375" s="86">
        <v>50301</v>
      </c>
      <c r="C5375" t="str">
        <f t="shared" si="273"/>
        <v>L-V</v>
      </c>
      <c r="D5375" t="str">
        <f t="shared" si="271"/>
        <v>Viernes</v>
      </c>
    </row>
    <row r="5376" spans="1:4" x14ac:dyDescent="0.25">
      <c r="A5376" s="88" t="str">
        <f t="shared" si="272"/>
        <v>9-2037</v>
      </c>
      <c r="B5376" s="86">
        <v>50302</v>
      </c>
      <c r="C5376" t="str">
        <f t="shared" si="273"/>
        <v>SAB</v>
      </c>
      <c r="D5376" t="str">
        <f t="shared" si="271"/>
        <v>Sábado</v>
      </c>
    </row>
    <row r="5377" spans="1:4" x14ac:dyDescent="0.25">
      <c r="A5377" s="88" t="str">
        <f t="shared" si="272"/>
        <v>9-2037</v>
      </c>
      <c r="B5377" s="86">
        <v>50303</v>
      </c>
      <c r="C5377" t="str">
        <f t="shared" si="273"/>
        <v>DOM</v>
      </c>
      <c r="D5377" t="str">
        <f t="shared" si="271"/>
        <v>Domingo</v>
      </c>
    </row>
    <row r="5378" spans="1:4" x14ac:dyDescent="0.25">
      <c r="A5378" s="88" t="str">
        <f t="shared" si="272"/>
        <v>9-2037</v>
      </c>
      <c r="B5378" s="86">
        <v>50304</v>
      </c>
      <c r="C5378" t="str">
        <f t="shared" si="273"/>
        <v>L-V</v>
      </c>
      <c r="D5378" t="str">
        <f t="shared" si="271"/>
        <v>Lunes</v>
      </c>
    </row>
    <row r="5379" spans="1:4" x14ac:dyDescent="0.25">
      <c r="A5379" s="88" t="str">
        <f t="shared" si="272"/>
        <v>9-2037</v>
      </c>
      <c r="B5379" s="86">
        <v>50305</v>
      </c>
      <c r="C5379" t="str">
        <f t="shared" si="273"/>
        <v>L-V</v>
      </c>
      <c r="D5379" t="str">
        <f t="shared" ref="D5379:D5442" si="274">VLOOKUP(WEEKDAY($B5379,2),$F$1:$H$7,3)</f>
        <v>Martes</v>
      </c>
    </row>
    <row r="5380" spans="1:4" x14ac:dyDescent="0.25">
      <c r="A5380" s="88" t="str">
        <f t="shared" si="272"/>
        <v>9-2037</v>
      </c>
      <c r="B5380" s="86">
        <v>50306</v>
      </c>
      <c r="C5380" t="str">
        <f t="shared" si="273"/>
        <v>L-V</v>
      </c>
      <c r="D5380" t="str">
        <f t="shared" si="274"/>
        <v>Miércoles</v>
      </c>
    </row>
    <row r="5381" spans="1:4" x14ac:dyDescent="0.25">
      <c r="A5381" s="88" t="str">
        <f t="shared" si="272"/>
        <v>9-2037</v>
      </c>
      <c r="B5381" s="86">
        <v>50307</v>
      </c>
      <c r="C5381" t="str">
        <f t="shared" si="273"/>
        <v>L-V</v>
      </c>
      <c r="D5381" t="str">
        <f t="shared" si="274"/>
        <v>Jueves</v>
      </c>
    </row>
    <row r="5382" spans="1:4" x14ac:dyDescent="0.25">
      <c r="A5382" s="88" t="str">
        <f t="shared" si="272"/>
        <v>9-2037</v>
      </c>
      <c r="B5382" s="86">
        <v>50308</v>
      </c>
      <c r="C5382" t="str">
        <f t="shared" si="273"/>
        <v>L-V</v>
      </c>
      <c r="D5382" t="str">
        <f t="shared" si="274"/>
        <v>Viernes</v>
      </c>
    </row>
    <row r="5383" spans="1:4" x14ac:dyDescent="0.25">
      <c r="A5383" s="88" t="str">
        <f t="shared" si="272"/>
        <v>9-2037</v>
      </c>
      <c r="B5383" s="86">
        <v>50309</v>
      </c>
      <c r="C5383" t="str">
        <f t="shared" si="273"/>
        <v>SAB</v>
      </c>
      <c r="D5383" t="str">
        <f t="shared" si="274"/>
        <v>Sábado</v>
      </c>
    </row>
    <row r="5384" spans="1:4" x14ac:dyDescent="0.25">
      <c r="A5384" s="88" t="str">
        <f t="shared" si="272"/>
        <v>9-2037</v>
      </c>
      <c r="B5384" s="86">
        <v>50310</v>
      </c>
      <c r="C5384" t="str">
        <f t="shared" si="273"/>
        <v>DOM</v>
      </c>
      <c r="D5384" t="str">
        <f t="shared" si="274"/>
        <v>Domingo</v>
      </c>
    </row>
    <row r="5385" spans="1:4" x14ac:dyDescent="0.25">
      <c r="A5385" s="88" t="str">
        <f t="shared" si="272"/>
        <v>9-2037</v>
      </c>
      <c r="B5385" s="86">
        <v>50311</v>
      </c>
      <c r="C5385" t="str">
        <f t="shared" si="273"/>
        <v>L-V</v>
      </c>
      <c r="D5385" t="str">
        <f t="shared" si="274"/>
        <v>Lunes</v>
      </c>
    </row>
    <row r="5386" spans="1:4" x14ac:dyDescent="0.25">
      <c r="A5386" s="88" t="str">
        <f t="shared" si="272"/>
        <v>9-2037</v>
      </c>
      <c r="B5386" s="86">
        <v>50312</v>
      </c>
      <c r="C5386" t="str">
        <f t="shared" si="273"/>
        <v>L-V</v>
      </c>
      <c r="D5386" t="str">
        <f t="shared" si="274"/>
        <v>Martes</v>
      </c>
    </row>
    <row r="5387" spans="1:4" x14ac:dyDescent="0.25">
      <c r="A5387" s="88" t="str">
        <f t="shared" si="272"/>
        <v>9-2037</v>
      </c>
      <c r="B5387" s="86">
        <v>50313</v>
      </c>
      <c r="C5387" t="str">
        <f t="shared" si="273"/>
        <v>L-V</v>
      </c>
      <c r="D5387" t="str">
        <f t="shared" si="274"/>
        <v>Miércoles</v>
      </c>
    </row>
    <row r="5388" spans="1:4" x14ac:dyDescent="0.25">
      <c r="A5388" s="88" t="str">
        <f t="shared" si="272"/>
        <v>10-2037</v>
      </c>
      <c r="B5388" s="86">
        <v>50314</v>
      </c>
      <c r="C5388" t="str">
        <f t="shared" si="273"/>
        <v>L-V</v>
      </c>
      <c r="D5388" t="str">
        <f t="shared" si="274"/>
        <v>Jueves</v>
      </c>
    </row>
    <row r="5389" spans="1:4" x14ac:dyDescent="0.25">
      <c r="A5389" s="88" t="str">
        <f t="shared" si="272"/>
        <v>10-2037</v>
      </c>
      <c r="B5389" s="86">
        <v>50315</v>
      </c>
      <c r="C5389" t="str">
        <f t="shared" si="273"/>
        <v>L-V</v>
      </c>
      <c r="D5389" t="str">
        <f t="shared" si="274"/>
        <v>Viernes</v>
      </c>
    </row>
    <row r="5390" spans="1:4" x14ac:dyDescent="0.25">
      <c r="A5390" s="88" t="str">
        <f t="shared" si="272"/>
        <v>10-2037</v>
      </c>
      <c r="B5390" s="86">
        <v>50316</v>
      </c>
      <c r="C5390" t="str">
        <f t="shared" si="273"/>
        <v>SAB</v>
      </c>
      <c r="D5390" t="str">
        <f t="shared" si="274"/>
        <v>Sábado</v>
      </c>
    </row>
    <row r="5391" spans="1:4" x14ac:dyDescent="0.25">
      <c r="A5391" s="88" t="str">
        <f t="shared" si="272"/>
        <v>10-2037</v>
      </c>
      <c r="B5391" s="86">
        <v>50317</v>
      </c>
      <c r="C5391" t="str">
        <f t="shared" si="273"/>
        <v>DOM</v>
      </c>
      <c r="D5391" t="str">
        <f t="shared" si="274"/>
        <v>Domingo</v>
      </c>
    </row>
    <row r="5392" spans="1:4" x14ac:dyDescent="0.25">
      <c r="A5392" s="88" t="str">
        <f t="shared" si="272"/>
        <v>10-2037</v>
      </c>
      <c r="B5392" s="86">
        <v>50318</v>
      </c>
      <c r="C5392" t="str">
        <f t="shared" si="273"/>
        <v>L-V</v>
      </c>
      <c r="D5392" t="str">
        <f t="shared" si="274"/>
        <v>Lunes</v>
      </c>
    </row>
    <row r="5393" spans="1:4" x14ac:dyDescent="0.25">
      <c r="A5393" s="88" t="str">
        <f t="shared" si="272"/>
        <v>10-2037</v>
      </c>
      <c r="B5393" s="86">
        <v>50319</v>
      </c>
      <c r="C5393" t="str">
        <f t="shared" si="273"/>
        <v>L-V</v>
      </c>
      <c r="D5393" t="str">
        <f t="shared" si="274"/>
        <v>Martes</v>
      </c>
    </row>
    <row r="5394" spans="1:4" x14ac:dyDescent="0.25">
      <c r="A5394" s="88" t="str">
        <f t="shared" si="272"/>
        <v>10-2037</v>
      </c>
      <c r="B5394" s="86">
        <v>50320</v>
      </c>
      <c r="C5394" t="str">
        <f t="shared" si="273"/>
        <v>L-V</v>
      </c>
      <c r="D5394" t="str">
        <f t="shared" si="274"/>
        <v>Miércoles</v>
      </c>
    </row>
    <row r="5395" spans="1:4" x14ac:dyDescent="0.25">
      <c r="A5395" s="88" t="str">
        <f t="shared" si="272"/>
        <v>10-2037</v>
      </c>
      <c r="B5395" s="86">
        <v>50321</v>
      </c>
      <c r="C5395" t="str">
        <f t="shared" si="273"/>
        <v>L-V</v>
      </c>
      <c r="D5395" t="str">
        <f t="shared" si="274"/>
        <v>Jueves</v>
      </c>
    </row>
    <row r="5396" spans="1:4" x14ac:dyDescent="0.25">
      <c r="A5396" s="88" t="str">
        <f t="shared" si="272"/>
        <v>10-2037</v>
      </c>
      <c r="B5396" s="86">
        <v>50322</v>
      </c>
      <c r="C5396" t="str">
        <f t="shared" si="273"/>
        <v>L-V</v>
      </c>
      <c r="D5396" t="str">
        <f t="shared" si="274"/>
        <v>Viernes</v>
      </c>
    </row>
    <row r="5397" spans="1:4" x14ac:dyDescent="0.25">
      <c r="A5397" s="88" t="str">
        <f t="shared" si="272"/>
        <v>10-2037</v>
      </c>
      <c r="B5397" s="86">
        <v>50323</v>
      </c>
      <c r="C5397" t="str">
        <f t="shared" si="273"/>
        <v>SAB</v>
      </c>
      <c r="D5397" t="str">
        <f t="shared" si="274"/>
        <v>Sábado</v>
      </c>
    </row>
    <row r="5398" spans="1:4" x14ac:dyDescent="0.25">
      <c r="A5398" s="88" t="str">
        <f t="shared" si="272"/>
        <v>10-2037</v>
      </c>
      <c r="B5398" s="86">
        <v>50324</v>
      </c>
      <c r="C5398" t="str">
        <f t="shared" si="273"/>
        <v>DOM</v>
      </c>
      <c r="D5398" t="str">
        <f t="shared" si="274"/>
        <v>Domingo</v>
      </c>
    </row>
    <row r="5399" spans="1:4" x14ac:dyDescent="0.25">
      <c r="A5399" s="88" t="str">
        <f t="shared" si="272"/>
        <v>10-2037</v>
      </c>
      <c r="B5399" s="86">
        <v>50325</v>
      </c>
      <c r="C5399" t="str">
        <f t="shared" si="273"/>
        <v>L-V</v>
      </c>
      <c r="D5399" t="str">
        <f t="shared" si="274"/>
        <v>Lunes</v>
      </c>
    </row>
    <row r="5400" spans="1:4" x14ac:dyDescent="0.25">
      <c r="A5400" s="88" t="str">
        <f t="shared" si="272"/>
        <v>10-2037</v>
      </c>
      <c r="B5400" s="86">
        <v>50326</v>
      </c>
      <c r="C5400" t="str">
        <f t="shared" si="273"/>
        <v>L-V</v>
      </c>
      <c r="D5400" t="str">
        <f t="shared" si="274"/>
        <v>Martes</v>
      </c>
    </row>
    <row r="5401" spans="1:4" x14ac:dyDescent="0.25">
      <c r="A5401" s="88" t="str">
        <f t="shared" si="272"/>
        <v>10-2037</v>
      </c>
      <c r="B5401" s="86">
        <v>50327</v>
      </c>
      <c r="C5401" t="str">
        <f t="shared" si="273"/>
        <v>L-V</v>
      </c>
      <c r="D5401" t="str">
        <f t="shared" si="274"/>
        <v>Miércoles</v>
      </c>
    </row>
    <row r="5402" spans="1:4" x14ac:dyDescent="0.25">
      <c r="A5402" s="88" t="str">
        <f t="shared" si="272"/>
        <v>10-2037</v>
      </c>
      <c r="B5402" s="86">
        <v>50328</v>
      </c>
      <c r="C5402" t="str">
        <f t="shared" si="273"/>
        <v>L-V</v>
      </c>
      <c r="D5402" t="str">
        <f t="shared" si="274"/>
        <v>Jueves</v>
      </c>
    </row>
    <row r="5403" spans="1:4" x14ac:dyDescent="0.25">
      <c r="A5403" s="88" t="str">
        <f t="shared" si="272"/>
        <v>10-2037</v>
      </c>
      <c r="B5403" s="86">
        <v>50329</v>
      </c>
      <c r="C5403" t="str">
        <f t="shared" si="273"/>
        <v>L-V</v>
      </c>
      <c r="D5403" t="str">
        <f t="shared" si="274"/>
        <v>Viernes</v>
      </c>
    </row>
    <row r="5404" spans="1:4" x14ac:dyDescent="0.25">
      <c r="A5404" s="88" t="str">
        <f t="shared" si="272"/>
        <v>10-2037</v>
      </c>
      <c r="B5404" s="86">
        <v>50330</v>
      </c>
      <c r="C5404" t="str">
        <f t="shared" si="273"/>
        <v>SAB</v>
      </c>
      <c r="D5404" t="str">
        <f t="shared" si="274"/>
        <v>Sábado</v>
      </c>
    </row>
    <row r="5405" spans="1:4" x14ac:dyDescent="0.25">
      <c r="A5405" s="88" t="str">
        <f t="shared" ref="A5405:A5468" si="275">MONTH(B5405)&amp;"-"&amp;YEAR(B5405)</f>
        <v>10-2037</v>
      </c>
      <c r="B5405" s="86">
        <v>50331</v>
      </c>
      <c r="C5405" t="str">
        <f t="shared" ref="C5405:C5468" si="276">VLOOKUP(WEEKDAY(B5405,2),$F$1:$H$7,2)</f>
        <v>DOM</v>
      </c>
      <c r="D5405" t="str">
        <f t="shared" si="274"/>
        <v>Domingo</v>
      </c>
    </row>
    <row r="5406" spans="1:4" x14ac:dyDescent="0.25">
      <c r="A5406" s="88" t="str">
        <f t="shared" si="275"/>
        <v>10-2037</v>
      </c>
      <c r="B5406" s="86">
        <v>50332</v>
      </c>
      <c r="C5406" t="str">
        <f t="shared" si="276"/>
        <v>L-V</v>
      </c>
      <c r="D5406" t="str">
        <f t="shared" si="274"/>
        <v>Lunes</v>
      </c>
    </row>
    <row r="5407" spans="1:4" x14ac:dyDescent="0.25">
      <c r="A5407" s="88" t="str">
        <f t="shared" si="275"/>
        <v>10-2037</v>
      </c>
      <c r="B5407" s="86">
        <v>50333</v>
      </c>
      <c r="C5407" t="str">
        <f t="shared" si="276"/>
        <v>L-V</v>
      </c>
      <c r="D5407" t="str">
        <f t="shared" si="274"/>
        <v>Martes</v>
      </c>
    </row>
    <row r="5408" spans="1:4" x14ac:dyDescent="0.25">
      <c r="A5408" s="88" t="str">
        <f t="shared" si="275"/>
        <v>10-2037</v>
      </c>
      <c r="B5408" s="86">
        <v>50334</v>
      </c>
      <c r="C5408" t="str">
        <f t="shared" si="276"/>
        <v>L-V</v>
      </c>
      <c r="D5408" t="str">
        <f t="shared" si="274"/>
        <v>Miércoles</v>
      </c>
    </row>
    <row r="5409" spans="1:4" x14ac:dyDescent="0.25">
      <c r="A5409" s="88" t="str">
        <f t="shared" si="275"/>
        <v>10-2037</v>
      </c>
      <c r="B5409" s="86">
        <v>50335</v>
      </c>
      <c r="C5409" t="str">
        <f t="shared" si="276"/>
        <v>L-V</v>
      </c>
      <c r="D5409" t="str">
        <f t="shared" si="274"/>
        <v>Jueves</v>
      </c>
    </row>
    <row r="5410" spans="1:4" x14ac:dyDescent="0.25">
      <c r="A5410" s="88" t="str">
        <f t="shared" si="275"/>
        <v>10-2037</v>
      </c>
      <c r="B5410" s="86">
        <v>50336</v>
      </c>
      <c r="C5410" t="str">
        <f t="shared" si="276"/>
        <v>L-V</v>
      </c>
      <c r="D5410" t="str">
        <f t="shared" si="274"/>
        <v>Viernes</v>
      </c>
    </row>
    <row r="5411" spans="1:4" x14ac:dyDescent="0.25">
      <c r="A5411" s="88" t="str">
        <f t="shared" si="275"/>
        <v>10-2037</v>
      </c>
      <c r="B5411" s="86">
        <v>50337</v>
      </c>
      <c r="C5411" t="str">
        <f t="shared" si="276"/>
        <v>SAB</v>
      </c>
      <c r="D5411" t="str">
        <f t="shared" si="274"/>
        <v>Sábado</v>
      </c>
    </row>
    <row r="5412" spans="1:4" x14ac:dyDescent="0.25">
      <c r="A5412" s="88" t="str">
        <f t="shared" si="275"/>
        <v>10-2037</v>
      </c>
      <c r="B5412" s="86">
        <v>50338</v>
      </c>
      <c r="C5412" t="str">
        <f t="shared" si="276"/>
        <v>DOM</v>
      </c>
      <c r="D5412" t="str">
        <f t="shared" si="274"/>
        <v>Domingo</v>
      </c>
    </row>
    <row r="5413" spans="1:4" x14ac:dyDescent="0.25">
      <c r="A5413" s="88" t="str">
        <f t="shared" si="275"/>
        <v>10-2037</v>
      </c>
      <c r="B5413" s="86">
        <v>50339</v>
      </c>
      <c r="C5413" t="str">
        <f t="shared" si="276"/>
        <v>L-V</v>
      </c>
      <c r="D5413" t="str">
        <f t="shared" si="274"/>
        <v>Lunes</v>
      </c>
    </row>
    <row r="5414" spans="1:4" x14ac:dyDescent="0.25">
      <c r="A5414" s="88" t="str">
        <f t="shared" si="275"/>
        <v>10-2037</v>
      </c>
      <c r="B5414" s="86">
        <v>50340</v>
      </c>
      <c r="C5414" t="str">
        <f t="shared" si="276"/>
        <v>L-V</v>
      </c>
      <c r="D5414" t="str">
        <f t="shared" si="274"/>
        <v>Martes</v>
      </c>
    </row>
    <row r="5415" spans="1:4" x14ac:dyDescent="0.25">
      <c r="A5415" s="88" t="str">
        <f t="shared" si="275"/>
        <v>10-2037</v>
      </c>
      <c r="B5415" s="86">
        <v>50341</v>
      </c>
      <c r="C5415" t="str">
        <f t="shared" si="276"/>
        <v>L-V</v>
      </c>
      <c r="D5415" t="str">
        <f t="shared" si="274"/>
        <v>Miércoles</v>
      </c>
    </row>
    <row r="5416" spans="1:4" x14ac:dyDescent="0.25">
      <c r="A5416" s="88" t="str">
        <f t="shared" si="275"/>
        <v>10-2037</v>
      </c>
      <c r="B5416" s="86">
        <v>50342</v>
      </c>
      <c r="C5416" t="str">
        <f t="shared" si="276"/>
        <v>L-V</v>
      </c>
      <c r="D5416" t="str">
        <f t="shared" si="274"/>
        <v>Jueves</v>
      </c>
    </row>
    <row r="5417" spans="1:4" x14ac:dyDescent="0.25">
      <c r="A5417" s="88" t="str">
        <f t="shared" si="275"/>
        <v>10-2037</v>
      </c>
      <c r="B5417" s="86">
        <v>50343</v>
      </c>
      <c r="C5417" t="str">
        <f t="shared" si="276"/>
        <v>L-V</v>
      </c>
      <c r="D5417" t="str">
        <f t="shared" si="274"/>
        <v>Viernes</v>
      </c>
    </row>
    <row r="5418" spans="1:4" x14ac:dyDescent="0.25">
      <c r="A5418" s="88" t="str">
        <f t="shared" si="275"/>
        <v>10-2037</v>
      </c>
      <c r="B5418" s="86">
        <v>50344</v>
      </c>
      <c r="C5418" t="str">
        <f t="shared" si="276"/>
        <v>SAB</v>
      </c>
      <c r="D5418" t="str">
        <f t="shared" si="274"/>
        <v>Sábado</v>
      </c>
    </row>
    <row r="5419" spans="1:4" x14ac:dyDescent="0.25">
      <c r="A5419" s="88" t="str">
        <f t="shared" si="275"/>
        <v>11-2037</v>
      </c>
      <c r="B5419" s="86">
        <v>50345</v>
      </c>
      <c r="C5419" t="str">
        <f t="shared" si="276"/>
        <v>DOM</v>
      </c>
      <c r="D5419" t="str">
        <f t="shared" si="274"/>
        <v>Domingo</v>
      </c>
    </row>
    <row r="5420" spans="1:4" x14ac:dyDescent="0.25">
      <c r="A5420" s="88" t="str">
        <f t="shared" si="275"/>
        <v>11-2037</v>
      </c>
      <c r="B5420" s="86">
        <v>50346</v>
      </c>
      <c r="C5420" t="str">
        <f t="shared" si="276"/>
        <v>L-V</v>
      </c>
      <c r="D5420" t="str">
        <f t="shared" si="274"/>
        <v>Lunes</v>
      </c>
    </row>
    <row r="5421" spans="1:4" x14ac:dyDescent="0.25">
      <c r="A5421" s="88" t="str">
        <f t="shared" si="275"/>
        <v>11-2037</v>
      </c>
      <c r="B5421" s="86">
        <v>50347</v>
      </c>
      <c r="C5421" t="str">
        <f t="shared" si="276"/>
        <v>L-V</v>
      </c>
      <c r="D5421" t="str">
        <f t="shared" si="274"/>
        <v>Martes</v>
      </c>
    </row>
    <row r="5422" spans="1:4" x14ac:dyDescent="0.25">
      <c r="A5422" s="88" t="str">
        <f t="shared" si="275"/>
        <v>11-2037</v>
      </c>
      <c r="B5422" s="86">
        <v>50348</v>
      </c>
      <c r="C5422" t="str">
        <f t="shared" si="276"/>
        <v>L-V</v>
      </c>
      <c r="D5422" t="str">
        <f t="shared" si="274"/>
        <v>Miércoles</v>
      </c>
    </row>
    <row r="5423" spans="1:4" x14ac:dyDescent="0.25">
      <c r="A5423" s="88" t="str">
        <f t="shared" si="275"/>
        <v>11-2037</v>
      </c>
      <c r="B5423" s="86">
        <v>50349</v>
      </c>
      <c r="C5423" t="str">
        <f t="shared" si="276"/>
        <v>L-V</v>
      </c>
      <c r="D5423" t="str">
        <f t="shared" si="274"/>
        <v>Jueves</v>
      </c>
    </row>
    <row r="5424" spans="1:4" x14ac:dyDescent="0.25">
      <c r="A5424" s="88" t="str">
        <f t="shared" si="275"/>
        <v>11-2037</v>
      </c>
      <c r="B5424" s="86">
        <v>50350</v>
      </c>
      <c r="C5424" t="str">
        <f t="shared" si="276"/>
        <v>L-V</v>
      </c>
      <c r="D5424" t="str">
        <f t="shared" si="274"/>
        <v>Viernes</v>
      </c>
    </row>
    <row r="5425" spans="1:4" x14ac:dyDescent="0.25">
      <c r="A5425" s="88" t="str">
        <f t="shared" si="275"/>
        <v>11-2037</v>
      </c>
      <c r="B5425" s="86">
        <v>50351</v>
      </c>
      <c r="C5425" t="str">
        <f t="shared" si="276"/>
        <v>SAB</v>
      </c>
      <c r="D5425" t="str">
        <f t="shared" si="274"/>
        <v>Sábado</v>
      </c>
    </row>
    <row r="5426" spans="1:4" x14ac:dyDescent="0.25">
      <c r="A5426" s="88" t="str">
        <f t="shared" si="275"/>
        <v>11-2037</v>
      </c>
      <c r="B5426" s="86">
        <v>50352</v>
      </c>
      <c r="C5426" t="str">
        <f t="shared" si="276"/>
        <v>DOM</v>
      </c>
      <c r="D5426" t="str">
        <f t="shared" si="274"/>
        <v>Domingo</v>
      </c>
    </row>
    <row r="5427" spans="1:4" x14ac:dyDescent="0.25">
      <c r="A5427" s="88" t="str">
        <f t="shared" si="275"/>
        <v>11-2037</v>
      </c>
      <c r="B5427" s="86">
        <v>50353</v>
      </c>
      <c r="C5427" t="str">
        <f t="shared" si="276"/>
        <v>L-V</v>
      </c>
      <c r="D5427" t="str">
        <f t="shared" si="274"/>
        <v>Lunes</v>
      </c>
    </row>
    <row r="5428" spans="1:4" x14ac:dyDescent="0.25">
      <c r="A5428" s="88" t="str">
        <f t="shared" si="275"/>
        <v>11-2037</v>
      </c>
      <c r="B5428" s="86">
        <v>50354</v>
      </c>
      <c r="C5428" t="str">
        <f t="shared" si="276"/>
        <v>L-V</v>
      </c>
      <c r="D5428" t="str">
        <f t="shared" si="274"/>
        <v>Martes</v>
      </c>
    </row>
    <row r="5429" spans="1:4" x14ac:dyDescent="0.25">
      <c r="A5429" s="88" t="str">
        <f t="shared" si="275"/>
        <v>11-2037</v>
      </c>
      <c r="B5429" s="86">
        <v>50355</v>
      </c>
      <c r="C5429" t="str">
        <f t="shared" si="276"/>
        <v>L-V</v>
      </c>
      <c r="D5429" t="str">
        <f t="shared" si="274"/>
        <v>Miércoles</v>
      </c>
    </row>
    <row r="5430" spans="1:4" x14ac:dyDescent="0.25">
      <c r="A5430" s="88" t="str">
        <f t="shared" si="275"/>
        <v>11-2037</v>
      </c>
      <c r="B5430" s="86">
        <v>50356</v>
      </c>
      <c r="C5430" t="str">
        <f t="shared" si="276"/>
        <v>L-V</v>
      </c>
      <c r="D5430" t="str">
        <f t="shared" si="274"/>
        <v>Jueves</v>
      </c>
    </row>
    <row r="5431" spans="1:4" x14ac:dyDescent="0.25">
      <c r="A5431" s="88" t="str">
        <f t="shared" si="275"/>
        <v>11-2037</v>
      </c>
      <c r="B5431" s="86">
        <v>50357</v>
      </c>
      <c r="C5431" t="str">
        <f t="shared" si="276"/>
        <v>L-V</v>
      </c>
      <c r="D5431" t="str">
        <f t="shared" si="274"/>
        <v>Viernes</v>
      </c>
    </row>
    <row r="5432" spans="1:4" x14ac:dyDescent="0.25">
      <c r="A5432" s="88" t="str">
        <f t="shared" si="275"/>
        <v>11-2037</v>
      </c>
      <c r="B5432" s="86">
        <v>50358</v>
      </c>
      <c r="C5432" t="str">
        <f t="shared" si="276"/>
        <v>SAB</v>
      </c>
      <c r="D5432" t="str">
        <f t="shared" si="274"/>
        <v>Sábado</v>
      </c>
    </row>
    <row r="5433" spans="1:4" x14ac:dyDescent="0.25">
      <c r="A5433" s="88" t="str">
        <f t="shared" si="275"/>
        <v>11-2037</v>
      </c>
      <c r="B5433" s="86">
        <v>50359</v>
      </c>
      <c r="C5433" t="str">
        <f t="shared" si="276"/>
        <v>DOM</v>
      </c>
      <c r="D5433" t="str">
        <f t="shared" si="274"/>
        <v>Domingo</v>
      </c>
    </row>
    <row r="5434" spans="1:4" x14ac:dyDescent="0.25">
      <c r="A5434" s="88" t="str">
        <f t="shared" si="275"/>
        <v>11-2037</v>
      </c>
      <c r="B5434" s="86">
        <v>50360</v>
      </c>
      <c r="C5434" t="str">
        <f t="shared" si="276"/>
        <v>L-V</v>
      </c>
      <c r="D5434" t="str">
        <f t="shared" si="274"/>
        <v>Lunes</v>
      </c>
    </row>
    <row r="5435" spans="1:4" x14ac:dyDescent="0.25">
      <c r="A5435" s="88" t="str">
        <f t="shared" si="275"/>
        <v>11-2037</v>
      </c>
      <c r="B5435" s="86">
        <v>50361</v>
      </c>
      <c r="C5435" t="str">
        <f t="shared" si="276"/>
        <v>L-V</v>
      </c>
      <c r="D5435" t="str">
        <f t="shared" si="274"/>
        <v>Martes</v>
      </c>
    </row>
    <row r="5436" spans="1:4" x14ac:dyDescent="0.25">
      <c r="A5436" s="88" t="str">
        <f t="shared" si="275"/>
        <v>11-2037</v>
      </c>
      <c r="B5436" s="86">
        <v>50362</v>
      </c>
      <c r="C5436" t="str">
        <f t="shared" si="276"/>
        <v>L-V</v>
      </c>
      <c r="D5436" t="str">
        <f t="shared" si="274"/>
        <v>Miércoles</v>
      </c>
    </row>
    <row r="5437" spans="1:4" x14ac:dyDescent="0.25">
      <c r="A5437" s="88" t="str">
        <f t="shared" si="275"/>
        <v>11-2037</v>
      </c>
      <c r="B5437" s="86">
        <v>50363</v>
      </c>
      <c r="C5437" t="str">
        <f t="shared" si="276"/>
        <v>L-V</v>
      </c>
      <c r="D5437" t="str">
        <f t="shared" si="274"/>
        <v>Jueves</v>
      </c>
    </row>
    <row r="5438" spans="1:4" x14ac:dyDescent="0.25">
      <c r="A5438" s="88" t="str">
        <f t="shared" si="275"/>
        <v>11-2037</v>
      </c>
      <c r="B5438" s="86">
        <v>50364</v>
      </c>
      <c r="C5438" t="str">
        <f t="shared" si="276"/>
        <v>L-V</v>
      </c>
      <c r="D5438" t="str">
        <f t="shared" si="274"/>
        <v>Viernes</v>
      </c>
    </row>
    <row r="5439" spans="1:4" x14ac:dyDescent="0.25">
      <c r="A5439" s="88" t="str">
        <f t="shared" si="275"/>
        <v>11-2037</v>
      </c>
      <c r="B5439" s="86">
        <v>50365</v>
      </c>
      <c r="C5439" t="str">
        <f t="shared" si="276"/>
        <v>SAB</v>
      </c>
      <c r="D5439" t="str">
        <f t="shared" si="274"/>
        <v>Sábado</v>
      </c>
    </row>
    <row r="5440" spans="1:4" x14ac:dyDescent="0.25">
      <c r="A5440" s="88" t="str">
        <f t="shared" si="275"/>
        <v>11-2037</v>
      </c>
      <c r="B5440" s="86">
        <v>50366</v>
      </c>
      <c r="C5440" t="str">
        <f t="shared" si="276"/>
        <v>DOM</v>
      </c>
      <c r="D5440" t="str">
        <f t="shared" si="274"/>
        <v>Domingo</v>
      </c>
    </row>
    <row r="5441" spans="1:4" x14ac:dyDescent="0.25">
      <c r="A5441" s="88" t="str">
        <f t="shared" si="275"/>
        <v>11-2037</v>
      </c>
      <c r="B5441" s="86">
        <v>50367</v>
      </c>
      <c r="C5441" t="str">
        <f t="shared" si="276"/>
        <v>L-V</v>
      </c>
      <c r="D5441" t="str">
        <f t="shared" si="274"/>
        <v>Lunes</v>
      </c>
    </row>
    <row r="5442" spans="1:4" x14ac:dyDescent="0.25">
      <c r="A5442" s="88" t="str">
        <f t="shared" si="275"/>
        <v>11-2037</v>
      </c>
      <c r="B5442" s="86">
        <v>50368</v>
      </c>
      <c r="C5442" t="str">
        <f t="shared" si="276"/>
        <v>L-V</v>
      </c>
      <c r="D5442" t="str">
        <f t="shared" si="274"/>
        <v>Martes</v>
      </c>
    </row>
    <row r="5443" spans="1:4" x14ac:dyDescent="0.25">
      <c r="A5443" s="88" t="str">
        <f t="shared" si="275"/>
        <v>11-2037</v>
      </c>
      <c r="B5443" s="86">
        <v>50369</v>
      </c>
      <c r="C5443" t="str">
        <f t="shared" si="276"/>
        <v>L-V</v>
      </c>
      <c r="D5443" t="str">
        <f t="shared" ref="D5443:D5506" si="277">VLOOKUP(WEEKDAY($B5443,2),$F$1:$H$7,3)</f>
        <v>Miércoles</v>
      </c>
    </row>
    <row r="5444" spans="1:4" x14ac:dyDescent="0.25">
      <c r="A5444" s="88" t="str">
        <f t="shared" si="275"/>
        <v>11-2037</v>
      </c>
      <c r="B5444" s="86">
        <v>50370</v>
      </c>
      <c r="C5444" t="str">
        <f t="shared" si="276"/>
        <v>L-V</v>
      </c>
      <c r="D5444" t="str">
        <f t="shared" si="277"/>
        <v>Jueves</v>
      </c>
    </row>
    <row r="5445" spans="1:4" x14ac:dyDescent="0.25">
      <c r="A5445" s="88" t="str">
        <f t="shared" si="275"/>
        <v>11-2037</v>
      </c>
      <c r="B5445" s="86">
        <v>50371</v>
      </c>
      <c r="C5445" t="str">
        <f t="shared" si="276"/>
        <v>L-V</v>
      </c>
      <c r="D5445" t="str">
        <f t="shared" si="277"/>
        <v>Viernes</v>
      </c>
    </row>
    <row r="5446" spans="1:4" x14ac:dyDescent="0.25">
      <c r="A5446" s="88" t="str">
        <f t="shared" si="275"/>
        <v>11-2037</v>
      </c>
      <c r="B5446" s="86">
        <v>50372</v>
      </c>
      <c r="C5446" t="str">
        <f t="shared" si="276"/>
        <v>SAB</v>
      </c>
      <c r="D5446" t="str">
        <f t="shared" si="277"/>
        <v>Sábado</v>
      </c>
    </row>
    <row r="5447" spans="1:4" x14ac:dyDescent="0.25">
      <c r="A5447" s="88" t="str">
        <f t="shared" si="275"/>
        <v>11-2037</v>
      </c>
      <c r="B5447" s="86">
        <v>50373</v>
      </c>
      <c r="C5447" t="str">
        <f t="shared" si="276"/>
        <v>DOM</v>
      </c>
      <c r="D5447" t="str">
        <f t="shared" si="277"/>
        <v>Domingo</v>
      </c>
    </row>
    <row r="5448" spans="1:4" x14ac:dyDescent="0.25">
      <c r="A5448" s="88" t="str">
        <f t="shared" si="275"/>
        <v>11-2037</v>
      </c>
      <c r="B5448" s="86">
        <v>50374</v>
      </c>
      <c r="C5448" t="str">
        <f t="shared" si="276"/>
        <v>L-V</v>
      </c>
      <c r="D5448" t="str">
        <f t="shared" si="277"/>
        <v>Lunes</v>
      </c>
    </row>
    <row r="5449" spans="1:4" x14ac:dyDescent="0.25">
      <c r="A5449" s="88" t="str">
        <f t="shared" si="275"/>
        <v>12-2037</v>
      </c>
      <c r="B5449" s="86">
        <v>50375</v>
      </c>
      <c r="C5449" t="str">
        <f t="shared" si="276"/>
        <v>L-V</v>
      </c>
      <c r="D5449" t="str">
        <f t="shared" si="277"/>
        <v>Martes</v>
      </c>
    </row>
    <row r="5450" spans="1:4" x14ac:dyDescent="0.25">
      <c r="A5450" s="88" t="str">
        <f t="shared" si="275"/>
        <v>12-2037</v>
      </c>
      <c r="B5450" s="86">
        <v>50376</v>
      </c>
      <c r="C5450" t="str">
        <f t="shared" si="276"/>
        <v>L-V</v>
      </c>
      <c r="D5450" t="str">
        <f t="shared" si="277"/>
        <v>Miércoles</v>
      </c>
    </row>
    <row r="5451" spans="1:4" x14ac:dyDescent="0.25">
      <c r="A5451" s="88" t="str">
        <f t="shared" si="275"/>
        <v>12-2037</v>
      </c>
      <c r="B5451" s="86">
        <v>50377</v>
      </c>
      <c r="C5451" t="str">
        <f t="shared" si="276"/>
        <v>L-V</v>
      </c>
      <c r="D5451" t="str">
        <f t="shared" si="277"/>
        <v>Jueves</v>
      </c>
    </row>
    <row r="5452" spans="1:4" x14ac:dyDescent="0.25">
      <c r="A5452" s="88" t="str">
        <f t="shared" si="275"/>
        <v>12-2037</v>
      </c>
      <c r="B5452" s="86">
        <v>50378</v>
      </c>
      <c r="C5452" t="str">
        <f t="shared" si="276"/>
        <v>L-V</v>
      </c>
      <c r="D5452" t="str">
        <f t="shared" si="277"/>
        <v>Viernes</v>
      </c>
    </row>
    <row r="5453" spans="1:4" x14ac:dyDescent="0.25">
      <c r="A5453" s="88" t="str">
        <f t="shared" si="275"/>
        <v>12-2037</v>
      </c>
      <c r="B5453" s="86">
        <v>50379</v>
      </c>
      <c r="C5453" t="str">
        <f t="shared" si="276"/>
        <v>SAB</v>
      </c>
      <c r="D5453" t="str">
        <f t="shared" si="277"/>
        <v>Sábado</v>
      </c>
    </row>
    <row r="5454" spans="1:4" x14ac:dyDescent="0.25">
      <c r="A5454" s="88" t="str">
        <f t="shared" si="275"/>
        <v>12-2037</v>
      </c>
      <c r="B5454" s="86">
        <v>50380</v>
      </c>
      <c r="C5454" t="str">
        <f t="shared" si="276"/>
        <v>DOM</v>
      </c>
      <c r="D5454" t="str">
        <f t="shared" si="277"/>
        <v>Domingo</v>
      </c>
    </row>
    <row r="5455" spans="1:4" x14ac:dyDescent="0.25">
      <c r="A5455" s="88" t="str">
        <f t="shared" si="275"/>
        <v>12-2037</v>
      </c>
      <c r="B5455" s="86">
        <v>50381</v>
      </c>
      <c r="C5455" t="str">
        <f t="shared" si="276"/>
        <v>L-V</v>
      </c>
      <c r="D5455" t="str">
        <f t="shared" si="277"/>
        <v>Lunes</v>
      </c>
    </row>
    <row r="5456" spans="1:4" x14ac:dyDescent="0.25">
      <c r="A5456" s="88" t="str">
        <f t="shared" si="275"/>
        <v>12-2037</v>
      </c>
      <c r="B5456" s="86">
        <v>50382</v>
      </c>
      <c r="C5456" t="str">
        <f t="shared" si="276"/>
        <v>L-V</v>
      </c>
      <c r="D5456" t="str">
        <f t="shared" si="277"/>
        <v>Martes</v>
      </c>
    </row>
    <row r="5457" spans="1:4" x14ac:dyDescent="0.25">
      <c r="A5457" s="88" t="str">
        <f t="shared" si="275"/>
        <v>12-2037</v>
      </c>
      <c r="B5457" s="86">
        <v>50383</v>
      </c>
      <c r="C5457" t="str">
        <f t="shared" si="276"/>
        <v>L-V</v>
      </c>
      <c r="D5457" t="str">
        <f t="shared" si="277"/>
        <v>Miércoles</v>
      </c>
    </row>
    <row r="5458" spans="1:4" x14ac:dyDescent="0.25">
      <c r="A5458" s="88" t="str">
        <f t="shared" si="275"/>
        <v>12-2037</v>
      </c>
      <c r="B5458" s="86">
        <v>50384</v>
      </c>
      <c r="C5458" t="str">
        <f t="shared" si="276"/>
        <v>L-V</v>
      </c>
      <c r="D5458" t="str">
        <f t="shared" si="277"/>
        <v>Jueves</v>
      </c>
    </row>
    <row r="5459" spans="1:4" x14ac:dyDescent="0.25">
      <c r="A5459" s="88" t="str">
        <f t="shared" si="275"/>
        <v>12-2037</v>
      </c>
      <c r="B5459" s="86">
        <v>50385</v>
      </c>
      <c r="C5459" t="str">
        <f t="shared" si="276"/>
        <v>L-V</v>
      </c>
      <c r="D5459" t="str">
        <f t="shared" si="277"/>
        <v>Viernes</v>
      </c>
    </row>
    <row r="5460" spans="1:4" x14ac:dyDescent="0.25">
      <c r="A5460" s="88" t="str">
        <f t="shared" si="275"/>
        <v>12-2037</v>
      </c>
      <c r="B5460" s="86">
        <v>50386</v>
      </c>
      <c r="C5460" t="str">
        <f t="shared" si="276"/>
        <v>SAB</v>
      </c>
      <c r="D5460" t="str">
        <f t="shared" si="277"/>
        <v>Sábado</v>
      </c>
    </row>
    <row r="5461" spans="1:4" x14ac:dyDescent="0.25">
      <c r="A5461" s="88" t="str">
        <f t="shared" si="275"/>
        <v>12-2037</v>
      </c>
      <c r="B5461" s="86">
        <v>50387</v>
      </c>
      <c r="C5461" t="str">
        <f t="shared" si="276"/>
        <v>DOM</v>
      </c>
      <c r="D5461" t="str">
        <f t="shared" si="277"/>
        <v>Domingo</v>
      </c>
    </row>
    <row r="5462" spans="1:4" x14ac:dyDescent="0.25">
      <c r="A5462" s="88" t="str">
        <f t="shared" si="275"/>
        <v>12-2037</v>
      </c>
      <c r="B5462" s="86">
        <v>50388</v>
      </c>
      <c r="C5462" t="str">
        <f t="shared" si="276"/>
        <v>L-V</v>
      </c>
      <c r="D5462" t="str">
        <f t="shared" si="277"/>
        <v>Lunes</v>
      </c>
    </row>
    <row r="5463" spans="1:4" x14ac:dyDescent="0.25">
      <c r="A5463" s="88" t="str">
        <f t="shared" si="275"/>
        <v>12-2037</v>
      </c>
      <c r="B5463" s="86">
        <v>50389</v>
      </c>
      <c r="C5463" t="str">
        <f t="shared" si="276"/>
        <v>L-V</v>
      </c>
      <c r="D5463" t="str">
        <f t="shared" si="277"/>
        <v>Martes</v>
      </c>
    </row>
    <row r="5464" spans="1:4" x14ac:dyDescent="0.25">
      <c r="A5464" s="88" t="str">
        <f t="shared" si="275"/>
        <v>12-2037</v>
      </c>
      <c r="B5464" s="86">
        <v>50390</v>
      </c>
      <c r="C5464" t="str">
        <f t="shared" si="276"/>
        <v>L-V</v>
      </c>
      <c r="D5464" t="str">
        <f t="shared" si="277"/>
        <v>Miércoles</v>
      </c>
    </row>
    <row r="5465" spans="1:4" x14ac:dyDescent="0.25">
      <c r="A5465" s="88" t="str">
        <f t="shared" si="275"/>
        <v>12-2037</v>
      </c>
      <c r="B5465" s="86">
        <v>50391</v>
      </c>
      <c r="C5465" t="str">
        <f t="shared" si="276"/>
        <v>L-V</v>
      </c>
      <c r="D5465" t="str">
        <f t="shared" si="277"/>
        <v>Jueves</v>
      </c>
    </row>
    <row r="5466" spans="1:4" x14ac:dyDescent="0.25">
      <c r="A5466" s="88" t="str">
        <f t="shared" si="275"/>
        <v>12-2037</v>
      </c>
      <c r="B5466" s="86">
        <v>50392</v>
      </c>
      <c r="C5466" t="str">
        <f t="shared" si="276"/>
        <v>L-V</v>
      </c>
      <c r="D5466" t="str">
        <f t="shared" si="277"/>
        <v>Viernes</v>
      </c>
    </row>
    <row r="5467" spans="1:4" x14ac:dyDescent="0.25">
      <c r="A5467" s="88" t="str">
        <f t="shared" si="275"/>
        <v>12-2037</v>
      </c>
      <c r="B5467" s="86">
        <v>50393</v>
      </c>
      <c r="C5467" t="str">
        <f t="shared" si="276"/>
        <v>SAB</v>
      </c>
      <c r="D5467" t="str">
        <f t="shared" si="277"/>
        <v>Sábado</v>
      </c>
    </row>
    <row r="5468" spans="1:4" x14ac:dyDescent="0.25">
      <c r="A5468" s="88" t="str">
        <f t="shared" si="275"/>
        <v>12-2037</v>
      </c>
      <c r="B5468" s="86">
        <v>50394</v>
      </c>
      <c r="C5468" t="str">
        <f t="shared" si="276"/>
        <v>DOM</v>
      </c>
      <c r="D5468" t="str">
        <f t="shared" si="277"/>
        <v>Domingo</v>
      </c>
    </row>
    <row r="5469" spans="1:4" x14ac:dyDescent="0.25">
      <c r="A5469" s="88" t="str">
        <f t="shared" ref="A5469:A5532" si="278">MONTH(B5469)&amp;"-"&amp;YEAR(B5469)</f>
        <v>12-2037</v>
      </c>
      <c r="B5469" s="86">
        <v>50395</v>
      </c>
      <c r="C5469" t="str">
        <f t="shared" ref="C5469:C5532" si="279">VLOOKUP(WEEKDAY(B5469,2),$F$1:$H$7,2)</f>
        <v>L-V</v>
      </c>
      <c r="D5469" t="str">
        <f t="shared" si="277"/>
        <v>Lunes</v>
      </c>
    </row>
    <row r="5470" spans="1:4" x14ac:dyDescent="0.25">
      <c r="A5470" s="88" t="str">
        <f t="shared" si="278"/>
        <v>12-2037</v>
      </c>
      <c r="B5470" s="86">
        <v>50396</v>
      </c>
      <c r="C5470" t="str">
        <f t="shared" si="279"/>
        <v>L-V</v>
      </c>
      <c r="D5470" t="str">
        <f t="shared" si="277"/>
        <v>Martes</v>
      </c>
    </row>
    <row r="5471" spans="1:4" x14ac:dyDescent="0.25">
      <c r="A5471" s="88" t="str">
        <f t="shared" si="278"/>
        <v>12-2037</v>
      </c>
      <c r="B5471" s="86">
        <v>50397</v>
      </c>
      <c r="C5471" t="str">
        <f t="shared" si="279"/>
        <v>L-V</v>
      </c>
      <c r="D5471" t="str">
        <f t="shared" si="277"/>
        <v>Miércoles</v>
      </c>
    </row>
    <row r="5472" spans="1:4" x14ac:dyDescent="0.25">
      <c r="A5472" s="88" t="str">
        <f t="shared" si="278"/>
        <v>12-2037</v>
      </c>
      <c r="B5472" s="86">
        <v>50398</v>
      </c>
      <c r="C5472" t="str">
        <f t="shared" si="279"/>
        <v>L-V</v>
      </c>
      <c r="D5472" t="str">
        <f t="shared" si="277"/>
        <v>Jueves</v>
      </c>
    </row>
    <row r="5473" spans="1:4" x14ac:dyDescent="0.25">
      <c r="A5473" s="88" t="str">
        <f t="shared" si="278"/>
        <v>12-2037</v>
      </c>
      <c r="B5473" s="86">
        <v>50399</v>
      </c>
      <c r="C5473" t="str">
        <f t="shared" si="279"/>
        <v>L-V</v>
      </c>
      <c r="D5473" t="str">
        <f t="shared" si="277"/>
        <v>Viernes</v>
      </c>
    </row>
    <row r="5474" spans="1:4" x14ac:dyDescent="0.25">
      <c r="A5474" s="88" t="str">
        <f t="shared" si="278"/>
        <v>12-2037</v>
      </c>
      <c r="B5474" s="86">
        <v>50400</v>
      </c>
      <c r="C5474" t="str">
        <f t="shared" si="279"/>
        <v>SAB</v>
      </c>
      <c r="D5474" t="str">
        <f t="shared" si="277"/>
        <v>Sábado</v>
      </c>
    </row>
    <row r="5475" spans="1:4" x14ac:dyDescent="0.25">
      <c r="A5475" s="88" t="str">
        <f t="shared" si="278"/>
        <v>12-2037</v>
      </c>
      <c r="B5475" s="86">
        <v>50401</v>
      </c>
      <c r="C5475" t="str">
        <f t="shared" si="279"/>
        <v>DOM</v>
      </c>
      <c r="D5475" t="str">
        <f t="shared" si="277"/>
        <v>Domingo</v>
      </c>
    </row>
    <row r="5476" spans="1:4" x14ac:dyDescent="0.25">
      <c r="A5476" s="88" t="str">
        <f t="shared" si="278"/>
        <v>12-2037</v>
      </c>
      <c r="B5476" s="86">
        <v>50402</v>
      </c>
      <c r="C5476" t="str">
        <f t="shared" si="279"/>
        <v>L-V</v>
      </c>
      <c r="D5476" t="str">
        <f t="shared" si="277"/>
        <v>Lunes</v>
      </c>
    </row>
    <row r="5477" spans="1:4" x14ac:dyDescent="0.25">
      <c r="A5477" s="88" t="str">
        <f t="shared" si="278"/>
        <v>12-2037</v>
      </c>
      <c r="B5477" s="86">
        <v>50403</v>
      </c>
      <c r="C5477" t="str">
        <f t="shared" si="279"/>
        <v>L-V</v>
      </c>
      <c r="D5477" t="str">
        <f t="shared" si="277"/>
        <v>Martes</v>
      </c>
    </row>
    <row r="5478" spans="1:4" x14ac:dyDescent="0.25">
      <c r="A5478" s="88" t="str">
        <f t="shared" si="278"/>
        <v>12-2037</v>
      </c>
      <c r="B5478" s="86">
        <v>50404</v>
      </c>
      <c r="C5478" t="str">
        <f t="shared" si="279"/>
        <v>L-V</v>
      </c>
      <c r="D5478" t="str">
        <f t="shared" si="277"/>
        <v>Miércoles</v>
      </c>
    </row>
    <row r="5479" spans="1:4" x14ac:dyDescent="0.25">
      <c r="A5479" s="88" t="str">
        <f t="shared" si="278"/>
        <v>12-2037</v>
      </c>
      <c r="B5479" s="86">
        <v>50405</v>
      </c>
      <c r="C5479" t="str">
        <f t="shared" si="279"/>
        <v>L-V</v>
      </c>
      <c r="D5479" t="str">
        <f t="shared" si="277"/>
        <v>Jueves</v>
      </c>
    </row>
    <row r="5480" spans="1:4" x14ac:dyDescent="0.25">
      <c r="A5480" s="88" t="str">
        <f t="shared" si="278"/>
        <v>1-2038</v>
      </c>
      <c r="B5480" s="86">
        <v>50406</v>
      </c>
      <c r="C5480" t="str">
        <f t="shared" si="279"/>
        <v>L-V</v>
      </c>
      <c r="D5480" t="str">
        <f t="shared" si="277"/>
        <v>Viernes</v>
      </c>
    </row>
    <row r="5481" spans="1:4" x14ac:dyDescent="0.25">
      <c r="A5481" s="88" t="str">
        <f t="shared" si="278"/>
        <v>1-2038</v>
      </c>
      <c r="B5481" s="86">
        <v>50407</v>
      </c>
      <c r="C5481" t="str">
        <f t="shared" si="279"/>
        <v>SAB</v>
      </c>
      <c r="D5481" t="str">
        <f t="shared" si="277"/>
        <v>Sábado</v>
      </c>
    </row>
    <row r="5482" spans="1:4" x14ac:dyDescent="0.25">
      <c r="A5482" s="88" t="str">
        <f t="shared" si="278"/>
        <v>1-2038</v>
      </c>
      <c r="B5482" s="86">
        <v>50408</v>
      </c>
      <c r="C5482" t="str">
        <f t="shared" si="279"/>
        <v>DOM</v>
      </c>
      <c r="D5482" t="str">
        <f t="shared" si="277"/>
        <v>Domingo</v>
      </c>
    </row>
    <row r="5483" spans="1:4" x14ac:dyDescent="0.25">
      <c r="A5483" s="88" t="str">
        <f t="shared" si="278"/>
        <v>1-2038</v>
      </c>
      <c r="B5483" s="86">
        <v>50409</v>
      </c>
      <c r="C5483" t="str">
        <f t="shared" si="279"/>
        <v>L-V</v>
      </c>
      <c r="D5483" t="str">
        <f t="shared" si="277"/>
        <v>Lunes</v>
      </c>
    </row>
    <row r="5484" spans="1:4" x14ac:dyDescent="0.25">
      <c r="A5484" s="88" t="str">
        <f t="shared" si="278"/>
        <v>1-2038</v>
      </c>
      <c r="B5484" s="86">
        <v>50410</v>
      </c>
      <c r="C5484" t="str">
        <f t="shared" si="279"/>
        <v>L-V</v>
      </c>
      <c r="D5484" t="str">
        <f t="shared" si="277"/>
        <v>Martes</v>
      </c>
    </row>
    <row r="5485" spans="1:4" x14ac:dyDescent="0.25">
      <c r="A5485" s="88" t="str">
        <f t="shared" si="278"/>
        <v>1-2038</v>
      </c>
      <c r="B5485" s="86">
        <v>50411</v>
      </c>
      <c r="C5485" t="str">
        <f t="shared" si="279"/>
        <v>L-V</v>
      </c>
      <c r="D5485" t="str">
        <f t="shared" si="277"/>
        <v>Miércoles</v>
      </c>
    </row>
    <row r="5486" spans="1:4" x14ac:dyDescent="0.25">
      <c r="A5486" s="88" t="str">
        <f t="shared" si="278"/>
        <v>1-2038</v>
      </c>
      <c r="B5486" s="86">
        <v>50412</v>
      </c>
      <c r="C5486" t="str">
        <f t="shared" si="279"/>
        <v>L-V</v>
      </c>
      <c r="D5486" t="str">
        <f t="shared" si="277"/>
        <v>Jueves</v>
      </c>
    </row>
    <row r="5487" spans="1:4" x14ac:dyDescent="0.25">
      <c r="A5487" s="88" t="str">
        <f t="shared" si="278"/>
        <v>1-2038</v>
      </c>
      <c r="B5487" s="86">
        <v>50413</v>
      </c>
      <c r="C5487" t="str">
        <f t="shared" si="279"/>
        <v>L-V</v>
      </c>
      <c r="D5487" t="str">
        <f t="shared" si="277"/>
        <v>Viernes</v>
      </c>
    </row>
    <row r="5488" spans="1:4" x14ac:dyDescent="0.25">
      <c r="A5488" s="88" t="str">
        <f t="shared" si="278"/>
        <v>1-2038</v>
      </c>
      <c r="B5488" s="86">
        <v>50414</v>
      </c>
      <c r="C5488" t="str">
        <f t="shared" si="279"/>
        <v>SAB</v>
      </c>
      <c r="D5488" t="str">
        <f t="shared" si="277"/>
        <v>Sábado</v>
      </c>
    </row>
    <row r="5489" spans="1:4" x14ac:dyDescent="0.25">
      <c r="A5489" s="88" t="str">
        <f t="shared" si="278"/>
        <v>1-2038</v>
      </c>
      <c r="B5489" s="86">
        <v>50415</v>
      </c>
      <c r="C5489" t="str">
        <f t="shared" si="279"/>
        <v>DOM</v>
      </c>
      <c r="D5489" t="str">
        <f t="shared" si="277"/>
        <v>Domingo</v>
      </c>
    </row>
    <row r="5490" spans="1:4" x14ac:dyDescent="0.25">
      <c r="A5490" s="88" t="str">
        <f t="shared" si="278"/>
        <v>1-2038</v>
      </c>
      <c r="B5490" s="86">
        <v>50416</v>
      </c>
      <c r="C5490" t="str">
        <f t="shared" si="279"/>
        <v>L-V</v>
      </c>
      <c r="D5490" t="str">
        <f t="shared" si="277"/>
        <v>Lunes</v>
      </c>
    </row>
    <row r="5491" spans="1:4" x14ac:dyDescent="0.25">
      <c r="A5491" s="88" t="str">
        <f t="shared" si="278"/>
        <v>1-2038</v>
      </c>
      <c r="B5491" s="86">
        <v>50417</v>
      </c>
      <c r="C5491" t="str">
        <f t="shared" si="279"/>
        <v>L-V</v>
      </c>
      <c r="D5491" t="str">
        <f t="shared" si="277"/>
        <v>Martes</v>
      </c>
    </row>
    <row r="5492" spans="1:4" x14ac:dyDescent="0.25">
      <c r="A5492" s="88" t="str">
        <f t="shared" si="278"/>
        <v>1-2038</v>
      </c>
      <c r="B5492" s="86">
        <v>50418</v>
      </c>
      <c r="C5492" t="str">
        <f t="shared" si="279"/>
        <v>L-V</v>
      </c>
      <c r="D5492" t="str">
        <f t="shared" si="277"/>
        <v>Miércoles</v>
      </c>
    </row>
    <row r="5493" spans="1:4" x14ac:dyDescent="0.25">
      <c r="A5493" s="88" t="str">
        <f t="shared" si="278"/>
        <v>1-2038</v>
      </c>
      <c r="B5493" s="86">
        <v>50419</v>
      </c>
      <c r="C5493" t="str">
        <f t="shared" si="279"/>
        <v>L-V</v>
      </c>
      <c r="D5493" t="str">
        <f t="shared" si="277"/>
        <v>Jueves</v>
      </c>
    </row>
    <row r="5494" spans="1:4" x14ac:dyDescent="0.25">
      <c r="A5494" s="88" t="str">
        <f t="shared" si="278"/>
        <v>1-2038</v>
      </c>
      <c r="B5494" s="86">
        <v>50420</v>
      </c>
      <c r="C5494" t="str">
        <f t="shared" si="279"/>
        <v>L-V</v>
      </c>
      <c r="D5494" t="str">
        <f t="shared" si="277"/>
        <v>Viernes</v>
      </c>
    </row>
    <row r="5495" spans="1:4" x14ac:dyDescent="0.25">
      <c r="A5495" s="88" t="str">
        <f t="shared" si="278"/>
        <v>1-2038</v>
      </c>
      <c r="B5495" s="86">
        <v>50421</v>
      </c>
      <c r="C5495" t="str">
        <f t="shared" si="279"/>
        <v>SAB</v>
      </c>
      <c r="D5495" t="str">
        <f t="shared" si="277"/>
        <v>Sábado</v>
      </c>
    </row>
    <row r="5496" spans="1:4" x14ac:dyDescent="0.25">
      <c r="A5496" s="88" t="str">
        <f t="shared" si="278"/>
        <v>1-2038</v>
      </c>
      <c r="B5496" s="86">
        <v>50422</v>
      </c>
      <c r="C5496" t="str">
        <f t="shared" si="279"/>
        <v>DOM</v>
      </c>
      <c r="D5496" t="str">
        <f t="shared" si="277"/>
        <v>Domingo</v>
      </c>
    </row>
    <row r="5497" spans="1:4" x14ac:dyDescent="0.25">
      <c r="A5497" s="88" t="str">
        <f t="shared" si="278"/>
        <v>1-2038</v>
      </c>
      <c r="B5497" s="86">
        <v>50423</v>
      </c>
      <c r="C5497" t="str">
        <f t="shared" si="279"/>
        <v>L-V</v>
      </c>
      <c r="D5497" t="str">
        <f t="shared" si="277"/>
        <v>Lunes</v>
      </c>
    </row>
    <row r="5498" spans="1:4" x14ac:dyDescent="0.25">
      <c r="A5498" s="88" t="str">
        <f t="shared" si="278"/>
        <v>1-2038</v>
      </c>
      <c r="B5498" s="86">
        <v>50424</v>
      </c>
      <c r="C5498" t="str">
        <f t="shared" si="279"/>
        <v>L-V</v>
      </c>
      <c r="D5498" t="str">
        <f t="shared" si="277"/>
        <v>Martes</v>
      </c>
    </row>
    <row r="5499" spans="1:4" x14ac:dyDescent="0.25">
      <c r="A5499" s="88" t="str">
        <f t="shared" si="278"/>
        <v>1-2038</v>
      </c>
      <c r="B5499" s="86">
        <v>50425</v>
      </c>
      <c r="C5499" t="str">
        <f t="shared" si="279"/>
        <v>L-V</v>
      </c>
      <c r="D5499" t="str">
        <f t="shared" si="277"/>
        <v>Miércoles</v>
      </c>
    </row>
    <row r="5500" spans="1:4" x14ac:dyDescent="0.25">
      <c r="A5500" s="88" t="str">
        <f t="shared" si="278"/>
        <v>1-2038</v>
      </c>
      <c r="B5500" s="86">
        <v>50426</v>
      </c>
      <c r="C5500" t="str">
        <f t="shared" si="279"/>
        <v>L-V</v>
      </c>
      <c r="D5500" t="str">
        <f t="shared" si="277"/>
        <v>Jueves</v>
      </c>
    </row>
    <row r="5501" spans="1:4" x14ac:dyDescent="0.25">
      <c r="A5501" s="88" t="str">
        <f t="shared" si="278"/>
        <v>1-2038</v>
      </c>
      <c r="B5501" s="86">
        <v>50427</v>
      </c>
      <c r="C5501" t="str">
        <f t="shared" si="279"/>
        <v>L-V</v>
      </c>
      <c r="D5501" t="str">
        <f t="shared" si="277"/>
        <v>Viernes</v>
      </c>
    </row>
    <row r="5502" spans="1:4" x14ac:dyDescent="0.25">
      <c r="A5502" s="88" t="str">
        <f t="shared" si="278"/>
        <v>1-2038</v>
      </c>
      <c r="B5502" s="86">
        <v>50428</v>
      </c>
      <c r="C5502" t="str">
        <f t="shared" si="279"/>
        <v>SAB</v>
      </c>
      <c r="D5502" t="str">
        <f t="shared" si="277"/>
        <v>Sábado</v>
      </c>
    </row>
    <row r="5503" spans="1:4" x14ac:dyDescent="0.25">
      <c r="A5503" s="88" t="str">
        <f t="shared" si="278"/>
        <v>1-2038</v>
      </c>
      <c r="B5503" s="86">
        <v>50429</v>
      </c>
      <c r="C5503" t="str">
        <f t="shared" si="279"/>
        <v>DOM</v>
      </c>
      <c r="D5503" t="str">
        <f t="shared" si="277"/>
        <v>Domingo</v>
      </c>
    </row>
    <row r="5504" spans="1:4" x14ac:dyDescent="0.25">
      <c r="A5504" s="88" t="str">
        <f t="shared" si="278"/>
        <v>1-2038</v>
      </c>
      <c r="B5504" s="86">
        <v>50430</v>
      </c>
      <c r="C5504" t="str">
        <f t="shared" si="279"/>
        <v>L-V</v>
      </c>
      <c r="D5504" t="str">
        <f t="shared" si="277"/>
        <v>Lunes</v>
      </c>
    </row>
    <row r="5505" spans="1:4" x14ac:dyDescent="0.25">
      <c r="A5505" s="88" t="str">
        <f t="shared" si="278"/>
        <v>1-2038</v>
      </c>
      <c r="B5505" s="86">
        <v>50431</v>
      </c>
      <c r="C5505" t="str">
        <f t="shared" si="279"/>
        <v>L-V</v>
      </c>
      <c r="D5505" t="str">
        <f t="shared" si="277"/>
        <v>Martes</v>
      </c>
    </row>
    <row r="5506" spans="1:4" x14ac:dyDescent="0.25">
      <c r="A5506" s="88" t="str">
        <f t="shared" si="278"/>
        <v>1-2038</v>
      </c>
      <c r="B5506" s="86">
        <v>50432</v>
      </c>
      <c r="C5506" t="str">
        <f t="shared" si="279"/>
        <v>L-V</v>
      </c>
      <c r="D5506" t="str">
        <f t="shared" si="277"/>
        <v>Miércoles</v>
      </c>
    </row>
    <row r="5507" spans="1:4" x14ac:dyDescent="0.25">
      <c r="A5507" s="88" t="str">
        <f t="shared" si="278"/>
        <v>1-2038</v>
      </c>
      <c r="B5507" s="86">
        <v>50433</v>
      </c>
      <c r="C5507" t="str">
        <f t="shared" si="279"/>
        <v>L-V</v>
      </c>
      <c r="D5507" t="str">
        <f t="shared" ref="D5507:D5570" si="280">VLOOKUP(WEEKDAY($B5507,2),$F$1:$H$7,3)</f>
        <v>Jueves</v>
      </c>
    </row>
    <row r="5508" spans="1:4" x14ac:dyDescent="0.25">
      <c r="A5508" s="88" t="str">
        <f t="shared" si="278"/>
        <v>1-2038</v>
      </c>
      <c r="B5508" s="86">
        <v>50434</v>
      </c>
      <c r="C5508" t="str">
        <f t="shared" si="279"/>
        <v>L-V</v>
      </c>
      <c r="D5508" t="str">
        <f t="shared" si="280"/>
        <v>Viernes</v>
      </c>
    </row>
    <row r="5509" spans="1:4" x14ac:dyDescent="0.25">
      <c r="A5509" s="88" t="str">
        <f t="shared" si="278"/>
        <v>1-2038</v>
      </c>
      <c r="B5509" s="86">
        <v>50435</v>
      </c>
      <c r="C5509" t="str">
        <f t="shared" si="279"/>
        <v>SAB</v>
      </c>
      <c r="D5509" t="str">
        <f t="shared" si="280"/>
        <v>Sábado</v>
      </c>
    </row>
    <row r="5510" spans="1:4" x14ac:dyDescent="0.25">
      <c r="A5510" s="88" t="str">
        <f t="shared" si="278"/>
        <v>1-2038</v>
      </c>
      <c r="B5510" s="86">
        <v>50436</v>
      </c>
      <c r="C5510" t="str">
        <f t="shared" si="279"/>
        <v>DOM</v>
      </c>
      <c r="D5510" t="str">
        <f t="shared" si="280"/>
        <v>Domingo</v>
      </c>
    </row>
    <row r="5511" spans="1:4" x14ac:dyDescent="0.25">
      <c r="A5511" s="88" t="str">
        <f t="shared" si="278"/>
        <v>2-2038</v>
      </c>
      <c r="B5511" s="86">
        <v>50437</v>
      </c>
      <c r="C5511" t="str">
        <f t="shared" si="279"/>
        <v>L-V</v>
      </c>
      <c r="D5511" t="str">
        <f t="shared" si="280"/>
        <v>Lunes</v>
      </c>
    </row>
    <row r="5512" spans="1:4" x14ac:dyDescent="0.25">
      <c r="A5512" s="88" t="str">
        <f t="shared" si="278"/>
        <v>2-2038</v>
      </c>
      <c r="B5512" s="86">
        <v>50438</v>
      </c>
      <c r="C5512" t="str">
        <f t="shared" si="279"/>
        <v>L-V</v>
      </c>
      <c r="D5512" t="str">
        <f t="shared" si="280"/>
        <v>Martes</v>
      </c>
    </row>
    <row r="5513" spans="1:4" x14ac:dyDescent="0.25">
      <c r="A5513" s="88" t="str">
        <f t="shared" si="278"/>
        <v>2-2038</v>
      </c>
      <c r="B5513" s="86">
        <v>50439</v>
      </c>
      <c r="C5513" t="str">
        <f t="shared" si="279"/>
        <v>L-V</v>
      </c>
      <c r="D5513" t="str">
        <f t="shared" si="280"/>
        <v>Miércoles</v>
      </c>
    </row>
    <row r="5514" spans="1:4" x14ac:dyDescent="0.25">
      <c r="A5514" s="88" t="str">
        <f t="shared" si="278"/>
        <v>2-2038</v>
      </c>
      <c r="B5514" s="86">
        <v>50440</v>
      </c>
      <c r="C5514" t="str">
        <f t="shared" si="279"/>
        <v>L-V</v>
      </c>
      <c r="D5514" t="str">
        <f t="shared" si="280"/>
        <v>Jueves</v>
      </c>
    </row>
    <row r="5515" spans="1:4" x14ac:dyDescent="0.25">
      <c r="A5515" s="88" t="str">
        <f t="shared" si="278"/>
        <v>2-2038</v>
      </c>
      <c r="B5515" s="86">
        <v>50441</v>
      </c>
      <c r="C5515" t="str">
        <f t="shared" si="279"/>
        <v>L-V</v>
      </c>
      <c r="D5515" t="str">
        <f t="shared" si="280"/>
        <v>Viernes</v>
      </c>
    </row>
    <row r="5516" spans="1:4" x14ac:dyDescent="0.25">
      <c r="A5516" s="88" t="str">
        <f t="shared" si="278"/>
        <v>2-2038</v>
      </c>
      <c r="B5516" s="86">
        <v>50442</v>
      </c>
      <c r="C5516" t="str">
        <f t="shared" si="279"/>
        <v>SAB</v>
      </c>
      <c r="D5516" t="str">
        <f t="shared" si="280"/>
        <v>Sábado</v>
      </c>
    </row>
    <row r="5517" spans="1:4" x14ac:dyDescent="0.25">
      <c r="A5517" s="88" t="str">
        <f t="shared" si="278"/>
        <v>2-2038</v>
      </c>
      <c r="B5517" s="86">
        <v>50443</v>
      </c>
      <c r="C5517" t="str">
        <f t="shared" si="279"/>
        <v>DOM</v>
      </c>
      <c r="D5517" t="str">
        <f t="shared" si="280"/>
        <v>Domingo</v>
      </c>
    </row>
    <row r="5518" spans="1:4" x14ac:dyDescent="0.25">
      <c r="A5518" s="88" t="str">
        <f t="shared" si="278"/>
        <v>2-2038</v>
      </c>
      <c r="B5518" s="86">
        <v>50444</v>
      </c>
      <c r="C5518" t="str">
        <f t="shared" si="279"/>
        <v>L-V</v>
      </c>
      <c r="D5518" t="str">
        <f t="shared" si="280"/>
        <v>Lunes</v>
      </c>
    </row>
    <row r="5519" spans="1:4" x14ac:dyDescent="0.25">
      <c r="A5519" s="88" t="str">
        <f t="shared" si="278"/>
        <v>2-2038</v>
      </c>
      <c r="B5519" s="86">
        <v>50445</v>
      </c>
      <c r="C5519" t="str">
        <f t="shared" si="279"/>
        <v>L-V</v>
      </c>
      <c r="D5519" t="str">
        <f t="shared" si="280"/>
        <v>Martes</v>
      </c>
    </row>
    <row r="5520" spans="1:4" x14ac:dyDescent="0.25">
      <c r="A5520" s="88" t="str">
        <f t="shared" si="278"/>
        <v>2-2038</v>
      </c>
      <c r="B5520" s="86">
        <v>50446</v>
      </c>
      <c r="C5520" t="str">
        <f t="shared" si="279"/>
        <v>L-V</v>
      </c>
      <c r="D5520" t="str">
        <f t="shared" si="280"/>
        <v>Miércoles</v>
      </c>
    </row>
    <row r="5521" spans="1:4" x14ac:dyDescent="0.25">
      <c r="A5521" s="88" t="str">
        <f t="shared" si="278"/>
        <v>2-2038</v>
      </c>
      <c r="B5521" s="86">
        <v>50447</v>
      </c>
      <c r="C5521" t="str">
        <f t="shared" si="279"/>
        <v>L-V</v>
      </c>
      <c r="D5521" t="str">
        <f t="shared" si="280"/>
        <v>Jueves</v>
      </c>
    </row>
    <row r="5522" spans="1:4" x14ac:dyDescent="0.25">
      <c r="A5522" s="88" t="str">
        <f t="shared" si="278"/>
        <v>2-2038</v>
      </c>
      <c r="B5522" s="86">
        <v>50448</v>
      </c>
      <c r="C5522" t="str">
        <f t="shared" si="279"/>
        <v>L-V</v>
      </c>
      <c r="D5522" t="str">
        <f t="shared" si="280"/>
        <v>Viernes</v>
      </c>
    </row>
    <row r="5523" spans="1:4" x14ac:dyDescent="0.25">
      <c r="A5523" s="88" t="str">
        <f t="shared" si="278"/>
        <v>2-2038</v>
      </c>
      <c r="B5523" s="86">
        <v>50449</v>
      </c>
      <c r="C5523" t="str">
        <f t="shared" si="279"/>
        <v>SAB</v>
      </c>
      <c r="D5523" t="str">
        <f t="shared" si="280"/>
        <v>Sábado</v>
      </c>
    </row>
    <row r="5524" spans="1:4" x14ac:dyDescent="0.25">
      <c r="A5524" s="88" t="str">
        <f t="shared" si="278"/>
        <v>2-2038</v>
      </c>
      <c r="B5524" s="86">
        <v>50450</v>
      </c>
      <c r="C5524" t="str">
        <f t="shared" si="279"/>
        <v>DOM</v>
      </c>
      <c r="D5524" t="str">
        <f t="shared" si="280"/>
        <v>Domingo</v>
      </c>
    </row>
    <row r="5525" spans="1:4" x14ac:dyDescent="0.25">
      <c r="A5525" s="88" t="str">
        <f t="shared" si="278"/>
        <v>2-2038</v>
      </c>
      <c r="B5525" s="86">
        <v>50451</v>
      </c>
      <c r="C5525" t="str">
        <f t="shared" si="279"/>
        <v>L-V</v>
      </c>
      <c r="D5525" t="str">
        <f t="shared" si="280"/>
        <v>Lunes</v>
      </c>
    </row>
    <row r="5526" spans="1:4" x14ac:dyDescent="0.25">
      <c r="A5526" s="88" t="str">
        <f t="shared" si="278"/>
        <v>2-2038</v>
      </c>
      <c r="B5526" s="86">
        <v>50452</v>
      </c>
      <c r="C5526" t="str">
        <f t="shared" si="279"/>
        <v>L-V</v>
      </c>
      <c r="D5526" t="str">
        <f t="shared" si="280"/>
        <v>Martes</v>
      </c>
    </row>
    <row r="5527" spans="1:4" x14ac:dyDescent="0.25">
      <c r="A5527" s="88" t="str">
        <f t="shared" si="278"/>
        <v>2-2038</v>
      </c>
      <c r="B5527" s="86">
        <v>50453</v>
      </c>
      <c r="C5527" t="str">
        <f t="shared" si="279"/>
        <v>L-V</v>
      </c>
      <c r="D5527" t="str">
        <f t="shared" si="280"/>
        <v>Miércoles</v>
      </c>
    </row>
    <row r="5528" spans="1:4" x14ac:dyDescent="0.25">
      <c r="A5528" s="88" t="str">
        <f t="shared" si="278"/>
        <v>2-2038</v>
      </c>
      <c r="B5528" s="86">
        <v>50454</v>
      </c>
      <c r="C5528" t="str">
        <f t="shared" si="279"/>
        <v>L-V</v>
      </c>
      <c r="D5528" t="str">
        <f t="shared" si="280"/>
        <v>Jueves</v>
      </c>
    </row>
    <row r="5529" spans="1:4" x14ac:dyDescent="0.25">
      <c r="A5529" s="88" t="str">
        <f t="shared" si="278"/>
        <v>2-2038</v>
      </c>
      <c r="B5529" s="86">
        <v>50455</v>
      </c>
      <c r="C5529" t="str">
        <f t="shared" si="279"/>
        <v>L-V</v>
      </c>
      <c r="D5529" t="str">
        <f t="shared" si="280"/>
        <v>Viernes</v>
      </c>
    </row>
    <row r="5530" spans="1:4" x14ac:dyDescent="0.25">
      <c r="A5530" s="88" t="str">
        <f t="shared" si="278"/>
        <v>2-2038</v>
      </c>
      <c r="B5530" s="86">
        <v>50456</v>
      </c>
      <c r="C5530" t="str">
        <f t="shared" si="279"/>
        <v>SAB</v>
      </c>
      <c r="D5530" t="str">
        <f t="shared" si="280"/>
        <v>Sábado</v>
      </c>
    </row>
    <row r="5531" spans="1:4" x14ac:dyDescent="0.25">
      <c r="A5531" s="88" t="str">
        <f t="shared" si="278"/>
        <v>2-2038</v>
      </c>
      <c r="B5531" s="86">
        <v>50457</v>
      </c>
      <c r="C5531" t="str">
        <f t="shared" si="279"/>
        <v>DOM</v>
      </c>
      <c r="D5531" t="str">
        <f t="shared" si="280"/>
        <v>Domingo</v>
      </c>
    </row>
    <row r="5532" spans="1:4" x14ac:dyDescent="0.25">
      <c r="A5532" s="88" t="str">
        <f t="shared" si="278"/>
        <v>2-2038</v>
      </c>
      <c r="B5532" s="86">
        <v>50458</v>
      </c>
      <c r="C5532" t="str">
        <f t="shared" si="279"/>
        <v>L-V</v>
      </c>
      <c r="D5532" t="str">
        <f t="shared" si="280"/>
        <v>Lunes</v>
      </c>
    </row>
    <row r="5533" spans="1:4" x14ac:dyDescent="0.25">
      <c r="A5533" s="88" t="str">
        <f t="shared" ref="A5533:A5596" si="281">MONTH(B5533)&amp;"-"&amp;YEAR(B5533)</f>
        <v>2-2038</v>
      </c>
      <c r="B5533" s="86">
        <v>50459</v>
      </c>
      <c r="C5533" t="str">
        <f t="shared" ref="C5533:C5596" si="282">VLOOKUP(WEEKDAY(B5533,2),$F$1:$H$7,2)</f>
        <v>L-V</v>
      </c>
      <c r="D5533" t="str">
        <f t="shared" si="280"/>
        <v>Martes</v>
      </c>
    </row>
    <row r="5534" spans="1:4" x14ac:dyDescent="0.25">
      <c r="A5534" s="88" t="str">
        <f t="shared" si="281"/>
        <v>2-2038</v>
      </c>
      <c r="B5534" s="86">
        <v>50460</v>
      </c>
      <c r="C5534" t="str">
        <f t="shared" si="282"/>
        <v>L-V</v>
      </c>
      <c r="D5534" t="str">
        <f t="shared" si="280"/>
        <v>Miércoles</v>
      </c>
    </row>
    <row r="5535" spans="1:4" x14ac:dyDescent="0.25">
      <c r="A5535" s="88" t="str">
        <f t="shared" si="281"/>
        <v>2-2038</v>
      </c>
      <c r="B5535" s="86">
        <v>50461</v>
      </c>
      <c r="C5535" t="str">
        <f t="shared" si="282"/>
        <v>L-V</v>
      </c>
      <c r="D5535" t="str">
        <f t="shared" si="280"/>
        <v>Jueves</v>
      </c>
    </row>
    <row r="5536" spans="1:4" x14ac:dyDescent="0.25">
      <c r="A5536" s="88" t="str">
        <f t="shared" si="281"/>
        <v>2-2038</v>
      </c>
      <c r="B5536" s="86">
        <v>50462</v>
      </c>
      <c r="C5536" t="str">
        <f t="shared" si="282"/>
        <v>L-V</v>
      </c>
      <c r="D5536" t="str">
        <f t="shared" si="280"/>
        <v>Viernes</v>
      </c>
    </row>
    <row r="5537" spans="1:4" x14ac:dyDescent="0.25">
      <c r="A5537" s="88" t="str">
        <f t="shared" si="281"/>
        <v>2-2038</v>
      </c>
      <c r="B5537" s="86">
        <v>50463</v>
      </c>
      <c r="C5537" t="str">
        <f t="shared" si="282"/>
        <v>SAB</v>
      </c>
      <c r="D5537" t="str">
        <f t="shared" si="280"/>
        <v>Sábado</v>
      </c>
    </row>
    <row r="5538" spans="1:4" x14ac:dyDescent="0.25">
      <c r="A5538" s="88" t="str">
        <f t="shared" si="281"/>
        <v>2-2038</v>
      </c>
      <c r="B5538" s="86">
        <v>50464</v>
      </c>
      <c r="C5538" t="str">
        <f t="shared" si="282"/>
        <v>DOM</v>
      </c>
      <c r="D5538" t="str">
        <f t="shared" si="280"/>
        <v>Domingo</v>
      </c>
    </row>
    <row r="5539" spans="1:4" x14ac:dyDescent="0.25">
      <c r="A5539" s="88" t="str">
        <f t="shared" si="281"/>
        <v>3-2038</v>
      </c>
      <c r="B5539" s="86">
        <v>50465</v>
      </c>
      <c r="C5539" t="str">
        <f t="shared" si="282"/>
        <v>L-V</v>
      </c>
      <c r="D5539" t="str">
        <f t="shared" si="280"/>
        <v>Lunes</v>
      </c>
    </row>
    <row r="5540" spans="1:4" x14ac:dyDescent="0.25">
      <c r="A5540" s="88" t="str">
        <f t="shared" si="281"/>
        <v>3-2038</v>
      </c>
      <c r="B5540" s="86">
        <v>50466</v>
      </c>
      <c r="C5540" t="str">
        <f t="shared" si="282"/>
        <v>L-V</v>
      </c>
      <c r="D5540" t="str">
        <f t="shared" si="280"/>
        <v>Martes</v>
      </c>
    </row>
    <row r="5541" spans="1:4" x14ac:dyDescent="0.25">
      <c r="A5541" s="88" t="str">
        <f t="shared" si="281"/>
        <v>3-2038</v>
      </c>
      <c r="B5541" s="86">
        <v>50467</v>
      </c>
      <c r="C5541" t="str">
        <f t="shared" si="282"/>
        <v>L-V</v>
      </c>
      <c r="D5541" t="str">
        <f t="shared" si="280"/>
        <v>Miércoles</v>
      </c>
    </row>
    <row r="5542" spans="1:4" x14ac:dyDescent="0.25">
      <c r="A5542" s="88" t="str">
        <f t="shared" si="281"/>
        <v>3-2038</v>
      </c>
      <c r="B5542" s="86">
        <v>50468</v>
      </c>
      <c r="C5542" t="str">
        <f t="shared" si="282"/>
        <v>L-V</v>
      </c>
      <c r="D5542" t="str">
        <f t="shared" si="280"/>
        <v>Jueves</v>
      </c>
    </row>
    <row r="5543" spans="1:4" x14ac:dyDescent="0.25">
      <c r="A5543" s="88" t="str">
        <f t="shared" si="281"/>
        <v>3-2038</v>
      </c>
      <c r="B5543" s="86">
        <v>50469</v>
      </c>
      <c r="C5543" t="str">
        <f t="shared" si="282"/>
        <v>L-V</v>
      </c>
      <c r="D5543" t="str">
        <f t="shared" si="280"/>
        <v>Viernes</v>
      </c>
    </row>
    <row r="5544" spans="1:4" x14ac:dyDescent="0.25">
      <c r="A5544" s="88" t="str">
        <f t="shared" si="281"/>
        <v>3-2038</v>
      </c>
      <c r="B5544" s="86">
        <v>50470</v>
      </c>
      <c r="C5544" t="str">
        <f t="shared" si="282"/>
        <v>SAB</v>
      </c>
      <c r="D5544" t="str">
        <f t="shared" si="280"/>
        <v>Sábado</v>
      </c>
    </row>
    <row r="5545" spans="1:4" x14ac:dyDescent="0.25">
      <c r="A5545" s="88" t="str">
        <f t="shared" si="281"/>
        <v>3-2038</v>
      </c>
      <c r="B5545" s="86">
        <v>50471</v>
      </c>
      <c r="C5545" t="str">
        <f t="shared" si="282"/>
        <v>DOM</v>
      </c>
      <c r="D5545" t="str">
        <f t="shared" si="280"/>
        <v>Domingo</v>
      </c>
    </row>
    <row r="5546" spans="1:4" x14ac:dyDescent="0.25">
      <c r="A5546" s="88" t="str">
        <f t="shared" si="281"/>
        <v>3-2038</v>
      </c>
      <c r="B5546" s="86">
        <v>50472</v>
      </c>
      <c r="C5546" t="str">
        <f t="shared" si="282"/>
        <v>L-V</v>
      </c>
      <c r="D5546" t="str">
        <f t="shared" si="280"/>
        <v>Lunes</v>
      </c>
    </row>
    <row r="5547" spans="1:4" x14ac:dyDescent="0.25">
      <c r="A5547" s="88" t="str">
        <f t="shared" si="281"/>
        <v>3-2038</v>
      </c>
      <c r="B5547" s="86">
        <v>50473</v>
      </c>
      <c r="C5547" t="str">
        <f t="shared" si="282"/>
        <v>L-V</v>
      </c>
      <c r="D5547" t="str">
        <f t="shared" si="280"/>
        <v>Martes</v>
      </c>
    </row>
    <row r="5548" spans="1:4" x14ac:dyDescent="0.25">
      <c r="A5548" s="88" t="str">
        <f t="shared" si="281"/>
        <v>3-2038</v>
      </c>
      <c r="B5548" s="86">
        <v>50474</v>
      </c>
      <c r="C5548" t="str">
        <f t="shared" si="282"/>
        <v>L-V</v>
      </c>
      <c r="D5548" t="str">
        <f t="shared" si="280"/>
        <v>Miércoles</v>
      </c>
    </row>
    <row r="5549" spans="1:4" x14ac:dyDescent="0.25">
      <c r="A5549" s="88" t="str">
        <f t="shared" si="281"/>
        <v>3-2038</v>
      </c>
      <c r="B5549" s="86">
        <v>50475</v>
      </c>
      <c r="C5549" t="str">
        <f t="shared" si="282"/>
        <v>L-V</v>
      </c>
      <c r="D5549" t="str">
        <f t="shared" si="280"/>
        <v>Jueves</v>
      </c>
    </row>
    <row r="5550" spans="1:4" x14ac:dyDescent="0.25">
      <c r="A5550" s="88" t="str">
        <f t="shared" si="281"/>
        <v>3-2038</v>
      </c>
      <c r="B5550" s="86">
        <v>50476</v>
      </c>
      <c r="C5550" t="str">
        <f t="shared" si="282"/>
        <v>L-V</v>
      </c>
      <c r="D5550" t="str">
        <f t="shared" si="280"/>
        <v>Viernes</v>
      </c>
    </row>
    <row r="5551" spans="1:4" x14ac:dyDescent="0.25">
      <c r="A5551" s="88" t="str">
        <f t="shared" si="281"/>
        <v>3-2038</v>
      </c>
      <c r="B5551" s="86">
        <v>50477</v>
      </c>
      <c r="C5551" t="str">
        <f t="shared" si="282"/>
        <v>SAB</v>
      </c>
      <c r="D5551" t="str">
        <f t="shared" si="280"/>
        <v>Sábado</v>
      </c>
    </row>
    <row r="5552" spans="1:4" x14ac:dyDescent="0.25">
      <c r="A5552" s="88" t="str">
        <f t="shared" si="281"/>
        <v>3-2038</v>
      </c>
      <c r="B5552" s="86">
        <v>50478</v>
      </c>
      <c r="C5552" t="str">
        <f t="shared" si="282"/>
        <v>DOM</v>
      </c>
      <c r="D5552" t="str">
        <f t="shared" si="280"/>
        <v>Domingo</v>
      </c>
    </row>
    <row r="5553" spans="1:4" x14ac:dyDescent="0.25">
      <c r="A5553" s="88" t="str">
        <f t="shared" si="281"/>
        <v>3-2038</v>
      </c>
      <c r="B5553" s="86">
        <v>50479</v>
      </c>
      <c r="C5553" t="str">
        <f t="shared" si="282"/>
        <v>L-V</v>
      </c>
      <c r="D5553" t="str">
        <f t="shared" si="280"/>
        <v>Lunes</v>
      </c>
    </row>
    <row r="5554" spans="1:4" x14ac:dyDescent="0.25">
      <c r="A5554" s="88" t="str">
        <f t="shared" si="281"/>
        <v>3-2038</v>
      </c>
      <c r="B5554" s="86">
        <v>50480</v>
      </c>
      <c r="C5554" t="str">
        <f t="shared" si="282"/>
        <v>L-V</v>
      </c>
      <c r="D5554" t="str">
        <f t="shared" si="280"/>
        <v>Martes</v>
      </c>
    </row>
    <row r="5555" spans="1:4" x14ac:dyDescent="0.25">
      <c r="A5555" s="88" t="str">
        <f t="shared" si="281"/>
        <v>3-2038</v>
      </c>
      <c r="B5555" s="86">
        <v>50481</v>
      </c>
      <c r="C5555" t="str">
        <f t="shared" si="282"/>
        <v>L-V</v>
      </c>
      <c r="D5555" t="str">
        <f t="shared" si="280"/>
        <v>Miércoles</v>
      </c>
    </row>
    <row r="5556" spans="1:4" x14ac:dyDescent="0.25">
      <c r="A5556" s="88" t="str">
        <f t="shared" si="281"/>
        <v>3-2038</v>
      </c>
      <c r="B5556" s="86">
        <v>50482</v>
      </c>
      <c r="C5556" t="str">
        <f t="shared" si="282"/>
        <v>L-V</v>
      </c>
      <c r="D5556" t="str">
        <f t="shared" si="280"/>
        <v>Jueves</v>
      </c>
    </row>
    <row r="5557" spans="1:4" x14ac:dyDescent="0.25">
      <c r="A5557" s="88" t="str">
        <f t="shared" si="281"/>
        <v>3-2038</v>
      </c>
      <c r="B5557" s="86">
        <v>50483</v>
      </c>
      <c r="C5557" t="str">
        <f t="shared" si="282"/>
        <v>L-V</v>
      </c>
      <c r="D5557" t="str">
        <f t="shared" si="280"/>
        <v>Viernes</v>
      </c>
    </row>
    <row r="5558" spans="1:4" x14ac:dyDescent="0.25">
      <c r="A5558" s="88" t="str">
        <f t="shared" si="281"/>
        <v>3-2038</v>
      </c>
      <c r="B5558" s="86">
        <v>50484</v>
      </c>
      <c r="C5558" t="str">
        <f t="shared" si="282"/>
        <v>SAB</v>
      </c>
      <c r="D5558" t="str">
        <f t="shared" si="280"/>
        <v>Sábado</v>
      </c>
    </row>
    <row r="5559" spans="1:4" x14ac:dyDescent="0.25">
      <c r="A5559" s="88" t="str">
        <f t="shared" si="281"/>
        <v>3-2038</v>
      </c>
      <c r="B5559" s="86">
        <v>50485</v>
      </c>
      <c r="C5559" t="str">
        <f t="shared" si="282"/>
        <v>DOM</v>
      </c>
      <c r="D5559" t="str">
        <f t="shared" si="280"/>
        <v>Domingo</v>
      </c>
    </row>
    <row r="5560" spans="1:4" x14ac:dyDescent="0.25">
      <c r="A5560" s="88" t="str">
        <f t="shared" si="281"/>
        <v>3-2038</v>
      </c>
      <c r="B5560" s="86">
        <v>50486</v>
      </c>
      <c r="C5560" t="str">
        <f t="shared" si="282"/>
        <v>L-V</v>
      </c>
      <c r="D5560" t="str">
        <f t="shared" si="280"/>
        <v>Lunes</v>
      </c>
    </row>
    <row r="5561" spans="1:4" x14ac:dyDescent="0.25">
      <c r="A5561" s="88" t="str">
        <f t="shared" si="281"/>
        <v>3-2038</v>
      </c>
      <c r="B5561" s="86">
        <v>50487</v>
      </c>
      <c r="C5561" t="str">
        <f t="shared" si="282"/>
        <v>L-V</v>
      </c>
      <c r="D5561" t="str">
        <f t="shared" si="280"/>
        <v>Martes</v>
      </c>
    </row>
    <row r="5562" spans="1:4" x14ac:dyDescent="0.25">
      <c r="A5562" s="88" t="str">
        <f t="shared" si="281"/>
        <v>3-2038</v>
      </c>
      <c r="B5562" s="86">
        <v>50488</v>
      </c>
      <c r="C5562" t="str">
        <f t="shared" si="282"/>
        <v>L-V</v>
      </c>
      <c r="D5562" t="str">
        <f t="shared" si="280"/>
        <v>Miércoles</v>
      </c>
    </row>
    <row r="5563" spans="1:4" x14ac:dyDescent="0.25">
      <c r="A5563" s="88" t="str">
        <f t="shared" si="281"/>
        <v>3-2038</v>
      </c>
      <c r="B5563" s="86">
        <v>50489</v>
      </c>
      <c r="C5563" t="str">
        <f t="shared" si="282"/>
        <v>L-V</v>
      </c>
      <c r="D5563" t="str">
        <f t="shared" si="280"/>
        <v>Jueves</v>
      </c>
    </row>
    <row r="5564" spans="1:4" x14ac:dyDescent="0.25">
      <c r="A5564" s="88" t="str">
        <f t="shared" si="281"/>
        <v>3-2038</v>
      </c>
      <c r="B5564" s="86">
        <v>50490</v>
      </c>
      <c r="C5564" t="str">
        <f t="shared" si="282"/>
        <v>L-V</v>
      </c>
      <c r="D5564" t="str">
        <f t="shared" si="280"/>
        <v>Viernes</v>
      </c>
    </row>
    <row r="5565" spans="1:4" x14ac:dyDescent="0.25">
      <c r="A5565" s="88" t="str">
        <f t="shared" si="281"/>
        <v>3-2038</v>
      </c>
      <c r="B5565" s="86">
        <v>50491</v>
      </c>
      <c r="C5565" t="str">
        <f t="shared" si="282"/>
        <v>SAB</v>
      </c>
      <c r="D5565" t="str">
        <f t="shared" si="280"/>
        <v>Sábado</v>
      </c>
    </row>
    <row r="5566" spans="1:4" x14ac:dyDescent="0.25">
      <c r="A5566" s="88" t="str">
        <f t="shared" si="281"/>
        <v>3-2038</v>
      </c>
      <c r="B5566" s="86">
        <v>50492</v>
      </c>
      <c r="C5566" t="str">
        <f t="shared" si="282"/>
        <v>DOM</v>
      </c>
      <c r="D5566" t="str">
        <f t="shared" si="280"/>
        <v>Domingo</v>
      </c>
    </row>
    <row r="5567" spans="1:4" x14ac:dyDescent="0.25">
      <c r="A5567" s="88" t="str">
        <f t="shared" si="281"/>
        <v>3-2038</v>
      </c>
      <c r="B5567" s="86">
        <v>50493</v>
      </c>
      <c r="C5567" t="str">
        <f t="shared" si="282"/>
        <v>L-V</v>
      </c>
      <c r="D5567" t="str">
        <f t="shared" si="280"/>
        <v>Lunes</v>
      </c>
    </row>
    <row r="5568" spans="1:4" x14ac:dyDescent="0.25">
      <c r="A5568" s="88" t="str">
        <f t="shared" si="281"/>
        <v>3-2038</v>
      </c>
      <c r="B5568" s="86">
        <v>50494</v>
      </c>
      <c r="C5568" t="str">
        <f t="shared" si="282"/>
        <v>L-V</v>
      </c>
      <c r="D5568" t="str">
        <f t="shared" si="280"/>
        <v>Martes</v>
      </c>
    </row>
    <row r="5569" spans="1:4" x14ac:dyDescent="0.25">
      <c r="A5569" s="88" t="str">
        <f t="shared" si="281"/>
        <v>3-2038</v>
      </c>
      <c r="B5569" s="86">
        <v>50495</v>
      </c>
      <c r="C5569" t="str">
        <f t="shared" si="282"/>
        <v>L-V</v>
      </c>
      <c r="D5569" t="str">
        <f t="shared" si="280"/>
        <v>Miércoles</v>
      </c>
    </row>
    <row r="5570" spans="1:4" x14ac:dyDescent="0.25">
      <c r="A5570" s="88" t="str">
        <f t="shared" si="281"/>
        <v>4-2038</v>
      </c>
      <c r="B5570" s="86">
        <v>50496</v>
      </c>
      <c r="C5570" t="str">
        <f t="shared" si="282"/>
        <v>L-V</v>
      </c>
      <c r="D5570" t="str">
        <f t="shared" si="280"/>
        <v>Jueves</v>
      </c>
    </row>
    <row r="5571" spans="1:4" x14ac:dyDescent="0.25">
      <c r="A5571" s="88" t="str">
        <f t="shared" si="281"/>
        <v>4-2038</v>
      </c>
      <c r="B5571" s="86">
        <v>50497</v>
      </c>
      <c r="C5571" t="str">
        <f t="shared" si="282"/>
        <v>L-V</v>
      </c>
      <c r="D5571" t="str">
        <f t="shared" ref="D5571:D5634" si="283">VLOOKUP(WEEKDAY($B5571,2),$F$1:$H$7,3)</f>
        <v>Viernes</v>
      </c>
    </row>
    <row r="5572" spans="1:4" x14ac:dyDescent="0.25">
      <c r="A5572" s="88" t="str">
        <f t="shared" si="281"/>
        <v>4-2038</v>
      </c>
      <c r="B5572" s="86">
        <v>50498</v>
      </c>
      <c r="C5572" t="str">
        <f t="shared" si="282"/>
        <v>SAB</v>
      </c>
      <c r="D5572" t="str">
        <f t="shared" si="283"/>
        <v>Sábado</v>
      </c>
    </row>
    <row r="5573" spans="1:4" x14ac:dyDescent="0.25">
      <c r="A5573" s="88" t="str">
        <f t="shared" si="281"/>
        <v>4-2038</v>
      </c>
      <c r="B5573" s="86">
        <v>50499</v>
      </c>
      <c r="C5573" t="str">
        <f t="shared" si="282"/>
        <v>DOM</v>
      </c>
      <c r="D5573" t="str">
        <f t="shared" si="283"/>
        <v>Domingo</v>
      </c>
    </row>
    <row r="5574" spans="1:4" x14ac:dyDescent="0.25">
      <c r="A5574" s="88" t="str">
        <f t="shared" si="281"/>
        <v>4-2038</v>
      </c>
      <c r="B5574" s="86">
        <v>50500</v>
      </c>
      <c r="C5574" t="str">
        <f t="shared" si="282"/>
        <v>L-V</v>
      </c>
      <c r="D5574" t="str">
        <f t="shared" si="283"/>
        <v>Lunes</v>
      </c>
    </row>
    <row r="5575" spans="1:4" x14ac:dyDescent="0.25">
      <c r="A5575" s="88" t="str">
        <f t="shared" si="281"/>
        <v>4-2038</v>
      </c>
      <c r="B5575" s="86">
        <v>50501</v>
      </c>
      <c r="C5575" t="str">
        <f t="shared" si="282"/>
        <v>L-V</v>
      </c>
      <c r="D5575" t="str">
        <f t="shared" si="283"/>
        <v>Martes</v>
      </c>
    </row>
    <row r="5576" spans="1:4" x14ac:dyDescent="0.25">
      <c r="A5576" s="88" t="str">
        <f t="shared" si="281"/>
        <v>4-2038</v>
      </c>
      <c r="B5576" s="86">
        <v>50502</v>
      </c>
      <c r="C5576" t="str">
        <f t="shared" si="282"/>
        <v>L-V</v>
      </c>
      <c r="D5576" t="str">
        <f t="shared" si="283"/>
        <v>Miércoles</v>
      </c>
    </row>
    <row r="5577" spans="1:4" x14ac:dyDescent="0.25">
      <c r="A5577" s="88" t="str">
        <f t="shared" si="281"/>
        <v>4-2038</v>
      </c>
      <c r="B5577" s="86">
        <v>50503</v>
      </c>
      <c r="C5577" t="str">
        <f t="shared" si="282"/>
        <v>L-V</v>
      </c>
      <c r="D5577" t="str">
        <f t="shared" si="283"/>
        <v>Jueves</v>
      </c>
    </row>
    <row r="5578" spans="1:4" x14ac:dyDescent="0.25">
      <c r="A5578" s="88" t="str">
        <f t="shared" si="281"/>
        <v>4-2038</v>
      </c>
      <c r="B5578" s="86">
        <v>50504</v>
      </c>
      <c r="C5578" t="str">
        <f t="shared" si="282"/>
        <v>L-V</v>
      </c>
      <c r="D5578" t="str">
        <f t="shared" si="283"/>
        <v>Viernes</v>
      </c>
    </row>
    <row r="5579" spans="1:4" x14ac:dyDescent="0.25">
      <c r="A5579" s="88" t="str">
        <f t="shared" si="281"/>
        <v>4-2038</v>
      </c>
      <c r="B5579" s="86">
        <v>50505</v>
      </c>
      <c r="C5579" t="str">
        <f t="shared" si="282"/>
        <v>SAB</v>
      </c>
      <c r="D5579" t="str">
        <f t="shared" si="283"/>
        <v>Sábado</v>
      </c>
    </row>
    <row r="5580" spans="1:4" x14ac:dyDescent="0.25">
      <c r="A5580" s="88" t="str">
        <f t="shared" si="281"/>
        <v>4-2038</v>
      </c>
      <c r="B5580" s="86">
        <v>50506</v>
      </c>
      <c r="C5580" t="str">
        <f t="shared" si="282"/>
        <v>DOM</v>
      </c>
      <c r="D5580" t="str">
        <f t="shared" si="283"/>
        <v>Domingo</v>
      </c>
    </row>
    <row r="5581" spans="1:4" x14ac:dyDescent="0.25">
      <c r="A5581" s="88" t="str">
        <f t="shared" si="281"/>
        <v>4-2038</v>
      </c>
      <c r="B5581" s="86">
        <v>50507</v>
      </c>
      <c r="C5581" t="str">
        <f t="shared" si="282"/>
        <v>L-V</v>
      </c>
      <c r="D5581" t="str">
        <f t="shared" si="283"/>
        <v>Lunes</v>
      </c>
    </row>
    <row r="5582" spans="1:4" x14ac:dyDescent="0.25">
      <c r="A5582" s="88" t="str">
        <f t="shared" si="281"/>
        <v>4-2038</v>
      </c>
      <c r="B5582" s="86">
        <v>50508</v>
      </c>
      <c r="C5582" t="str">
        <f t="shared" si="282"/>
        <v>L-V</v>
      </c>
      <c r="D5582" t="str">
        <f t="shared" si="283"/>
        <v>Martes</v>
      </c>
    </row>
    <row r="5583" spans="1:4" x14ac:dyDescent="0.25">
      <c r="A5583" s="88" t="str">
        <f t="shared" si="281"/>
        <v>4-2038</v>
      </c>
      <c r="B5583" s="86">
        <v>50509</v>
      </c>
      <c r="C5583" t="str">
        <f t="shared" si="282"/>
        <v>L-V</v>
      </c>
      <c r="D5583" t="str">
        <f t="shared" si="283"/>
        <v>Miércoles</v>
      </c>
    </row>
    <row r="5584" spans="1:4" x14ac:dyDescent="0.25">
      <c r="A5584" s="88" t="str">
        <f t="shared" si="281"/>
        <v>4-2038</v>
      </c>
      <c r="B5584" s="86">
        <v>50510</v>
      </c>
      <c r="C5584" t="str">
        <f t="shared" si="282"/>
        <v>L-V</v>
      </c>
      <c r="D5584" t="str">
        <f t="shared" si="283"/>
        <v>Jueves</v>
      </c>
    </row>
    <row r="5585" spans="1:4" x14ac:dyDescent="0.25">
      <c r="A5585" s="88" t="str">
        <f t="shared" si="281"/>
        <v>4-2038</v>
      </c>
      <c r="B5585" s="86">
        <v>50511</v>
      </c>
      <c r="C5585" t="str">
        <f t="shared" si="282"/>
        <v>L-V</v>
      </c>
      <c r="D5585" t="str">
        <f t="shared" si="283"/>
        <v>Viernes</v>
      </c>
    </row>
    <row r="5586" spans="1:4" x14ac:dyDescent="0.25">
      <c r="A5586" s="88" t="str">
        <f t="shared" si="281"/>
        <v>4-2038</v>
      </c>
      <c r="B5586" s="86">
        <v>50512</v>
      </c>
      <c r="C5586" t="str">
        <f t="shared" si="282"/>
        <v>SAB</v>
      </c>
      <c r="D5586" t="str">
        <f t="shared" si="283"/>
        <v>Sábado</v>
      </c>
    </row>
    <row r="5587" spans="1:4" x14ac:dyDescent="0.25">
      <c r="A5587" s="88" t="str">
        <f t="shared" si="281"/>
        <v>4-2038</v>
      </c>
      <c r="B5587" s="86">
        <v>50513</v>
      </c>
      <c r="C5587" t="str">
        <f t="shared" si="282"/>
        <v>DOM</v>
      </c>
      <c r="D5587" t="str">
        <f t="shared" si="283"/>
        <v>Domingo</v>
      </c>
    </row>
    <row r="5588" spans="1:4" x14ac:dyDescent="0.25">
      <c r="A5588" s="88" t="str">
        <f t="shared" si="281"/>
        <v>4-2038</v>
      </c>
      <c r="B5588" s="86">
        <v>50514</v>
      </c>
      <c r="C5588" t="str">
        <f t="shared" si="282"/>
        <v>L-V</v>
      </c>
      <c r="D5588" t="str">
        <f t="shared" si="283"/>
        <v>Lunes</v>
      </c>
    </row>
    <row r="5589" spans="1:4" x14ac:dyDescent="0.25">
      <c r="A5589" s="88" t="str">
        <f t="shared" si="281"/>
        <v>4-2038</v>
      </c>
      <c r="B5589" s="86">
        <v>50515</v>
      </c>
      <c r="C5589" t="str">
        <f t="shared" si="282"/>
        <v>L-V</v>
      </c>
      <c r="D5589" t="str">
        <f t="shared" si="283"/>
        <v>Martes</v>
      </c>
    </row>
    <row r="5590" spans="1:4" x14ac:dyDescent="0.25">
      <c r="A5590" s="88" t="str">
        <f t="shared" si="281"/>
        <v>4-2038</v>
      </c>
      <c r="B5590" s="86">
        <v>50516</v>
      </c>
      <c r="C5590" t="str">
        <f t="shared" si="282"/>
        <v>L-V</v>
      </c>
      <c r="D5590" t="str">
        <f t="shared" si="283"/>
        <v>Miércoles</v>
      </c>
    </row>
    <row r="5591" spans="1:4" x14ac:dyDescent="0.25">
      <c r="A5591" s="88" t="str">
        <f t="shared" si="281"/>
        <v>4-2038</v>
      </c>
      <c r="B5591" s="86">
        <v>50517</v>
      </c>
      <c r="C5591" t="str">
        <f t="shared" si="282"/>
        <v>L-V</v>
      </c>
      <c r="D5591" t="str">
        <f t="shared" si="283"/>
        <v>Jueves</v>
      </c>
    </row>
    <row r="5592" spans="1:4" x14ac:dyDescent="0.25">
      <c r="A5592" s="88" t="str">
        <f t="shared" si="281"/>
        <v>4-2038</v>
      </c>
      <c r="B5592" s="86">
        <v>50518</v>
      </c>
      <c r="C5592" t="str">
        <f t="shared" si="282"/>
        <v>L-V</v>
      </c>
      <c r="D5592" t="str">
        <f t="shared" si="283"/>
        <v>Viernes</v>
      </c>
    </row>
    <row r="5593" spans="1:4" x14ac:dyDescent="0.25">
      <c r="A5593" s="88" t="str">
        <f t="shared" si="281"/>
        <v>4-2038</v>
      </c>
      <c r="B5593" s="86">
        <v>50519</v>
      </c>
      <c r="C5593" t="str">
        <f t="shared" si="282"/>
        <v>SAB</v>
      </c>
      <c r="D5593" t="str">
        <f t="shared" si="283"/>
        <v>Sábado</v>
      </c>
    </row>
    <row r="5594" spans="1:4" x14ac:dyDescent="0.25">
      <c r="A5594" s="88" t="str">
        <f t="shared" si="281"/>
        <v>4-2038</v>
      </c>
      <c r="B5594" s="86">
        <v>50520</v>
      </c>
      <c r="C5594" t="str">
        <f t="shared" si="282"/>
        <v>DOM</v>
      </c>
      <c r="D5594" t="str">
        <f t="shared" si="283"/>
        <v>Domingo</v>
      </c>
    </row>
    <row r="5595" spans="1:4" x14ac:dyDescent="0.25">
      <c r="A5595" s="88" t="str">
        <f t="shared" si="281"/>
        <v>4-2038</v>
      </c>
      <c r="B5595" s="86">
        <v>50521</v>
      </c>
      <c r="C5595" t="str">
        <f t="shared" si="282"/>
        <v>L-V</v>
      </c>
      <c r="D5595" t="str">
        <f t="shared" si="283"/>
        <v>Lunes</v>
      </c>
    </row>
    <row r="5596" spans="1:4" x14ac:dyDescent="0.25">
      <c r="A5596" s="88" t="str">
        <f t="shared" si="281"/>
        <v>4-2038</v>
      </c>
      <c r="B5596" s="86">
        <v>50522</v>
      </c>
      <c r="C5596" t="str">
        <f t="shared" si="282"/>
        <v>L-V</v>
      </c>
      <c r="D5596" t="str">
        <f t="shared" si="283"/>
        <v>Martes</v>
      </c>
    </row>
    <row r="5597" spans="1:4" x14ac:dyDescent="0.25">
      <c r="A5597" s="88" t="str">
        <f t="shared" ref="A5597:A5660" si="284">MONTH(B5597)&amp;"-"&amp;YEAR(B5597)</f>
        <v>4-2038</v>
      </c>
      <c r="B5597" s="86">
        <v>50523</v>
      </c>
      <c r="C5597" t="str">
        <f t="shared" ref="C5597:C5660" si="285">VLOOKUP(WEEKDAY(B5597,2),$F$1:$H$7,2)</f>
        <v>L-V</v>
      </c>
      <c r="D5597" t="str">
        <f t="shared" si="283"/>
        <v>Miércoles</v>
      </c>
    </row>
    <row r="5598" spans="1:4" x14ac:dyDescent="0.25">
      <c r="A5598" s="88" t="str">
        <f t="shared" si="284"/>
        <v>4-2038</v>
      </c>
      <c r="B5598" s="86">
        <v>50524</v>
      </c>
      <c r="C5598" t="str">
        <f t="shared" si="285"/>
        <v>L-V</v>
      </c>
      <c r="D5598" t="str">
        <f t="shared" si="283"/>
        <v>Jueves</v>
      </c>
    </row>
    <row r="5599" spans="1:4" x14ac:dyDescent="0.25">
      <c r="A5599" s="88" t="str">
        <f t="shared" si="284"/>
        <v>4-2038</v>
      </c>
      <c r="B5599" s="86">
        <v>50525</v>
      </c>
      <c r="C5599" t="str">
        <f t="shared" si="285"/>
        <v>L-V</v>
      </c>
      <c r="D5599" t="str">
        <f t="shared" si="283"/>
        <v>Viernes</v>
      </c>
    </row>
    <row r="5600" spans="1:4" x14ac:dyDescent="0.25">
      <c r="A5600" s="88" t="str">
        <f t="shared" si="284"/>
        <v>5-2038</v>
      </c>
      <c r="B5600" s="86">
        <v>50526</v>
      </c>
      <c r="C5600" t="str">
        <f t="shared" si="285"/>
        <v>SAB</v>
      </c>
      <c r="D5600" t="str">
        <f t="shared" si="283"/>
        <v>Sábado</v>
      </c>
    </row>
    <row r="5601" spans="1:4" x14ac:dyDescent="0.25">
      <c r="A5601" s="88" t="str">
        <f t="shared" si="284"/>
        <v>5-2038</v>
      </c>
      <c r="B5601" s="86">
        <v>50527</v>
      </c>
      <c r="C5601" t="str">
        <f t="shared" si="285"/>
        <v>DOM</v>
      </c>
      <c r="D5601" t="str">
        <f t="shared" si="283"/>
        <v>Domingo</v>
      </c>
    </row>
    <row r="5602" spans="1:4" x14ac:dyDescent="0.25">
      <c r="A5602" s="88" t="str">
        <f t="shared" si="284"/>
        <v>5-2038</v>
      </c>
      <c r="B5602" s="86">
        <v>50528</v>
      </c>
      <c r="C5602" t="str">
        <f t="shared" si="285"/>
        <v>L-V</v>
      </c>
      <c r="D5602" t="str">
        <f t="shared" si="283"/>
        <v>Lunes</v>
      </c>
    </row>
    <row r="5603" spans="1:4" x14ac:dyDescent="0.25">
      <c r="A5603" s="88" t="str">
        <f t="shared" si="284"/>
        <v>5-2038</v>
      </c>
      <c r="B5603" s="86">
        <v>50529</v>
      </c>
      <c r="C5603" t="str">
        <f t="shared" si="285"/>
        <v>L-V</v>
      </c>
      <c r="D5603" t="str">
        <f t="shared" si="283"/>
        <v>Martes</v>
      </c>
    </row>
    <row r="5604" spans="1:4" x14ac:dyDescent="0.25">
      <c r="A5604" s="88" t="str">
        <f t="shared" si="284"/>
        <v>5-2038</v>
      </c>
      <c r="B5604" s="86">
        <v>50530</v>
      </c>
      <c r="C5604" t="str">
        <f t="shared" si="285"/>
        <v>L-V</v>
      </c>
      <c r="D5604" t="str">
        <f t="shared" si="283"/>
        <v>Miércoles</v>
      </c>
    </row>
    <row r="5605" spans="1:4" x14ac:dyDescent="0.25">
      <c r="A5605" s="88" t="str">
        <f t="shared" si="284"/>
        <v>5-2038</v>
      </c>
      <c r="B5605" s="86">
        <v>50531</v>
      </c>
      <c r="C5605" t="str">
        <f t="shared" si="285"/>
        <v>L-V</v>
      </c>
      <c r="D5605" t="str">
        <f t="shared" si="283"/>
        <v>Jueves</v>
      </c>
    </row>
    <row r="5606" spans="1:4" x14ac:dyDescent="0.25">
      <c r="A5606" s="88" t="str">
        <f t="shared" si="284"/>
        <v>5-2038</v>
      </c>
      <c r="B5606" s="86">
        <v>50532</v>
      </c>
      <c r="C5606" t="str">
        <f t="shared" si="285"/>
        <v>L-V</v>
      </c>
      <c r="D5606" t="str">
        <f t="shared" si="283"/>
        <v>Viernes</v>
      </c>
    </row>
    <row r="5607" spans="1:4" x14ac:dyDescent="0.25">
      <c r="A5607" s="88" t="str">
        <f t="shared" si="284"/>
        <v>5-2038</v>
      </c>
      <c r="B5607" s="86">
        <v>50533</v>
      </c>
      <c r="C5607" t="str">
        <f t="shared" si="285"/>
        <v>SAB</v>
      </c>
      <c r="D5607" t="str">
        <f t="shared" si="283"/>
        <v>Sábado</v>
      </c>
    </row>
    <row r="5608" spans="1:4" x14ac:dyDescent="0.25">
      <c r="A5608" s="88" t="str">
        <f t="shared" si="284"/>
        <v>5-2038</v>
      </c>
      <c r="B5608" s="86">
        <v>50534</v>
      </c>
      <c r="C5608" t="str">
        <f t="shared" si="285"/>
        <v>DOM</v>
      </c>
      <c r="D5608" t="str">
        <f t="shared" si="283"/>
        <v>Domingo</v>
      </c>
    </row>
    <row r="5609" spans="1:4" x14ac:dyDescent="0.25">
      <c r="A5609" s="88" t="str">
        <f t="shared" si="284"/>
        <v>5-2038</v>
      </c>
      <c r="B5609" s="86">
        <v>50535</v>
      </c>
      <c r="C5609" t="str">
        <f t="shared" si="285"/>
        <v>L-V</v>
      </c>
      <c r="D5609" t="str">
        <f t="shared" si="283"/>
        <v>Lunes</v>
      </c>
    </row>
    <row r="5610" spans="1:4" x14ac:dyDescent="0.25">
      <c r="A5610" s="88" t="str">
        <f t="shared" si="284"/>
        <v>5-2038</v>
      </c>
      <c r="B5610" s="86">
        <v>50536</v>
      </c>
      <c r="C5610" t="str">
        <f t="shared" si="285"/>
        <v>L-V</v>
      </c>
      <c r="D5610" t="str">
        <f t="shared" si="283"/>
        <v>Martes</v>
      </c>
    </row>
    <row r="5611" spans="1:4" x14ac:dyDescent="0.25">
      <c r="A5611" s="88" t="str">
        <f t="shared" si="284"/>
        <v>5-2038</v>
      </c>
      <c r="B5611" s="86">
        <v>50537</v>
      </c>
      <c r="C5611" t="str">
        <f t="shared" si="285"/>
        <v>L-V</v>
      </c>
      <c r="D5611" t="str">
        <f t="shared" si="283"/>
        <v>Miércoles</v>
      </c>
    </row>
    <row r="5612" spans="1:4" x14ac:dyDescent="0.25">
      <c r="A5612" s="88" t="str">
        <f t="shared" si="284"/>
        <v>5-2038</v>
      </c>
      <c r="B5612" s="86">
        <v>50538</v>
      </c>
      <c r="C5612" t="str">
        <f t="shared" si="285"/>
        <v>L-V</v>
      </c>
      <c r="D5612" t="str">
        <f t="shared" si="283"/>
        <v>Jueves</v>
      </c>
    </row>
    <row r="5613" spans="1:4" x14ac:dyDescent="0.25">
      <c r="A5613" s="88" t="str">
        <f t="shared" si="284"/>
        <v>5-2038</v>
      </c>
      <c r="B5613" s="86">
        <v>50539</v>
      </c>
      <c r="C5613" t="str">
        <f t="shared" si="285"/>
        <v>L-V</v>
      </c>
      <c r="D5613" t="str">
        <f t="shared" si="283"/>
        <v>Viernes</v>
      </c>
    </row>
    <row r="5614" spans="1:4" x14ac:dyDescent="0.25">
      <c r="A5614" s="88" t="str">
        <f t="shared" si="284"/>
        <v>5-2038</v>
      </c>
      <c r="B5614" s="86">
        <v>50540</v>
      </c>
      <c r="C5614" t="str">
        <f t="shared" si="285"/>
        <v>SAB</v>
      </c>
      <c r="D5614" t="str">
        <f t="shared" si="283"/>
        <v>Sábado</v>
      </c>
    </row>
    <row r="5615" spans="1:4" x14ac:dyDescent="0.25">
      <c r="A5615" s="88" t="str">
        <f t="shared" si="284"/>
        <v>5-2038</v>
      </c>
      <c r="B5615" s="86">
        <v>50541</v>
      </c>
      <c r="C5615" t="str">
        <f t="shared" si="285"/>
        <v>DOM</v>
      </c>
      <c r="D5615" t="str">
        <f t="shared" si="283"/>
        <v>Domingo</v>
      </c>
    </row>
    <row r="5616" spans="1:4" x14ac:dyDescent="0.25">
      <c r="A5616" s="88" t="str">
        <f t="shared" si="284"/>
        <v>5-2038</v>
      </c>
      <c r="B5616" s="86">
        <v>50542</v>
      </c>
      <c r="C5616" t="str">
        <f t="shared" si="285"/>
        <v>L-V</v>
      </c>
      <c r="D5616" t="str">
        <f t="shared" si="283"/>
        <v>Lunes</v>
      </c>
    </row>
    <row r="5617" spans="1:4" x14ac:dyDescent="0.25">
      <c r="A5617" s="88" t="str">
        <f t="shared" si="284"/>
        <v>5-2038</v>
      </c>
      <c r="B5617" s="86">
        <v>50543</v>
      </c>
      <c r="C5617" t="str">
        <f t="shared" si="285"/>
        <v>L-V</v>
      </c>
      <c r="D5617" t="str">
        <f t="shared" si="283"/>
        <v>Martes</v>
      </c>
    </row>
    <row r="5618" spans="1:4" x14ac:dyDescent="0.25">
      <c r="A5618" s="88" t="str">
        <f t="shared" si="284"/>
        <v>5-2038</v>
      </c>
      <c r="B5618" s="86">
        <v>50544</v>
      </c>
      <c r="C5618" t="str">
        <f t="shared" si="285"/>
        <v>L-V</v>
      </c>
      <c r="D5618" t="str">
        <f t="shared" si="283"/>
        <v>Miércoles</v>
      </c>
    </row>
    <row r="5619" spans="1:4" x14ac:dyDescent="0.25">
      <c r="A5619" s="88" t="str">
        <f t="shared" si="284"/>
        <v>5-2038</v>
      </c>
      <c r="B5619" s="86">
        <v>50545</v>
      </c>
      <c r="C5619" t="str">
        <f t="shared" si="285"/>
        <v>L-V</v>
      </c>
      <c r="D5619" t="str">
        <f t="shared" si="283"/>
        <v>Jueves</v>
      </c>
    </row>
    <row r="5620" spans="1:4" x14ac:dyDescent="0.25">
      <c r="A5620" s="88" t="str">
        <f t="shared" si="284"/>
        <v>5-2038</v>
      </c>
      <c r="B5620" s="86">
        <v>50546</v>
      </c>
      <c r="C5620" t="str">
        <f t="shared" si="285"/>
        <v>L-V</v>
      </c>
      <c r="D5620" t="str">
        <f t="shared" si="283"/>
        <v>Viernes</v>
      </c>
    </row>
    <row r="5621" spans="1:4" x14ac:dyDescent="0.25">
      <c r="A5621" s="88" t="str">
        <f t="shared" si="284"/>
        <v>5-2038</v>
      </c>
      <c r="B5621" s="86">
        <v>50547</v>
      </c>
      <c r="C5621" t="str">
        <f t="shared" si="285"/>
        <v>SAB</v>
      </c>
      <c r="D5621" t="str">
        <f t="shared" si="283"/>
        <v>Sábado</v>
      </c>
    </row>
    <row r="5622" spans="1:4" x14ac:dyDescent="0.25">
      <c r="A5622" s="88" t="str">
        <f t="shared" si="284"/>
        <v>5-2038</v>
      </c>
      <c r="B5622" s="86">
        <v>50548</v>
      </c>
      <c r="C5622" t="str">
        <f t="shared" si="285"/>
        <v>DOM</v>
      </c>
      <c r="D5622" t="str">
        <f t="shared" si="283"/>
        <v>Domingo</v>
      </c>
    </row>
    <row r="5623" spans="1:4" x14ac:dyDescent="0.25">
      <c r="A5623" s="88" t="str">
        <f t="shared" si="284"/>
        <v>5-2038</v>
      </c>
      <c r="B5623" s="86">
        <v>50549</v>
      </c>
      <c r="C5623" t="str">
        <f t="shared" si="285"/>
        <v>L-V</v>
      </c>
      <c r="D5623" t="str">
        <f t="shared" si="283"/>
        <v>Lunes</v>
      </c>
    </row>
    <row r="5624" spans="1:4" x14ac:dyDescent="0.25">
      <c r="A5624" s="88" t="str">
        <f t="shared" si="284"/>
        <v>5-2038</v>
      </c>
      <c r="B5624" s="86">
        <v>50550</v>
      </c>
      <c r="C5624" t="str">
        <f t="shared" si="285"/>
        <v>L-V</v>
      </c>
      <c r="D5624" t="str">
        <f t="shared" si="283"/>
        <v>Martes</v>
      </c>
    </row>
    <row r="5625" spans="1:4" x14ac:dyDescent="0.25">
      <c r="A5625" s="88" t="str">
        <f t="shared" si="284"/>
        <v>5-2038</v>
      </c>
      <c r="B5625" s="86">
        <v>50551</v>
      </c>
      <c r="C5625" t="str">
        <f t="shared" si="285"/>
        <v>L-V</v>
      </c>
      <c r="D5625" t="str">
        <f t="shared" si="283"/>
        <v>Miércoles</v>
      </c>
    </row>
    <row r="5626" spans="1:4" x14ac:dyDescent="0.25">
      <c r="A5626" s="88" t="str">
        <f t="shared" si="284"/>
        <v>5-2038</v>
      </c>
      <c r="B5626" s="86">
        <v>50552</v>
      </c>
      <c r="C5626" t="str">
        <f t="shared" si="285"/>
        <v>L-V</v>
      </c>
      <c r="D5626" t="str">
        <f t="shared" si="283"/>
        <v>Jueves</v>
      </c>
    </row>
    <row r="5627" spans="1:4" x14ac:dyDescent="0.25">
      <c r="A5627" s="88" t="str">
        <f t="shared" si="284"/>
        <v>5-2038</v>
      </c>
      <c r="B5627" s="86">
        <v>50553</v>
      </c>
      <c r="C5627" t="str">
        <f t="shared" si="285"/>
        <v>L-V</v>
      </c>
      <c r="D5627" t="str">
        <f t="shared" si="283"/>
        <v>Viernes</v>
      </c>
    </row>
    <row r="5628" spans="1:4" x14ac:dyDescent="0.25">
      <c r="A5628" s="88" t="str">
        <f t="shared" si="284"/>
        <v>5-2038</v>
      </c>
      <c r="B5628" s="86">
        <v>50554</v>
      </c>
      <c r="C5628" t="str">
        <f t="shared" si="285"/>
        <v>SAB</v>
      </c>
      <c r="D5628" t="str">
        <f t="shared" si="283"/>
        <v>Sábado</v>
      </c>
    </row>
    <row r="5629" spans="1:4" x14ac:dyDescent="0.25">
      <c r="A5629" s="88" t="str">
        <f t="shared" si="284"/>
        <v>5-2038</v>
      </c>
      <c r="B5629" s="86">
        <v>50555</v>
      </c>
      <c r="C5629" t="str">
        <f t="shared" si="285"/>
        <v>DOM</v>
      </c>
      <c r="D5629" t="str">
        <f t="shared" si="283"/>
        <v>Domingo</v>
      </c>
    </row>
    <row r="5630" spans="1:4" x14ac:dyDescent="0.25">
      <c r="A5630" s="88" t="str">
        <f t="shared" si="284"/>
        <v>5-2038</v>
      </c>
      <c r="B5630" s="86">
        <v>50556</v>
      </c>
      <c r="C5630" t="str">
        <f t="shared" si="285"/>
        <v>L-V</v>
      </c>
      <c r="D5630" t="str">
        <f t="shared" si="283"/>
        <v>Lunes</v>
      </c>
    </row>
    <row r="5631" spans="1:4" x14ac:dyDescent="0.25">
      <c r="A5631" s="88" t="str">
        <f t="shared" si="284"/>
        <v>6-2038</v>
      </c>
      <c r="B5631" s="86">
        <v>50557</v>
      </c>
      <c r="C5631" t="str">
        <f t="shared" si="285"/>
        <v>L-V</v>
      </c>
      <c r="D5631" t="str">
        <f t="shared" si="283"/>
        <v>Martes</v>
      </c>
    </row>
    <row r="5632" spans="1:4" x14ac:dyDescent="0.25">
      <c r="A5632" s="88" t="str">
        <f t="shared" si="284"/>
        <v>6-2038</v>
      </c>
      <c r="B5632" s="86">
        <v>50558</v>
      </c>
      <c r="C5632" t="str">
        <f t="shared" si="285"/>
        <v>L-V</v>
      </c>
      <c r="D5632" t="str">
        <f t="shared" si="283"/>
        <v>Miércoles</v>
      </c>
    </row>
    <row r="5633" spans="1:4" x14ac:dyDescent="0.25">
      <c r="A5633" s="88" t="str">
        <f t="shared" si="284"/>
        <v>6-2038</v>
      </c>
      <c r="B5633" s="86">
        <v>50559</v>
      </c>
      <c r="C5633" t="str">
        <f t="shared" si="285"/>
        <v>L-V</v>
      </c>
      <c r="D5633" t="str">
        <f t="shared" si="283"/>
        <v>Jueves</v>
      </c>
    </row>
    <row r="5634" spans="1:4" x14ac:dyDescent="0.25">
      <c r="A5634" s="88" t="str">
        <f t="shared" si="284"/>
        <v>6-2038</v>
      </c>
      <c r="B5634" s="86">
        <v>50560</v>
      </c>
      <c r="C5634" t="str">
        <f t="shared" si="285"/>
        <v>L-V</v>
      </c>
      <c r="D5634" t="str">
        <f t="shared" si="283"/>
        <v>Viernes</v>
      </c>
    </row>
    <row r="5635" spans="1:4" x14ac:dyDescent="0.25">
      <c r="A5635" s="88" t="str">
        <f t="shared" si="284"/>
        <v>6-2038</v>
      </c>
      <c r="B5635" s="86">
        <v>50561</v>
      </c>
      <c r="C5635" t="str">
        <f t="shared" si="285"/>
        <v>SAB</v>
      </c>
      <c r="D5635" t="str">
        <f t="shared" ref="D5635:D5698" si="286">VLOOKUP(WEEKDAY($B5635,2),$F$1:$H$7,3)</f>
        <v>Sábado</v>
      </c>
    </row>
    <row r="5636" spans="1:4" x14ac:dyDescent="0.25">
      <c r="A5636" s="88" t="str">
        <f t="shared" si="284"/>
        <v>6-2038</v>
      </c>
      <c r="B5636" s="86">
        <v>50562</v>
      </c>
      <c r="C5636" t="str">
        <f t="shared" si="285"/>
        <v>DOM</v>
      </c>
      <c r="D5636" t="str">
        <f t="shared" si="286"/>
        <v>Domingo</v>
      </c>
    </row>
    <row r="5637" spans="1:4" x14ac:dyDescent="0.25">
      <c r="A5637" s="88" t="str">
        <f t="shared" si="284"/>
        <v>6-2038</v>
      </c>
      <c r="B5637" s="86">
        <v>50563</v>
      </c>
      <c r="C5637" t="str">
        <f t="shared" si="285"/>
        <v>L-V</v>
      </c>
      <c r="D5637" t="str">
        <f t="shared" si="286"/>
        <v>Lunes</v>
      </c>
    </row>
    <row r="5638" spans="1:4" x14ac:dyDescent="0.25">
      <c r="A5638" s="88" t="str">
        <f t="shared" si="284"/>
        <v>6-2038</v>
      </c>
      <c r="B5638" s="86">
        <v>50564</v>
      </c>
      <c r="C5638" t="str">
        <f t="shared" si="285"/>
        <v>L-V</v>
      </c>
      <c r="D5638" t="str">
        <f t="shared" si="286"/>
        <v>Martes</v>
      </c>
    </row>
    <row r="5639" spans="1:4" x14ac:dyDescent="0.25">
      <c r="A5639" s="88" t="str">
        <f t="shared" si="284"/>
        <v>6-2038</v>
      </c>
      <c r="B5639" s="86">
        <v>50565</v>
      </c>
      <c r="C5639" t="str">
        <f t="shared" si="285"/>
        <v>L-V</v>
      </c>
      <c r="D5639" t="str">
        <f t="shared" si="286"/>
        <v>Miércoles</v>
      </c>
    </row>
    <row r="5640" spans="1:4" x14ac:dyDescent="0.25">
      <c r="A5640" s="88" t="str">
        <f t="shared" si="284"/>
        <v>6-2038</v>
      </c>
      <c r="B5640" s="86">
        <v>50566</v>
      </c>
      <c r="C5640" t="str">
        <f t="shared" si="285"/>
        <v>L-V</v>
      </c>
      <c r="D5640" t="str">
        <f t="shared" si="286"/>
        <v>Jueves</v>
      </c>
    </row>
    <row r="5641" spans="1:4" x14ac:dyDescent="0.25">
      <c r="A5641" s="88" t="str">
        <f t="shared" si="284"/>
        <v>6-2038</v>
      </c>
      <c r="B5641" s="86">
        <v>50567</v>
      </c>
      <c r="C5641" t="str">
        <f t="shared" si="285"/>
        <v>L-V</v>
      </c>
      <c r="D5641" t="str">
        <f t="shared" si="286"/>
        <v>Viernes</v>
      </c>
    </row>
    <row r="5642" spans="1:4" x14ac:dyDescent="0.25">
      <c r="A5642" s="88" t="str">
        <f t="shared" si="284"/>
        <v>6-2038</v>
      </c>
      <c r="B5642" s="86">
        <v>50568</v>
      </c>
      <c r="C5642" t="str">
        <f t="shared" si="285"/>
        <v>SAB</v>
      </c>
      <c r="D5642" t="str">
        <f t="shared" si="286"/>
        <v>Sábado</v>
      </c>
    </row>
    <row r="5643" spans="1:4" x14ac:dyDescent="0.25">
      <c r="A5643" s="88" t="str">
        <f t="shared" si="284"/>
        <v>6-2038</v>
      </c>
      <c r="B5643" s="86">
        <v>50569</v>
      </c>
      <c r="C5643" t="str">
        <f t="shared" si="285"/>
        <v>DOM</v>
      </c>
      <c r="D5643" t="str">
        <f t="shared" si="286"/>
        <v>Domingo</v>
      </c>
    </row>
    <row r="5644" spans="1:4" x14ac:dyDescent="0.25">
      <c r="A5644" s="88" t="str">
        <f t="shared" si="284"/>
        <v>6-2038</v>
      </c>
      <c r="B5644" s="86">
        <v>50570</v>
      </c>
      <c r="C5644" t="str">
        <f t="shared" si="285"/>
        <v>L-V</v>
      </c>
      <c r="D5644" t="str">
        <f t="shared" si="286"/>
        <v>Lunes</v>
      </c>
    </row>
    <row r="5645" spans="1:4" x14ac:dyDescent="0.25">
      <c r="A5645" s="88" t="str">
        <f t="shared" si="284"/>
        <v>6-2038</v>
      </c>
      <c r="B5645" s="86">
        <v>50571</v>
      </c>
      <c r="C5645" t="str">
        <f t="shared" si="285"/>
        <v>L-V</v>
      </c>
      <c r="D5645" t="str">
        <f t="shared" si="286"/>
        <v>Martes</v>
      </c>
    </row>
    <row r="5646" spans="1:4" x14ac:dyDescent="0.25">
      <c r="A5646" s="88" t="str">
        <f t="shared" si="284"/>
        <v>6-2038</v>
      </c>
      <c r="B5646" s="86">
        <v>50572</v>
      </c>
      <c r="C5646" t="str">
        <f t="shared" si="285"/>
        <v>L-V</v>
      </c>
      <c r="D5646" t="str">
        <f t="shared" si="286"/>
        <v>Miércoles</v>
      </c>
    </row>
    <row r="5647" spans="1:4" x14ac:dyDescent="0.25">
      <c r="A5647" s="88" t="str">
        <f t="shared" si="284"/>
        <v>6-2038</v>
      </c>
      <c r="B5647" s="86">
        <v>50573</v>
      </c>
      <c r="C5647" t="str">
        <f t="shared" si="285"/>
        <v>L-V</v>
      </c>
      <c r="D5647" t="str">
        <f t="shared" si="286"/>
        <v>Jueves</v>
      </c>
    </row>
    <row r="5648" spans="1:4" x14ac:dyDescent="0.25">
      <c r="A5648" s="88" t="str">
        <f t="shared" si="284"/>
        <v>6-2038</v>
      </c>
      <c r="B5648" s="86">
        <v>50574</v>
      </c>
      <c r="C5648" t="str">
        <f t="shared" si="285"/>
        <v>L-V</v>
      </c>
      <c r="D5648" t="str">
        <f t="shared" si="286"/>
        <v>Viernes</v>
      </c>
    </row>
    <row r="5649" spans="1:4" x14ac:dyDescent="0.25">
      <c r="A5649" s="88" t="str">
        <f t="shared" si="284"/>
        <v>6-2038</v>
      </c>
      <c r="B5649" s="86">
        <v>50575</v>
      </c>
      <c r="C5649" t="str">
        <f t="shared" si="285"/>
        <v>SAB</v>
      </c>
      <c r="D5649" t="str">
        <f t="shared" si="286"/>
        <v>Sábado</v>
      </c>
    </row>
    <row r="5650" spans="1:4" x14ac:dyDescent="0.25">
      <c r="A5650" s="88" t="str">
        <f t="shared" si="284"/>
        <v>6-2038</v>
      </c>
      <c r="B5650" s="86">
        <v>50576</v>
      </c>
      <c r="C5650" t="str">
        <f t="shared" si="285"/>
        <v>DOM</v>
      </c>
      <c r="D5650" t="str">
        <f t="shared" si="286"/>
        <v>Domingo</v>
      </c>
    </row>
    <row r="5651" spans="1:4" x14ac:dyDescent="0.25">
      <c r="A5651" s="88" t="str">
        <f t="shared" si="284"/>
        <v>6-2038</v>
      </c>
      <c r="B5651" s="86">
        <v>50577</v>
      </c>
      <c r="C5651" t="str">
        <f t="shared" si="285"/>
        <v>L-V</v>
      </c>
      <c r="D5651" t="str">
        <f t="shared" si="286"/>
        <v>Lunes</v>
      </c>
    </row>
    <row r="5652" spans="1:4" x14ac:dyDescent="0.25">
      <c r="A5652" s="88" t="str">
        <f t="shared" si="284"/>
        <v>6-2038</v>
      </c>
      <c r="B5652" s="86">
        <v>50578</v>
      </c>
      <c r="C5652" t="str">
        <f t="shared" si="285"/>
        <v>L-V</v>
      </c>
      <c r="D5652" t="str">
        <f t="shared" si="286"/>
        <v>Martes</v>
      </c>
    </row>
    <row r="5653" spans="1:4" x14ac:dyDescent="0.25">
      <c r="A5653" s="88" t="str">
        <f t="shared" si="284"/>
        <v>6-2038</v>
      </c>
      <c r="B5653" s="86">
        <v>50579</v>
      </c>
      <c r="C5653" t="str">
        <f t="shared" si="285"/>
        <v>L-V</v>
      </c>
      <c r="D5653" t="str">
        <f t="shared" si="286"/>
        <v>Miércoles</v>
      </c>
    </row>
    <row r="5654" spans="1:4" x14ac:dyDescent="0.25">
      <c r="A5654" s="88" t="str">
        <f t="shared" si="284"/>
        <v>6-2038</v>
      </c>
      <c r="B5654" s="86">
        <v>50580</v>
      </c>
      <c r="C5654" t="str">
        <f t="shared" si="285"/>
        <v>L-V</v>
      </c>
      <c r="D5654" t="str">
        <f t="shared" si="286"/>
        <v>Jueves</v>
      </c>
    </row>
    <row r="5655" spans="1:4" x14ac:dyDescent="0.25">
      <c r="A5655" s="88" t="str">
        <f t="shared" si="284"/>
        <v>6-2038</v>
      </c>
      <c r="B5655" s="86">
        <v>50581</v>
      </c>
      <c r="C5655" t="str">
        <f t="shared" si="285"/>
        <v>L-V</v>
      </c>
      <c r="D5655" t="str">
        <f t="shared" si="286"/>
        <v>Viernes</v>
      </c>
    </row>
    <row r="5656" spans="1:4" x14ac:dyDescent="0.25">
      <c r="A5656" s="88" t="str">
        <f t="shared" si="284"/>
        <v>6-2038</v>
      </c>
      <c r="B5656" s="86">
        <v>50582</v>
      </c>
      <c r="C5656" t="str">
        <f t="shared" si="285"/>
        <v>SAB</v>
      </c>
      <c r="D5656" t="str">
        <f t="shared" si="286"/>
        <v>Sábado</v>
      </c>
    </row>
    <row r="5657" spans="1:4" x14ac:dyDescent="0.25">
      <c r="A5657" s="88" t="str">
        <f t="shared" si="284"/>
        <v>6-2038</v>
      </c>
      <c r="B5657" s="86">
        <v>50583</v>
      </c>
      <c r="C5657" t="str">
        <f t="shared" si="285"/>
        <v>DOM</v>
      </c>
      <c r="D5657" t="str">
        <f t="shared" si="286"/>
        <v>Domingo</v>
      </c>
    </row>
    <row r="5658" spans="1:4" x14ac:dyDescent="0.25">
      <c r="A5658" s="88" t="str">
        <f t="shared" si="284"/>
        <v>6-2038</v>
      </c>
      <c r="B5658" s="86">
        <v>50584</v>
      </c>
      <c r="C5658" t="str">
        <f t="shared" si="285"/>
        <v>L-V</v>
      </c>
      <c r="D5658" t="str">
        <f t="shared" si="286"/>
        <v>Lunes</v>
      </c>
    </row>
    <row r="5659" spans="1:4" x14ac:dyDescent="0.25">
      <c r="A5659" s="88" t="str">
        <f t="shared" si="284"/>
        <v>6-2038</v>
      </c>
      <c r="B5659" s="86">
        <v>50585</v>
      </c>
      <c r="C5659" t="str">
        <f t="shared" si="285"/>
        <v>L-V</v>
      </c>
      <c r="D5659" t="str">
        <f t="shared" si="286"/>
        <v>Martes</v>
      </c>
    </row>
    <row r="5660" spans="1:4" x14ac:dyDescent="0.25">
      <c r="A5660" s="88" t="str">
        <f t="shared" si="284"/>
        <v>6-2038</v>
      </c>
      <c r="B5660" s="86">
        <v>50586</v>
      </c>
      <c r="C5660" t="str">
        <f t="shared" si="285"/>
        <v>L-V</v>
      </c>
      <c r="D5660" t="str">
        <f t="shared" si="286"/>
        <v>Miércoles</v>
      </c>
    </row>
    <row r="5661" spans="1:4" x14ac:dyDescent="0.25">
      <c r="A5661" s="88" t="str">
        <f t="shared" ref="A5661:A5724" si="287">MONTH(B5661)&amp;"-"&amp;YEAR(B5661)</f>
        <v>7-2038</v>
      </c>
      <c r="B5661" s="86">
        <v>50587</v>
      </c>
      <c r="C5661" t="str">
        <f t="shared" ref="C5661:C5724" si="288">VLOOKUP(WEEKDAY(B5661,2),$F$1:$H$7,2)</f>
        <v>L-V</v>
      </c>
      <c r="D5661" t="str">
        <f t="shared" si="286"/>
        <v>Jueves</v>
      </c>
    </row>
    <row r="5662" spans="1:4" x14ac:dyDescent="0.25">
      <c r="A5662" s="88" t="str">
        <f t="shared" si="287"/>
        <v>7-2038</v>
      </c>
      <c r="B5662" s="86">
        <v>50588</v>
      </c>
      <c r="C5662" t="str">
        <f t="shared" si="288"/>
        <v>L-V</v>
      </c>
      <c r="D5662" t="str">
        <f t="shared" si="286"/>
        <v>Viernes</v>
      </c>
    </row>
    <row r="5663" spans="1:4" x14ac:dyDescent="0.25">
      <c r="A5663" s="88" t="str">
        <f t="shared" si="287"/>
        <v>7-2038</v>
      </c>
      <c r="B5663" s="86">
        <v>50589</v>
      </c>
      <c r="C5663" t="str">
        <f t="shared" si="288"/>
        <v>SAB</v>
      </c>
      <c r="D5663" t="str">
        <f t="shared" si="286"/>
        <v>Sábado</v>
      </c>
    </row>
    <row r="5664" spans="1:4" x14ac:dyDescent="0.25">
      <c r="A5664" s="88" t="str">
        <f t="shared" si="287"/>
        <v>7-2038</v>
      </c>
      <c r="B5664" s="86">
        <v>50590</v>
      </c>
      <c r="C5664" t="str">
        <f t="shared" si="288"/>
        <v>DOM</v>
      </c>
      <c r="D5664" t="str">
        <f t="shared" si="286"/>
        <v>Domingo</v>
      </c>
    </row>
    <row r="5665" spans="1:4" x14ac:dyDescent="0.25">
      <c r="A5665" s="88" t="str">
        <f t="shared" si="287"/>
        <v>7-2038</v>
      </c>
      <c r="B5665" s="86">
        <v>50591</v>
      </c>
      <c r="C5665" t="str">
        <f t="shared" si="288"/>
        <v>L-V</v>
      </c>
      <c r="D5665" t="str">
        <f t="shared" si="286"/>
        <v>Lunes</v>
      </c>
    </row>
    <row r="5666" spans="1:4" x14ac:dyDescent="0.25">
      <c r="A5666" s="88" t="str">
        <f t="shared" si="287"/>
        <v>7-2038</v>
      </c>
      <c r="B5666" s="86">
        <v>50592</v>
      </c>
      <c r="C5666" t="str">
        <f t="shared" si="288"/>
        <v>L-V</v>
      </c>
      <c r="D5666" t="str">
        <f t="shared" si="286"/>
        <v>Martes</v>
      </c>
    </row>
    <row r="5667" spans="1:4" x14ac:dyDescent="0.25">
      <c r="A5667" s="88" t="str">
        <f t="shared" si="287"/>
        <v>7-2038</v>
      </c>
      <c r="B5667" s="86">
        <v>50593</v>
      </c>
      <c r="C5667" t="str">
        <f t="shared" si="288"/>
        <v>L-V</v>
      </c>
      <c r="D5667" t="str">
        <f t="shared" si="286"/>
        <v>Miércoles</v>
      </c>
    </row>
    <row r="5668" spans="1:4" x14ac:dyDescent="0.25">
      <c r="A5668" s="88" t="str">
        <f t="shared" si="287"/>
        <v>7-2038</v>
      </c>
      <c r="B5668" s="86">
        <v>50594</v>
      </c>
      <c r="C5668" t="str">
        <f t="shared" si="288"/>
        <v>L-V</v>
      </c>
      <c r="D5668" t="str">
        <f t="shared" si="286"/>
        <v>Jueves</v>
      </c>
    </row>
    <row r="5669" spans="1:4" x14ac:dyDescent="0.25">
      <c r="A5669" s="88" t="str">
        <f t="shared" si="287"/>
        <v>7-2038</v>
      </c>
      <c r="B5669" s="86">
        <v>50595</v>
      </c>
      <c r="C5669" t="str">
        <f t="shared" si="288"/>
        <v>L-V</v>
      </c>
      <c r="D5669" t="str">
        <f t="shared" si="286"/>
        <v>Viernes</v>
      </c>
    </row>
    <row r="5670" spans="1:4" x14ac:dyDescent="0.25">
      <c r="A5670" s="88" t="str">
        <f t="shared" si="287"/>
        <v>7-2038</v>
      </c>
      <c r="B5670" s="86">
        <v>50596</v>
      </c>
      <c r="C5670" t="str">
        <f t="shared" si="288"/>
        <v>SAB</v>
      </c>
      <c r="D5670" t="str">
        <f t="shared" si="286"/>
        <v>Sábado</v>
      </c>
    </row>
    <row r="5671" spans="1:4" x14ac:dyDescent="0.25">
      <c r="A5671" s="88" t="str">
        <f t="shared" si="287"/>
        <v>7-2038</v>
      </c>
      <c r="B5671" s="86">
        <v>50597</v>
      </c>
      <c r="C5671" t="str">
        <f t="shared" si="288"/>
        <v>DOM</v>
      </c>
      <c r="D5671" t="str">
        <f t="shared" si="286"/>
        <v>Domingo</v>
      </c>
    </row>
    <row r="5672" spans="1:4" x14ac:dyDescent="0.25">
      <c r="A5672" s="88" t="str">
        <f t="shared" si="287"/>
        <v>7-2038</v>
      </c>
      <c r="B5672" s="86">
        <v>50598</v>
      </c>
      <c r="C5672" t="str">
        <f t="shared" si="288"/>
        <v>L-V</v>
      </c>
      <c r="D5672" t="str">
        <f t="shared" si="286"/>
        <v>Lunes</v>
      </c>
    </row>
    <row r="5673" spans="1:4" x14ac:dyDescent="0.25">
      <c r="A5673" s="88" t="str">
        <f t="shared" si="287"/>
        <v>7-2038</v>
      </c>
      <c r="B5673" s="86">
        <v>50599</v>
      </c>
      <c r="C5673" t="str">
        <f t="shared" si="288"/>
        <v>L-V</v>
      </c>
      <c r="D5673" t="str">
        <f t="shared" si="286"/>
        <v>Martes</v>
      </c>
    </row>
    <row r="5674" spans="1:4" x14ac:dyDescent="0.25">
      <c r="A5674" s="88" t="str">
        <f t="shared" si="287"/>
        <v>7-2038</v>
      </c>
      <c r="B5674" s="86">
        <v>50600</v>
      </c>
      <c r="C5674" t="str">
        <f t="shared" si="288"/>
        <v>L-V</v>
      </c>
      <c r="D5674" t="str">
        <f t="shared" si="286"/>
        <v>Miércoles</v>
      </c>
    </row>
    <row r="5675" spans="1:4" x14ac:dyDescent="0.25">
      <c r="A5675" s="88" t="str">
        <f t="shared" si="287"/>
        <v>7-2038</v>
      </c>
      <c r="B5675" s="86">
        <v>50601</v>
      </c>
      <c r="C5675" t="str">
        <f t="shared" si="288"/>
        <v>L-V</v>
      </c>
      <c r="D5675" t="str">
        <f t="shared" si="286"/>
        <v>Jueves</v>
      </c>
    </row>
    <row r="5676" spans="1:4" x14ac:dyDescent="0.25">
      <c r="A5676" s="88" t="str">
        <f t="shared" si="287"/>
        <v>7-2038</v>
      </c>
      <c r="B5676" s="86">
        <v>50602</v>
      </c>
      <c r="C5676" t="str">
        <f t="shared" si="288"/>
        <v>L-V</v>
      </c>
      <c r="D5676" t="str">
        <f t="shared" si="286"/>
        <v>Viernes</v>
      </c>
    </row>
    <row r="5677" spans="1:4" x14ac:dyDescent="0.25">
      <c r="A5677" s="88" t="str">
        <f t="shared" si="287"/>
        <v>7-2038</v>
      </c>
      <c r="B5677" s="86">
        <v>50603</v>
      </c>
      <c r="C5677" t="str">
        <f t="shared" si="288"/>
        <v>SAB</v>
      </c>
      <c r="D5677" t="str">
        <f t="shared" si="286"/>
        <v>Sábado</v>
      </c>
    </row>
    <row r="5678" spans="1:4" x14ac:dyDescent="0.25">
      <c r="A5678" s="88" t="str">
        <f t="shared" si="287"/>
        <v>7-2038</v>
      </c>
      <c r="B5678" s="86">
        <v>50604</v>
      </c>
      <c r="C5678" t="str">
        <f t="shared" si="288"/>
        <v>DOM</v>
      </c>
      <c r="D5678" t="str">
        <f t="shared" si="286"/>
        <v>Domingo</v>
      </c>
    </row>
    <row r="5679" spans="1:4" x14ac:dyDescent="0.25">
      <c r="A5679" s="88" t="str">
        <f t="shared" si="287"/>
        <v>7-2038</v>
      </c>
      <c r="B5679" s="86">
        <v>50605</v>
      </c>
      <c r="C5679" t="str">
        <f t="shared" si="288"/>
        <v>L-V</v>
      </c>
      <c r="D5679" t="str">
        <f t="shared" si="286"/>
        <v>Lunes</v>
      </c>
    </row>
    <row r="5680" spans="1:4" x14ac:dyDescent="0.25">
      <c r="A5680" s="88" t="str">
        <f t="shared" si="287"/>
        <v>7-2038</v>
      </c>
      <c r="B5680" s="86">
        <v>50606</v>
      </c>
      <c r="C5680" t="str">
        <f t="shared" si="288"/>
        <v>L-V</v>
      </c>
      <c r="D5680" t="str">
        <f t="shared" si="286"/>
        <v>Martes</v>
      </c>
    </row>
    <row r="5681" spans="1:4" x14ac:dyDescent="0.25">
      <c r="A5681" s="88" t="str">
        <f t="shared" si="287"/>
        <v>7-2038</v>
      </c>
      <c r="B5681" s="86">
        <v>50607</v>
      </c>
      <c r="C5681" t="str">
        <f t="shared" si="288"/>
        <v>L-V</v>
      </c>
      <c r="D5681" t="str">
        <f t="shared" si="286"/>
        <v>Miércoles</v>
      </c>
    </row>
    <row r="5682" spans="1:4" x14ac:dyDescent="0.25">
      <c r="A5682" s="88" t="str">
        <f t="shared" si="287"/>
        <v>7-2038</v>
      </c>
      <c r="B5682" s="86">
        <v>50608</v>
      </c>
      <c r="C5682" t="str">
        <f t="shared" si="288"/>
        <v>L-V</v>
      </c>
      <c r="D5682" t="str">
        <f t="shared" si="286"/>
        <v>Jueves</v>
      </c>
    </row>
    <row r="5683" spans="1:4" x14ac:dyDescent="0.25">
      <c r="A5683" s="88" t="str">
        <f t="shared" si="287"/>
        <v>7-2038</v>
      </c>
      <c r="B5683" s="86">
        <v>50609</v>
      </c>
      <c r="C5683" t="str">
        <f t="shared" si="288"/>
        <v>L-V</v>
      </c>
      <c r="D5683" t="str">
        <f t="shared" si="286"/>
        <v>Viernes</v>
      </c>
    </row>
    <row r="5684" spans="1:4" x14ac:dyDescent="0.25">
      <c r="A5684" s="88" t="str">
        <f t="shared" si="287"/>
        <v>7-2038</v>
      </c>
      <c r="B5684" s="86">
        <v>50610</v>
      </c>
      <c r="C5684" t="str">
        <f t="shared" si="288"/>
        <v>SAB</v>
      </c>
      <c r="D5684" t="str">
        <f t="shared" si="286"/>
        <v>Sábado</v>
      </c>
    </row>
    <row r="5685" spans="1:4" x14ac:dyDescent="0.25">
      <c r="A5685" s="88" t="str">
        <f t="shared" si="287"/>
        <v>7-2038</v>
      </c>
      <c r="B5685" s="86">
        <v>50611</v>
      </c>
      <c r="C5685" t="str">
        <f t="shared" si="288"/>
        <v>DOM</v>
      </c>
      <c r="D5685" t="str">
        <f t="shared" si="286"/>
        <v>Domingo</v>
      </c>
    </row>
    <row r="5686" spans="1:4" x14ac:dyDescent="0.25">
      <c r="A5686" s="88" t="str">
        <f t="shared" si="287"/>
        <v>7-2038</v>
      </c>
      <c r="B5686" s="86">
        <v>50612</v>
      </c>
      <c r="C5686" t="str">
        <f t="shared" si="288"/>
        <v>L-V</v>
      </c>
      <c r="D5686" t="str">
        <f t="shared" si="286"/>
        <v>Lunes</v>
      </c>
    </row>
    <row r="5687" spans="1:4" x14ac:dyDescent="0.25">
      <c r="A5687" s="88" t="str">
        <f t="shared" si="287"/>
        <v>7-2038</v>
      </c>
      <c r="B5687" s="86">
        <v>50613</v>
      </c>
      <c r="C5687" t="str">
        <f t="shared" si="288"/>
        <v>L-V</v>
      </c>
      <c r="D5687" t="str">
        <f t="shared" si="286"/>
        <v>Martes</v>
      </c>
    </row>
    <row r="5688" spans="1:4" x14ac:dyDescent="0.25">
      <c r="A5688" s="88" t="str">
        <f t="shared" si="287"/>
        <v>7-2038</v>
      </c>
      <c r="B5688" s="86">
        <v>50614</v>
      </c>
      <c r="C5688" t="str">
        <f t="shared" si="288"/>
        <v>L-V</v>
      </c>
      <c r="D5688" t="str">
        <f t="shared" si="286"/>
        <v>Miércoles</v>
      </c>
    </row>
    <row r="5689" spans="1:4" x14ac:dyDescent="0.25">
      <c r="A5689" s="88" t="str">
        <f t="shared" si="287"/>
        <v>7-2038</v>
      </c>
      <c r="B5689" s="86">
        <v>50615</v>
      </c>
      <c r="C5689" t="str">
        <f t="shared" si="288"/>
        <v>L-V</v>
      </c>
      <c r="D5689" t="str">
        <f t="shared" si="286"/>
        <v>Jueves</v>
      </c>
    </row>
    <row r="5690" spans="1:4" x14ac:dyDescent="0.25">
      <c r="A5690" s="88" t="str">
        <f t="shared" si="287"/>
        <v>7-2038</v>
      </c>
      <c r="B5690" s="86">
        <v>50616</v>
      </c>
      <c r="C5690" t="str">
        <f t="shared" si="288"/>
        <v>L-V</v>
      </c>
      <c r="D5690" t="str">
        <f t="shared" si="286"/>
        <v>Viernes</v>
      </c>
    </row>
    <row r="5691" spans="1:4" x14ac:dyDescent="0.25">
      <c r="A5691" s="88" t="str">
        <f t="shared" si="287"/>
        <v>7-2038</v>
      </c>
      <c r="B5691" s="86">
        <v>50617</v>
      </c>
      <c r="C5691" t="str">
        <f t="shared" si="288"/>
        <v>SAB</v>
      </c>
      <c r="D5691" t="str">
        <f t="shared" si="286"/>
        <v>Sábado</v>
      </c>
    </row>
    <row r="5692" spans="1:4" x14ac:dyDescent="0.25">
      <c r="A5692" s="88" t="str">
        <f t="shared" si="287"/>
        <v>8-2038</v>
      </c>
      <c r="B5692" s="86">
        <v>50618</v>
      </c>
      <c r="C5692" t="str">
        <f t="shared" si="288"/>
        <v>DOM</v>
      </c>
      <c r="D5692" t="str">
        <f t="shared" si="286"/>
        <v>Domingo</v>
      </c>
    </row>
    <row r="5693" spans="1:4" x14ac:dyDescent="0.25">
      <c r="A5693" s="88" t="str">
        <f t="shared" si="287"/>
        <v>8-2038</v>
      </c>
      <c r="B5693" s="86">
        <v>50619</v>
      </c>
      <c r="C5693" t="str">
        <f t="shared" si="288"/>
        <v>L-V</v>
      </c>
      <c r="D5693" t="str">
        <f t="shared" si="286"/>
        <v>Lunes</v>
      </c>
    </row>
    <row r="5694" spans="1:4" x14ac:dyDescent="0.25">
      <c r="A5694" s="88" t="str">
        <f t="shared" si="287"/>
        <v>8-2038</v>
      </c>
      <c r="B5694" s="86">
        <v>50620</v>
      </c>
      <c r="C5694" t="str">
        <f t="shared" si="288"/>
        <v>L-V</v>
      </c>
      <c r="D5694" t="str">
        <f t="shared" si="286"/>
        <v>Martes</v>
      </c>
    </row>
    <row r="5695" spans="1:4" x14ac:dyDescent="0.25">
      <c r="A5695" s="88" t="str">
        <f t="shared" si="287"/>
        <v>8-2038</v>
      </c>
      <c r="B5695" s="86">
        <v>50621</v>
      </c>
      <c r="C5695" t="str">
        <f t="shared" si="288"/>
        <v>L-V</v>
      </c>
      <c r="D5695" t="str">
        <f t="shared" si="286"/>
        <v>Miércoles</v>
      </c>
    </row>
    <row r="5696" spans="1:4" x14ac:dyDescent="0.25">
      <c r="A5696" s="88" t="str">
        <f t="shared" si="287"/>
        <v>8-2038</v>
      </c>
      <c r="B5696" s="86">
        <v>50622</v>
      </c>
      <c r="C5696" t="str">
        <f t="shared" si="288"/>
        <v>L-V</v>
      </c>
      <c r="D5696" t="str">
        <f t="shared" si="286"/>
        <v>Jueves</v>
      </c>
    </row>
    <row r="5697" spans="1:4" x14ac:dyDescent="0.25">
      <c r="A5697" s="88" t="str">
        <f t="shared" si="287"/>
        <v>8-2038</v>
      </c>
      <c r="B5697" s="86">
        <v>50623</v>
      </c>
      <c r="C5697" t="str">
        <f t="shared" si="288"/>
        <v>L-V</v>
      </c>
      <c r="D5697" t="str">
        <f t="shared" si="286"/>
        <v>Viernes</v>
      </c>
    </row>
    <row r="5698" spans="1:4" x14ac:dyDescent="0.25">
      <c r="A5698" s="88" t="str">
        <f t="shared" si="287"/>
        <v>8-2038</v>
      </c>
      <c r="B5698" s="86">
        <v>50624</v>
      </c>
      <c r="C5698" t="str">
        <f t="shared" si="288"/>
        <v>SAB</v>
      </c>
      <c r="D5698" t="str">
        <f t="shared" si="286"/>
        <v>Sábado</v>
      </c>
    </row>
    <row r="5699" spans="1:4" x14ac:dyDescent="0.25">
      <c r="A5699" s="88" t="str">
        <f t="shared" si="287"/>
        <v>8-2038</v>
      </c>
      <c r="B5699" s="86">
        <v>50625</v>
      </c>
      <c r="C5699" t="str">
        <f t="shared" si="288"/>
        <v>DOM</v>
      </c>
      <c r="D5699" t="str">
        <f t="shared" ref="D5699:D5762" si="289">VLOOKUP(WEEKDAY($B5699,2),$F$1:$H$7,3)</f>
        <v>Domingo</v>
      </c>
    </row>
    <row r="5700" spans="1:4" x14ac:dyDescent="0.25">
      <c r="A5700" s="88" t="str">
        <f t="shared" si="287"/>
        <v>8-2038</v>
      </c>
      <c r="B5700" s="86">
        <v>50626</v>
      </c>
      <c r="C5700" t="str">
        <f t="shared" si="288"/>
        <v>L-V</v>
      </c>
      <c r="D5700" t="str">
        <f t="shared" si="289"/>
        <v>Lunes</v>
      </c>
    </row>
    <row r="5701" spans="1:4" x14ac:dyDescent="0.25">
      <c r="A5701" s="88" t="str">
        <f t="shared" si="287"/>
        <v>8-2038</v>
      </c>
      <c r="B5701" s="86">
        <v>50627</v>
      </c>
      <c r="C5701" t="str">
        <f t="shared" si="288"/>
        <v>L-V</v>
      </c>
      <c r="D5701" t="str">
        <f t="shared" si="289"/>
        <v>Martes</v>
      </c>
    </row>
    <row r="5702" spans="1:4" x14ac:dyDescent="0.25">
      <c r="A5702" s="88" t="str">
        <f t="shared" si="287"/>
        <v>8-2038</v>
      </c>
      <c r="B5702" s="86">
        <v>50628</v>
      </c>
      <c r="C5702" t="str">
        <f t="shared" si="288"/>
        <v>L-V</v>
      </c>
      <c r="D5702" t="str">
        <f t="shared" si="289"/>
        <v>Miércoles</v>
      </c>
    </row>
    <row r="5703" spans="1:4" x14ac:dyDescent="0.25">
      <c r="A5703" s="88" t="str">
        <f t="shared" si="287"/>
        <v>8-2038</v>
      </c>
      <c r="B5703" s="86">
        <v>50629</v>
      </c>
      <c r="C5703" t="str">
        <f t="shared" si="288"/>
        <v>L-V</v>
      </c>
      <c r="D5703" t="str">
        <f t="shared" si="289"/>
        <v>Jueves</v>
      </c>
    </row>
    <row r="5704" spans="1:4" x14ac:dyDescent="0.25">
      <c r="A5704" s="88" t="str">
        <f t="shared" si="287"/>
        <v>8-2038</v>
      </c>
      <c r="B5704" s="86">
        <v>50630</v>
      </c>
      <c r="C5704" t="str">
        <f t="shared" si="288"/>
        <v>L-V</v>
      </c>
      <c r="D5704" t="str">
        <f t="shared" si="289"/>
        <v>Viernes</v>
      </c>
    </row>
    <row r="5705" spans="1:4" x14ac:dyDescent="0.25">
      <c r="A5705" s="88" t="str">
        <f t="shared" si="287"/>
        <v>8-2038</v>
      </c>
      <c r="B5705" s="86">
        <v>50631</v>
      </c>
      <c r="C5705" t="str">
        <f t="shared" si="288"/>
        <v>SAB</v>
      </c>
      <c r="D5705" t="str">
        <f t="shared" si="289"/>
        <v>Sábado</v>
      </c>
    </row>
    <row r="5706" spans="1:4" x14ac:dyDescent="0.25">
      <c r="A5706" s="88" t="str">
        <f t="shared" si="287"/>
        <v>8-2038</v>
      </c>
      <c r="B5706" s="86">
        <v>50632</v>
      </c>
      <c r="C5706" t="str">
        <f t="shared" si="288"/>
        <v>DOM</v>
      </c>
      <c r="D5706" t="str">
        <f t="shared" si="289"/>
        <v>Domingo</v>
      </c>
    </row>
    <row r="5707" spans="1:4" x14ac:dyDescent="0.25">
      <c r="A5707" s="88" t="str">
        <f t="shared" si="287"/>
        <v>8-2038</v>
      </c>
      <c r="B5707" s="86">
        <v>50633</v>
      </c>
      <c r="C5707" t="str">
        <f t="shared" si="288"/>
        <v>L-V</v>
      </c>
      <c r="D5707" t="str">
        <f t="shared" si="289"/>
        <v>Lunes</v>
      </c>
    </row>
    <row r="5708" spans="1:4" x14ac:dyDescent="0.25">
      <c r="A5708" s="88" t="str">
        <f t="shared" si="287"/>
        <v>8-2038</v>
      </c>
      <c r="B5708" s="86">
        <v>50634</v>
      </c>
      <c r="C5708" t="str">
        <f t="shared" si="288"/>
        <v>L-V</v>
      </c>
      <c r="D5708" t="str">
        <f t="shared" si="289"/>
        <v>Martes</v>
      </c>
    </row>
    <row r="5709" spans="1:4" x14ac:dyDescent="0.25">
      <c r="A5709" s="88" t="str">
        <f t="shared" si="287"/>
        <v>8-2038</v>
      </c>
      <c r="B5709" s="86">
        <v>50635</v>
      </c>
      <c r="C5709" t="str">
        <f t="shared" si="288"/>
        <v>L-V</v>
      </c>
      <c r="D5709" t="str">
        <f t="shared" si="289"/>
        <v>Miércoles</v>
      </c>
    </row>
    <row r="5710" spans="1:4" x14ac:dyDescent="0.25">
      <c r="A5710" s="88" t="str">
        <f t="shared" si="287"/>
        <v>8-2038</v>
      </c>
      <c r="B5710" s="86">
        <v>50636</v>
      </c>
      <c r="C5710" t="str">
        <f t="shared" si="288"/>
        <v>L-V</v>
      </c>
      <c r="D5710" t="str">
        <f t="shared" si="289"/>
        <v>Jueves</v>
      </c>
    </row>
    <row r="5711" spans="1:4" x14ac:dyDescent="0.25">
      <c r="A5711" s="88" t="str">
        <f t="shared" si="287"/>
        <v>8-2038</v>
      </c>
      <c r="B5711" s="86">
        <v>50637</v>
      </c>
      <c r="C5711" t="str">
        <f t="shared" si="288"/>
        <v>L-V</v>
      </c>
      <c r="D5711" t="str">
        <f t="shared" si="289"/>
        <v>Viernes</v>
      </c>
    </row>
    <row r="5712" spans="1:4" x14ac:dyDescent="0.25">
      <c r="A5712" s="88" t="str">
        <f t="shared" si="287"/>
        <v>8-2038</v>
      </c>
      <c r="B5712" s="86">
        <v>50638</v>
      </c>
      <c r="C5712" t="str">
        <f t="shared" si="288"/>
        <v>SAB</v>
      </c>
      <c r="D5712" t="str">
        <f t="shared" si="289"/>
        <v>Sábado</v>
      </c>
    </row>
    <row r="5713" spans="1:4" x14ac:dyDescent="0.25">
      <c r="A5713" s="88" t="str">
        <f t="shared" si="287"/>
        <v>8-2038</v>
      </c>
      <c r="B5713" s="86">
        <v>50639</v>
      </c>
      <c r="C5713" t="str">
        <f t="shared" si="288"/>
        <v>DOM</v>
      </c>
      <c r="D5713" t="str">
        <f t="shared" si="289"/>
        <v>Domingo</v>
      </c>
    </row>
    <row r="5714" spans="1:4" x14ac:dyDescent="0.25">
      <c r="A5714" s="88" t="str">
        <f t="shared" si="287"/>
        <v>8-2038</v>
      </c>
      <c r="B5714" s="86">
        <v>50640</v>
      </c>
      <c r="C5714" t="str">
        <f t="shared" si="288"/>
        <v>L-V</v>
      </c>
      <c r="D5714" t="str">
        <f t="shared" si="289"/>
        <v>Lunes</v>
      </c>
    </row>
    <row r="5715" spans="1:4" x14ac:dyDescent="0.25">
      <c r="A5715" s="88" t="str">
        <f t="shared" si="287"/>
        <v>8-2038</v>
      </c>
      <c r="B5715" s="86">
        <v>50641</v>
      </c>
      <c r="C5715" t="str">
        <f t="shared" si="288"/>
        <v>L-V</v>
      </c>
      <c r="D5715" t="str">
        <f t="shared" si="289"/>
        <v>Martes</v>
      </c>
    </row>
    <row r="5716" spans="1:4" x14ac:dyDescent="0.25">
      <c r="A5716" s="88" t="str">
        <f t="shared" si="287"/>
        <v>8-2038</v>
      </c>
      <c r="B5716" s="86">
        <v>50642</v>
      </c>
      <c r="C5716" t="str">
        <f t="shared" si="288"/>
        <v>L-V</v>
      </c>
      <c r="D5716" t="str">
        <f t="shared" si="289"/>
        <v>Miércoles</v>
      </c>
    </row>
    <row r="5717" spans="1:4" x14ac:dyDescent="0.25">
      <c r="A5717" s="88" t="str">
        <f t="shared" si="287"/>
        <v>8-2038</v>
      </c>
      <c r="B5717" s="86">
        <v>50643</v>
      </c>
      <c r="C5717" t="str">
        <f t="shared" si="288"/>
        <v>L-V</v>
      </c>
      <c r="D5717" t="str">
        <f t="shared" si="289"/>
        <v>Jueves</v>
      </c>
    </row>
    <row r="5718" spans="1:4" x14ac:dyDescent="0.25">
      <c r="A5718" s="88" t="str">
        <f t="shared" si="287"/>
        <v>8-2038</v>
      </c>
      <c r="B5718" s="86">
        <v>50644</v>
      </c>
      <c r="C5718" t="str">
        <f t="shared" si="288"/>
        <v>L-V</v>
      </c>
      <c r="D5718" t="str">
        <f t="shared" si="289"/>
        <v>Viernes</v>
      </c>
    </row>
    <row r="5719" spans="1:4" x14ac:dyDescent="0.25">
      <c r="A5719" s="88" t="str">
        <f t="shared" si="287"/>
        <v>8-2038</v>
      </c>
      <c r="B5719" s="86">
        <v>50645</v>
      </c>
      <c r="C5719" t="str">
        <f t="shared" si="288"/>
        <v>SAB</v>
      </c>
      <c r="D5719" t="str">
        <f t="shared" si="289"/>
        <v>Sábado</v>
      </c>
    </row>
    <row r="5720" spans="1:4" x14ac:dyDescent="0.25">
      <c r="A5720" s="88" t="str">
        <f t="shared" si="287"/>
        <v>8-2038</v>
      </c>
      <c r="B5720" s="86">
        <v>50646</v>
      </c>
      <c r="C5720" t="str">
        <f t="shared" si="288"/>
        <v>DOM</v>
      </c>
      <c r="D5720" t="str">
        <f t="shared" si="289"/>
        <v>Domingo</v>
      </c>
    </row>
    <row r="5721" spans="1:4" x14ac:dyDescent="0.25">
      <c r="A5721" s="88" t="str">
        <f t="shared" si="287"/>
        <v>8-2038</v>
      </c>
      <c r="B5721" s="86">
        <v>50647</v>
      </c>
      <c r="C5721" t="str">
        <f t="shared" si="288"/>
        <v>L-V</v>
      </c>
      <c r="D5721" t="str">
        <f t="shared" si="289"/>
        <v>Lunes</v>
      </c>
    </row>
    <row r="5722" spans="1:4" x14ac:dyDescent="0.25">
      <c r="A5722" s="88" t="str">
        <f t="shared" si="287"/>
        <v>8-2038</v>
      </c>
      <c r="B5722" s="86">
        <v>50648</v>
      </c>
      <c r="C5722" t="str">
        <f t="shared" si="288"/>
        <v>L-V</v>
      </c>
      <c r="D5722" t="str">
        <f t="shared" si="289"/>
        <v>Martes</v>
      </c>
    </row>
    <row r="5723" spans="1:4" x14ac:dyDescent="0.25">
      <c r="A5723" s="88" t="str">
        <f t="shared" si="287"/>
        <v>9-2038</v>
      </c>
      <c r="B5723" s="86">
        <v>50649</v>
      </c>
      <c r="C5723" t="str">
        <f t="shared" si="288"/>
        <v>L-V</v>
      </c>
      <c r="D5723" t="str">
        <f t="shared" si="289"/>
        <v>Miércoles</v>
      </c>
    </row>
    <row r="5724" spans="1:4" x14ac:dyDescent="0.25">
      <c r="A5724" s="88" t="str">
        <f t="shared" si="287"/>
        <v>9-2038</v>
      </c>
      <c r="B5724" s="86">
        <v>50650</v>
      </c>
      <c r="C5724" t="str">
        <f t="shared" si="288"/>
        <v>L-V</v>
      </c>
      <c r="D5724" t="str">
        <f t="shared" si="289"/>
        <v>Jueves</v>
      </c>
    </row>
    <row r="5725" spans="1:4" x14ac:dyDescent="0.25">
      <c r="A5725" s="88" t="str">
        <f t="shared" ref="A5725:A5788" si="290">MONTH(B5725)&amp;"-"&amp;YEAR(B5725)</f>
        <v>9-2038</v>
      </c>
      <c r="B5725" s="86">
        <v>50651</v>
      </c>
      <c r="C5725" t="str">
        <f t="shared" ref="C5725:C5788" si="291">VLOOKUP(WEEKDAY(B5725,2),$F$1:$H$7,2)</f>
        <v>L-V</v>
      </c>
      <c r="D5725" t="str">
        <f t="shared" si="289"/>
        <v>Viernes</v>
      </c>
    </row>
    <row r="5726" spans="1:4" x14ac:dyDescent="0.25">
      <c r="A5726" s="88" t="str">
        <f t="shared" si="290"/>
        <v>9-2038</v>
      </c>
      <c r="B5726" s="86">
        <v>50652</v>
      </c>
      <c r="C5726" t="str">
        <f t="shared" si="291"/>
        <v>SAB</v>
      </c>
      <c r="D5726" t="str">
        <f t="shared" si="289"/>
        <v>Sábado</v>
      </c>
    </row>
    <row r="5727" spans="1:4" x14ac:dyDescent="0.25">
      <c r="A5727" s="88" t="str">
        <f t="shared" si="290"/>
        <v>9-2038</v>
      </c>
      <c r="B5727" s="86">
        <v>50653</v>
      </c>
      <c r="C5727" t="str">
        <f t="shared" si="291"/>
        <v>DOM</v>
      </c>
      <c r="D5727" t="str">
        <f t="shared" si="289"/>
        <v>Domingo</v>
      </c>
    </row>
    <row r="5728" spans="1:4" x14ac:dyDescent="0.25">
      <c r="A5728" s="88" t="str">
        <f t="shared" si="290"/>
        <v>9-2038</v>
      </c>
      <c r="B5728" s="86">
        <v>50654</v>
      </c>
      <c r="C5728" t="str">
        <f t="shared" si="291"/>
        <v>L-V</v>
      </c>
      <c r="D5728" t="str">
        <f t="shared" si="289"/>
        <v>Lunes</v>
      </c>
    </row>
    <row r="5729" spans="1:4" x14ac:dyDescent="0.25">
      <c r="A5729" s="88" t="str">
        <f t="shared" si="290"/>
        <v>9-2038</v>
      </c>
      <c r="B5729" s="86">
        <v>50655</v>
      </c>
      <c r="C5729" t="str">
        <f t="shared" si="291"/>
        <v>L-V</v>
      </c>
      <c r="D5729" t="str">
        <f t="shared" si="289"/>
        <v>Martes</v>
      </c>
    </row>
    <row r="5730" spans="1:4" x14ac:dyDescent="0.25">
      <c r="A5730" s="88" t="str">
        <f t="shared" si="290"/>
        <v>9-2038</v>
      </c>
      <c r="B5730" s="86">
        <v>50656</v>
      </c>
      <c r="C5730" t="str">
        <f t="shared" si="291"/>
        <v>L-V</v>
      </c>
      <c r="D5730" t="str">
        <f t="shared" si="289"/>
        <v>Miércoles</v>
      </c>
    </row>
    <row r="5731" spans="1:4" x14ac:dyDescent="0.25">
      <c r="A5731" s="88" t="str">
        <f t="shared" si="290"/>
        <v>9-2038</v>
      </c>
      <c r="B5731" s="86">
        <v>50657</v>
      </c>
      <c r="C5731" t="str">
        <f t="shared" si="291"/>
        <v>L-V</v>
      </c>
      <c r="D5731" t="str">
        <f t="shared" si="289"/>
        <v>Jueves</v>
      </c>
    </row>
    <row r="5732" spans="1:4" x14ac:dyDescent="0.25">
      <c r="A5732" s="88" t="str">
        <f t="shared" si="290"/>
        <v>9-2038</v>
      </c>
      <c r="B5732" s="86">
        <v>50658</v>
      </c>
      <c r="C5732" t="str">
        <f t="shared" si="291"/>
        <v>L-V</v>
      </c>
      <c r="D5732" t="str">
        <f t="shared" si="289"/>
        <v>Viernes</v>
      </c>
    </row>
    <row r="5733" spans="1:4" x14ac:dyDescent="0.25">
      <c r="A5733" s="88" t="str">
        <f t="shared" si="290"/>
        <v>9-2038</v>
      </c>
      <c r="B5733" s="86">
        <v>50659</v>
      </c>
      <c r="C5733" t="str">
        <f t="shared" si="291"/>
        <v>SAB</v>
      </c>
      <c r="D5733" t="str">
        <f t="shared" si="289"/>
        <v>Sábado</v>
      </c>
    </row>
    <row r="5734" spans="1:4" x14ac:dyDescent="0.25">
      <c r="A5734" s="88" t="str">
        <f t="shared" si="290"/>
        <v>9-2038</v>
      </c>
      <c r="B5734" s="86">
        <v>50660</v>
      </c>
      <c r="C5734" t="str">
        <f t="shared" si="291"/>
        <v>DOM</v>
      </c>
      <c r="D5734" t="str">
        <f t="shared" si="289"/>
        <v>Domingo</v>
      </c>
    </row>
    <row r="5735" spans="1:4" x14ac:dyDescent="0.25">
      <c r="A5735" s="88" t="str">
        <f t="shared" si="290"/>
        <v>9-2038</v>
      </c>
      <c r="B5735" s="86">
        <v>50661</v>
      </c>
      <c r="C5735" t="str">
        <f t="shared" si="291"/>
        <v>L-V</v>
      </c>
      <c r="D5735" t="str">
        <f t="shared" si="289"/>
        <v>Lunes</v>
      </c>
    </row>
    <row r="5736" spans="1:4" x14ac:dyDescent="0.25">
      <c r="A5736" s="88" t="str">
        <f t="shared" si="290"/>
        <v>9-2038</v>
      </c>
      <c r="B5736" s="86">
        <v>50662</v>
      </c>
      <c r="C5736" t="str">
        <f t="shared" si="291"/>
        <v>L-V</v>
      </c>
      <c r="D5736" t="str">
        <f t="shared" si="289"/>
        <v>Martes</v>
      </c>
    </row>
    <row r="5737" spans="1:4" x14ac:dyDescent="0.25">
      <c r="A5737" s="88" t="str">
        <f t="shared" si="290"/>
        <v>9-2038</v>
      </c>
      <c r="B5737" s="86">
        <v>50663</v>
      </c>
      <c r="C5737" t="str">
        <f t="shared" si="291"/>
        <v>L-V</v>
      </c>
      <c r="D5737" t="str">
        <f t="shared" si="289"/>
        <v>Miércoles</v>
      </c>
    </row>
    <row r="5738" spans="1:4" x14ac:dyDescent="0.25">
      <c r="A5738" s="88" t="str">
        <f t="shared" si="290"/>
        <v>9-2038</v>
      </c>
      <c r="B5738" s="86">
        <v>50664</v>
      </c>
      <c r="C5738" t="str">
        <f t="shared" si="291"/>
        <v>L-V</v>
      </c>
      <c r="D5738" t="str">
        <f t="shared" si="289"/>
        <v>Jueves</v>
      </c>
    </row>
    <row r="5739" spans="1:4" x14ac:dyDescent="0.25">
      <c r="A5739" s="88" t="str">
        <f t="shared" si="290"/>
        <v>9-2038</v>
      </c>
      <c r="B5739" s="86">
        <v>50665</v>
      </c>
      <c r="C5739" t="str">
        <f t="shared" si="291"/>
        <v>L-V</v>
      </c>
      <c r="D5739" t="str">
        <f t="shared" si="289"/>
        <v>Viernes</v>
      </c>
    </row>
    <row r="5740" spans="1:4" x14ac:dyDescent="0.25">
      <c r="A5740" s="88" t="str">
        <f t="shared" si="290"/>
        <v>9-2038</v>
      </c>
      <c r="B5740" s="86">
        <v>50666</v>
      </c>
      <c r="C5740" t="str">
        <f t="shared" si="291"/>
        <v>SAB</v>
      </c>
      <c r="D5740" t="str">
        <f t="shared" si="289"/>
        <v>Sábado</v>
      </c>
    </row>
    <row r="5741" spans="1:4" x14ac:dyDescent="0.25">
      <c r="A5741" s="88" t="str">
        <f t="shared" si="290"/>
        <v>9-2038</v>
      </c>
      <c r="B5741" s="86">
        <v>50667</v>
      </c>
      <c r="C5741" t="str">
        <f t="shared" si="291"/>
        <v>DOM</v>
      </c>
      <c r="D5741" t="str">
        <f t="shared" si="289"/>
        <v>Domingo</v>
      </c>
    </row>
    <row r="5742" spans="1:4" x14ac:dyDescent="0.25">
      <c r="A5742" s="88" t="str">
        <f t="shared" si="290"/>
        <v>9-2038</v>
      </c>
      <c r="B5742" s="86">
        <v>50668</v>
      </c>
      <c r="C5742" t="str">
        <f t="shared" si="291"/>
        <v>L-V</v>
      </c>
      <c r="D5742" t="str">
        <f t="shared" si="289"/>
        <v>Lunes</v>
      </c>
    </row>
    <row r="5743" spans="1:4" x14ac:dyDescent="0.25">
      <c r="A5743" s="88" t="str">
        <f t="shared" si="290"/>
        <v>9-2038</v>
      </c>
      <c r="B5743" s="86">
        <v>50669</v>
      </c>
      <c r="C5743" t="str">
        <f t="shared" si="291"/>
        <v>L-V</v>
      </c>
      <c r="D5743" t="str">
        <f t="shared" si="289"/>
        <v>Martes</v>
      </c>
    </row>
    <row r="5744" spans="1:4" x14ac:dyDescent="0.25">
      <c r="A5744" s="88" t="str">
        <f t="shared" si="290"/>
        <v>9-2038</v>
      </c>
      <c r="B5744" s="86">
        <v>50670</v>
      </c>
      <c r="C5744" t="str">
        <f t="shared" si="291"/>
        <v>L-V</v>
      </c>
      <c r="D5744" t="str">
        <f t="shared" si="289"/>
        <v>Miércoles</v>
      </c>
    </row>
    <row r="5745" spans="1:4" x14ac:dyDescent="0.25">
      <c r="A5745" s="88" t="str">
        <f t="shared" si="290"/>
        <v>9-2038</v>
      </c>
      <c r="B5745" s="86">
        <v>50671</v>
      </c>
      <c r="C5745" t="str">
        <f t="shared" si="291"/>
        <v>L-V</v>
      </c>
      <c r="D5745" t="str">
        <f t="shared" si="289"/>
        <v>Jueves</v>
      </c>
    </row>
    <row r="5746" spans="1:4" x14ac:dyDescent="0.25">
      <c r="A5746" s="88" t="str">
        <f t="shared" si="290"/>
        <v>9-2038</v>
      </c>
      <c r="B5746" s="86">
        <v>50672</v>
      </c>
      <c r="C5746" t="str">
        <f t="shared" si="291"/>
        <v>L-V</v>
      </c>
      <c r="D5746" t="str">
        <f t="shared" si="289"/>
        <v>Viernes</v>
      </c>
    </row>
    <row r="5747" spans="1:4" x14ac:dyDescent="0.25">
      <c r="A5747" s="88" t="str">
        <f t="shared" si="290"/>
        <v>9-2038</v>
      </c>
      <c r="B5747" s="86">
        <v>50673</v>
      </c>
      <c r="C5747" t="str">
        <f t="shared" si="291"/>
        <v>SAB</v>
      </c>
      <c r="D5747" t="str">
        <f t="shared" si="289"/>
        <v>Sábado</v>
      </c>
    </row>
    <row r="5748" spans="1:4" x14ac:dyDescent="0.25">
      <c r="A5748" s="88" t="str">
        <f t="shared" si="290"/>
        <v>9-2038</v>
      </c>
      <c r="B5748" s="86">
        <v>50674</v>
      </c>
      <c r="C5748" t="str">
        <f t="shared" si="291"/>
        <v>DOM</v>
      </c>
      <c r="D5748" t="str">
        <f t="shared" si="289"/>
        <v>Domingo</v>
      </c>
    </row>
    <row r="5749" spans="1:4" x14ac:dyDescent="0.25">
      <c r="A5749" s="88" t="str">
        <f t="shared" si="290"/>
        <v>9-2038</v>
      </c>
      <c r="B5749" s="86">
        <v>50675</v>
      </c>
      <c r="C5749" t="str">
        <f t="shared" si="291"/>
        <v>L-V</v>
      </c>
      <c r="D5749" t="str">
        <f t="shared" si="289"/>
        <v>Lunes</v>
      </c>
    </row>
    <row r="5750" spans="1:4" x14ac:dyDescent="0.25">
      <c r="A5750" s="88" t="str">
        <f t="shared" si="290"/>
        <v>9-2038</v>
      </c>
      <c r="B5750" s="86">
        <v>50676</v>
      </c>
      <c r="C5750" t="str">
        <f t="shared" si="291"/>
        <v>L-V</v>
      </c>
      <c r="D5750" t="str">
        <f t="shared" si="289"/>
        <v>Martes</v>
      </c>
    </row>
    <row r="5751" spans="1:4" x14ac:dyDescent="0.25">
      <c r="A5751" s="88" t="str">
        <f t="shared" si="290"/>
        <v>9-2038</v>
      </c>
      <c r="B5751" s="86">
        <v>50677</v>
      </c>
      <c r="C5751" t="str">
        <f t="shared" si="291"/>
        <v>L-V</v>
      </c>
      <c r="D5751" t="str">
        <f t="shared" si="289"/>
        <v>Miércoles</v>
      </c>
    </row>
    <row r="5752" spans="1:4" x14ac:dyDescent="0.25">
      <c r="A5752" s="88" t="str">
        <f t="shared" si="290"/>
        <v>9-2038</v>
      </c>
      <c r="B5752" s="86">
        <v>50678</v>
      </c>
      <c r="C5752" t="str">
        <f t="shared" si="291"/>
        <v>L-V</v>
      </c>
      <c r="D5752" t="str">
        <f t="shared" si="289"/>
        <v>Jueves</v>
      </c>
    </row>
    <row r="5753" spans="1:4" x14ac:dyDescent="0.25">
      <c r="A5753" s="88" t="str">
        <f t="shared" si="290"/>
        <v>10-2038</v>
      </c>
      <c r="B5753" s="86">
        <v>50679</v>
      </c>
      <c r="C5753" t="str">
        <f t="shared" si="291"/>
        <v>L-V</v>
      </c>
      <c r="D5753" t="str">
        <f t="shared" si="289"/>
        <v>Viernes</v>
      </c>
    </row>
    <row r="5754" spans="1:4" x14ac:dyDescent="0.25">
      <c r="A5754" s="88" t="str">
        <f t="shared" si="290"/>
        <v>10-2038</v>
      </c>
      <c r="B5754" s="86">
        <v>50680</v>
      </c>
      <c r="C5754" t="str">
        <f t="shared" si="291"/>
        <v>SAB</v>
      </c>
      <c r="D5754" t="str">
        <f t="shared" si="289"/>
        <v>Sábado</v>
      </c>
    </row>
    <row r="5755" spans="1:4" x14ac:dyDescent="0.25">
      <c r="A5755" s="88" t="str">
        <f t="shared" si="290"/>
        <v>10-2038</v>
      </c>
      <c r="B5755" s="86">
        <v>50681</v>
      </c>
      <c r="C5755" t="str">
        <f t="shared" si="291"/>
        <v>DOM</v>
      </c>
      <c r="D5755" t="str">
        <f t="shared" si="289"/>
        <v>Domingo</v>
      </c>
    </row>
    <row r="5756" spans="1:4" x14ac:dyDescent="0.25">
      <c r="A5756" s="88" t="str">
        <f t="shared" si="290"/>
        <v>10-2038</v>
      </c>
      <c r="B5756" s="86">
        <v>50682</v>
      </c>
      <c r="C5756" t="str">
        <f t="shared" si="291"/>
        <v>L-V</v>
      </c>
      <c r="D5756" t="str">
        <f t="shared" si="289"/>
        <v>Lunes</v>
      </c>
    </row>
    <row r="5757" spans="1:4" x14ac:dyDescent="0.25">
      <c r="A5757" s="88" t="str">
        <f t="shared" si="290"/>
        <v>10-2038</v>
      </c>
      <c r="B5757" s="86">
        <v>50683</v>
      </c>
      <c r="C5757" t="str">
        <f t="shared" si="291"/>
        <v>L-V</v>
      </c>
      <c r="D5757" t="str">
        <f t="shared" si="289"/>
        <v>Martes</v>
      </c>
    </row>
    <row r="5758" spans="1:4" x14ac:dyDescent="0.25">
      <c r="A5758" s="88" t="str">
        <f t="shared" si="290"/>
        <v>10-2038</v>
      </c>
      <c r="B5758" s="86">
        <v>50684</v>
      </c>
      <c r="C5758" t="str">
        <f t="shared" si="291"/>
        <v>L-V</v>
      </c>
      <c r="D5758" t="str">
        <f t="shared" si="289"/>
        <v>Miércoles</v>
      </c>
    </row>
    <row r="5759" spans="1:4" x14ac:dyDescent="0.25">
      <c r="A5759" s="88" t="str">
        <f t="shared" si="290"/>
        <v>10-2038</v>
      </c>
      <c r="B5759" s="86">
        <v>50685</v>
      </c>
      <c r="C5759" t="str">
        <f t="shared" si="291"/>
        <v>L-V</v>
      </c>
      <c r="D5759" t="str">
        <f t="shared" si="289"/>
        <v>Jueves</v>
      </c>
    </row>
    <row r="5760" spans="1:4" x14ac:dyDescent="0.25">
      <c r="A5760" s="88" t="str">
        <f t="shared" si="290"/>
        <v>10-2038</v>
      </c>
      <c r="B5760" s="86">
        <v>50686</v>
      </c>
      <c r="C5760" t="str">
        <f t="shared" si="291"/>
        <v>L-V</v>
      </c>
      <c r="D5760" t="str">
        <f t="shared" si="289"/>
        <v>Viernes</v>
      </c>
    </row>
    <row r="5761" spans="1:4" x14ac:dyDescent="0.25">
      <c r="A5761" s="88" t="str">
        <f t="shared" si="290"/>
        <v>10-2038</v>
      </c>
      <c r="B5761" s="86">
        <v>50687</v>
      </c>
      <c r="C5761" t="str">
        <f t="shared" si="291"/>
        <v>SAB</v>
      </c>
      <c r="D5761" t="str">
        <f t="shared" si="289"/>
        <v>Sábado</v>
      </c>
    </row>
    <row r="5762" spans="1:4" x14ac:dyDescent="0.25">
      <c r="A5762" s="88" t="str">
        <f t="shared" si="290"/>
        <v>10-2038</v>
      </c>
      <c r="B5762" s="86">
        <v>50688</v>
      </c>
      <c r="C5762" t="str">
        <f t="shared" si="291"/>
        <v>DOM</v>
      </c>
      <c r="D5762" t="str">
        <f t="shared" si="289"/>
        <v>Domingo</v>
      </c>
    </row>
    <row r="5763" spans="1:4" x14ac:dyDescent="0.25">
      <c r="A5763" s="88" t="str">
        <f t="shared" si="290"/>
        <v>10-2038</v>
      </c>
      <c r="B5763" s="86">
        <v>50689</v>
      </c>
      <c r="C5763" t="str">
        <f t="shared" si="291"/>
        <v>L-V</v>
      </c>
      <c r="D5763" t="str">
        <f t="shared" ref="D5763:D5826" si="292">VLOOKUP(WEEKDAY($B5763,2),$F$1:$H$7,3)</f>
        <v>Lunes</v>
      </c>
    </row>
    <row r="5764" spans="1:4" x14ac:dyDescent="0.25">
      <c r="A5764" s="88" t="str">
        <f t="shared" si="290"/>
        <v>10-2038</v>
      </c>
      <c r="B5764" s="86">
        <v>50690</v>
      </c>
      <c r="C5764" t="str">
        <f t="shared" si="291"/>
        <v>L-V</v>
      </c>
      <c r="D5764" t="str">
        <f t="shared" si="292"/>
        <v>Martes</v>
      </c>
    </row>
    <row r="5765" spans="1:4" x14ac:dyDescent="0.25">
      <c r="A5765" s="88" t="str">
        <f t="shared" si="290"/>
        <v>10-2038</v>
      </c>
      <c r="B5765" s="86">
        <v>50691</v>
      </c>
      <c r="C5765" t="str">
        <f t="shared" si="291"/>
        <v>L-V</v>
      </c>
      <c r="D5765" t="str">
        <f t="shared" si="292"/>
        <v>Miércoles</v>
      </c>
    </row>
    <row r="5766" spans="1:4" x14ac:dyDescent="0.25">
      <c r="A5766" s="88" t="str">
        <f t="shared" si="290"/>
        <v>10-2038</v>
      </c>
      <c r="B5766" s="86">
        <v>50692</v>
      </c>
      <c r="C5766" t="str">
        <f t="shared" si="291"/>
        <v>L-V</v>
      </c>
      <c r="D5766" t="str">
        <f t="shared" si="292"/>
        <v>Jueves</v>
      </c>
    </row>
    <row r="5767" spans="1:4" x14ac:dyDescent="0.25">
      <c r="A5767" s="88" t="str">
        <f t="shared" si="290"/>
        <v>10-2038</v>
      </c>
      <c r="B5767" s="86">
        <v>50693</v>
      </c>
      <c r="C5767" t="str">
        <f t="shared" si="291"/>
        <v>L-V</v>
      </c>
      <c r="D5767" t="str">
        <f t="shared" si="292"/>
        <v>Viernes</v>
      </c>
    </row>
    <row r="5768" spans="1:4" x14ac:dyDescent="0.25">
      <c r="A5768" s="88" t="str">
        <f t="shared" si="290"/>
        <v>10-2038</v>
      </c>
      <c r="B5768" s="86">
        <v>50694</v>
      </c>
      <c r="C5768" t="str">
        <f t="shared" si="291"/>
        <v>SAB</v>
      </c>
      <c r="D5768" t="str">
        <f t="shared" si="292"/>
        <v>Sábado</v>
      </c>
    </row>
    <row r="5769" spans="1:4" x14ac:dyDescent="0.25">
      <c r="A5769" s="88" t="str">
        <f t="shared" si="290"/>
        <v>10-2038</v>
      </c>
      <c r="B5769" s="86">
        <v>50695</v>
      </c>
      <c r="C5769" t="str">
        <f t="shared" si="291"/>
        <v>DOM</v>
      </c>
      <c r="D5769" t="str">
        <f t="shared" si="292"/>
        <v>Domingo</v>
      </c>
    </row>
    <row r="5770" spans="1:4" x14ac:dyDescent="0.25">
      <c r="A5770" s="88" t="str">
        <f t="shared" si="290"/>
        <v>10-2038</v>
      </c>
      <c r="B5770" s="86">
        <v>50696</v>
      </c>
      <c r="C5770" t="str">
        <f t="shared" si="291"/>
        <v>L-V</v>
      </c>
      <c r="D5770" t="str">
        <f t="shared" si="292"/>
        <v>Lunes</v>
      </c>
    </row>
    <row r="5771" spans="1:4" x14ac:dyDescent="0.25">
      <c r="A5771" s="88" t="str">
        <f t="shared" si="290"/>
        <v>10-2038</v>
      </c>
      <c r="B5771" s="86">
        <v>50697</v>
      </c>
      <c r="C5771" t="str">
        <f t="shared" si="291"/>
        <v>L-V</v>
      </c>
      <c r="D5771" t="str">
        <f t="shared" si="292"/>
        <v>Martes</v>
      </c>
    </row>
    <row r="5772" spans="1:4" x14ac:dyDescent="0.25">
      <c r="A5772" s="88" t="str">
        <f t="shared" si="290"/>
        <v>10-2038</v>
      </c>
      <c r="B5772" s="86">
        <v>50698</v>
      </c>
      <c r="C5772" t="str">
        <f t="shared" si="291"/>
        <v>L-V</v>
      </c>
      <c r="D5772" t="str">
        <f t="shared" si="292"/>
        <v>Miércoles</v>
      </c>
    </row>
    <row r="5773" spans="1:4" x14ac:dyDescent="0.25">
      <c r="A5773" s="88" t="str">
        <f t="shared" si="290"/>
        <v>10-2038</v>
      </c>
      <c r="B5773" s="86">
        <v>50699</v>
      </c>
      <c r="C5773" t="str">
        <f t="shared" si="291"/>
        <v>L-V</v>
      </c>
      <c r="D5773" t="str">
        <f t="shared" si="292"/>
        <v>Jueves</v>
      </c>
    </row>
    <row r="5774" spans="1:4" x14ac:dyDescent="0.25">
      <c r="A5774" s="88" t="str">
        <f t="shared" si="290"/>
        <v>10-2038</v>
      </c>
      <c r="B5774" s="86">
        <v>50700</v>
      </c>
      <c r="C5774" t="str">
        <f t="shared" si="291"/>
        <v>L-V</v>
      </c>
      <c r="D5774" t="str">
        <f t="shared" si="292"/>
        <v>Viernes</v>
      </c>
    </row>
    <row r="5775" spans="1:4" x14ac:dyDescent="0.25">
      <c r="A5775" s="88" t="str">
        <f t="shared" si="290"/>
        <v>10-2038</v>
      </c>
      <c r="B5775" s="86">
        <v>50701</v>
      </c>
      <c r="C5775" t="str">
        <f t="shared" si="291"/>
        <v>SAB</v>
      </c>
      <c r="D5775" t="str">
        <f t="shared" si="292"/>
        <v>Sábado</v>
      </c>
    </row>
    <row r="5776" spans="1:4" x14ac:dyDescent="0.25">
      <c r="A5776" s="88" t="str">
        <f t="shared" si="290"/>
        <v>10-2038</v>
      </c>
      <c r="B5776" s="86">
        <v>50702</v>
      </c>
      <c r="C5776" t="str">
        <f t="shared" si="291"/>
        <v>DOM</v>
      </c>
      <c r="D5776" t="str">
        <f t="shared" si="292"/>
        <v>Domingo</v>
      </c>
    </row>
    <row r="5777" spans="1:4" x14ac:dyDescent="0.25">
      <c r="A5777" s="88" t="str">
        <f t="shared" si="290"/>
        <v>10-2038</v>
      </c>
      <c r="B5777" s="86">
        <v>50703</v>
      </c>
      <c r="C5777" t="str">
        <f t="shared" si="291"/>
        <v>L-V</v>
      </c>
      <c r="D5777" t="str">
        <f t="shared" si="292"/>
        <v>Lunes</v>
      </c>
    </row>
    <row r="5778" spans="1:4" x14ac:dyDescent="0.25">
      <c r="A5778" s="88" t="str">
        <f t="shared" si="290"/>
        <v>10-2038</v>
      </c>
      <c r="B5778" s="86">
        <v>50704</v>
      </c>
      <c r="C5778" t="str">
        <f t="shared" si="291"/>
        <v>L-V</v>
      </c>
      <c r="D5778" t="str">
        <f t="shared" si="292"/>
        <v>Martes</v>
      </c>
    </row>
    <row r="5779" spans="1:4" x14ac:dyDescent="0.25">
      <c r="A5779" s="88" t="str">
        <f t="shared" si="290"/>
        <v>10-2038</v>
      </c>
      <c r="B5779" s="86">
        <v>50705</v>
      </c>
      <c r="C5779" t="str">
        <f t="shared" si="291"/>
        <v>L-V</v>
      </c>
      <c r="D5779" t="str">
        <f t="shared" si="292"/>
        <v>Miércoles</v>
      </c>
    </row>
    <row r="5780" spans="1:4" x14ac:dyDescent="0.25">
      <c r="A5780" s="88" t="str">
        <f t="shared" si="290"/>
        <v>10-2038</v>
      </c>
      <c r="B5780" s="86">
        <v>50706</v>
      </c>
      <c r="C5780" t="str">
        <f t="shared" si="291"/>
        <v>L-V</v>
      </c>
      <c r="D5780" t="str">
        <f t="shared" si="292"/>
        <v>Jueves</v>
      </c>
    </row>
    <row r="5781" spans="1:4" x14ac:dyDescent="0.25">
      <c r="A5781" s="88" t="str">
        <f t="shared" si="290"/>
        <v>10-2038</v>
      </c>
      <c r="B5781" s="86">
        <v>50707</v>
      </c>
      <c r="C5781" t="str">
        <f t="shared" si="291"/>
        <v>L-V</v>
      </c>
      <c r="D5781" t="str">
        <f t="shared" si="292"/>
        <v>Viernes</v>
      </c>
    </row>
    <row r="5782" spans="1:4" x14ac:dyDescent="0.25">
      <c r="A5782" s="88" t="str">
        <f t="shared" si="290"/>
        <v>10-2038</v>
      </c>
      <c r="B5782" s="86">
        <v>50708</v>
      </c>
      <c r="C5782" t="str">
        <f t="shared" si="291"/>
        <v>SAB</v>
      </c>
      <c r="D5782" t="str">
        <f t="shared" si="292"/>
        <v>Sábado</v>
      </c>
    </row>
    <row r="5783" spans="1:4" x14ac:dyDescent="0.25">
      <c r="A5783" s="88" t="str">
        <f t="shared" si="290"/>
        <v>10-2038</v>
      </c>
      <c r="B5783" s="86">
        <v>50709</v>
      </c>
      <c r="C5783" t="str">
        <f t="shared" si="291"/>
        <v>DOM</v>
      </c>
      <c r="D5783" t="str">
        <f t="shared" si="292"/>
        <v>Domingo</v>
      </c>
    </row>
    <row r="5784" spans="1:4" x14ac:dyDescent="0.25">
      <c r="A5784" s="88" t="str">
        <f t="shared" si="290"/>
        <v>11-2038</v>
      </c>
      <c r="B5784" s="86">
        <v>50710</v>
      </c>
      <c r="C5784" t="str">
        <f t="shared" si="291"/>
        <v>L-V</v>
      </c>
      <c r="D5784" t="str">
        <f t="shared" si="292"/>
        <v>Lunes</v>
      </c>
    </row>
    <row r="5785" spans="1:4" x14ac:dyDescent="0.25">
      <c r="A5785" s="88" t="str">
        <f t="shared" si="290"/>
        <v>11-2038</v>
      </c>
      <c r="B5785" s="86">
        <v>50711</v>
      </c>
      <c r="C5785" t="str">
        <f t="shared" si="291"/>
        <v>L-V</v>
      </c>
      <c r="D5785" t="str">
        <f t="shared" si="292"/>
        <v>Martes</v>
      </c>
    </row>
    <row r="5786" spans="1:4" x14ac:dyDescent="0.25">
      <c r="A5786" s="88" t="str">
        <f t="shared" si="290"/>
        <v>11-2038</v>
      </c>
      <c r="B5786" s="86">
        <v>50712</v>
      </c>
      <c r="C5786" t="str">
        <f t="shared" si="291"/>
        <v>L-V</v>
      </c>
      <c r="D5786" t="str">
        <f t="shared" si="292"/>
        <v>Miércoles</v>
      </c>
    </row>
    <row r="5787" spans="1:4" x14ac:dyDescent="0.25">
      <c r="A5787" s="88" t="str">
        <f t="shared" si="290"/>
        <v>11-2038</v>
      </c>
      <c r="B5787" s="86">
        <v>50713</v>
      </c>
      <c r="C5787" t="str">
        <f t="shared" si="291"/>
        <v>L-V</v>
      </c>
      <c r="D5787" t="str">
        <f t="shared" si="292"/>
        <v>Jueves</v>
      </c>
    </row>
    <row r="5788" spans="1:4" x14ac:dyDescent="0.25">
      <c r="A5788" s="88" t="str">
        <f t="shared" si="290"/>
        <v>11-2038</v>
      </c>
      <c r="B5788" s="86">
        <v>50714</v>
      </c>
      <c r="C5788" t="str">
        <f t="shared" si="291"/>
        <v>L-V</v>
      </c>
      <c r="D5788" t="str">
        <f t="shared" si="292"/>
        <v>Viernes</v>
      </c>
    </row>
    <row r="5789" spans="1:4" x14ac:dyDescent="0.25">
      <c r="A5789" s="88" t="str">
        <f t="shared" ref="A5789:A5852" si="293">MONTH(B5789)&amp;"-"&amp;YEAR(B5789)</f>
        <v>11-2038</v>
      </c>
      <c r="B5789" s="86">
        <v>50715</v>
      </c>
      <c r="C5789" t="str">
        <f t="shared" ref="C5789:C5852" si="294">VLOOKUP(WEEKDAY(B5789,2),$F$1:$H$7,2)</f>
        <v>SAB</v>
      </c>
      <c r="D5789" t="str">
        <f t="shared" si="292"/>
        <v>Sábado</v>
      </c>
    </row>
    <row r="5790" spans="1:4" x14ac:dyDescent="0.25">
      <c r="A5790" s="88" t="str">
        <f t="shared" si="293"/>
        <v>11-2038</v>
      </c>
      <c r="B5790" s="86">
        <v>50716</v>
      </c>
      <c r="C5790" t="str">
        <f t="shared" si="294"/>
        <v>DOM</v>
      </c>
      <c r="D5790" t="str">
        <f t="shared" si="292"/>
        <v>Domingo</v>
      </c>
    </row>
    <row r="5791" spans="1:4" x14ac:dyDescent="0.25">
      <c r="A5791" s="88" t="str">
        <f t="shared" si="293"/>
        <v>11-2038</v>
      </c>
      <c r="B5791" s="86">
        <v>50717</v>
      </c>
      <c r="C5791" t="str">
        <f t="shared" si="294"/>
        <v>L-V</v>
      </c>
      <c r="D5791" t="str">
        <f t="shared" si="292"/>
        <v>Lunes</v>
      </c>
    </row>
    <row r="5792" spans="1:4" x14ac:dyDescent="0.25">
      <c r="A5792" s="88" t="str">
        <f t="shared" si="293"/>
        <v>11-2038</v>
      </c>
      <c r="B5792" s="86">
        <v>50718</v>
      </c>
      <c r="C5792" t="str">
        <f t="shared" si="294"/>
        <v>L-V</v>
      </c>
      <c r="D5792" t="str">
        <f t="shared" si="292"/>
        <v>Martes</v>
      </c>
    </row>
    <row r="5793" spans="1:4" x14ac:dyDescent="0.25">
      <c r="A5793" s="88" t="str">
        <f t="shared" si="293"/>
        <v>11-2038</v>
      </c>
      <c r="B5793" s="86">
        <v>50719</v>
      </c>
      <c r="C5793" t="str">
        <f t="shared" si="294"/>
        <v>L-V</v>
      </c>
      <c r="D5793" t="str">
        <f t="shared" si="292"/>
        <v>Miércoles</v>
      </c>
    </row>
    <row r="5794" spans="1:4" x14ac:dyDescent="0.25">
      <c r="A5794" s="88" t="str">
        <f t="shared" si="293"/>
        <v>11-2038</v>
      </c>
      <c r="B5794" s="86">
        <v>50720</v>
      </c>
      <c r="C5794" t="str">
        <f t="shared" si="294"/>
        <v>L-V</v>
      </c>
      <c r="D5794" t="str">
        <f t="shared" si="292"/>
        <v>Jueves</v>
      </c>
    </row>
    <row r="5795" spans="1:4" x14ac:dyDescent="0.25">
      <c r="A5795" s="88" t="str">
        <f t="shared" si="293"/>
        <v>11-2038</v>
      </c>
      <c r="B5795" s="86">
        <v>50721</v>
      </c>
      <c r="C5795" t="str">
        <f t="shared" si="294"/>
        <v>L-V</v>
      </c>
      <c r="D5795" t="str">
        <f t="shared" si="292"/>
        <v>Viernes</v>
      </c>
    </row>
    <row r="5796" spans="1:4" x14ac:dyDescent="0.25">
      <c r="A5796" s="88" t="str">
        <f t="shared" si="293"/>
        <v>11-2038</v>
      </c>
      <c r="B5796" s="86">
        <v>50722</v>
      </c>
      <c r="C5796" t="str">
        <f t="shared" si="294"/>
        <v>SAB</v>
      </c>
      <c r="D5796" t="str">
        <f t="shared" si="292"/>
        <v>Sábado</v>
      </c>
    </row>
    <row r="5797" spans="1:4" x14ac:dyDescent="0.25">
      <c r="A5797" s="88" t="str">
        <f t="shared" si="293"/>
        <v>11-2038</v>
      </c>
      <c r="B5797" s="86">
        <v>50723</v>
      </c>
      <c r="C5797" t="str">
        <f t="shared" si="294"/>
        <v>DOM</v>
      </c>
      <c r="D5797" t="str">
        <f t="shared" si="292"/>
        <v>Domingo</v>
      </c>
    </row>
    <row r="5798" spans="1:4" x14ac:dyDescent="0.25">
      <c r="A5798" s="88" t="str">
        <f t="shared" si="293"/>
        <v>11-2038</v>
      </c>
      <c r="B5798" s="86">
        <v>50724</v>
      </c>
      <c r="C5798" t="str">
        <f t="shared" si="294"/>
        <v>L-V</v>
      </c>
      <c r="D5798" t="str">
        <f t="shared" si="292"/>
        <v>Lunes</v>
      </c>
    </row>
    <row r="5799" spans="1:4" x14ac:dyDescent="0.25">
      <c r="A5799" s="88" t="str">
        <f t="shared" si="293"/>
        <v>11-2038</v>
      </c>
      <c r="B5799" s="86">
        <v>50725</v>
      </c>
      <c r="C5799" t="str">
        <f t="shared" si="294"/>
        <v>L-V</v>
      </c>
      <c r="D5799" t="str">
        <f t="shared" si="292"/>
        <v>Martes</v>
      </c>
    </row>
    <row r="5800" spans="1:4" x14ac:dyDescent="0.25">
      <c r="A5800" s="88" t="str">
        <f t="shared" si="293"/>
        <v>11-2038</v>
      </c>
      <c r="B5800" s="86">
        <v>50726</v>
      </c>
      <c r="C5800" t="str">
        <f t="shared" si="294"/>
        <v>L-V</v>
      </c>
      <c r="D5800" t="str">
        <f t="shared" si="292"/>
        <v>Miércoles</v>
      </c>
    </row>
    <row r="5801" spans="1:4" x14ac:dyDescent="0.25">
      <c r="A5801" s="88" t="str">
        <f t="shared" si="293"/>
        <v>11-2038</v>
      </c>
      <c r="B5801" s="86">
        <v>50727</v>
      </c>
      <c r="C5801" t="str">
        <f t="shared" si="294"/>
        <v>L-V</v>
      </c>
      <c r="D5801" t="str">
        <f t="shared" si="292"/>
        <v>Jueves</v>
      </c>
    </row>
    <row r="5802" spans="1:4" x14ac:dyDescent="0.25">
      <c r="A5802" s="88" t="str">
        <f t="shared" si="293"/>
        <v>11-2038</v>
      </c>
      <c r="B5802" s="86">
        <v>50728</v>
      </c>
      <c r="C5802" t="str">
        <f t="shared" si="294"/>
        <v>L-V</v>
      </c>
      <c r="D5802" t="str">
        <f t="shared" si="292"/>
        <v>Viernes</v>
      </c>
    </row>
    <row r="5803" spans="1:4" x14ac:dyDescent="0.25">
      <c r="A5803" s="88" t="str">
        <f t="shared" si="293"/>
        <v>11-2038</v>
      </c>
      <c r="B5803" s="86">
        <v>50729</v>
      </c>
      <c r="C5803" t="str">
        <f t="shared" si="294"/>
        <v>SAB</v>
      </c>
      <c r="D5803" t="str">
        <f t="shared" si="292"/>
        <v>Sábado</v>
      </c>
    </row>
    <row r="5804" spans="1:4" x14ac:dyDescent="0.25">
      <c r="A5804" s="88" t="str">
        <f t="shared" si="293"/>
        <v>11-2038</v>
      </c>
      <c r="B5804" s="86">
        <v>50730</v>
      </c>
      <c r="C5804" t="str">
        <f t="shared" si="294"/>
        <v>DOM</v>
      </c>
      <c r="D5804" t="str">
        <f t="shared" si="292"/>
        <v>Domingo</v>
      </c>
    </row>
    <row r="5805" spans="1:4" x14ac:dyDescent="0.25">
      <c r="A5805" s="88" t="str">
        <f t="shared" si="293"/>
        <v>11-2038</v>
      </c>
      <c r="B5805" s="86">
        <v>50731</v>
      </c>
      <c r="C5805" t="str">
        <f t="shared" si="294"/>
        <v>L-V</v>
      </c>
      <c r="D5805" t="str">
        <f t="shared" si="292"/>
        <v>Lunes</v>
      </c>
    </row>
    <row r="5806" spans="1:4" x14ac:dyDescent="0.25">
      <c r="A5806" s="88" t="str">
        <f t="shared" si="293"/>
        <v>11-2038</v>
      </c>
      <c r="B5806" s="86">
        <v>50732</v>
      </c>
      <c r="C5806" t="str">
        <f t="shared" si="294"/>
        <v>L-V</v>
      </c>
      <c r="D5806" t="str">
        <f t="shared" si="292"/>
        <v>Martes</v>
      </c>
    </row>
    <row r="5807" spans="1:4" x14ac:dyDescent="0.25">
      <c r="A5807" s="88" t="str">
        <f t="shared" si="293"/>
        <v>11-2038</v>
      </c>
      <c r="B5807" s="86">
        <v>50733</v>
      </c>
      <c r="C5807" t="str">
        <f t="shared" si="294"/>
        <v>L-V</v>
      </c>
      <c r="D5807" t="str">
        <f t="shared" si="292"/>
        <v>Miércoles</v>
      </c>
    </row>
    <row r="5808" spans="1:4" x14ac:dyDescent="0.25">
      <c r="A5808" s="88" t="str">
        <f t="shared" si="293"/>
        <v>11-2038</v>
      </c>
      <c r="B5808" s="86">
        <v>50734</v>
      </c>
      <c r="C5808" t="str">
        <f t="shared" si="294"/>
        <v>L-V</v>
      </c>
      <c r="D5808" t="str">
        <f t="shared" si="292"/>
        <v>Jueves</v>
      </c>
    </row>
    <row r="5809" spans="1:4" x14ac:dyDescent="0.25">
      <c r="A5809" s="88" t="str">
        <f t="shared" si="293"/>
        <v>11-2038</v>
      </c>
      <c r="B5809" s="86">
        <v>50735</v>
      </c>
      <c r="C5809" t="str">
        <f t="shared" si="294"/>
        <v>L-V</v>
      </c>
      <c r="D5809" t="str">
        <f t="shared" si="292"/>
        <v>Viernes</v>
      </c>
    </row>
    <row r="5810" spans="1:4" x14ac:dyDescent="0.25">
      <c r="A5810" s="88" t="str">
        <f t="shared" si="293"/>
        <v>11-2038</v>
      </c>
      <c r="B5810" s="86">
        <v>50736</v>
      </c>
      <c r="C5810" t="str">
        <f t="shared" si="294"/>
        <v>SAB</v>
      </c>
      <c r="D5810" t="str">
        <f t="shared" si="292"/>
        <v>Sábado</v>
      </c>
    </row>
    <row r="5811" spans="1:4" x14ac:dyDescent="0.25">
      <c r="A5811" s="88" t="str">
        <f t="shared" si="293"/>
        <v>11-2038</v>
      </c>
      <c r="B5811" s="86">
        <v>50737</v>
      </c>
      <c r="C5811" t="str">
        <f t="shared" si="294"/>
        <v>DOM</v>
      </c>
      <c r="D5811" t="str">
        <f t="shared" si="292"/>
        <v>Domingo</v>
      </c>
    </row>
    <row r="5812" spans="1:4" x14ac:dyDescent="0.25">
      <c r="A5812" s="88" t="str">
        <f t="shared" si="293"/>
        <v>11-2038</v>
      </c>
      <c r="B5812" s="86">
        <v>50738</v>
      </c>
      <c r="C5812" t="str">
        <f t="shared" si="294"/>
        <v>L-V</v>
      </c>
      <c r="D5812" t="str">
        <f t="shared" si="292"/>
        <v>Lunes</v>
      </c>
    </row>
    <row r="5813" spans="1:4" x14ac:dyDescent="0.25">
      <c r="A5813" s="88" t="str">
        <f t="shared" si="293"/>
        <v>11-2038</v>
      </c>
      <c r="B5813" s="86">
        <v>50739</v>
      </c>
      <c r="C5813" t="str">
        <f t="shared" si="294"/>
        <v>L-V</v>
      </c>
      <c r="D5813" t="str">
        <f t="shared" si="292"/>
        <v>Martes</v>
      </c>
    </row>
    <row r="5814" spans="1:4" x14ac:dyDescent="0.25">
      <c r="A5814" s="88" t="str">
        <f t="shared" si="293"/>
        <v>12-2038</v>
      </c>
      <c r="B5814" s="86">
        <v>50740</v>
      </c>
      <c r="C5814" t="str">
        <f t="shared" si="294"/>
        <v>L-V</v>
      </c>
      <c r="D5814" t="str">
        <f t="shared" si="292"/>
        <v>Miércoles</v>
      </c>
    </row>
    <row r="5815" spans="1:4" x14ac:dyDescent="0.25">
      <c r="A5815" s="88" t="str">
        <f t="shared" si="293"/>
        <v>12-2038</v>
      </c>
      <c r="B5815" s="86">
        <v>50741</v>
      </c>
      <c r="C5815" t="str">
        <f t="shared" si="294"/>
        <v>L-V</v>
      </c>
      <c r="D5815" t="str">
        <f t="shared" si="292"/>
        <v>Jueves</v>
      </c>
    </row>
    <row r="5816" spans="1:4" x14ac:dyDescent="0.25">
      <c r="A5816" s="88" t="str">
        <f t="shared" si="293"/>
        <v>12-2038</v>
      </c>
      <c r="B5816" s="86">
        <v>50742</v>
      </c>
      <c r="C5816" t="str">
        <f t="shared" si="294"/>
        <v>L-V</v>
      </c>
      <c r="D5816" t="str">
        <f t="shared" si="292"/>
        <v>Viernes</v>
      </c>
    </row>
    <row r="5817" spans="1:4" x14ac:dyDescent="0.25">
      <c r="A5817" s="88" t="str">
        <f t="shared" si="293"/>
        <v>12-2038</v>
      </c>
      <c r="B5817" s="86">
        <v>50743</v>
      </c>
      <c r="C5817" t="str">
        <f t="shared" si="294"/>
        <v>SAB</v>
      </c>
      <c r="D5817" t="str">
        <f t="shared" si="292"/>
        <v>Sábado</v>
      </c>
    </row>
    <row r="5818" spans="1:4" x14ac:dyDescent="0.25">
      <c r="A5818" s="88" t="str">
        <f t="shared" si="293"/>
        <v>12-2038</v>
      </c>
      <c r="B5818" s="86">
        <v>50744</v>
      </c>
      <c r="C5818" t="str">
        <f t="shared" si="294"/>
        <v>DOM</v>
      </c>
      <c r="D5818" t="str">
        <f t="shared" si="292"/>
        <v>Domingo</v>
      </c>
    </row>
    <row r="5819" spans="1:4" x14ac:dyDescent="0.25">
      <c r="A5819" s="88" t="str">
        <f t="shared" si="293"/>
        <v>12-2038</v>
      </c>
      <c r="B5819" s="86">
        <v>50745</v>
      </c>
      <c r="C5819" t="str">
        <f t="shared" si="294"/>
        <v>L-V</v>
      </c>
      <c r="D5819" t="str">
        <f t="shared" si="292"/>
        <v>Lunes</v>
      </c>
    </row>
    <row r="5820" spans="1:4" x14ac:dyDescent="0.25">
      <c r="A5820" s="88" t="str">
        <f t="shared" si="293"/>
        <v>12-2038</v>
      </c>
      <c r="B5820" s="86">
        <v>50746</v>
      </c>
      <c r="C5820" t="str">
        <f t="shared" si="294"/>
        <v>L-V</v>
      </c>
      <c r="D5820" t="str">
        <f t="shared" si="292"/>
        <v>Martes</v>
      </c>
    </row>
    <row r="5821" spans="1:4" x14ac:dyDescent="0.25">
      <c r="A5821" s="88" t="str">
        <f t="shared" si="293"/>
        <v>12-2038</v>
      </c>
      <c r="B5821" s="86">
        <v>50747</v>
      </c>
      <c r="C5821" t="str">
        <f t="shared" si="294"/>
        <v>L-V</v>
      </c>
      <c r="D5821" t="str">
        <f t="shared" si="292"/>
        <v>Miércoles</v>
      </c>
    </row>
    <row r="5822" spans="1:4" x14ac:dyDescent="0.25">
      <c r="A5822" s="88" t="str">
        <f t="shared" si="293"/>
        <v>12-2038</v>
      </c>
      <c r="B5822" s="86">
        <v>50748</v>
      </c>
      <c r="C5822" t="str">
        <f t="shared" si="294"/>
        <v>L-V</v>
      </c>
      <c r="D5822" t="str">
        <f t="shared" si="292"/>
        <v>Jueves</v>
      </c>
    </row>
    <row r="5823" spans="1:4" x14ac:dyDescent="0.25">
      <c r="A5823" s="88" t="str">
        <f t="shared" si="293"/>
        <v>12-2038</v>
      </c>
      <c r="B5823" s="86">
        <v>50749</v>
      </c>
      <c r="C5823" t="str">
        <f t="shared" si="294"/>
        <v>L-V</v>
      </c>
      <c r="D5823" t="str">
        <f t="shared" si="292"/>
        <v>Viernes</v>
      </c>
    </row>
    <row r="5824" spans="1:4" x14ac:dyDescent="0.25">
      <c r="A5824" s="88" t="str">
        <f t="shared" si="293"/>
        <v>12-2038</v>
      </c>
      <c r="B5824" s="86">
        <v>50750</v>
      </c>
      <c r="C5824" t="str">
        <f t="shared" si="294"/>
        <v>SAB</v>
      </c>
      <c r="D5824" t="str">
        <f t="shared" si="292"/>
        <v>Sábado</v>
      </c>
    </row>
    <row r="5825" spans="1:4" x14ac:dyDescent="0.25">
      <c r="A5825" s="88" t="str">
        <f t="shared" si="293"/>
        <v>12-2038</v>
      </c>
      <c r="B5825" s="86">
        <v>50751</v>
      </c>
      <c r="C5825" t="str">
        <f t="shared" si="294"/>
        <v>DOM</v>
      </c>
      <c r="D5825" t="str">
        <f t="shared" si="292"/>
        <v>Domingo</v>
      </c>
    </row>
    <row r="5826" spans="1:4" x14ac:dyDescent="0.25">
      <c r="A5826" s="88" t="str">
        <f t="shared" si="293"/>
        <v>12-2038</v>
      </c>
      <c r="B5826" s="86">
        <v>50752</v>
      </c>
      <c r="C5826" t="str">
        <f t="shared" si="294"/>
        <v>L-V</v>
      </c>
      <c r="D5826" t="str">
        <f t="shared" si="292"/>
        <v>Lunes</v>
      </c>
    </row>
    <row r="5827" spans="1:4" x14ac:dyDescent="0.25">
      <c r="A5827" s="88" t="str">
        <f t="shared" si="293"/>
        <v>12-2038</v>
      </c>
      <c r="B5827" s="86">
        <v>50753</v>
      </c>
      <c r="C5827" t="str">
        <f t="shared" si="294"/>
        <v>L-V</v>
      </c>
      <c r="D5827" t="str">
        <f t="shared" ref="D5827:D5890" si="295">VLOOKUP(WEEKDAY($B5827,2),$F$1:$H$7,3)</f>
        <v>Martes</v>
      </c>
    </row>
    <row r="5828" spans="1:4" x14ac:dyDescent="0.25">
      <c r="A5828" s="88" t="str">
        <f t="shared" si="293"/>
        <v>12-2038</v>
      </c>
      <c r="B5828" s="86">
        <v>50754</v>
      </c>
      <c r="C5828" t="str">
        <f t="shared" si="294"/>
        <v>L-V</v>
      </c>
      <c r="D5828" t="str">
        <f t="shared" si="295"/>
        <v>Miércoles</v>
      </c>
    </row>
    <row r="5829" spans="1:4" x14ac:dyDescent="0.25">
      <c r="A5829" s="88" t="str">
        <f t="shared" si="293"/>
        <v>12-2038</v>
      </c>
      <c r="B5829" s="86">
        <v>50755</v>
      </c>
      <c r="C5829" t="str">
        <f t="shared" si="294"/>
        <v>L-V</v>
      </c>
      <c r="D5829" t="str">
        <f t="shared" si="295"/>
        <v>Jueves</v>
      </c>
    </row>
    <row r="5830" spans="1:4" x14ac:dyDescent="0.25">
      <c r="A5830" s="88" t="str">
        <f t="shared" si="293"/>
        <v>12-2038</v>
      </c>
      <c r="B5830" s="86">
        <v>50756</v>
      </c>
      <c r="C5830" t="str">
        <f t="shared" si="294"/>
        <v>L-V</v>
      </c>
      <c r="D5830" t="str">
        <f t="shared" si="295"/>
        <v>Viernes</v>
      </c>
    </row>
    <row r="5831" spans="1:4" x14ac:dyDescent="0.25">
      <c r="A5831" s="88" t="str">
        <f t="shared" si="293"/>
        <v>12-2038</v>
      </c>
      <c r="B5831" s="86">
        <v>50757</v>
      </c>
      <c r="C5831" t="str">
        <f t="shared" si="294"/>
        <v>SAB</v>
      </c>
      <c r="D5831" t="str">
        <f t="shared" si="295"/>
        <v>Sábado</v>
      </c>
    </row>
    <row r="5832" spans="1:4" x14ac:dyDescent="0.25">
      <c r="A5832" s="88" t="str">
        <f t="shared" si="293"/>
        <v>12-2038</v>
      </c>
      <c r="B5832" s="86">
        <v>50758</v>
      </c>
      <c r="C5832" t="str">
        <f t="shared" si="294"/>
        <v>DOM</v>
      </c>
      <c r="D5832" t="str">
        <f t="shared" si="295"/>
        <v>Domingo</v>
      </c>
    </row>
    <row r="5833" spans="1:4" x14ac:dyDescent="0.25">
      <c r="A5833" s="88" t="str">
        <f t="shared" si="293"/>
        <v>12-2038</v>
      </c>
      <c r="B5833" s="86">
        <v>50759</v>
      </c>
      <c r="C5833" t="str">
        <f t="shared" si="294"/>
        <v>L-V</v>
      </c>
      <c r="D5833" t="str">
        <f t="shared" si="295"/>
        <v>Lunes</v>
      </c>
    </row>
    <row r="5834" spans="1:4" x14ac:dyDescent="0.25">
      <c r="A5834" s="88" t="str">
        <f t="shared" si="293"/>
        <v>12-2038</v>
      </c>
      <c r="B5834" s="86">
        <v>50760</v>
      </c>
      <c r="C5834" t="str">
        <f t="shared" si="294"/>
        <v>L-V</v>
      </c>
      <c r="D5834" t="str">
        <f t="shared" si="295"/>
        <v>Martes</v>
      </c>
    </row>
    <row r="5835" spans="1:4" x14ac:dyDescent="0.25">
      <c r="A5835" s="88" t="str">
        <f t="shared" si="293"/>
        <v>12-2038</v>
      </c>
      <c r="B5835" s="86">
        <v>50761</v>
      </c>
      <c r="C5835" t="str">
        <f t="shared" si="294"/>
        <v>L-V</v>
      </c>
      <c r="D5835" t="str">
        <f t="shared" si="295"/>
        <v>Miércoles</v>
      </c>
    </row>
    <row r="5836" spans="1:4" x14ac:dyDescent="0.25">
      <c r="A5836" s="88" t="str">
        <f t="shared" si="293"/>
        <v>12-2038</v>
      </c>
      <c r="B5836" s="86">
        <v>50762</v>
      </c>
      <c r="C5836" t="str">
        <f t="shared" si="294"/>
        <v>L-V</v>
      </c>
      <c r="D5836" t="str">
        <f t="shared" si="295"/>
        <v>Jueves</v>
      </c>
    </row>
    <row r="5837" spans="1:4" x14ac:dyDescent="0.25">
      <c r="A5837" s="88" t="str">
        <f t="shared" si="293"/>
        <v>12-2038</v>
      </c>
      <c r="B5837" s="86">
        <v>50763</v>
      </c>
      <c r="C5837" t="str">
        <f t="shared" si="294"/>
        <v>L-V</v>
      </c>
      <c r="D5837" t="str">
        <f t="shared" si="295"/>
        <v>Viernes</v>
      </c>
    </row>
    <row r="5838" spans="1:4" x14ac:dyDescent="0.25">
      <c r="A5838" s="88" t="str">
        <f t="shared" si="293"/>
        <v>12-2038</v>
      </c>
      <c r="B5838" s="86">
        <v>50764</v>
      </c>
      <c r="C5838" t="str">
        <f t="shared" si="294"/>
        <v>SAB</v>
      </c>
      <c r="D5838" t="str">
        <f t="shared" si="295"/>
        <v>Sábado</v>
      </c>
    </row>
    <row r="5839" spans="1:4" x14ac:dyDescent="0.25">
      <c r="A5839" s="88" t="str">
        <f t="shared" si="293"/>
        <v>12-2038</v>
      </c>
      <c r="B5839" s="86">
        <v>50765</v>
      </c>
      <c r="C5839" t="str">
        <f t="shared" si="294"/>
        <v>DOM</v>
      </c>
      <c r="D5839" t="str">
        <f t="shared" si="295"/>
        <v>Domingo</v>
      </c>
    </row>
    <row r="5840" spans="1:4" x14ac:dyDescent="0.25">
      <c r="A5840" s="88" t="str">
        <f t="shared" si="293"/>
        <v>12-2038</v>
      </c>
      <c r="B5840" s="86">
        <v>50766</v>
      </c>
      <c r="C5840" t="str">
        <f t="shared" si="294"/>
        <v>L-V</v>
      </c>
      <c r="D5840" t="str">
        <f t="shared" si="295"/>
        <v>Lunes</v>
      </c>
    </row>
    <row r="5841" spans="1:4" x14ac:dyDescent="0.25">
      <c r="A5841" s="88" t="str">
        <f t="shared" si="293"/>
        <v>12-2038</v>
      </c>
      <c r="B5841" s="86">
        <v>50767</v>
      </c>
      <c r="C5841" t="str">
        <f t="shared" si="294"/>
        <v>L-V</v>
      </c>
      <c r="D5841" t="str">
        <f t="shared" si="295"/>
        <v>Martes</v>
      </c>
    </row>
    <row r="5842" spans="1:4" x14ac:dyDescent="0.25">
      <c r="A5842" s="88" t="str">
        <f t="shared" si="293"/>
        <v>12-2038</v>
      </c>
      <c r="B5842" s="86">
        <v>50768</v>
      </c>
      <c r="C5842" t="str">
        <f t="shared" si="294"/>
        <v>L-V</v>
      </c>
      <c r="D5842" t="str">
        <f t="shared" si="295"/>
        <v>Miércoles</v>
      </c>
    </row>
    <row r="5843" spans="1:4" x14ac:dyDescent="0.25">
      <c r="A5843" s="88" t="str">
        <f t="shared" si="293"/>
        <v>12-2038</v>
      </c>
      <c r="B5843" s="86">
        <v>50769</v>
      </c>
      <c r="C5843" t="str">
        <f t="shared" si="294"/>
        <v>L-V</v>
      </c>
      <c r="D5843" t="str">
        <f t="shared" si="295"/>
        <v>Jueves</v>
      </c>
    </row>
    <row r="5844" spans="1:4" x14ac:dyDescent="0.25">
      <c r="A5844" s="88" t="str">
        <f t="shared" si="293"/>
        <v>12-2038</v>
      </c>
      <c r="B5844" s="86">
        <v>50770</v>
      </c>
      <c r="C5844" t="str">
        <f t="shared" si="294"/>
        <v>L-V</v>
      </c>
      <c r="D5844" t="str">
        <f t="shared" si="295"/>
        <v>Viernes</v>
      </c>
    </row>
    <row r="5845" spans="1:4" x14ac:dyDescent="0.25">
      <c r="A5845" s="88" t="str">
        <f t="shared" si="293"/>
        <v>1-2039</v>
      </c>
      <c r="B5845" s="86">
        <v>50771</v>
      </c>
      <c r="C5845" t="str">
        <f t="shared" si="294"/>
        <v>SAB</v>
      </c>
      <c r="D5845" t="str">
        <f t="shared" si="295"/>
        <v>Sábado</v>
      </c>
    </row>
    <row r="5846" spans="1:4" x14ac:dyDescent="0.25">
      <c r="A5846" s="88" t="str">
        <f t="shared" si="293"/>
        <v>1-2039</v>
      </c>
      <c r="B5846" s="86">
        <v>50772</v>
      </c>
      <c r="C5846" t="str">
        <f t="shared" si="294"/>
        <v>DOM</v>
      </c>
      <c r="D5846" t="str">
        <f t="shared" si="295"/>
        <v>Domingo</v>
      </c>
    </row>
    <row r="5847" spans="1:4" x14ac:dyDescent="0.25">
      <c r="A5847" s="88" t="str">
        <f t="shared" si="293"/>
        <v>1-2039</v>
      </c>
      <c r="B5847" s="86">
        <v>50773</v>
      </c>
      <c r="C5847" t="str">
        <f t="shared" si="294"/>
        <v>L-V</v>
      </c>
      <c r="D5847" t="str">
        <f t="shared" si="295"/>
        <v>Lunes</v>
      </c>
    </row>
    <row r="5848" spans="1:4" x14ac:dyDescent="0.25">
      <c r="A5848" s="88" t="str">
        <f t="shared" si="293"/>
        <v>1-2039</v>
      </c>
      <c r="B5848" s="86">
        <v>50774</v>
      </c>
      <c r="C5848" t="str">
        <f t="shared" si="294"/>
        <v>L-V</v>
      </c>
      <c r="D5848" t="str">
        <f t="shared" si="295"/>
        <v>Martes</v>
      </c>
    </row>
    <row r="5849" spans="1:4" x14ac:dyDescent="0.25">
      <c r="A5849" s="88" t="str">
        <f t="shared" si="293"/>
        <v>1-2039</v>
      </c>
      <c r="B5849" s="86">
        <v>50775</v>
      </c>
      <c r="C5849" t="str">
        <f t="shared" si="294"/>
        <v>L-V</v>
      </c>
      <c r="D5849" t="str">
        <f t="shared" si="295"/>
        <v>Miércoles</v>
      </c>
    </row>
    <row r="5850" spans="1:4" x14ac:dyDescent="0.25">
      <c r="A5850" s="88" t="str">
        <f t="shared" si="293"/>
        <v>1-2039</v>
      </c>
      <c r="B5850" s="86">
        <v>50776</v>
      </c>
      <c r="C5850" t="str">
        <f t="shared" si="294"/>
        <v>L-V</v>
      </c>
      <c r="D5850" t="str">
        <f t="shared" si="295"/>
        <v>Jueves</v>
      </c>
    </row>
    <row r="5851" spans="1:4" x14ac:dyDescent="0.25">
      <c r="A5851" s="88" t="str">
        <f t="shared" si="293"/>
        <v>1-2039</v>
      </c>
      <c r="B5851" s="86">
        <v>50777</v>
      </c>
      <c r="C5851" t="str">
        <f t="shared" si="294"/>
        <v>L-V</v>
      </c>
      <c r="D5851" t="str">
        <f t="shared" si="295"/>
        <v>Viernes</v>
      </c>
    </row>
    <row r="5852" spans="1:4" x14ac:dyDescent="0.25">
      <c r="A5852" s="88" t="str">
        <f t="shared" si="293"/>
        <v>1-2039</v>
      </c>
      <c r="B5852" s="86">
        <v>50778</v>
      </c>
      <c r="C5852" t="str">
        <f t="shared" si="294"/>
        <v>SAB</v>
      </c>
      <c r="D5852" t="str">
        <f t="shared" si="295"/>
        <v>Sábado</v>
      </c>
    </row>
    <row r="5853" spans="1:4" x14ac:dyDescent="0.25">
      <c r="A5853" s="88" t="str">
        <f t="shared" ref="A5853:A5902" si="296">MONTH(B5853)&amp;"-"&amp;YEAR(B5853)</f>
        <v>1-2039</v>
      </c>
      <c r="B5853" s="86">
        <v>50779</v>
      </c>
      <c r="C5853" t="str">
        <f t="shared" ref="C5853:C5902" si="297">VLOOKUP(WEEKDAY(B5853,2),$F$1:$H$7,2)</f>
        <v>DOM</v>
      </c>
      <c r="D5853" t="str">
        <f t="shared" si="295"/>
        <v>Domingo</v>
      </c>
    </row>
    <row r="5854" spans="1:4" x14ac:dyDescent="0.25">
      <c r="A5854" s="88" t="str">
        <f t="shared" si="296"/>
        <v>1-2039</v>
      </c>
      <c r="B5854" s="86">
        <v>50780</v>
      </c>
      <c r="C5854" t="str">
        <f t="shared" si="297"/>
        <v>L-V</v>
      </c>
      <c r="D5854" t="str">
        <f t="shared" si="295"/>
        <v>Lunes</v>
      </c>
    </row>
    <row r="5855" spans="1:4" x14ac:dyDescent="0.25">
      <c r="A5855" s="88" t="str">
        <f t="shared" si="296"/>
        <v>1-2039</v>
      </c>
      <c r="B5855" s="86">
        <v>50781</v>
      </c>
      <c r="C5855" t="str">
        <f t="shared" si="297"/>
        <v>L-V</v>
      </c>
      <c r="D5855" t="str">
        <f t="shared" si="295"/>
        <v>Martes</v>
      </c>
    </row>
    <row r="5856" spans="1:4" x14ac:dyDescent="0.25">
      <c r="A5856" s="88" t="str">
        <f t="shared" si="296"/>
        <v>1-2039</v>
      </c>
      <c r="B5856" s="86">
        <v>50782</v>
      </c>
      <c r="C5856" t="str">
        <f t="shared" si="297"/>
        <v>L-V</v>
      </c>
      <c r="D5856" t="str">
        <f t="shared" si="295"/>
        <v>Miércoles</v>
      </c>
    </row>
    <row r="5857" spans="1:4" x14ac:dyDescent="0.25">
      <c r="A5857" s="88" t="str">
        <f t="shared" si="296"/>
        <v>1-2039</v>
      </c>
      <c r="B5857" s="86">
        <v>50783</v>
      </c>
      <c r="C5857" t="str">
        <f t="shared" si="297"/>
        <v>L-V</v>
      </c>
      <c r="D5857" t="str">
        <f t="shared" si="295"/>
        <v>Jueves</v>
      </c>
    </row>
    <row r="5858" spans="1:4" x14ac:dyDescent="0.25">
      <c r="A5858" s="88" t="str">
        <f t="shared" si="296"/>
        <v>1-2039</v>
      </c>
      <c r="B5858" s="86">
        <v>50784</v>
      </c>
      <c r="C5858" t="str">
        <f t="shared" si="297"/>
        <v>L-V</v>
      </c>
      <c r="D5858" t="str">
        <f t="shared" si="295"/>
        <v>Viernes</v>
      </c>
    </row>
    <row r="5859" spans="1:4" x14ac:dyDescent="0.25">
      <c r="A5859" s="88" t="str">
        <f t="shared" si="296"/>
        <v>1-2039</v>
      </c>
      <c r="B5859" s="86">
        <v>50785</v>
      </c>
      <c r="C5859" t="str">
        <f t="shared" si="297"/>
        <v>SAB</v>
      </c>
      <c r="D5859" t="str">
        <f t="shared" si="295"/>
        <v>Sábado</v>
      </c>
    </row>
    <row r="5860" spans="1:4" x14ac:dyDescent="0.25">
      <c r="A5860" s="88" t="str">
        <f t="shared" si="296"/>
        <v>1-2039</v>
      </c>
      <c r="B5860" s="86">
        <v>50786</v>
      </c>
      <c r="C5860" t="str">
        <f t="shared" si="297"/>
        <v>DOM</v>
      </c>
      <c r="D5860" t="str">
        <f t="shared" si="295"/>
        <v>Domingo</v>
      </c>
    </row>
    <row r="5861" spans="1:4" x14ac:dyDescent="0.25">
      <c r="A5861" s="88" t="str">
        <f t="shared" si="296"/>
        <v>1-2039</v>
      </c>
      <c r="B5861" s="86">
        <v>50787</v>
      </c>
      <c r="C5861" t="str">
        <f t="shared" si="297"/>
        <v>L-V</v>
      </c>
      <c r="D5861" t="str">
        <f t="shared" si="295"/>
        <v>Lunes</v>
      </c>
    </row>
    <row r="5862" spans="1:4" x14ac:dyDescent="0.25">
      <c r="A5862" s="88" t="str">
        <f t="shared" si="296"/>
        <v>1-2039</v>
      </c>
      <c r="B5862" s="86">
        <v>50788</v>
      </c>
      <c r="C5862" t="str">
        <f t="shared" si="297"/>
        <v>L-V</v>
      </c>
      <c r="D5862" t="str">
        <f t="shared" si="295"/>
        <v>Martes</v>
      </c>
    </row>
    <row r="5863" spans="1:4" x14ac:dyDescent="0.25">
      <c r="A5863" s="88" t="str">
        <f t="shared" si="296"/>
        <v>1-2039</v>
      </c>
      <c r="B5863" s="86">
        <v>50789</v>
      </c>
      <c r="C5863" t="str">
        <f t="shared" si="297"/>
        <v>L-V</v>
      </c>
      <c r="D5863" t="str">
        <f t="shared" si="295"/>
        <v>Miércoles</v>
      </c>
    </row>
    <row r="5864" spans="1:4" x14ac:dyDescent="0.25">
      <c r="A5864" s="88" t="str">
        <f t="shared" si="296"/>
        <v>1-2039</v>
      </c>
      <c r="B5864" s="86">
        <v>50790</v>
      </c>
      <c r="C5864" t="str">
        <f t="shared" si="297"/>
        <v>L-V</v>
      </c>
      <c r="D5864" t="str">
        <f t="shared" si="295"/>
        <v>Jueves</v>
      </c>
    </row>
    <row r="5865" spans="1:4" x14ac:dyDescent="0.25">
      <c r="A5865" s="88" t="str">
        <f t="shared" si="296"/>
        <v>1-2039</v>
      </c>
      <c r="B5865" s="86">
        <v>50791</v>
      </c>
      <c r="C5865" t="str">
        <f t="shared" si="297"/>
        <v>L-V</v>
      </c>
      <c r="D5865" t="str">
        <f t="shared" si="295"/>
        <v>Viernes</v>
      </c>
    </row>
    <row r="5866" spans="1:4" x14ac:dyDescent="0.25">
      <c r="A5866" s="88" t="str">
        <f t="shared" si="296"/>
        <v>1-2039</v>
      </c>
      <c r="B5866" s="86">
        <v>50792</v>
      </c>
      <c r="C5866" t="str">
        <f t="shared" si="297"/>
        <v>SAB</v>
      </c>
      <c r="D5866" t="str">
        <f t="shared" si="295"/>
        <v>Sábado</v>
      </c>
    </row>
    <row r="5867" spans="1:4" x14ac:dyDescent="0.25">
      <c r="A5867" s="88" t="str">
        <f t="shared" si="296"/>
        <v>1-2039</v>
      </c>
      <c r="B5867" s="86">
        <v>50793</v>
      </c>
      <c r="C5867" t="str">
        <f t="shared" si="297"/>
        <v>DOM</v>
      </c>
      <c r="D5867" t="str">
        <f t="shared" si="295"/>
        <v>Domingo</v>
      </c>
    </row>
    <row r="5868" spans="1:4" x14ac:dyDescent="0.25">
      <c r="A5868" s="88" t="str">
        <f t="shared" si="296"/>
        <v>1-2039</v>
      </c>
      <c r="B5868" s="86">
        <v>50794</v>
      </c>
      <c r="C5868" t="str">
        <f t="shared" si="297"/>
        <v>L-V</v>
      </c>
      <c r="D5868" t="str">
        <f t="shared" si="295"/>
        <v>Lunes</v>
      </c>
    </row>
    <row r="5869" spans="1:4" x14ac:dyDescent="0.25">
      <c r="A5869" s="88" t="str">
        <f t="shared" si="296"/>
        <v>1-2039</v>
      </c>
      <c r="B5869" s="86">
        <v>50795</v>
      </c>
      <c r="C5869" t="str">
        <f t="shared" si="297"/>
        <v>L-V</v>
      </c>
      <c r="D5869" t="str">
        <f t="shared" si="295"/>
        <v>Martes</v>
      </c>
    </row>
    <row r="5870" spans="1:4" x14ac:dyDescent="0.25">
      <c r="A5870" s="88" t="str">
        <f t="shared" si="296"/>
        <v>1-2039</v>
      </c>
      <c r="B5870" s="86">
        <v>50796</v>
      </c>
      <c r="C5870" t="str">
        <f t="shared" si="297"/>
        <v>L-V</v>
      </c>
      <c r="D5870" t="str">
        <f t="shared" si="295"/>
        <v>Miércoles</v>
      </c>
    </row>
    <row r="5871" spans="1:4" x14ac:dyDescent="0.25">
      <c r="A5871" s="88" t="str">
        <f t="shared" si="296"/>
        <v>1-2039</v>
      </c>
      <c r="B5871" s="86">
        <v>50797</v>
      </c>
      <c r="C5871" t="str">
        <f t="shared" si="297"/>
        <v>L-V</v>
      </c>
      <c r="D5871" t="str">
        <f t="shared" si="295"/>
        <v>Jueves</v>
      </c>
    </row>
    <row r="5872" spans="1:4" x14ac:dyDescent="0.25">
      <c r="A5872" s="88" t="str">
        <f t="shared" si="296"/>
        <v>1-2039</v>
      </c>
      <c r="B5872" s="86">
        <v>50798</v>
      </c>
      <c r="C5872" t="str">
        <f t="shared" si="297"/>
        <v>L-V</v>
      </c>
      <c r="D5872" t="str">
        <f t="shared" si="295"/>
        <v>Viernes</v>
      </c>
    </row>
    <row r="5873" spans="1:4" x14ac:dyDescent="0.25">
      <c r="A5873" s="88" t="str">
        <f t="shared" si="296"/>
        <v>1-2039</v>
      </c>
      <c r="B5873" s="86">
        <v>50799</v>
      </c>
      <c r="C5873" t="str">
        <f t="shared" si="297"/>
        <v>SAB</v>
      </c>
      <c r="D5873" t="str">
        <f t="shared" si="295"/>
        <v>Sábado</v>
      </c>
    </row>
    <row r="5874" spans="1:4" x14ac:dyDescent="0.25">
      <c r="A5874" s="88" t="str">
        <f t="shared" si="296"/>
        <v>1-2039</v>
      </c>
      <c r="B5874" s="86">
        <v>50800</v>
      </c>
      <c r="C5874" t="str">
        <f t="shared" si="297"/>
        <v>DOM</v>
      </c>
      <c r="D5874" t="str">
        <f t="shared" si="295"/>
        <v>Domingo</v>
      </c>
    </row>
    <row r="5875" spans="1:4" x14ac:dyDescent="0.25">
      <c r="A5875" s="88" t="str">
        <f t="shared" si="296"/>
        <v>1-2039</v>
      </c>
      <c r="B5875" s="86">
        <v>50801</v>
      </c>
      <c r="C5875" t="str">
        <f t="shared" si="297"/>
        <v>L-V</v>
      </c>
      <c r="D5875" t="str">
        <f t="shared" si="295"/>
        <v>Lunes</v>
      </c>
    </row>
    <row r="5876" spans="1:4" x14ac:dyDescent="0.25">
      <c r="A5876" s="88" t="str">
        <f t="shared" si="296"/>
        <v>2-2039</v>
      </c>
      <c r="B5876" s="86">
        <v>50802</v>
      </c>
      <c r="C5876" t="str">
        <f t="shared" si="297"/>
        <v>L-V</v>
      </c>
      <c r="D5876" t="str">
        <f t="shared" si="295"/>
        <v>Martes</v>
      </c>
    </row>
    <row r="5877" spans="1:4" x14ac:dyDescent="0.25">
      <c r="A5877" s="88" t="str">
        <f t="shared" si="296"/>
        <v>2-2039</v>
      </c>
      <c r="B5877" s="86">
        <v>50803</v>
      </c>
      <c r="C5877" t="str">
        <f t="shared" si="297"/>
        <v>L-V</v>
      </c>
      <c r="D5877" t="str">
        <f t="shared" si="295"/>
        <v>Miércoles</v>
      </c>
    </row>
    <row r="5878" spans="1:4" x14ac:dyDescent="0.25">
      <c r="A5878" s="88" t="str">
        <f t="shared" si="296"/>
        <v>2-2039</v>
      </c>
      <c r="B5878" s="86">
        <v>50804</v>
      </c>
      <c r="C5878" t="str">
        <f t="shared" si="297"/>
        <v>L-V</v>
      </c>
      <c r="D5878" t="str">
        <f t="shared" si="295"/>
        <v>Jueves</v>
      </c>
    </row>
    <row r="5879" spans="1:4" x14ac:dyDescent="0.25">
      <c r="A5879" s="88" t="str">
        <f t="shared" si="296"/>
        <v>2-2039</v>
      </c>
      <c r="B5879" s="86">
        <v>50805</v>
      </c>
      <c r="C5879" t="str">
        <f t="shared" si="297"/>
        <v>L-V</v>
      </c>
      <c r="D5879" t="str">
        <f t="shared" si="295"/>
        <v>Viernes</v>
      </c>
    </row>
    <row r="5880" spans="1:4" x14ac:dyDescent="0.25">
      <c r="A5880" s="88" t="str">
        <f t="shared" si="296"/>
        <v>2-2039</v>
      </c>
      <c r="B5880" s="86">
        <v>50806</v>
      </c>
      <c r="C5880" t="str">
        <f t="shared" si="297"/>
        <v>SAB</v>
      </c>
      <c r="D5880" t="str">
        <f t="shared" si="295"/>
        <v>Sábado</v>
      </c>
    </row>
    <row r="5881" spans="1:4" x14ac:dyDescent="0.25">
      <c r="A5881" s="88" t="str">
        <f t="shared" si="296"/>
        <v>2-2039</v>
      </c>
      <c r="B5881" s="86">
        <v>50807</v>
      </c>
      <c r="C5881" t="str">
        <f t="shared" si="297"/>
        <v>DOM</v>
      </c>
      <c r="D5881" t="str">
        <f t="shared" si="295"/>
        <v>Domingo</v>
      </c>
    </row>
    <row r="5882" spans="1:4" x14ac:dyDescent="0.25">
      <c r="A5882" s="88" t="str">
        <f t="shared" si="296"/>
        <v>2-2039</v>
      </c>
      <c r="B5882" s="86">
        <v>50808</v>
      </c>
      <c r="C5882" t="str">
        <f t="shared" si="297"/>
        <v>L-V</v>
      </c>
      <c r="D5882" t="str">
        <f t="shared" si="295"/>
        <v>Lunes</v>
      </c>
    </row>
    <row r="5883" spans="1:4" x14ac:dyDescent="0.25">
      <c r="A5883" s="88" t="str">
        <f t="shared" si="296"/>
        <v>2-2039</v>
      </c>
      <c r="B5883" s="86">
        <v>50809</v>
      </c>
      <c r="C5883" t="str">
        <f t="shared" si="297"/>
        <v>L-V</v>
      </c>
      <c r="D5883" t="str">
        <f t="shared" si="295"/>
        <v>Martes</v>
      </c>
    </row>
    <row r="5884" spans="1:4" x14ac:dyDescent="0.25">
      <c r="A5884" s="88" t="str">
        <f t="shared" si="296"/>
        <v>2-2039</v>
      </c>
      <c r="B5884" s="86">
        <v>50810</v>
      </c>
      <c r="C5884" t="str">
        <f t="shared" si="297"/>
        <v>L-V</v>
      </c>
      <c r="D5884" t="str">
        <f t="shared" si="295"/>
        <v>Miércoles</v>
      </c>
    </row>
    <row r="5885" spans="1:4" x14ac:dyDescent="0.25">
      <c r="A5885" s="88" t="str">
        <f t="shared" si="296"/>
        <v>2-2039</v>
      </c>
      <c r="B5885" s="86">
        <v>50811</v>
      </c>
      <c r="C5885" t="str">
        <f t="shared" si="297"/>
        <v>L-V</v>
      </c>
      <c r="D5885" t="str">
        <f t="shared" si="295"/>
        <v>Jueves</v>
      </c>
    </row>
    <row r="5886" spans="1:4" x14ac:dyDescent="0.25">
      <c r="A5886" s="88" t="str">
        <f t="shared" si="296"/>
        <v>2-2039</v>
      </c>
      <c r="B5886" s="86">
        <v>50812</v>
      </c>
      <c r="C5886" t="str">
        <f t="shared" si="297"/>
        <v>L-V</v>
      </c>
      <c r="D5886" t="str">
        <f t="shared" si="295"/>
        <v>Viernes</v>
      </c>
    </row>
    <row r="5887" spans="1:4" x14ac:dyDescent="0.25">
      <c r="A5887" s="88" t="str">
        <f t="shared" si="296"/>
        <v>2-2039</v>
      </c>
      <c r="B5887" s="86">
        <v>50813</v>
      </c>
      <c r="C5887" t="str">
        <f t="shared" si="297"/>
        <v>SAB</v>
      </c>
      <c r="D5887" t="str">
        <f t="shared" si="295"/>
        <v>Sábado</v>
      </c>
    </row>
    <row r="5888" spans="1:4" x14ac:dyDescent="0.25">
      <c r="A5888" s="88" t="str">
        <f t="shared" si="296"/>
        <v>2-2039</v>
      </c>
      <c r="B5888" s="86">
        <v>50814</v>
      </c>
      <c r="C5888" t="str">
        <f t="shared" si="297"/>
        <v>DOM</v>
      </c>
      <c r="D5888" t="str">
        <f t="shared" si="295"/>
        <v>Domingo</v>
      </c>
    </row>
    <row r="5889" spans="1:4" x14ac:dyDescent="0.25">
      <c r="A5889" s="88" t="str">
        <f t="shared" si="296"/>
        <v>2-2039</v>
      </c>
      <c r="B5889" s="86">
        <v>50815</v>
      </c>
      <c r="C5889" t="str">
        <f t="shared" si="297"/>
        <v>L-V</v>
      </c>
      <c r="D5889" t="str">
        <f t="shared" si="295"/>
        <v>Lunes</v>
      </c>
    </row>
    <row r="5890" spans="1:4" x14ac:dyDescent="0.25">
      <c r="A5890" s="88" t="str">
        <f t="shared" si="296"/>
        <v>2-2039</v>
      </c>
      <c r="B5890" s="86">
        <v>50816</v>
      </c>
      <c r="C5890" t="str">
        <f t="shared" si="297"/>
        <v>L-V</v>
      </c>
      <c r="D5890" t="str">
        <f t="shared" si="295"/>
        <v>Martes</v>
      </c>
    </row>
    <row r="5891" spans="1:4" x14ac:dyDescent="0.25">
      <c r="A5891" s="88" t="str">
        <f t="shared" si="296"/>
        <v>2-2039</v>
      </c>
      <c r="B5891" s="86">
        <v>50817</v>
      </c>
      <c r="C5891" t="str">
        <f t="shared" si="297"/>
        <v>L-V</v>
      </c>
      <c r="D5891" t="str">
        <f t="shared" ref="D5891:D5902" si="298">VLOOKUP(WEEKDAY($B5891,2),$F$1:$H$7,3)</f>
        <v>Miércoles</v>
      </c>
    </row>
    <row r="5892" spans="1:4" x14ac:dyDescent="0.25">
      <c r="A5892" s="88" t="str">
        <f t="shared" si="296"/>
        <v>2-2039</v>
      </c>
      <c r="B5892" s="86">
        <v>50818</v>
      </c>
      <c r="C5892" t="str">
        <f t="shared" si="297"/>
        <v>L-V</v>
      </c>
      <c r="D5892" t="str">
        <f t="shared" si="298"/>
        <v>Jueves</v>
      </c>
    </row>
    <row r="5893" spans="1:4" x14ac:dyDescent="0.25">
      <c r="A5893" s="88" t="str">
        <f t="shared" si="296"/>
        <v>2-2039</v>
      </c>
      <c r="B5893" s="86">
        <v>50819</v>
      </c>
      <c r="C5893" t="str">
        <f t="shared" si="297"/>
        <v>L-V</v>
      </c>
      <c r="D5893" t="str">
        <f t="shared" si="298"/>
        <v>Viernes</v>
      </c>
    </row>
    <row r="5894" spans="1:4" x14ac:dyDescent="0.25">
      <c r="A5894" s="88" t="str">
        <f t="shared" si="296"/>
        <v>2-2039</v>
      </c>
      <c r="B5894" s="86">
        <v>50820</v>
      </c>
      <c r="C5894" t="str">
        <f t="shared" si="297"/>
        <v>SAB</v>
      </c>
      <c r="D5894" t="str">
        <f t="shared" si="298"/>
        <v>Sábado</v>
      </c>
    </row>
    <row r="5895" spans="1:4" x14ac:dyDescent="0.25">
      <c r="A5895" s="88" t="str">
        <f t="shared" si="296"/>
        <v>2-2039</v>
      </c>
      <c r="B5895" s="86">
        <v>50821</v>
      </c>
      <c r="C5895" t="str">
        <f t="shared" si="297"/>
        <v>DOM</v>
      </c>
      <c r="D5895" t="str">
        <f t="shared" si="298"/>
        <v>Domingo</v>
      </c>
    </row>
    <row r="5896" spans="1:4" x14ac:dyDescent="0.25">
      <c r="A5896" s="88" t="str">
        <f t="shared" si="296"/>
        <v>2-2039</v>
      </c>
      <c r="B5896" s="86">
        <v>50822</v>
      </c>
      <c r="C5896" t="str">
        <f t="shared" si="297"/>
        <v>L-V</v>
      </c>
      <c r="D5896" t="str">
        <f t="shared" si="298"/>
        <v>Lunes</v>
      </c>
    </row>
    <row r="5897" spans="1:4" x14ac:dyDescent="0.25">
      <c r="A5897" s="88" t="str">
        <f t="shared" si="296"/>
        <v>2-2039</v>
      </c>
      <c r="B5897" s="86">
        <v>50823</v>
      </c>
      <c r="C5897" t="str">
        <f t="shared" si="297"/>
        <v>L-V</v>
      </c>
      <c r="D5897" t="str">
        <f t="shared" si="298"/>
        <v>Martes</v>
      </c>
    </row>
    <row r="5898" spans="1:4" x14ac:dyDescent="0.25">
      <c r="A5898" s="88" t="str">
        <f t="shared" si="296"/>
        <v>2-2039</v>
      </c>
      <c r="B5898" s="86">
        <v>50824</v>
      </c>
      <c r="C5898" t="str">
        <f t="shared" si="297"/>
        <v>L-V</v>
      </c>
      <c r="D5898" t="str">
        <f t="shared" si="298"/>
        <v>Miércoles</v>
      </c>
    </row>
    <row r="5899" spans="1:4" x14ac:dyDescent="0.25">
      <c r="A5899" s="88" t="str">
        <f t="shared" si="296"/>
        <v>2-2039</v>
      </c>
      <c r="B5899" s="86">
        <v>50825</v>
      </c>
      <c r="C5899" t="str">
        <f t="shared" si="297"/>
        <v>L-V</v>
      </c>
      <c r="D5899" t="str">
        <f t="shared" si="298"/>
        <v>Jueves</v>
      </c>
    </row>
    <row r="5900" spans="1:4" x14ac:dyDescent="0.25">
      <c r="A5900" s="88" t="str">
        <f t="shared" si="296"/>
        <v>2-2039</v>
      </c>
      <c r="B5900" s="86">
        <v>50826</v>
      </c>
      <c r="C5900" t="str">
        <f t="shared" si="297"/>
        <v>L-V</v>
      </c>
      <c r="D5900" t="str">
        <f t="shared" si="298"/>
        <v>Viernes</v>
      </c>
    </row>
    <row r="5901" spans="1:4" x14ac:dyDescent="0.25">
      <c r="A5901" s="88" t="str">
        <f t="shared" si="296"/>
        <v>2-2039</v>
      </c>
      <c r="B5901" s="86">
        <v>50827</v>
      </c>
      <c r="C5901" t="str">
        <f t="shared" si="297"/>
        <v>SAB</v>
      </c>
      <c r="D5901" t="str">
        <f t="shared" si="298"/>
        <v>Sábado</v>
      </c>
    </row>
    <row r="5902" spans="1:4" x14ac:dyDescent="0.25">
      <c r="A5902" s="88" t="str">
        <f t="shared" si="296"/>
        <v>2-2039</v>
      </c>
      <c r="B5902" s="86">
        <v>50828</v>
      </c>
      <c r="C5902" t="str">
        <f t="shared" si="297"/>
        <v>DOM</v>
      </c>
      <c r="D5902" t="str">
        <f t="shared" si="298"/>
        <v>Domingo</v>
      </c>
    </row>
  </sheetData>
  <phoneticPr fontId="3" type="noConversion"/>
  <pageMargins left="0.7" right="0.7" top="0.75" bottom="0.75" header="0.3" footer="0.3"/>
  <pageSetup paperSize="9" orientation="portrait" r:id="rId1"/>
  <headerFooter>
    <oddHeader>&amp;C&amp;"Arial"&amp;8&amp;K000000INTERNAL&amp;1#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456D-1DE9-4A7D-8131-E453026AE434}">
  <dimension ref="A1:B582"/>
  <sheetViews>
    <sheetView workbookViewId="0">
      <selection activeCell="G11" sqref="G11"/>
    </sheetView>
  </sheetViews>
  <sheetFormatPr baseColWidth="10" defaultRowHeight="12.5" x14ac:dyDescent="0.25"/>
  <sheetData>
    <row r="1" spans="1:2" x14ac:dyDescent="0.25">
      <c r="A1" t="s">
        <v>78</v>
      </c>
      <c r="B1" t="s">
        <v>43</v>
      </c>
    </row>
    <row r="2" spans="1:2" x14ac:dyDescent="0.25">
      <c r="A2" t="s">
        <v>78</v>
      </c>
      <c r="B2" t="s">
        <v>40</v>
      </c>
    </row>
    <row r="3" spans="1:2" x14ac:dyDescent="0.25">
      <c r="A3" t="s">
        <v>78</v>
      </c>
      <c r="B3" t="s">
        <v>41</v>
      </c>
    </row>
    <row r="4" spans="1:2" x14ac:dyDescent="0.25">
      <c r="A4" t="s">
        <v>82</v>
      </c>
      <c r="B4" t="s">
        <v>40</v>
      </c>
    </row>
    <row r="5" spans="1:2" x14ac:dyDescent="0.25">
      <c r="A5" t="s">
        <v>82</v>
      </c>
      <c r="B5" t="s">
        <v>41</v>
      </c>
    </row>
    <row r="6" spans="1:2" x14ac:dyDescent="0.25">
      <c r="A6" t="s">
        <v>82</v>
      </c>
      <c r="B6" t="s">
        <v>43</v>
      </c>
    </row>
    <row r="7" spans="1:2" x14ac:dyDescent="0.25">
      <c r="A7" t="s">
        <v>86</v>
      </c>
      <c r="B7" t="s">
        <v>40</v>
      </c>
    </row>
    <row r="8" spans="1:2" x14ac:dyDescent="0.25">
      <c r="A8" t="s">
        <v>86</v>
      </c>
      <c r="B8" t="s">
        <v>41</v>
      </c>
    </row>
    <row r="9" spans="1:2" x14ac:dyDescent="0.25">
      <c r="A9" t="s">
        <v>86</v>
      </c>
      <c r="B9" t="s">
        <v>43</v>
      </c>
    </row>
    <row r="10" spans="1:2" x14ac:dyDescent="0.25">
      <c r="A10" t="s">
        <v>87</v>
      </c>
      <c r="B10" t="s">
        <v>41</v>
      </c>
    </row>
    <row r="11" spans="1:2" x14ac:dyDescent="0.25">
      <c r="A11" t="s">
        <v>87</v>
      </c>
      <c r="B11" t="s">
        <v>43</v>
      </c>
    </row>
    <row r="12" spans="1:2" x14ac:dyDescent="0.25">
      <c r="A12" t="s">
        <v>87</v>
      </c>
      <c r="B12" t="s">
        <v>40</v>
      </c>
    </row>
    <row r="13" spans="1:2" x14ac:dyDescent="0.25">
      <c r="A13" t="s">
        <v>88</v>
      </c>
      <c r="B13" t="s">
        <v>40</v>
      </c>
    </row>
    <row r="14" spans="1:2" x14ac:dyDescent="0.25">
      <c r="A14" t="s">
        <v>88</v>
      </c>
      <c r="B14" t="s">
        <v>41</v>
      </c>
    </row>
    <row r="15" spans="1:2" x14ac:dyDescent="0.25">
      <c r="A15" t="s">
        <v>88</v>
      </c>
      <c r="B15" t="s">
        <v>43</v>
      </c>
    </row>
    <row r="16" spans="1:2" x14ac:dyDescent="0.25">
      <c r="A16" t="s">
        <v>89</v>
      </c>
      <c r="B16" t="s">
        <v>40</v>
      </c>
    </row>
    <row r="17" spans="1:2" x14ac:dyDescent="0.25">
      <c r="A17" t="s">
        <v>89</v>
      </c>
      <c r="B17" t="s">
        <v>41</v>
      </c>
    </row>
    <row r="18" spans="1:2" x14ac:dyDescent="0.25">
      <c r="A18" t="s">
        <v>89</v>
      </c>
      <c r="B18" t="s">
        <v>43</v>
      </c>
    </row>
    <row r="19" spans="1:2" x14ac:dyDescent="0.25">
      <c r="A19" t="s">
        <v>90</v>
      </c>
      <c r="B19" t="s">
        <v>41</v>
      </c>
    </row>
    <row r="20" spans="1:2" x14ac:dyDescent="0.25">
      <c r="A20" t="s">
        <v>90</v>
      </c>
      <c r="B20" t="s">
        <v>43</v>
      </c>
    </row>
    <row r="21" spans="1:2" x14ac:dyDescent="0.25">
      <c r="A21" t="s">
        <v>90</v>
      </c>
      <c r="B21" t="s">
        <v>40</v>
      </c>
    </row>
    <row r="22" spans="1:2" x14ac:dyDescent="0.25">
      <c r="A22" t="s">
        <v>91</v>
      </c>
      <c r="B22" t="s">
        <v>40</v>
      </c>
    </row>
    <row r="23" spans="1:2" x14ac:dyDescent="0.25">
      <c r="A23" t="s">
        <v>91</v>
      </c>
      <c r="B23" t="s">
        <v>41</v>
      </c>
    </row>
    <row r="24" spans="1:2" x14ac:dyDescent="0.25">
      <c r="A24" t="s">
        <v>91</v>
      </c>
      <c r="B24" t="s">
        <v>43</v>
      </c>
    </row>
    <row r="25" spans="1:2" x14ac:dyDescent="0.25">
      <c r="A25" t="s">
        <v>92</v>
      </c>
      <c r="B25" t="s">
        <v>40</v>
      </c>
    </row>
    <row r="26" spans="1:2" x14ac:dyDescent="0.25">
      <c r="A26" t="s">
        <v>92</v>
      </c>
      <c r="B26" t="s">
        <v>41</v>
      </c>
    </row>
    <row r="27" spans="1:2" x14ac:dyDescent="0.25">
      <c r="A27" t="s">
        <v>92</v>
      </c>
      <c r="B27" t="s">
        <v>43</v>
      </c>
    </row>
    <row r="28" spans="1:2" x14ac:dyDescent="0.25">
      <c r="A28" t="s">
        <v>93</v>
      </c>
      <c r="B28" t="s">
        <v>43</v>
      </c>
    </row>
    <row r="29" spans="1:2" x14ac:dyDescent="0.25">
      <c r="A29" t="s">
        <v>93</v>
      </c>
      <c r="B29" t="s">
        <v>40</v>
      </c>
    </row>
    <row r="30" spans="1:2" x14ac:dyDescent="0.25">
      <c r="A30" t="s">
        <v>93</v>
      </c>
      <c r="B30" t="s">
        <v>41</v>
      </c>
    </row>
    <row r="31" spans="1:2" x14ac:dyDescent="0.25">
      <c r="A31" t="s">
        <v>94</v>
      </c>
      <c r="B31" t="s">
        <v>40</v>
      </c>
    </row>
    <row r="32" spans="1:2" x14ac:dyDescent="0.25">
      <c r="A32" t="s">
        <v>94</v>
      </c>
      <c r="B32" t="s">
        <v>41</v>
      </c>
    </row>
    <row r="33" spans="1:2" x14ac:dyDescent="0.25">
      <c r="A33" t="s">
        <v>94</v>
      </c>
      <c r="B33" t="s">
        <v>43</v>
      </c>
    </row>
    <row r="34" spans="1:2" x14ac:dyDescent="0.25">
      <c r="A34" t="s">
        <v>95</v>
      </c>
      <c r="B34" t="s">
        <v>40</v>
      </c>
    </row>
    <row r="35" spans="1:2" x14ac:dyDescent="0.25">
      <c r="A35" t="s">
        <v>95</v>
      </c>
      <c r="B35" t="s">
        <v>41</v>
      </c>
    </row>
    <row r="36" spans="1:2" x14ac:dyDescent="0.25">
      <c r="A36" t="s">
        <v>95</v>
      </c>
      <c r="B36" t="s">
        <v>43</v>
      </c>
    </row>
    <row r="37" spans="1:2" x14ac:dyDescent="0.25">
      <c r="A37" t="s">
        <v>96</v>
      </c>
      <c r="B37" t="s">
        <v>40</v>
      </c>
    </row>
    <row r="38" spans="1:2" x14ac:dyDescent="0.25">
      <c r="A38" t="s">
        <v>96</v>
      </c>
      <c r="B38" t="s">
        <v>41</v>
      </c>
    </row>
    <row r="39" spans="1:2" x14ac:dyDescent="0.25">
      <c r="A39" t="s">
        <v>96</v>
      </c>
      <c r="B39" t="s">
        <v>43</v>
      </c>
    </row>
    <row r="40" spans="1:2" x14ac:dyDescent="0.25">
      <c r="A40" t="s">
        <v>97</v>
      </c>
      <c r="B40" t="s">
        <v>40</v>
      </c>
    </row>
    <row r="41" spans="1:2" x14ac:dyDescent="0.25">
      <c r="A41" t="s">
        <v>97</v>
      </c>
      <c r="B41" t="s">
        <v>41</v>
      </c>
    </row>
    <row r="42" spans="1:2" x14ac:dyDescent="0.25">
      <c r="A42" t="s">
        <v>97</v>
      </c>
      <c r="B42" t="s">
        <v>43</v>
      </c>
    </row>
    <row r="43" spans="1:2" x14ac:dyDescent="0.25">
      <c r="A43" t="s">
        <v>98</v>
      </c>
      <c r="B43" t="s">
        <v>40</v>
      </c>
    </row>
    <row r="44" spans="1:2" x14ac:dyDescent="0.25">
      <c r="A44" t="s">
        <v>98</v>
      </c>
      <c r="B44" t="s">
        <v>41</v>
      </c>
    </row>
    <row r="45" spans="1:2" x14ac:dyDescent="0.25">
      <c r="A45" t="s">
        <v>98</v>
      </c>
      <c r="B45" t="s">
        <v>43</v>
      </c>
    </row>
    <row r="46" spans="1:2" x14ac:dyDescent="0.25">
      <c r="A46" t="s">
        <v>99</v>
      </c>
      <c r="B46" t="s">
        <v>40</v>
      </c>
    </row>
    <row r="47" spans="1:2" x14ac:dyDescent="0.25">
      <c r="A47" t="s">
        <v>99</v>
      </c>
      <c r="B47" t="s">
        <v>41</v>
      </c>
    </row>
    <row r="48" spans="1:2" x14ac:dyDescent="0.25">
      <c r="A48" t="s">
        <v>99</v>
      </c>
      <c r="B48" t="s">
        <v>43</v>
      </c>
    </row>
    <row r="49" spans="1:2" x14ac:dyDescent="0.25">
      <c r="A49" t="s">
        <v>100</v>
      </c>
      <c r="B49" t="s">
        <v>40</v>
      </c>
    </row>
    <row r="50" spans="1:2" x14ac:dyDescent="0.25">
      <c r="A50" t="s">
        <v>100</v>
      </c>
      <c r="B50" t="s">
        <v>41</v>
      </c>
    </row>
    <row r="51" spans="1:2" x14ac:dyDescent="0.25">
      <c r="A51" t="s">
        <v>100</v>
      </c>
      <c r="B51" t="s">
        <v>43</v>
      </c>
    </row>
    <row r="52" spans="1:2" x14ac:dyDescent="0.25">
      <c r="A52" t="s">
        <v>101</v>
      </c>
      <c r="B52" t="s">
        <v>41</v>
      </c>
    </row>
    <row r="53" spans="1:2" x14ac:dyDescent="0.25">
      <c r="A53" t="s">
        <v>101</v>
      </c>
      <c r="B53" t="s">
        <v>43</v>
      </c>
    </row>
    <row r="54" spans="1:2" x14ac:dyDescent="0.25">
      <c r="A54" t="s">
        <v>101</v>
      </c>
      <c r="B54" t="s">
        <v>40</v>
      </c>
    </row>
    <row r="55" spans="1:2" x14ac:dyDescent="0.25">
      <c r="A55" t="s">
        <v>102</v>
      </c>
      <c r="B55" t="s">
        <v>40</v>
      </c>
    </row>
    <row r="56" spans="1:2" x14ac:dyDescent="0.25">
      <c r="A56" t="s">
        <v>102</v>
      </c>
      <c r="B56" t="s">
        <v>41</v>
      </c>
    </row>
    <row r="57" spans="1:2" x14ac:dyDescent="0.25">
      <c r="A57" t="s">
        <v>102</v>
      </c>
      <c r="B57" t="s">
        <v>43</v>
      </c>
    </row>
    <row r="58" spans="1:2" x14ac:dyDescent="0.25">
      <c r="A58" t="s">
        <v>103</v>
      </c>
      <c r="B58" t="s">
        <v>40</v>
      </c>
    </row>
    <row r="59" spans="1:2" x14ac:dyDescent="0.25">
      <c r="A59" t="s">
        <v>103</v>
      </c>
      <c r="B59" t="s">
        <v>41</v>
      </c>
    </row>
    <row r="60" spans="1:2" x14ac:dyDescent="0.25">
      <c r="A60" t="s">
        <v>103</v>
      </c>
      <c r="B60" t="s">
        <v>43</v>
      </c>
    </row>
    <row r="61" spans="1:2" x14ac:dyDescent="0.25">
      <c r="A61" t="s">
        <v>104</v>
      </c>
      <c r="B61" t="s">
        <v>43</v>
      </c>
    </row>
    <row r="62" spans="1:2" x14ac:dyDescent="0.25">
      <c r="A62" t="s">
        <v>104</v>
      </c>
      <c r="B62" t="s">
        <v>40</v>
      </c>
    </row>
    <row r="63" spans="1:2" x14ac:dyDescent="0.25">
      <c r="A63" t="s">
        <v>104</v>
      </c>
      <c r="B63" t="s">
        <v>41</v>
      </c>
    </row>
    <row r="64" spans="1:2" x14ac:dyDescent="0.25">
      <c r="A64" t="s">
        <v>105</v>
      </c>
      <c r="B64" t="s">
        <v>40</v>
      </c>
    </row>
    <row r="65" spans="1:2" x14ac:dyDescent="0.25">
      <c r="A65" t="s">
        <v>105</v>
      </c>
      <c r="B65" t="s">
        <v>41</v>
      </c>
    </row>
    <row r="66" spans="1:2" x14ac:dyDescent="0.25">
      <c r="A66" t="s">
        <v>105</v>
      </c>
      <c r="B66" t="s">
        <v>43</v>
      </c>
    </row>
    <row r="67" spans="1:2" x14ac:dyDescent="0.25">
      <c r="A67" t="s">
        <v>106</v>
      </c>
      <c r="B67" t="s">
        <v>40</v>
      </c>
    </row>
    <row r="68" spans="1:2" x14ac:dyDescent="0.25">
      <c r="A68" t="s">
        <v>106</v>
      </c>
      <c r="B68" t="s">
        <v>41</v>
      </c>
    </row>
    <row r="69" spans="1:2" x14ac:dyDescent="0.25">
      <c r="A69" t="s">
        <v>106</v>
      </c>
      <c r="B69" t="s">
        <v>43</v>
      </c>
    </row>
    <row r="70" spans="1:2" x14ac:dyDescent="0.25">
      <c r="A70" t="s">
        <v>107</v>
      </c>
      <c r="B70" t="s">
        <v>43</v>
      </c>
    </row>
    <row r="71" spans="1:2" x14ac:dyDescent="0.25">
      <c r="A71" t="s">
        <v>107</v>
      </c>
      <c r="B71" t="s">
        <v>40</v>
      </c>
    </row>
    <row r="72" spans="1:2" x14ac:dyDescent="0.25">
      <c r="A72" t="s">
        <v>107</v>
      </c>
      <c r="B72" t="s">
        <v>41</v>
      </c>
    </row>
    <row r="73" spans="1:2" x14ac:dyDescent="0.25">
      <c r="A73" t="s">
        <v>108</v>
      </c>
      <c r="B73" t="s">
        <v>40</v>
      </c>
    </row>
    <row r="74" spans="1:2" x14ac:dyDescent="0.25">
      <c r="A74" t="s">
        <v>108</v>
      </c>
      <c r="B74" t="s">
        <v>41</v>
      </c>
    </row>
    <row r="75" spans="1:2" x14ac:dyDescent="0.25">
      <c r="A75" t="s">
        <v>108</v>
      </c>
      <c r="B75" t="s">
        <v>43</v>
      </c>
    </row>
    <row r="76" spans="1:2" x14ac:dyDescent="0.25">
      <c r="A76" t="s">
        <v>109</v>
      </c>
      <c r="B76" t="s">
        <v>41</v>
      </c>
    </row>
    <row r="77" spans="1:2" x14ac:dyDescent="0.25">
      <c r="A77" t="s">
        <v>109</v>
      </c>
      <c r="B77" t="s">
        <v>43</v>
      </c>
    </row>
    <row r="78" spans="1:2" x14ac:dyDescent="0.25">
      <c r="A78" t="s">
        <v>109</v>
      </c>
      <c r="B78" t="s">
        <v>40</v>
      </c>
    </row>
    <row r="79" spans="1:2" x14ac:dyDescent="0.25">
      <c r="A79" t="s">
        <v>110</v>
      </c>
      <c r="B79" t="s">
        <v>41</v>
      </c>
    </row>
    <row r="80" spans="1:2" x14ac:dyDescent="0.25">
      <c r="A80" t="s">
        <v>110</v>
      </c>
      <c r="B80" t="s">
        <v>43</v>
      </c>
    </row>
    <row r="81" spans="1:2" x14ac:dyDescent="0.25">
      <c r="A81" t="s">
        <v>110</v>
      </c>
      <c r="B81" t="s">
        <v>40</v>
      </c>
    </row>
    <row r="82" spans="1:2" x14ac:dyDescent="0.25">
      <c r="A82" t="s">
        <v>111</v>
      </c>
      <c r="B82" t="s">
        <v>40</v>
      </c>
    </row>
    <row r="83" spans="1:2" x14ac:dyDescent="0.25">
      <c r="A83" t="s">
        <v>111</v>
      </c>
      <c r="B83" t="s">
        <v>41</v>
      </c>
    </row>
    <row r="84" spans="1:2" x14ac:dyDescent="0.25">
      <c r="A84" t="s">
        <v>111</v>
      </c>
      <c r="B84" t="s">
        <v>43</v>
      </c>
    </row>
    <row r="85" spans="1:2" x14ac:dyDescent="0.25">
      <c r="A85" t="s">
        <v>112</v>
      </c>
      <c r="B85" t="s">
        <v>40</v>
      </c>
    </row>
    <row r="86" spans="1:2" x14ac:dyDescent="0.25">
      <c r="A86" t="s">
        <v>112</v>
      </c>
      <c r="B86" t="s">
        <v>41</v>
      </c>
    </row>
    <row r="87" spans="1:2" x14ac:dyDescent="0.25">
      <c r="A87" t="s">
        <v>112</v>
      </c>
      <c r="B87" t="s">
        <v>43</v>
      </c>
    </row>
    <row r="88" spans="1:2" x14ac:dyDescent="0.25">
      <c r="A88" t="s">
        <v>113</v>
      </c>
      <c r="B88" t="s">
        <v>43</v>
      </c>
    </row>
    <row r="89" spans="1:2" x14ac:dyDescent="0.25">
      <c r="A89" t="s">
        <v>113</v>
      </c>
      <c r="B89" t="s">
        <v>40</v>
      </c>
    </row>
    <row r="90" spans="1:2" x14ac:dyDescent="0.25">
      <c r="A90" t="s">
        <v>113</v>
      </c>
      <c r="B90" t="s">
        <v>41</v>
      </c>
    </row>
    <row r="91" spans="1:2" x14ac:dyDescent="0.25">
      <c r="A91" t="s">
        <v>114</v>
      </c>
      <c r="B91" t="s">
        <v>40</v>
      </c>
    </row>
    <row r="92" spans="1:2" x14ac:dyDescent="0.25">
      <c r="A92" t="s">
        <v>114</v>
      </c>
      <c r="B92" t="s">
        <v>41</v>
      </c>
    </row>
    <row r="93" spans="1:2" x14ac:dyDescent="0.25">
      <c r="A93" t="s">
        <v>114</v>
      </c>
      <c r="B93" t="s">
        <v>43</v>
      </c>
    </row>
    <row r="94" spans="1:2" x14ac:dyDescent="0.25">
      <c r="A94" t="s">
        <v>115</v>
      </c>
      <c r="B94" t="s">
        <v>40</v>
      </c>
    </row>
    <row r="95" spans="1:2" x14ac:dyDescent="0.25">
      <c r="A95" t="s">
        <v>115</v>
      </c>
      <c r="B95" t="s">
        <v>41</v>
      </c>
    </row>
    <row r="96" spans="1:2" x14ac:dyDescent="0.25">
      <c r="A96" t="s">
        <v>115</v>
      </c>
      <c r="B96" t="s">
        <v>43</v>
      </c>
    </row>
    <row r="97" spans="1:2" x14ac:dyDescent="0.25">
      <c r="A97" t="s">
        <v>116</v>
      </c>
      <c r="B97" t="s">
        <v>40</v>
      </c>
    </row>
    <row r="98" spans="1:2" x14ac:dyDescent="0.25">
      <c r="A98" t="s">
        <v>116</v>
      </c>
      <c r="B98" t="s">
        <v>41</v>
      </c>
    </row>
    <row r="99" spans="1:2" x14ac:dyDescent="0.25">
      <c r="A99" t="s">
        <v>116</v>
      </c>
      <c r="B99" t="s">
        <v>43</v>
      </c>
    </row>
    <row r="100" spans="1:2" x14ac:dyDescent="0.25">
      <c r="A100" t="s">
        <v>117</v>
      </c>
      <c r="B100" t="s">
        <v>40</v>
      </c>
    </row>
    <row r="101" spans="1:2" x14ac:dyDescent="0.25">
      <c r="A101" t="s">
        <v>117</v>
      </c>
      <c r="B101" t="s">
        <v>41</v>
      </c>
    </row>
    <row r="102" spans="1:2" x14ac:dyDescent="0.25">
      <c r="A102" t="s">
        <v>117</v>
      </c>
      <c r="B102" t="s">
        <v>43</v>
      </c>
    </row>
    <row r="103" spans="1:2" x14ac:dyDescent="0.25">
      <c r="A103" t="s">
        <v>118</v>
      </c>
      <c r="B103" t="s">
        <v>41</v>
      </c>
    </row>
    <row r="104" spans="1:2" x14ac:dyDescent="0.25">
      <c r="A104" t="s">
        <v>118</v>
      </c>
      <c r="B104" t="s">
        <v>43</v>
      </c>
    </row>
    <row r="105" spans="1:2" x14ac:dyDescent="0.25">
      <c r="A105" t="s">
        <v>118</v>
      </c>
      <c r="B105" t="s">
        <v>40</v>
      </c>
    </row>
    <row r="106" spans="1:2" x14ac:dyDescent="0.25">
      <c r="A106" t="s">
        <v>119</v>
      </c>
      <c r="B106" t="s">
        <v>40</v>
      </c>
    </row>
    <row r="107" spans="1:2" x14ac:dyDescent="0.25">
      <c r="A107" t="s">
        <v>119</v>
      </c>
      <c r="B107" t="s">
        <v>41</v>
      </c>
    </row>
    <row r="108" spans="1:2" x14ac:dyDescent="0.25">
      <c r="A108" t="s">
        <v>119</v>
      </c>
      <c r="B108" t="s">
        <v>43</v>
      </c>
    </row>
    <row r="109" spans="1:2" x14ac:dyDescent="0.25">
      <c r="A109" t="s">
        <v>120</v>
      </c>
      <c r="B109" t="s">
        <v>40</v>
      </c>
    </row>
    <row r="110" spans="1:2" x14ac:dyDescent="0.25">
      <c r="A110" t="s">
        <v>120</v>
      </c>
      <c r="B110" t="s">
        <v>41</v>
      </c>
    </row>
    <row r="111" spans="1:2" x14ac:dyDescent="0.25">
      <c r="A111" t="s">
        <v>120</v>
      </c>
      <c r="B111" t="s">
        <v>43</v>
      </c>
    </row>
    <row r="112" spans="1:2" x14ac:dyDescent="0.25">
      <c r="A112" t="s">
        <v>121</v>
      </c>
      <c r="B112" t="s">
        <v>43</v>
      </c>
    </row>
    <row r="113" spans="1:2" x14ac:dyDescent="0.25">
      <c r="A113" t="s">
        <v>121</v>
      </c>
      <c r="B113" t="s">
        <v>40</v>
      </c>
    </row>
    <row r="114" spans="1:2" x14ac:dyDescent="0.25">
      <c r="A114" t="s">
        <v>121</v>
      </c>
      <c r="B114" t="s">
        <v>41</v>
      </c>
    </row>
    <row r="115" spans="1:2" x14ac:dyDescent="0.25">
      <c r="A115" t="s">
        <v>122</v>
      </c>
      <c r="B115" t="s">
        <v>43</v>
      </c>
    </row>
    <row r="116" spans="1:2" x14ac:dyDescent="0.25">
      <c r="A116" t="s">
        <v>122</v>
      </c>
      <c r="B116" t="s">
        <v>40</v>
      </c>
    </row>
    <row r="117" spans="1:2" x14ac:dyDescent="0.25">
      <c r="A117" t="s">
        <v>122</v>
      </c>
      <c r="B117" t="s">
        <v>41</v>
      </c>
    </row>
    <row r="118" spans="1:2" x14ac:dyDescent="0.25">
      <c r="A118" t="s">
        <v>123</v>
      </c>
      <c r="B118" t="s">
        <v>40</v>
      </c>
    </row>
    <row r="119" spans="1:2" x14ac:dyDescent="0.25">
      <c r="A119" t="s">
        <v>123</v>
      </c>
      <c r="B119" t="s">
        <v>41</v>
      </c>
    </row>
    <row r="120" spans="1:2" x14ac:dyDescent="0.25">
      <c r="A120" t="s">
        <v>123</v>
      </c>
      <c r="B120" t="s">
        <v>43</v>
      </c>
    </row>
    <row r="121" spans="1:2" x14ac:dyDescent="0.25">
      <c r="A121" t="s">
        <v>124</v>
      </c>
      <c r="B121" t="s">
        <v>40</v>
      </c>
    </row>
    <row r="122" spans="1:2" x14ac:dyDescent="0.25">
      <c r="A122" t="s">
        <v>124</v>
      </c>
      <c r="B122" t="s">
        <v>41</v>
      </c>
    </row>
    <row r="123" spans="1:2" x14ac:dyDescent="0.25">
      <c r="A123" t="s">
        <v>124</v>
      </c>
      <c r="B123" t="s">
        <v>43</v>
      </c>
    </row>
    <row r="124" spans="1:2" x14ac:dyDescent="0.25">
      <c r="A124" t="s">
        <v>125</v>
      </c>
      <c r="B124" t="s">
        <v>40</v>
      </c>
    </row>
    <row r="125" spans="1:2" x14ac:dyDescent="0.25">
      <c r="A125" t="s">
        <v>125</v>
      </c>
      <c r="B125" t="s">
        <v>41</v>
      </c>
    </row>
    <row r="126" spans="1:2" x14ac:dyDescent="0.25">
      <c r="A126" t="s">
        <v>125</v>
      </c>
      <c r="B126" t="s">
        <v>43</v>
      </c>
    </row>
    <row r="127" spans="1:2" x14ac:dyDescent="0.25">
      <c r="A127" t="s">
        <v>126</v>
      </c>
      <c r="B127" t="s">
        <v>40</v>
      </c>
    </row>
    <row r="128" spans="1:2" x14ac:dyDescent="0.25">
      <c r="A128" t="s">
        <v>126</v>
      </c>
      <c r="B128" t="s">
        <v>41</v>
      </c>
    </row>
    <row r="129" spans="1:2" x14ac:dyDescent="0.25">
      <c r="A129" t="s">
        <v>126</v>
      </c>
      <c r="B129" t="s">
        <v>43</v>
      </c>
    </row>
    <row r="130" spans="1:2" x14ac:dyDescent="0.25">
      <c r="A130" t="s">
        <v>127</v>
      </c>
      <c r="B130" t="s">
        <v>41</v>
      </c>
    </row>
    <row r="131" spans="1:2" x14ac:dyDescent="0.25">
      <c r="A131" t="s">
        <v>127</v>
      </c>
      <c r="B131" t="s">
        <v>43</v>
      </c>
    </row>
    <row r="132" spans="1:2" x14ac:dyDescent="0.25">
      <c r="A132" t="s">
        <v>127</v>
      </c>
      <c r="B132" t="s">
        <v>40</v>
      </c>
    </row>
    <row r="133" spans="1:2" x14ac:dyDescent="0.25">
      <c r="A133" t="s">
        <v>128</v>
      </c>
      <c r="B133" t="s">
        <v>40</v>
      </c>
    </row>
    <row r="134" spans="1:2" x14ac:dyDescent="0.25">
      <c r="A134" t="s">
        <v>128</v>
      </c>
      <c r="B134" t="s">
        <v>41</v>
      </c>
    </row>
    <row r="135" spans="1:2" x14ac:dyDescent="0.25">
      <c r="A135" t="s">
        <v>128</v>
      </c>
      <c r="B135" t="s">
        <v>43</v>
      </c>
    </row>
    <row r="136" spans="1:2" x14ac:dyDescent="0.25">
      <c r="A136" t="s">
        <v>129</v>
      </c>
      <c r="B136" t="s">
        <v>40</v>
      </c>
    </row>
    <row r="137" spans="1:2" x14ac:dyDescent="0.25">
      <c r="A137" t="s">
        <v>129</v>
      </c>
      <c r="B137" t="s">
        <v>41</v>
      </c>
    </row>
    <row r="138" spans="1:2" x14ac:dyDescent="0.25">
      <c r="A138" t="s">
        <v>129</v>
      </c>
      <c r="B138" t="s">
        <v>43</v>
      </c>
    </row>
    <row r="139" spans="1:2" x14ac:dyDescent="0.25">
      <c r="A139" t="s">
        <v>130</v>
      </c>
      <c r="B139" t="s">
        <v>43</v>
      </c>
    </row>
    <row r="140" spans="1:2" x14ac:dyDescent="0.25">
      <c r="A140" t="s">
        <v>130</v>
      </c>
      <c r="B140" t="s">
        <v>40</v>
      </c>
    </row>
    <row r="141" spans="1:2" x14ac:dyDescent="0.25">
      <c r="A141" t="s">
        <v>130</v>
      </c>
      <c r="B141" t="s">
        <v>41</v>
      </c>
    </row>
    <row r="142" spans="1:2" x14ac:dyDescent="0.25">
      <c r="A142" t="s">
        <v>131</v>
      </c>
      <c r="B142" t="s">
        <v>40</v>
      </c>
    </row>
    <row r="143" spans="1:2" x14ac:dyDescent="0.25">
      <c r="A143" t="s">
        <v>131</v>
      </c>
      <c r="B143" t="s">
        <v>41</v>
      </c>
    </row>
    <row r="144" spans="1:2" x14ac:dyDescent="0.25">
      <c r="A144" t="s">
        <v>131</v>
      </c>
      <c r="B144" t="s">
        <v>43</v>
      </c>
    </row>
    <row r="145" spans="1:2" x14ac:dyDescent="0.25">
      <c r="A145" t="s">
        <v>132</v>
      </c>
      <c r="B145" t="s">
        <v>40</v>
      </c>
    </row>
    <row r="146" spans="1:2" x14ac:dyDescent="0.25">
      <c r="A146" t="s">
        <v>132</v>
      </c>
      <c r="B146" t="s">
        <v>41</v>
      </c>
    </row>
    <row r="147" spans="1:2" x14ac:dyDescent="0.25">
      <c r="A147" t="s">
        <v>132</v>
      </c>
      <c r="B147" t="s">
        <v>43</v>
      </c>
    </row>
    <row r="148" spans="1:2" x14ac:dyDescent="0.25">
      <c r="A148" t="s">
        <v>133</v>
      </c>
      <c r="B148" t="s">
        <v>40</v>
      </c>
    </row>
    <row r="149" spans="1:2" x14ac:dyDescent="0.25">
      <c r="A149" t="s">
        <v>133</v>
      </c>
      <c r="B149" t="s">
        <v>41</v>
      </c>
    </row>
    <row r="150" spans="1:2" x14ac:dyDescent="0.25">
      <c r="A150" t="s">
        <v>133</v>
      </c>
      <c r="B150" t="s">
        <v>43</v>
      </c>
    </row>
    <row r="151" spans="1:2" x14ac:dyDescent="0.25">
      <c r="A151" t="s">
        <v>134</v>
      </c>
      <c r="B151" t="s">
        <v>40</v>
      </c>
    </row>
    <row r="152" spans="1:2" x14ac:dyDescent="0.25">
      <c r="A152" t="s">
        <v>134</v>
      </c>
      <c r="B152" t="s">
        <v>41</v>
      </c>
    </row>
    <row r="153" spans="1:2" x14ac:dyDescent="0.25">
      <c r="A153" t="s">
        <v>134</v>
      </c>
      <c r="B153" t="s">
        <v>43</v>
      </c>
    </row>
    <row r="154" spans="1:2" x14ac:dyDescent="0.25">
      <c r="A154" t="s">
        <v>135</v>
      </c>
      <c r="B154" t="s">
        <v>40</v>
      </c>
    </row>
    <row r="155" spans="1:2" x14ac:dyDescent="0.25">
      <c r="A155" t="s">
        <v>135</v>
      </c>
      <c r="B155" t="s">
        <v>41</v>
      </c>
    </row>
    <row r="156" spans="1:2" x14ac:dyDescent="0.25">
      <c r="A156" t="s">
        <v>135</v>
      </c>
      <c r="B156" t="s">
        <v>43</v>
      </c>
    </row>
    <row r="157" spans="1:2" x14ac:dyDescent="0.25">
      <c r="A157" t="s">
        <v>136</v>
      </c>
      <c r="B157" t="s">
        <v>41</v>
      </c>
    </row>
    <row r="158" spans="1:2" x14ac:dyDescent="0.25">
      <c r="A158" t="s">
        <v>136</v>
      </c>
      <c r="B158" t="s">
        <v>43</v>
      </c>
    </row>
    <row r="159" spans="1:2" x14ac:dyDescent="0.25">
      <c r="A159" t="s">
        <v>136</v>
      </c>
      <c r="B159" t="s">
        <v>40</v>
      </c>
    </row>
    <row r="160" spans="1:2" x14ac:dyDescent="0.25">
      <c r="A160" t="s">
        <v>137</v>
      </c>
      <c r="B160" t="s">
        <v>40</v>
      </c>
    </row>
    <row r="161" spans="1:2" x14ac:dyDescent="0.25">
      <c r="A161" t="s">
        <v>137</v>
      </c>
      <c r="B161" t="s">
        <v>41</v>
      </c>
    </row>
    <row r="162" spans="1:2" x14ac:dyDescent="0.25">
      <c r="A162" t="s">
        <v>137</v>
      </c>
      <c r="B162" t="s">
        <v>43</v>
      </c>
    </row>
    <row r="163" spans="1:2" x14ac:dyDescent="0.25">
      <c r="A163" t="s">
        <v>138</v>
      </c>
      <c r="B163" t="s">
        <v>40</v>
      </c>
    </row>
    <row r="164" spans="1:2" x14ac:dyDescent="0.25">
      <c r="A164" t="s">
        <v>138</v>
      </c>
      <c r="B164" t="s">
        <v>41</v>
      </c>
    </row>
    <row r="165" spans="1:2" x14ac:dyDescent="0.25">
      <c r="A165" t="s">
        <v>138</v>
      </c>
      <c r="B165" t="s">
        <v>43</v>
      </c>
    </row>
    <row r="166" spans="1:2" x14ac:dyDescent="0.25">
      <c r="A166" t="s">
        <v>139</v>
      </c>
      <c r="B166" t="s">
        <v>43</v>
      </c>
    </row>
    <row r="167" spans="1:2" x14ac:dyDescent="0.25">
      <c r="A167" t="s">
        <v>139</v>
      </c>
      <c r="B167" t="s">
        <v>40</v>
      </c>
    </row>
    <row r="168" spans="1:2" x14ac:dyDescent="0.25">
      <c r="A168" t="s">
        <v>139</v>
      </c>
      <c r="B168" t="s">
        <v>41</v>
      </c>
    </row>
    <row r="169" spans="1:2" x14ac:dyDescent="0.25">
      <c r="A169" t="s">
        <v>140</v>
      </c>
      <c r="B169" t="s">
        <v>40</v>
      </c>
    </row>
    <row r="170" spans="1:2" x14ac:dyDescent="0.25">
      <c r="A170" t="s">
        <v>140</v>
      </c>
      <c r="B170" t="s">
        <v>41</v>
      </c>
    </row>
    <row r="171" spans="1:2" x14ac:dyDescent="0.25">
      <c r="A171" t="s">
        <v>140</v>
      </c>
      <c r="B171" t="s">
        <v>43</v>
      </c>
    </row>
    <row r="172" spans="1:2" x14ac:dyDescent="0.25">
      <c r="A172" t="s">
        <v>141</v>
      </c>
      <c r="B172" t="s">
        <v>40</v>
      </c>
    </row>
    <row r="173" spans="1:2" x14ac:dyDescent="0.25">
      <c r="A173" t="s">
        <v>141</v>
      </c>
      <c r="B173" t="s">
        <v>41</v>
      </c>
    </row>
    <row r="174" spans="1:2" x14ac:dyDescent="0.25">
      <c r="A174" t="s">
        <v>141</v>
      </c>
      <c r="B174" t="s">
        <v>43</v>
      </c>
    </row>
    <row r="175" spans="1:2" x14ac:dyDescent="0.25">
      <c r="A175" t="s">
        <v>142</v>
      </c>
      <c r="B175" t="s">
        <v>40</v>
      </c>
    </row>
    <row r="176" spans="1:2" x14ac:dyDescent="0.25">
      <c r="A176" t="s">
        <v>142</v>
      </c>
      <c r="B176" t="s">
        <v>41</v>
      </c>
    </row>
    <row r="177" spans="1:2" x14ac:dyDescent="0.25">
      <c r="A177" t="s">
        <v>142</v>
      </c>
      <c r="B177" t="s">
        <v>43</v>
      </c>
    </row>
    <row r="178" spans="1:2" x14ac:dyDescent="0.25">
      <c r="A178" t="s">
        <v>143</v>
      </c>
      <c r="B178" t="s">
        <v>40</v>
      </c>
    </row>
    <row r="179" spans="1:2" x14ac:dyDescent="0.25">
      <c r="A179" t="s">
        <v>143</v>
      </c>
      <c r="B179" t="s">
        <v>41</v>
      </c>
    </row>
    <row r="180" spans="1:2" x14ac:dyDescent="0.25">
      <c r="A180" t="s">
        <v>143</v>
      </c>
      <c r="B180" t="s">
        <v>43</v>
      </c>
    </row>
    <row r="181" spans="1:2" x14ac:dyDescent="0.25">
      <c r="A181" t="s">
        <v>144</v>
      </c>
      <c r="B181" t="s">
        <v>41</v>
      </c>
    </row>
    <row r="182" spans="1:2" x14ac:dyDescent="0.25">
      <c r="A182" t="s">
        <v>144</v>
      </c>
      <c r="B182" t="s">
        <v>43</v>
      </c>
    </row>
    <row r="183" spans="1:2" x14ac:dyDescent="0.25">
      <c r="A183" t="s">
        <v>144</v>
      </c>
      <c r="B183" t="s">
        <v>40</v>
      </c>
    </row>
    <row r="184" spans="1:2" x14ac:dyDescent="0.25">
      <c r="A184" t="s">
        <v>145</v>
      </c>
      <c r="B184" t="s">
        <v>40</v>
      </c>
    </row>
    <row r="185" spans="1:2" x14ac:dyDescent="0.25">
      <c r="A185" t="s">
        <v>145</v>
      </c>
      <c r="B185" t="s">
        <v>41</v>
      </c>
    </row>
    <row r="186" spans="1:2" x14ac:dyDescent="0.25">
      <c r="A186" t="s">
        <v>145</v>
      </c>
      <c r="B186" t="s">
        <v>43</v>
      </c>
    </row>
    <row r="187" spans="1:2" x14ac:dyDescent="0.25">
      <c r="A187" t="s">
        <v>146</v>
      </c>
      <c r="B187" t="s">
        <v>40</v>
      </c>
    </row>
    <row r="188" spans="1:2" x14ac:dyDescent="0.25">
      <c r="A188" t="s">
        <v>146</v>
      </c>
      <c r="B188" t="s">
        <v>41</v>
      </c>
    </row>
    <row r="189" spans="1:2" x14ac:dyDescent="0.25">
      <c r="A189" t="s">
        <v>146</v>
      </c>
      <c r="B189" t="s">
        <v>43</v>
      </c>
    </row>
    <row r="190" spans="1:2" x14ac:dyDescent="0.25">
      <c r="A190" t="s">
        <v>147</v>
      </c>
      <c r="B190" t="s">
        <v>41</v>
      </c>
    </row>
    <row r="191" spans="1:2" x14ac:dyDescent="0.25">
      <c r="A191" t="s">
        <v>147</v>
      </c>
      <c r="B191" t="s">
        <v>43</v>
      </c>
    </row>
    <row r="192" spans="1:2" x14ac:dyDescent="0.25">
      <c r="A192" t="s">
        <v>147</v>
      </c>
      <c r="B192" t="s">
        <v>40</v>
      </c>
    </row>
    <row r="193" spans="1:2" x14ac:dyDescent="0.25">
      <c r="A193" t="s">
        <v>148</v>
      </c>
      <c r="B193" t="s">
        <v>40</v>
      </c>
    </row>
    <row r="194" spans="1:2" x14ac:dyDescent="0.25">
      <c r="A194" t="s">
        <v>148</v>
      </c>
      <c r="B194" t="s">
        <v>41</v>
      </c>
    </row>
    <row r="195" spans="1:2" x14ac:dyDescent="0.25">
      <c r="A195" t="s">
        <v>148</v>
      </c>
      <c r="B195" t="s">
        <v>43</v>
      </c>
    </row>
    <row r="196" spans="1:2" x14ac:dyDescent="0.25">
      <c r="A196" t="s">
        <v>149</v>
      </c>
      <c r="B196" t="s">
        <v>40</v>
      </c>
    </row>
    <row r="197" spans="1:2" x14ac:dyDescent="0.25">
      <c r="A197" t="s">
        <v>149</v>
      </c>
      <c r="B197" t="s">
        <v>41</v>
      </c>
    </row>
    <row r="198" spans="1:2" x14ac:dyDescent="0.25">
      <c r="A198" t="s">
        <v>149</v>
      </c>
      <c r="B198" t="s">
        <v>43</v>
      </c>
    </row>
    <row r="199" spans="1:2" x14ac:dyDescent="0.25">
      <c r="A199" t="s">
        <v>150</v>
      </c>
      <c r="B199" t="s">
        <v>41</v>
      </c>
    </row>
    <row r="200" spans="1:2" x14ac:dyDescent="0.25">
      <c r="A200" t="s">
        <v>150</v>
      </c>
      <c r="B200" t="s">
        <v>43</v>
      </c>
    </row>
    <row r="201" spans="1:2" x14ac:dyDescent="0.25">
      <c r="A201" t="s">
        <v>150</v>
      </c>
      <c r="B201" t="s">
        <v>40</v>
      </c>
    </row>
    <row r="202" spans="1:2" x14ac:dyDescent="0.25">
      <c r="A202" t="s">
        <v>151</v>
      </c>
      <c r="B202" t="s">
        <v>40</v>
      </c>
    </row>
    <row r="203" spans="1:2" x14ac:dyDescent="0.25">
      <c r="A203" t="s">
        <v>151</v>
      </c>
      <c r="B203" t="s">
        <v>41</v>
      </c>
    </row>
    <row r="204" spans="1:2" x14ac:dyDescent="0.25">
      <c r="A204" t="s">
        <v>151</v>
      </c>
      <c r="B204" t="s">
        <v>43</v>
      </c>
    </row>
    <row r="205" spans="1:2" x14ac:dyDescent="0.25">
      <c r="A205" t="s">
        <v>152</v>
      </c>
      <c r="B205" t="s">
        <v>40</v>
      </c>
    </row>
    <row r="206" spans="1:2" x14ac:dyDescent="0.25">
      <c r="A206" t="s">
        <v>152</v>
      </c>
      <c r="B206" t="s">
        <v>41</v>
      </c>
    </row>
    <row r="207" spans="1:2" x14ac:dyDescent="0.25">
      <c r="A207" t="s">
        <v>152</v>
      </c>
      <c r="B207" t="s">
        <v>43</v>
      </c>
    </row>
    <row r="208" spans="1:2" x14ac:dyDescent="0.25">
      <c r="A208" t="s">
        <v>153</v>
      </c>
      <c r="B208" t="s">
        <v>43</v>
      </c>
    </row>
    <row r="209" spans="1:2" x14ac:dyDescent="0.25">
      <c r="A209" t="s">
        <v>153</v>
      </c>
      <c r="B209" t="s">
        <v>40</v>
      </c>
    </row>
    <row r="210" spans="1:2" x14ac:dyDescent="0.25">
      <c r="A210" t="s">
        <v>153</v>
      </c>
      <c r="B210" t="s">
        <v>41</v>
      </c>
    </row>
    <row r="211" spans="1:2" x14ac:dyDescent="0.25">
      <c r="A211" t="s">
        <v>154</v>
      </c>
      <c r="B211" t="s">
        <v>40</v>
      </c>
    </row>
    <row r="212" spans="1:2" x14ac:dyDescent="0.25">
      <c r="A212" t="s">
        <v>154</v>
      </c>
      <c r="B212" t="s">
        <v>41</v>
      </c>
    </row>
    <row r="213" spans="1:2" x14ac:dyDescent="0.25">
      <c r="A213" t="s">
        <v>154</v>
      </c>
      <c r="B213" t="s">
        <v>43</v>
      </c>
    </row>
    <row r="214" spans="1:2" x14ac:dyDescent="0.25">
      <c r="A214" t="s">
        <v>155</v>
      </c>
      <c r="B214" t="s">
        <v>40</v>
      </c>
    </row>
    <row r="215" spans="1:2" x14ac:dyDescent="0.25">
      <c r="A215" t="s">
        <v>155</v>
      </c>
      <c r="B215" t="s">
        <v>41</v>
      </c>
    </row>
    <row r="216" spans="1:2" x14ac:dyDescent="0.25">
      <c r="A216" t="s">
        <v>155</v>
      </c>
      <c r="B216" t="s">
        <v>43</v>
      </c>
    </row>
    <row r="217" spans="1:2" x14ac:dyDescent="0.25">
      <c r="A217" t="s">
        <v>156</v>
      </c>
      <c r="B217" t="s">
        <v>40</v>
      </c>
    </row>
    <row r="218" spans="1:2" x14ac:dyDescent="0.25">
      <c r="A218" t="s">
        <v>156</v>
      </c>
      <c r="B218" t="s">
        <v>41</v>
      </c>
    </row>
    <row r="219" spans="1:2" x14ac:dyDescent="0.25">
      <c r="A219" t="s">
        <v>156</v>
      </c>
      <c r="B219" t="s">
        <v>43</v>
      </c>
    </row>
    <row r="220" spans="1:2" x14ac:dyDescent="0.25">
      <c r="A220" t="s">
        <v>157</v>
      </c>
      <c r="B220" t="s">
        <v>40</v>
      </c>
    </row>
    <row r="221" spans="1:2" x14ac:dyDescent="0.25">
      <c r="A221" t="s">
        <v>157</v>
      </c>
      <c r="B221" t="s">
        <v>41</v>
      </c>
    </row>
    <row r="222" spans="1:2" x14ac:dyDescent="0.25">
      <c r="A222" t="s">
        <v>157</v>
      </c>
      <c r="B222" t="s">
        <v>43</v>
      </c>
    </row>
    <row r="223" spans="1:2" x14ac:dyDescent="0.25">
      <c r="A223" t="s">
        <v>158</v>
      </c>
      <c r="B223" t="s">
        <v>40</v>
      </c>
    </row>
    <row r="224" spans="1:2" x14ac:dyDescent="0.25">
      <c r="A224" t="s">
        <v>158</v>
      </c>
      <c r="B224" t="s">
        <v>41</v>
      </c>
    </row>
    <row r="225" spans="1:2" x14ac:dyDescent="0.25">
      <c r="A225" t="s">
        <v>158</v>
      </c>
      <c r="B225" t="s">
        <v>43</v>
      </c>
    </row>
    <row r="226" spans="1:2" x14ac:dyDescent="0.25">
      <c r="A226" t="s">
        <v>159</v>
      </c>
      <c r="B226" t="s">
        <v>43</v>
      </c>
    </row>
    <row r="227" spans="1:2" x14ac:dyDescent="0.25">
      <c r="A227" t="s">
        <v>159</v>
      </c>
      <c r="B227" t="s">
        <v>40</v>
      </c>
    </row>
    <row r="228" spans="1:2" x14ac:dyDescent="0.25">
      <c r="A228" t="s">
        <v>159</v>
      </c>
      <c r="B228" t="s">
        <v>41</v>
      </c>
    </row>
    <row r="229" spans="1:2" x14ac:dyDescent="0.25">
      <c r="A229" t="s">
        <v>160</v>
      </c>
      <c r="B229" t="s">
        <v>40</v>
      </c>
    </row>
    <row r="230" spans="1:2" x14ac:dyDescent="0.25">
      <c r="A230" t="s">
        <v>160</v>
      </c>
      <c r="B230" t="s">
        <v>41</v>
      </c>
    </row>
    <row r="231" spans="1:2" x14ac:dyDescent="0.25">
      <c r="A231" t="s">
        <v>160</v>
      </c>
      <c r="B231" t="s">
        <v>43</v>
      </c>
    </row>
    <row r="232" spans="1:2" x14ac:dyDescent="0.25">
      <c r="A232" t="s">
        <v>161</v>
      </c>
      <c r="B232" t="s">
        <v>40</v>
      </c>
    </row>
    <row r="233" spans="1:2" x14ac:dyDescent="0.25">
      <c r="A233" t="s">
        <v>161</v>
      </c>
      <c r="B233" t="s">
        <v>41</v>
      </c>
    </row>
    <row r="234" spans="1:2" x14ac:dyDescent="0.25">
      <c r="A234" t="s">
        <v>161</v>
      </c>
      <c r="B234" t="s">
        <v>43</v>
      </c>
    </row>
    <row r="235" spans="1:2" x14ac:dyDescent="0.25">
      <c r="A235" t="s">
        <v>162</v>
      </c>
      <c r="B235" t="s">
        <v>43</v>
      </c>
    </row>
    <row r="236" spans="1:2" x14ac:dyDescent="0.25">
      <c r="A236" t="s">
        <v>162</v>
      </c>
      <c r="B236" t="s">
        <v>40</v>
      </c>
    </row>
    <row r="237" spans="1:2" x14ac:dyDescent="0.25">
      <c r="A237" t="s">
        <v>162</v>
      </c>
      <c r="B237" t="s">
        <v>41</v>
      </c>
    </row>
    <row r="238" spans="1:2" x14ac:dyDescent="0.25">
      <c r="A238" t="s">
        <v>163</v>
      </c>
      <c r="B238" t="s">
        <v>40</v>
      </c>
    </row>
    <row r="239" spans="1:2" x14ac:dyDescent="0.25">
      <c r="A239" t="s">
        <v>163</v>
      </c>
      <c r="B239" t="s">
        <v>41</v>
      </c>
    </row>
    <row r="240" spans="1:2" x14ac:dyDescent="0.25">
      <c r="A240" t="s">
        <v>163</v>
      </c>
      <c r="B240" t="s">
        <v>43</v>
      </c>
    </row>
    <row r="241" spans="1:2" x14ac:dyDescent="0.25">
      <c r="A241" t="s">
        <v>164</v>
      </c>
      <c r="B241" t="s">
        <v>41</v>
      </c>
    </row>
    <row r="242" spans="1:2" x14ac:dyDescent="0.25">
      <c r="A242" t="s">
        <v>164</v>
      </c>
      <c r="B242" t="s">
        <v>43</v>
      </c>
    </row>
    <row r="243" spans="1:2" x14ac:dyDescent="0.25">
      <c r="A243" t="s">
        <v>164</v>
      </c>
      <c r="B243" t="s">
        <v>40</v>
      </c>
    </row>
    <row r="244" spans="1:2" x14ac:dyDescent="0.25">
      <c r="A244" t="s">
        <v>165</v>
      </c>
      <c r="B244" t="s">
        <v>40</v>
      </c>
    </row>
    <row r="245" spans="1:2" x14ac:dyDescent="0.25">
      <c r="A245" t="s">
        <v>165</v>
      </c>
      <c r="B245" t="s">
        <v>41</v>
      </c>
    </row>
    <row r="246" spans="1:2" x14ac:dyDescent="0.25">
      <c r="A246" t="s">
        <v>165</v>
      </c>
      <c r="B246" t="s">
        <v>43</v>
      </c>
    </row>
    <row r="247" spans="1:2" x14ac:dyDescent="0.25">
      <c r="A247" t="s">
        <v>166</v>
      </c>
      <c r="B247" t="s">
        <v>40</v>
      </c>
    </row>
    <row r="248" spans="1:2" x14ac:dyDescent="0.25">
      <c r="A248" t="s">
        <v>166</v>
      </c>
      <c r="B248" t="s">
        <v>41</v>
      </c>
    </row>
    <row r="249" spans="1:2" x14ac:dyDescent="0.25">
      <c r="A249" t="s">
        <v>166</v>
      </c>
      <c r="B249" t="s">
        <v>43</v>
      </c>
    </row>
    <row r="250" spans="1:2" x14ac:dyDescent="0.25">
      <c r="A250" t="s">
        <v>167</v>
      </c>
      <c r="B250" t="s">
        <v>41</v>
      </c>
    </row>
    <row r="251" spans="1:2" x14ac:dyDescent="0.25">
      <c r="A251" t="s">
        <v>167</v>
      </c>
      <c r="B251" t="s">
        <v>43</v>
      </c>
    </row>
    <row r="252" spans="1:2" x14ac:dyDescent="0.25">
      <c r="A252" t="s">
        <v>167</v>
      </c>
      <c r="B252" t="s">
        <v>40</v>
      </c>
    </row>
    <row r="253" spans="1:2" x14ac:dyDescent="0.25">
      <c r="A253" t="s">
        <v>168</v>
      </c>
      <c r="B253" t="s">
        <v>40</v>
      </c>
    </row>
    <row r="254" spans="1:2" x14ac:dyDescent="0.25">
      <c r="A254" t="s">
        <v>168</v>
      </c>
      <c r="B254" t="s">
        <v>41</v>
      </c>
    </row>
    <row r="255" spans="1:2" x14ac:dyDescent="0.25">
      <c r="A255" t="s">
        <v>168</v>
      </c>
      <c r="B255" t="s">
        <v>43</v>
      </c>
    </row>
    <row r="256" spans="1:2" x14ac:dyDescent="0.25">
      <c r="A256" t="s">
        <v>169</v>
      </c>
      <c r="B256" t="s">
        <v>40</v>
      </c>
    </row>
    <row r="257" spans="1:2" x14ac:dyDescent="0.25">
      <c r="A257" t="s">
        <v>169</v>
      </c>
      <c r="B257" t="s">
        <v>41</v>
      </c>
    </row>
    <row r="258" spans="1:2" x14ac:dyDescent="0.25">
      <c r="A258" t="s">
        <v>169</v>
      </c>
      <c r="B258" t="s">
        <v>43</v>
      </c>
    </row>
    <row r="259" spans="1:2" x14ac:dyDescent="0.25">
      <c r="A259" t="s">
        <v>170</v>
      </c>
      <c r="B259" t="s">
        <v>40</v>
      </c>
    </row>
    <row r="260" spans="1:2" x14ac:dyDescent="0.25">
      <c r="A260" t="s">
        <v>170</v>
      </c>
      <c r="B260" t="s">
        <v>41</v>
      </c>
    </row>
    <row r="261" spans="1:2" x14ac:dyDescent="0.25">
      <c r="A261" t="s">
        <v>170</v>
      </c>
      <c r="B261" t="s">
        <v>43</v>
      </c>
    </row>
    <row r="262" spans="1:2" x14ac:dyDescent="0.25">
      <c r="A262" t="s">
        <v>171</v>
      </c>
      <c r="B262" t="s">
        <v>40</v>
      </c>
    </row>
    <row r="263" spans="1:2" x14ac:dyDescent="0.25">
      <c r="A263" t="s">
        <v>171</v>
      </c>
      <c r="B263" t="s">
        <v>41</v>
      </c>
    </row>
    <row r="264" spans="1:2" x14ac:dyDescent="0.25">
      <c r="A264" t="s">
        <v>171</v>
      </c>
      <c r="B264" t="s">
        <v>43</v>
      </c>
    </row>
    <row r="265" spans="1:2" x14ac:dyDescent="0.25">
      <c r="A265" t="s">
        <v>172</v>
      </c>
      <c r="B265" t="s">
        <v>40</v>
      </c>
    </row>
    <row r="266" spans="1:2" x14ac:dyDescent="0.25">
      <c r="A266" t="s">
        <v>172</v>
      </c>
      <c r="B266" t="s">
        <v>41</v>
      </c>
    </row>
    <row r="267" spans="1:2" x14ac:dyDescent="0.25">
      <c r="A267" t="s">
        <v>172</v>
      </c>
      <c r="B267" t="s">
        <v>43</v>
      </c>
    </row>
    <row r="268" spans="1:2" x14ac:dyDescent="0.25">
      <c r="A268" t="s">
        <v>173</v>
      </c>
      <c r="B268" t="s">
        <v>41</v>
      </c>
    </row>
    <row r="269" spans="1:2" x14ac:dyDescent="0.25">
      <c r="A269" t="s">
        <v>173</v>
      </c>
      <c r="B269" t="s">
        <v>43</v>
      </c>
    </row>
    <row r="270" spans="1:2" x14ac:dyDescent="0.25">
      <c r="A270" t="s">
        <v>173</v>
      </c>
      <c r="B270" t="s">
        <v>40</v>
      </c>
    </row>
    <row r="271" spans="1:2" x14ac:dyDescent="0.25">
      <c r="A271" t="s">
        <v>174</v>
      </c>
      <c r="B271" t="s">
        <v>40</v>
      </c>
    </row>
    <row r="272" spans="1:2" x14ac:dyDescent="0.25">
      <c r="A272" t="s">
        <v>174</v>
      </c>
      <c r="B272" t="s">
        <v>41</v>
      </c>
    </row>
    <row r="273" spans="1:2" x14ac:dyDescent="0.25">
      <c r="A273" t="s">
        <v>174</v>
      </c>
      <c r="B273" t="s">
        <v>43</v>
      </c>
    </row>
    <row r="274" spans="1:2" x14ac:dyDescent="0.25">
      <c r="A274" t="s">
        <v>175</v>
      </c>
      <c r="B274" t="s">
        <v>40</v>
      </c>
    </row>
    <row r="275" spans="1:2" x14ac:dyDescent="0.25">
      <c r="A275" t="s">
        <v>175</v>
      </c>
      <c r="B275" t="s">
        <v>41</v>
      </c>
    </row>
    <row r="276" spans="1:2" x14ac:dyDescent="0.25">
      <c r="A276" t="s">
        <v>175</v>
      </c>
      <c r="B276" t="s">
        <v>43</v>
      </c>
    </row>
    <row r="277" spans="1:2" x14ac:dyDescent="0.25">
      <c r="A277" t="s">
        <v>176</v>
      </c>
      <c r="B277" t="s">
        <v>43</v>
      </c>
    </row>
    <row r="278" spans="1:2" x14ac:dyDescent="0.25">
      <c r="A278" t="s">
        <v>176</v>
      </c>
      <c r="B278" t="s">
        <v>40</v>
      </c>
    </row>
    <row r="279" spans="1:2" x14ac:dyDescent="0.25">
      <c r="A279" t="s">
        <v>176</v>
      </c>
      <c r="B279" t="s">
        <v>41</v>
      </c>
    </row>
    <row r="280" spans="1:2" x14ac:dyDescent="0.25">
      <c r="A280" t="s">
        <v>177</v>
      </c>
      <c r="B280" t="s">
        <v>40</v>
      </c>
    </row>
    <row r="281" spans="1:2" x14ac:dyDescent="0.25">
      <c r="A281" t="s">
        <v>177</v>
      </c>
      <c r="B281" t="s">
        <v>41</v>
      </c>
    </row>
    <row r="282" spans="1:2" x14ac:dyDescent="0.25">
      <c r="A282" t="s">
        <v>177</v>
      </c>
      <c r="B282" t="s">
        <v>43</v>
      </c>
    </row>
    <row r="283" spans="1:2" x14ac:dyDescent="0.25">
      <c r="A283" t="s">
        <v>178</v>
      </c>
      <c r="B283" t="s">
        <v>40</v>
      </c>
    </row>
    <row r="284" spans="1:2" x14ac:dyDescent="0.25">
      <c r="A284" t="s">
        <v>178</v>
      </c>
      <c r="B284" t="s">
        <v>41</v>
      </c>
    </row>
    <row r="285" spans="1:2" x14ac:dyDescent="0.25">
      <c r="A285" t="s">
        <v>178</v>
      </c>
      <c r="B285" t="s">
        <v>43</v>
      </c>
    </row>
    <row r="286" spans="1:2" x14ac:dyDescent="0.25">
      <c r="A286" t="s">
        <v>179</v>
      </c>
      <c r="B286" t="s">
        <v>43</v>
      </c>
    </row>
    <row r="287" spans="1:2" x14ac:dyDescent="0.25">
      <c r="A287" t="s">
        <v>179</v>
      </c>
      <c r="B287" t="s">
        <v>40</v>
      </c>
    </row>
    <row r="288" spans="1:2" x14ac:dyDescent="0.25">
      <c r="A288" t="s">
        <v>179</v>
      </c>
      <c r="B288" t="s">
        <v>41</v>
      </c>
    </row>
    <row r="289" spans="1:2" x14ac:dyDescent="0.25">
      <c r="A289" t="s">
        <v>180</v>
      </c>
      <c r="B289" t="s">
        <v>40</v>
      </c>
    </row>
    <row r="290" spans="1:2" x14ac:dyDescent="0.25">
      <c r="A290" t="s">
        <v>180</v>
      </c>
      <c r="B290" t="s">
        <v>41</v>
      </c>
    </row>
    <row r="291" spans="1:2" x14ac:dyDescent="0.25">
      <c r="A291" t="s">
        <v>180</v>
      </c>
      <c r="B291" t="s">
        <v>43</v>
      </c>
    </row>
    <row r="292" spans="1:2" x14ac:dyDescent="0.25">
      <c r="A292" t="s">
        <v>181</v>
      </c>
      <c r="B292" t="s">
        <v>41</v>
      </c>
    </row>
    <row r="293" spans="1:2" x14ac:dyDescent="0.25">
      <c r="A293" t="s">
        <v>181</v>
      </c>
      <c r="B293" t="s">
        <v>43</v>
      </c>
    </row>
    <row r="294" spans="1:2" x14ac:dyDescent="0.25">
      <c r="A294" t="s">
        <v>181</v>
      </c>
      <c r="B294" t="s">
        <v>40</v>
      </c>
    </row>
    <row r="295" spans="1:2" x14ac:dyDescent="0.25">
      <c r="A295" t="s">
        <v>182</v>
      </c>
      <c r="B295" t="s">
        <v>41</v>
      </c>
    </row>
    <row r="296" spans="1:2" x14ac:dyDescent="0.25">
      <c r="A296" t="s">
        <v>182</v>
      </c>
      <c r="B296" t="s">
        <v>43</v>
      </c>
    </row>
    <row r="297" spans="1:2" x14ac:dyDescent="0.25">
      <c r="A297" t="s">
        <v>182</v>
      </c>
      <c r="B297" t="s">
        <v>40</v>
      </c>
    </row>
    <row r="298" spans="1:2" x14ac:dyDescent="0.25">
      <c r="A298" t="s">
        <v>183</v>
      </c>
      <c r="B298" t="s">
        <v>40</v>
      </c>
    </row>
    <row r="299" spans="1:2" x14ac:dyDescent="0.25">
      <c r="A299" t="s">
        <v>183</v>
      </c>
      <c r="B299" t="s">
        <v>41</v>
      </c>
    </row>
    <row r="300" spans="1:2" x14ac:dyDescent="0.25">
      <c r="A300" t="s">
        <v>183</v>
      </c>
      <c r="B300" t="s">
        <v>43</v>
      </c>
    </row>
    <row r="301" spans="1:2" x14ac:dyDescent="0.25">
      <c r="A301" t="s">
        <v>184</v>
      </c>
      <c r="B301" t="s">
        <v>40</v>
      </c>
    </row>
    <row r="302" spans="1:2" x14ac:dyDescent="0.25">
      <c r="A302" t="s">
        <v>184</v>
      </c>
      <c r="B302" t="s">
        <v>41</v>
      </c>
    </row>
    <row r="303" spans="1:2" x14ac:dyDescent="0.25">
      <c r="A303" t="s">
        <v>184</v>
      </c>
      <c r="B303" t="s">
        <v>43</v>
      </c>
    </row>
    <row r="304" spans="1:2" x14ac:dyDescent="0.25">
      <c r="A304" t="s">
        <v>185</v>
      </c>
      <c r="B304" t="s">
        <v>43</v>
      </c>
    </row>
    <row r="305" spans="1:2" x14ac:dyDescent="0.25">
      <c r="A305" t="s">
        <v>185</v>
      </c>
      <c r="B305" t="s">
        <v>40</v>
      </c>
    </row>
    <row r="306" spans="1:2" x14ac:dyDescent="0.25">
      <c r="A306" t="s">
        <v>185</v>
      </c>
      <c r="B306" t="s">
        <v>41</v>
      </c>
    </row>
    <row r="307" spans="1:2" x14ac:dyDescent="0.25">
      <c r="A307" t="s">
        <v>186</v>
      </c>
      <c r="B307" t="s">
        <v>40</v>
      </c>
    </row>
    <row r="308" spans="1:2" x14ac:dyDescent="0.25">
      <c r="A308" t="s">
        <v>186</v>
      </c>
      <c r="B308" t="s">
        <v>41</v>
      </c>
    </row>
    <row r="309" spans="1:2" x14ac:dyDescent="0.25">
      <c r="A309" t="s">
        <v>186</v>
      </c>
      <c r="B309" t="s">
        <v>43</v>
      </c>
    </row>
    <row r="310" spans="1:2" x14ac:dyDescent="0.25">
      <c r="A310" t="s">
        <v>187</v>
      </c>
      <c r="B310" t="s">
        <v>40</v>
      </c>
    </row>
    <row r="311" spans="1:2" x14ac:dyDescent="0.25">
      <c r="A311" t="s">
        <v>187</v>
      </c>
      <c r="B311" t="s">
        <v>41</v>
      </c>
    </row>
    <row r="312" spans="1:2" x14ac:dyDescent="0.25">
      <c r="A312" t="s">
        <v>187</v>
      </c>
      <c r="B312" t="s">
        <v>43</v>
      </c>
    </row>
    <row r="313" spans="1:2" x14ac:dyDescent="0.25">
      <c r="A313" t="s">
        <v>188</v>
      </c>
      <c r="B313" t="s">
        <v>40</v>
      </c>
    </row>
    <row r="314" spans="1:2" x14ac:dyDescent="0.25">
      <c r="A314" t="s">
        <v>188</v>
      </c>
      <c r="B314" t="s">
        <v>41</v>
      </c>
    </row>
    <row r="315" spans="1:2" x14ac:dyDescent="0.25">
      <c r="A315" t="s">
        <v>188</v>
      </c>
      <c r="B315" t="s">
        <v>43</v>
      </c>
    </row>
    <row r="316" spans="1:2" x14ac:dyDescent="0.25">
      <c r="A316" t="s">
        <v>189</v>
      </c>
      <c r="B316" t="s">
        <v>40</v>
      </c>
    </row>
    <row r="317" spans="1:2" x14ac:dyDescent="0.25">
      <c r="A317" t="s">
        <v>189</v>
      </c>
      <c r="B317" t="s">
        <v>41</v>
      </c>
    </row>
    <row r="318" spans="1:2" x14ac:dyDescent="0.25">
      <c r="A318" t="s">
        <v>189</v>
      </c>
      <c r="B318" t="s">
        <v>43</v>
      </c>
    </row>
    <row r="319" spans="1:2" x14ac:dyDescent="0.25">
      <c r="A319" t="s">
        <v>190</v>
      </c>
      <c r="B319" t="s">
        <v>41</v>
      </c>
    </row>
    <row r="320" spans="1:2" x14ac:dyDescent="0.25">
      <c r="A320" t="s">
        <v>190</v>
      </c>
      <c r="B320" t="s">
        <v>43</v>
      </c>
    </row>
    <row r="321" spans="1:2" x14ac:dyDescent="0.25">
      <c r="A321" t="s">
        <v>190</v>
      </c>
      <c r="B321" t="s">
        <v>40</v>
      </c>
    </row>
    <row r="322" spans="1:2" x14ac:dyDescent="0.25">
      <c r="A322" t="s">
        <v>191</v>
      </c>
      <c r="B322" t="s">
        <v>40</v>
      </c>
    </row>
    <row r="323" spans="1:2" x14ac:dyDescent="0.25">
      <c r="A323" t="s">
        <v>191</v>
      </c>
      <c r="B323" t="s">
        <v>41</v>
      </c>
    </row>
    <row r="324" spans="1:2" x14ac:dyDescent="0.25">
      <c r="A324" t="s">
        <v>191</v>
      </c>
      <c r="B324" t="s">
        <v>43</v>
      </c>
    </row>
    <row r="325" spans="1:2" x14ac:dyDescent="0.25">
      <c r="A325" t="s">
        <v>192</v>
      </c>
      <c r="B325" t="s">
        <v>40</v>
      </c>
    </row>
    <row r="326" spans="1:2" x14ac:dyDescent="0.25">
      <c r="A326" t="s">
        <v>192</v>
      </c>
      <c r="B326" t="s">
        <v>41</v>
      </c>
    </row>
    <row r="327" spans="1:2" x14ac:dyDescent="0.25">
      <c r="A327" t="s">
        <v>192</v>
      </c>
      <c r="B327" t="s">
        <v>43</v>
      </c>
    </row>
    <row r="328" spans="1:2" x14ac:dyDescent="0.25">
      <c r="A328" t="s">
        <v>193</v>
      </c>
      <c r="B328" t="s">
        <v>43</v>
      </c>
    </row>
    <row r="329" spans="1:2" x14ac:dyDescent="0.25">
      <c r="A329" t="s">
        <v>193</v>
      </c>
      <c r="B329" t="s">
        <v>40</v>
      </c>
    </row>
    <row r="330" spans="1:2" x14ac:dyDescent="0.25">
      <c r="A330" t="s">
        <v>193</v>
      </c>
      <c r="B330" t="s">
        <v>41</v>
      </c>
    </row>
    <row r="331" spans="1:2" x14ac:dyDescent="0.25">
      <c r="A331" t="s">
        <v>194</v>
      </c>
      <c r="B331" t="s">
        <v>40</v>
      </c>
    </row>
    <row r="332" spans="1:2" x14ac:dyDescent="0.25">
      <c r="A332" t="s">
        <v>194</v>
      </c>
      <c r="B332" t="s">
        <v>41</v>
      </c>
    </row>
    <row r="333" spans="1:2" x14ac:dyDescent="0.25">
      <c r="A333" t="s">
        <v>194</v>
      </c>
      <c r="B333" t="s">
        <v>43</v>
      </c>
    </row>
    <row r="334" spans="1:2" x14ac:dyDescent="0.25">
      <c r="A334" t="s">
        <v>195</v>
      </c>
      <c r="B334" t="s">
        <v>40</v>
      </c>
    </row>
    <row r="335" spans="1:2" x14ac:dyDescent="0.25">
      <c r="A335" t="s">
        <v>195</v>
      </c>
      <c r="B335" t="s">
        <v>41</v>
      </c>
    </row>
    <row r="336" spans="1:2" x14ac:dyDescent="0.25">
      <c r="A336" t="s">
        <v>195</v>
      </c>
      <c r="B336" t="s">
        <v>43</v>
      </c>
    </row>
    <row r="337" spans="1:2" x14ac:dyDescent="0.25">
      <c r="A337" t="s">
        <v>196</v>
      </c>
      <c r="B337" t="s">
        <v>41</v>
      </c>
    </row>
    <row r="338" spans="1:2" x14ac:dyDescent="0.25">
      <c r="A338" t="s">
        <v>196</v>
      </c>
      <c r="B338" t="s">
        <v>43</v>
      </c>
    </row>
    <row r="339" spans="1:2" x14ac:dyDescent="0.25">
      <c r="A339" t="s">
        <v>196</v>
      </c>
      <c r="B339" t="s">
        <v>40</v>
      </c>
    </row>
    <row r="340" spans="1:2" x14ac:dyDescent="0.25">
      <c r="A340" t="s">
        <v>197</v>
      </c>
      <c r="B340" t="s">
        <v>40</v>
      </c>
    </row>
    <row r="341" spans="1:2" x14ac:dyDescent="0.25">
      <c r="A341" t="s">
        <v>197</v>
      </c>
      <c r="B341" t="s">
        <v>41</v>
      </c>
    </row>
    <row r="342" spans="1:2" x14ac:dyDescent="0.25">
      <c r="A342" t="s">
        <v>197</v>
      </c>
      <c r="B342" t="s">
        <v>43</v>
      </c>
    </row>
    <row r="343" spans="1:2" x14ac:dyDescent="0.25">
      <c r="A343" t="s">
        <v>198</v>
      </c>
      <c r="B343" t="s">
        <v>40</v>
      </c>
    </row>
    <row r="344" spans="1:2" x14ac:dyDescent="0.25">
      <c r="A344" t="s">
        <v>198</v>
      </c>
      <c r="B344" t="s">
        <v>41</v>
      </c>
    </row>
    <row r="345" spans="1:2" x14ac:dyDescent="0.25">
      <c r="A345" t="s">
        <v>198</v>
      </c>
      <c r="B345" t="s">
        <v>43</v>
      </c>
    </row>
    <row r="346" spans="1:2" x14ac:dyDescent="0.25">
      <c r="A346" t="s">
        <v>199</v>
      </c>
      <c r="B346" t="s">
        <v>43</v>
      </c>
    </row>
    <row r="347" spans="1:2" x14ac:dyDescent="0.25">
      <c r="A347" t="s">
        <v>199</v>
      </c>
      <c r="B347" t="s">
        <v>40</v>
      </c>
    </row>
    <row r="348" spans="1:2" x14ac:dyDescent="0.25">
      <c r="A348" t="s">
        <v>199</v>
      </c>
      <c r="B348" t="s">
        <v>41</v>
      </c>
    </row>
    <row r="349" spans="1:2" x14ac:dyDescent="0.25">
      <c r="A349" t="s">
        <v>200</v>
      </c>
      <c r="B349" t="s">
        <v>40</v>
      </c>
    </row>
    <row r="350" spans="1:2" x14ac:dyDescent="0.25">
      <c r="A350" t="s">
        <v>200</v>
      </c>
      <c r="B350" t="s">
        <v>41</v>
      </c>
    </row>
    <row r="351" spans="1:2" x14ac:dyDescent="0.25">
      <c r="A351" t="s">
        <v>200</v>
      </c>
      <c r="B351" t="s">
        <v>43</v>
      </c>
    </row>
    <row r="352" spans="1:2" x14ac:dyDescent="0.25">
      <c r="A352" t="s">
        <v>201</v>
      </c>
      <c r="B352" t="s">
        <v>40</v>
      </c>
    </row>
    <row r="353" spans="1:2" x14ac:dyDescent="0.25">
      <c r="A353" t="s">
        <v>201</v>
      </c>
      <c r="B353" t="s">
        <v>41</v>
      </c>
    </row>
    <row r="354" spans="1:2" x14ac:dyDescent="0.25">
      <c r="A354" t="s">
        <v>201</v>
      </c>
      <c r="B354" t="s">
        <v>43</v>
      </c>
    </row>
    <row r="355" spans="1:2" x14ac:dyDescent="0.25">
      <c r="A355" t="s">
        <v>202</v>
      </c>
      <c r="B355" t="s">
        <v>40</v>
      </c>
    </row>
    <row r="356" spans="1:2" x14ac:dyDescent="0.25">
      <c r="A356" t="s">
        <v>202</v>
      </c>
      <c r="B356" t="s">
        <v>41</v>
      </c>
    </row>
    <row r="357" spans="1:2" x14ac:dyDescent="0.25">
      <c r="A357" t="s">
        <v>202</v>
      </c>
      <c r="B357" t="s">
        <v>43</v>
      </c>
    </row>
    <row r="358" spans="1:2" x14ac:dyDescent="0.25">
      <c r="A358" t="s">
        <v>203</v>
      </c>
      <c r="B358" t="s">
        <v>40</v>
      </c>
    </row>
    <row r="359" spans="1:2" x14ac:dyDescent="0.25">
      <c r="A359" t="s">
        <v>203</v>
      </c>
      <c r="B359" t="s">
        <v>41</v>
      </c>
    </row>
    <row r="360" spans="1:2" x14ac:dyDescent="0.25">
      <c r="A360" t="s">
        <v>203</v>
      </c>
      <c r="B360" t="s">
        <v>43</v>
      </c>
    </row>
    <row r="361" spans="1:2" x14ac:dyDescent="0.25">
      <c r="A361" t="s">
        <v>204</v>
      </c>
      <c r="B361" t="s">
        <v>41</v>
      </c>
    </row>
    <row r="362" spans="1:2" x14ac:dyDescent="0.25">
      <c r="A362" t="s">
        <v>204</v>
      </c>
      <c r="B362" t="s">
        <v>43</v>
      </c>
    </row>
    <row r="363" spans="1:2" x14ac:dyDescent="0.25">
      <c r="A363" t="s">
        <v>204</v>
      </c>
      <c r="B363" t="s">
        <v>40</v>
      </c>
    </row>
    <row r="364" spans="1:2" x14ac:dyDescent="0.25">
      <c r="A364" t="s">
        <v>205</v>
      </c>
      <c r="B364" t="s">
        <v>40</v>
      </c>
    </row>
    <row r="365" spans="1:2" x14ac:dyDescent="0.25">
      <c r="A365" t="s">
        <v>205</v>
      </c>
      <c r="B365" t="s">
        <v>41</v>
      </c>
    </row>
    <row r="366" spans="1:2" x14ac:dyDescent="0.25">
      <c r="A366" t="s">
        <v>205</v>
      </c>
      <c r="B366" t="s">
        <v>43</v>
      </c>
    </row>
    <row r="367" spans="1:2" x14ac:dyDescent="0.25">
      <c r="A367" t="s">
        <v>206</v>
      </c>
      <c r="B367" t="s">
        <v>40</v>
      </c>
    </row>
    <row r="368" spans="1:2" x14ac:dyDescent="0.25">
      <c r="A368" t="s">
        <v>206</v>
      </c>
      <c r="B368" t="s">
        <v>41</v>
      </c>
    </row>
    <row r="369" spans="1:2" x14ac:dyDescent="0.25">
      <c r="A369" t="s">
        <v>206</v>
      </c>
      <c r="B369" t="s">
        <v>43</v>
      </c>
    </row>
    <row r="370" spans="1:2" x14ac:dyDescent="0.25">
      <c r="A370" t="s">
        <v>207</v>
      </c>
      <c r="B370" t="s">
        <v>40</v>
      </c>
    </row>
    <row r="371" spans="1:2" x14ac:dyDescent="0.25">
      <c r="A371" t="s">
        <v>207</v>
      </c>
      <c r="B371" t="s">
        <v>41</v>
      </c>
    </row>
    <row r="372" spans="1:2" x14ac:dyDescent="0.25">
      <c r="A372" t="s">
        <v>207</v>
      </c>
      <c r="B372" t="s">
        <v>43</v>
      </c>
    </row>
    <row r="373" spans="1:2" x14ac:dyDescent="0.25">
      <c r="A373" t="s">
        <v>208</v>
      </c>
      <c r="B373" t="s">
        <v>43</v>
      </c>
    </row>
    <row r="374" spans="1:2" x14ac:dyDescent="0.25">
      <c r="A374" t="s">
        <v>208</v>
      </c>
      <c r="B374" t="s">
        <v>40</v>
      </c>
    </row>
    <row r="375" spans="1:2" x14ac:dyDescent="0.25">
      <c r="A375" t="s">
        <v>208</v>
      </c>
      <c r="B375" t="s">
        <v>41</v>
      </c>
    </row>
    <row r="376" spans="1:2" x14ac:dyDescent="0.25">
      <c r="A376" t="s">
        <v>209</v>
      </c>
      <c r="B376" t="s">
        <v>40</v>
      </c>
    </row>
    <row r="377" spans="1:2" x14ac:dyDescent="0.25">
      <c r="A377" t="s">
        <v>209</v>
      </c>
      <c r="B377" t="s">
        <v>41</v>
      </c>
    </row>
    <row r="378" spans="1:2" x14ac:dyDescent="0.25">
      <c r="A378" t="s">
        <v>209</v>
      </c>
      <c r="B378" t="s">
        <v>43</v>
      </c>
    </row>
    <row r="379" spans="1:2" x14ac:dyDescent="0.25">
      <c r="A379" t="s">
        <v>210</v>
      </c>
      <c r="B379" t="s">
        <v>40</v>
      </c>
    </row>
    <row r="380" spans="1:2" x14ac:dyDescent="0.25">
      <c r="A380" t="s">
        <v>210</v>
      </c>
      <c r="B380" t="s">
        <v>41</v>
      </c>
    </row>
    <row r="381" spans="1:2" x14ac:dyDescent="0.25">
      <c r="A381" t="s">
        <v>210</v>
      </c>
      <c r="B381" t="s">
        <v>43</v>
      </c>
    </row>
    <row r="382" spans="1:2" x14ac:dyDescent="0.25">
      <c r="A382" t="s">
        <v>211</v>
      </c>
      <c r="B382" t="s">
        <v>40</v>
      </c>
    </row>
    <row r="383" spans="1:2" x14ac:dyDescent="0.25">
      <c r="A383" t="s">
        <v>211</v>
      </c>
      <c r="B383" t="s">
        <v>41</v>
      </c>
    </row>
    <row r="384" spans="1:2" x14ac:dyDescent="0.25">
      <c r="A384" t="s">
        <v>211</v>
      </c>
      <c r="B384" t="s">
        <v>43</v>
      </c>
    </row>
    <row r="385" spans="1:2" x14ac:dyDescent="0.25">
      <c r="A385" t="s">
        <v>212</v>
      </c>
      <c r="B385" t="s">
        <v>40</v>
      </c>
    </row>
    <row r="386" spans="1:2" x14ac:dyDescent="0.25">
      <c r="A386" t="s">
        <v>212</v>
      </c>
      <c r="B386" t="s">
        <v>41</v>
      </c>
    </row>
    <row r="387" spans="1:2" x14ac:dyDescent="0.25">
      <c r="A387" t="s">
        <v>212</v>
      </c>
      <c r="B387" t="s">
        <v>43</v>
      </c>
    </row>
    <row r="388" spans="1:2" x14ac:dyDescent="0.25">
      <c r="A388" t="s">
        <v>213</v>
      </c>
      <c r="B388" t="s">
        <v>41</v>
      </c>
    </row>
    <row r="389" spans="1:2" x14ac:dyDescent="0.25">
      <c r="A389" t="s">
        <v>213</v>
      </c>
      <c r="B389" t="s">
        <v>43</v>
      </c>
    </row>
    <row r="390" spans="1:2" x14ac:dyDescent="0.25">
      <c r="A390" t="s">
        <v>213</v>
      </c>
      <c r="B390" t="s">
        <v>40</v>
      </c>
    </row>
    <row r="391" spans="1:2" x14ac:dyDescent="0.25">
      <c r="A391" t="s">
        <v>214</v>
      </c>
      <c r="B391" t="s">
        <v>40</v>
      </c>
    </row>
    <row r="392" spans="1:2" x14ac:dyDescent="0.25">
      <c r="A392" t="s">
        <v>214</v>
      </c>
      <c r="B392" t="s">
        <v>41</v>
      </c>
    </row>
    <row r="393" spans="1:2" x14ac:dyDescent="0.25">
      <c r="A393" t="s">
        <v>214</v>
      </c>
      <c r="B393" t="s">
        <v>43</v>
      </c>
    </row>
    <row r="394" spans="1:2" x14ac:dyDescent="0.25">
      <c r="A394" t="s">
        <v>215</v>
      </c>
      <c r="B394" t="s">
        <v>40</v>
      </c>
    </row>
    <row r="395" spans="1:2" x14ac:dyDescent="0.25">
      <c r="A395" t="s">
        <v>215</v>
      </c>
      <c r="B395" t="s">
        <v>41</v>
      </c>
    </row>
    <row r="396" spans="1:2" x14ac:dyDescent="0.25">
      <c r="A396" t="s">
        <v>215</v>
      </c>
      <c r="B396" t="s">
        <v>43</v>
      </c>
    </row>
    <row r="397" spans="1:2" x14ac:dyDescent="0.25">
      <c r="A397" t="s">
        <v>216</v>
      </c>
      <c r="B397" t="s">
        <v>43</v>
      </c>
    </row>
    <row r="398" spans="1:2" x14ac:dyDescent="0.25">
      <c r="A398" t="s">
        <v>216</v>
      </c>
      <c r="B398" t="s">
        <v>40</v>
      </c>
    </row>
    <row r="399" spans="1:2" x14ac:dyDescent="0.25">
      <c r="A399" t="s">
        <v>216</v>
      </c>
      <c r="B399" t="s">
        <v>41</v>
      </c>
    </row>
    <row r="400" spans="1:2" x14ac:dyDescent="0.25">
      <c r="A400" t="s">
        <v>217</v>
      </c>
      <c r="B400" t="s">
        <v>40</v>
      </c>
    </row>
    <row r="401" spans="1:2" x14ac:dyDescent="0.25">
      <c r="A401" t="s">
        <v>217</v>
      </c>
      <c r="B401" t="s">
        <v>41</v>
      </c>
    </row>
    <row r="402" spans="1:2" x14ac:dyDescent="0.25">
      <c r="A402" t="s">
        <v>217</v>
      </c>
      <c r="B402" t="s">
        <v>43</v>
      </c>
    </row>
    <row r="403" spans="1:2" x14ac:dyDescent="0.25">
      <c r="A403" t="s">
        <v>218</v>
      </c>
      <c r="B403" t="s">
        <v>40</v>
      </c>
    </row>
    <row r="404" spans="1:2" x14ac:dyDescent="0.25">
      <c r="A404" t="s">
        <v>218</v>
      </c>
      <c r="B404" t="s">
        <v>41</v>
      </c>
    </row>
    <row r="405" spans="1:2" x14ac:dyDescent="0.25">
      <c r="A405" t="s">
        <v>218</v>
      </c>
      <c r="B405" t="s">
        <v>43</v>
      </c>
    </row>
    <row r="406" spans="1:2" x14ac:dyDescent="0.25">
      <c r="A406" t="s">
        <v>219</v>
      </c>
      <c r="B406" t="s">
        <v>41</v>
      </c>
    </row>
    <row r="407" spans="1:2" x14ac:dyDescent="0.25">
      <c r="A407" t="s">
        <v>219</v>
      </c>
      <c r="B407" t="s">
        <v>43</v>
      </c>
    </row>
    <row r="408" spans="1:2" x14ac:dyDescent="0.25">
      <c r="A408" t="s">
        <v>219</v>
      </c>
      <c r="B408" t="s">
        <v>40</v>
      </c>
    </row>
    <row r="409" spans="1:2" x14ac:dyDescent="0.25">
      <c r="A409" t="s">
        <v>220</v>
      </c>
      <c r="B409" t="s">
        <v>40</v>
      </c>
    </row>
    <row r="410" spans="1:2" x14ac:dyDescent="0.25">
      <c r="A410" t="s">
        <v>220</v>
      </c>
      <c r="B410" t="s">
        <v>41</v>
      </c>
    </row>
    <row r="411" spans="1:2" x14ac:dyDescent="0.25">
      <c r="A411" t="s">
        <v>220</v>
      </c>
      <c r="B411" t="s">
        <v>43</v>
      </c>
    </row>
    <row r="412" spans="1:2" x14ac:dyDescent="0.25">
      <c r="A412" t="s">
        <v>221</v>
      </c>
      <c r="B412" t="s">
        <v>40</v>
      </c>
    </row>
    <row r="413" spans="1:2" x14ac:dyDescent="0.25">
      <c r="A413" t="s">
        <v>221</v>
      </c>
      <c r="B413" t="s">
        <v>41</v>
      </c>
    </row>
    <row r="414" spans="1:2" x14ac:dyDescent="0.25">
      <c r="A414" t="s">
        <v>221</v>
      </c>
      <c r="B414" t="s">
        <v>43</v>
      </c>
    </row>
    <row r="415" spans="1:2" x14ac:dyDescent="0.25">
      <c r="A415" t="s">
        <v>222</v>
      </c>
      <c r="B415" t="s">
        <v>41</v>
      </c>
    </row>
    <row r="416" spans="1:2" x14ac:dyDescent="0.25">
      <c r="A416" t="s">
        <v>222</v>
      </c>
      <c r="B416" t="s">
        <v>43</v>
      </c>
    </row>
    <row r="417" spans="1:2" x14ac:dyDescent="0.25">
      <c r="A417" t="s">
        <v>222</v>
      </c>
      <c r="B417" t="s">
        <v>40</v>
      </c>
    </row>
    <row r="418" spans="1:2" x14ac:dyDescent="0.25">
      <c r="A418" t="s">
        <v>223</v>
      </c>
      <c r="B418" t="s">
        <v>40</v>
      </c>
    </row>
    <row r="419" spans="1:2" x14ac:dyDescent="0.25">
      <c r="A419" t="s">
        <v>223</v>
      </c>
      <c r="B419" t="s">
        <v>41</v>
      </c>
    </row>
    <row r="420" spans="1:2" x14ac:dyDescent="0.25">
      <c r="A420" t="s">
        <v>223</v>
      </c>
      <c r="B420" t="s">
        <v>43</v>
      </c>
    </row>
    <row r="421" spans="1:2" x14ac:dyDescent="0.25">
      <c r="A421" t="s">
        <v>224</v>
      </c>
      <c r="B421" t="s">
        <v>40</v>
      </c>
    </row>
    <row r="422" spans="1:2" x14ac:dyDescent="0.25">
      <c r="A422" t="s">
        <v>224</v>
      </c>
      <c r="B422" t="s">
        <v>41</v>
      </c>
    </row>
    <row r="423" spans="1:2" x14ac:dyDescent="0.25">
      <c r="A423" t="s">
        <v>224</v>
      </c>
      <c r="B423" t="s">
        <v>43</v>
      </c>
    </row>
    <row r="424" spans="1:2" x14ac:dyDescent="0.25">
      <c r="A424" t="s">
        <v>225</v>
      </c>
      <c r="B424" t="s">
        <v>43</v>
      </c>
    </row>
    <row r="425" spans="1:2" x14ac:dyDescent="0.25">
      <c r="A425" t="s">
        <v>225</v>
      </c>
      <c r="B425" t="s">
        <v>40</v>
      </c>
    </row>
    <row r="426" spans="1:2" x14ac:dyDescent="0.25">
      <c r="A426" t="s">
        <v>225</v>
      </c>
      <c r="B426" t="s">
        <v>41</v>
      </c>
    </row>
    <row r="427" spans="1:2" x14ac:dyDescent="0.25">
      <c r="A427" t="s">
        <v>226</v>
      </c>
      <c r="B427" t="s">
        <v>40</v>
      </c>
    </row>
    <row r="428" spans="1:2" x14ac:dyDescent="0.25">
      <c r="A428" t="s">
        <v>226</v>
      </c>
      <c r="B428" t="s">
        <v>41</v>
      </c>
    </row>
    <row r="429" spans="1:2" x14ac:dyDescent="0.25">
      <c r="A429" t="s">
        <v>226</v>
      </c>
      <c r="B429" t="s">
        <v>43</v>
      </c>
    </row>
    <row r="430" spans="1:2" x14ac:dyDescent="0.25">
      <c r="A430" t="s">
        <v>227</v>
      </c>
      <c r="B430" t="s">
        <v>40</v>
      </c>
    </row>
    <row r="431" spans="1:2" x14ac:dyDescent="0.25">
      <c r="A431" t="s">
        <v>227</v>
      </c>
      <c r="B431" t="s">
        <v>41</v>
      </c>
    </row>
    <row r="432" spans="1:2" x14ac:dyDescent="0.25">
      <c r="A432" t="s">
        <v>227</v>
      </c>
      <c r="B432" t="s">
        <v>43</v>
      </c>
    </row>
    <row r="433" spans="1:2" x14ac:dyDescent="0.25">
      <c r="A433" t="s">
        <v>228</v>
      </c>
      <c r="B433" t="s">
        <v>40</v>
      </c>
    </row>
    <row r="434" spans="1:2" x14ac:dyDescent="0.25">
      <c r="A434" t="s">
        <v>228</v>
      </c>
      <c r="B434" t="s">
        <v>41</v>
      </c>
    </row>
    <row r="435" spans="1:2" x14ac:dyDescent="0.25">
      <c r="A435" t="s">
        <v>228</v>
      </c>
      <c r="B435" t="s">
        <v>43</v>
      </c>
    </row>
    <row r="436" spans="1:2" x14ac:dyDescent="0.25">
      <c r="A436" t="s">
        <v>229</v>
      </c>
      <c r="B436" t="s">
        <v>40</v>
      </c>
    </row>
    <row r="437" spans="1:2" x14ac:dyDescent="0.25">
      <c r="A437" t="s">
        <v>229</v>
      </c>
      <c r="B437" t="s">
        <v>41</v>
      </c>
    </row>
    <row r="438" spans="1:2" x14ac:dyDescent="0.25">
      <c r="A438" t="s">
        <v>229</v>
      </c>
      <c r="B438" t="s">
        <v>43</v>
      </c>
    </row>
    <row r="439" spans="1:2" x14ac:dyDescent="0.25">
      <c r="A439" t="s">
        <v>230</v>
      </c>
      <c r="B439" t="s">
        <v>40</v>
      </c>
    </row>
    <row r="440" spans="1:2" x14ac:dyDescent="0.25">
      <c r="A440" t="s">
        <v>230</v>
      </c>
      <c r="B440" t="s">
        <v>41</v>
      </c>
    </row>
    <row r="441" spans="1:2" x14ac:dyDescent="0.25">
      <c r="A441" t="s">
        <v>230</v>
      </c>
      <c r="B441" t="s">
        <v>43</v>
      </c>
    </row>
    <row r="442" spans="1:2" x14ac:dyDescent="0.25">
      <c r="A442" t="s">
        <v>235</v>
      </c>
      <c r="B442" t="s">
        <v>43</v>
      </c>
    </row>
    <row r="443" spans="1:2" x14ac:dyDescent="0.25">
      <c r="A443" t="s">
        <v>235</v>
      </c>
      <c r="B443" t="s">
        <v>40</v>
      </c>
    </row>
    <row r="444" spans="1:2" x14ac:dyDescent="0.25">
      <c r="A444" t="s">
        <v>235</v>
      </c>
      <c r="B444" t="s">
        <v>41</v>
      </c>
    </row>
    <row r="445" spans="1:2" x14ac:dyDescent="0.25">
      <c r="A445" t="s">
        <v>236</v>
      </c>
      <c r="B445" t="s">
        <v>40</v>
      </c>
    </row>
    <row r="446" spans="1:2" x14ac:dyDescent="0.25">
      <c r="A446" t="s">
        <v>236</v>
      </c>
      <c r="B446" t="s">
        <v>41</v>
      </c>
    </row>
    <row r="447" spans="1:2" x14ac:dyDescent="0.25">
      <c r="A447" t="s">
        <v>236</v>
      </c>
      <c r="B447" t="s">
        <v>43</v>
      </c>
    </row>
    <row r="448" spans="1:2" x14ac:dyDescent="0.25">
      <c r="A448" t="s">
        <v>237</v>
      </c>
      <c r="B448" t="s">
        <v>40</v>
      </c>
    </row>
    <row r="449" spans="1:2" x14ac:dyDescent="0.25">
      <c r="A449" t="s">
        <v>237</v>
      </c>
      <c r="B449" t="s">
        <v>41</v>
      </c>
    </row>
    <row r="450" spans="1:2" x14ac:dyDescent="0.25">
      <c r="A450" t="s">
        <v>237</v>
      </c>
      <c r="B450" t="s">
        <v>43</v>
      </c>
    </row>
    <row r="451" spans="1:2" x14ac:dyDescent="0.25">
      <c r="A451" t="s">
        <v>238</v>
      </c>
      <c r="B451" t="s">
        <v>43</v>
      </c>
    </row>
    <row r="452" spans="1:2" x14ac:dyDescent="0.25">
      <c r="A452" t="s">
        <v>238</v>
      </c>
      <c r="B452" t="s">
        <v>40</v>
      </c>
    </row>
    <row r="453" spans="1:2" x14ac:dyDescent="0.25">
      <c r="A453" t="s">
        <v>238</v>
      </c>
      <c r="B453" t="s">
        <v>41</v>
      </c>
    </row>
    <row r="454" spans="1:2" x14ac:dyDescent="0.25">
      <c r="A454" t="s">
        <v>239</v>
      </c>
      <c r="B454" t="s">
        <v>40</v>
      </c>
    </row>
    <row r="455" spans="1:2" x14ac:dyDescent="0.25">
      <c r="A455" t="s">
        <v>239</v>
      </c>
      <c r="B455" t="s">
        <v>41</v>
      </c>
    </row>
    <row r="456" spans="1:2" x14ac:dyDescent="0.25">
      <c r="A456" t="s">
        <v>239</v>
      </c>
      <c r="B456" t="s">
        <v>43</v>
      </c>
    </row>
    <row r="457" spans="1:2" x14ac:dyDescent="0.25">
      <c r="A457" t="s">
        <v>240</v>
      </c>
      <c r="B457" t="s">
        <v>41</v>
      </c>
    </row>
    <row r="458" spans="1:2" x14ac:dyDescent="0.25">
      <c r="A458" t="s">
        <v>240</v>
      </c>
      <c r="B458" t="s">
        <v>43</v>
      </c>
    </row>
    <row r="459" spans="1:2" x14ac:dyDescent="0.25">
      <c r="A459" t="s">
        <v>240</v>
      </c>
      <c r="B459" t="s">
        <v>40</v>
      </c>
    </row>
    <row r="460" spans="1:2" x14ac:dyDescent="0.25">
      <c r="A460" t="s">
        <v>241</v>
      </c>
      <c r="B460" t="s">
        <v>40</v>
      </c>
    </row>
    <row r="461" spans="1:2" x14ac:dyDescent="0.25">
      <c r="A461" t="s">
        <v>241</v>
      </c>
      <c r="B461" t="s">
        <v>41</v>
      </c>
    </row>
    <row r="462" spans="1:2" x14ac:dyDescent="0.25">
      <c r="A462" t="s">
        <v>241</v>
      </c>
      <c r="B462" t="s">
        <v>43</v>
      </c>
    </row>
    <row r="463" spans="1:2" x14ac:dyDescent="0.25">
      <c r="A463" t="s">
        <v>242</v>
      </c>
      <c r="B463" t="s">
        <v>40</v>
      </c>
    </row>
    <row r="464" spans="1:2" x14ac:dyDescent="0.25">
      <c r="A464" t="s">
        <v>242</v>
      </c>
      <c r="B464" t="s">
        <v>41</v>
      </c>
    </row>
    <row r="465" spans="1:2" x14ac:dyDescent="0.25">
      <c r="A465" t="s">
        <v>242</v>
      </c>
      <c r="B465" t="s">
        <v>43</v>
      </c>
    </row>
    <row r="466" spans="1:2" x14ac:dyDescent="0.25">
      <c r="A466" t="s">
        <v>243</v>
      </c>
      <c r="B466" t="s">
        <v>41</v>
      </c>
    </row>
    <row r="467" spans="1:2" x14ac:dyDescent="0.25">
      <c r="A467" t="s">
        <v>243</v>
      </c>
      <c r="B467" t="s">
        <v>43</v>
      </c>
    </row>
    <row r="468" spans="1:2" x14ac:dyDescent="0.25">
      <c r="A468" t="s">
        <v>243</v>
      </c>
      <c r="B468" t="s">
        <v>40</v>
      </c>
    </row>
    <row r="469" spans="1:2" x14ac:dyDescent="0.25">
      <c r="A469" t="s">
        <v>244</v>
      </c>
      <c r="B469" t="s">
        <v>40</v>
      </c>
    </row>
    <row r="470" spans="1:2" x14ac:dyDescent="0.25">
      <c r="A470" t="s">
        <v>244</v>
      </c>
      <c r="B470" t="s">
        <v>41</v>
      </c>
    </row>
    <row r="471" spans="1:2" x14ac:dyDescent="0.25">
      <c r="A471" t="s">
        <v>244</v>
      </c>
      <c r="B471" t="s">
        <v>43</v>
      </c>
    </row>
    <row r="472" spans="1:2" x14ac:dyDescent="0.25">
      <c r="A472" t="s">
        <v>245</v>
      </c>
      <c r="B472" t="s">
        <v>40</v>
      </c>
    </row>
    <row r="473" spans="1:2" x14ac:dyDescent="0.25">
      <c r="A473" t="s">
        <v>245</v>
      </c>
      <c r="B473" t="s">
        <v>41</v>
      </c>
    </row>
    <row r="474" spans="1:2" x14ac:dyDescent="0.25">
      <c r="A474" t="s">
        <v>245</v>
      </c>
      <c r="B474" t="s">
        <v>43</v>
      </c>
    </row>
    <row r="475" spans="1:2" x14ac:dyDescent="0.25">
      <c r="A475" t="s">
        <v>232</v>
      </c>
      <c r="B475" t="s">
        <v>41</v>
      </c>
    </row>
    <row r="476" spans="1:2" x14ac:dyDescent="0.25">
      <c r="A476" t="s">
        <v>232</v>
      </c>
      <c r="B476" t="s">
        <v>43</v>
      </c>
    </row>
    <row r="477" spans="1:2" x14ac:dyDescent="0.25">
      <c r="A477" t="s">
        <v>232</v>
      </c>
      <c r="B477" t="s">
        <v>40</v>
      </c>
    </row>
    <row r="478" spans="1:2" x14ac:dyDescent="0.25">
      <c r="A478" t="s">
        <v>246</v>
      </c>
      <c r="B478" t="s">
        <v>40</v>
      </c>
    </row>
    <row r="479" spans="1:2" x14ac:dyDescent="0.25">
      <c r="A479" t="s">
        <v>246</v>
      </c>
      <c r="B479" t="s">
        <v>41</v>
      </c>
    </row>
    <row r="480" spans="1:2" x14ac:dyDescent="0.25">
      <c r="A480" t="s">
        <v>246</v>
      </c>
      <c r="B480" t="s">
        <v>43</v>
      </c>
    </row>
    <row r="481" spans="1:2" x14ac:dyDescent="0.25">
      <c r="A481" t="s">
        <v>247</v>
      </c>
      <c r="B481" t="s">
        <v>40</v>
      </c>
    </row>
    <row r="482" spans="1:2" x14ac:dyDescent="0.25">
      <c r="A482" t="s">
        <v>247</v>
      </c>
      <c r="B482" t="s">
        <v>41</v>
      </c>
    </row>
    <row r="483" spans="1:2" x14ac:dyDescent="0.25">
      <c r="A483" t="s">
        <v>247</v>
      </c>
      <c r="B483" t="s">
        <v>43</v>
      </c>
    </row>
    <row r="484" spans="1:2" x14ac:dyDescent="0.25">
      <c r="A484" t="s">
        <v>248</v>
      </c>
      <c r="B484" t="s">
        <v>43</v>
      </c>
    </row>
    <row r="485" spans="1:2" x14ac:dyDescent="0.25">
      <c r="A485" t="s">
        <v>248</v>
      </c>
      <c r="B485" t="s">
        <v>40</v>
      </c>
    </row>
    <row r="486" spans="1:2" x14ac:dyDescent="0.25">
      <c r="A486" t="s">
        <v>248</v>
      </c>
      <c r="B486" t="s">
        <v>41</v>
      </c>
    </row>
    <row r="487" spans="1:2" x14ac:dyDescent="0.25">
      <c r="A487" t="s">
        <v>249</v>
      </c>
      <c r="B487" t="s">
        <v>40</v>
      </c>
    </row>
    <row r="488" spans="1:2" x14ac:dyDescent="0.25">
      <c r="A488" t="s">
        <v>249</v>
      </c>
      <c r="B488" t="s">
        <v>41</v>
      </c>
    </row>
    <row r="489" spans="1:2" x14ac:dyDescent="0.25">
      <c r="A489" t="s">
        <v>249</v>
      </c>
      <c r="B489" t="s">
        <v>43</v>
      </c>
    </row>
    <row r="490" spans="1:2" x14ac:dyDescent="0.25">
      <c r="A490" t="s">
        <v>250</v>
      </c>
      <c r="B490" t="s">
        <v>40</v>
      </c>
    </row>
    <row r="491" spans="1:2" x14ac:dyDescent="0.25">
      <c r="A491" t="s">
        <v>250</v>
      </c>
      <c r="B491" t="s">
        <v>41</v>
      </c>
    </row>
    <row r="492" spans="1:2" x14ac:dyDescent="0.25">
      <c r="A492" t="s">
        <v>250</v>
      </c>
      <c r="B492" t="s">
        <v>43</v>
      </c>
    </row>
    <row r="493" spans="1:2" x14ac:dyDescent="0.25">
      <c r="A493" t="s">
        <v>251</v>
      </c>
      <c r="B493" t="s">
        <v>40</v>
      </c>
    </row>
    <row r="494" spans="1:2" x14ac:dyDescent="0.25">
      <c r="A494" t="s">
        <v>251</v>
      </c>
      <c r="B494" t="s">
        <v>41</v>
      </c>
    </row>
    <row r="495" spans="1:2" x14ac:dyDescent="0.25">
      <c r="A495" t="s">
        <v>251</v>
      </c>
      <c r="B495" t="s">
        <v>43</v>
      </c>
    </row>
    <row r="496" spans="1:2" x14ac:dyDescent="0.25">
      <c r="A496" t="s">
        <v>252</v>
      </c>
      <c r="B496" t="s">
        <v>40</v>
      </c>
    </row>
    <row r="497" spans="1:2" x14ac:dyDescent="0.25">
      <c r="A497" t="s">
        <v>252</v>
      </c>
      <c r="B497" t="s">
        <v>41</v>
      </c>
    </row>
    <row r="498" spans="1:2" x14ac:dyDescent="0.25">
      <c r="A498" t="s">
        <v>252</v>
      </c>
      <c r="B498" t="s">
        <v>43</v>
      </c>
    </row>
    <row r="499" spans="1:2" x14ac:dyDescent="0.25">
      <c r="A499" t="s">
        <v>253</v>
      </c>
      <c r="B499" t="s">
        <v>41</v>
      </c>
    </row>
    <row r="500" spans="1:2" x14ac:dyDescent="0.25">
      <c r="A500" t="s">
        <v>253</v>
      </c>
      <c r="B500" t="s">
        <v>43</v>
      </c>
    </row>
    <row r="501" spans="1:2" x14ac:dyDescent="0.25">
      <c r="A501" t="s">
        <v>253</v>
      </c>
      <c r="B501" t="s">
        <v>40</v>
      </c>
    </row>
    <row r="502" spans="1:2" x14ac:dyDescent="0.25">
      <c r="A502" t="s">
        <v>254</v>
      </c>
      <c r="B502" t="s">
        <v>40</v>
      </c>
    </row>
    <row r="503" spans="1:2" x14ac:dyDescent="0.25">
      <c r="A503" t="s">
        <v>254</v>
      </c>
      <c r="B503" t="s">
        <v>41</v>
      </c>
    </row>
    <row r="504" spans="1:2" x14ac:dyDescent="0.25">
      <c r="A504" t="s">
        <v>254</v>
      </c>
      <c r="B504" t="s">
        <v>43</v>
      </c>
    </row>
    <row r="505" spans="1:2" x14ac:dyDescent="0.25">
      <c r="A505" t="s">
        <v>255</v>
      </c>
      <c r="B505" t="s">
        <v>40</v>
      </c>
    </row>
    <row r="506" spans="1:2" x14ac:dyDescent="0.25">
      <c r="A506" t="s">
        <v>255</v>
      </c>
      <c r="B506" t="s">
        <v>41</v>
      </c>
    </row>
    <row r="507" spans="1:2" x14ac:dyDescent="0.25">
      <c r="A507" t="s">
        <v>255</v>
      </c>
      <c r="B507" t="s">
        <v>43</v>
      </c>
    </row>
    <row r="508" spans="1:2" x14ac:dyDescent="0.25">
      <c r="A508" t="s">
        <v>256</v>
      </c>
      <c r="B508" t="s">
        <v>43</v>
      </c>
    </row>
    <row r="509" spans="1:2" x14ac:dyDescent="0.25">
      <c r="A509" t="s">
        <v>256</v>
      </c>
      <c r="B509" t="s">
        <v>40</v>
      </c>
    </row>
    <row r="510" spans="1:2" x14ac:dyDescent="0.25">
      <c r="A510" t="s">
        <v>256</v>
      </c>
      <c r="B510" t="s">
        <v>41</v>
      </c>
    </row>
    <row r="511" spans="1:2" x14ac:dyDescent="0.25">
      <c r="A511" t="s">
        <v>233</v>
      </c>
      <c r="B511" t="s">
        <v>43</v>
      </c>
    </row>
    <row r="512" spans="1:2" x14ac:dyDescent="0.25">
      <c r="A512" t="s">
        <v>233</v>
      </c>
      <c r="B512" t="s">
        <v>40</v>
      </c>
    </row>
    <row r="513" spans="1:2" x14ac:dyDescent="0.25">
      <c r="A513" t="s">
        <v>233</v>
      </c>
      <c r="B513" t="s">
        <v>41</v>
      </c>
    </row>
    <row r="514" spans="1:2" x14ac:dyDescent="0.25">
      <c r="A514" t="s">
        <v>257</v>
      </c>
      <c r="B514" t="s">
        <v>40</v>
      </c>
    </row>
    <row r="515" spans="1:2" x14ac:dyDescent="0.25">
      <c r="A515" t="s">
        <v>257</v>
      </c>
      <c r="B515" t="s">
        <v>41</v>
      </c>
    </row>
    <row r="516" spans="1:2" x14ac:dyDescent="0.25">
      <c r="A516" t="s">
        <v>257</v>
      </c>
      <c r="B516" t="s">
        <v>43</v>
      </c>
    </row>
    <row r="517" spans="1:2" x14ac:dyDescent="0.25">
      <c r="A517" t="s">
        <v>258</v>
      </c>
      <c r="B517" t="s">
        <v>40</v>
      </c>
    </row>
    <row r="518" spans="1:2" x14ac:dyDescent="0.25">
      <c r="A518" t="s">
        <v>258</v>
      </c>
      <c r="B518" t="s">
        <v>41</v>
      </c>
    </row>
    <row r="519" spans="1:2" x14ac:dyDescent="0.25">
      <c r="A519" t="s">
        <v>258</v>
      </c>
      <c r="B519" t="s">
        <v>43</v>
      </c>
    </row>
    <row r="520" spans="1:2" x14ac:dyDescent="0.25">
      <c r="A520" t="s">
        <v>259</v>
      </c>
      <c r="B520" t="s">
        <v>40</v>
      </c>
    </row>
    <row r="521" spans="1:2" x14ac:dyDescent="0.25">
      <c r="A521" t="s">
        <v>259</v>
      </c>
      <c r="B521" t="s">
        <v>41</v>
      </c>
    </row>
    <row r="522" spans="1:2" x14ac:dyDescent="0.25">
      <c r="A522" t="s">
        <v>259</v>
      </c>
      <c r="B522" t="s">
        <v>43</v>
      </c>
    </row>
    <row r="523" spans="1:2" x14ac:dyDescent="0.25">
      <c r="A523" t="s">
        <v>260</v>
      </c>
      <c r="B523" t="s">
        <v>40</v>
      </c>
    </row>
    <row r="524" spans="1:2" x14ac:dyDescent="0.25">
      <c r="A524" t="s">
        <v>260</v>
      </c>
      <c r="B524" t="s">
        <v>41</v>
      </c>
    </row>
    <row r="525" spans="1:2" x14ac:dyDescent="0.25">
      <c r="A525" t="s">
        <v>260</v>
      </c>
      <c r="B525" t="s">
        <v>43</v>
      </c>
    </row>
    <row r="526" spans="1:2" x14ac:dyDescent="0.25">
      <c r="A526" t="s">
        <v>261</v>
      </c>
      <c r="B526" t="s">
        <v>41</v>
      </c>
    </row>
    <row r="527" spans="1:2" x14ac:dyDescent="0.25">
      <c r="A527" t="s">
        <v>261</v>
      </c>
      <c r="B527" t="s">
        <v>43</v>
      </c>
    </row>
    <row r="528" spans="1:2" x14ac:dyDescent="0.25">
      <c r="A528" t="s">
        <v>261</v>
      </c>
      <c r="B528" t="s">
        <v>40</v>
      </c>
    </row>
    <row r="529" spans="1:2" x14ac:dyDescent="0.25">
      <c r="A529" t="s">
        <v>262</v>
      </c>
      <c r="B529" t="s">
        <v>40</v>
      </c>
    </row>
    <row r="530" spans="1:2" x14ac:dyDescent="0.25">
      <c r="A530" t="s">
        <v>262</v>
      </c>
      <c r="B530" t="s">
        <v>41</v>
      </c>
    </row>
    <row r="531" spans="1:2" x14ac:dyDescent="0.25">
      <c r="A531" t="s">
        <v>262</v>
      </c>
      <c r="B531" t="s">
        <v>43</v>
      </c>
    </row>
    <row r="532" spans="1:2" x14ac:dyDescent="0.25">
      <c r="A532" t="s">
        <v>263</v>
      </c>
      <c r="B532" t="s">
        <v>40</v>
      </c>
    </row>
    <row r="533" spans="1:2" x14ac:dyDescent="0.25">
      <c r="A533" t="s">
        <v>263</v>
      </c>
      <c r="B533" t="s">
        <v>41</v>
      </c>
    </row>
    <row r="534" spans="1:2" x14ac:dyDescent="0.25">
      <c r="A534" t="s">
        <v>263</v>
      </c>
      <c r="B534" t="s">
        <v>43</v>
      </c>
    </row>
    <row r="535" spans="1:2" x14ac:dyDescent="0.25">
      <c r="A535" t="s">
        <v>264</v>
      </c>
      <c r="B535" t="s">
        <v>43</v>
      </c>
    </row>
    <row r="536" spans="1:2" x14ac:dyDescent="0.25">
      <c r="A536" t="s">
        <v>264</v>
      </c>
      <c r="B536" t="s">
        <v>40</v>
      </c>
    </row>
    <row r="537" spans="1:2" x14ac:dyDescent="0.25">
      <c r="A537" t="s">
        <v>264</v>
      </c>
      <c r="B537" t="s">
        <v>41</v>
      </c>
    </row>
    <row r="538" spans="1:2" x14ac:dyDescent="0.25">
      <c r="A538" t="s">
        <v>265</v>
      </c>
      <c r="B538" t="s">
        <v>40</v>
      </c>
    </row>
    <row r="539" spans="1:2" x14ac:dyDescent="0.25">
      <c r="A539" t="s">
        <v>265</v>
      </c>
      <c r="B539" t="s">
        <v>41</v>
      </c>
    </row>
    <row r="540" spans="1:2" x14ac:dyDescent="0.25">
      <c r="A540" t="s">
        <v>265</v>
      </c>
      <c r="B540" t="s">
        <v>43</v>
      </c>
    </row>
    <row r="541" spans="1:2" x14ac:dyDescent="0.25">
      <c r="A541" t="s">
        <v>266</v>
      </c>
      <c r="B541" t="s">
        <v>40</v>
      </c>
    </row>
    <row r="542" spans="1:2" x14ac:dyDescent="0.25">
      <c r="A542" t="s">
        <v>266</v>
      </c>
      <c r="B542" t="s">
        <v>41</v>
      </c>
    </row>
    <row r="543" spans="1:2" x14ac:dyDescent="0.25">
      <c r="A543" t="s">
        <v>266</v>
      </c>
      <c r="B543" t="s">
        <v>43</v>
      </c>
    </row>
    <row r="544" spans="1:2" x14ac:dyDescent="0.25">
      <c r="A544" t="s">
        <v>267</v>
      </c>
      <c r="B544" t="s">
        <v>40</v>
      </c>
    </row>
    <row r="545" spans="1:2" x14ac:dyDescent="0.25">
      <c r="A545" t="s">
        <v>267</v>
      </c>
      <c r="B545" t="s">
        <v>41</v>
      </c>
    </row>
    <row r="546" spans="1:2" x14ac:dyDescent="0.25">
      <c r="A546" t="s">
        <v>267</v>
      </c>
      <c r="B546" t="s">
        <v>43</v>
      </c>
    </row>
    <row r="547" spans="1:2" x14ac:dyDescent="0.25">
      <c r="A547" t="s">
        <v>234</v>
      </c>
      <c r="B547" t="s">
        <v>40</v>
      </c>
    </row>
    <row r="548" spans="1:2" x14ac:dyDescent="0.25">
      <c r="A548" t="s">
        <v>234</v>
      </c>
      <c r="B548" t="s">
        <v>41</v>
      </c>
    </row>
    <row r="549" spans="1:2" x14ac:dyDescent="0.25">
      <c r="A549" t="s">
        <v>234</v>
      </c>
      <c r="B549" t="s">
        <v>43</v>
      </c>
    </row>
    <row r="550" spans="1:2" x14ac:dyDescent="0.25">
      <c r="A550" t="s">
        <v>268</v>
      </c>
      <c r="B550" t="s">
        <v>40</v>
      </c>
    </row>
    <row r="551" spans="1:2" x14ac:dyDescent="0.25">
      <c r="A551" t="s">
        <v>268</v>
      </c>
      <c r="B551" t="s">
        <v>41</v>
      </c>
    </row>
    <row r="552" spans="1:2" x14ac:dyDescent="0.25">
      <c r="A552" t="s">
        <v>268</v>
      </c>
      <c r="B552" t="s">
        <v>43</v>
      </c>
    </row>
    <row r="553" spans="1:2" x14ac:dyDescent="0.25">
      <c r="A553" t="s">
        <v>269</v>
      </c>
      <c r="B553" t="s">
        <v>41</v>
      </c>
    </row>
    <row r="554" spans="1:2" x14ac:dyDescent="0.25">
      <c r="A554" t="s">
        <v>269</v>
      </c>
      <c r="B554" t="s">
        <v>43</v>
      </c>
    </row>
    <row r="555" spans="1:2" x14ac:dyDescent="0.25">
      <c r="A555" t="s">
        <v>269</v>
      </c>
      <c r="B555" t="s">
        <v>40</v>
      </c>
    </row>
    <row r="556" spans="1:2" x14ac:dyDescent="0.25">
      <c r="A556" t="s">
        <v>270</v>
      </c>
      <c r="B556" t="s">
        <v>40</v>
      </c>
    </row>
    <row r="557" spans="1:2" x14ac:dyDescent="0.25">
      <c r="A557" t="s">
        <v>270</v>
      </c>
      <c r="B557" t="s">
        <v>41</v>
      </c>
    </row>
    <row r="558" spans="1:2" x14ac:dyDescent="0.25">
      <c r="A558" t="s">
        <v>270</v>
      </c>
      <c r="B558" t="s">
        <v>43</v>
      </c>
    </row>
    <row r="559" spans="1:2" x14ac:dyDescent="0.25">
      <c r="A559" t="s">
        <v>271</v>
      </c>
      <c r="B559" t="s">
        <v>40</v>
      </c>
    </row>
    <row r="560" spans="1:2" x14ac:dyDescent="0.25">
      <c r="A560" t="s">
        <v>271</v>
      </c>
      <c r="B560" t="s">
        <v>41</v>
      </c>
    </row>
    <row r="561" spans="1:2" x14ac:dyDescent="0.25">
      <c r="A561" t="s">
        <v>271</v>
      </c>
      <c r="B561" t="s">
        <v>43</v>
      </c>
    </row>
    <row r="562" spans="1:2" x14ac:dyDescent="0.25">
      <c r="A562" t="s">
        <v>272</v>
      </c>
      <c r="B562" t="s">
        <v>43</v>
      </c>
    </row>
    <row r="563" spans="1:2" x14ac:dyDescent="0.25">
      <c r="A563" t="s">
        <v>272</v>
      </c>
      <c r="B563" t="s">
        <v>40</v>
      </c>
    </row>
    <row r="564" spans="1:2" x14ac:dyDescent="0.25">
      <c r="A564" t="s">
        <v>272</v>
      </c>
      <c r="B564" t="s">
        <v>41</v>
      </c>
    </row>
    <row r="565" spans="1:2" x14ac:dyDescent="0.25">
      <c r="A565" t="s">
        <v>273</v>
      </c>
      <c r="B565" t="s">
        <v>40</v>
      </c>
    </row>
    <row r="566" spans="1:2" x14ac:dyDescent="0.25">
      <c r="A566" t="s">
        <v>273</v>
      </c>
      <c r="B566" t="s">
        <v>41</v>
      </c>
    </row>
    <row r="567" spans="1:2" x14ac:dyDescent="0.25">
      <c r="A567" t="s">
        <v>273</v>
      </c>
      <c r="B567" t="s">
        <v>43</v>
      </c>
    </row>
    <row r="568" spans="1:2" x14ac:dyDescent="0.25">
      <c r="A568" t="s">
        <v>274</v>
      </c>
      <c r="B568" t="s">
        <v>40</v>
      </c>
    </row>
    <row r="569" spans="1:2" x14ac:dyDescent="0.25">
      <c r="A569" t="s">
        <v>274</v>
      </c>
      <c r="B569" t="s">
        <v>41</v>
      </c>
    </row>
    <row r="570" spans="1:2" x14ac:dyDescent="0.25">
      <c r="A570" t="s">
        <v>274</v>
      </c>
      <c r="B570" t="s">
        <v>43</v>
      </c>
    </row>
    <row r="571" spans="1:2" x14ac:dyDescent="0.25">
      <c r="A571" t="s">
        <v>275</v>
      </c>
      <c r="B571" t="s">
        <v>40</v>
      </c>
    </row>
    <row r="572" spans="1:2" x14ac:dyDescent="0.25">
      <c r="A572" t="s">
        <v>275</v>
      </c>
      <c r="B572" t="s">
        <v>41</v>
      </c>
    </row>
    <row r="573" spans="1:2" x14ac:dyDescent="0.25">
      <c r="A573" t="s">
        <v>275</v>
      </c>
      <c r="B573" t="s">
        <v>43</v>
      </c>
    </row>
    <row r="574" spans="1:2" x14ac:dyDescent="0.25">
      <c r="A574" t="s">
        <v>276</v>
      </c>
      <c r="B574" t="s">
        <v>40</v>
      </c>
    </row>
    <row r="575" spans="1:2" x14ac:dyDescent="0.25">
      <c r="A575" t="s">
        <v>276</v>
      </c>
      <c r="B575" t="s">
        <v>41</v>
      </c>
    </row>
    <row r="576" spans="1:2" x14ac:dyDescent="0.25">
      <c r="A576" t="s">
        <v>276</v>
      </c>
      <c r="B576" t="s">
        <v>43</v>
      </c>
    </row>
    <row r="577" spans="1:2" x14ac:dyDescent="0.25">
      <c r="A577" t="s">
        <v>277</v>
      </c>
      <c r="B577" t="s">
        <v>41</v>
      </c>
    </row>
    <row r="578" spans="1:2" x14ac:dyDescent="0.25">
      <c r="A578" t="s">
        <v>277</v>
      </c>
      <c r="B578" t="s">
        <v>43</v>
      </c>
    </row>
    <row r="579" spans="1:2" x14ac:dyDescent="0.25">
      <c r="A579" t="s">
        <v>277</v>
      </c>
      <c r="B579" t="s">
        <v>40</v>
      </c>
    </row>
    <row r="580" spans="1:2" x14ac:dyDescent="0.25">
      <c r="A580" t="s">
        <v>278</v>
      </c>
      <c r="B580" t="s">
        <v>40</v>
      </c>
    </row>
    <row r="581" spans="1:2" x14ac:dyDescent="0.25">
      <c r="A581" t="s">
        <v>278</v>
      </c>
      <c r="B581" t="s">
        <v>41</v>
      </c>
    </row>
    <row r="582" spans="1:2" x14ac:dyDescent="0.25">
      <c r="A582" t="s">
        <v>278</v>
      </c>
      <c r="B58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Formato Resumen 23</vt:lpstr>
      <vt:lpstr>P1_AÑO 2024</vt:lpstr>
      <vt:lpstr>P1 DETALLE AÑO 2024</vt:lpstr>
      <vt:lpstr>P1_AÑO 2025</vt:lpstr>
      <vt:lpstr>P1 DETALLE AÑO 2025</vt:lpstr>
      <vt:lpstr>AÑO 2026</vt:lpstr>
      <vt:lpstr>DETALLE AÑO 2026</vt:lpstr>
      <vt:lpstr>AÑO 2027</vt:lpstr>
      <vt:lpstr>DETALLE AÑO 2027</vt:lpstr>
      <vt:lpstr>AÑO 2028</vt:lpstr>
      <vt:lpstr>DETALLE AÑO 2028</vt:lpstr>
      <vt:lpstr>AÑO 2029</vt:lpstr>
      <vt:lpstr>DETALLE AÑO 2029</vt:lpstr>
      <vt:lpstr>AÑO 2030</vt:lpstr>
      <vt:lpstr>DETALLE AÑO 2030</vt:lpstr>
      <vt:lpstr>AÑO 2031</vt:lpstr>
      <vt:lpstr>DETALLE AÑO 2031</vt:lpstr>
      <vt:lpstr>AÑO 2032</vt:lpstr>
      <vt:lpstr>DETALLE AÑO 2032</vt:lpstr>
      <vt:lpstr>AÑO 2033</vt:lpstr>
      <vt:lpstr>DETALLE AÑO 2033</vt:lpstr>
      <vt:lpstr>AÑO 2034</vt:lpstr>
      <vt:lpstr>DETALLE AÑO 2034</vt:lpstr>
      <vt:lpstr>AÑO 2035</vt:lpstr>
      <vt:lpstr>DETALLE AÑO 2035</vt:lpstr>
      <vt:lpstr>AÑO 2036</vt:lpstr>
      <vt:lpstr>DETALLE AÑO 2036</vt:lpstr>
      <vt:lpstr>Formato Propuesta año 2023</vt:lpstr>
      <vt:lpstr>calendario</vt:lpstr>
      <vt:lpstr>Hoja7</vt:lpstr>
    </vt:vector>
  </TitlesOfParts>
  <Manager/>
  <Company>CODENSA S.A. ESP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CODENSA S.A. ESP</dc:creator>
  <cp:keywords/>
  <dc:description/>
  <cp:lastModifiedBy>Preciado Mosos, Fabian, Enel Colombia</cp:lastModifiedBy>
  <cp:revision/>
  <dcterms:created xsi:type="dcterms:W3CDTF">2008-04-02T00:00:31Z</dcterms:created>
  <dcterms:modified xsi:type="dcterms:W3CDTF">2025-01-17T21:17:50Z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2023-03-31T01:34:54Z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01452cca-f213-41a4-9a16-74f9fd5db388</vt:lpwstr>
  </property>
  <property fmtid="{D5CDD505-2E9C-101B-9397-08002B2CF9AE}" pid="8" name="MSIP_Label_797ad33d-ed35-43c0-b526-22bc83c17deb_ContentBits">
    <vt:lpwstr>1</vt:lpwstr>
  </property>
</Properties>
</file>