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5\contrato siglo XXI\Nueva carpeta\Nueva carpeta\"/>
    </mc:Choice>
  </mc:AlternateContent>
  <bookViews>
    <workbookView xWindow="-120" yWindow="-120" windowWidth="29040" windowHeight="15720" firstSheet="1" activeTab="5"/>
  </bookViews>
  <sheets>
    <sheet name="Producto 1 2026" sheetId="1" r:id="rId1"/>
    <sheet name="Producto 2 2027" sheetId="2" r:id="rId2"/>
    <sheet name="Producto 3 2028" sheetId="3" r:id="rId3"/>
    <sheet name="2026 Curvas" sheetId="4" r:id="rId4"/>
    <sheet name="2027 Curvas" sheetId="5" r:id="rId5"/>
    <sheet name="2028 Curvas" sheetId="6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nPa2waQ24JFLbBC7D7cuMP7WlAuf5DxksYfiU5P/Es0="/>
    </ext>
  </extLst>
</workbook>
</file>

<file path=xl/calcChain.xml><?xml version="1.0" encoding="utf-8"?>
<calcChain xmlns="http://schemas.openxmlformats.org/spreadsheetml/2006/main">
  <c r="AI47" i="6" l="1"/>
  <c r="AI55" i="6" l="1"/>
  <c r="AG54" i="6" l="1"/>
  <c r="AG50" i="4"/>
  <c r="AH50" i="4" s="1"/>
  <c r="AG49" i="4"/>
  <c r="AH49" i="4" s="1"/>
  <c r="AG48" i="4"/>
  <c r="AH48" i="4" s="1"/>
  <c r="AG47" i="4"/>
  <c r="AG46" i="4"/>
  <c r="AG45" i="4"/>
  <c r="AG44" i="4"/>
  <c r="AG43" i="4"/>
  <c r="AH43" i="4" s="1"/>
  <c r="AH44" i="4"/>
  <c r="AH39" i="4"/>
  <c r="AH47" i="4"/>
  <c r="AH51" i="4"/>
  <c r="AG51" i="4"/>
  <c r="AH14" i="4"/>
  <c r="AH13" i="4"/>
  <c r="AH12" i="4"/>
  <c r="AH11" i="4"/>
  <c r="AH18" i="4"/>
  <c r="AH17" i="4"/>
  <c r="AH16" i="4"/>
  <c r="AH15" i="4"/>
  <c r="AH22" i="4"/>
  <c r="AH21" i="4"/>
  <c r="AH20" i="4"/>
  <c r="AH19" i="4"/>
  <c r="AH26" i="4"/>
  <c r="AH25" i="4"/>
  <c r="AH24" i="4"/>
  <c r="AH23" i="4"/>
  <c r="AH30" i="4"/>
  <c r="AH29" i="4"/>
  <c r="AH28" i="4"/>
  <c r="AH27" i="4"/>
  <c r="AH34" i="4"/>
  <c r="AH33" i="4"/>
  <c r="AH32" i="4"/>
  <c r="AH31" i="4"/>
  <c r="AH38" i="4"/>
  <c r="AH37" i="4"/>
  <c r="AH36" i="4"/>
  <c r="AH35" i="4"/>
  <c r="AH42" i="4"/>
  <c r="AH41" i="4"/>
  <c r="AH40" i="4"/>
  <c r="AH46" i="4"/>
  <c r="AH45" i="4"/>
  <c r="AH52" i="4"/>
  <c r="AH53" i="4"/>
  <c r="AH54" i="4"/>
  <c r="AH54" i="5"/>
  <c r="AG54" i="5"/>
  <c r="AG53" i="5"/>
  <c r="AH53" i="5" s="1"/>
  <c r="AH52" i="5"/>
  <c r="AG52" i="5"/>
  <c r="AH51" i="5"/>
  <c r="AI51" i="5" s="1"/>
  <c r="AG51" i="5"/>
  <c r="AG50" i="5"/>
  <c r="AH50" i="5" s="1"/>
  <c r="AH49" i="5"/>
  <c r="AG49" i="5"/>
  <c r="AG48" i="5"/>
  <c r="AH48" i="5" s="1"/>
  <c r="AH47" i="5"/>
  <c r="AG47" i="5"/>
  <c r="AG46" i="5"/>
  <c r="AH46" i="5" s="1"/>
  <c r="AH45" i="5"/>
  <c r="AG45" i="5"/>
  <c r="AG44" i="5"/>
  <c r="AH44" i="5" s="1"/>
  <c r="AG43" i="5"/>
  <c r="AH43" i="5" s="1"/>
  <c r="AI43" i="5" s="1"/>
  <c r="AH42" i="5"/>
  <c r="AG42" i="5"/>
  <c r="AG41" i="5"/>
  <c r="AH41" i="5" s="1"/>
  <c r="AH40" i="5"/>
  <c r="AG40" i="5"/>
  <c r="AG39" i="5"/>
  <c r="AH39" i="5" s="1"/>
  <c r="AH38" i="5"/>
  <c r="AG38" i="5"/>
  <c r="AG37" i="5"/>
  <c r="AH37" i="5" s="1"/>
  <c r="AH36" i="5"/>
  <c r="AG36" i="5"/>
  <c r="AH35" i="5"/>
  <c r="AI35" i="5" s="1"/>
  <c r="AG35" i="5"/>
  <c r="AG34" i="5"/>
  <c r="AH34" i="5" s="1"/>
  <c r="AH33" i="5"/>
  <c r="AG33" i="5"/>
  <c r="AG32" i="5"/>
  <c r="AH32" i="5" s="1"/>
  <c r="AH31" i="5"/>
  <c r="AG31" i="5"/>
  <c r="AG30" i="5"/>
  <c r="AH30" i="5" s="1"/>
  <c r="AH29" i="5"/>
  <c r="AG29" i="5"/>
  <c r="AG28" i="5"/>
  <c r="AH28" i="5" s="1"/>
  <c r="AG27" i="5"/>
  <c r="AH27" i="5" s="1"/>
  <c r="AI27" i="5" s="1"/>
  <c r="AH26" i="5"/>
  <c r="AG26" i="5"/>
  <c r="AG25" i="5"/>
  <c r="AH25" i="5" s="1"/>
  <c r="AH24" i="5"/>
  <c r="AG24" i="5"/>
  <c r="AG23" i="5"/>
  <c r="AH23" i="5" s="1"/>
  <c r="AH22" i="5"/>
  <c r="AG22" i="5"/>
  <c r="AG21" i="5"/>
  <c r="AH21" i="5" s="1"/>
  <c r="AH20" i="5"/>
  <c r="AG20" i="5"/>
  <c r="AH19" i="5"/>
  <c r="AI19" i="5" s="1"/>
  <c r="AG19" i="5"/>
  <c r="AH18" i="5"/>
  <c r="AG18" i="5"/>
  <c r="AH17" i="5"/>
  <c r="AG17" i="5"/>
  <c r="AH16" i="5"/>
  <c r="AG16" i="5"/>
  <c r="AG15" i="5"/>
  <c r="AH15" i="5" s="1"/>
  <c r="AI15" i="5" s="1"/>
  <c r="AG14" i="5"/>
  <c r="AH14" i="5" s="1"/>
  <c r="AG13" i="5"/>
  <c r="AH13" i="5" s="1"/>
  <c r="AG12" i="5"/>
  <c r="AH12" i="5" s="1"/>
  <c r="AH11" i="5"/>
  <c r="AI11" i="5" s="1"/>
  <c r="AG11" i="5"/>
  <c r="AH10" i="5"/>
  <c r="AG10" i="5"/>
  <c r="AH9" i="5"/>
  <c r="AG9" i="5"/>
  <c r="AH8" i="5"/>
  <c r="AG8" i="5"/>
  <c r="AG7" i="5"/>
  <c r="AH7" i="5" s="1"/>
  <c r="AI7" i="5" s="1"/>
  <c r="AI43" i="4" l="1"/>
  <c r="AI39" i="5"/>
  <c r="AI23" i="5"/>
  <c r="AI31" i="5"/>
  <c r="AI47" i="5"/>
  <c r="AI7" i="4" l="1"/>
  <c r="C8" i="1"/>
  <c r="C8" i="2" l="1"/>
  <c r="AG42" i="6"/>
  <c r="AH42" i="6" s="1"/>
  <c r="AG14" i="6"/>
  <c r="AH14" i="6" s="1"/>
  <c r="AI55" i="5"/>
  <c r="AG9" i="6" l="1"/>
  <c r="AH9" i="6" s="1"/>
  <c r="AG8" i="6"/>
  <c r="AH8" i="6" s="1"/>
  <c r="AG10" i="6"/>
  <c r="AH10" i="6" s="1"/>
  <c r="AG11" i="6"/>
  <c r="AH11" i="6" s="1"/>
  <c r="AG13" i="6"/>
  <c r="AH13" i="6" s="1"/>
  <c r="AG15" i="6"/>
  <c r="AH15" i="6" s="1"/>
  <c r="AG17" i="6"/>
  <c r="AH17" i="6" s="1"/>
  <c r="AG18" i="6"/>
  <c r="AH18" i="6" s="1"/>
  <c r="AG19" i="6"/>
  <c r="AH19" i="6" s="1"/>
  <c r="AG20" i="6"/>
  <c r="AH20" i="6" s="1"/>
  <c r="AG22" i="6"/>
  <c r="AH22" i="6" s="1"/>
  <c r="AG23" i="6"/>
  <c r="AH23" i="6" s="1"/>
  <c r="C13" i="3" s="1"/>
  <c r="AG25" i="6"/>
  <c r="AH25" i="6" s="1"/>
  <c r="AG26" i="6"/>
  <c r="AH26" i="6" s="1"/>
  <c r="AG27" i="6"/>
  <c r="AH27" i="6" s="1"/>
  <c r="AG28" i="6"/>
  <c r="AH28" i="6" s="1"/>
  <c r="AG30" i="6"/>
  <c r="AH30" i="6" s="1"/>
  <c r="AG31" i="6"/>
  <c r="AH31" i="6" s="1"/>
  <c r="AG33" i="6"/>
  <c r="AH33" i="6" s="1"/>
  <c r="AG34" i="6"/>
  <c r="AH34" i="6" s="1"/>
  <c r="AG35" i="6"/>
  <c r="AH35" i="6" s="1"/>
  <c r="AG36" i="6"/>
  <c r="AH36" i="6" s="1"/>
  <c r="AG38" i="6"/>
  <c r="AH38" i="6" s="1"/>
  <c r="AG39" i="6"/>
  <c r="AH39" i="6" s="1"/>
  <c r="C17" i="3" s="1"/>
  <c r="AG41" i="6"/>
  <c r="AH41" i="6" s="1"/>
  <c r="AG43" i="6"/>
  <c r="AH43" i="6" s="1"/>
  <c r="AG44" i="6"/>
  <c r="AH44" i="6" s="1"/>
  <c r="AG46" i="6"/>
  <c r="AH46" i="6" s="1"/>
  <c r="AG47" i="6"/>
  <c r="AH47" i="6" s="1"/>
  <c r="AG49" i="6"/>
  <c r="AH49" i="6" s="1"/>
  <c r="AG50" i="6"/>
  <c r="AH50" i="6" s="1"/>
  <c r="AG51" i="6"/>
  <c r="AH51" i="6" s="1"/>
  <c r="C20" i="3" s="1"/>
  <c r="AG52" i="6"/>
  <c r="AH52" i="6" s="1"/>
  <c r="AH54" i="6"/>
  <c r="AG7" i="6"/>
  <c r="AH7" i="6" s="1"/>
  <c r="AG12" i="6"/>
  <c r="AH12" i="6" s="1"/>
  <c r="AG16" i="6"/>
  <c r="AH16" i="6" s="1"/>
  <c r="AG21" i="6"/>
  <c r="AH21" i="6" s="1"/>
  <c r="AG24" i="6"/>
  <c r="AH24" i="6" s="1"/>
  <c r="AG29" i="6"/>
  <c r="AH29" i="6" s="1"/>
  <c r="AG32" i="6"/>
  <c r="AH32" i="6" s="1"/>
  <c r="AG37" i="6"/>
  <c r="AH37" i="6" s="1"/>
  <c r="AG40" i="6"/>
  <c r="AH40" i="6" s="1"/>
  <c r="AG45" i="6"/>
  <c r="AH45" i="6" s="1"/>
  <c r="AG48" i="6"/>
  <c r="AH48" i="6" s="1"/>
  <c r="AG53" i="6"/>
  <c r="AH53" i="6" s="1"/>
  <c r="C9" i="3" l="1"/>
  <c r="AI7" i="6"/>
  <c r="C10" i="3"/>
  <c r="C14" i="3"/>
  <c r="C18" i="3"/>
  <c r="C15" i="3"/>
  <c r="C11" i="3"/>
  <c r="C19" i="3"/>
  <c r="C16" i="3"/>
  <c r="C12" i="3"/>
  <c r="AI43" i="6"/>
  <c r="AI51" i="6"/>
  <c r="AI35" i="6"/>
  <c r="AI31" i="6"/>
  <c r="AI27" i="6"/>
  <c r="AI19" i="6"/>
  <c r="AI39" i="6"/>
  <c r="AI23" i="6"/>
  <c r="AI11" i="6"/>
  <c r="AI15" i="6"/>
  <c r="C21" i="3" l="1"/>
  <c r="AI51" i="4" l="1"/>
  <c r="AI47" i="4"/>
  <c r="AI39" i="4"/>
  <c r="AI35" i="4"/>
  <c r="AI31" i="4"/>
  <c r="AI27" i="4"/>
  <c r="AI23" i="4"/>
  <c r="AI19" i="4"/>
  <c r="AI15" i="4"/>
  <c r="AI11" i="4"/>
  <c r="AH10" i="4"/>
  <c r="AH9" i="4"/>
  <c r="AH8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52" i="4"/>
  <c r="AG53" i="4"/>
  <c r="AG54" i="4"/>
  <c r="AG7" i="4"/>
  <c r="AH7" i="4" s="1"/>
  <c r="C7" i="1" l="1"/>
  <c r="AI55" i="4"/>
  <c r="C19" i="2"/>
  <c r="C18" i="2"/>
  <c r="C17" i="2"/>
  <c r="C16" i="2"/>
  <c r="C15" i="2"/>
  <c r="C14" i="2"/>
  <c r="C13" i="2"/>
  <c r="C12" i="2"/>
  <c r="C11" i="2"/>
  <c r="C10" i="2"/>
  <c r="C9" i="2"/>
  <c r="C18" i="1"/>
  <c r="C17" i="1"/>
  <c r="C16" i="1"/>
  <c r="C15" i="1"/>
  <c r="C14" i="1"/>
  <c r="C13" i="1"/>
  <c r="C12" i="1"/>
  <c r="C11" i="1"/>
  <c r="C10" i="1"/>
  <c r="C9" i="1"/>
  <c r="C20" i="2" l="1"/>
  <c r="C19" i="1"/>
</calcChain>
</file>

<file path=xl/sharedStrings.xml><?xml version="1.0" encoding="utf-8"?>
<sst xmlns="http://schemas.openxmlformats.org/spreadsheetml/2006/main" count="278" uniqueCount="63">
  <si>
    <t>AÑO</t>
  </si>
  <si>
    <t>MES</t>
  </si>
  <si>
    <t>PERIODO ENERO 2026 - DICIEMBRE 2026</t>
  </si>
  <si>
    <t>E. Solicitada
 [kWh]</t>
  </si>
  <si>
    <t>% E. Ofertado</t>
  </si>
  <si>
    <t>E. Ofertada  [kWh]</t>
  </si>
  <si>
    <t>$/kWh</t>
  </si>
  <si>
    <t>Total</t>
  </si>
  <si>
    <t>PERIODO ENERO 2027 - DICIEMBRE 2027</t>
  </si>
  <si>
    <t>año</t>
  </si>
  <si>
    <t>mes</t>
  </si>
  <si>
    <t>tipo_dia</t>
  </si>
  <si>
    <t>hora_0</t>
  </si>
  <si>
    <t>hora_1</t>
  </si>
  <si>
    <t>hora_2</t>
  </si>
  <si>
    <t>hora_3</t>
  </si>
  <si>
    <t>hora_4</t>
  </si>
  <si>
    <t>hora_5</t>
  </si>
  <si>
    <t>hora_6</t>
  </si>
  <si>
    <t>hora_7</t>
  </si>
  <si>
    <t>hora_8</t>
  </si>
  <si>
    <t>hora_9</t>
  </si>
  <si>
    <t>hora_10</t>
  </si>
  <si>
    <t>hora_11</t>
  </si>
  <si>
    <t>hora_12</t>
  </si>
  <si>
    <t>hora_13</t>
  </si>
  <si>
    <t>hora_14</t>
  </si>
  <si>
    <t>hora_15</t>
  </si>
  <si>
    <t>hora_16</t>
  </si>
  <si>
    <t>hora_17</t>
  </si>
  <si>
    <t>hora_18</t>
  </si>
  <si>
    <t>hora_19</t>
  </si>
  <si>
    <t>hora_20</t>
  </si>
  <si>
    <t>hora_21</t>
  </si>
  <si>
    <t>hora_22</t>
  </si>
  <si>
    <t>hora_23</t>
  </si>
  <si>
    <t>consumo_diario</t>
  </si>
  <si>
    <t>consumo_mensual_tipo</t>
  </si>
  <si>
    <t/>
  </si>
  <si>
    <t>TOTAL</t>
  </si>
  <si>
    <t>CURVA HORARIA POR TIPO DE DÍA</t>
  </si>
  <si>
    <t xml:space="preserve"> OFERTA BASICA MODALIDAD PAGUE LO CONTRATADO</t>
  </si>
  <si>
    <t>kWh.</t>
  </si>
  <si>
    <t>Laborales</t>
  </si>
  <si>
    <t>Sabados</t>
  </si>
  <si>
    <t>Domingos</t>
  </si>
  <si>
    <t>Festivos</t>
  </si>
  <si>
    <t>Total Dias</t>
  </si>
  <si>
    <t xml:space="preserve"> </t>
  </si>
  <si>
    <t>EMPRESA SIGLO XXI EICE ESP</t>
  </si>
  <si>
    <t>NOMBRE DEL OFERENTE</t>
  </si>
  <si>
    <t>PRODUCTO 1 - CURVA PLC</t>
  </si>
  <si>
    <t>ANEXO 1 - OFERTAS PRODUCTO 1 - CURVA PLC</t>
  </si>
  <si>
    <t>PRODUCTO 2 - CURVA PLC</t>
  </si>
  <si>
    <t>PERIODO  01 DE ENERO 2026  A DICIEMBRE 31 DE 20256</t>
  </si>
  <si>
    <t>ANEXO 1A - CANTIDADES DE  ENERGÍA SOLICITADA EN kWh</t>
  </si>
  <si>
    <t>PERIODO  01 DE ENERO 2027  A DICIEMBRE 31 DE 2027</t>
  </si>
  <si>
    <t>ANEXO 1 - OFERTAS PRODUCTO2 - CURVA PLC</t>
  </si>
  <si>
    <t>ANEXO 1 - OFERTAS PRODUCTO 3 - CURVA PLC</t>
  </si>
  <si>
    <t>PRODUCTO 3 - CURVA PLC</t>
  </si>
  <si>
    <t>PERIODO ENERO 2028 - DICIEMBRE 2028</t>
  </si>
  <si>
    <t>PERIODO  01 DE ENERO 2028  A DICIEMBRE 31 DE 2028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</si>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</sst>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22">
    <font>
      <sz val="10"/>
      <color rgb="FF000000"/>
      <name val="Arial"/>
      <scheme val="minor"/>
    </font>
    <font>
      <b/>
      <sz val="8"/>
      <color theme="1"/>
      <name val="DIN-Regular"/>
    </font>
    <font>
      <b/>
      <sz val="8"/>
      <color theme="1"/>
      <name val="Arial"/>
    </font>
    <font>
      <sz val="10"/>
      <name val="Arial"/>
    </font>
    <font>
      <sz val="10"/>
      <color theme="1"/>
      <name val="Aptos Narrow"/>
    </font>
    <font>
      <sz val="10"/>
      <color theme="1"/>
      <name val="Arial"/>
    </font>
    <font>
      <sz val="11"/>
      <color rgb="FF000000"/>
      <name val="&quot;Aptos Narrow&quot;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2"/>
      <color indexed="8"/>
      <name val="Verdana"/>
      <family val="2"/>
    </font>
    <font>
      <b/>
      <sz val="10"/>
      <color rgb="FF000000"/>
      <name val="Arial"/>
      <family val="2"/>
      <scheme val="minor"/>
    </font>
    <font>
      <b/>
      <sz val="11"/>
      <color indexed="8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8"/>
      <name val="DIN-Regular"/>
      <family val="2"/>
    </font>
    <font>
      <sz val="10"/>
      <color rgb="FF000000"/>
      <name val="Arial"/>
      <family val="2"/>
      <scheme val="minor"/>
    </font>
    <font>
      <b/>
      <sz val="8"/>
      <color theme="1"/>
      <name val="Arial"/>
      <family val="2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Protection="0">
      <alignment vertical="top"/>
    </xf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60">
    <xf numFmtId="0" fontId="0" fillId="0" borderId="0" xfId="0"/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4" fontId="5" fillId="0" borderId="6" xfId="0" applyNumberFormat="1" applyFont="1" applyBorder="1"/>
    <xf numFmtId="0" fontId="6" fillId="0" borderId="0" xfId="0" applyFont="1"/>
    <xf numFmtId="0" fontId="8" fillId="2" borderId="0" xfId="0" applyFont="1" applyFill="1"/>
    <xf numFmtId="0" fontId="5" fillId="0" borderId="6" xfId="0" applyFont="1" applyBorder="1" applyAlignment="1">
      <alignment horizontal="right"/>
    </xf>
    <xf numFmtId="0" fontId="8" fillId="0" borderId="0" xfId="0" applyFont="1"/>
    <xf numFmtId="3" fontId="8" fillId="0" borderId="0" xfId="0" applyNumberFormat="1" applyFont="1"/>
    <xf numFmtId="0" fontId="16" fillId="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right"/>
    </xf>
    <xf numFmtId="0" fontId="16" fillId="3" borderId="8" xfId="0" applyFont="1" applyFill="1" applyBorder="1" applyAlignment="1">
      <alignment horizontal="center" vertical="justify"/>
    </xf>
    <xf numFmtId="0" fontId="16" fillId="3" borderId="8" xfId="0" applyFont="1" applyFill="1" applyBorder="1" applyAlignment="1">
      <alignment horizontal="center" vertical="center"/>
    </xf>
    <xf numFmtId="0" fontId="10" fillId="0" borderId="8" xfId="0" applyFont="1" applyBorder="1"/>
    <xf numFmtId="0" fontId="19" fillId="0" borderId="0" xfId="0" applyFont="1"/>
    <xf numFmtId="3" fontId="0" fillId="0" borderId="0" xfId="0" applyNumberFormat="1"/>
    <xf numFmtId="10" fontId="0" fillId="0" borderId="0" xfId="3" applyNumberFormat="1" applyFont="1" applyAlignment="1"/>
    <xf numFmtId="9" fontId="0" fillId="0" borderId="0" xfId="3" applyFont="1" applyAlignment="1"/>
    <xf numFmtId="164" fontId="11" fillId="0" borderId="8" xfId="2" applyNumberFormat="1" applyFont="1" applyBorder="1" applyAlignment="1">
      <alignment horizontal="right"/>
    </xf>
    <xf numFmtId="43" fontId="11" fillId="0" borderId="8" xfId="2" applyFont="1" applyBorder="1" applyAlignment="1">
      <alignment horizontal="right"/>
    </xf>
    <xf numFmtId="164" fontId="13" fillId="0" borderId="0" xfId="2" applyNumberFormat="1" applyFont="1" applyAlignment="1"/>
    <xf numFmtId="43" fontId="10" fillId="0" borderId="8" xfId="2" applyFont="1" applyBorder="1" applyAlignment="1"/>
    <xf numFmtId="43" fontId="0" fillId="0" borderId="0" xfId="2" applyFont="1" applyAlignment="1"/>
    <xf numFmtId="164" fontId="0" fillId="0" borderId="0" xfId="2" applyNumberFormat="1" applyFont="1" applyAlignment="1"/>
    <xf numFmtId="43" fontId="17" fillId="0" borderId="8" xfId="2" applyFont="1" applyBorder="1" applyAlignment="1"/>
    <xf numFmtId="43" fontId="0" fillId="0" borderId="0" xfId="0" applyNumberFormat="1"/>
    <xf numFmtId="164" fontId="16" fillId="3" borderId="8" xfId="2" applyNumberFormat="1" applyFont="1" applyFill="1" applyBorder="1" applyAlignment="1">
      <alignment horizontal="center" vertical="center"/>
    </xf>
    <xf numFmtId="164" fontId="0" fillId="0" borderId="0" xfId="2" applyNumberFormat="1" applyFont="1"/>
    <xf numFmtId="164" fontId="9" fillId="3" borderId="8" xfId="2" applyNumberFormat="1" applyFont="1" applyFill="1" applyBorder="1" applyAlignment="1">
      <alignment horizontal="center"/>
    </xf>
    <xf numFmtId="164" fontId="16" fillId="3" borderId="8" xfId="2" applyNumberFormat="1" applyFont="1" applyFill="1" applyBorder="1" applyAlignment="1">
      <alignment horizontal="center"/>
    </xf>
    <xf numFmtId="164" fontId="10" fillId="0" borderId="8" xfId="2" applyNumberFormat="1" applyFont="1" applyBorder="1" applyAlignment="1"/>
    <xf numFmtId="0" fontId="1" fillId="0" borderId="1" xfId="0" applyFont="1" applyBorder="1" applyAlignment="1">
      <alignment horizontal="center"/>
    </xf>
    <xf numFmtId="0" fontId="3" fillId="0" borderId="4" xfId="0" applyFont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7" fillId="0" borderId="7" xfId="0" applyFont="1" applyBorder="1"/>
    <xf numFmtId="0" fontId="18" fillId="0" borderId="0" xfId="1" applyFont="1" applyBorder="1" applyAlignment="1">
      <alignment horizontal="center"/>
    </xf>
    <xf numFmtId="0" fontId="1" fillId="0" borderId="0" xfId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0" fontId="1" fillId="0" borderId="12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4" fillId="0" borderId="10" xfId="1" applyNumberFormat="1" applyFont="1" applyBorder="1" applyAlignment="1">
      <alignment horizontal="center"/>
    </xf>
    <xf numFmtId="0" fontId="14" fillId="0" borderId="11" xfId="1" applyNumberFormat="1" applyFont="1" applyBorder="1" applyAlignment="1">
      <alignment horizontal="center"/>
    </xf>
    <xf numFmtId="1" fontId="14" fillId="0" borderId="9" xfId="1" applyNumberFormat="1" applyFont="1" applyBorder="1" applyAlignment="1">
      <alignment horizontal="center"/>
    </xf>
    <xf numFmtId="1" fontId="14" fillId="0" borderId="0" xfId="1" applyNumberFormat="1" applyFont="1" applyBorder="1" applyAlignment="1">
      <alignment horizontal="center"/>
    </xf>
    <xf numFmtId="0" fontId="14" fillId="0" borderId="9" xfId="1" applyNumberFormat="1" applyFont="1" applyBorder="1" applyAlignment="1">
      <alignment horizontal="center"/>
    </xf>
    <xf numFmtId="0" fontId="14" fillId="0" borderId="0" xfId="1" applyNumberFormat="1" applyFont="1" applyBorder="1" applyAlignment="1">
      <alignment horizontal="center"/>
    </xf>
    <xf numFmtId="164" fontId="15" fillId="0" borderId="8" xfId="2" applyNumberFormat="1" applyFont="1" applyBorder="1" applyAlignment="1">
      <alignment vertical="center"/>
    </xf>
    <xf numFmtId="164" fontId="14" fillId="0" borderId="9" xfId="2" applyNumberFormat="1" applyFont="1" applyBorder="1" applyAlignment="1">
      <alignment horizontal="center"/>
    </xf>
    <xf numFmtId="164" fontId="14" fillId="0" borderId="0" xfId="2" applyNumberFormat="1" applyFont="1" applyBorder="1" applyAlignment="1">
      <alignment horizontal="center"/>
    </xf>
    <xf numFmtId="164" fontId="14" fillId="0" borderId="10" xfId="2" applyNumberFormat="1" applyFont="1" applyBorder="1" applyAlignment="1">
      <alignment horizontal="center"/>
    </xf>
    <xf numFmtId="164" fontId="14" fillId="0" borderId="11" xfId="2" applyNumberFormat="1" applyFont="1" applyBorder="1" applyAlignment="1">
      <alignment horizontal="center"/>
    </xf>
    <xf numFmtId="164" fontId="0" fillId="0" borderId="8" xfId="2" applyNumberFormat="1" applyFont="1" applyBorder="1" applyAlignment="1">
      <alignment horizontal="center" vertical="center"/>
    </xf>
  </cellXfs>
  <cellStyles count="4">
    <cellStyle name="Millares" xfId="2" builtinId="3"/>
    <cellStyle name="Normal" xfId="0" builtinId="0"/>
    <cellStyle name="Normal 2" xfId="1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4"/>
  <sheetViews>
    <sheetView topLeftCell="A4" workbookViewId="0">
      <selection activeCell="D22" sqref="D22"/>
    </sheetView>
  </sheetViews>
  <sheetFormatPr baseColWidth="10" defaultColWidth="12.5703125" defaultRowHeight="15" customHeight="1"/>
  <cols>
    <col min="1" max="1" width="4.7109375" customWidth="1"/>
    <col min="2" max="2" width="3.85546875" customWidth="1"/>
    <col min="3" max="3" width="30.42578125" customWidth="1"/>
    <col min="4" max="4" width="12" customWidth="1"/>
    <col min="5" max="5" width="18.28515625" customWidth="1"/>
    <col min="6" max="6" width="6.7109375" customWidth="1"/>
  </cols>
  <sheetData>
    <row r="1" spans="1:13" ht="15" customHeight="1">
      <c r="A1" s="41" t="s">
        <v>52</v>
      </c>
      <c r="B1" s="41"/>
      <c r="C1" s="41"/>
      <c r="D1" s="41"/>
      <c r="E1" s="41"/>
      <c r="F1" s="41"/>
      <c r="H1" s="39"/>
      <c r="I1" s="39"/>
      <c r="J1" s="39"/>
      <c r="K1" s="39"/>
      <c r="L1" s="39"/>
      <c r="M1" s="39"/>
    </row>
    <row r="2" spans="1:13" ht="15" customHeight="1">
      <c r="A2" s="41" t="s">
        <v>49</v>
      </c>
      <c r="B2" s="41"/>
      <c r="C2" s="41"/>
      <c r="D2" s="41"/>
      <c r="E2" s="41"/>
      <c r="F2" s="41"/>
      <c r="H2" s="39"/>
      <c r="I2" s="39"/>
      <c r="J2" s="39"/>
      <c r="K2" s="39"/>
      <c r="L2" s="39"/>
      <c r="M2" s="39"/>
    </row>
    <row r="3" spans="1:13" ht="15" customHeight="1" thickBot="1">
      <c r="A3" s="41" t="s">
        <v>50</v>
      </c>
      <c r="B3" s="41"/>
      <c r="C3" s="41"/>
      <c r="D3" s="41"/>
      <c r="E3" s="41"/>
      <c r="F3" s="41"/>
      <c r="H3" s="39"/>
      <c r="I3" s="39"/>
      <c r="J3" s="39"/>
      <c r="K3" s="39"/>
      <c r="L3" s="39"/>
      <c r="M3" s="39"/>
    </row>
    <row r="4" spans="1:13" ht="15" customHeight="1" thickBot="1">
      <c r="A4" s="42" t="s">
        <v>51</v>
      </c>
      <c r="B4" s="43"/>
      <c r="C4" s="43"/>
      <c r="D4" s="43"/>
      <c r="E4" s="43"/>
      <c r="F4" s="44"/>
      <c r="H4" s="40"/>
      <c r="I4" s="40"/>
      <c r="J4" s="40"/>
      <c r="K4" s="40"/>
      <c r="L4" s="40"/>
      <c r="M4" s="40"/>
    </row>
    <row r="5" spans="1:13" ht="15.75" customHeight="1">
      <c r="A5" s="33" t="s">
        <v>0</v>
      </c>
      <c r="B5" s="33" t="s">
        <v>1</v>
      </c>
      <c r="C5" s="35" t="s">
        <v>2</v>
      </c>
      <c r="D5" s="36"/>
      <c r="E5" s="36"/>
      <c r="F5" s="37"/>
    </row>
    <row r="6" spans="1:13" ht="15.75" customHeight="1">
      <c r="A6" s="34"/>
      <c r="B6" s="34"/>
      <c r="C6" s="1" t="s">
        <v>3</v>
      </c>
      <c r="D6" s="1" t="s">
        <v>4</v>
      </c>
      <c r="E6" s="2" t="s">
        <v>5</v>
      </c>
      <c r="F6" s="1" t="s">
        <v>6</v>
      </c>
    </row>
    <row r="7" spans="1:13" ht="15.75" customHeight="1">
      <c r="A7" s="3">
        <v>2026</v>
      </c>
      <c r="B7" s="3">
        <v>1</v>
      </c>
      <c r="C7" s="4">
        <f>SUMIFS('2026 Curvas'!AH:AH,'2026 Curvas'!A:A,A7,'2026 Curvas'!B:B,B7)</f>
        <v>345097.66759354749</v>
      </c>
      <c r="D7" s="5"/>
      <c r="E7" s="5"/>
      <c r="F7" s="5"/>
      <c r="I7" s="6"/>
      <c r="J7" s="6"/>
      <c r="K7" s="6"/>
      <c r="L7" s="6"/>
      <c r="M7" s="6"/>
    </row>
    <row r="8" spans="1:13" ht="15.75" customHeight="1">
      <c r="A8" s="3">
        <v>2026</v>
      </c>
      <c r="B8" s="3">
        <v>2</v>
      </c>
      <c r="C8" s="4">
        <f>SUMIFS('2026 Curvas'!AH:AH,'2026 Curvas'!A:A,A8,'2026 Curvas'!B:B,B8)</f>
        <v>345635.06991274346</v>
      </c>
      <c r="D8" s="5"/>
      <c r="E8" s="5"/>
      <c r="F8" s="5"/>
      <c r="I8" s="6"/>
      <c r="J8" s="6"/>
      <c r="K8" s="6"/>
      <c r="L8" s="6"/>
      <c r="M8" s="6"/>
    </row>
    <row r="9" spans="1:13" ht="15.75" customHeight="1">
      <c r="A9" s="3">
        <v>2026</v>
      </c>
      <c r="B9" s="3">
        <v>3</v>
      </c>
      <c r="C9" s="4">
        <f>SUMIFS('2026 Curvas'!AH:AH,'2026 Curvas'!A:A,A9,'2026 Curvas'!B:B,B9)</f>
        <v>440635.05665636639</v>
      </c>
      <c r="D9" s="5"/>
      <c r="E9" s="5"/>
      <c r="F9" s="5"/>
      <c r="I9" s="6"/>
      <c r="J9" s="6"/>
      <c r="K9" s="6"/>
      <c r="L9" s="6"/>
      <c r="M9" s="6"/>
    </row>
    <row r="10" spans="1:13" ht="15.75" customHeight="1">
      <c r="A10" s="3">
        <v>2026</v>
      </c>
      <c r="B10" s="3">
        <v>4</v>
      </c>
      <c r="C10" s="4">
        <f>SUMIFS('2026 Curvas'!AH:AH,'2026 Curvas'!A:A,A10,'2026 Curvas'!B:B,B10)</f>
        <v>392442.19141014502</v>
      </c>
      <c r="D10" s="5"/>
      <c r="E10" s="5"/>
      <c r="F10" s="5"/>
      <c r="I10" s="6"/>
      <c r="J10" s="6"/>
      <c r="K10" s="6"/>
      <c r="L10" s="6"/>
      <c r="M10" s="6"/>
    </row>
    <row r="11" spans="1:13" ht="15.75" customHeight="1">
      <c r="A11" s="3">
        <v>2026</v>
      </c>
      <c r="B11" s="3">
        <v>5</v>
      </c>
      <c r="C11" s="4">
        <f>SUMIFS('2026 Curvas'!AH:AH,'2026 Curvas'!A:A,A11,'2026 Curvas'!B:B,B11)</f>
        <v>350729.25705027406</v>
      </c>
      <c r="D11" s="5"/>
      <c r="E11" s="5"/>
      <c r="F11" s="5"/>
      <c r="I11" s="6"/>
      <c r="J11" s="6"/>
      <c r="K11" s="6"/>
      <c r="L11" s="6"/>
      <c r="M11" s="6"/>
    </row>
    <row r="12" spans="1:13" ht="15.75" customHeight="1">
      <c r="A12" s="3">
        <v>2026</v>
      </c>
      <c r="B12" s="3">
        <v>6</v>
      </c>
      <c r="C12" s="4">
        <f>SUMIFS('2026 Curvas'!AH:AH,'2026 Curvas'!A:A,A12,'2026 Curvas'!B:B,B12)</f>
        <v>310457.91058147396</v>
      </c>
      <c r="D12" s="5"/>
      <c r="E12" s="5"/>
      <c r="F12" s="5"/>
      <c r="I12" s="6"/>
      <c r="J12" s="6"/>
      <c r="K12" s="6"/>
      <c r="L12" s="6"/>
      <c r="M12" s="6"/>
    </row>
    <row r="13" spans="1:13" ht="15.75" customHeight="1">
      <c r="A13" s="3">
        <v>2026</v>
      </c>
      <c r="B13" s="3">
        <v>7</v>
      </c>
      <c r="C13" s="4">
        <f>SUMIFS('2026 Curvas'!AH:AH,'2026 Curvas'!A:A,A13,'2026 Curvas'!B:B,B13)</f>
        <v>333760.18505882384</v>
      </c>
      <c r="D13" s="5"/>
      <c r="E13" s="5"/>
      <c r="F13" s="5"/>
      <c r="I13" s="6"/>
      <c r="J13" s="6"/>
      <c r="K13" s="6"/>
      <c r="L13" s="6"/>
      <c r="M13" s="6"/>
    </row>
    <row r="14" spans="1:13" ht="15.75" customHeight="1">
      <c r="A14" s="3">
        <v>2026</v>
      </c>
      <c r="B14" s="3">
        <v>8</v>
      </c>
      <c r="C14" s="4">
        <f>SUMIFS('2026 Curvas'!AH:AH,'2026 Curvas'!A:A,A14,'2026 Curvas'!B:B,B14)</f>
        <v>359914.53459987388</v>
      </c>
      <c r="D14" s="5"/>
      <c r="E14" s="5"/>
      <c r="F14" s="5"/>
      <c r="I14" s="6"/>
      <c r="J14" s="6"/>
      <c r="K14" s="6"/>
      <c r="L14" s="6"/>
      <c r="M14" s="6"/>
    </row>
    <row r="15" spans="1:13" ht="15.75" customHeight="1">
      <c r="A15" s="3">
        <v>2026</v>
      </c>
      <c r="B15" s="3">
        <v>9</v>
      </c>
      <c r="C15" s="4">
        <f>SUMIFS('2026 Curvas'!AH:AH,'2026 Curvas'!A:A,A15,'2026 Curvas'!B:B,B15)</f>
        <v>351876.54395786696</v>
      </c>
      <c r="D15" s="5"/>
      <c r="E15" s="5"/>
      <c r="F15" s="5"/>
      <c r="I15" s="6"/>
      <c r="J15" s="6"/>
      <c r="K15" s="6"/>
      <c r="L15" s="6"/>
      <c r="M15" s="6"/>
    </row>
    <row r="16" spans="1:13" ht="15.75" customHeight="1">
      <c r="A16" s="3">
        <v>2026</v>
      </c>
      <c r="B16" s="3">
        <v>10</v>
      </c>
      <c r="C16" s="4">
        <f>SUMIFS('2026 Curvas'!AH:AH,'2026 Curvas'!A:A,A16,'2026 Curvas'!B:B,B16)</f>
        <v>373230.01411740953</v>
      </c>
      <c r="D16" s="5"/>
      <c r="E16" s="5"/>
      <c r="F16" s="5"/>
      <c r="I16" s="6"/>
      <c r="J16" s="6"/>
      <c r="K16" s="6"/>
      <c r="L16" s="6"/>
      <c r="M16" s="6"/>
    </row>
    <row r="17" spans="1:13" ht="15.75" customHeight="1">
      <c r="A17" s="3">
        <v>2026</v>
      </c>
      <c r="B17" s="3">
        <v>11</v>
      </c>
      <c r="C17" s="4">
        <f>SUMIFS('2026 Curvas'!AH:AH,'2026 Curvas'!A:A,A17,'2026 Curvas'!B:B,B17)</f>
        <v>340262.43417197902</v>
      </c>
      <c r="D17" s="5"/>
      <c r="E17" s="5"/>
      <c r="F17" s="5"/>
      <c r="I17" s="6"/>
      <c r="J17" s="6"/>
      <c r="K17" s="6"/>
      <c r="L17" s="6"/>
      <c r="M17" s="6"/>
    </row>
    <row r="18" spans="1:13" ht="15.75" customHeight="1">
      <c r="A18" s="3">
        <v>2026</v>
      </c>
      <c r="B18" s="3">
        <v>12</v>
      </c>
      <c r="C18" s="4">
        <f>SUMIFS('2026 Curvas'!AH:AH,'2026 Curvas'!A:A,A18,'2026 Curvas'!B:B,B18)</f>
        <v>367242.55614500731</v>
      </c>
      <c r="D18" s="5"/>
      <c r="E18" s="5"/>
      <c r="F18" s="5"/>
      <c r="I18" s="6"/>
      <c r="J18" s="6"/>
      <c r="K18" s="6"/>
      <c r="L18" s="6"/>
      <c r="M18" s="6"/>
    </row>
    <row r="19" spans="1:13" ht="15.75" customHeight="1">
      <c r="A19" s="38" t="s">
        <v>7</v>
      </c>
      <c r="B19" s="37"/>
      <c r="C19" s="4">
        <f>SUM(C7:C18)</f>
        <v>4311283.4212555103</v>
      </c>
      <c r="D19" s="7"/>
      <c r="E19" s="5"/>
      <c r="I19" s="6"/>
      <c r="J19" s="6"/>
      <c r="K19" s="6"/>
      <c r="L19" s="6"/>
      <c r="M19" s="6"/>
    </row>
    <row r="20" spans="1:13" ht="15.75" customHeight="1">
      <c r="C20" s="16" t="s">
        <v>48</v>
      </c>
      <c r="D20" s="7"/>
      <c r="I20" s="6"/>
      <c r="J20" s="6"/>
      <c r="K20" s="6"/>
      <c r="L20" s="6"/>
      <c r="M20" s="6"/>
    </row>
    <row r="21" spans="1:13" ht="15.75" customHeight="1">
      <c r="D21" s="7"/>
      <c r="I21" s="6"/>
      <c r="J21" s="6"/>
      <c r="K21" s="6"/>
      <c r="L21" s="6"/>
      <c r="M21" s="6"/>
    </row>
    <row r="22" spans="1:13" ht="15.75" customHeight="1">
      <c r="D22" s="7"/>
      <c r="I22" s="6"/>
      <c r="J22" s="6"/>
      <c r="K22" s="6"/>
      <c r="L22" s="6"/>
      <c r="M22" s="6"/>
    </row>
    <row r="23" spans="1:13" ht="15.75" customHeight="1">
      <c r="D23" s="7"/>
      <c r="I23" s="6"/>
      <c r="J23" s="6"/>
      <c r="K23" s="6"/>
      <c r="L23" s="6"/>
      <c r="M23" s="6"/>
    </row>
    <row r="24" spans="1:13" ht="15.75" customHeight="1">
      <c r="D24" s="7"/>
      <c r="I24" s="6"/>
      <c r="J24" s="6"/>
      <c r="K24" s="6"/>
      <c r="L24" s="6"/>
      <c r="M24" s="6"/>
    </row>
    <row r="25" spans="1:13" ht="15.75" customHeight="1">
      <c r="D25" s="7"/>
      <c r="I25" s="6"/>
      <c r="J25" s="6"/>
      <c r="K25" s="6"/>
      <c r="L25" s="6"/>
      <c r="M25" s="6"/>
    </row>
    <row r="26" spans="1:13" ht="15.75" customHeight="1">
      <c r="D26" s="7"/>
      <c r="I26" s="6"/>
      <c r="J26" s="6"/>
      <c r="K26" s="6"/>
      <c r="L26" s="6"/>
      <c r="M26" s="6"/>
    </row>
    <row r="27" spans="1:13" ht="15.75" customHeight="1">
      <c r="I27" s="6"/>
      <c r="J27" s="6"/>
      <c r="K27" s="6"/>
      <c r="L27" s="6"/>
      <c r="M27" s="6"/>
    </row>
    <row r="28" spans="1:13" ht="15.75" customHeight="1">
      <c r="I28" s="6"/>
      <c r="J28" s="6"/>
      <c r="K28" s="6"/>
      <c r="L28" s="6"/>
      <c r="M28" s="6"/>
    </row>
    <row r="29" spans="1:13" ht="15.75" customHeight="1">
      <c r="I29" s="6"/>
      <c r="J29" s="6"/>
      <c r="K29" s="6"/>
      <c r="L29" s="6"/>
      <c r="M29" s="6"/>
    </row>
    <row r="30" spans="1:13" ht="15.75" customHeight="1">
      <c r="I30" s="6"/>
      <c r="J30" s="6"/>
      <c r="K30" s="6"/>
      <c r="L30" s="6"/>
      <c r="M30" s="6"/>
    </row>
    <row r="31" spans="1:13" ht="15.75" customHeight="1">
      <c r="I31" s="6"/>
      <c r="J31" s="6"/>
      <c r="K31" s="6"/>
      <c r="L31" s="6"/>
      <c r="M31" s="6"/>
    </row>
    <row r="32" spans="1:13" ht="15.75" customHeight="1">
      <c r="I32" s="6"/>
      <c r="J32" s="6"/>
      <c r="K32" s="6"/>
      <c r="L32" s="6"/>
      <c r="M32" s="6"/>
    </row>
    <row r="33" spans="9:13" ht="15.75" customHeight="1">
      <c r="I33" s="6"/>
      <c r="J33" s="6"/>
      <c r="K33" s="6"/>
      <c r="L33" s="6"/>
      <c r="M33" s="6"/>
    </row>
    <row r="34" spans="9:13" ht="15.75" customHeight="1">
      <c r="I34" s="6"/>
      <c r="J34" s="6"/>
      <c r="K34" s="6"/>
      <c r="L34" s="6"/>
      <c r="M34" s="6"/>
    </row>
    <row r="35" spans="9:13" ht="15.75" customHeight="1">
      <c r="I35" s="6"/>
      <c r="J35" s="6"/>
      <c r="K35" s="6"/>
      <c r="L35" s="6"/>
      <c r="M35" s="6"/>
    </row>
    <row r="36" spans="9:13" ht="15.75" customHeight="1">
      <c r="I36" s="6"/>
      <c r="J36" s="6"/>
      <c r="K36" s="6"/>
      <c r="L36" s="6"/>
      <c r="M36" s="6"/>
    </row>
    <row r="37" spans="9:13" ht="15.75" customHeight="1">
      <c r="I37" s="6"/>
      <c r="J37" s="6"/>
      <c r="K37" s="6"/>
      <c r="L37" s="6"/>
      <c r="M37" s="6"/>
    </row>
    <row r="38" spans="9:13" ht="15.75" customHeight="1">
      <c r="I38" s="6"/>
      <c r="J38" s="6"/>
      <c r="K38" s="6"/>
      <c r="L38" s="6"/>
      <c r="M38" s="6"/>
    </row>
    <row r="39" spans="9:13" ht="15.75" customHeight="1"/>
    <row r="40" spans="9:13" ht="15.75" customHeight="1"/>
    <row r="41" spans="9:13" ht="15.75" customHeight="1"/>
    <row r="42" spans="9:13" ht="15.75" customHeight="1"/>
    <row r="43" spans="9:13" ht="15.75" customHeight="1"/>
    <row r="44" spans="9:13" ht="15.75" customHeight="1"/>
    <row r="45" spans="9:13" ht="15.75" customHeight="1"/>
    <row r="46" spans="9:13" ht="15.75" customHeight="1"/>
    <row r="47" spans="9:13" ht="15.75" customHeight="1"/>
    <row r="48" spans="9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A5:A6"/>
    <mergeCell ref="B5:B6"/>
    <mergeCell ref="C5:F5"/>
    <mergeCell ref="A19:B19"/>
    <mergeCell ref="H1:M1"/>
    <mergeCell ref="H2:M2"/>
    <mergeCell ref="H3:M3"/>
    <mergeCell ref="H4:M4"/>
    <mergeCell ref="A1:F1"/>
    <mergeCell ref="A2:F2"/>
    <mergeCell ref="A3:F3"/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M1005"/>
  <sheetViews>
    <sheetView topLeftCell="A12" workbookViewId="0">
      <selection activeCell="C9" sqref="C9"/>
    </sheetView>
  </sheetViews>
  <sheetFormatPr baseColWidth="10" defaultColWidth="12.5703125" defaultRowHeight="15" customHeight="1"/>
  <cols>
    <col min="1" max="1" width="4.7109375" customWidth="1"/>
    <col min="2" max="2" width="3.85546875" customWidth="1"/>
    <col min="3" max="3" width="30.42578125" customWidth="1"/>
    <col min="4" max="4" width="13" customWidth="1"/>
    <col min="5" max="5" width="18.28515625" customWidth="1"/>
    <col min="6" max="6" width="6.7109375" customWidth="1"/>
  </cols>
  <sheetData>
    <row r="2" spans="1:13" ht="15" customHeight="1">
      <c r="A2" s="41" t="s">
        <v>57</v>
      </c>
      <c r="B2" s="41"/>
      <c r="C2" s="41"/>
      <c r="D2" s="41"/>
      <c r="E2" s="41"/>
      <c r="F2" s="41"/>
    </row>
    <row r="3" spans="1:13" ht="15" customHeight="1">
      <c r="A3" s="41" t="s">
        <v>49</v>
      </c>
      <c r="B3" s="41"/>
      <c r="C3" s="41"/>
      <c r="D3" s="41"/>
      <c r="E3" s="41"/>
      <c r="F3" s="41"/>
    </row>
    <row r="4" spans="1:13" ht="15" customHeight="1" thickBot="1">
      <c r="A4" s="41" t="s">
        <v>50</v>
      </c>
      <c r="B4" s="41"/>
      <c r="C4" s="41"/>
      <c r="D4" s="41"/>
      <c r="E4" s="41"/>
      <c r="F4" s="41"/>
    </row>
    <row r="5" spans="1:13" ht="15" customHeight="1" thickBot="1">
      <c r="A5" s="42" t="s">
        <v>53</v>
      </c>
      <c r="B5" s="43"/>
      <c r="C5" s="43"/>
      <c r="D5" s="43"/>
      <c r="E5" s="43"/>
      <c r="F5" s="44"/>
    </row>
    <row r="6" spans="1:13" ht="15.75" customHeight="1">
      <c r="A6" s="33" t="s">
        <v>0</v>
      </c>
      <c r="B6" s="33" t="s">
        <v>1</v>
      </c>
      <c r="C6" s="35" t="s">
        <v>8</v>
      </c>
      <c r="D6" s="36"/>
      <c r="E6" s="36"/>
      <c r="F6" s="37"/>
    </row>
    <row r="7" spans="1:13" ht="15.75" customHeight="1">
      <c r="A7" s="34"/>
      <c r="B7" s="34"/>
      <c r="C7" s="1" t="s">
        <v>3</v>
      </c>
      <c r="D7" s="1" t="s">
        <v>4</v>
      </c>
      <c r="E7" s="2" t="s">
        <v>5</v>
      </c>
      <c r="F7" s="1" t="s">
        <v>6</v>
      </c>
    </row>
    <row r="8" spans="1:13" ht="15.75" customHeight="1">
      <c r="A8" s="3">
        <v>2027</v>
      </c>
      <c r="B8" s="3">
        <v>1</v>
      </c>
      <c r="C8" s="4">
        <f>SUMIFS('2027 Curvas'!AH:AH,'2027 Curvas'!A:A,A8,'2027 Curvas'!B:B,B8)</f>
        <v>342652.67384329374</v>
      </c>
      <c r="D8" s="5"/>
      <c r="E8" s="5"/>
      <c r="F8" s="5"/>
      <c r="I8" s="6"/>
      <c r="J8" s="6"/>
      <c r="K8" s="6"/>
      <c r="L8" s="6"/>
      <c r="M8" s="6"/>
    </row>
    <row r="9" spans="1:13" ht="15.75" customHeight="1">
      <c r="A9" s="3">
        <v>2027</v>
      </c>
      <c r="B9" s="3">
        <v>2</v>
      </c>
      <c r="C9" s="4">
        <f>SUMIFS('2027 Curvas'!AH:AH,'2027 Curvas'!A:A,A9,'2027 Curvas'!B:B,B9)</f>
        <v>347611.77188715152</v>
      </c>
      <c r="D9" s="5"/>
      <c r="E9" s="5"/>
      <c r="F9" s="5"/>
      <c r="I9" s="6"/>
      <c r="J9" s="6"/>
      <c r="K9" s="6"/>
      <c r="L9" s="6"/>
      <c r="M9" s="6"/>
    </row>
    <row r="10" spans="1:13" ht="15.75" customHeight="1">
      <c r="A10" s="3">
        <v>2027</v>
      </c>
      <c r="B10" s="3">
        <v>3</v>
      </c>
      <c r="C10" s="4">
        <f>SUMIFS('2027 Curvas'!AH:AH,'2027 Curvas'!A:A,A10,'2027 Curvas'!B:B,B10)</f>
        <v>447413.47749905597</v>
      </c>
      <c r="D10" s="5"/>
      <c r="E10" s="5"/>
      <c r="F10" s="5"/>
      <c r="I10" s="6"/>
      <c r="J10" s="6"/>
      <c r="K10" s="6"/>
      <c r="L10" s="6"/>
      <c r="M10" s="6"/>
    </row>
    <row r="11" spans="1:13" ht="15.75" customHeight="1">
      <c r="A11" s="3">
        <v>2027</v>
      </c>
      <c r="B11" s="3">
        <v>4</v>
      </c>
      <c r="C11" s="4">
        <f>SUMIFS('2027 Curvas'!AH:AH,'2027 Curvas'!A:A,A11,'2027 Curvas'!B:B,B11)</f>
        <v>409689.56665257126</v>
      </c>
      <c r="D11" s="5"/>
      <c r="E11" s="5"/>
      <c r="F11" s="5"/>
      <c r="I11" s="6"/>
      <c r="J11" s="6"/>
      <c r="K11" s="6"/>
      <c r="L11" s="6"/>
      <c r="M11" s="6"/>
    </row>
    <row r="12" spans="1:13" ht="15.75" customHeight="1">
      <c r="A12" s="3">
        <v>2027</v>
      </c>
      <c r="B12" s="3">
        <v>5</v>
      </c>
      <c r="C12" s="4">
        <f>SUMIFS('2027 Curvas'!AH:AH,'2027 Curvas'!A:A,A12,'2027 Curvas'!B:B,B12)</f>
        <v>354470.56518836372</v>
      </c>
      <c r="D12" s="5"/>
      <c r="E12" s="5"/>
      <c r="F12" s="5"/>
      <c r="I12" s="6"/>
      <c r="J12" s="6"/>
      <c r="K12" s="6"/>
      <c r="L12" s="6"/>
      <c r="M12" s="6"/>
    </row>
    <row r="13" spans="1:13" ht="15.75" customHeight="1">
      <c r="A13" s="3">
        <v>2027</v>
      </c>
      <c r="B13" s="3">
        <v>6</v>
      </c>
      <c r="C13" s="4">
        <f>SUMIFS('2027 Curvas'!AH:AH,'2027 Curvas'!A:A,A13,'2027 Curvas'!B:B,B13)</f>
        <v>312959.00265635946</v>
      </c>
      <c r="D13" s="5"/>
      <c r="E13" s="5"/>
      <c r="F13" s="5"/>
      <c r="I13" s="6"/>
      <c r="J13" s="6"/>
      <c r="K13" s="6"/>
      <c r="L13" s="6"/>
      <c r="M13" s="6"/>
    </row>
    <row r="14" spans="1:13" ht="15.75" customHeight="1">
      <c r="A14" s="3">
        <v>2027</v>
      </c>
      <c r="B14" s="3">
        <v>7</v>
      </c>
      <c r="C14" s="4">
        <f>SUMIFS('2027 Curvas'!AH:AH,'2027 Curvas'!A:A,A14,'2027 Curvas'!B:B,B14)</f>
        <v>337449.6072178529</v>
      </c>
      <c r="D14" s="5"/>
      <c r="E14" s="5"/>
      <c r="F14" s="5"/>
      <c r="I14" s="6"/>
      <c r="J14" s="6"/>
      <c r="K14" s="6"/>
      <c r="L14" s="6"/>
      <c r="M14" s="6"/>
    </row>
    <row r="15" spans="1:13" ht="15.75" customHeight="1">
      <c r="A15" s="3">
        <v>2027</v>
      </c>
      <c r="B15" s="3">
        <v>8</v>
      </c>
      <c r="C15" s="4">
        <f>SUMIFS('2027 Curvas'!AH:AH,'2027 Curvas'!A:A,A15,'2027 Curvas'!B:B,B15)</f>
        <v>367011.65930744563</v>
      </c>
      <c r="D15" s="5"/>
      <c r="E15" s="5"/>
      <c r="F15" s="5"/>
      <c r="I15" s="6"/>
      <c r="J15" s="6"/>
      <c r="K15" s="6"/>
      <c r="L15" s="6"/>
      <c r="M15" s="6"/>
    </row>
    <row r="16" spans="1:13" ht="15.75" customHeight="1">
      <c r="A16" s="3">
        <v>2027</v>
      </c>
      <c r="B16" s="3">
        <v>9</v>
      </c>
      <c r="C16" s="4">
        <f>SUMIFS('2027 Curvas'!AH:AH,'2027 Curvas'!A:A,A16,'2027 Curvas'!B:B,B16)</f>
        <v>355580.68986431265</v>
      </c>
      <c r="D16" s="5"/>
      <c r="E16" s="5"/>
      <c r="F16" s="5"/>
      <c r="I16" s="6"/>
      <c r="J16" s="6"/>
      <c r="K16" s="6"/>
      <c r="L16" s="6"/>
      <c r="M16" s="6"/>
    </row>
    <row r="17" spans="1:13" ht="15.75" customHeight="1">
      <c r="A17" s="3">
        <v>2027</v>
      </c>
      <c r="B17" s="3">
        <v>10</v>
      </c>
      <c r="C17" s="4">
        <f>SUMIFS('2027 Curvas'!AH:AH,'2027 Curvas'!A:A,A17,'2027 Curvas'!B:B,B17)</f>
        <v>375703.23526175495</v>
      </c>
      <c r="D17" s="5"/>
      <c r="E17" s="5"/>
      <c r="F17" s="5"/>
      <c r="I17" s="6"/>
      <c r="J17" s="6"/>
      <c r="K17" s="6"/>
      <c r="L17" s="6"/>
      <c r="M17" s="6"/>
    </row>
    <row r="18" spans="1:13" ht="15.75" customHeight="1">
      <c r="A18" s="3">
        <v>2027</v>
      </c>
      <c r="B18" s="3">
        <v>11</v>
      </c>
      <c r="C18" s="4">
        <f>SUMIFS('2027 Curvas'!AH:AH,'2027 Curvas'!A:A,A18,'2027 Curvas'!B:B,B18)</f>
        <v>342740.13518246321</v>
      </c>
      <c r="D18" s="5"/>
      <c r="E18" s="5"/>
      <c r="F18" s="5"/>
      <c r="I18" s="6"/>
      <c r="J18" s="6"/>
      <c r="K18" s="6"/>
      <c r="L18" s="6"/>
      <c r="M18" s="6"/>
    </row>
    <row r="19" spans="1:13" ht="15.75" customHeight="1">
      <c r="A19" s="3">
        <v>2027</v>
      </c>
      <c r="B19" s="3">
        <v>12</v>
      </c>
      <c r="C19" s="4">
        <f>SUMIFS('2027 Curvas'!AH:AH,'2027 Curvas'!A:A,A19,'2027 Curvas'!B:B,B19)</f>
        <v>371134.83268246666</v>
      </c>
      <c r="D19" s="5"/>
      <c r="E19" s="5"/>
      <c r="F19" s="5"/>
      <c r="I19" s="6"/>
      <c r="J19" s="6"/>
      <c r="K19" s="6"/>
      <c r="L19" s="6"/>
      <c r="M19" s="6"/>
    </row>
    <row r="20" spans="1:13" ht="15.75" customHeight="1">
      <c r="A20" s="38" t="s">
        <v>7</v>
      </c>
      <c r="B20" s="37"/>
      <c r="C20" s="4">
        <f>SUM(C8:C19)</f>
        <v>4364417.2172430921</v>
      </c>
      <c r="D20" s="7"/>
      <c r="E20" s="5"/>
      <c r="I20" s="6"/>
      <c r="J20" s="6"/>
      <c r="K20" s="6"/>
      <c r="L20" s="6"/>
      <c r="M20" s="6"/>
    </row>
    <row r="21" spans="1:13" ht="15.75" customHeight="1">
      <c r="D21" s="7"/>
      <c r="I21" s="6"/>
      <c r="J21" s="6"/>
      <c r="K21" s="6"/>
      <c r="L21" s="6"/>
      <c r="M21" s="6"/>
    </row>
    <row r="22" spans="1:13" ht="15.75" customHeight="1">
      <c r="C22" s="17"/>
      <c r="D22" s="7"/>
      <c r="I22" s="6"/>
      <c r="J22" s="6"/>
      <c r="K22" s="6"/>
      <c r="L22" s="6"/>
      <c r="M22" s="6"/>
    </row>
    <row r="23" spans="1:13" ht="15.75" customHeight="1">
      <c r="C23" s="19"/>
      <c r="D23" s="7"/>
      <c r="I23" s="6"/>
      <c r="J23" s="6"/>
      <c r="K23" s="6"/>
      <c r="L23" s="6"/>
      <c r="M23" s="6"/>
    </row>
    <row r="24" spans="1:13" ht="15.75" customHeight="1">
      <c r="D24" s="7"/>
      <c r="I24" s="6"/>
      <c r="J24" s="6"/>
      <c r="K24" s="6"/>
      <c r="L24" s="6"/>
      <c r="M24" s="6"/>
    </row>
    <row r="25" spans="1:13" ht="15.75" customHeight="1">
      <c r="C25" s="16" t="s">
        <v>48</v>
      </c>
      <c r="D25" s="7"/>
      <c r="I25" s="6"/>
      <c r="J25" s="6"/>
      <c r="K25" s="6"/>
      <c r="L25" s="6"/>
      <c r="M25" s="6"/>
    </row>
    <row r="26" spans="1:13" ht="15.75" customHeight="1">
      <c r="D26" s="7"/>
      <c r="I26" s="6"/>
      <c r="J26" s="6"/>
      <c r="K26" s="6"/>
      <c r="L26" s="6"/>
      <c r="M26" s="6"/>
    </row>
    <row r="27" spans="1:13" ht="15.75" customHeight="1">
      <c r="D27" s="7"/>
      <c r="I27" s="6"/>
      <c r="J27" s="6"/>
      <c r="K27" s="6"/>
      <c r="L27" s="6"/>
      <c r="M27" s="6"/>
    </row>
    <row r="28" spans="1:13" ht="15.75" customHeight="1">
      <c r="I28" s="6"/>
      <c r="J28" s="6"/>
      <c r="K28" s="6"/>
      <c r="L28" s="6"/>
      <c r="M28" s="6"/>
    </row>
    <row r="29" spans="1:13" ht="15.75" customHeight="1">
      <c r="I29" s="6"/>
      <c r="J29" s="6"/>
      <c r="K29" s="6"/>
      <c r="L29" s="6"/>
      <c r="M29" s="6"/>
    </row>
    <row r="30" spans="1:13" ht="15.75" customHeight="1">
      <c r="I30" s="6"/>
      <c r="J30" s="6"/>
      <c r="K30" s="6"/>
      <c r="L30" s="6"/>
      <c r="M30" s="6"/>
    </row>
    <row r="31" spans="1:13" ht="15.75" customHeight="1">
      <c r="I31" s="6"/>
      <c r="J31" s="6"/>
      <c r="K31" s="6"/>
      <c r="L31" s="6"/>
      <c r="M31" s="6"/>
    </row>
    <row r="32" spans="1:13" ht="15.75" customHeight="1">
      <c r="I32" s="6"/>
      <c r="J32" s="6"/>
      <c r="K32" s="6"/>
      <c r="L32" s="6"/>
      <c r="M32" s="6"/>
    </row>
    <row r="33" spans="9:13" ht="15.75" customHeight="1">
      <c r="I33" s="6"/>
      <c r="J33" s="6"/>
      <c r="K33" s="6"/>
      <c r="L33" s="6"/>
      <c r="M33" s="6"/>
    </row>
    <row r="34" spans="9:13" ht="15.75" customHeight="1">
      <c r="I34" s="6"/>
      <c r="J34" s="6"/>
      <c r="K34" s="6"/>
      <c r="L34" s="6"/>
      <c r="M34" s="6"/>
    </row>
    <row r="35" spans="9:13" ht="15.75" customHeight="1">
      <c r="I35" s="6"/>
      <c r="J35" s="6"/>
      <c r="K35" s="6"/>
      <c r="L35" s="6"/>
      <c r="M35" s="6"/>
    </row>
    <row r="36" spans="9:13" ht="15.75" customHeight="1">
      <c r="I36" s="6"/>
      <c r="J36" s="6"/>
      <c r="K36" s="6"/>
      <c r="L36" s="6"/>
      <c r="M36" s="6"/>
    </row>
    <row r="37" spans="9:13" ht="15.75" customHeight="1">
      <c r="I37" s="6"/>
      <c r="J37" s="6"/>
      <c r="K37" s="6"/>
      <c r="L37" s="6"/>
      <c r="M37" s="6"/>
    </row>
    <row r="38" spans="9:13" ht="15.75" customHeight="1">
      <c r="I38" s="6"/>
      <c r="J38" s="6"/>
      <c r="K38" s="6"/>
      <c r="L38" s="6"/>
      <c r="M38" s="6"/>
    </row>
    <row r="39" spans="9:13" ht="15.75" customHeight="1">
      <c r="I39" s="6"/>
      <c r="J39" s="6"/>
      <c r="K39" s="6"/>
      <c r="L39" s="6"/>
      <c r="M39" s="6"/>
    </row>
    <row r="40" spans="9:13" ht="15.75" customHeight="1"/>
    <row r="41" spans="9:13" ht="15.75" customHeight="1"/>
    <row r="42" spans="9:13" ht="15.75" customHeight="1"/>
    <row r="43" spans="9:13" ht="15.75" customHeight="1"/>
    <row r="44" spans="9:13" ht="15.75" customHeight="1"/>
    <row r="45" spans="9:13" ht="15.75" customHeight="1"/>
    <row r="46" spans="9:13" ht="15.75" customHeight="1"/>
    <row r="47" spans="9:13" ht="15.75" customHeight="1"/>
    <row r="48" spans="9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8">
    <mergeCell ref="A20:B20"/>
    <mergeCell ref="A4:F4"/>
    <mergeCell ref="A5:F5"/>
    <mergeCell ref="A2:F2"/>
    <mergeCell ref="A3:F3"/>
    <mergeCell ref="A6:A7"/>
    <mergeCell ref="B6:B7"/>
    <mergeCell ref="C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6"/>
  <sheetViews>
    <sheetView topLeftCell="A9" workbookViewId="0">
      <selection activeCell="C24" sqref="C24"/>
    </sheetView>
  </sheetViews>
  <sheetFormatPr baseColWidth="10" defaultColWidth="12.5703125" defaultRowHeight="15" customHeight="1"/>
  <cols>
    <col min="1" max="1" width="4.7109375" customWidth="1"/>
    <col min="2" max="2" width="3.85546875" customWidth="1"/>
    <col min="3" max="3" width="30.42578125" customWidth="1"/>
    <col min="4" max="4" width="9.7109375" customWidth="1"/>
    <col min="5" max="5" width="18.28515625" customWidth="1"/>
    <col min="6" max="6" width="6.7109375" customWidth="1"/>
  </cols>
  <sheetData>
    <row r="1" spans="1:13" ht="15" customHeight="1">
      <c r="A1" s="41"/>
      <c r="B1" s="41"/>
      <c r="C1" s="41"/>
      <c r="D1" s="41"/>
      <c r="E1" s="41"/>
      <c r="F1" s="41"/>
    </row>
    <row r="2" spans="1:13" ht="15" customHeight="1">
      <c r="A2" s="41"/>
      <c r="B2" s="41"/>
      <c r="C2" s="41"/>
      <c r="D2" s="41"/>
      <c r="E2" s="41"/>
      <c r="F2" s="41"/>
    </row>
    <row r="3" spans="1:13" ht="15" customHeight="1">
      <c r="A3" s="41" t="s">
        <v>58</v>
      </c>
      <c r="B3" s="41"/>
      <c r="C3" s="41"/>
      <c r="D3" s="41"/>
      <c r="E3" s="41"/>
      <c r="F3" s="41"/>
    </row>
    <row r="4" spans="1:13" ht="15" customHeight="1">
      <c r="A4" s="41" t="s">
        <v>49</v>
      </c>
      <c r="B4" s="41"/>
      <c r="C4" s="41"/>
      <c r="D4" s="41"/>
      <c r="E4" s="41"/>
      <c r="F4" s="41"/>
    </row>
    <row r="5" spans="1:13" ht="15" customHeight="1" thickBot="1">
      <c r="A5" s="41" t="s">
        <v>50</v>
      </c>
      <c r="B5" s="41"/>
      <c r="C5" s="41"/>
      <c r="D5" s="41"/>
      <c r="E5" s="41"/>
      <c r="F5" s="41"/>
    </row>
    <row r="6" spans="1:13" ht="15" customHeight="1" thickBot="1">
      <c r="A6" s="42" t="s">
        <v>59</v>
      </c>
      <c r="B6" s="43"/>
      <c r="C6" s="43"/>
      <c r="D6" s="43"/>
      <c r="E6" s="43"/>
      <c r="F6" s="44"/>
    </row>
    <row r="7" spans="1:13" ht="15.75" customHeight="1">
      <c r="A7" s="33" t="s">
        <v>0</v>
      </c>
      <c r="B7" s="33" t="s">
        <v>1</v>
      </c>
      <c r="C7" s="46" t="s">
        <v>60</v>
      </c>
      <c r="D7" s="35"/>
      <c r="E7" s="35"/>
      <c r="F7" s="47"/>
    </row>
    <row r="8" spans="1:13" ht="15.75" customHeight="1">
      <c r="A8" s="45"/>
      <c r="B8" s="45"/>
      <c r="C8" s="1" t="s">
        <v>3</v>
      </c>
      <c r="D8" s="1" t="s">
        <v>4</v>
      </c>
      <c r="E8" s="2" t="s">
        <v>5</v>
      </c>
      <c r="F8" s="1" t="s">
        <v>6</v>
      </c>
    </row>
    <row r="9" spans="1:13" ht="15.75" customHeight="1">
      <c r="A9" s="8">
        <v>2028</v>
      </c>
      <c r="B9" s="3">
        <v>1</v>
      </c>
      <c r="C9" s="4">
        <f>SUMIFS('2028 Curvas'!AH:AH,'2028 Curvas'!A:A,A9,'2028 Curvas'!B:B,B9)</f>
        <v>347383.32255591941</v>
      </c>
      <c r="D9" s="5"/>
      <c r="E9" s="5"/>
      <c r="F9" s="5"/>
      <c r="I9" s="6"/>
      <c r="J9" s="6"/>
      <c r="K9" s="6"/>
      <c r="L9" s="6"/>
      <c r="M9" s="6"/>
    </row>
    <row r="10" spans="1:13" ht="15.75" customHeight="1">
      <c r="A10" s="8">
        <v>2028</v>
      </c>
      <c r="B10" s="3">
        <v>2</v>
      </c>
      <c r="C10" s="4">
        <f>SUMIFS('2028 Curvas'!AH:AH,'2028 Curvas'!A:A,A10,'2028 Curvas'!B:B,B10)</f>
        <v>360614.20152778074</v>
      </c>
      <c r="D10" s="5"/>
      <c r="E10" s="5"/>
      <c r="F10" s="5"/>
      <c r="I10" s="6"/>
      <c r="J10" s="6"/>
      <c r="K10" s="6"/>
      <c r="L10" s="6"/>
      <c r="M10" s="6"/>
    </row>
    <row r="11" spans="1:13" ht="15.75" customHeight="1">
      <c r="A11" s="8">
        <v>2028</v>
      </c>
      <c r="B11" s="3">
        <v>3</v>
      </c>
      <c r="C11" s="4">
        <f>SUMIFS('2028 Curvas'!AH:AH,'2028 Curvas'!A:A,A11,'2028 Curvas'!B:B,B11)</f>
        <v>445383.97667185357</v>
      </c>
      <c r="D11" s="5"/>
      <c r="E11" s="5"/>
      <c r="F11" s="5"/>
      <c r="I11" s="6"/>
      <c r="J11" s="6"/>
      <c r="K11" s="6"/>
      <c r="L11" s="6"/>
      <c r="M11" s="6"/>
    </row>
    <row r="12" spans="1:13" ht="15.75" customHeight="1">
      <c r="A12" s="8">
        <v>2028</v>
      </c>
      <c r="B12" s="3">
        <v>4</v>
      </c>
      <c r="C12" s="4">
        <f>SUMIFS('2028 Curvas'!AH:AH,'2028 Curvas'!A:A,A12,'2028 Curvas'!B:B,B12)</f>
        <v>393926.3833804056</v>
      </c>
      <c r="D12" s="5"/>
      <c r="E12" s="5"/>
      <c r="F12" s="5"/>
      <c r="I12" s="6"/>
      <c r="J12" s="6"/>
      <c r="K12" s="6"/>
      <c r="L12" s="6"/>
      <c r="M12" s="6"/>
    </row>
    <row r="13" spans="1:13" ht="15.75" customHeight="1">
      <c r="A13" s="8">
        <v>2028</v>
      </c>
      <c r="B13" s="3">
        <v>5</v>
      </c>
      <c r="C13" s="4">
        <f>SUMIFS('2028 Curvas'!AH:AH,'2028 Curvas'!A:A,A13,'2028 Curvas'!B:B,B13)</f>
        <v>354742.94115090417</v>
      </c>
      <c r="D13" s="5"/>
      <c r="E13" s="5"/>
      <c r="F13" s="5"/>
      <c r="I13" s="6"/>
      <c r="J13" s="6"/>
      <c r="K13" s="6"/>
      <c r="L13" s="6"/>
      <c r="M13" s="6"/>
    </row>
    <row r="14" spans="1:13" ht="15.75" customHeight="1">
      <c r="A14" s="8">
        <v>2028</v>
      </c>
      <c r="B14" s="3">
        <v>6</v>
      </c>
      <c r="C14" s="4">
        <f>SUMIFS('2028 Curvas'!AH:AH,'2028 Curvas'!A:A,A14,'2028 Curvas'!B:B,B14)</f>
        <v>313177.4752273747</v>
      </c>
      <c r="D14" s="5"/>
      <c r="E14" s="5"/>
      <c r="F14" s="5"/>
      <c r="I14" s="6"/>
      <c r="J14" s="6"/>
      <c r="K14" s="6"/>
      <c r="L14" s="6"/>
      <c r="M14" s="6"/>
    </row>
    <row r="15" spans="1:13" ht="15.75" customHeight="1">
      <c r="A15" s="8">
        <v>2028</v>
      </c>
      <c r="B15" s="3">
        <v>7</v>
      </c>
      <c r="C15" s="4">
        <f>SUMIFS('2028 Curvas'!AH:AH,'2028 Curvas'!A:A,A15,'2028 Curvas'!B:B,B15)</f>
        <v>334770.98822163267</v>
      </c>
      <c r="D15" s="5"/>
      <c r="E15" s="5"/>
      <c r="F15" s="5"/>
      <c r="I15" s="6"/>
      <c r="J15" s="6"/>
      <c r="K15" s="6"/>
      <c r="L15" s="6"/>
      <c r="M15" s="6"/>
    </row>
    <row r="16" spans="1:13" ht="15.75" customHeight="1">
      <c r="A16" s="8">
        <v>2028</v>
      </c>
      <c r="B16" s="3">
        <v>8</v>
      </c>
      <c r="C16" s="4">
        <f>SUMIFS('2028 Curvas'!AH:AH,'2028 Curvas'!A:A,A16,'2028 Curvas'!B:B,B16)</f>
        <v>363537.94082373928</v>
      </c>
      <c r="D16" s="5"/>
      <c r="E16" s="5"/>
      <c r="F16" s="5"/>
      <c r="I16" s="6"/>
      <c r="J16" s="6"/>
      <c r="K16" s="6"/>
      <c r="L16" s="6"/>
      <c r="M16" s="6"/>
    </row>
    <row r="17" spans="1:13" ht="15.75" customHeight="1">
      <c r="A17" s="8">
        <v>2028</v>
      </c>
      <c r="B17" s="3">
        <v>9</v>
      </c>
      <c r="C17" s="4">
        <f>SUMIFS('2028 Curvas'!AH:AH,'2028 Curvas'!A:A,A17,'2028 Curvas'!B:B,B17)</f>
        <v>353128.76131902949</v>
      </c>
      <c r="D17" s="5"/>
      <c r="E17" s="5"/>
      <c r="F17" s="5"/>
      <c r="I17" s="6"/>
      <c r="J17" s="6"/>
      <c r="K17" s="6"/>
      <c r="L17" s="6"/>
      <c r="M17" s="6"/>
    </row>
    <row r="18" spans="1:13" ht="15.75" customHeight="1">
      <c r="A18" s="8">
        <v>2028</v>
      </c>
      <c r="B18" s="3">
        <v>10</v>
      </c>
      <c r="C18" s="4">
        <f>SUMIFS('2028 Curvas'!AH:AH,'2028 Curvas'!A:A,A18,'2028 Curvas'!B:B,B18)</f>
        <v>374326.76497997611</v>
      </c>
      <c r="D18" s="5"/>
      <c r="E18" s="5"/>
      <c r="F18" s="5"/>
      <c r="I18" s="6"/>
      <c r="J18" s="6"/>
      <c r="K18" s="6"/>
      <c r="L18" s="6"/>
      <c r="M18" s="6"/>
    </row>
    <row r="19" spans="1:13" ht="15.75" customHeight="1">
      <c r="A19" s="8">
        <v>2028</v>
      </c>
      <c r="B19" s="3">
        <v>11</v>
      </c>
      <c r="C19" s="4">
        <f>SUMIFS('2028 Curvas'!AH:AH,'2028 Curvas'!A:A,A19,'2028 Curvas'!B:B,B19)</f>
        <v>344988.65166212269</v>
      </c>
      <c r="D19" s="5"/>
      <c r="E19" s="5"/>
      <c r="F19" s="5"/>
      <c r="I19" s="6"/>
      <c r="J19" s="6"/>
      <c r="K19" s="6"/>
      <c r="L19" s="6"/>
      <c r="M19" s="6"/>
    </row>
    <row r="20" spans="1:13" ht="15.75" customHeight="1">
      <c r="A20" s="8">
        <v>2028</v>
      </c>
      <c r="B20" s="3">
        <v>12</v>
      </c>
      <c r="C20" s="4">
        <f>SUMIFS('2028 Curvas'!AH:AH,'2028 Curvas'!A:A,A20,'2028 Curvas'!B:B,B20)</f>
        <v>367506.1317300488</v>
      </c>
      <c r="D20" s="5"/>
      <c r="E20" s="5"/>
      <c r="F20" s="5"/>
      <c r="I20" s="6"/>
      <c r="J20" s="6"/>
      <c r="K20" s="6"/>
      <c r="L20" s="6"/>
      <c r="M20" s="6"/>
    </row>
    <row r="21" spans="1:13" ht="15.75" customHeight="1">
      <c r="A21" s="38" t="s">
        <v>7</v>
      </c>
      <c r="B21" s="37"/>
      <c r="C21" s="4">
        <f>SUM(C9:C20)</f>
        <v>4353487.5392507873</v>
      </c>
      <c r="D21" s="7"/>
      <c r="E21" s="5"/>
      <c r="I21" s="6"/>
      <c r="J21" s="6"/>
      <c r="K21" s="6"/>
      <c r="L21" s="6"/>
      <c r="M21" s="6"/>
    </row>
    <row r="22" spans="1:13" ht="15.75" customHeight="1">
      <c r="C22" s="16" t="s">
        <v>48</v>
      </c>
      <c r="D22" s="7"/>
      <c r="I22" s="6"/>
      <c r="J22" s="6"/>
      <c r="K22" s="6"/>
      <c r="L22" s="6"/>
      <c r="M22" s="6"/>
    </row>
    <row r="23" spans="1:13" ht="15.75" customHeight="1">
      <c r="D23" s="7"/>
      <c r="I23" s="6"/>
      <c r="J23" s="6"/>
      <c r="K23" s="6"/>
      <c r="L23" s="6"/>
      <c r="M23" s="6"/>
    </row>
    <row r="24" spans="1:13" ht="15.75" customHeight="1">
      <c r="C24" s="17"/>
      <c r="D24" s="7"/>
      <c r="I24" s="6"/>
      <c r="J24" s="6"/>
      <c r="K24" s="6"/>
      <c r="L24" s="6"/>
      <c r="M24" s="6"/>
    </row>
    <row r="25" spans="1:13" ht="15.75" customHeight="1">
      <c r="C25" s="18"/>
      <c r="D25" s="7"/>
      <c r="I25" s="6"/>
      <c r="J25" s="6"/>
      <c r="K25" s="6"/>
      <c r="L25" s="6"/>
      <c r="M25" s="6"/>
    </row>
    <row r="26" spans="1:13" ht="15.75" customHeight="1">
      <c r="D26" s="7"/>
      <c r="I26" s="6"/>
      <c r="J26" s="6"/>
      <c r="K26" s="6"/>
      <c r="L26" s="6"/>
      <c r="M26" s="6"/>
    </row>
    <row r="27" spans="1:13" ht="15.75" customHeight="1">
      <c r="D27" s="7"/>
      <c r="I27" s="6"/>
      <c r="J27" s="6"/>
      <c r="K27" s="6"/>
      <c r="L27" s="6"/>
      <c r="M27" s="6"/>
    </row>
    <row r="28" spans="1:13" ht="15.75" customHeight="1">
      <c r="D28" s="7"/>
      <c r="I28" s="6"/>
      <c r="J28" s="6"/>
      <c r="K28" s="6"/>
      <c r="L28" s="6"/>
      <c r="M28" s="6"/>
    </row>
    <row r="29" spans="1:13" ht="15.75" customHeight="1">
      <c r="I29" s="6"/>
      <c r="J29" s="6"/>
      <c r="K29" s="6"/>
      <c r="L29" s="6"/>
      <c r="M29" s="6"/>
    </row>
    <row r="30" spans="1:13" ht="15.75" customHeight="1">
      <c r="I30" s="6"/>
      <c r="J30" s="6"/>
      <c r="K30" s="6"/>
      <c r="L30" s="6"/>
      <c r="M30" s="6"/>
    </row>
    <row r="31" spans="1:13" ht="15.75" customHeight="1">
      <c r="I31" s="6"/>
      <c r="J31" s="6"/>
      <c r="K31" s="6"/>
      <c r="L31" s="6"/>
      <c r="M31" s="6"/>
    </row>
    <row r="32" spans="1:13" ht="15.75" customHeight="1">
      <c r="I32" s="6"/>
      <c r="J32" s="6"/>
      <c r="K32" s="6"/>
      <c r="L32" s="6"/>
      <c r="M32" s="6"/>
    </row>
    <row r="33" spans="9:13" ht="15.75" customHeight="1">
      <c r="I33" s="6"/>
      <c r="J33" s="6"/>
      <c r="K33" s="6"/>
      <c r="L33" s="6"/>
      <c r="M33" s="6"/>
    </row>
    <row r="34" spans="9:13" ht="15.75" customHeight="1">
      <c r="I34" s="6"/>
      <c r="J34" s="6"/>
      <c r="K34" s="6"/>
      <c r="L34" s="6"/>
      <c r="M34" s="6"/>
    </row>
    <row r="35" spans="9:13" ht="15.75" customHeight="1">
      <c r="I35" s="6"/>
      <c r="J35" s="6"/>
      <c r="K35" s="6"/>
      <c r="L35" s="6"/>
      <c r="M35" s="6"/>
    </row>
    <row r="36" spans="9:13" ht="15.75" customHeight="1">
      <c r="I36" s="6"/>
      <c r="J36" s="6"/>
      <c r="K36" s="6"/>
      <c r="L36" s="6"/>
      <c r="M36" s="6"/>
    </row>
    <row r="37" spans="9:13" ht="15.75" customHeight="1">
      <c r="I37" s="6"/>
      <c r="J37" s="6"/>
      <c r="K37" s="6"/>
      <c r="L37" s="6"/>
      <c r="M37" s="6"/>
    </row>
    <row r="38" spans="9:13" ht="15.75" customHeight="1">
      <c r="I38" s="6"/>
      <c r="J38" s="6"/>
      <c r="K38" s="6"/>
      <c r="L38" s="6"/>
      <c r="M38" s="6"/>
    </row>
    <row r="39" spans="9:13" ht="15.75" customHeight="1">
      <c r="I39" s="6"/>
      <c r="J39" s="6"/>
      <c r="K39" s="6"/>
      <c r="L39" s="6"/>
      <c r="M39" s="6"/>
    </row>
    <row r="40" spans="9:13" ht="15.75" customHeight="1">
      <c r="I40" s="6"/>
      <c r="J40" s="6"/>
      <c r="K40" s="6"/>
      <c r="L40" s="6"/>
      <c r="M40" s="6"/>
    </row>
    <row r="41" spans="9:13" ht="15.75" customHeight="1"/>
    <row r="42" spans="9:13" ht="15.75" customHeight="1"/>
    <row r="43" spans="9:13" ht="15.75" customHeight="1"/>
    <row r="44" spans="9:13" ht="15.75" customHeight="1"/>
    <row r="45" spans="9:13" ht="15.75" customHeight="1"/>
    <row r="46" spans="9:13" ht="15.75" customHeight="1"/>
    <row r="47" spans="9:13" ht="15.75" customHeight="1"/>
    <row r="48" spans="9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0">
    <mergeCell ref="A7:A8"/>
    <mergeCell ref="B7:B8"/>
    <mergeCell ref="C7:F7"/>
    <mergeCell ref="A21:B21"/>
    <mergeCell ref="A6:F6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5"/>
  <sheetViews>
    <sheetView topLeftCell="V20" workbookViewId="0">
      <selection activeCell="AH41" sqref="AH41"/>
    </sheetView>
  </sheetViews>
  <sheetFormatPr baseColWidth="10" defaultColWidth="12.5703125" defaultRowHeight="15" customHeight="1"/>
  <cols>
    <col min="1" max="1" width="4.7109375" customWidth="1"/>
    <col min="2" max="2" width="4.5703125" customWidth="1"/>
    <col min="3" max="3" width="8" customWidth="1"/>
    <col min="4" max="4" width="9" customWidth="1"/>
    <col min="5" max="5" width="10" customWidth="1"/>
    <col min="6" max="6" width="10.42578125" customWidth="1"/>
    <col min="7" max="7" width="8.85546875" customWidth="1"/>
    <col min="8" max="8" width="9.5703125" customWidth="1"/>
    <col min="33" max="33" width="9.5703125" customWidth="1"/>
    <col min="34" max="34" width="16.5703125" customWidth="1"/>
    <col min="35" max="35" width="13.85546875" bestFit="1" customWidth="1"/>
  </cols>
  <sheetData>
    <row r="1" spans="1:35" ht="15" customHeight="1">
      <c r="A1" s="52" t="s">
        <v>55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</row>
    <row r="2" spans="1:35" ht="15" customHeight="1">
      <c r="A2" s="52" t="s">
        <v>40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</row>
    <row r="3" spans="1:35" ht="15" customHeight="1">
      <c r="A3" s="50" t="s">
        <v>41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</row>
    <row r="4" spans="1:35" ht="15" customHeight="1">
      <c r="A4" s="52" t="s">
        <v>42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</row>
    <row r="5" spans="1:35" ht="15" customHeight="1">
      <c r="A5" s="48" t="s">
        <v>54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</row>
    <row r="6" spans="1:35" ht="31.5" customHeight="1">
      <c r="A6" s="11" t="s">
        <v>9</v>
      </c>
      <c r="B6" s="11" t="s">
        <v>10</v>
      </c>
      <c r="C6" s="11" t="s">
        <v>11</v>
      </c>
      <c r="D6" s="11" t="s">
        <v>43</v>
      </c>
      <c r="E6" s="11" t="s">
        <v>44</v>
      </c>
      <c r="F6" s="11" t="s">
        <v>45</v>
      </c>
      <c r="G6" s="11" t="s">
        <v>46</v>
      </c>
      <c r="H6" s="11" t="s">
        <v>47</v>
      </c>
      <c r="I6" s="11" t="s">
        <v>12</v>
      </c>
      <c r="J6" s="11" t="s">
        <v>13</v>
      </c>
      <c r="K6" s="11" t="s">
        <v>14</v>
      </c>
      <c r="L6" s="11" t="s">
        <v>15</v>
      </c>
      <c r="M6" s="11" t="s">
        <v>16</v>
      </c>
      <c r="N6" s="11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1" t="s">
        <v>22</v>
      </c>
      <c r="T6" s="11" t="s">
        <v>23</v>
      </c>
      <c r="U6" s="11" t="s">
        <v>24</v>
      </c>
      <c r="V6" s="11" t="s">
        <v>25</v>
      </c>
      <c r="W6" s="11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3" t="s">
        <v>36</v>
      </c>
      <c r="AH6" s="13" t="s">
        <v>37</v>
      </c>
      <c r="AI6" s="14" t="s">
        <v>39</v>
      </c>
    </row>
    <row r="7" spans="1:35" ht="15.75" customHeight="1">
      <c r="A7" s="12">
        <v>2026</v>
      </c>
      <c r="B7" s="12">
        <v>1</v>
      </c>
      <c r="C7" s="12">
        <v>1</v>
      </c>
      <c r="D7" s="12">
        <v>20</v>
      </c>
      <c r="E7" s="12">
        <v>5</v>
      </c>
      <c r="F7" s="12">
        <v>4</v>
      </c>
      <c r="G7" s="12">
        <v>2</v>
      </c>
      <c r="H7" s="12">
        <v>31</v>
      </c>
      <c r="I7" s="21">
        <v>416.13775746328798</v>
      </c>
      <c r="J7" s="21">
        <v>397.54729812601698</v>
      </c>
      <c r="K7" s="21">
        <v>382.01814766948098</v>
      </c>
      <c r="L7" s="21">
        <v>372.11408093320398</v>
      </c>
      <c r="M7" s="21">
        <v>362.15103310599898</v>
      </c>
      <c r="N7" s="21">
        <v>332.412671929417</v>
      </c>
      <c r="O7" s="21">
        <v>370.80874377325898</v>
      </c>
      <c r="P7" s="21">
        <v>409.83921908504499</v>
      </c>
      <c r="Q7" s="21">
        <v>467.33686422790498</v>
      </c>
      <c r="R7" s="21">
        <v>484.07897984552801</v>
      </c>
      <c r="S7" s="21">
        <v>524.29112228789404</v>
      </c>
      <c r="T7" s="21">
        <v>534.669416021389</v>
      </c>
      <c r="U7" s="21">
        <v>525.57267674988395</v>
      </c>
      <c r="V7" s="21">
        <v>535.05348281065994</v>
      </c>
      <c r="W7" s="21">
        <v>573.34995271546802</v>
      </c>
      <c r="X7" s="21">
        <v>558.93288121529702</v>
      </c>
      <c r="Y7" s="21">
        <v>552.49395357102696</v>
      </c>
      <c r="Z7" s="21">
        <v>557.41506943182503</v>
      </c>
      <c r="AA7" s="21">
        <v>594.428557912766</v>
      </c>
      <c r="AB7" s="21">
        <v>593.09292159562699</v>
      </c>
      <c r="AC7" s="21">
        <v>563.65564937515205</v>
      </c>
      <c r="AD7" s="21">
        <v>515.43289969417697</v>
      </c>
      <c r="AE7" s="21">
        <v>473.08495206198501</v>
      </c>
      <c r="AF7" s="21">
        <v>438.41025409791399</v>
      </c>
      <c r="AG7" s="20">
        <f>SUM(I7:AF7)</f>
        <v>11534.32858570021</v>
      </c>
      <c r="AH7" s="20">
        <f>AG7*D7</f>
        <v>230686.57171400421</v>
      </c>
      <c r="AI7" s="54">
        <f>AH7+AH8+AH9+AH10</f>
        <v>345097.66759354749</v>
      </c>
    </row>
    <row r="8" spans="1:35" ht="15.75" customHeight="1">
      <c r="A8" s="12">
        <v>2026</v>
      </c>
      <c r="B8" s="12">
        <v>1</v>
      </c>
      <c r="C8" s="12">
        <v>2</v>
      </c>
      <c r="D8" s="12">
        <v>20</v>
      </c>
      <c r="E8" s="12">
        <v>5</v>
      </c>
      <c r="F8" s="12">
        <v>4</v>
      </c>
      <c r="G8" s="12">
        <v>2</v>
      </c>
      <c r="H8" s="12">
        <v>31</v>
      </c>
      <c r="I8" s="21">
        <v>390.91234445672399</v>
      </c>
      <c r="J8" s="21">
        <v>374.14057669670598</v>
      </c>
      <c r="K8" s="21">
        <v>364.17104994764799</v>
      </c>
      <c r="L8" s="21">
        <v>355.31749653287301</v>
      </c>
      <c r="M8" s="21">
        <v>344.67492156447003</v>
      </c>
      <c r="N8" s="21">
        <v>327.41321429183898</v>
      </c>
      <c r="O8" s="21">
        <v>354.92406025759402</v>
      </c>
      <c r="P8" s="21">
        <v>394.700715132526</v>
      </c>
      <c r="Q8" s="21">
        <v>421.09558776399803</v>
      </c>
      <c r="R8" s="21">
        <v>433.26984231980902</v>
      </c>
      <c r="S8" s="21">
        <v>456.42567039568002</v>
      </c>
      <c r="T8" s="21">
        <v>468.263400841818</v>
      </c>
      <c r="U8" s="21">
        <v>470.47555197452101</v>
      </c>
      <c r="V8" s="21">
        <v>483.07046166742299</v>
      </c>
      <c r="W8" s="21">
        <v>476.80517456674897</v>
      </c>
      <c r="X8" s="21">
        <v>443.01914373238998</v>
      </c>
      <c r="Y8" s="21">
        <v>487.08153212168497</v>
      </c>
      <c r="Z8" s="21">
        <v>518.48714976850601</v>
      </c>
      <c r="AA8" s="21">
        <v>566.89960716372002</v>
      </c>
      <c r="AB8" s="21">
        <v>557.437341021154</v>
      </c>
      <c r="AC8" s="21">
        <v>530.42880677792596</v>
      </c>
      <c r="AD8" s="21">
        <v>471.64348859044401</v>
      </c>
      <c r="AE8" s="21">
        <v>440.037441143009</v>
      </c>
      <c r="AF8" s="21">
        <v>414.14982911803003</v>
      </c>
      <c r="AG8" s="20">
        <f t="shared" ref="AG8:AG54" si="0">SUM(I8:AF8)</f>
        <v>10544.844407847244</v>
      </c>
      <c r="AH8" s="20">
        <f>E8*AG8</f>
        <v>52724.222039236221</v>
      </c>
      <c r="AI8" s="54"/>
    </row>
    <row r="9" spans="1:35" ht="15.75" customHeight="1">
      <c r="A9" s="12">
        <v>2026</v>
      </c>
      <c r="B9" s="12">
        <v>1</v>
      </c>
      <c r="C9" s="12">
        <v>3</v>
      </c>
      <c r="D9" s="12">
        <v>20</v>
      </c>
      <c r="E9" s="12">
        <v>5</v>
      </c>
      <c r="F9" s="12">
        <v>4</v>
      </c>
      <c r="G9" s="12">
        <v>2</v>
      </c>
      <c r="H9" s="12">
        <v>31</v>
      </c>
      <c r="I9" s="21">
        <v>390.95234911723901</v>
      </c>
      <c r="J9" s="21">
        <v>374.96255409080499</v>
      </c>
      <c r="K9" s="21">
        <v>363.43600828897098</v>
      </c>
      <c r="L9" s="21">
        <v>354.057974898758</v>
      </c>
      <c r="M9" s="21">
        <v>346.170999198365</v>
      </c>
      <c r="N9" s="21">
        <v>320.257359314562</v>
      </c>
      <c r="O9" s="21">
        <v>343.05739287436501</v>
      </c>
      <c r="P9" s="21">
        <v>377.82062140972698</v>
      </c>
      <c r="Q9" s="21">
        <v>362.984473347961</v>
      </c>
      <c r="R9" s="21">
        <v>377.14083803699702</v>
      </c>
      <c r="S9" s="21">
        <v>420.41128257633699</v>
      </c>
      <c r="T9" s="21">
        <v>434.91498183538101</v>
      </c>
      <c r="U9" s="21">
        <v>443.02276308385098</v>
      </c>
      <c r="V9" s="21">
        <v>455.12737284862601</v>
      </c>
      <c r="W9" s="21">
        <v>469.68813421559997</v>
      </c>
      <c r="X9" s="21">
        <v>466.31154600287999</v>
      </c>
      <c r="Y9" s="21">
        <v>454.79244308468998</v>
      </c>
      <c r="Z9" s="21">
        <v>485.26857064166802</v>
      </c>
      <c r="AA9" s="21">
        <v>547.93765091594901</v>
      </c>
      <c r="AB9" s="21">
        <v>555.15724804968499</v>
      </c>
      <c r="AC9" s="21">
        <v>532.85340673274902</v>
      </c>
      <c r="AD9" s="21">
        <v>486.21381686433199</v>
      </c>
      <c r="AE9" s="21">
        <v>455.49207414713402</v>
      </c>
      <c r="AF9" s="21">
        <v>418.70190029965602</v>
      </c>
      <c r="AG9" s="20">
        <f t="shared" si="0"/>
        <v>10236.733761876289</v>
      </c>
      <c r="AH9" s="20">
        <f>AG9*F9</f>
        <v>40946.935047505154</v>
      </c>
      <c r="AI9" s="54"/>
    </row>
    <row r="10" spans="1:35" ht="15.75" customHeight="1">
      <c r="A10" s="12">
        <v>2026</v>
      </c>
      <c r="B10" s="12">
        <v>1</v>
      </c>
      <c r="C10" s="12">
        <v>4</v>
      </c>
      <c r="D10" s="12">
        <v>20</v>
      </c>
      <c r="E10" s="12">
        <v>5</v>
      </c>
      <c r="F10" s="12">
        <v>4</v>
      </c>
      <c r="G10" s="12">
        <v>2</v>
      </c>
      <c r="H10" s="12">
        <v>31</v>
      </c>
      <c r="I10" s="21">
        <v>396.240271437042</v>
      </c>
      <c r="J10" s="21">
        <v>386.72730055341299</v>
      </c>
      <c r="K10" s="21">
        <v>375.12648290216703</v>
      </c>
      <c r="L10" s="21">
        <v>367.68633830581302</v>
      </c>
      <c r="M10" s="21">
        <v>359.15470547123198</v>
      </c>
      <c r="N10" s="21">
        <v>337.97082136142501</v>
      </c>
      <c r="O10" s="21">
        <v>364.78237877291599</v>
      </c>
      <c r="P10" s="21">
        <v>395.93485500341001</v>
      </c>
      <c r="Q10" s="21">
        <v>413.603946713055</v>
      </c>
      <c r="R10" s="21">
        <v>416.527933553075</v>
      </c>
      <c r="S10" s="21">
        <v>435.24845888670097</v>
      </c>
      <c r="T10" s="21">
        <v>444.966709668345</v>
      </c>
      <c r="U10" s="21">
        <v>451.170168049827</v>
      </c>
      <c r="V10" s="21">
        <v>455.91163301129802</v>
      </c>
      <c r="W10" s="21">
        <v>410.34950930549797</v>
      </c>
      <c r="X10" s="21">
        <v>397.617148801778</v>
      </c>
      <c r="Y10" s="21">
        <v>453.28805577812898</v>
      </c>
      <c r="Z10" s="21">
        <v>484.63079142629601</v>
      </c>
      <c r="AA10" s="21">
        <v>542.84015958054204</v>
      </c>
      <c r="AB10" s="21">
        <v>554.19564271952595</v>
      </c>
      <c r="AC10" s="21">
        <v>542.55977728081405</v>
      </c>
      <c r="AD10" s="21">
        <v>495.625783037058</v>
      </c>
      <c r="AE10" s="21">
        <v>459.67676675050302</v>
      </c>
      <c r="AF10" s="21">
        <v>428.13375803110301</v>
      </c>
      <c r="AG10" s="20">
        <f t="shared" si="0"/>
        <v>10369.969396400966</v>
      </c>
      <c r="AH10" s="20">
        <f>AG10*G10</f>
        <v>20739.938792801931</v>
      </c>
      <c r="AI10" s="54"/>
    </row>
    <row r="11" spans="1:35" ht="15.75" customHeight="1">
      <c r="A11" s="12">
        <v>2026</v>
      </c>
      <c r="B11" s="12">
        <v>2</v>
      </c>
      <c r="C11" s="12">
        <v>1</v>
      </c>
      <c r="D11" s="12">
        <v>20</v>
      </c>
      <c r="E11" s="12">
        <v>4</v>
      </c>
      <c r="F11" s="12">
        <v>4</v>
      </c>
      <c r="G11" s="12">
        <v>0</v>
      </c>
      <c r="H11" s="12">
        <v>28</v>
      </c>
      <c r="I11" s="21">
        <v>463.337381072477</v>
      </c>
      <c r="J11" s="21">
        <v>428.94217119485302</v>
      </c>
      <c r="K11" s="21">
        <v>414.72356761033302</v>
      </c>
      <c r="L11" s="21">
        <v>401.12937306058097</v>
      </c>
      <c r="M11" s="21">
        <v>373.23894310464101</v>
      </c>
      <c r="N11" s="21">
        <v>355.17708513881001</v>
      </c>
      <c r="O11" s="21">
        <v>371.47825818131298</v>
      </c>
      <c r="P11" s="21">
        <v>471.30703034023497</v>
      </c>
      <c r="Q11" s="21">
        <v>506.63353455260199</v>
      </c>
      <c r="R11" s="21">
        <v>515.64378567684503</v>
      </c>
      <c r="S11" s="21">
        <v>575.51790318833105</v>
      </c>
      <c r="T11" s="21">
        <v>584.87081254765496</v>
      </c>
      <c r="U11" s="21">
        <v>567.97690617045896</v>
      </c>
      <c r="V11" s="21">
        <v>592.00776468627498</v>
      </c>
      <c r="W11" s="21">
        <v>633.86037361084595</v>
      </c>
      <c r="X11" s="21">
        <v>597.47469820193396</v>
      </c>
      <c r="Y11" s="21">
        <v>601.39841173668799</v>
      </c>
      <c r="Z11" s="21">
        <v>562.04049181722303</v>
      </c>
      <c r="AA11" s="21">
        <v>603.434545864303</v>
      </c>
      <c r="AB11" s="21">
        <v>627.95613812689999</v>
      </c>
      <c r="AC11" s="21">
        <v>617.13464555349003</v>
      </c>
      <c r="AD11" s="21">
        <v>576.46803042796</v>
      </c>
      <c r="AE11" s="21">
        <v>533.78538398295598</v>
      </c>
      <c r="AF11" s="21">
        <v>492.57486689697902</v>
      </c>
      <c r="AG11" s="20">
        <f t="shared" si="0"/>
        <v>12468.112102744688</v>
      </c>
      <c r="AH11" s="20">
        <f>AG11*D11</f>
        <v>249362.24205489375</v>
      </c>
      <c r="AI11" s="54">
        <f>AH11+AH12+AH13+AH14</f>
        <v>345635.06991274346</v>
      </c>
    </row>
    <row r="12" spans="1:35" ht="15.75" customHeight="1">
      <c r="A12" s="12">
        <v>2026</v>
      </c>
      <c r="B12" s="12">
        <v>2</v>
      </c>
      <c r="C12" s="12">
        <v>2</v>
      </c>
      <c r="D12" s="12">
        <v>20</v>
      </c>
      <c r="E12" s="12">
        <v>4</v>
      </c>
      <c r="F12" s="12">
        <v>4</v>
      </c>
      <c r="G12" s="12">
        <v>0</v>
      </c>
      <c r="H12" s="12">
        <v>28</v>
      </c>
      <c r="I12" s="21">
        <v>469.47637932152401</v>
      </c>
      <c r="J12" s="21">
        <v>446.42269519818399</v>
      </c>
      <c r="K12" s="21">
        <v>431.385347629607</v>
      </c>
      <c r="L12" s="21">
        <v>416.010254633253</v>
      </c>
      <c r="M12" s="21">
        <v>403.22198457238198</v>
      </c>
      <c r="N12" s="21">
        <v>385.06560915182399</v>
      </c>
      <c r="O12" s="21">
        <v>396.426137177089</v>
      </c>
      <c r="P12" s="21">
        <v>434.69883497030997</v>
      </c>
      <c r="Q12" s="21">
        <v>463.041305451357</v>
      </c>
      <c r="R12" s="21">
        <v>479.54221654030499</v>
      </c>
      <c r="S12" s="21">
        <v>499.44872735934899</v>
      </c>
      <c r="T12" s="21">
        <v>515.65794921521604</v>
      </c>
      <c r="U12" s="21">
        <v>518.19871595600102</v>
      </c>
      <c r="V12" s="21">
        <v>544.83198987829303</v>
      </c>
      <c r="W12" s="21">
        <v>566.12018653824703</v>
      </c>
      <c r="X12" s="21">
        <v>566.17391876539398</v>
      </c>
      <c r="Y12" s="21">
        <v>548.20688547859095</v>
      </c>
      <c r="Z12" s="21">
        <v>545.46910057160096</v>
      </c>
      <c r="AA12" s="21">
        <v>620.080135980769</v>
      </c>
      <c r="AB12" s="21">
        <v>630.52721614454197</v>
      </c>
      <c r="AC12" s="21">
        <v>612.69835144183003</v>
      </c>
      <c r="AD12" s="21">
        <v>581.15753410682305</v>
      </c>
      <c r="AE12" s="21">
        <v>546.02689226293205</v>
      </c>
      <c r="AF12" s="21">
        <v>505.48208886465801</v>
      </c>
      <c r="AG12" s="20">
        <f t="shared" si="0"/>
        <v>12125.37045721008</v>
      </c>
      <c r="AH12" s="20">
        <f>AG12*E12</f>
        <v>48501.481828840318</v>
      </c>
      <c r="AI12" s="54"/>
    </row>
    <row r="13" spans="1:35" ht="15.75" customHeight="1">
      <c r="A13" s="12">
        <v>2026</v>
      </c>
      <c r="B13" s="12">
        <v>2</v>
      </c>
      <c r="C13" s="12">
        <v>3</v>
      </c>
      <c r="D13" s="12">
        <v>20</v>
      </c>
      <c r="E13" s="12">
        <v>4</v>
      </c>
      <c r="F13" s="12">
        <v>4</v>
      </c>
      <c r="G13" s="12">
        <v>0</v>
      </c>
      <c r="H13" s="12">
        <v>28</v>
      </c>
      <c r="I13" s="21">
        <v>476.03921349011301</v>
      </c>
      <c r="J13" s="21">
        <v>434.23178803426202</v>
      </c>
      <c r="K13" s="21">
        <v>435.14254135021901</v>
      </c>
      <c r="L13" s="21">
        <v>418.54374147912398</v>
      </c>
      <c r="M13" s="21">
        <v>404.259024681249</v>
      </c>
      <c r="N13" s="21">
        <v>383.45793204526302</v>
      </c>
      <c r="O13" s="21">
        <v>380.12021355495398</v>
      </c>
      <c r="P13" s="21">
        <v>417.31230037585902</v>
      </c>
      <c r="Q13" s="21">
        <v>439.67834941391197</v>
      </c>
      <c r="R13" s="21">
        <v>458.14740046059001</v>
      </c>
      <c r="S13" s="21">
        <v>475.93146239357702</v>
      </c>
      <c r="T13" s="21">
        <v>501.06568841167802</v>
      </c>
      <c r="U13" s="21">
        <v>514.77573269469599</v>
      </c>
      <c r="V13" s="21">
        <v>545.23594148441805</v>
      </c>
      <c r="W13" s="21">
        <v>559.6771539225</v>
      </c>
      <c r="X13" s="21">
        <v>554.55897683705405</v>
      </c>
      <c r="Y13" s="21">
        <v>531.45919414163995</v>
      </c>
      <c r="Z13" s="21">
        <v>526.18452141598698</v>
      </c>
      <c r="AA13" s="21">
        <v>602.37737417821802</v>
      </c>
      <c r="AB13" s="21">
        <v>632.44249561397601</v>
      </c>
      <c r="AC13" s="21">
        <v>623.132287772832</v>
      </c>
      <c r="AD13" s="21">
        <v>587.25886913334</v>
      </c>
      <c r="AE13" s="21">
        <v>541.73403084700794</v>
      </c>
      <c r="AF13" s="21">
        <v>500.07027351987199</v>
      </c>
      <c r="AG13" s="20">
        <f t="shared" si="0"/>
        <v>11942.836507252341</v>
      </c>
      <c r="AH13" s="20">
        <f>AG13*F13</f>
        <v>47771.346029009364</v>
      </c>
      <c r="AI13" s="54"/>
    </row>
    <row r="14" spans="1:35" ht="15.75" customHeight="1">
      <c r="A14" s="12">
        <v>2026</v>
      </c>
      <c r="B14" s="12">
        <v>2</v>
      </c>
      <c r="C14" s="12">
        <v>4</v>
      </c>
      <c r="D14" s="12">
        <v>20</v>
      </c>
      <c r="E14" s="12">
        <v>4</v>
      </c>
      <c r="F14" s="12">
        <v>4</v>
      </c>
      <c r="G14" s="12">
        <v>0</v>
      </c>
      <c r="H14" s="12">
        <v>28</v>
      </c>
      <c r="I14" s="21" t="s">
        <v>38</v>
      </c>
      <c r="J14" s="21" t="s">
        <v>38</v>
      </c>
      <c r="K14" s="21" t="s">
        <v>38</v>
      </c>
      <c r="L14" s="21" t="s">
        <v>38</v>
      </c>
      <c r="M14" s="21" t="s">
        <v>38</v>
      </c>
      <c r="N14" s="21" t="s">
        <v>38</v>
      </c>
      <c r="O14" s="21" t="s">
        <v>38</v>
      </c>
      <c r="P14" s="21" t="s">
        <v>38</v>
      </c>
      <c r="Q14" s="21" t="s">
        <v>38</v>
      </c>
      <c r="R14" s="21" t="s">
        <v>38</v>
      </c>
      <c r="S14" s="21" t="s">
        <v>38</v>
      </c>
      <c r="T14" s="21" t="s">
        <v>38</v>
      </c>
      <c r="U14" s="21" t="s">
        <v>38</v>
      </c>
      <c r="V14" s="21" t="s">
        <v>38</v>
      </c>
      <c r="W14" s="21" t="s">
        <v>38</v>
      </c>
      <c r="X14" s="21" t="s">
        <v>38</v>
      </c>
      <c r="Y14" s="21" t="s">
        <v>38</v>
      </c>
      <c r="Z14" s="21" t="s">
        <v>38</v>
      </c>
      <c r="AA14" s="21" t="s">
        <v>38</v>
      </c>
      <c r="AB14" s="21" t="s">
        <v>38</v>
      </c>
      <c r="AC14" s="21" t="s">
        <v>38</v>
      </c>
      <c r="AD14" s="21" t="s">
        <v>38</v>
      </c>
      <c r="AE14" s="21" t="s">
        <v>38</v>
      </c>
      <c r="AF14" s="21" t="s">
        <v>38</v>
      </c>
      <c r="AG14" s="20">
        <f t="shared" si="0"/>
        <v>0</v>
      </c>
      <c r="AH14" s="20">
        <f>AG14*G14</f>
        <v>0</v>
      </c>
      <c r="AI14" s="54"/>
    </row>
    <row r="15" spans="1:35" ht="15.75" customHeight="1">
      <c r="A15" s="12">
        <v>2026</v>
      </c>
      <c r="B15" s="12">
        <v>3</v>
      </c>
      <c r="C15" s="12">
        <v>1</v>
      </c>
      <c r="D15" s="12">
        <v>21</v>
      </c>
      <c r="E15" s="12">
        <v>4</v>
      </c>
      <c r="F15" s="12">
        <v>5</v>
      </c>
      <c r="G15" s="12">
        <v>1</v>
      </c>
      <c r="H15" s="12">
        <v>31</v>
      </c>
      <c r="I15" s="21">
        <v>567.38216809031701</v>
      </c>
      <c r="J15" s="21">
        <v>542.23976134659597</v>
      </c>
      <c r="K15" s="21">
        <v>524.68663225099294</v>
      </c>
      <c r="L15" s="21">
        <v>505.03613078732701</v>
      </c>
      <c r="M15" s="21">
        <v>486.61704337426897</v>
      </c>
      <c r="N15" s="21">
        <v>466.09643741789398</v>
      </c>
      <c r="O15" s="21">
        <v>483.70702065631099</v>
      </c>
      <c r="P15" s="21">
        <v>544.91819056104896</v>
      </c>
      <c r="Q15" s="21">
        <v>591.66987042084497</v>
      </c>
      <c r="R15" s="21">
        <v>620.36081087172795</v>
      </c>
      <c r="S15" s="21">
        <v>652.87393259657597</v>
      </c>
      <c r="T15" s="21">
        <v>666.69491165231398</v>
      </c>
      <c r="U15" s="21">
        <v>645.61161048281895</v>
      </c>
      <c r="V15" s="21">
        <v>670.62015499689198</v>
      </c>
      <c r="W15" s="21">
        <v>694.76274119351001</v>
      </c>
      <c r="X15" s="21">
        <v>717.23856493779101</v>
      </c>
      <c r="Y15" s="21">
        <v>680.46139811899195</v>
      </c>
      <c r="Z15" s="21">
        <v>664.93278716912096</v>
      </c>
      <c r="AA15" s="21">
        <v>714.20238002994301</v>
      </c>
      <c r="AB15" s="21">
        <v>722.64162360524801</v>
      </c>
      <c r="AC15" s="21">
        <v>709.37386279062002</v>
      </c>
      <c r="AD15" s="21">
        <v>684.14616329880505</v>
      </c>
      <c r="AE15" s="21">
        <v>645.99602015999199</v>
      </c>
      <c r="AF15" s="21">
        <v>604.28253554525099</v>
      </c>
      <c r="AG15" s="20">
        <f t="shared" si="0"/>
        <v>14806.552752355201</v>
      </c>
      <c r="AH15" s="20">
        <f>AG15*D15</f>
        <v>310937.60779945925</v>
      </c>
      <c r="AI15" s="54">
        <f>AH15+AH16+AH17+AH18</f>
        <v>440635.05665636639</v>
      </c>
    </row>
    <row r="16" spans="1:35" ht="15.75" customHeight="1">
      <c r="A16" s="12">
        <v>2026</v>
      </c>
      <c r="B16" s="12">
        <v>3</v>
      </c>
      <c r="C16" s="12">
        <v>2</v>
      </c>
      <c r="D16" s="12">
        <v>21</v>
      </c>
      <c r="E16" s="12">
        <v>4</v>
      </c>
      <c r="F16" s="12">
        <v>5</v>
      </c>
      <c r="G16" s="12">
        <v>1</v>
      </c>
      <c r="H16" s="12">
        <v>31</v>
      </c>
      <c r="I16" s="21">
        <v>524.70873414003995</v>
      </c>
      <c r="J16" s="21">
        <v>510.52573624578201</v>
      </c>
      <c r="K16" s="21">
        <v>493.03226661268599</v>
      </c>
      <c r="L16" s="21">
        <v>476.51722068699797</v>
      </c>
      <c r="M16" s="21">
        <v>459.43211857584998</v>
      </c>
      <c r="N16" s="21">
        <v>438.97021091519201</v>
      </c>
      <c r="O16" s="21">
        <v>447.131342559404</v>
      </c>
      <c r="P16" s="21">
        <v>441.79147080032601</v>
      </c>
      <c r="Q16" s="21">
        <v>485.96149698139197</v>
      </c>
      <c r="R16" s="21">
        <v>526.40439217533697</v>
      </c>
      <c r="S16" s="21">
        <v>547.53171087429598</v>
      </c>
      <c r="T16" s="21">
        <v>560.73421212956202</v>
      </c>
      <c r="U16" s="21">
        <v>567.13127899621998</v>
      </c>
      <c r="V16" s="21">
        <v>591.91110314529396</v>
      </c>
      <c r="W16" s="21">
        <v>603.51952001285395</v>
      </c>
      <c r="X16" s="21">
        <v>603.54024932868799</v>
      </c>
      <c r="Y16" s="21">
        <v>576.43666887452002</v>
      </c>
      <c r="Z16" s="21">
        <v>580.852013147359</v>
      </c>
      <c r="AA16" s="21">
        <v>649.20693211303603</v>
      </c>
      <c r="AB16" s="21">
        <v>628.93158829489198</v>
      </c>
      <c r="AC16" s="21">
        <v>638.14576918351804</v>
      </c>
      <c r="AD16" s="21">
        <v>611.24326309294804</v>
      </c>
      <c r="AE16" s="21">
        <v>581.61899783325202</v>
      </c>
      <c r="AF16" s="21">
        <v>551.360415509007</v>
      </c>
      <c r="AG16" s="20">
        <f t="shared" si="0"/>
        <v>13096.638712228454</v>
      </c>
      <c r="AH16" s="20">
        <f>AG16*E16</f>
        <v>52386.554848913816</v>
      </c>
      <c r="AI16" s="54"/>
    </row>
    <row r="17" spans="1:35" ht="15.75" customHeight="1">
      <c r="A17" s="12">
        <v>2026</v>
      </c>
      <c r="B17" s="12">
        <v>3</v>
      </c>
      <c r="C17" s="12">
        <v>3</v>
      </c>
      <c r="D17" s="12">
        <v>21</v>
      </c>
      <c r="E17" s="12">
        <v>4</v>
      </c>
      <c r="F17" s="12">
        <v>5</v>
      </c>
      <c r="G17" s="12">
        <v>1</v>
      </c>
      <c r="H17" s="12">
        <v>31</v>
      </c>
      <c r="I17" s="21">
        <v>535.49146708905903</v>
      </c>
      <c r="J17" s="21">
        <v>514.85293095422196</v>
      </c>
      <c r="K17" s="21">
        <v>496.18324366325902</v>
      </c>
      <c r="L17" s="21">
        <v>478.98446355089499</v>
      </c>
      <c r="M17" s="21">
        <v>466.54217223277999</v>
      </c>
      <c r="N17" s="21">
        <v>441.19298293815399</v>
      </c>
      <c r="O17" s="21">
        <v>445.30985628788602</v>
      </c>
      <c r="P17" s="21">
        <v>476.06973388678898</v>
      </c>
      <c r="Q17" s="21">
        <v>499.45215777547003</v>
      </c>
      <c r="R17" s="21">
        <v>512.28821886236005</v>
      </c>
      <c r="S17" s="21">
        <v>529.62450587810599</v>
      </c>
      <c r="T17" s="21">
        <v>556.71753272016304</v>
      </c>
      <c r="U17" s="21">
        <v>565.60964580551399</v>
      </c>
      <c r="V17" s="21">
        <v>589.78377610760504</v>
      </c>
      <c r="W17" s="21">
        <v>606.29085482720097</v>
      </c>
      <c r="X17" s="21">
        <v>604.87828391064295</v>
      </c>
      <c r="Y17" s="21">
        <v>573.568378698213</v>
      </c>
      <c r="Z17" s="21">
        <v>568.12018851119501</v>
      </c>
      <c r="AA17" s="21">
        <v>633.53597263815004</v>
      </c>
      <c r="AB17" s="21">
        <v>656.81630806826001</v>
      </c>
      <c r="AC17" s="21">
        <v>651.22644410199996</v>
      </c>
      <c r="AD17" s="21">
        <v>621.21035384411698</v>
      </c>
      <c r="AE17" s="21">
        <v>585.82524404055596</v>
      </c>
      <c r="AF17" s="21">
        <v>549.34424588580202</v>
      </c>
      <c r="AG17" s="20">
        <f t="shared" si="0"/>
        <v>13158.918962278402</v>
      </c>
      <c r="AH17" s="20">
        <f>AG17*F17</f>
        <v>65794.594811392002</v>
      </c>
      <c r="AI17" s="54"/>
    </row>
    <row r="18" spans="1:35" ht="15.75" customHeight="1">
      <c r="A18" s="12">
        <v>2026</v>
      </c>
      <c r="B18" s="12">
        <v>3</v>
      </c>
      <c r="C18" s="12">
        <v>4</v>
      </c>
      <c r="D18" s="12">
        <v>21</v>
      </c>
      <c r="E18" s="12">
        <v>4</v>
      </c>
      <c r="F18" s="12">
        <v>5</v>
      </c>
      <c r="G18" s="12">
        <v>1</v>
      </c>
      <c r="H18" s="12">
        <v>31</v>
      </c>
      <c r="I18" s="21">
        <v>489.82476661193402</v>
      </c>
      <c r="J18" s="21">
        <v>476.50481500685601</v>
      </c>
      <c r="K18" s="21">
        <v>464.78178762230101</v>
      </c>
      <c r="L18" s="21">
        <v>453.20909829197899</v>
      </c>
      <c r="M18" s="21">
        <v>443.069631745349</v>
      </c>
      <c r="N18" s="21">
        <v>420.77282787971302</v>
      </c>
      <c r="O18" s="21">
        <v>425.95782032794</v>
      </c>
      <c r="P18" s="21">
        <v>455.69802830095398</v>
      </c>
      <c r="Q18" s="21">
        <v>422.389797174134</v>
      </c>
      <c r="R18" s="21">
        <v>323.11990954100099</v>
      </c>
      <c r="S18" s="21">
        <v>436.86902221963499</v>
      </c>
      <c r="T18" s="21">
        <v>478.20530544251801</v>
      </c>
      <c r="U18" s="21">
        <v>505.16258898938997</v>
      </c>
      <c r="V18" s="21">
        <v>522.66193850215598</v>
      </c>
      <c r="W18" s="21">
        <v>532.08980492541502</v>
      </c>
      <c r="X18" s="21">
        <v>534.13774330863805</v>
      </c>
      <c r="Y18" s="21">
        <v>499.25263303519199</v>
      </c>
      <c r="Z18" s="21">
        <v>500.188069817089</v>
      </c>
      <c r="AA18" s="21">
        <v>480.08620154326002</v>
      </c>
      <c r="AB18" s="21">
        <v>581.23030358583605</v>
      </c>
      <c r="AC18" s="21">
        <v>573.81028539800502</v>
      </c>
      <c r="AD18" s="21">
        <v>557.82767981017105</v>
      </c>
      <c r="AE18" s="21">
        <v>501.97208139399203</v>
      </c>
      <c r="AF18" s="21">
        <v>437.477056127867</v>
      </c>
      <c r="AG18" s="20">
        <f t="shared" si="0"/>
        <v>11516.299196601325</v>
      </c>
      <c r="AH18" s="20">
        <f>AG18*G18</f>
        <v>11516.299196601325</v>
      </c>
      <c r="AI18" s="54"/>
    </row>
    <row r="19" spans="1:35" ht="15.75" customHeight="1">
      <c r="A19" s="12">
        <v>2026</v>
      </c>
      <c r="B19" s="12">
        <v>4</v>
      </c>
      <c r="C19" s="12">
        <v>1</v>
      </c>
      <c r="D19" s="12">
        <v>20</v>
      </c>
      <c r="E19" s="12">
        <v>4</v>
      </c>
      <c r="F19" s="12">
        <v>4</v>
      </c>
      <c r="G19" s="12">
        <v>2</v>
      </c>
      <c r="H19" s="12">
        <v>30</v>
      </c>
      <c r="I19" s="21">
        <v>478.38667248639501</v>
      </c>
      <c r="J19" s="21">
        <v>473.93053128571597</v>
      </c>
      <c r="K19" s="21">
        <v>456.98695866663297</v>
      </c>
      <c r="L19" s="21">
        <v>437.79323767827498</v>
      </c>
      <c r="M19" s="21">
        <v>417.42482327711701</v>
      </c>
      <c r="N19" s="21">
        <v>397.53420301680899</v>
      </c>
      <c r="O19" s="21">
        <v>446.27366553878898</v>
      </c>
      <c r="P19" s="21">
        <v>507.02878654803499</v>
      </c>
      <c r="Q19" s="21">
        <v>542.67108654059496</v>
      </c>
      <c r="R19" s="21">
        <v>574.15044479417202</v>
      </c>
      <c r="S19" s="21">
        <v>602.02293117584099</v>
      </c>
      <c r="T19" s="21">
        <v>620.11766988830402</v>
      </c>
      <c r="U19" s="21">
        <v>590.54767626001706</v>
      </c>
      <c r="V19" s="21">
        <v>609.23372404902602</v>
      </c>
      <c r="W19" s="21">
        <v>658.65500627013898</v>
      </c>
      <c r="X19" s="21">
        <v>664.80088794097799</v>
      </c>
      <c r="Y19" s="21">
        <v>635.32446465493797</v>
      </c>
      <c r="Z19" s="21">
        <v>617.67270963283499</v>
      </c>
      <c r="AA19" s="21">
        <v>662.687358377549</v>
      </c>
      <c r="AB19" s="21">
        <v>662.21875003281798</v>
      </c>
      <c r="AC19" s="21">
        <v>644.98112574378695</v>
      </c>
      <c r="AD19" s="21">
        <v>616.21442467630197</v>
      </c>
      <c r="AE19" s="21">
        <v>543.68454666526395</v>
      </c>
      <c r="AF19" s="21">
        <v>517.51302282317397</v>
      </c>
      <c r="AG19" s="20">
        <f t="shared" si="0"/>
        <v>13377.854708023506</v>
      </c>
      <c r="AH19" s="20">
        <f>AG19*D19</f>
        <v>267557.09416047012</v>
      </c>
      <c r="AI19" s="54">
        <f>AH19+AH20+AH21+AH22</f>
        <v>392442.19141014502</v>
      </c>
    </row>
    <row r="20" spans="1:35" ht="15.75" customHeight="1">
      <c r="A20" s="12">
        <v>2026</v>
      </c>
      <c r="B20" s="12">
        <v>4</v>
      </c>
      <c r="C20" s="12">
        <v>2</v>
      </c>
      <c r="D20" s="12">
        <v>20</v>
      </c>
      <c r="E20" s="12">
        <v>4</v>
      </c>
      <c r="F20" s="12">
        <v>4</v>
      </c>
      <c r="G20" s="12">
        <v>2</v>
      </c>
      <c r="H20" s="12">
        <v>30</v>
      </c>
      <c r="I20" s="21">
        <v>498.88339295405802</v>
      </c>
      <c r="J20" s="21">
        <v>479.89369369526798</v>
      </c>
      <c r="K20" s="21">
        <v>465.53720766726502</v>
      </c>
      <c r="L20" s="21">
        <v>453.64841129478998</v>
      </c>
      <c r="M20" s="21">
        <v>436.79545788932899</v>
      </c>
      <c r="N20" s="21">
        <v>409.25158078674298</v>
      </c>
      <c r="O20" s="21">
        <v>432.44642466260399</v>
      </c>
      <c r="P20" s="21">
        <v>476.53029744465903</v>
      </c>
      <c r="Q20" s="21">
        <v>507.07425205848398</v>
      </c>
      <c r="R20" s="21">
        <v>513.04203214379004</v>
      </c>
      <c r="S20" s="21">
        <v>548.086103024473</v>
      </c>
      <c r="T20" s="21">
        <v>572.302556028862</v>
      </c>
      <c r="U20" s="21">
        <v>564.421057435188</v>
      </c>
      <c r="V20" s="21">
        <v>566.26642885397098</v>
      </c>
      <c r="W20" s="21">
        <v>578.54372447250705</v>
      </c>
      <c r="X20" s="21">
        <v>574.58319049184297</v>
      </c>
      <c r="Y20" s="21">
        <v>543.96729157319203</v>
      </c>
      <c r="Z20" s="21">
        <v>533.74400585743501</v>
      </c>
      <c r="AA20" s="21">
        <v>614.44393258061802</v>
      </c>
      <c r="AB20" s="21">
        <v>624.99816209857397</v>
      </c>
      <c r="AC20" s="21">
        <v>607.46893222774997</v>
      </c>
      <c r="AD20" s="21">
        <v>573.62273402241703</v>
      </c>
      <c r="AE20" s="21">
        <v>536.25845931109905</v>
      </c>
      <c r="AF20" s="21">
        <v>497.912144838909</v>
      </c>
      <c r="AG20" s="20">
        <f t="shared" si="0"/>
        <v>12609.721473413831</v>
      </c>
      <c r="AH20" s="20">
        <f>AG20*E20</f>
        <v>50438.885893655322</v>
      </c>
      <c r="AI20" s="54"/>
    </row>
    <row r="21" spans="1:35" ht="15.75" customHeight="1">
      <c r="A21" s="12">
        <v>2026</v>
      </c>
      <c r="B21" s="12">
        <v>4</v>
      </c>
      <c r="C21" s="12">
        <v>3</v>
      </c>
      <c r="D21" s="12">
        <v>20</v>
      </c>
      <c r="E21" s="12">
        <v>4</v>
      </c>
      <c r="F21" s="12">
        <v>4</v>
      </c>
      <c r="G21" s="12">
        <v>2</v>
      </c>
      <c r="H21" s="12">
        <v>30</v>
      </c>
      <c r="I21" s="21">
        <v>486.14544159677502</v>
      </c>
      <c r="J21" s="21">
        <v>470.60585170857303</v>
      </c>
      <c r="K21" s="21">
        <v>457.07687478752399</v>
      </c>
      <c r="L21" s="21">
        <v>441.85260243107098</v>
      </c>
      <c r="M21" s="21">
        <v>432.55259005348199</v>
      </c>
      <c r="N21" s="21">
        <v>403.85127542826802</v>
      </c>
      <c r="O21" s="21">
        <v>419.46134805886101</v>
      </c>
      <c r="P21" s="21">
        <v>456.71333222150798</v>
      </c>
      <c r="Q21" s="21">
        <v>478.43314573199302</v>
      </c>
      <c r="R21" s="21">
        <v>500.27908625517802</v>
      </c>
      <c r="S21" s="21">
        <v>517.05026932621297</v>
      </c>
      <c r="T21" s="21">
        <v>538.22105936965295</v>
      </c>
      <c r="U21" s="21">
        <v>482.70291607367898</v>
      </c>
      <c r="V21" s="21">
        <v>600.79860575878695</v>
      </c>
      <c r="W21" s="21">
        <v>600.59086714963405</v>
      </c>
      <c r="X21" s="21">
        <v>601.05827902022702</v>
      </c>
      <c r="Y21" s="21">
        <v>575.29127224929096</v>
      </c>
      <c r="Z21" s="21">
        <v>577.05334080906505</v>
      </c>
      <c r="AA21" s="21">
        <v>666.27707344001306</v>
      </c>
      <c r="AB21" s="21">
        <v>691.76956847742599</v>
      </c>
      <c r="AC21" s="21">
        <v>685.41128319015502</v>
      </c>
      <c r="AD21" s="21">
        <v>649.413149918464</v>
      </c>
      <c r="AE21" s="21">
        <v>597.71220356566505</v>
      </c>
      <c r="AF21" s="21">
        <v>556.88043801316098</v>
      </c>
      <c r="AG21" s="20">
        <f t="shared" si="0"/>
        <v>12887.201874634666</v>
      </c>
      <c r="AH21" s="20">
        <f>AG21*F21</f>
        <v>51548.807498538663</v>
      </c>
      <c r="AI21" s="54"/>
    </row>
    <row r="22" spans="1:35" ht="15.75" customHeight="1">
      <c r="A22" s="12">
        <v>2026</v>
      </c>
      <c r="B22" s="12">
        <v>4</v>
      </c>
      <c r="C22" s="12">
        <v>4</v>
      </c>
      <c r="D22" s="12">
        <v>20</v>
      </c>
      <c r="E22" s="12">
        <v>4</v>
      </c>
      <c r="F22" s="12">
        <v>4</v>
      </c>
      <c r="G22" s="12">
        <v>2</v>
      </c>
      <c r="H22" s="12">
        <v>30</v>
      </c>
      <c r="I22" s="21">
        <v>435.82127149190097</v>
      </c>
      <c r="J22" s="21">
        <v>434.27149641055701</v>
      </c>
      <c r="K22" s="21">
        <v>412.97218702786802</v>
      </c>
      <c r="L22" s="21">
        <v>395.82155538350798</v>
      </c>
      <c r="M22" s="21">
        <v>383.34292516178101</v>
      </c>
      <c r="N22" s="21">
        <v>368.97402286438597</v>
      </c>
      <c r="O22" s="21">
        <v>398.37439705270799</v>
      </c>
      <c r="P22" s="21">
        <v>418.02684896441298</v>
      </c>
      <c r="Q22" s="21">
        <v>439.929911602385</v>
      </c>
      <c r="R22" s="21">
        <v>441.91195133833298</v>
      </c>
      <c r="S22" s="21">
        <v>473.851348899519</v>
      </c>
      <c r="T22" s="21">
        <v>501.650926604642</v>
      </c>
      <c r="U22" s="21">
        <v>524.035503722621</v>
      </c>
      <c r="V22" s="21">
        <v>523.96570361036095</v>
      </c>
      <c r="W22" s="21">
        <v>508.77975025270598</v>
      </c>
      <c r="X22" s="21">
        <v>517.98202698170803</v>
      </c>
      <c r="Y22" s="21">
        <v>490.93678653039802</v>
      </c>
      <c r="Z22" s="21">
        <v>513.23809955507102</v>
      </c>
      <c r="AA22" s="21">
        <v>583.32768740740903</v>
      </c>
      <c r="AB22" s="21">
        <v>604.53877228272404</v>
      </c>
      <c r="AC22" s="21">
        <v>574.59133528562404</v>
      </c>
      <c r="AD22" s="21">
        <v>544.26442661222802</v>
      </c>
      <c r="AE22" s="21">
        <v>497.94018256556802</v>
      </c>
      <c r="AF22" s="21">
        <v>460.15281113205202</v>
      </c>
      <c r="AG22" s="20">
        <f t="shared" si="0"/>
        <v>11448.701928740471</v>
      </c>
      <c r="AH22" s="20">
        <f>AG22*G22</f>
        <v>22897.403857480942</v>
      </c>
      <c r="AI22" s="54"/>
    </row>
    <row r="23" spans="1:35" ht="15.75" customHeight="1">
      <c r="A23" s="12">
        <v>2026</v>
      </c>
      <c r="B23" s="12">
        <v>5</v>
      </c>
      <c r="C23" s="12">
        <v>1</v>
      </c>
      <c r="D23" s="12">
        <v>19</v>
      </c>
      <c r="E23" s="12">
        <v>5</v>
      </c>
      <c r="F23" s="12">
        <v>5</v>
      </c>
      <c r="G23" s="12">
        <v>2</v>
      </c>
      <c r="H23" s="12">
        <v>31</v>
      </c>
      <c r="I23" s="21">
        <v>389.42603090739698</v>
      </c>
      <c r="J23" s="21">
        <v>365.34497428414699</v>
      </c>
      <c r="K23" s="21">
        <v>358.58583965460002</v>
      </c>
      <c r="L23" s="21">
        <v>354.69134617141299</v>
      </c>
      <c r="M23" s="21">
        <v>341.83813320559</v>
      </c>
      <c r="N23" s="21">
        <v>328.31162998559603</v>
      </c>
      <c r="O23" s="21">
        <v>396.54194622033299</v>
      </c>
      <c r="P23" s="21">
        <v>439.68658973503699</v>
      </c>
      <c r="Q23" s="21">
        <v>477.85500618935998</v>
      </c>
      <c r="R23" s="21">
        <v>506.19848561651202</v>
      </c>
      <c r="S23" s="21">
        <v>531.67232036944199</v>
      </c>
      <c r="T23" s="21">
        <v>567.36282466106195</v>
      </c>
      <c r="U23" s="21">
        <v>518.95784600144998</v>
      </c>
      <c r="V23" s="21">
        <v>549.092685559399</v>
      </c>
      <c r="W23" s="21">
        <v>587.11828286889795</v>
      </c>
      <c r="X23" s="21">
        <v>589.22741559692895</v>
      </c>
      <c r="Y23" s="21">
        <v>559.54194627680204</v>
      </c>
      <c r="Z23" s="21">
        <v>539.19276848119603</v>
      </c>
      <c r="AA23" s="21">
        <v>595.88125754062401</v>
      </c>
      <c r="AB23" s="21">
        <v>588.14352030138696</v>
      </c>
      <c r="AC23" s="21">
        <v>569.93152899440304</v>
      </c>
      <c r="AD23" s="21">
        <v>530.479780510159</v>
      </c>
      <c r="AE23" s="21">
        <v>464.34329495222198</v>
      </c>
      <c r="AF23" s="21">
        <v>429.88868633170898</v>
      </c>
      <c r="AG23" s="20">
        <f t="shared" si="0"/>
        <v>11579.314140415665</v>
      </c>
      <c r="AH23" s="20">
        <f>AG23*D23</f>
        <v>220006.96866789763</v>
      </c>
      <c r="AI23" s="54">
        <f>AH23+AH24+AH25+AH26</f>
        <v>350729.25705027406</v>
      </c>
    </row>
    <row r="24" spans="1:35" ht="15.75" customHeight="1">
      <c r="A24" s="12">
        <v>2026</v>
      </c>
      <c r="B24" s="12">
        <v>5</v>
      </c>
      <c r="C24" s="12">
        <v>2</v>
      </c>
      <c r="D24" s="12">
        <v>19</v>
      </c>
      <c r="E24" s="12">
        <v>5</v>
      </c>
      <c r="F24" s="12">
        <v>5</v>
      </c>
      <c r="G24" s="12">
        <v>2</v>
      </c>
      <c r="H24" s="12">
        <v>31</v>
      </c>
      <c r="I24" s="21">
        <v>466.026496440963</v>
      </c>
      <c r="J24" s="21">
        <v>450.53867377012699</v>
      </c>
      <c r="K24" s="21">
        <v>434.78537502422199</v>
      </c>
      <c r="L24" s="21">
        <v>418.18925417590998</v>
      </c>
      <c r="M24" s="21">
        <v>411.45440966951998</v>
      </c>
      <c r="N24" s="21">
        <v>381.12312373335902</v>
      </c>
      <c r="O24" s="21">
        <v>365.27445979543802</v>
      </c>
      <c r="P24" s="21">
        <v>346.83031617212401</v>
      </c>
      <c r="Q24" s="21">
        <v>482.00489140586001</v>
      </c>
      <c r="R24" s="21">
        <v>509.961498146248</v>
      </c>
      <c r="S24" s="21">
        <v>429.60214796629998</v>
      </c>
      <c r="T24" s="21">
        <v>517.62164275894997</v>
      </c>
      <c r="U24" s="21">
        <v>510.84298181298601</v>
      </c>
      <c r="V24" s="21">
        <v>451.34798918344802</v>
      </c>
      <c r="W24" s="21">
        <v>512.09303905967499</v>
      </c>
      <c r="X24" s="21">
        <v>528.90824210586095</v>
      </c>
      <c r="Y24" s="21">
        <v>509.76303544935098</v>
      </c>
      <c r="Z24" s="21">
        <v>522.51361936558101</v>
      </c>
      <c r="AA24" s="21">
        <v>569.48742002725101</v>
      </c>
      <c r="AB24" s="21">
        <v>573.49791296714398</v>
      </c>
      <c r="AC24" s="21">
        <v>547.81116962589795</v>
      </c>
      <c r="AD24" s="21">
        <v>506.63660361381699</v>
      </c>
      <c r="AE24" s="21">
        <v>474.73308072821197</v>
      </c>
      <c r="AF24" s="21">
        <v>443.37855205610202</v>
      </c>
      <c r="AG24" s="20">
        <f t="shared" si="0"/>
        <v>11364.425935054349</v>
      </c>
      <c r="AH24" s="20">
        <f>AG24*E24</f>
        <v>56822.129675271746</v>
      </c>
      <c r="AI24" s="54"/>
    </row>
    <row r="25" spans="1:35" ht="15.75" customHeight="1">
      <c r="A25" s="12">
        <v>2026</v>
      </c>
      <c r="B25" s="12">
        <v>5</v>
      </c>
      <c r="C25" s="12">
        <v>3</v>
      </c>
      <c r="D25" s="12">
        <v>19</v>
      </c>
      <c r="E25" s="12">
        <v>5</v>
      </c>
      <c r="F25" s="12">
        <v>5</v>
      </c>
      <c r="G25" s="12">
        <v>2</v>
      </c>
      <c r="H25" s="12">
        <v>31</v>
      </c>
      <c r="I25" s="21">
        <v>406.63660650924299</v>
      </c>
      <c r="J25" s="21">
        <v>391.92888288843898</v>
      </c>
      <c r="K25" s="21">
        <v>383.00739541037598</v>
      </c>
      <c r="L25" s="21">
        <v>376.69695323227199</v>
      </c>
      <c r="M25" s="21">
        <v>374.33053741548298</v>
      </c>
      <c r="N25" s="21">
        <v>348.78422995871102</v>
      </c>
      <c r="O25" s="21">
        <v>357.36373540417901</v>
      </c>
      <c r="P25" s="21">
        <v>372.41593727679299</v>
      </c>
      <c r="Q25" s="21">
        <v>421.40673561044599</v>
      </c>
      <c r="R25" s="21">
        <v>420.35582732050102</v>
      </c>
      <c r="S25" s="21">
        <v>434.24728725766499</v>
      </c>
      <c r="T25" s="21">
        <v>452.82914310173499</v>
      </c>
      <c r="U25" s="21">
        <v>372.66056675996401</v>
      </c>
      <c r="V25" s="21">
        <v>472.82053072978499</v>
      </c>
      <c r="W25" s="21">
        <v>464.05713713540302</v>
      </c>
      <c r="X25" s="21">
        <v>422.73638837951398</v>
      </c>
      <c r="Y25" s="21">
        <v>431.06710397645298</v>
      </c>
      <c r="Z25" s="21">
        <v>467.52688184567398</v>
      </c>
      <c r="AA25" s="21">
        <v>536.033122010189</v>
      </c>
      <c r="AB25" s="21">
        <v>511.91964438341398</v>
      </c>
      <c r="AC25" s="21">
        <v>511.77236744966802</v>
      </c>
      <c r="AD25" s="21">
        <v>471.94768607724899</v>
      </c>
      <c r="AE25" s="21">
        <v>437.75447525617602</v>
      </c>
      <c r="AF25" s="21">
        <v>410.35597314111601</v>
      </c>
      <c r="AG25" s="20">
        <f t="shared" si="0"/>
        <v>10250.655148530448</v>
      </c>
      <c r="AH25" s="20">
        <f>AG25*F25</f>
        <v>51253.275742652244</v>
      </c>
      <c r="AI25" s="54"/>
    </row>
    <row r="26" spans="1:35" ht="15.75" customHeight="1">
      <c r="A26" s="12">
        <v>2026</v>
      </c>
      <c r="B26" s="12">
        <v>5</v>
      </c>
      <c r="C26" s="12">
        <v>4</v>
      </c>
      <c r="D26" s="12">
        <v>19</v>
      </c>
      <c r="E26" s="12">
        <v>5</v>
      </c>
      <c r="F26" s="12">
        <v>5</v>
      </c>
      <c r="G26" s="12">
        <v>2</v>
      </c>
      <c r="H26" s="12">
        <v>31</v>
      </c>
      <c r="I26" s="21">
        <v>454.35931541682203</v>
      </c>
      <c r="J26" s="21">
        <v>440.39379595420701</v>
      </c>
      <c r="K26" s="21">
        <v>423.55395318829699</v>
      </c>
      <c r="L26" s="21">
        <v>412.44166107812703</v>
      </c>
      <c r="M26" s="21">
        <v>402.02553534600298</v>
      </c>
      <c r="N26" s="21">
        <v>371.75811986414999</v>
      </c>
      <c r="O26" s="21">
        <v>353.710533912085</v>
      </c>
      <c r="P26" s="21">
        <v>444.20688907032201</v>
      </c>
      <c r="Q26" s="21">
        <v>492.53771246737699</v>
      </c>
      <c r="R26" s="21">
        <v>420.83784951637602</v>
      </c>
      <c r="S26" s="21">
        <v>545.75752247389096</v>
      </c>
      <c r="T26" s="21">
        <v>559.738863899644</v>
      </c>
      <c r="U26" s="21">
        <v>558.59968255374997</v>
      </c>
      <c r="V26" s="21">
        <v>375.43936328745298</v>
      </c>
      <c r="W26" s="21">
        <v>305.43772437986598</v>
      </c>
      <c r="X26" s="21">
        <v>355.64608740256</v>
      </c>
      <c r="Y26" s="21">
        <v>532.70967687324503</v>
      </c>
      <c r="Z26" s="21">
        <v>532.27193589311105</v>
      </c>
      <c r="AA26" s="21">
        <v>590.85539140320395</v>
      </c>
      <c r="AB26" s="21">
        <v>602.14699909559795</v>
      </c>
      <c r="AC26" s="21">
        <v>584.85359338641604</v>
      </c>
      <c r="AD26" s="21">
        <v>562.41804965757694</v>
      </c>
      <c r="AE26" s="21">
        <v>517.06175533035298</v>
      </c>
      <c r="AF26" s="21">
        <v>484.67947077579998</v>
      </c>
      <c r="AG26" s="20">
        <f t="shared" si="0"/>
        <v>11323.441482226233</v>
      </c>
      <c r="AH26" s="20">
        <f>AG26*G26</f>
        <v>22646.882964452467</v>
      </c>
      <c r="AI26" s="54"/>
    </row>
    <row r="27" spans="1:35" ht="15.75" customHeight="1">
      <c r="A27" s="12">
        <v>2026</v>
      </c>
      <c r="B27" s="12">
        <v>6</v>
      </c>
      <c r="C27" s="12">
        <v>1</v>
      </c>
      <c r="D27" s="12">
        <v>19</v>
      </c>
      <c r="E27" s="12">
        <v>4</v>
      </c>
      <c r="F27" s="12">
        <v>4</v>
      </c>
      <c r="G27" s="12">
        <v>3</v>
      </c>
      <c r="H27" s="12">
        <v>30</v>
      </c>
      <c r="I27" s="21">
        <v>368.40277270087802</v>
      </c>
      <c r="J27" s="21">
        <v>358.14731480204398</v>
      </c>
      <c r="K27" s="21">
        <v>348.75778125065699</v>
      </c>
      <c r="L27" s="21">
        <v>340.85268943774901</v>
      </c>
      <c r="M27" s="21">
        <v>321.97448225271</v>
      </c>
      <c r="N27" s="21">
        <v>311.24437007360802</v>
      </c>
      <c r="O27" s="21">
        <v>355.72236382147503</v>
      </c>
      <c r="P27" s="21">
        <v>392.52111356182297</v>
      </c>
      <c r="Q27" s="21">
        <v>432.28874677913001</v>
      </c>
      <c r="R27" s="21">
        <v>445.86333714567002</v>
      </c>
      <c r="S27" s="21">
        <v>468.098426859548</v>
      </c>
      <c r="T27" s="21">
        <v>492.64488082950402</v>
      </c>
      <c r="U27" s="21">
        <v>479.83504316908198</v>
      </c>
      <c r="V27" s="21">
        <v>461.21903433209701</v>
      </c>
      <c r="W27" s="21">
        <v>502.528879440141</v>
      </c>
      <c r="X27" s="21">
        <v>520.03479515528795</v>
      </c>
      <c r="Y27" s="21">
        <v>506.42054218918599</v>
      </c>
      <c r="Z27" s="21">
        <v>486.34263165892003</v>
      </c>
      <c r="AA27" s="21">
        <v>528.11854514509196</v>
      </c>
      <c r="AB27" s="21">
        <v>523.37357833974795</v>
      </c>
      <c r="AC27" s="21">
        <v>532.04330383814204</v>
      </c>
      <c r="AD27" s="21">
        <v>485.16880914490503</v>
      </c>
      <c r="AE27" s="21">
        <v>420.00171340084398</v>
      </c>
      <c r="AF27" s="21">
        <v>388.63976046200202</v>
      </c>
      <c r="AG27" s="20">
        <f t="shared" si="0"/>
        <v>10470.244915790243</v>
      </c>
      <c r="AH27" s="20">
        <f>AG27*D27</f>
        <v>198934.65340001462</v>
      </c>
      <c r="AI27" s="54">
        <f>AH27+AH28+AH29+AH30</f>
        <v>310457.91058147396</v>
      </c>
    </row>
    <row r="28" spans="1:35" ht="15.75" customHeight="1">
      <c r="A28" s="12">
        <v>2026</v>
      </c>
      <c r="B28" s="12">
        <v>6</v>
      </c>
      <c r="C28" s="12">
        <v>2</v>
      </c>
      <c r="D28" s="12">
        <v>19</v>
      </c>
      <c r="E28" s="12">
        <v>4</v>
      </c>
      <c r="F28" s="12">
        <v>4</v>
      </c>
      <c r="G28" s="12">
        <v>3</v>
      </c>
      <c r="H28" s="12">
        <v>30</v>
      </c>
      <c r="I28" s="21">
        <v>388.42376511791599</v>
      </c>
      <c r="J28" s="21">
        <v>375.63061761315601</v>
      </c>
      <c r="K28" s="21">
        <v>365.12674880605698</v>
      </c>
      <c r="L28" s="21">
        <v>354.06224031789799</v>
      </c>
      <c r="M28" s="21">
        <v>334.70798350218701</v>
      </c>
      <c r="N28" s="21">
        <v>329.77801065460801</v>
      </c>
      <c r="O28" s="21">
        <v>359.35378513369602</v>
      </c>
      <c r="P28" s="21">
        <v>398.513248073797</v>
      </c>
      <c r="Q28" s="21">
        <v>431.613333591431</v>
      </c>
      <c r="R28" s="21">
        <v>447.79875742723999</v>
      </c>
      <c r="S28" s="21">
        <v>456.18803961121301</v>
      </c>
      <c r="T28" s="21">
        <v>460.26486511804899</v>
      </c>
      <c r="U28" s="21">
        <v>450.96149649756597</v>
      </c>
      <c r="V28" s="21">
        <v>462.85274538496901</v>
      </c>
      <c r="W28" s="21">
        <v>464.74795126333402</v>
      </c>
      <c r="X28" s="21">
        <v>466.79550488111698</v>
      </c>
      <c r="Y28" s="21">
        <v>448.53612048602503</v>
      </c>
      <c r="Z28" s="21">
        <v>470.82357911133897</v>
      </c>
      <c r="AA28" s="21">
        <v>500.748737739494</v>
      </c>
      <c r="AB28" s="21">
        <v>527.65741112716501</v>
      </c>
      <c r="AC28" s="21">
        <v>497.474276993594</v>
      </c>
      <c r="AD28" s="21">
        <v>460.49643368196502</v>
      </c>
      <c r="AE28" s="21">
        <v>425.37723279123901</v>
      </c>
      <c r="AF28" s="21">
        <v>395.019406583136</v>
      </c>
      <c r="AG28" s="20">
        <f t="shared" si="0"/>
        <v>10272.952291508193</v>
      </c>
      <c r="AH28" s="20">
        <f>AG28*E28</f>
        <v>41091.80916603277</v>
      </c>
      <c r="AI28" s="54"/>
    </row>
    <row r="29" spans="1:35" ht="15.75" customHeight="1">
      <c r="A29" s="12">
        <v>2026</v>
      </c>
      <c r="B29" s="12">
        <v>6</v>
      </c>
      <c r="C29" s="12">
        <v>3</v>
      </c>
      <c r="D29" s="12">
        <v>19</v>
      </c>
      <c r="E29" s="12">
        <v>4</v>
      </c>
      <c r="F29" s="12">
        <v>4</v>
      </c>
      <c r="G29" s="12">
        <v>3</v>
      </c>
      <c r="H29" s="12">
        <v>30</v>
      </c>
      <c r="I29" s="21">
        <v>373.455902016967</v>
      </c>
      <c r="J29" s="21">
        <v>349.16981520632498</v>
      </c>
      <c r="K29" s="21">
        <v>334.95923642820799</v>
      </c>
      <c r="L29" s="21">
        <v>346.85861703723202</v>
      </c>
      <c r="M29" s="21">
        <v>320.29834412781997</v>
      </c>
      <c r="N29" s="21">
        <v>292.74491399805999</v>
      </c>
      <c r="O29" s="21">
        <v>346.43914690689797</v>
      </c>
      <c r="P29" s="21">
        <v>374.17352493601902</v>
      </c>
      <c r="Q29" s="21">
        <v>396.69536972790399</v>
      </c>
      <c r="R29" s="21">
        <v>402.85171075839003</v>
      </c>
      <c r="S29" s="21">
        <v>417.03350237069998</v>
      </c>
      <c r="T29" s="21">
        <v>433.36405028790603</v>
      </c>
      <c r="U29" s="21">
        <v>449.79124083317902</v>
      </c>
      <c r="V29" s="21">
        <v>470.28153420952702</v>
      </c>
      <c r="W29" s="21">
        <v>470.84494016889602</v>
      </c>
      <c r="X29" s="21">
        <v>467.65573344268302</v>
      </c>
      <c r="Y29" s="21">
        <v>448.14625992990898</v>
      </c>
      <c r="Z29" s="21">
        <v>456.79885948110598</v>
      </c>
      <c r="AA29" s="21">
        <v>533.781909527979</v>
      </c>
      <c r="AB29" s="21">
        <v>548.43663314998003</v>
      </c>
      <c r="AC29" s="21">
        <v>535.64690662706096</v>
      </c>
      <c r="AD29" s="21">
        <v>502.99814814942403</v>
      </c>
      <c r="AE29" s="21">
        <v>463.35205215450497</v>
      </c>
      <c r="AF29" s="21">
        <v>423.54145806925902</v>
      </c>
      <c r="AG29" s="20">
        <f t="shared" si="0"/>
        <v>10159.319809545937</v>
      </c>
      <c r="AH29" s="20">
        <f>AG29*F29</f>
        <v>40637.27923818375</v>
      </c>
      <c r="AI29" s="54"/>
    </row>
    <row r="30" spans="1:35" ht="15.75" customHeight="1">
      <c r="A30" s="12">
        <v>2026</v>
      </c>
      <c r="B30" s="12">
        <v>6</v>
      </c>
      <c r="C30" s="12">
        <v>4</v>
      </c>
      <c r="D30" s="12">
        <v>19</v>
      </c>
      <c r="E30" s="12">
        <v>4</v>
      </c>
      <c r="F30" s="12">
        <v>4</v>
      </c>
      <c r="G30" s="12">
        <v>3</v>
      </c>
      <c r="H30" s="12">
        <v>30</v>
      </c>
      <c r="I30" s="21">
        <v>395.51865100064998</v>
      </c>
      <c r="J30" s="21">
        <v>381.35712748853098</v>
      </c>
      <c r="K30" s="21">
        <v>369.94658408440199</v>
      </c>
      <c r="L30" s="21">
        <v>359.98181124797702</v>
      </c>
      <c r="M30" s="21">
        <v>354.69571260981201</v>
      </c>
      <c r="N30" s="21">
        <v>333.91276069908099</v>
      </c>
      <c r="O30" s="21">
        <v>358.58624104720798</v>
      </c>
      <c r="P30" s="21">
        <v>308.48627484694299</v>
      </c>
      <c r="Q30" s="21">
        <v>388.75164153792798</v>
      </c>
      <c r="R30" s="21">
        <v>433.52032876978899</v>
      </c>
      <c r="S30" s="21">
        <v>453.29425330514403</v>
      </c>
      <c r="T30" s="21">
        <v>473.00291736348498</v>
      </c>
      <c r="U30" s="21">
        <v>458.98195487878098</v>
      </c>
      <c r="V30" s="21">
        <v>466.73289153341102</v>
      </c>
      <c r="W30" s="21">
        <v>449.18284325323799</v>
      </c>
      <c r="X30" s="21">
        <v>443.891724578381</v>
      </c>
      <c r="Y30" s="21">
        <v>386.919328144833</v>
      </c>
      <c r="Z30" s="21">
        <v>390.60403507779802</v>
      </c>
      <c r="AA30" s="21">
        <v>510.683312784245</v>
      </c>
      <c r="AB30" s="21">
        <v>507.31988819965801</v>
      </c>
      <c r="AC30" s="21">
        <v>477.54605057102401</v>
      </c>
      <c r="AD30" s="21">
        <v>444.64473008239298</v>
      </c>
      <c r="AE30" s="21">
        <v>406.758513157202</v>
      </c>
      <c r="AF30" s="21">
        <v>377.070016152356</v>
      </c>
      <c r="AG30" s="20">
        <f t="shared" si="0"/>
        <v>9931.3895924142707</v>
      </c>
      <c r="AH30" s="20">
        <f>AG30*G30</f>
        <v>29794.168777242812</v>
      </c>
      <c r="AI30" s="54"/>
    </row>
    <row r="31" spans="1:35" ht="15.75" customHeight="1">
      <c r="A31" s="12">
        <v>2026</v>
      </c>
      <c r="B31" s="12">
        <v>7</v>
      </c>
      <c r="C31" s="12">
        <v>1</v>
      </c>
      <c r="D31" s="12">
        <v>22</v>
      </c>
      <c r="E31" s="12">
        <v>4</v>
      </c>
      <c r="F31" s="12">
        <v>4</v>
      </c>
      <c r="G31" s="12">
        <v>1</v>
      </c>
      <c r="H31" s="12">
        <v>31</v>
      </c>
      <c r="I31" s="21">
        <v>377.41997029761001</v>
      </c>
      <c r="J31" s="21">
        <v>353.91777963857902</v>
      </c>
      <c r="K31" s="21">
        <v>345.45179405968599</v>
      </c>
      <c r="L31" s="21">
        <v>341.52661295712801</v>
      </c>
      <c r="M31" s="21">
        <v>345.01731856215503</v>
      </c>
      <c r="N31" s="21">
        <v>337.99073680198302</v>
      </c>
      <c r="O31" s="21">
        <v>382.305374847015</v>
      </c>
      <c r="P31" s="21">
        <v>417.92491483214002</v>
      </c>
      <c r="Q31" s="21">
        <v>457.11292827661902</v>
      </c>
      <c r="R31" s="21">
        <v>480.98486550053701</v>
      </c>
      <c r="S31" s="21">
        <v>499.15879394869398</v>
      </c>
      <c r="T31" s="21">
        <v>500.36815393485398</v>
      </c>
      <c r="U31" s="21">
        <v>493.802103340543</v>
      </c>
      <c r="V31" s="21">
        <v>492.20113220313499</v>
      </c>
      <c r="W31" s="21">
        <v>532.51980642789795</v>
      </c>
      <c r="X31" s="21">
        <v>524.07011950110905</v>
      </c>
      <c r="Y31" s="21">
        <v>509.40179828276098</v>
      </c>
      <c r="Z31" s="21">
        <v>516.901040953966</v>
      </c>
      <c r="AA31" s="21">
        <v>566.516000663407</v>
      </c>
      <c r="AB31" s="21">
        <v>558.93899013787495</v>
      </c>
      <c r="AC31" s="21">
        <v>544.40664624565602</v>
      </c>
      <c r="AD31" s="21">
        <v>490.27416584859998</v>
      </c>
      <c r="AE31" s="21">
        <v>440.30762092947401</v>
      </c>
      <c r="AF31" s="21">
        <v>403.99655241933999</v>
      </c>
      <c r="AG31" s="20">
        <f t="shared" si="0"/>
        <v>10912.515220610763</v>
      </c>
      <c r="AH31" s="20">
        <f>AG31*D31</f>
        <v>240075.3348534368</v>
      </c>
      <c r="AI31" s="54">
        <f>AH31+AH32+AH33+AH34</f>
        <v>333760.18505882384</v>
      </c>
    </row>
    <row r="32" spans="1:35" ht="15.75" customHeight="1">
      <c r="A32" s="12">
        <v>2026</v>
      </c>
      <c r="B32" s="12">
        <v>7</v>
      </c>
      <c r="C32" s="12">
        <v>2</v>
      </c>
      <c r="D32" s="12">
        <v>22</v>
      </c>
      <c r="E32" s="12">
        <v>4</v>
      </c>
      <c r="F32" s="12">
        <v>4</v>
      </c>
      <c r="G32" s="12">
        <v>1</v>
      </c>
      <c r="H32" s="12">
        <v>31</v>
      </c>
      <c r="I32" s="21">
        <v>375.90657335562003</v>
      </c>
      <c r="J32" s="21">
        <v>361.810334649933</v>
      </c>
      <c r="K32" s="21">
        <v>353.85305774096702</v>
      </c>
      <c r="L32" s="21">
        <v>348.27093346444099</v>
      </c>
      <c r="M32" s="21">
        <v>349.98956778603099</v>
      </c>
      <c r="N32" s="21">
        <v>332.16389260249201</v>
      </c>
      <c r="O32" s="21">
        <v>353.279033877556</v>
      </c>
      <c r="P32" s="21">
        <v>377.05118381379998</v>
      </c>
      <c r="Q32" s="21">
        <v>399.98464020110703</v>
      </c>
      <c r="R32" s="21">
        <v>412.48598625635799</v>
      </c>
      <c r="S32" s="21">
        <v>444.03323786347801</v>
      </c>
      <c r="T32" s="21">
        <v>454.272861151516</v>
      </c>
      <c r="U32" s="21">
        <v>457.11204505078399</v>
      </c>
      <c r="V32" s="21">
        <v>435.08259031663403</v>
      </c>
      <c r="W32" s="21">
        <v>501.94433996380099</v>
      </c>
      <c r="X32" s="21">
        <v>497.90211203941999</v>
      </c>
      <c r="Y32" s="21">
        <v>364.43726721048398</v>
      </c>
      <c r="Z32" s="21">
        <v>520.398175991882</v>
      </c>
      <c r="AA32" s="21">
        <v>568.53110811951399</v>
      </c>
      <c r="AB32" s="21">
        <v>590.14207539635697</v>
      </c>
      <c r="AC32" s="21">
        <v>573.411170275671</v>
      </c>
      <c r="AD32" s="21">
        <v>523.15142817507103</v>
      </c>
      <c r="AE32" s="21">
        <v>476.98289507701702</v>
      </c>
      <c r="AF32" s="21">
        <v>440.25997621042598</v>
      </c>
      <c r="AG32" s="20">
        <f t="shared" si="0"/>
        <v>10512.456486590361</v>
      </c>
      <c r="AH32" s="20">
        <f>AG32*E32</f>
        <v>42049.825946361445</v>
      </c>
      <c r="AI32" s="54"/>
    </row>
    <row r="33" spans="1:35" ht="15.75" customHeight="1">
      <c r="A33" s="12">
        <v>2026</v>
      </c>
      <c r="B33" s="12">
        <v>7</v>
      </c>
      <c r="C33" s="12">
        <v>3</v>
      </c>
      <c r="D33" s="12">
        <v>22</v>
      </c>
      <c r="E33" s="12">
        <v>4</v>
      </c>
      <c r="F33" s="12">
        <v>4</v>
      </c>
      <c r="G33" s="12">
        <v>1</v>
      </c>
      <c r="H33" s="12">
        <v>31</v>
      </c>
      <c r="I33" s="21">
        <v>412.25372648646697</v>
      </c>
      <c r="J33" s="21">
        <v>397.26869295503002</v>
      </c>
      <c r="K33" s="21">
        <v>383.470262899744</v>
      </c>
      <c r="L33" s="21">
        <v>368.84915527243902</v>
      </c>
      <c r="M33" s="21">
        <v>370.74823340597698</v>
      </c>
      <c r="N33" s="21">
        <v>355.87852850613098</v>
      </c>
      <c r="O33" s="21">
        <v>381.14318740007798</v>
      </c>
      <c r="P33" s="21">
        <v>404.73173684823098</v>
      </c>
      <c r="Q33" s="21">
        <v>406.86916082038999</v>
      </c>
      <c r="R33" s="21">
        <v>349.29967078846403</v>
      </c>
      <c r="S33" s="21">
        <v>405.13325134339999</v>
      </c>
      <c r="T33" s="21">
        <v>440.96201289111599</v>
      </c>
      <c r="U33" s="21">
        <v>442.86194531081298</v>
      </c>
      <c r="V33" s="21">
        <v>409.36794783820301</v>
      </c>
      <c r="W33" s="21">
        <v>469.62843927392697</v>
      </c>
      <c r="X33" s="21">
        <v>461.035174791131</v>
      </c>
      <c r="Y33" s="21">
        <v>444.02035734368599</v>
      </c>
      <c r="Z33" s="21">
        <v>449.20245718985802</v>
      </c>
      <c r="AA33" s="21">
        <v>523.91747045169905</v>
      </c>
      <c r="AB33" s="21">
        <v>537.60826045083297</v>
      </c>
      <c r="AC33" s="21">
        <v>512.24621293465395</v>
      </c>
      <c r="AD33" s="21">
        <v>472.86532953392498</v>
      </c>
      <c r="AE33" s="21">
        <v>437.69265975704099</v>
      </c>
      <c r="AF33" s="21">
        <v>406.34633769050998</v>
      </c>
      <c r="AG33" s="20">
        <f t="shared" si="0"/>
        <v>10243.400212183746</v>
      </c>
      <c r="AH33" s="20">
        <f>AG33*F33</f>
        <v>40973.600848734983</v>
      </c>
      <c r="AI33" s="54"/>
    </row>
    <row r="34" spans="1:35" ht="15.75" customHeight="1">
      <c r="A34" s="12">
        <v>2026</v>
      </c>
      <c r="B34" s="12">
        <v>7</v>
      </c>
      <c r="C34" s="12">
        <v>4</v>
      </c>
      <c r="D34" s="12">
        <v>22</v>
      </c>
      <c r="E34" s="12">
        <v>4</v>
      </c>
      <c r="F34" s="12">
        <v>4</v>
      </c>
      <c r="G34" s="12">
        <v>1</v>
      </c>
      <c r="H34" s="12">
        <v>31</v>
      </c>
      <c r="I34" s="21">
        <v>403.67651131897497</v>
      </c>
      <c r="J34" s="21">
        <v>380.90766710984599</v>
      </c>
      <c r="K34" s="21">
        <v>370.31943074738098</v>
      </c>
      <c r="L34" s="21">
        <v>365.08735301358502</v>
      </c>
      <c r="M34" s="21">
        <v>362.01635086548703</v>
      </c>
      <c r="N34" s="21">
        <v>328.183626863548</v>
      </c>
      <c r="O34" s="21">
        <v>371.63262021811602</v>
      </c>
      <c r="P34" s="21">
        <v>400.95707170634898</v>
      </c>
      <c r="Q34" s="21">
        <v>430.219482747146</v>
      </c>
      <c r="R34" s="21">
        <v>438.99820605938498</v>
      </c>
      <c r="S34" s="21">
        <v>444.73694744724401</v>
      </c>
      <c r="T34" s="21">
        <v>469.27394440830801</v>
      </c>
      <c r="U34" s="21">
        <v>492.08414891572698</v>
      </c>
      <c r="V34" s="21">
        <v>476.52233668378398</v>
      </c>
      <c r="W34" s="21">
        <v>470.46305298417099</v>
      </c>
      <c r="X34" s="21">
        <v>480.90652830261803</v>
      </c>
      <c r="Y34" s="21">
        <v>476.15009399916602</v>
      </c>
      <c r="Z34" s="21">
        <v>492.042788617437</v>
      </c>
      <c r="AA34" s="21">
        <v>559.99775870935002</v>
      </c>
      <c r="AB34" s="21">
        <v>562.21053466791204</v>
      </c>
      <c r="AC34" s="21">
        <v>533.47546743032399</v>
      </c>
      <c r="AD34" s="21">
        <v>482.91250276972499</v>
      </c>
      <c r="AE34" s="21">
        <v>450.94099219087599</v>
      </c>
      <c r="AF34" s="21">
        <v>417.70799251415502</v>
      </c>
      <c r="AG34" s="20">
        <f t="shared" si="0"/>
        <v>10661.423410290614</v>
      </c>
      <c r="AH34" s="20">
        <f>AG34*G34</f>
        <v>10661.423410290614</v>
      </c>
      <c r="AI34" s="54"/>
    </row>
    <row r="35" spans="1:35" ht="15.75" customHeight="1">
      <c r="A35" s="12">
        <v>2026</v>
      </c>
      <c r="B35" s="12">
        <v>8</v>
      </c>
      <c r="C35" s="12">
        <v>1</v>
      </c>
      <c r="D35" s="12">
        <v>19</v>
      </c>
      <c r="E35" s="12">
        <v>5</v>
      </c>
      <c r="F35" s="12">
        <v>5</v>
      </c>
      <c r="G35" s="12">
        <v>2</v>
      </c>
      <c r="H35" s="12">
        <v>31</v>
      </c>
      <c r="I35" s="21">
        <v>415.33364439488298</v>
      </c>
      <c r="J35" s="21">
        <v>388.81547984309799</v>
      </c>
      <c r="K35" s="21">
        <v>378.117834771623</v>
      </c>
      <c r="L35" s="21">
        <v>366.93664514383403</v>
      </c>
      <c r="M35" s="21">
        <v>364.696360386153</v>
      </c>
      <c r="N35" s="21">
        <v>356.10410566823703</v>
      </c>
      <c r="O35" s="21">
        <v>408.75494807079798</v>
      </c>
      <c r="P35" s="21">
        <v>452.64543657492197</v>
      </c>
      <c r="Q35" s="21">
        <v>489.48924893758601</v>
      </c>
      <c r="R35" s="21">
        <v>491.61539227639503</v>
      </c>
      <c r="S35" s="21">
        <v>537.72748785147598</v>
      </c>
      <c r="T35" s="21">
        <v>565.83481224874004</v>
      </c>
      <c r="U35" s="21">
        <v>550.58084926574099</v>
      </c>
      <c r="V35" s="21">
        <v>575.88081358338104</v>
      </c>
      <c r="W35" s="21">
        <v>599.30782098225598</v>
      </c>
      <c r="X35" s="21">
        <v>574.20760414764197</v>
      </c>
      <c r="Y35" s="21">
        <v>535.43687710456402</v>
      </c>
      <c r="Z35" s="21">
        <v>548.93617518472001</v>
      </c>
      <c r="AA35" s="21">
        <v>600.480883473483</v>
      </c>
      <c r="AB35" s="21">
        <v>606.65126481278503</v>
      </c>
      <c r="AC35" s="21">
        <v>581.72744835279104</v>
      </c>
      <c r="AD35" s="21">
        <v>536.04286427384898</v>
      </c>
      <c r="AE35" s="21">
        <v>477.59260014332199</v>
      </c>
      <c r="AF35" s="21">
        <v>444.170436223666</v>
      </c>
      <c r="AG35" s="20">
        <f t="shared" si="0"/>
        <v>11847.087033715947</v>
      </c>
      <c r="AH35" s="20">
        <f>AG35*D35</f>
        <v>225094.65364060298</v>
      </c>
      <c r="AI35" s="54">
        <f>AH35+AH36+AH37+AH38</f>
        <v>359914.53459987388</v>
      </c>
    </row>
    <row r="36" spans="1:35" ht="15.75" customHeight="1">
      <c r="A36" s="12">
        <v>2026</v>
      </c>
      <c r="B36" s="12">
        <v>8</v>
      </c>
      <c r="C36" s="12">
        <v>2</v>
      </c>
      <c r="D36" s="12">
        <v>19</v>
      </c>
      <c r="E36" s="12">
        <v>5</v>
      </c>
      <c r="F36" s="12">
        <v>5</v>
      </c>
      <c r="G36" s="12">
        <v>2</v>
      </c>
      <c r="H36" s="12">
        <v>31</v>
      </c>
      <c r="I36" s="21">
        <v>404.79629850363801</v>
      </c>
      <c r="J36" s="21">
        <v>404.12356664516</v>
      </c>
      <c r="K36" s="21">
        <v>391.04337456664302</v>
      </c>
      <c r="L36" s="21">
        <v>380.47852267595698</v>
      </c>
      <c r="M36" s="21">
        <v>378.75438284998398</v>
      </c>
      <c r="N36" s="21">
        <v>353.744835582924</v>
      </c>
      <c r="O36" s="21">
        <v>383.24560843346899</v>
      </c>
      <c r="P36" s="21">
        <v>427.49570995479201</v>
      </c>
      <c r="Q36" s="21">
        <v>461.05826006407102</v>
      </c>
      <c r="R36" s="21">
        <v>478.33139095863601</v>
      </c>
      <c r="S36" s="21">
        <v>477.47037880014398</v>
      </c>
      <c r="T36" s="21">
        <v>533.32404712571497</v>
      </c>
      <c r="U36" s="21">
        <v>539.85885439250103</v>
      </c>
      <c r="V36" s="21">
        <v>561.75014140988606</v>
      </c>
      <c r="W36" s="21">
        <v>568.79267083401396</v>
      </c>
      <c r="X36" s="21">
        <v>549.93502370674605</v>
      </c>
      <c r="Y36" s="21">
        <v>524.23582050929701</v>
      </c>
      <c r="Z36" s="21">
        <v>538.35049648339805</v>
      </c>
      <c r="AA36" s="21">
        <v>619.26236878277405</v>
      </c>
      <c r="AB36" s="21">
        <v>627.64824641486803</v>
      </c>
      <c r="AC36" s="21">
        <v>598.22574739691402</v>
      </c>
      <c r="AD36" s="21">
        <v>559.09940864676503</v>
      </c>
      <c r="AE36" s="21">
        <v>521.800869663046</v>
      </c>
      <c r="AF36" s="21">
        <v>486.73842368061997</v>
      </c>
      <c r="AG36" s="20">
        <f t="shared" si="0"/>
        <v>11769.564448081963</v>
      </c>
      <c r="AH36" s="20">
        <f>AG36*E36</f>
        <v>58847.822240409812</v>
      </c>
      <c r="AI36" s="54"/>
    </row>
    <row r="37" spans="1:35" ht="15.75" customHeight="1">
      <c r="A37" s="12">
        <v>2026</v>
      </c>
      <c r="B37" s="12">
        <v>8</v>
      </c>
      <c r="C37" s="12">
        <v>3</v>
      </c>
      <c r="D37" s="12">
        <v>19</v>
      </c>
      <c r="E37" s="12">
        <v>5</v>
      </c>
      <c r="F37" s="12">
        <v>5</v>
      </c>
      <c r="G37" s="12">
        <v>2</v>
      </c>
      <c r="H37" s="12">
        <v>31</v>
      </c>
      <c r="I37" s="21">
        <v>449.312133702305</v>
      </c>
      <c r="J37" s="21">
        <v>339.19037249601803</v>
      </c>
      <c r="K37" s="21">
        <v>311.95548452464499</v>
      </c>
      <c r="L37" s="21">
        <v>408.24591519049699</v>
      </c>
      <c r="M37" s="21">
        <v>396.84900252774997</v>
      </c>
      <c r="N37" s="21">
        <v>364.88009214459902</v>
      </c>
      <c r="O37" s="21">
        <v>382.26323577601801</v>
      </c>
      <c r="P37" s="21">
        <v>410.96551514118403</v>
      </c>
      <c r="Q37" s="21">
        <v>429.84197580939599</v>
      </c>
      <c r="R37" s="21">
        <v>438.49077031415601</v>
      </c>
      <c r="S37" s="21">
        <v>446.763642995417</v>
      </c>
      <c r="T37" s="21">
        <v>470.78375123480498</v>
      </c>
      <c r="U37" s="21">
        <v>471.81559182619998</v>
      </c>
      <c r="V37" s="21">
        <v>474.69852332778697</v>
      </c>
      <c r="W37" s="21">
        <v>475.06148232978501</v>
      </c>
      <c r="X37" s="21">
        <v>478.96069903696701</v>
      </c>
      <c r="Y37" s="21">
        <v>469.25932342641198</v>
      </c>
      <c r="Z37" s="21">
        <v>479.45587881826498</v>
      </c>
      <c r="AA37" s="21">
        <v>552.92915107992201</v>
      </c>
      <c r="AB37" s="21">
        <v>575.990010528315</v>
      </c>
      <c r="AC37" s="21">
        <v>559.41574695849204</v>
      </c>
      <c r="AD37" s="21">
        <v>526.22833135434701</v>
      </c>
      <c r="AE37" s="21">
        <v>483.18139371734702</v>
      </c>
      <c r="AF37" s="21">
        <v>436.043389614967</v>
      </c>
      <c r="AG37" s="20">
        <f t="shared" si="0"/>
        <v>10832.581413875592</v>
      </c>
      <c r="AH37" s="20">
        <f>AG37*F37</f>
        <v>54162.907069377965</v>
      </c>
      <c r="AI37" s="54"/>
    </row>
    <row r="38" spans="1:35" ht="15.75" customHeight="1">
      <c r="A38" s="12">
        <v>2026</v>
      </c>
      <c r="B38" s="12">
        <v>8</v>
      </c>
      <c r="C38" s="12">
        <v>4</v>
      </c>
      <c r="D38" s="12">
        <v>19</v>
      </c>
      <c r="E38" s="12">
        <v>5</v>
      </c>
      <c r="F38" s="12">
        <v>5</v>
      </c>
      <c r="G38" s="12">
        <v>2</v>
      </c>
      <c r="H38" s="12">
        <v>31</v>
      </c>
      <c r="I38" s="21">
        <v>390.460603157859</v>
      </c>
      <c r="J38" s="21">
        <v>375.55992010814401</v>
      </c>
      <c r="K38" s="21">
        <v>362.60213398591901</v>
      </c>
      <c r="L38" s="21">
        <v>354.08525512652699</v>
      </c>
      <c r="M38" s="21">
        <v>353.91563714079399</v>
      </c>
      <c r="N38" s="21">
        <v>333.10916422418597</v>
      </c>
      <c r="O38" s="21">
        <v>377.53879660836498</v>
      </c>
      <c r="P38" s="21">
        <v>415.656583947684</v>
      </c>
      <c r="Q38" s="21">
        <v>440.59042785046699</v>
      </c>
      <c r="R38" s="21">
        <v>444.907976578221</v>
      </c>
      <c r="S38" s="21">
        <v>481.44266271736302</v>
      </c>
      <c r="T38" s="21">
        <v>510.35995931539497</v>
      </c>
      <c r="U38" s="21">
        <v>511.61924436099002</v>
      </c>
      <c r="V38" s="21">
        <v>535.08306572075196</v>
      </c>
      <c r="W38" s="21">
        <v>536.71242637158298</v>
      </c>
      <c r="X38" s="21">
        <v>524.55133078840799</v>
      </c>
      <c r="Y38" s="21">
        <v>213.502784587462</v>
      </c>
      <c r="Z38" s="21">
        <v>448.392855194194</v>
      </c>
      <c r="AA38" s="21">
        <v>600.85372467354603</v>
      </c>
      <c r="AB38" s="21">
        <v>622.48258782401194</v>
      </c>
      <c r="AC38" s="21">
        <v>595.19979181577196</v>
      </c>
      <c r="AD38" s="21">
        <v>543.69246348145305</v>
      </c>
      <c r="AE38" s="21">
        <v>487.17369465956102</v>
      </c>
      <c r="AF38" s="21">
        <v>445.08273450291603</v>
      </c>
      <c r="AG38" s="20">
        <f t="shared" si="0"/>
        <v>10904.575824741574</v>
      </c>
      <c r="AH38" s="20">
        <f>AG38*G38</f>
        <v>21809.151649483149</v>
      </c>
      <c r="AI38" s="54"/>
    </row>
    <row r="39" spans="1:35" ht="15.75" customHeight="1">
      <c r="A39" s="12">
        <v>2026</v>
      </c>
      <c r="B39" s="12">
        <v>9</v>
      </c>
      <c r="C39" s="12">
        <v>1</v>
      </c>
      <c r="D39" s="12">
        <v>22</v>
      </c>
      <c r="E39" s="12">
        <v>4</v>
      </c>
      <c r="F39" s="12">
        <v>4</v>
      </c>
      <c r="G39" s="12">
        <v>0</v>
      </c>
      <c r="H39" s="12">
        <v>30</v>
      </c>
      <c r="I39" s="21">
        <v>414.53128371347998</v>
      </c>
      <c r="J39" s="21">
        <v>396.973848996985</v>
      </c>
      <c r="K39" s="21">
        <v>383.08783965280099</v>
      </c>
      <c r="L39" s="21">
        <v>373.06545636815503</v>
      </c>
      <c r="M39" s="21">
        <v>372.496699232487</v>
      </c>
      <c r="N39" s="21">
        <v>365.53824986231399</v>
      </c>
      <c r="O39" s="21">
        <v>409.73215022734399</v>
      </c>
      <c r="P39" s="21">
        <v>467.95964260710599</v>
      </c>
      <c r="Q39" s="21">
        <v>501.73891338702799</v>
      </c>
      <c r="R39" s="21">
        <v>541.80393113183402</v>
      </c>
      <c r="S39" s="21">
        <v>572.52466138391401</v>
      </c>
      <c r="T39" s="21">
        <v>590.38216452026199</v>
      </c>
      <c r="U39" s="21">
        <v>556.483748926575</v>
      </c>
      <c r="V39" s="21">
        <v>563.54614356636898</v>
      </c>
      <c r="W39" s="21">
        <v>599.65290583165097</v>
      </c>
      <c r="X39" s="21">
        <v>617.45157202293001</v>
      </c>
      <c r="Y39" s="21">
        <v>585.650693520956</v>
      </c>
      <c r="Z39" s="21">
        <v>581.19673677922401</v>
      </c>
      <c r="AA39" s="21">
        <v>616.95194829771799</v>
      </c>
      <c r="AB39" s="21">
        <v>616.64550587548297</v>
      </c>
      <c r="AC39" s="21">
        <v>594.82876664386004</v>
      </c>
      <c r="AD39" s="21">
        <v>548.94722657109799</v>
      </c>
      <c r="AE39" s="21">
        <v>490.34857112952602</v>
      </c>
      <c r="AF39" s="21">
        <v>451.31319992342998</v>
      </c>
      <c r="AG39" s="20">
        <f t="shared" si="0"/>
        <v>12212.851860172528</v>
      </c>
      <c r="AH39" s="20">
        <f>AG39*D39</f>
        <v>268682.74092379562</v>
      </c>
      <c r="AI39" s="54">
        <f>AH39+AH40+AH41+AH42</f>
        <v>351876.54395786696</v>
      </c>
    </row>
    <row r="40" spans="1:35" ht="15.75" customHeight="1">
      <c r="A40" s="12">
        <v>2026</v>
      </c>
      <c r="B40" s="12">
        <v>9</v>
      </c>
      <c r="C40" s="12">
        <v>2</v>
      </c>
      <c r="D40" s="12">
        <v>22</v>
      </c>
      <c r="E40" s="12">
        <v>4</v>
      </c>
      <c r="F40" s="12">
        <v>4</v>
      </c>
      <c r="G40" s="12">
        <v>0</v>
      </c>
      <c r="H40" s="12">
        <v>30</v>
      </c>
      <c r="I40" s="21">
        <v>405.32705485956501</v>
      </c>
      <c r="J40" s="21">
        <v>392.18944016894397</v>
      </c>
      <c r="K40" s="21">
        <v>379.52012195573298</v>
      </c>
      <c r="L40" s="21">
        <v>369.53148465916399</v>
      </c>
      <c r="M40" s="21">
        <v>364.42072472460399</v>
      </c>
      <c r="N40" s="21">
        <v>341.05905883255201</v>
      </c>
      <c r="O40" s="21">
        <v>370.94143675601902</v>
      </c>
      <c r="P40" s="21">
        <v>416.10799916926902</v>
      </c>
      <c r="Q40" s="21">
        <v>445.64611589853001</v>
      </c>
      <c r="R40" s="21">
        <v>458.08002020688002</v>
      </c>
      <c r="S40" s="21">
        <v>457.55603441864099</v>
      </c>
      <c r="T40" s="21">
        <v>487.50422698217602</v>
      </c>
      <c r="U40" s="21">
        <v>486.43600474721597</v>
      </c>
      <c r="V40" s="21">
        <v>508.72438573968799</v>
      </c>
      <c r="W40" s="21">
        <v>518.56620576225805</v>
      </c>
      <c r="X40" s="21">
        <v>516.97399773905897</v>
      </c>
      <c r="Y40" s="21">
        <v>490.80002165022802</v>
      </c>
      <c r="Z40" s="21">
        <v>471.15688292205402</v>
      </c>
      <c r="AA40" s="21">
        <v>574.08844865707499</v>
      </c>
      <c r="AB40" s="21">
        <v>580.48259407297303</v>
      </c>
      <c r="AC40" s="21">
        <v>550.01547838581996</v>
      </c>
      <c r="AD40" s="21">
        <v>508.78513771513599</v>
      </c>
      <c r="AE40" s="21">
        <v>473.92616046955698</v>
      </c>
      <c r="AF40" s="21">
        <v>438.333096853982</v>
      </c>
      <c r="AG40" s="20">
        <f t="shared" si="0"/>
        <v>11006.172133347121</v>
      </c>
      <c r="AH40" s="20">
        <f>AG40*E40</f>
        <v>44024.688533388486</v>
      </c>
      <c r="AI40" s="54"/>
    </row>
    <row r="41" spans="1:35" ht="15.75" customHeight="1">
      <c r="A41" s="12">
        <v>2026</v>
      </c>
      <c r="B41" s="12">
        <v>9</v>
      </c>
      <c r="C41" s="12">
        <v>3</v>
      </c>
      <c r="D41" s="12">
        <v>22</v>
      </c>
      <c r="E41" s="12">
        <v>4</v>
      </c>
      <c r="F41" s="12">
        <v>4</v>
      </c>
      <c r="G41" s="12">
        <v>0</v>
      </c>
      <c r="H41" s="12">
        <v>30</v>
      </c>
      <c r="I41" s="21">
        <v>398.11697915072199</v>
      </c>
      <c r="J41" s="21">
        <v>382.43557108975801</v>
      </c>
      <c r="K41" s="21">
        <v>376.12796561272199</v>
      </c>
      <c r="L41" s="21">
        <v>284.12258448781199</v>
      </c>
      <c r="M41" s="21">
        <v>346.21015571466199</v>
      </c>
      <c r="N41" s="21">
        <v>327.25083693704403</v>
      </c>
      <c r="O41" s="21">
        <v>348.94053123365597</v>
      </c>
      <c r="P41" s="21">
        <v>385.43557727497802</v>
      </c>
      <c r="Q41" s="21">
        <v>403.38256430936798</v>
      </c>
      <c r="R41" s="21">
        <v>402.487040074974</v>
      </c>
      <c r="S41" s="21">
        <v>410.98721983241501</v>
      </c>
      <c r="T41" s="21">
        <v>426.05052149246501</v>
      </c>
      <c r="U41" s="21">
        <v>425.16959819667602</v>
      </c>
      <c r="V41" s="21">
        <v>442.34273548504098</v>
      </c>
      <c r="W41" s="21">
        <v>438.07926141259998</v>
      </c>
      <c r="X41" s="21">
        <v>457.055614618589</v>
      </c>
      <c r="Y41" s="21">
        <v>353.75640748329101</v>
      </c>
      <c r="Z41" s="21">
        <v>373.36060104926401</v>
      </c>
      <c r="AA41" s="21">
        <v>406.24678176556802</v>
      </c>
      <c r="AB41" s="21">
        <v>543.58126348532505</v>
      </c>
      <c r="AC41" s="21">
        <v>523.06791814226199</v>
      </c>
      <c r="AD41" s="21">
        <v>486.44292374736199</v>
      </c>
      <c r="AE41" s="21">
        <v>445.34030818049303</v>
      </c>
      <c r="AF41" s="21">
        <v>406.28766439366001</v>
      </c>
      <c r="AG41" s="20">
        <f t="shared" si="0"/>
        <v>9792.2786251707075</v>
      </c>
      <c r="AH41" s="20">
        <f>AG41*F41</f>
        <v>39169.11450068283</v>
      </c>
      <c r="AI41" s="54"/>
    </row>
    <row r="42" spans="1:35" ht="15.75" customHeight="1">
      <c r="A42" s="12">
        <v>2026</v>
      </c>
      <c r="B42" s="12">
        <v>9</v>
      </c>
      <c r="C42" s="12">
        <v>4</v>
      </c>
      <c r="D42" s="12">
        <v>22</v>
      </c>
      <c r="E42" s="12">
        <v>4</v>
      </c>
      <c r="F42" s="12">
        <v>4</v>
      </c>
      <c r="G42" s="12">
        <v>0</v>
      </c>
      <c r="H42" s="12">
        <v>30</v>
      </c>
      <c r="I42" s="21" t="s">
        <v>38</v>
      </c>
      <c r="J42" s="21" t="s">
        <v>38</v>
      </c>
      <c r="K42" s="21" t="s">
        <v>38</v>
      </c>
      <c r="L42" s="21" t="s">
        <v>38</v>
      </c>
      <c r="M42" s="21" t="s">
        <v>38</v>
      </c>
      <c r="N42" s="21" t="s">
        <v>38</v>
      </c>
      <c r="O42" s="21" t="s">
        <v>38</v>
      </c>
      <c r="P42" s="21" t="s">
        <v>38</v>
      </c>
      <c r="Q42" s="21" t="s">
        <v>38</v>
      </c>
      <c r="R42" s="21" t="s">
        <v>38</v>
      </c>
      <c r="S42" s="21" t="s">
        <v>38</v>
      </c>
      <c r="T42" s="21" t="s">
        <v>38</v>
      </c>
      <c r="U42" s="21" t="s">
        <v>38</v>
      </c>
      <c r="V42" s="21" t="s">
        <v>38</v>
      </c>
      <c r="W42" s="21" t="s">
        <v>38</v>
      </c>
      <c r="X42" s="21" t="s">
        <v>38</v>
      </c>
      <c r="Y42" s="21" t="s">
        <v>38</v>
      </c>
      <c r="Z42" s="21" t="s">
        <v>38</v>
      </c>
      <c r="AA42" s="21" t="s">
        <v>38</v>
      </c>
      <c r="AB42" s="21" t="s">
        <v>38</v>
      </c>
      <c r="AC42" s="21" t="s">
        <v>38</v>
      </c>
      <c r="AD42" s="21" t="s">
        <v>38</v>
      </c>
      <c r="AE42" s="21" t="s">
        <v>38</v>
      </c>
      <c r="AF42" s="21" t="s">
        <v>38</v>
      </c>
      <c r="AG42" s="20">
        <f t="shared" si="0"/>
        <v>0</v>
      </c>
      <c r="AH42" s="20">
        <f>AG42*G42</f>
        <v>0</v>
      </c>
      <c r="AI42" s="54"/>
    </row>
    <row r="43" spans="1:35" ht="15.75" customHeight="1">
      <c r="A43" s="12">
        <v>2026</v>
      </c>
      <c r="B43" s="12">
        <v>10</v>
      </c>
      <c r="C43" s="12">
        <v>1</v>
      </c>
      <c r="D43" s="12">
        <v>21</v>
      </c>
      <c r="E43" s="12">
        <v>5</v>
      </c>
      <c r="F43" s="12">
        <v>4</v>
      </c>
      <c r="G43" s="12">
        <v>1</v>
      </c>
      <c r="H43" s="12">
        <v>31</v>
      </c>
      <c r="I43" s="21">
        <v>430.55176173933199</v>
      </c>
      <c r="J43" s="21">
        <v>412.43819647238399</v>
      </c>
      <c r="K43" s="21">
        <v>390.25773943162301</v>
      </c>
      <c r="L43" s="21">
        <v>378.55894778104403</v>
      </c>
      <c r="M43" s="21">
        <v>372.66426570824399</v>
      </c>
      <c r="N43" s="21">
        <v>358.02000049538901</v>
      </c>
      <c r="O43" s="21">
        <v>422.74011747811801</v>
      </c>
      <c r="P43" s="21">
        <v>491.50673964213797</v>
      </c>
      <c r="Q43" s="21">
        <v>537.14224927704402</v>
      </c>
      <c r="R43" s="21">
        <v>555.78915181474099</v>
      </c>
      <c r="S43" s="21">
        <v>571.95484819652097</v>
      </c>
      <c r="T43" s="21">
        <v>595.51676922060301</v>
      </c>
      <c r="U43" s="21">
        <v>563.55821766592499</v>
      </c>
      <c r="V43" s="21">
        <v>590.11622080104598</v>
      </c>
      <c r="W43" s="21">
        <v>621.08090754126999</v>
      </c>
      <c r="X43" s="21">
        <v>615.346626206471</v>
      </c>
      <c r="Y43" s="21">
        <v>562.67776750367295</v>
      </c>
      <c r="Z43" s="21">
        <v>594.93439741499401</v>
      </c>
      <c r="AA43" s="21">
        <v>635.90635951661295</v>
      </c>
      <c r="AB43" s="21">
        <v>600.0964693889</v>
      </c>
      <c r="AC43" s="21">
        <v>582.40401953694197</v>
      </c>
      <c r="AD43" s="21">
        <v>559.39487085360099</v>
      </c>
      <c r="AE43" s="21">
        <v>515.63248222886205</v>
      </c>
      <c r="AF43" s="21">
        <v>473.037731800232</v>
      </c>
      <c r="AG43" s="20">
        <f t="shared" si="0"/>
        <v>12431.326857715712</v>
      </c>
      <c r="AH43" s="20">
        <f>AG43*D43</f>
        <v>261057.86401202995</v>
      </c>
      <c r="AI43" s="54">
        <f>AH43+AH44+AH45+AH46</f>
        <v>373230.01411740953</v>
      </c>
    </row>
    <row r="44" spans="1:35" ht="15.75" customHeight="1">
      <c r="A44" s="12">
        <v>2026</v>
      </c>
      <c r="B44" s="12">
        <v>10</v>
      </c>
      <c r="C44" s="12">
        <v>2</v>
      </c>
      <c r="D44" s="12">
        <v>21</v>
      </c>
      <c r="E44" s="12">
        <v>5</v>
      </c>
      <c r="F44" s="12">
        <v>4</v>
      </c>
      <c r="G44" s="12">
        <v>1</v>
      </c>
      <c r="H44" s="12">
        <v>31</v>
      </c>
      <c r="I44" s="21">
        <v>473.97358114524002</v>
      </c>
      <c r="J44" s="21">
        <v>455.256657648062</v>
      </c>
      <c r="K44" s="21">
        <v>442.49642176254298</v>
      </c>
      <c r="L44" s="21">
        <v>427.00278023195301</v>
      </c>
      <c r="M44" s="21">
        <v>420.949680791059</v>
      </c>
      <c r="N44" s="21">
        <v>390.19430726506698</v>
      </c>
      <c r="O44" s="21">
        <v>375.79246455743697</v>
      </c>
      <c r="P44" s="21">
        <v>474.51296624393399</v>
      </c>
      <c r="Q44" s="21">
        <v>515.44109061678398</v>
      </c>
      <c r="R44" s="21">
        <v>528.11012612329603</v>
      </c>
      <c r="S44" s="21">
        <v>542.64225508664902</v>
      </c>
      <c r="T44" s="21">
        <v>558.35477752685301</v>
      </c>
      <c r="U44" s="21">
        <v>551.19685063742702</v>
      </c>
      <c r="V44" s="21">
        <v>571.86025079510796</v>
      </c>
      <c r="W44" s="21">
        <v>561.28361255550794</v>
      </c>
      <c r="X44" s="21">
        <v>444.40902399655698</v>
      </c>
      <c r="Y44" s="21">
        <v>536.758527778195</v>
      </c>
      <c r="Z44" s="21">
        <v>574.56933633911001</v>
      </c>
      <c r="AA44" s="21">
        <v>570.96388135573397</v>
      </c>
      <c r="AB44" s="21">
        <v>604.96598837434397</v>
      </c>
      <c r="AC44" s="21">
        <v>550.40992165286002</v>
      </c>
      <c r="AD44" s="21">
        <v>512.77803954980402</v>
      </c>
      <c r="AE44" s="21">
        <v>442.79608015070602</v>
      </c>
      <c r="AF44" s="21">
        <v>451.32722417545301</v>
      </c>
      <c r="AG44" s="20">
        <f t="shared" si="0"/>
        <v>11978.045846359682</v>
      </c>
      <c r="AH44" s="20">
        <f>AG44*E44</f>
        <v>59890.22923179841</v>
      </c>
      <c r="AI44" s="54"/>
    </row>
    <row r="45" spans="1:35" ht="15.75" customHeight="1">
      <c r="A45" s="12">
        <v>2026</v>
      </c>
      <c r="B45" s="12">
        <v>10</v>
      </c>
      <c r="C45" s="12">
        <v>3</v>
      </c>
      <c r="D45" s="12">
        <v>21</v>
      </c>
      <c r="E45" s="12">
        <v>5</v>
      </c>
      <c r="F45" s="12">
        <v>4</v>
      </c>
      <c r="G45" s="12">
        <v>1</v>
      </c>
      <c r="H45" s="12">
        <v>31</v>
      </c>
      <c r="I45" s="21">
        <v>354.32607680403902</v>
      </c>
      <c r="J45" s="21">
        <v>394.24453349894202</v>
      </c>
      <c r="K45" s="21">
        <v>381.78370353189803</v>
      </c>
      <c r="L45" s="21">
        <v>371.93598949563102</v>
      </c>
      <c r="M45" s="21">
        <v>370.22128770867403</v>
      </c>
      <c r="N45" s="21">
        <v>343.86116967174098</v>
      </c>
      <c r="O45" s="21">
        <v>376.09955421200101</v>
      </c>
      <c r="P45" s="21">
        <v>412.05105205580202</v>
      </c>
      <c r="Q45" s="21">
        <v>427.172282908559</v>
      </c>
      <c r="R45" s="21">
        <v>428.34694073648899</v>
      </c>
      <c r="S45" s="21">
        <v>441.76342452964502</v>
      </c>
      <c r="T45" s="21">
        <v>451.991906887254</v>
      </c>
      <c r="U45" s="21">
        <v>462.90477675054302</v>
      </c>
      <c r="V45" s="21">
        <v>489.96421438418901</v>
      </c>
      <c r="W45" s="21">
        <v>480.95518612760799</v>
      </c>
      <c r="X45" s="21">
        <v>376.00498430212502</v>
      </c>
      <c r="Y45" s="21">
        <v>425.183826119331</v>
      </c>
      <c r="Z45" s="21">
        <v>503.30354904034101</v>
      </c>
      <c r="AA45" s="21">
        <v>552.32809258353802</v>
      </c>
      <c r="AB45" s="21">
        <v>550.59845870554796</v>
      </c>
      <c r="AC45" s="21">
        <v>522.80237124760799</v>
      </c>
      <c r="AD45" s="21">
        <v>487.40584945386701</v>
      </c>
      <c r="AE45" s="21">
        <v>448.81883754274003</v>
      </c>
      <c r="AF45" s="21">
        <v>414.22615998294299</v>
      </c>
      <c r="AG45" s="20">
        <f t="shared" si="0"/>
        <v>10468.294228281056</v>
      </c>
      <c r="AH45" s="20">
        <f>AG45*F45</f>
        <v>41873.176913124225</v>
      </c>
      <c r="AI45" s="54"/>
    </row>
    <row r="46" spans="1:35" ht="15.75" customHeight="1">
      <c r="A46" s="12">
        <v>2026</v>
      </c>
      <c r="B46" s="12">
        <v>10</v>
      </c>
      <c r="C46" s="12">
        <v>4</v>
      </c>
      <c r="D46" s="12">
        <v>21</v>
      </c>
      <c r="E46" s="12">
        <v>5</v>
      </c>
      <c r="F46" s="12">
        <v>4</v>
      </c>
      <c r="G46" s="12">
        <v>1</v>
      </c>
      <c r="H46" s="12">
        <v>31</v>
      </c>
      <c r="I46" s="21">
        <v>337.71932671238</v>
      </c>
      <c r="J46" s="21">
        <v>326.74714068031301</v>
      </c>
      <c r="K46" s="21">
        <v>130.05063498351001</v>
      </c>
      <c r="L46" s="21">
        <v>341.90203900283302</v>
      </c>
      <c r="M46" s="21">
        <v>333.01625329574398</v>
      </c>
      <c r="N46" s="21">
        <v>79.055244617672102</v>
      </c>
      <c r="O46" s="21">
        <v>392.37211242223998</v>
      </c>
      <c r="P46" s="21">
        <v>415.981640090155</v>
      </c>
      <c r="Q46" s="21">
        <v>425.86354566736401</v>
      </c>
      <c r="R46" s="21">
        <v>448.87837490535799</v>
      </c>
      <c r="S46" s="21">
        <v>388.79401020220701</v>
      </c>
      <c r="T46" s="21">
        <v>490.180180863462</v>
      </c>
      <c r="U46" s="21">
        <v>497.72293928297699</v>
      </c>
      <c r="V46" s="21">
        <v>523.48329293911104</v>
      </c>
      <c r="W46" s="21">
        <v>525.32685807186999</v>
      </c>
      <c r="X46" s="21">
        <v>519.90519071907897</v>
      </c>
      <c r="Y46" s="21">
        <v>514.64210961426602</v>
      </c>
      <c r="Z46" s="21">
        <v>542.92001995707199</v>
      </c>
      <c r="AA46" s="21">
        <v>584.61829153512497</v>
      </c>
      <c r="AB46" s="21">
        <v>597.22589824947795</v>
      </c>
      <c r="AC46" s="21">
        <v>563.15958985542795</v>
      </c>
      <c r="AD46" s="21">
        <v>521.897430459318</v>
      </c>
      <c r="AE46" s="21">
        <v>472.468079292276</v>
      </c>
      <c r="AF46" s="21">
        <v>434.81375703769498</v>
      </c>
      <c r="AG46" s="20">
        <f t="shared" si="0"/>
        <v>10408.743960456932</v>
      </c>
      <c r="AH46" s="20">
        <f>AG46*G46</f>
        <v>10408.743960456932</v>
      </c>
      <c r="AI46" s="54"/>
    </row>
    <row r="47" spans="1:35" ht="15.75" customHeight="1">
      <c r="A47" s="12">
        <v>2026</v>
      </c>
      <c r="B47" s="12">
        <v>11</v>
      </c>
      <c r="C47" s="12">
        <v>1</v>
      </c>
      <c r="D47" s="12">
        <v>19</v>
      </c>
      <c r="E47" s="12">
        <v>4</v>
      </c>
      <c r="F47" s="12">
        <v>5</v>
      </c>
      <c r="G47" s="12">
        <v>2</v>
      </c>
      <c r="H47" s="12">
        <v>30</v>
      </c>
      <c r="I47" s="21">
        <v>411.078643652869</v>
      </c>
      <c r="J47" s="21">
        <v>394.30364419302202</v>
      </c>
      <c r="K47" s="21">
        <v>382.33863647482298</v>
      </c>
      <c r="L47" s="21">
        <v>376.78233104168498</v>
      </c>
      <c r="M47" s="21">
        <v>363.97025728364599</v>
      </c>
      <c r="N47" s="21">
        <v>346.163745685918</v>
      </c>
      <c r="O47" s="21">
        <v>411.04722147720798</v>
      </c>
      <c r="P47" s="21">
        <v>464.96483181259202</v>
      </c>
      <c r="Q47" s="21">
        <v>523.00982340251596</v>
      </c>
      <c r="R47" s="21">
        <v>533.43265680099501</v>
      </c>
      <c r="S47" s="21">
        <v>542.996252138714</v>
      </c>
      <c r="T47" s="21">
        <v>558.92338593690897</v>
      </c>
      <c r="U47" s="21">
        <v>544.98482273906097</v>
      </c>
      <c r="V47" s="21">
        <v>566.07132377963796</v>
      </c>
      <c r="W47" s="21">
        <v>603.56940748998898</v>
      </c>
      <c r="X47" s="21">
        <v>579.90615216172205</v>
      </c>
      <c r="Y47" s="21">
        <v>557.77111522651103</v>
      </c>
      <c r="Z47" s="21">
        <v>579.320020662822</v>
      </c>
      <c r="AA47" s="21">
        <v>628.75124916556103</v>
      </c>
      <c r="AB47" s="21">
        <v>613.51566977252298</v>
      </c>
      <c r="AC47" s="21">
        <v>577.92340712856503</v>
      </c>
      <c r="AD47" s="21">
        <v>530.03059176146598</v>
      </c>
      <c r="AE47" s="21">
        <v>474.77601375589899</v>
      </c>
      <c r="AF47" s="21">
        <v>445.03917433412897</v>
      </c>
      <c r="AG47" s="20">
        <f t="shared" si="0"/>
        <v>12010.670377878785</v>
      </c>
      <c r="AH47" s="20">
        <f>AG47*D47</f>
        <v>228202.73717969691</v>
      </c>
      <c r="AI47" s="54">
        <f>AH47+AH48+AH49+AH50</f>
        <v>340262.43417197902</v>
      </c>
    </row>
    <row r="48" spans="1:35" ht="15.75" customHeight="1">
      <c r="A48" s="12">
        <v>2026</v>
      </c>
      <c r="B48" s="12">
        <v>11</v>
      </c>
      <c r="C48" s="12">
        <v>2</v>
      </c>
      <c r="D48" s="12">
        <v>19</v>
      </c>
      <c r="E48" s="12">
        <v>4</v>
      </c>
      <c r="F48" s="12">
        <v>5</v>
      </c>
      <c r="G48" s="12">
        <v>2</v>
      </c>
      <c r="H48" s="12">
        <v>30</v>
      </c>
      <c r="I48" s="21">
        <v>407.34410172226501</v>
      </c>
      <c r="J48" s="21">
        <v>392.36341459179101</v>
      </c>
      <c r="K48" s="21">
        <v>378.80687831023403</v>
      </c>
      <c r="L48" s="21">
        <v>374.56892076674399</v>
      </c>
      <c r="M48" s="21">
        <v>366.77797788737598</v>
      </c>
      <c r="N48" s="21">
        <v>346.561442047649</v>
      </c>
      <c r="O48" s="21">
        <v>380.06840985806298</v>
      </c>
      <c r="P48" s="21">
        <v>420.05058256631997</v>
      </c>
      <c r="Q48" s="21">
        <v>450.066163260964</v>
      </c>
      <c r="R48" s="21">
        <v>393.93885066929499</v>
      </c>
      <c r="S48" s="21">
        <v>489.17068452911002</v>
      </c>
      <c r="T48" s="21">
        <v>511.08782402960298</v>
      </c>
      <c r="U48" s="21">
        <v>493.465805220861</v>
      </c>
      <c r="V48" s="21">
        <v>502.73609095436399</v>
      </c>
      <c r="W48" s="21">
        <v>512.00637668786601</v>
      </c>
      <c r="X48" s="21">
        <v>385.63048274101197</v>
      </c>
      <c r="Y48" s="21">
        <v>390.69632036276499</v>
      </c>
      <c r="Z48" s="21">
        <v>537.61152482271598</v>
      </c>
      <c r="AA48" s="21">
        <v>564.14902361713303</v>
      </c>
      <c r="AB48" s="21">
        <v>545.68335558578099</v>
      </c>
      <c r="AC48" s="21">
        <v>509.514851880903</v>
      </c>
      <c r="AD48" s="21">
        <v>477.70848773125402</v>
      </c>
      <c r="AE48" s="21">
        <v>441.26205285724598</v>
      </c>
      <c r="AF48" s="21">
        <v>409.25857440324802</v>
      </c>
      <c r="AG48" s="20">
        <f t="shared" si="0"/>
        <v>10680.528197104562</v>
      </c>
      <c r="AH48" s="20">
        <f>AG48*E48</f>
        <v>42722.11278841825</v>
      </c>
      <c r="AI48" s="54"/>
    </row>
    <row r="49" spans="1:35" ht="15.75" customHeight="1">
      <c r="A49" s="12">
        <v>2026</v>
      </c>
      <c r="B49" s="12">
        <v>11</v>
      </c>
      <c r="C49" s="12">
        <v>3</v>
      </c>
      <c r="D49" s="12">
        <v>19</v>
      </c>
      <c r="E49" s="12">
        <v>4</v>
      </c>
      <c r="F49" s="12">
        <v>5</v>
      </c>
      <c r="G49" s="12">
        <v>2</v>
      </c>
      <c r="H49" s="12">
        <v>30</v>
      </c>
      <c r="I49" s="21">
        <v>376.197554966567</v>
      </c>
      <c r="J49" s="21">
        <v>361.92946920563702</v>
      </c>
      <c r="K49" s="21">
        <v>347.71162318330101</v>
      </c>
      <c r="L49" s="21">
        <v>343.221147500325</v>
      </c>
      <c r="M49" s="21">
        <v>336.66127306094302</v>
      </c>
      <c r="N49" s="21">
        <v>316.58690893955298</v>
      </c>
      <c r="O49" s="21">
        <v>343.12306039164002</v>
      </c>
      <c r="P49" s="21">
        <v>370.10180001706198</v>
      </c>
      <c r="Q49" s="21">
        <v>384.398594200047</v>
      </c>
      <c r="R49" s="21">
        <v>397.19058859369198</v>
      </c>
      <c r="S49" s="21">
        <v>414.88215368458401</v>
      </c>
      <c r="T49" s="21">
        <v>424.65019428852099</v>
      </c>
      <c r="U49" s="21">
        <v>422.46117710688901</v>
      </c>
      <c r="V49" s="21">
        <v>401.757620068812</v>
      </c>
      <c r="W49" s="21">
        <v>344.64221439200702</v>
      </c>
      <c r="X49" s="21">
        <v>443.22693572608398</v>
      </c>
      <c r="Y49" s="21">
        <v>432.45170798174598</v>
      </c>
      <c r="Z49" s="21">
        <v>476.84449795153699</v>
      </c>
      <c r="AA49" s="21">
        <v>519.83296760917699</v>
      </c>
      <c r="AB49" s="21">
        <v>511.80657127652802</v>
      </c>
      <c r="AC49" s="21">
        <v>486.94029304059302</v>
      </c>
      <c r="AD49" s="21">
        <v>445.92313503067402</v>
      </c>
      <c r="AE49" s="21">
        <v>406.55431892036501</v>
      </c>
      <c r="AF49" s="21">
        <v>377.57316685666399</v>
      </c>
      <c r="AG49" s="20">
        <f t="shared" si="0"/>
        <v>9686.6689739929498</v>
      </c>
      <c r="AH49" s="20">
        <f>AG49*F49</f>
        <v>48433.344869964749</v>
      </c>
      <c r="AI49" s="54"/>
    </row>
    <row r="50" spans="1:35" ht="15.75" customHeight="1">
      <c r="A50" s="12">
        <v>2026</v>
      </c>
      <c r="B50" s="12">
        <v>11</v>
      </c>
      <c r="C50" s="12">
        <v>4</v>
      </c>
      <c r="D50" s="12">
        <v>19</v>
      </c>
      <c r="E50" s="12">
        <v>4</v>
      </c>
      <c r="F50" s="12">
        <v>5</v>
      </c>
      <c r="G50" s="12">
        <v>2</v>
      </c>
      <c r="H50" s="12">
        <v>30</v>
      </c>
      <c r="I50" s="21">
        <v>372.20857728660798</v>
      </c>
      <c r="J50" s="21">
        <v>359.022105562489</v>
      </c>
      <c r="K50" s="21">
        <v>345.50805000243599</v>
      </c>
      <c r="L50" s="21">
        <v>337.313564793083</v>
      </c>
      <c r="M50" s="21">
        <v>328.54703019859102</v>
      </c>
      <c r="N50" s="21">
        <v>309.40048838485399</v>
      </c>
      <c r="O50" s="21">
        <v>340.46717037782798</v>
      </c>
      <c r="P50" s="21">
        <v>384.00159538025798</v>
      </c>
      <c r="Q50" s="21">
        <v>422.64182008760298</v>
      </c>
      <c r="R50" s="21">
        <v>437.87202380307502</v>
      </c>
      <c r="S50" s="21">
        <v>454.456566661144</v>
      </c>
      <c r="T50" s="21">
        <v>478.24795390977602</v>
      </c>
      <c r="U50" s="21">
        <v>472.30255175310998</v>
      </c>
      <c r="V50" s="21">
        <v>492.29983367808001</v>
      </c>
      <c r="W50" s="21">
        <v>503.42301616690901</v>
      </c>
      <c r="X50" s="21">
        <v>504.80669117540901</v>
      </c>
      <c r="Y50" s="21">
        <v>486.32998496649401</v>
      </c>
      <c r="Z50" s="21">
        <v>524.12924818457395</v>
      </c>
      <c r="AA50" s="21">
        <v>566.81782238675396</v>
      </c>
      <c r="AB50" s="21">
        <v>554.37452593221894</v>
      </c>
      <c r="AC50" s="21">
        <v>453.19512442724601</v>
      </c>
      <c r="AD50" s="21">
        <v>484.44271092663098</v>
      </c>
      <c r="AE50" s="21">
        <v>437.192409576285</v>
      </c>
      <c r="AF50" s="21">
        <v>403.11880132809</v>
      </c>
      <c r="AG50" s="20">
        <f t="shared" si="0"/>
        <v>10452.119666949544</v>
      </c>
      <c r="AH50" s="20">
        <f>AG50*G50</f>
        <v>20904.239333899088</v>
      </c>
      <c r="AI50" s="54"/>
    </row>
    <row r="51" spans="1:35" ht="15.75" customHeight="1">
      <c r="A51" s="12">
        <v>2026</v>
      </c>
      <c r="B51" s="12">
        <v>12</v>
      </c>
      <c r="C51" s="12">
        <v>1</v>
      </c>
      <c r="D51" s="12">
        <v>21</v>
      </c>
      <c r="E51" s="12">
        <v>4</v>
      </c>
      <c r="F51" s="12">
        <v>4</v>
      </c>
      <c r="G51" s="12">
        <v>2</v>
      </c>
      <c r="H51" s="12">
        <v>31</v>
      </c>
      <c r="I51" s="21">
        <v>434.94045123450502</v>
      </c>
      <c r="J51" s="21">
        <v>416.76011778475799</v>
      </c>
      <c r="K51" s="21">
        <v>402.90358973823601</v>
      </c>
      <c r="L51" s="21">
        <v>392.29101117957299</v>
      </c>
      <c r="M51" s="21">
        <v>382.01485301654498</v>
      </c>
      <c r="N51" s="21">
        <v>360.895344561814</v>
      </c>
      <c r="O51" s="21">
        <v>402.37924130683501</v>
      </c>
      <c r="P51" s="21">
        <v>461.01327532625999</v>
      </c>
      <c r="Q51" s="21">
        <v>507.89776617063302</v>
      </c>
      <c r="R51" s="21">
        <v>530.39275205191404</v>
      </c>
      <c r="S51" s="21">
        <v>531.33828323912303</v>
      </c>
      <c r="T51" s="21">
        <v>549.61014640577105</v>
      </c>
      <c r="U51" s="21">
        <v>554.821984807023</v>
      </c>
      <c r="V51" s="21">
        <v>588.07745737459902</v>
      </c>
      <c r="W51" s="21">
        <v>609.71693251896397</v>
      </c>
      <c r="X51" s="21">
        <v>601.78500620105694</v>
      </c>
      <c r="Y51" s="21">
        <v>578.86752304143897</v>
      </c>
      <c r="Z51" s="21">
        <v>603.54549267083098</v>
      </c>
      <c r="AA51" s="21">
        <v>630.57889192985897</v>
      </c>
      <c r="AB51" s="21">
        <v>619.01985714961495</v>
      </c>
      <c r="AC51" s="21">
        <v>594.55610600658895</v>
      </c>
      <c r="AD51" s="21">
        <v>556.07078121049904</v>
      </c>
      <c r="AE51" s="21">
        <v>516.313777581708</v>
      </c>
      <c r="AF51" s="21">
        <v>470.40286107185</v>
      </c>
      <c r="AG51" s="20">
        <f>SUM(I51:AF51)</f>
        <v>12296.193503580002</v>
      </c>
      <c r="AH51" s="20">
        <f>AG51*D51</f>
        <v>258220.06357518004</v>
      </c>
      <c r="AI51" s="54">
        <f>AH51+AH52+AH53+AH54</f>
        <v>367242.55614500731</v>
      </c>
    </row>
    <row r="52" spans="1:35" ht="15.75" customHeight="1">
      <c r="A52" s="12">
        <v>2026</v>
      </c>
      <c r="B52" s="12">
        <v>12</v>
      </c>
      <c r="C52" s="12">
        <v>2</v>
      </c>
      <c r="D52" s="12">
        <v>21</v>
      </c>
      <c r="E52" s="12">
        <v>4</v>
      </c>
      <c r="F52" s="12">
        <v>4</v>
      </c>
      <c r="G52" s="12">
        <v>2</v>
      </c>
      <c r="H52" s="12">
        <v>31</v>
      </c>
      <c r="I52" s="21">
        <v>443.11120791461002</v>
      </c>
      <c r="J52" s="21">
        <v>425.15322691443902</v>
      </c>
      <c r="K52" s="21">
        <v>405.42058084165802</v>
      </c>
      <c r="L52" s="21">
        <v>383.20544058552701</v>
      </c>
      <c r="M52" s="21">
        <v>366.731863799606</v>
      </c>
      <c r="N52" s="21">
        <v>343.159626723244</v>
      </c>
      <c r="O52" s="21">
        <v>362.99921100699999</v>
      </c>
      <c r="P52" s="21">
        <v>394.538344801005</v>
      </c>
      <c r="Q52" s="21">
        <v>448.03545791522401</v>
      </c>
      <c r="R52" s="21">
        <v>463.06791500086302</v>
      </c>
      <c r="S52" s="21">
        <v>488.14237932663701</v>
      </c>
      <c r="T52" s="21">
        <v>511.05007180622601</v>
      </c>
      <c r="U52" s="21">
        <v>506.93549683156601</v>
      </c>
      <c r="V52" s="21">
        <v>539.75534300939103</v>
      </c>
      <c r="W52" s="21">
        <v>557.79480074173398</v>
      </c>
      <c r="X52" s="21">
        <v>553.54782607729499</v>
      </c>
      <c r="Y52" s="21">
        <v>537.44598688190604</v>
      </c>
      <c r="Z52" s="21">
        <v>568.01249218561395</v>
      </c>
      <c r="AA52" s="21">
        <v>604.353660881976</v>
      </c>
      <c r="AB52" s="21">
        <v>588.35621374968105</v>
      </c>
      <c r="AC52" s="21">
        <v>554.45170857482299</v>
      </c>
      <c r="AD52" s="21">
        <v>523.99977992573099</v>
      </c>
      <c r="AE52" s="21">
        <v>493.44345921354397</v>
      </c>
      <c r="AF52" s="21">
        <v>456.702545299966</v>
      </c>
      <c r="AG52" s="20">
        <f t="shared" si="0"/>
        <v>11519.414640009265</v>
      </c>
      <c r="AH52" s="20">
        <f>AG52*E52</f>
        <v>46077.65856003706</v>
      </c>
      <c r="AI52" s="54"/>
    </row>
    <row r="53" spans="1:35" ht="15.75" customHeight="1">
      <c r="A53" s="12">
        <v>2026</v>
      </c>
      <c r="B53" s="12">
        <v>12</v>
      </c>
      <c r="C53" s="12">
        <v>3</v>
      </c>
      <c r="D53" s="12">
        <v>21</v>
      </c>
      <c r="E53" s="12">
        <v>4</v>
      </c>
      <c r="F53" s="12">
        <v>4</v>
      </c>
      <c r="G53" s="12">
        <v>2</v>
      </c>
      <c r="H53" s="12">
        <v>31</v>
      </c>
      <c r="I53" s="21">
        <v>417.39106881783403</v>
      </c>
      <c r="J53" s="21">
        <v>399.99012816074901</v>
      </c>
      <c r="K53" s="21">
        <v>389.49048957869599</v>
      </c>
      <c r="L53" s="21">
        <v>379.77518058469502</v>
      </c>
      <c r="M53" s="21">
        <v>368.72870661555203</v>
      </c>
      <c r="N53" s="21">
        <v>334.73909538366598</v>
      </c>
      <c r="O53" s="21">
        <v>328.96339607622201</v>
      </c>
      <c r="P53" s="21">
        <v>410.208366050905</v>
      </c>
      <c r="Q53" s="21">
        <v>431.50500990361201</v>
      </c>
      <c r="R53" s="21">
        <v>376.027162858579</v>
      </c>
      <c r="S53" s="21">
        <v>407.26463540872197</v>
      </c>
      <c r="T53" s="21">
        <v>475.42347533540601</v>
      </c>
      <c r="U53" s="21">
        <v>481.10138291304099</v>
      </c>
      <c r="V53" s="21">
        <v>505.26791467317901</v>
      </c>
      <c r="W53" s="21">
        <v>509.50888254751101</v>
      </c>
      <c r="X53" s="21">
        <v>493.50297085238299</v>
      </c>
      <c r="Y53" s="21">
        <v>458.758966276264</v>
      </c>
      <c r="Z53" s="21">
        <v>524.79033714222396</v>
      </c>
      <c r="AA53" s="21">
        <v>575.18301423723301</v>
      </c>
      <c r="AB53" s="21">
        <v>524.92604811420199</v>
      </c>
      <c r="AC53" s="21">
        <v>545.484264619378</v>
      </c>
      <c r="AD53" s="21">
        <v>518.46181519892605</v>
      </c>
      <c r="AE53" s="21">
        <v>482.84766380247203</v>
      </c>
      <c r="AF53" s="21">
        <v>438.19875402150001</v>
      </c>
      <c r="AG53" s="20">
        <f t="shared" si="0"/>
        <v>10777.538729172948</v>
      </c>
      <c r="AH53" s="20">
        <f>AG53*F53</f>
        <v>43110.15491669179</v>
      </c>
      <c r="AI53" s="54"/>
    </row>
    <row r="54" spans="1:35" ht="15.75" customHeight="1">
      <c r="A54" s="12">
        <v>2026</v>
      </c>
      <c r="B54" s="12">
        <v>12</v>
      </c>
      <c r="C54" s="12">
        <v>4</v>
      </c>
      <c r="D54" s="12">
        <v>21</v>
      </c>
      <c r="E54" s="12">
        <v>4</v>
      </c>
      <c r="F54" s="12">
        <v>4</v>
      </c>
      <c r="G54" s="12">
        <v>2</v>
      </c>
      <c r="H54" s="12">
        <v>31</v>
      </c>
      <c r="I54" s="21">
        <v>410.70700228652998</v>
      </c>
      <c r="J54" s="21">
        <v>392.91598959893099</v>
      </c>
      <c r="K54" s="21">
        <v>380.75715938094299</v>
      </c>
      <c r="L54" s="21">
        <v>378.81096020296201</v>
      </c>
      <c r="M54" s="21">
        <v>372.74628902713403</v>
      </c>
      <c r="N54" s="21">
        <v>345.80420848751697</v>
      </c>
      <c r="O54" s="21">
        <v>358.81818682916401</v>
      </c>
      <c r="P54" s="21">
        <v>377.70025057108398</v>
      </c>
      <c r="Q54" s="21">
        <v>378.083592833414</v>
      </c>
      <c r="R54" s="21">
        <v>388.12912596420199</v>
      </c>
      <c r="S54" s="21">
        <v>404.249159559595</v>
      </c>
      <c r="T54" s="21">
        <v>409.63560980976303</v>
      </c>
      <c r="U54" s="21">
        <v>418.21657891267603</v>
      </c>
      <c r="V54" s="21">
        <v>418.02982242590099</v>
      </c>
      <c r="W54" s="21">
        <v>412.27968849095799</v>
      </c>
      <c r="X54" s="21">
        <v>412.51559142162301</v>
      </c>
      <c r="Y54" s="21">
        <v>410.16639140375702</v>
      </c>
      <c r="Z54" s="21">
        <v>442.789800856873</v>
      </c>
      <c r="AA54" s="21">
        <v>506.080591296347</v>
      </c>
      <c r="AB54" s="21">
        <v>504.81261304402699</v>
      </c>
      <c r="AC54" s="21">
        <v>484.23008234356701</v>
      </c>
      <c r="AD54" s="21">
        <v>462.67445205411798</v>
      </c>
      <c r="AE54" s="21">
        <v>437.81618073536799</v>
      </c>
      <c r="AF54" s="21">
        <v>409.37021901276597</v>
      </c>
      <c r="AG54" s="20">
        <f t="shared" si="0"/>
        <v>9917.3395465492194</v>
      </c>
      <c r="AH54" s="20">
        <f>AG54*G54</f>
        <v>19834.679093098439</v>
      </c>
      <c r="AI54" s="54"/>
    </row>
    <row r="55" spans="1:35" ht="15.75" customHeight="1">
      <c r="A55" s="9"/>
      <c r="B55" s="9"/>
      <c r="C55" s="9"/>
      <c r="D55" s="9"/>
      <c r="E55" s="10"/>
      <c r="F55" s="10"/>
      <c r="G55" s="10"/>
      <c r="H55" s="10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22">
        <f>SUM(AI7:AI54)</f>
        <v>4311283.4212555103</v>
      </c>
    </row>
    <row r="56" spans="1:35" ht="15.75" customHeight="1">
      <c r="A56" s="9"/>
      <c r="B56" s="9"/>
      <c r="C56" s="9"/>
      <c r="D56" s="9"/>
      <c r="E56" s="10"/>
      <c r="F56" s="10"/>
      <c r="G56" s="10"/>
      <c r="H56" s="10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5" ht="15.75" customHeight="1">
      <c r="A57" s="9"/>
      <c r="B57" s="9"/>
      <c r="C57" s="9"/>
      <c r="D57" s="9"/>
      <c r="E57" s="10"/>
      <c r="F57" s="10"/>
      <c r="G57" s="10"/>
      <c r="H57" s="10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5" ht="15.75" customHeight="1">
      <c r="A58" s="9"/>
      <c r="B58" s="9"/>
      <c r="C58" s="9"/>
      <c r="D58" s="9"/>
      <c r="E58" s="10"/>
      <c r="F58" s="10"/>
      <c r="G58" s="10"/>
      <c r="H58" s="10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5" ht="15.75" customHeight="1">
      <c r="A59" s="9"/>
      <c r="B59" s="9"/>
      <c r="C59" s="9"/>
      <c r="D59" s="9"/>
      <c r="E59" s="10"/>
      <c r="F59" s="10"/>
      <c r="G59" s="10"/>
      <c r="H59" s="10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5" ht="15.75" customHeight="1">
      <c r="A60" s="9"/>
      <c r="B60" s="9"/>
      <c r="C60" s="9"/>
      <c r="D60" s="9"/>
      <c r="E60" s="10"/>
      <c r="F60" s="10"/>
      <c r="G60" s="10"/>
      <c r="H60" s="10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5" ht="15.75" customHeight="1">
      <c r="A61" s="9"/>
      <c r="B61" s="9"/>
      <c r="C61" s="9"/>
      <c r="D61" s="9"/>
      <c r="E61" s="10"/>
      <c r="F61" s="10"/>
      <c r="G61" s="10"/>
      <c r="H61" s="10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5" ht="15.75" customHeight="1">
      <c r="A62" s="9"/>
      <c r="B62" s="9"/>
      <c r="C62" s="9"/>
      <c r="D62" s="9"/>
      <c r="E62" s="10"/>
      <c r="F62" s="10"/>
      <c r="G62" s="10"/>
      <c r="H62" s="10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5" ht="15.75" customHeight="1">
      <c r="A63" s="9"/>
      <c r="B63" s="9"/>
      <c r="C63" s="9"/>
      <c r="D63" s="9"/>
      <c r="E63" s="10"/>
      <c r="F63" s="10"/>
      <c r="G63" s="10"/>
      <c r="H63" s="10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5" ht="15.75" customHeight="1">
      <c r="A64" s="9"/>
      <c r="B64" s="9"/>
      <c r="C64" s="9"/>
      <c r="D64" s="9"/>
      <c r="E64" s="10"/>
      <c r="F64" s="10"/>
      <c r="G64" s="10"/>
      <c r="H64" s="10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spans="1:34" ht="15.75" customHeight="1">
      <c r="A65" s="9"/>
      <c r="B65" s="9"/>
      <c r="C65" s="9"/>
      <c r="D65" s="9"/>
      <c r="E65" s="10"/>
      <c r="F65" s="10"/>
      <c r="G65" s="10"/>
      <c r="H65" s="10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ht="15.75" customHeight="1">
      <c r="A66" s="9"/>
      <c r="B66" s="9"/>
      <c r="C66" s="9"/>
      <c r="D66" s="9"/>
      <c r="E66" s="10"/>
      <c r="F66" s="10"/>
      <c r="G66" s="10"/>
      <c r="H66" s="10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ht="15.75" customHeight="1">
      <c r="A67" s="9"/>
      <c r="B67" s="9"/>
      <c r="C67" s="9"/>
      <c r="D67" s="9"/>
      <c r="E67" s="10"/>
      <c r="F67" s="10"/>
      <c r="G67" s="10"/>
      <c r="H67" s="10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ht="15.75" customHeight="1">
      <c r="A68" s="9"/>
      <c r="B68" s="9"/>
      <c r="C68" s="9"/>
      <c r="D68" s="9"/>
      <c r="E68" s="10"/>
      <c r="F68" s="10"/>
      <c r="G68" s="10"/>
      <c r="H68" s="10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ht="15.75" customHeight="1">
      <c r="A69" s="9"/>
      <c r="B69" s="9"/>
      <c r="C69" s="9"/>
      <c r="D69" s="9"/>
      <c r="E69" s="10"/>
      <c r="F69" s="10"/>
      <c r="G69" s="10"/>
      <c r="H69" s="10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ht="15.75" customHeight="1">
      <c r="A70" s="9"/>
      <c r="B70" s="9"/>
      <c r="C70" s="9"/>
      <c r="D70" s="9"/>
      <c r="E70" s="10"/>
      <c r="F70" s="10"/>
      <c r="G70" s="10"/>
      <c r="H70" s="10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ht="15.75" customHeight="1">
      <c r="A71" s="9"/>
      <c r="B71" s="9"/>
      <c r="C71" s="9"/>
      <c r="D71" s="9"/>
      <c r="E71" s="10"/>
      <c r="F71" s="10"/>
      <c r="G71" s="10"/>
      <c r="H71" s="10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ht="15.75" customHeight="1">
      <c r="A72" s="9"/>
      <c r="B72" s="9"/>
      <c r="C72" s="9"/>
      <c r="D72" s="9"/>
      <c r="E72" s="10"/>
      <c r="F72" s="10"/>
      <c r="G72" s="10"/>
      <c r="H72" s="10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ht="15.75" customHeight="1">
      <c r="A73" s="9"/>
      <c r="B73" s="9"/>
      <c r="C73" s="9"/>
      <c r="D73" s="9"/>
      <c r="E73" s="10"/>
      <c r="F73" s="10"/>
      <c r="G73" s="10"/>
      <c r="H73" s="10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ht="15.75" customHeight="1">
      <c r="A74" s="9"/>
      <c r="B74" s="9"/>
      <c r="C74" s="9"/>
      <c r="D74" s="9"/>
      <c r="E74" s="10"/>
      <c r="F74" s="10"/>
      <c r="G74" s="10"/>
      <c r="H74" s="10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ht="15.75" customHeight="1">
      <c r="A75" s="9"/>
      <c r="B75" s="9"/>
      <c r="C75" s="9"/>
      <c r="D75" s="9"/>
      <c r="E75" s="10"/>
      <c r="F75" s="10"/>
      <c r="G75" s="10"/>
      <c r="H75" s="10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ht="15.75" customHeight="1">
      <c r="A76" s="9"/>
      <c r="B76" s="9"/>
      <c r="C76" s="9"/>
      <c r="D76" s="9"/>
      <c r="E76" s="10"/>
      <c r="F76" s="10"/>
      <c r="G76" s="10"/>
      <c r="H76" s="10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ht="15.75" customHeight="1">
      <c r="A77" s="9"/>
      <c r="B77" s="9"/>
      <c r="C77" s="9"/>
      <c r="D77" s="9"/>
      <c r="E77" s="10"/>
      <c r="F77" s="10"/>
      <c r="G77" s="10"/>
      <c r="H77" s="10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ht="15.75" customHeight="1">
      <c r="A78" s="9"/>
      <c r="B78" s="9"/>
      <c r="C78" s="9"/>
      <c r="D78" s="9"/>
      <c r="E78" s="10"/>
      <c r="F78" s="10"/>
      <c r="G78" s="10"/>
      <c r="H78" s="10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ht="15.75" customHeight="1">
      <c r="A79" s="9"/>
      <c r="B79" s="9"/>
      <c r="C79" s="9"/>
      <c r="D79" s="9"/>
      <c r="E79" s="10"/>
      <c r="F79" s="10"/>
      <c r="G79" s="10"/>
      <c r="H79" s="10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ht="15.75" customHeight="1">
      <c r="A80" s="9"/>
      <c r="B80" s="9"/>
      <c r="C80" s="9"/>
      <c r="D80" s="9"/>
      <c r="E80" s="10"/>
      <c r="F80" s="10"/>
      <c r="G80" s="10"/>
      <c r="H80" s="10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34" ht="15.75" customHeight="1">
      <c r="A81" s="9"/>
      <c r="B81" s="9"/>
      <c r="C81" s="9"/>
      <c r="D81" s="9"/>
      <c r="E81" s="10"/>
      <c r="F81" s="10"/>
      <c r="G81" s="10"/>
      <c r="H81" s="10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34" ht="15.75" customHeight="1">
      <c r="A82" s="9"/>
      <c r="B82" s="9"/>
      <c r="C82" s="9"/>
      <c r="D82" s="9"/>
      <c r="E82" s="10"/>
      <c r="F82" s="10"/>
      <c r="G82" s="10"/>
      <c r="H82" s="10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34" ht="15.75" customHeight="1">
      <c r="A83" s="9"/>
      <c r="B83" s="9"/>
      <c r="C83" s="9"/>
      <c r="D83" s="9"/>
      <c r="E83" s="10"/>
      <c r="F83" s="10"/>
      <c r="G83" s="10"/>
      <c r="H83" s="10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1:34" ht="15.75" customHeight="1">
      <c r="A84" s="9"/>
      <c r="B84" s="9"/>
      <c r="C84" s="9"/>
      <c r="D84" s="9"/>
      <c r="E84" s="10"/>
      <c r="F84" s="10"/>
      <c r="G84" s="10"/>
      <c r="H84" s="10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1:34" ht="15.75" customHeight="1">
      <c r="A85" s="9"/>
      <c r="B85" s="9"/>
      <c r="C85" s="9"/>
      <c r="D85" s="9"/>
      <c r="E85" s="10"/>
      <c r="F85" s="10"/>
      <c r="G85" s="10"/>
      <c r="H85" s="10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1:34" ht="15.75" customHeight="1">
      <c r="A86" s="9"/>
      <c r="B86" s="9"/>
      <c r="C86" s="9"/>
      <c r="D86" s="9"/>
      <c r="E86" s="10"/>
      <c r="F86" s="10"/>
      <c r="G86" s="10"/>
      <c r="H86" s="10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spans="1:34" ht="15.75" customHeight="1">
      <c r="A87" s="9"/>
      <c r="B87" s="9"/>
      <c r="C87" s="9"/>
      <c r="D87" s="9"/>
      <c r="E87" s="10"/>
      <c r="F87" s="10"/>
      <c r="G87" s="10"/>
      <c r="H87" s="10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1:34" ht="15.75" customHeight="1">
      <c r="A88" s="9"/>
      <c r="B88" s="9"/>
      <c r="C88" s="9"/>
      <c r="D88" s="9"/>
      <c r="E88" s="10"/>
      <c r="F88" s="10"/>
      <c r="G88" s="10"/>
      <c r="H88" s="10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spans="1:34" ht="15.75" customHeight="1">
      <c r="A89" s="9"/>
      <c r="B89" s="9"/>
      <c r="C89" s="9"/>
      <c r="D89" s="9"/>
      <c r="E89" s="10"/>
      <c r="F89" s="10"/>
      <c r="G89" s="10"/>
      <c r="H89" s="10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1:34" ht="15.75" customHeight="1">
      <c r="A90" s="9"/>
      <c r="B90" s="9"/>
      <c r="C90" s="9"/>
      <c r="D90" s="9"/>
      <c r="E90" s="10"/>
      <c r="F90" s="10"/>
      <c r="G90" s="10"/>
      <c r="H90" s="10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spans="1:34" ht="15.75" customHeight="1">
      <c r="A91" s="9"/>
      <c r="B91" s="9"/>
      <c r="C91" s="9"/>
      <c r="D91" s="9"/>
      <c r="E91" s="10"/>
      <c r="F91" s="10"/>
      <c r="G91" s="10"/>
      <c r="H91" s="10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spans="1:34" ht="15.75" customHeight="1">
      <c r="A92" s="9"/>
      <c r="B92" s="9"/>
      <c r="C92" s="9"/>
      <c r="D92" s="9"/>
      <c r="E92" s="10"/>
      <c r="F92" s="10"/>
      <c r="G92" s="10"/>
      <c r="H92" s="10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spans="1:34" ht="15.75" customHeight="1">
      <c r="A93" s="9"/>
      <c r="B93" s="9"/>
      <c r="C93" s="9"/>
      <c r="D93" s="9"/>
      <c r="E93" s="10"/>
      <c r="F93" s="10"/>
      <c r="G93" s="10"/>
      <c r="H93" s="10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spans="1:34" ht="15.75" customHeight="1">
      <c r="A94" s="9"/>
      <c r="B94" s="9"/>
      <c r="C94" s="9"/>
      <c r="D94" s="9"/>
      <c r="E94" s="10"/>
      <c r="F94" s="10"/>
      <c r="G94" s="10"/>
      <c r="H94" s="10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spans="1:34" ht="15.75" customHeight="1">
      <c r="A95" s="9"/>
      <c r="B95" s="9"/>
      <c r="C95" s="9"/>
      <c r="D95" s="9"/>
      <c r="E95" s="10"/>
      <c r="F95" s="10"/>
      <c r="G95" s="10"/>
      <c r="H95" s="10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spans="1:34" ht="15.75" customHeight="1">
      <c r="A96" s="9"/>
      <c r="B96" s="9"/>
      <c r="C96" s="9"/>
      <c r="D96" s="9"/>
      <c r="E96" s="10"/>
      <c r="F96" s="10"/>
      <c r="G96" s="10"/>
      <c r="H96" s="10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spans="1:34" ht="15.75" customHeight="1">
      <c r="A97" s="9"/>
      <c r="B97" s="9"/>
      <c r="C97" s="9"/>
      <c r="D97" s="9"/>
      <c r="E97" s="10"/>
      <c r="F97" s="10"/>
      <c r="G97" s="10"/>
      <c r="H97" s="10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1:34" ht="15.75" customHeight="1">
      <c r="A98" s="9"/>
      <c r="B98" s="9"/>
      <c r="C98" s="9"/>
      <c r="D98" s="9"/>
      <c r="E98" s="10"/>
      <c r="F98" s="10"/>
      <c r="G98" s="10"/>
      <c r="H98" s="10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spans="1:34" ht="15.75" customHeight="1">
      <c r="A99" s="9"/>
      <c r="B99" s="9"/>
      <c r="C99" s="9"/>
      <c r="D99" s="9"/>
      <c r="E99" s="10"/>
      <c r="F99" s="10"/>
      <c r="G99" s="10"/>
      <c r="H99" s="10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spans="1:34" ht="15.75" customHeight="1">
      <c r="A100" s="9"/>
      <c r="B100" s="9"/>
      <c r="C100" s="9"/>
      <c r="D100" s="9"/>
      <c r="E100" s="10"/>
      <c r="F100" s="10"/>
      <c r="G100" s="10"/>
      <c r="H100" s="10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spans="1:34" ht="15.75" customHeight="1">
      <c r="A101" s="9"/>
      <c r="B101" s="9"/>
      <c r="C101" s="9"/>
      <c r="D101" s="9"/>
      <c r="E101" s="10"/>
      <c r="F101" s="10"/>
      <c r="G101" s="10"/>
      <c r="H101" s="10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spans="1:34" ht="15.75" customHeight="1">
      <c r="A102" s="9"/>
      <c r="B102" s="9"/>
      <c r="C102" s="9"/>
      <c r="D102" s="9"/>
      <c r="E102" s="10"/>
      <c r="F102" s="10"/>
      <c r="G102" s="10"/>
      <c r="H102" s="10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 spans="1:34" ht="15.75" customHeight="1">
      <c r="A103" s="9"/>
      <c r="B103" s="9"/>
      <c r="C103" s="9"/>
      <c r="D103" s="9"/>
      <c r="E103" s="10"/>
      <c r="F103" s="10"/>
      <c r="G103" s="10"/>
      <c r="H103" s="10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spans="1:34" ht="15.75" customHeight="1">
      <c r="A104" s="9"/>
      <c r="B104" s="9"/>
      <c r="C104" s="9"/>
      <c r="D104" s="9"/>
      <c r="E104" s="10"/>
      <c r="F104" s="10"/>
      <c r="G104" s="10"/>
      <c r="H104" s="10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ht="15.75" customHeight="1">
      <c r="A105" s="9"/>
      <c r="B105" s="9"/>
      <c r="C105" s="9"/>
      <c r="D105" s="9"/>
      <c r="E105" s="10"/>
      <c r="F105" s="10"/>
      <c r="G105" s="10"/>
      <c r="H105" s="10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ht="15.75" customHeight="1">
      <c r="A106" s="9"/>
      <c r="B106" s="9"/>
      <c r="C106" s="9"/>
      <c r="D106" s="9"/>
      <c r="E106" s="10"/>
      <c r="F106" s="10"/>
      <c r="G106" s="10"/>
      <c r="H106" s="10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 spans="1:34" ht="15.75" customHeight="1">
      <c r="A107" s="9"/>
      <c r="B107" s="9"/>
      <c r="C107" s="9"/>
      <c r="D107" s="9"/>
      <c r="E107" s="10"/>
      <c r="F107" s="10"/>
      <c r="G107" s="10"/>
      <c r="H107" s="10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spans="1:34" ht="15.75" customHeight="1">
      <c r="A108" s="9"/>
      <c r="B108" s="9"/>
      <c r="C108" s="9"/>
      <c r="D108" s="9"/>
      <c r="E108" s="10"/>
      <c r="F108" s="10"/>
      <c r="G108" s="10"/>
      <c r="H108" s="10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 spans="1:34" ht="15.75" customHeight="1">
      <c r="A109" s="9"/>
      <c r="B109" s="9"/>
      <c r="C109" s="9"/>
      <c r="D109" s="9"/>
      <c r="E109" s="10"/>
      <c r="F109" s="10"/>
      <c r="G109" s="10"/>
      <c r="H109" s="10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spans="1:34" ht="15.75" customHeight="1">
      <c r="A110" s="9"/>
      <c r="B110" s="9"/>
      <c r="C110" s="9"/>
      <c r="D110" s="9"/>
      <c r="E110" s="10"/>
      <c r="F110" s="10"/>
      <c r="G110" s="10"/>
      <c r="H110" s="10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 spans="1:34" ht="15.75" customHeight="1">
      <c r="A111" s="9"/>
      <c r="B111" s="9"/>
      <c r="C111" s="9"/>
      <c r="D111" s="9"/>
      <c r="E111" s="10"/>
      <c r="F111" s="10"/>
      <c r="G111" s="10"/>
      <c r="H111" s="10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 spans="1:34" ht="15.75" customHeight="1">
      <c r="A112" s="9"/>
      <c r="B112" s="9"/>
      <c r="C112" s="9"/>
      <c r="D112" s="9"/>
      <c r="E112" s="10"/>
      <c r="F112" s="10"/>
      <c r="G112" s="10"/>
      <c r="H112" s="10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spans="1:34" ht="15.75" customHeight="1">
      <c r="A113" s="9"/>
      <c r="B113" s="9"/>
      <c r="C113" s="9"/>
      <c r="D113" s="9"/>
      <c r="E113" s="10"/>
      <c r="F113" s="10"/>
      <c r="G113" s="10"/>
      <c r="H113" s="10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spans="1:34" ht="15.75" customHeight="1">
      <c r="A114" s="9"/>
      <c r="B114" s="9"/>
      <c r="C114" s="9"/>
      <c r="D114" s="9"/>
      <c r="E114" s="10"/>
      <c r="F114" s="10"/>
      <c r="G114" s="10"/>
      <c r="H114" s="10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spans="1:34" ht="15.75" customHeight="1">
      <c r="A115" s="9"/>
      <c r="B115" s="9"/>
      <c r="C115" s="9"/>
      <c r="D115" s="9"/>
      <c r="E115" s="10"/>
      <c r="F115" s="10"/>
      <c r="G115" s="10"/>
      <c r="H115" s="10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spans="1:34" ht="15.75" customHeight="1">
      <c r="A116" s="9"/>
      <c r="B116" s="9"/>
      <c r="C116" s="9"/>
      <c r="D116" s="9"/>
      <c r="E116" s="10"/>
      <c r="F116" s="10"/>
      <c r="G116" s="10"/>
      <c r="H116" s="10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 spans="1:34" ht="15.75" customHeight="1">
      <c r="A117" s="9"/>
      <c r="B117" s="9"/>
      <c r="C117" s="9"/>
      <c r="D117" s="9"/>
      <c r="E117" s="10"/>
      <c r="F117" s="10"/>
      <c r="G117" s="10"/>
      <c r="H117" s="10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spans="1:34" ht="15.75" customHeight="1">
      <c r="A118" s="9"/>
      <c r="B118" s="9"/>
      <c r="C118" s="9"/>
      <c r="D118" s="9"/>
      <c r="E118" s="10"/>
      <c r="F118" s="10"/>
      <c r="G118" s="10"/>
      <c r="H118" s="10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 spans="1:34" ht="15.75" customHeight="1">
      <c r="A119" s="9"/>
      <c r="B119" s="9"/>
      <c r="C119" s="9"/>
      <c r="D119" s="9"/>
      <c r="E119" s="10"/>
      <c r="F119" s="10"/>
      <c r="G119" s="10"/>
      <c r="H119" s="10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spans="1:34" ht="15.75" customHeight="1">
      <c r="A120" s="9"/>
      <c r="B120" s="9"/>
      <c r="C120" s="9"/>
      <c r="D120" s="9"/>
      <c r="E120" s="10"/>
      <c r="F120" s="10"/>
      <c r="G120" s="10"/>
      <c r="H120" s="10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 spans="1:34" ht="15.75" customHeight="1">
      <c r="A121" s="9"/>
      <c r="B121" s="9"/>
      <c r="C121" s="9"/>
      <c r="D121" s="9"/>
      <c r="E121" s="10"/>
      <c r="F121" s="10"/>
      <c r="G121" s="10"/>
      <c r="H121" s="10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ht="15.75" customHeight="1">
      <c r="A122" s="9"/>
      <c r="B122" s="9"/>
      <c r="C122" s="9"/>
      <c r="D122" s="9"/>
      <c r="E122" s="10"/>
      <c r="F122" s="10"/>
      <c r="G122" s="10"/>
      <c r="H122" s="10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spans="1:34" ht="15.75" customHeight="1">
      <c r="A123" s="9"/>
      <c r="B123" s="9"/>
      <c r="C123" s="9"/>
      <c r="D123" s="9"/>
      <c r="E123" s="10"/>
      <c r="F123" s="10"/>
      <c r="G123" s="10"/>
      <c r="H123" s="10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spans="1:34" ht="15.75" customHeight="1">
      <c r="A124" s="9"/>
      <c r="B124" s="9"/>
      <c r="C124" s="9"/>
      <c r="D124" s="9"/>
      <c r="E124" s="10"/>
      <c r="F124" s="10"/>
      <c r="G124" s="10"/>
      <c r="H124" s="10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spans="1:34" ht="15.75" customHeight="1">
      <c r="A125" s="9"/>
      <c r="B125" s="9"/>
      <c r="C125" s="9"/>
      <c r="D125" s="9"/>
      <c r="E125" s="10"/>
      <c r="F125" s="10"/>
      <c r="G125" s="10"/>
      <c r="H125" s="10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 spans="1:34" ht="15.75" customHeight="1">
      <c r="A126" s="9"/>
      <c r="B126" s="9"/>
      <c r="C126" s="9"/>
      <c r="D126" s="9"/>
      <c r="E126" s="10"/>
      <c r="F126" s="10"/>
      <c r="G126" s="10"/>
      <c r="H126" s="10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 spans="1:34" ht="15.75" customHeight="1">
      <c r="A127" s="9"/>
      <c r="B127" s="9"/>
      <c r="C127" s="9"/>
      <c r="D127" s="9"/>
      <c r="E127" s="10"/>
      <c r="F127" s="10"/>
      <c r="G127" s="10"/>
      <c r="H127" s="10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spans="1:34" ht="15.75" customHeight="1">
      <c r="A128" s="9"/>
      <c r="B128" s="9"/>
      <c r="C128" s="9"/>
      <c r="D128" s="9"/>
      <c r="E128" s="10"/>
      <c r="F128" s="10"/>
      <c r="G128" s="10"/>
      <c r="H128" s="10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spans="1:34" ht="15.75" customHeight="1">
      <c r="A129" s="9"/>
      <c r="B129" s="9"/>
      <c r="C129" s="9"/>
      <c r="D129" s="9"/>
      <c r="E129" s="10"/>
      <c r="F129" s="10"/>
      <c r="G129" s="10"/>
      <c r="H129" s="10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spans="1:34" ht="15.75" customHeight="1">
      <c r="A130" s="9"/>
      <c r="B130" s="9"/>
      <c r="C130" s="9"/>
      <c r="D130" s="9"/>
      <c r="E130" s="10"/>
      <c r="F130" s="10"/>
      <c r="G130" s="10"/>
      <c r="H130" s="10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spans="1:34" ht="15.75" customHeight="1">
      <c r="A131" s="9"/>
      <c r="B131" s="9"/>
      <c r="C131" s="9"/>
      <c r="D131" s="9"/>
      <c r="E131" s="10"/>
      <c r="F131" s="10"/>
      <c r="G131" s="10"/>
      <c r="H131" s="10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spans="1:34" ht="15.75" customHeight="1">
      <c r="A132" s="9"/>
      <c r="B132" s="9"/>
      <c r="C132" s="9"/>
      <c r="D132" s="9"/>
      <c r="E132" s="10"/>
      <c r="F132" s="10"/>
      <c r="G132" s="10"/>
      <c r="H132" s="10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spans="1:34" ht="15.75" customHeight="1">
      <c r="A133" s="9"/>
      <c r="B133" s="9"/>
      <c r="C133" s="9"/>
      <c r="D133" s="9"/>
      <c r="E133" s="10"/>
      <c r="F133" s="10"/>
      <c r="G133" s="10"/>
      <c r="H133" s="10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spans="1:34" ht="15.75" customHeight="1">
      <c r="A134" s="9"/>
      <c r="B134" s="9"/>
      <c r="C134" s="9"/>
      <c r="D134" s="9"/>
      <c r="E134" s="10"/>
      <c r="F134" s="10"/>
      <c r="G134" s="10"/>
      <c r="H134" s="10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spans="1:34" ht="15.75" customHeight="1">
      <c r="A135" s="9"/>
      <c r="B135" s="9"/>
      <c r="C135" s="9"/>
      <c r="D135" s="9"/>
      <c r="E135" s="10"/>
      <c r="F135" s="10"/>
      <c r="G135" s="10"/>
      <c r="H135" s="10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1:34" ht="15.75" customHeight="1">
      <c r="A136" s="9"/>
      <c r="B136" s="9"/>
      <c r="C136" s="9"/>
      <c r="D136" s="9"/>
      <c r="E136" s="10"/>
      <c r="F136" s="10"/>
      <c r="G136" s="10"/>
      <c r="H136" s="10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spans="1:34" ht="15.75" customHeight="1">
      <c r="A137" s="9"/>
      <c r="B137" s="9"/>
      <c r="C137" s="9"/>
      <c r="D137" s="9"/>
      <c r="E137" s="10"/>
      <c r="F137" s="10"/>
      <c r="G137" s="10"/>
      <c r="H137" s="10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4" ht="15.75" customHeight="1">
      <c r="A138" s="9"/>
      <c r="B138" s="9"/>
      <c r="C138" s="9"/>
      <c r="D138" s="9"/>
      <c r="E138" s="10"/>
      <c r="F138" s="10"/>
      <c r="G138" s="10"/>
      <c r="H138" s="10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spans="1:34" ht="15.75" customHeight="1">
      <c r="A139" s="9"/>
      <c r="B139" s="9"/>
      <c r="C139" s="9"/>
      <c r="D139" s="9"/>
      <c r="E139" s="10"/>
      <c r="F139" s="10"/>
      <c r="G139" s="10"/>
      <c r="H139" s="10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1:34" ht="15.75" customHeight="1">
      <c r="A140" s="9"/>
      <c r="B140" s="9"/>
      <c r="C140" s="9"/>
      <c r="D140" s="9"/>
      <c r="E140" s="10"/>
      <c r="F140" s="10"/>
      <c r="G140" s="10"/>
      <c r="H140" s="10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spans="1:34" ht="15.75" customHeight="1">
      <c r="A141" s="9"/>
      <c r="B141" s="9"/>
      <c r="C141" s="9"/>
      <c r="D141" s="9"/>
      <c r="E141" s="10"/>
      <c r="F141" s="10"/>
      <c r="G141" s="10"/>
      <c r="H141" s="10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4" ht="15.75" customHeight="1">
      <c r="A142" s="9"/>
      <c r="B142" s="9"/>
      <c r="C142" s="9"/>
      <c r="D142" s="9"/>
      <c r="E142" s="10"/>
      <c r="F142" s="10"/>
      <c r="G142" s="10"/>
      <c r="H142" s="10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spans="1:34" ht="15.75" customHeight="1">
      <c r="A143" s="9"/>
      <c r="B143" s="9"/>
      <c r="C143" s="9"/>
      <c r="D143" s="9"/>
      <c r="E143" s="10"/>
      <c r="F143" s="10"/>
      <c r="G143" s="10"/>
      <c r="H143" s="10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4" ht="15.75" customHeight="1">
      <c r="A144" s="9"/>
      <c r="B144" s="9"/>
      <c r="C144" s="9"/>
      <c r="D144" s="9"/>
      <c r="E144" s="10"/>
      <c r="F144" s="10"/>
      <c r="G144" s="10"/>
      <c r="H144" s="10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spans="1:34" ht="15.75" customHeight="1">
      <c r="A145" s="9"/>
      <c r="B145" s="9"/>
      <c r="C145" s="9"/>
      <c r="D145" s="9"/>
      <c r="E145" s="10"/>
      <c r="F145" s="10"/>
      <c r="G145" s="10"/>
      <c r="H145" s="10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 ht="15.75" customHeight="1">
      <c r="A146" s="9"/>
      <c r="B146" s="9"/>
      <c r="C146" s="9"/>
      <c r="D146" s="9"/>
      <c r="E146" s="10"/>
      <c r="F146" s="10"/>
      <c r="G146" s="10"/>
      <c r="H146" s="10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spans="1:34" ht="15.75" customHeight="1">
      <c r="A147" s="9"/>
      <c r="B147" s="9"/>
      <c r="C147" s="9"/>
      <c r="D147" s="9"/>
      <c r="E147" s="10"/>
      <c r="F147" s="10"/>
      <c r="G147" s="10"/>
      <c r="H147" s="10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 ht="15.75" customHeight="1">
      <c r="A148" s="9"/>
      <c r="B148" s="9"/>
      <c r="C148" s="9"/>
      <c r="D148" s="9"/>
      <c r="E148" s="10"/>
      <c r="F148" s="10"/>
      <c r="G148" s="10"/>
      <c r="H148" s="10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spans="1:34" ht="15.75" customHeight="1">
      <c r="A149" s="9"/>
      <c r="B149" s="9"/>
      <c r="C149" s="9"/>
      <c r="D149" s="9"/>
      <c r="E149" s="10"/>
      <c r="F149" s="10"/>
      <c r="G149" s="10"/>
      <c r="H149" s="10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spans="1:34" ht="15.75" customHeight="1">
      <c r="A150" s="9"/>
      <c r="B150" s="9"/>
      <c r="C150" s="9"/>
      <c r="D150" s="9"/>
      <c r="E150" s="10"/>
      <c r="F150" s="10"/>
      <c r="G150" s="10"/>
      <c r="H150" s="10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spans="1:34" ht="15.75" customHeight="1">
      <c r="A151" s="9"/>
      <c r="B151" s="9"/>
      <c r="C151" s="9"/>
      <c r="D151" s="9"/>
      <c r="E151" s="10"/>
      <c r="F151" s="10"/>
      <c r="G151" s="10"/>
      <c r="H151" s="10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spans="1:34" ht="15.75" customHeight="1">
      <c r="A152" s="9"/>
      <c r="B152" s="9"/>
      <c r="C152" s="9"/>
      <c r="D152" s="9"/>
      <c r="E152" s="10"/>
      <c r="F152" s="10"/>
      <c r="G152" s="10"/>
      <c r="H152" s="10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spans="1:34" ht="15.75" customHeight="1">
      <c r="A153" s="9"/>
      <c r="B153" s="9"/>
      <c r="C153" s="9"/>
      <c r="D153" s="9"/>
      <c r="E153" s="10"/>
      <c r="F153" s="10"/>
      <c r="G153" s="10"/>
      <c r="H153" s="10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spans="1:34" ht="15.75" customHeight="1">
      <c r="A154" s="9"/>
      <c r="B154" s="9"/>
      <c r="C154" s="9"/>
      <c r="D154" s="9"/>
      <c r="E154" s="10"/>
      <c r="F154" s="10"/>
      <c r="G154" s="10"/>
      <c r="H154" s="10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spans="1:34" ht="15.75" customHeight="1">
      <c r="A155" s="9"/>
      <c r="B155" s="9"/>
      <c r="C155" s="9"/>
      <c r="D155" s="9"/>
      <c r="E155" s="10"/>
      <c r="F155" s="10"/>
      <c r="G155" s="10"/>
      <c r="H155" s="10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spans="1:34" ht="15.75" customHeight="1">
      <c r="A156" s="9"/>
      <c r="B156" s="9"/>
      <c r="C156" s="9"/>
      <c r="D156" s="9"/>
      <c r="E156" s="10"/>
      <c r="F156" s="10"/>
      <c r="G156" s="10"/>
      <c r="H156" s="10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spans="1:34" ht="15.75" customHeight="1">
      <c r="A157" s="9"/>
      <c r="B157" s="9"/>
      <c r="C157" s="9"/>
      <c r="D157" s="9"/>
      <c r="E157" s="10"/>
      <c r="F157" s="10"/>
      <c r="G157" s="10"/>
      <c r="H157" s="10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spans="1:34" ht="15.75" customHeight="1">
      <c r="A158" s="9"/>
      <c r="B158" s="9"/>
      <c r="C158" s="9"/>
      <c r="D158" s="9"/>
      <c r="E158" s="10"/>
      <c r="F158" s="10"/>
      <c r="G158" s="10"/>
      <c r="H158" s="10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 spans="1:34" ht="15.75" customHeight="1">
      <c r="A159" s="9"/>
      <c r="B159" s="9"/>
      <c r="C159" s="9"/>
      <c r="D159" s="9"/>
      <c r="E159" s="10"/>
      <c r="F159" s="10"/>
      <c r="G159" s="10"/>
      <c r="H159" s="10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spans="1:34" ht="15.75" customHeight="1">
      <c r="A160" s="9"/>
      <c r="B160" s="9"/>
      <c r="C160" s="9"/>
      <c r="D160" s="9"/>
      <c r="E160" s="10"/>
      <c r="F160" s="10"/>
      <c r="G160" s="10"/>
      <c r="H160" s="10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 spans="1:34" ht="15.75" customHeight="1">
      <c r="A161" s="9"/>
      <c r="B161" s="9"/>
      <c r="C161" s="9"/>
      <c r="D161" s="9"/>
      <c r="E161" s="10"/>
      <c r="F161" s="10"/>
      <c r="G161" s="10"/>
      <c r="H161" s="10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 spans="1:34" ht="15.75" customHeight="1">
      <c r="A162" s="9"/>
      <c r="B162" s="9"/>
      <c r="C162" s="9"/>
      <c r="D162" s="9"/>
      <c r="E162" s="10"/>
      <c r="F162" s="10"/>
      <c r="G162" s="10"/>
      <c r="H162" s="10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 spans="1:34" ht="15.75" customHeight="1">
      <c r="A163" s="9"/>
      <c r="B163" s="9"/>
      <c r="C163" s="9"/>
      <c r="D163" s="9"/>
      <c r="E163" s="10"/>
      <c r="F163" s="10"/>
      <c r="G163" s="10"/>
      <c r="H163" s="10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spans="1:34" ht="15.75" customHeight="1">
      <c r="A164" s="9"/>
      <c r="B164" s="9"/>
      <c r="C164" s="9"/>
      <c r="D164" s="9"/>
      <c r="E164" s="10"/>
      <c r="F164" s="10"/>
      <c r="G164" s="10"/>
      <c r="H164" s="10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 spans="1:34" ht="15.75" customHeight="1">
      <c r="A165" s="9"/>
      <c r="B165" s="9"/>
      <c r="C165" s="9"/>
      <c r="D165" s="9"/>
      <c r="E165" s="10"/>
      <c r="F165" s="10"/>
      <c r="G165" s="10"/>
      <c r="H165" s="10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 spans="1:34" ht="15.75" customHeight="1">
      <c r="A166" s="9"/>
      <c r="B166" s="9"/>
      <c r="C166" s="9"/>
      <c r="D166" s="9"/>
      <c r="E166" s="10"/>
      <c r="F166" s="10"/>
      <c r="G166" s="10"/>
      <c r="H166" s="10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 spans="1:34" ht="15.75" customHeight="1">
      <c r="A167" s="9"/>
      <c r="B167" s="9"/>
      <c r="C167" s="9"/>
      <c r="D167" s="9"/>
      <c r="E167" s="10"/>
      <c r="F167" s="10"/>
      <c r="G167" s="10"/>
      <c r="H167" s="10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 spans="1:34" ht="15.75" customHeight="1">
      <c r="A168" s="9"/>
      <c r="B168" s="9"/>
      <c r="C168" s="9"/>
      <c r="D168" s="9"/>
      <c r="E168" s="10"/>
      <c r="F168" s="10"/>
      <c r="G168" s="10"/>
      <c r="H168" s="10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 spans="1:34" ht="15.75" customHeight="1">
      <c r="A169" s="9"/>
      <c r="B169" s="9"/>
      <c r="C169" s="9"/>
      <c r="D169" s="9"/>
      <c r="E169" s="10"/>
      <c r="F169" s="10"/>
      <c r="G169" s="10"/>
      <c r="H169" s="10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 spans="1:34" ht="15.75" customHeight="1">
      <c r="A170" s="9"/>
      <c r="B170" s="9"/>
      <c r="C170" s="9"/>
      <c r="D170" s="9"/>
      <c r="E170" s="10"/>
      <c r="F170" s="10"/>
      <c r="G170" s="10"/>
      <c r="H170" s="10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 spans="1:34" ht="15.75" customHeight="1">
      <c r="A171" s="9"/>
      <c r="B171" s="9"/>
      <c r="C171" s="9"/>
      <c r="D171" s="9"/>
      <c r="E171" s="10"/>
      <c r="F171" s="10"/>
      <c r="G171" s="10"/>
      <c r="H171" s="10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 spans="1:34" ht="15.75" customHeight="1">
      <c r="A172" s="9"/>
      <c r="B172" s="9"/>
      <c r="C172" s="9"/>
      <c r="D172" s="9"/>
      <c r="E172" s="10"/>
      <c r="F172" s="10"/>
      <c r="G172" s="10"/>
      <c r="H172" s="10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 spans="1:34" ht="15.75" customHeight="1">
      <c r="A173" s="9"/>
      <c r="B173" s="9"/>
      <c r="C173" s="9"/>
      <c r="D173" s="9"/>
      <c r="E173" s="10"/>
      <c r="F173" s="10"/>
      <c r="G173" s="10"/>
      <c r="H173" s="10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spans="1:34" ht="15.75" customHeight="1">
      <c r="A174" s="9"/>
      <c r="B174" s="9"/>
      <c r="C174" s="9"/>
      <c r="D174" s="9"/>
      <c r="E174" s="10"/>
      <c r="F174" s="10"/>
      <c r="G174" s="10"/>
      <c r="H174" s="10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 spans="1:34" ht="15.75" customHeight="1">
      <c r="A175" s="9"/>
      <c r="B175" s="9"/>
      <c r="C175" s="9"/>
      <c r="D175" s="9"/>
      <c r="E175" s="10"/>
      <c r="F175" s="10"/>
      <c r="G175" s="10"/>
      <c r="H175" s="10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spans="1:34" ht="15.75" customHeight="1">
      <c r="A176" s="9"/>
      <c r="B176" s="9"/>
      <c r="C176" s="9"/>
      <c r="D176" s="9"/>
      <c r="E176" s="10"/>
      <c r="F176" s="10"/>
      <c r="G176" s="10"/>
      <c r="H176" s="10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 spans="1:34" ht="15.75" customHeight="1">
      <c r="A177" s="9"/>
      <c r="B177" s="9"/>
      <c r="C177" s="9"/>
      <c r="D177" s="9"/>
      <c r="E177" s="10"/>
      <c r="F177" s="10"/>
      <c r="G177" s="10"/>
      <c r="H177" s="10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spans="1:34" ht="15.75" customHeight="1">
      <c r="A178" s="9"/>
      <c r="B178" s="9"/>
      <c r="C178" s="9"/>
      <c r="D178" s="9"/>
      <c r="E178" s="10"/>
      <c r="F178" s="10"/>
      <c r="G178" s="10"/>
      <c r="H178" s="10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 spans="1:34" ht="15.75" customHeight="1">
      <c r="A179" s="9"/>
      <c r="B179" s="9"/>
      <c r="C179" s="9"/>
      <c r="D179" s="9"/>
      <c r="E179" s="10"/>
      <c r="F179" s="10"/>
      <c r="G179" s="10"/>
      <c r="H179" s="10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spans="1:34" ht="15.75" customHeight="1">
      <c r="A180" s="9"/>
      <c r="B180" s="9"/>
      <c r="C180" s="9"/>
      <c r="D180" s="9"/>
      <c r="E180" s="10"/>
      <c r="F180" s="10"/>
      <c r="G180" s="10"/>
      <c r="H180" s="10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 spans="1:34" ht="15.75" customHeight="1">
      <c r="A181" s="9"/>
      <c r="B181" s="9"/>
      <c r="C181" s="9"/>
      <c r="D181" s="9"/>
      <c r="E181" s="10"/>
      <c r="F181" s="10"/>
      <c r="G181" s="10"/>
      <c r="H181" s="10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 spans="1:34" ht="15.75" customHeight="1">
      <c r="A182" s="9"/>
      <c r="B182" s="9"/>
      <c r="C182" s="9"/>
      <c r="D182" s="9"/>
      <c r="E182" s="10"/>
      <c r="F182" s="10"/>
      <c r="G182" s="10"/>
      <c r="H182" s="10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 spans="1:34" ht="15.75" customHeight="1">
      <c r="A183" s="9"/>
      <c r="B183" s="9"/>
      <c r="C183" s="9"/>
      <c r="D183" s="9"/>
      <c r="E183" s="10"/>
      <c r="F183" s="10"/>
      <c r="G183" s="10"/>
      <c r="H183" s="10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 spans="1:34" ht="15.75" customHeight="1">
      <c r="A184" s="9"/>
      <c r="B184" s="9"/>
      <c r="C184" s="9"/>
      <c r="D184" s="9"/>
      <c r="E184" s="10"/>
      <c r="F184" s="10"/>
      <c r="G184" s="10"/>
      <c r="H184" s="10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 spans="1:34" ht="15.75" customHeight="1">
      <c r="A185" s="9"/>
      <c r="B185" s="9"/>
      <c r="C185" s="9"/>
      <c r="D185" s="9"/>
      <c r="E185" s="10"/>
      <c r="F185" s="10"/>
      <c r="G185" s="10"/>
      <c r="H185" s="10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 spans="1:34" ht="15.75" customHeight="1">
      <c r="A186" s="9"/>
      <c r="B186" s="9"/>
      <c r="C186" s="9"/>
      <c r="D186" s="9"/>
      <c r="E186" s="10"/>
      <c r="F186" s="10"/>
      <c r="G186" s="10"/>
      <c r="H186" s="10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 spans="1:34" ht="15.75" customHeight="1">
      <c r="A187" s="9"/>
      <c r="B187" s="9"/>
      <c r="C187" s="9"/>
      <c r="D187" s="9"/>
      <c r="E187" s="10"/>
      <c r="F187" s="10"/>
      <c r="G187" s="10"/>
      <c r="H187" s="10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 spans="1:34" ht="15.75" customHeight="1">
      <c r="A188" s="9"/>
      <c r="B188" s="9"/>
      <c r="C188" s="9"/>
      <c r="D188" s="9"/>
      <c r="E188" s="10"/>
      <c r="F188" s="10"/>
      <c r="G188" s="10"/>
      <c r="H188" s="10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 spans="1:34" ht="15.75" customHeight="1">
      <c r="A189" s="9"/>
      <c r="B189" s="9"/>
      <c r="C189" s="9"/>
      <c r="D189" s="9"/>
      <c r="E189" s="10"/>
      <c r="F189" s="10"/>
      <c r="G189" s="10"/>
      <c r="H189" s="10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 spans="1:34" ht="15.75" customHeight="1">
      <c r="A190" s="9"/>
      <c r="B190" s="9"/>
      <c r="C190" s="9"/>
      <c r="D190" s="9"/>
      <c r="E190" s="10"/>
      <c r="F190" s="10"/>
      <c r="G190" s="10"/>
      <c r="H190" s="10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 spans="1:34" ht="15.75" customHeight="1">
      <c r="A191" s="9"/>
      <c r="B191" s="9"/>
      <c r="C191" s="9"/>
      <c r="D191" s="9"/>
      <c r="E191" s="10"/>
      <c r="F191" s="10"/>
      <c r="G191" s="10"/>
      <c r="H191" s="10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 spans="1:34" ht="15.75" customHeight="1">
      <c r="A192" s="9"/>
      <c r="B192" s="9"/>
      <c r="C192" s="9"/>
      <c r="D192" s="9"/>
      <c r="E192" s="10"/>
      <c r="F192" s="10"/>
      <c r="G192" s="10"/>
      <c r="H192" s="10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 spans="1:34" ht="15.75" customHeight="1">
      <c r="A193" s="9"/>
      <c r="B193" s="9"/>
      <c r="C193" s="9"/>
      <c r="D193" s="9"/>
      <c r="E193" s="10"/>
      <c r="F193" s="10"/>
      <c r="G193" s="10"/>
      <c r="H193" s="10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 spans="1:34" ht="15.75" customHeight="1">
      <c r="A194" s="9"/>
      <c r="B194" s="9"/>
      <c r="C194" s="9"/>
      <c r="D194" s="9"/>
      <c r="E194" s="10"/>
      <c r="F194" s="10"/>
      <c r="G194" s="10"/>
      <c r="H194" s="10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 spans="1:34" ht="15.75" customHeight="1">
      <c r="A195" s="9"/>
      <c r="B195" s="9"/>
      <c r="C195" s="9"/>
      <c r="D195" s="9"/>
      <c r="E195" s="10"/>
      <c r="F195" s="10"/>
      <c r="G195" s="10"/>
      <c r="H195" s="10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 spans="1:34" ht="15.75" customHeight="1">
      <c r="A196" s="9"/>
      <c r="B196" s="9"/>
      <c r="C196" s="9"/>
      <c r="D196" s="9"/>
      <c r="E196" s="10"/>
      <c r="F196" s="10"/>
      <c r="G196" s="10"/>
      <c r="H196" s="10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 spans="1:34" ht="15.75" customHeight="1">
      <c r="A197" s="9"/>
      <c r="B197" s="9"/>
      <c r="C197" s="9"/>
      <c r="D197" s="9"/>
      <c r="E197" s="10"/>
      <c r="F197" s="10"/>
      <c r="G197" s="10"/>
      <c r="H197" s="10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 spans="1:34" ht="15.75" customHeight="1">
      <c r="A198" s="9"/>
      <c r="B198" s="9"/>
      <c r="C198" s="9"/>
      <c r="D198" s="9"/>
      <c r="E198" s="10"/>
      <c r="F198" s="10"/>
      <c r="G198" s="10"/>
      <c r="H198" s="10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 spans="1:34" ht="15.75" customHeight="1">
      <c r="A199" s="9"/>
      <c r="B199" s="9"/>
      <c r="C199" s="9"/>
      <c r="D199" s="9"/>
      <c r="E199" s="10"/>
      <c r="F199" s="10"/>
      <c r="G199" s="10"/>
      <c r="H199" s="10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 spans="1:34" ht="15.75" customHeight="1">
      <c r="A200" s="9"/>
      <c r="B200" s="9"/>
      <c r="C200" s="9"/>
      <c r="D200" s="9"/>
      <c r="E200" s="10"/>
      <c r="F200" s="10"/>
      <c r="G200" s="10"/>
      <c r="H200" s="10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 spans="1:34" ht="15.75" customHeight="1">
      <c r="A201" s="9"/>
      <c r="B201" s="9"/>
      <c r="C201" s="9"/>
      <c r="D201" s="9"/>
      <c r="E201" s="10"/>
      <c r="F201" s="10"/>
      <c r="G201" s="10"/>
      <c r="H201" s="10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 spans="1:34" ht="15.75" customHeight="1">
      <c r="A202" s="9"/>
      <c r="B202" s="9"/>
      <c r="C202" s="9"/>
      <c r="D202" s="9"/>
      <c r="E202" s="10"/>
      <c r="F202" s="10"/>
      <c r="G202" s="10"/>
      <c r="H202" s="10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 spans="1:34" ht="15.75" customHeight="1">
      <c r="A203" s="9"/>
      <c r="B203" s="9"/>
      <c r="C203" s="9"/>
      <c r="D203" s="9"/>
      <c r="E203" s="10"/>
      <c r="F203" s="10"/>
      <c r="G203" s="10"/>
      <c r="H203" s="10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 spans="1:34" ht="15.75" customHeight="1">
      <c r="A204" s="9"/>
      <c r="B204" s="9"/>
      <c r="C204" s="9"/>
      <c r="D204" s="9"/>
      <c r="E204" s="10"/>
      <c r="F204" s="10"/>
      <c r="G204" s="10"/>
      <c r="H204" s="10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</row>
    <row r="205" spans="1:34" ht="15.75" customHeight="1">
      <c r="A205" s="9"/>
      <c r="B205" s="9"/>
      <c r="C205" s="9"/>
      <c r="D205" s="9"/>
      <c r="E205" s="10"/>
      <c r="F205" s="10"/>
      <c r="G205" s="10"/>
      <c r="H205" s="10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 spans="1:34" ht="15.75" customHeight="1">
      <c r="A206" s="9"/>
      <c r="B206" s="9"/>
      <c r="C206" s="9"/>
      <c r="D206" s="9"/>
      <c r="E206" s="10"/>
      <c r="F206" s="10"/>
      <c r="G206" s="10"/>
      <c r="H206" s="10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</row>
    <row r="207" spans="1:34" ht="15.75" customHeight="1">
      <c r="A207" s="9"/>
      <c r="B207" s="9"/>
      <c r="C207" s="9"/>
      <c r="D207" s="9"/>
      <c r="E207" s="10"/>
      <c r="F207" s="10"/>
      <c r="G207" s="10"/>
      <c r="H207" s="10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 spans="1:34" ht="15.75" customHeight="1">
      <c r="A208" s="9"/>
      <c r="B208" s="9"/>
      <c r="C208" s="9"/>
      <c r="D208" s="9"/>
      <c r="E208" s="10"/>
      <c r="F208" s="10"/>
      <c r="G208" s="10"/>
      <c r="H208" s="10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</row>
    <row r="209" spans="1:34" ht="15.75" customHeight="1">
      <c r="A209" s="9"/>
      <c r="B209" s="9"/>
      <c r="C209" s="9"/>
      <c r="D209" s="9"/>
      <c r="E209" s="10"/>
      <c r="F209" s="10"/>
      <c r="G209" s="10"/>
      <c r="H209" s="10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 spans="1:34" ht="15.75" customHeight="1">
      <c r="A210" s="9"/>
      <c r="B210" s="9"/>
      <c r="C210" s="9"/>
      <c r="D210" s="9"/>
      <c r="E210" s="10"/>
      <c r="F210" s="10"/>
      <c r="G210" s="10"/>
      <c r="H210" s="10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</row>
    <row r="211" spans="1:34" ht="15.75" customHeight="1">
      <c r="A211" s="9"/>
      <c r="B211" s="9"/>
      <c r="C211" s="9"/>
      <c r="D211" s="9"/>
      <c r="E211" s="10"/>
      <c r="F211" s="10"/>
      <c r="G211" s="10"/>
      <c r="H211" s="10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 spans="1:34" ht="15.75" customHeight="1">
      <c r="A212" s="9"/>
      <c r="B212" s="9"/>
      <c r="C212" s="9"/>
      <c r="D212" s="9"/>
      <c r="E212" s="10"/>
      <c r="F212" s="10"/>
      <c r="G212" s="10"/>
      <c r="H212" s="10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</row>
    <row r="213" spans="1:34" ht="15.75" customHeight="1">
      <c r="A213" s="9"/>
      <c r="B213" s="9"/>
      <c r="C213" s="9"/>
      <c r="D213" s="9"/>
      <c r="E213" s="10"/>
      <c r="F213" s="10"/>
      <c r="G213" s="10"/>
      <c r="H213" s="10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 spans="1:34" ht="15.75" customHeight="1">
      <c r="A214" s="9"/>
      <c r="B214" s="9"/>
      <c r="C214" s="9"/>
      <c r="D214" s="9"/>
      <c r="E214" s="10"/>
      <c r="F214" s="10"/>
      <c r="G214" s="10"/>
      <c r="H214" s="10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</row>
    <row r="215" spans="1:34" ht="15.75" customHeight="1">
      <c r="A215" s="9"/>
      <c r="B215" s="9"/>
      <c r="C215" s="9"/>
      <c r="D215" s="9"/>
      <c r="E215" s="10"/>
      <c r="F215" s="10"/>
      <c r="G215" s="10"/>
      <c r="H215" s="10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 spans="1:34" ht="15.75" customHeight="1">
      <c r="A216" s="9"/>
      <c r="B216" s="9"/>
      <c r="C216" s="9"/>
      <c r="D216" s="9"/>
      <c r="E216" s="10"/>
      <c r="F216" s="10"/>
      <c r="G216" s="10"/>
      <c r="H216" s="10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 spans="1:34" ht="15.75" customHeight="1">
      <c r="A217" s="9"/>
      <c r="B217" s="9"/>
      <c r="C217" s="9"/>
      <c r="D217" s="9"/>
      <c r="E217" s="10"/>
      <c r="F217" s="10"/>
      <c r="G217" s="10"/>
      <c r="H217" s="10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 spans="1:34" ht="15.75" customHeight="1">
      <c r="A218" s="9"/>
      <c r="B218" s="9"/>
      <c r="C218" s="9"/>
      <c r="D218" s="9"/>
      <c r="E218" s="10"/>
      <c r="F218" s="10"/>
      <c r="G218" s="10"/>
      <c r="H218" s="10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</row>
    <row r="219" spans="1:34" ht="15.75" customHeight="1">
      <c r="A219" s="9"/>
      <c r="B219" s="9"/>
      <c r="C219" s="9"/>
      <c r="D219" s="9"/>
      <c r="E219" s="10"/>
      <c r="F219" s="10"/>
      <c r="G219" s="10"/>
      <c r="H219" s="10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 spans="1:34" ht="15.75" customHeight="1">
      <c r="A220" s="9"/>
      <c r="B220" s="9"/>
      <c r="C220" s="9"/>
      <c r="D220" s="9"/>
      <c r="E220" s="10"/>
      <c r="F220" s="10"/>
      <c r="G220" s="10"/>
      <c r="H220" s="10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 spans="1:34" ht="15.75" customHeight="1">
      <c r="A221" s="9"/>
      <c r="B221" s="9"/>
      <c r="C221" s="9"/>
      <c r="D221" s="9"/>
      <c r="E221" s="10"/>
      <c r="F221" s="10"/>
      <c r="G221" s="10"/>
      <c r="H221" s="10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 spans="1:34" ht="15.75" customHeight="1">
      <c r="A222" s="9"/>
      <c r="B222" s="9"/>
      <c r="C222" s="9"/>
      <c r="D222" s="9"/>
      <c r="E222" s="10"/>
      <c r="F222" s="10"/>
      <c r="G222" s="10"/>
      <c r="H222" s="10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 spans="1:34" ht="15.75" customHeight="1">
      <c r="A223" s="9"/>
      <c r="B223" s="9"/>
      <c r="C223" s="9"/>
      <c r="D223" s="9"/>
      <c r="E223" s="10"/>
      <c r="F223" s="10"/>
      <c r="G223" s="10"/>
      <c r="H223" s="10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 spans="1:34" ht="15.75" customHeight="1">
      <c r="A224" s="9"/>
      <c r="B224" s="9"/>
      <c r="C224" s="9"/>
      <c r="D224" s="9"/>
      <c r="E224" s="10"/>
      <c r="F224" s="10"/>
      <c r="G224" s="10"/>
      <c r="H224" s="10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 spans="1:34" ht="15.75" customHeight="1">
      <c r="A225" s="9"/>
      <c r="B225" s="9"/>
      <c r="C225" s="9"/>
      <c r="D225" s="9"/>
      <c r="E225" s="10"/>
      <c r="F225" s="10"/>
      <c r="G225" s="10"/>
      <c r="H225" s="10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 spans="1:34" ht="15.75" customHeight="1">
      <c r="A226" s="9"/>
      <c r="B226" s="9"/>
      <c r="C226" s="9"/>
      <c r="D226" s="9"/>
      <c r="E226" s="10"/>
      <c r="F226" s="10"/>
      <c r="G226" s="10"/>
      <c r="H226" s="10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 spans="1:34" ht="15.75" customHeight="1">
      <c r="A227" s="9"/>
      <c r="B227" s="9"/>
      <c r="C227" s="9"/>
      <c r="D227" s="9"/>
      <c r="E227" s="10"/>
      <c r="F227" s="10"/>
      <c r="G227" s="10"/>
      <c r="H227" s="10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 spans="1:34" ht="15.75" customHeight="1">
      <c r="A228" s="9"/>
      <c r="B228" s="9"/>
      <c r="C228" s="9"/>
      <c r="D228" s="9"/>
      <c r="E228" s="10"/>
      <c r="F228" s="10"/>
      <c r="G228" s="10"/>
      <c r="H228" s="10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 spans="1:34" ht="15.75" customHeight="1">
      <c r="A229" s="9"/>
      <c r="B229" s="9"/>
      <c r="C229" s="9"/>
      <c r="D229" s="9"/>
      <c r="E229" s="10"/>
      <c r="F229" s="10"/>
      <c r="G229" s="10"/>
      <c r="H229" s="10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 spans="1:34" ht="15.75" customHeight="1">
      <c r="A230" s="9"/>
      <c r="B230" s="9"/>
      <c r="C230" s="9"/>
      <c r="D230" s="9"/>
      <c r="E230" s="10"/>
      <c r="F230" s="10"/>
      <c r="G230" s="10"/>
      <c r="H230" s="10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</row>
    <row r="231" spans="1:34" ht="15.75" customHeight="1">
      <c r="A231" s="9"/>
      <c r="B231" s="9"/>
      <c r="C231" s="9"/>
      <c r="D231" s="9"/>
      <c r="E231" s="10"/>
      <c r="F231" s="10"/>
      <c r="G231" s="10"/>
      <c r="H231" s="10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 spans="1:34" ht="15.75" customHeight="1">
      <c r="A232" s="9"/>
      <c r="B232" s="9"/>
      <c r="C232" s="9"/>
      <c r="D232" s="9"/>
      <c r="E232" s="10"/>
      <c r="F232" s="10"/>
      <c r="G232" s="10"/>
      <c r="H232" s="10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 spans="1:34" ht="15.75" customHeight="1">
      <c r="A233" s="9"/>
      <c r="B233" s="9"/>
      <c r="C233" s="9"/>
      <c r="D233" s="9"/>
      <c r="E233" s="10"/>
      <c r="F233" s="10"/>
      <c r="G233" s="10"/>
      <c r="H233" s="10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 spans="1:34" ht="15.75" customHeight="1">
      <c r="A234" s="9"/>
      <c r="B234" s="9"/>
      <c r="C234" s="9"/>
      <c r="D234" s="9"/>
      <c r="E234" s="10"/>
      <c r="F234" s="10"/>
      <c r="G234" s="10"/>
      <c r="H234" s="10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 spans="1:34" ht="15.75" customHeight="1">
      <c r="A235" s="9"/>
      <c r="B235" s="9"/>
      <c r="C235" s="9"/>
      <c r="D235" s="9"/>
      <c r="E235" s="10"/>
      <c r="F235" s="10"/>
      <c r="G235" s="10"/>
      <c r="H235" s="10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 spans="1:34" ht="15.75" customHeight="1">
      <c r="A236" s="9"/>
      <c r="B236" s="9"/>
      <c r="C236" s="9"/>
      <c r="D236" s="9"/>
      <c r="E236" s="10"/>
      <c r="F236" s="10"/>
      <c r="G236" s="10"/>
      <c r="H236" s="10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  <row r="237" spans="1:34" ht="15.75" customHeight="1">
      <c r="A237" s="9"/>
      <c r="B237" s="9"/>
      <c r="C237" s="9"/>
      <c r="D237" s="9"/>
      <c r="E237" s="10"/>
      <c r="F237" s="10"/>
      <c r="G237" s="10"/>
      <c r="H237" s="10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 spans="1:34" ht="15.75" customHeight="1">
      <c r="A238" s="9"/>
      <c r="B238" s="9"/>
      <c r="C238" s="9"/>
      <c r="D238" s="9"/>
      <c r="E238" s="10"/>
      <c r="F238" s="10"/>
      <c r="G238" s="10"/>
      <c r="H238" s="10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</row>
    <row r="239" spans="1:34" ht="15.75" customHeight="1">
      <c r="A239" s="9"/>
      <c r="B239" s="9"/>
      <c r="C239" s="9"/>
      <c r="D239" s="9"/>
      <c r="E239" s="10"/>
      <c r="F239" s="10"/>
      <c r="G239" s="10"/>
      <c r="H239" s="10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 spans="1:34" ht="15.75" customHeight="1">
      <c r="A240" s="9"/>
      <c r="B240" s="9"/>
      <c r="C240" s="9"/>
      <c r="D240" s="9"/>
      <c r="E240" s="10"/>
      <c r="F240" s="10"/>
      <c r="G240" s="10"/>
      <c r="H240" s="10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</row>
    <row r="241" spans="1:34" ht="15.75" customHeight="1">
      <c r="A241" s="9"/>
      <c r="B241" s="9"/>
      <c r="C241" s="9"/>
      <c r="D241" s="9"/>
      <c r="E241" s="10"/>
      <c r="F241" s="10"/>
      <c r="G241" s="10"/>
      <c r="H241" s="10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 spans="1:34" ht="15.75" customHeight="1">
      <c r="A242" s="9"/>
      <c r="B242" s="9"/>
      <c r="C242" s="9"/>
      <c r="D242" s="9"/>
      <c r="E242" s="10"/>
      <c r="F242" s="10"/>
      <c r="G242" s="10"/>
      <c r="H242" s="10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</row>
    <row r="243" spans="1:34" ht="15.75" customHeight="1">
      <c r="A243" s="9"/>
      <c r="B243" s="9"/>
      <c r="C243" s="9"/>
      <c r="D243" s="9"/>
      <c r="E243" s="10"/>
      <c r="F243" s="10"/>
      <c r="G243" s="10"/>
      <c r="H243" s="10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 spans="1:34" ht="15.75" customHeight="1">
      <c r="A244" s="9"/>
      <c r="B244" s="9"/>
      <c r="C244" s="9"/>
      <c r="D244" s="9"/>
      <c r="E244" s="10"/>
      <c r="F244" s="10"/>
      <c r="G244" s="10"/>
      <c r="H244" s="10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</row>
    <row r="245" spans="1:34" ht="15.75" customHeight="1">
      <c r="A245" s="9"/>
      <c r="B245" s="9"/>
      <c r="C245" s="9"/>
      <c r="D245" s="9"/>
      <c r="E245" s="10"/>
      <c r="F245" s="10"/>
      <c r="G245" s="10"/>
      <c r="H245" s="10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 spans="1:34" ht="15.75" customHeight="1">
      <c r="A246" s="9"/>
      <c r="B246" s="9"/>
      <c r="C246" s="9"/>
      <c r="D246" s="9"/>
      <c r="E246" s="10"/>
      <c r="F246" s="10"/>
      <c r="G246" s="10"/>
      <c r="H246" s="10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</row>
    <row r="247" spans="1:34" ht="15.75" customHeight="1">
      <c r="A247" s="9"/>
      <c r="B247" s="9"/>
      <c r="C247" s="9"/>
      <c r="D247" s="9"/>
      <c r="E247" s="10"/>
      <c r="F247" s="10"/>
      <c r="G247" s="10"/>
      <c r="H247" s="10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 spans="1:34" ht="15.75" customHeight="1">
      <c r="A248" s="9"/>
      <c r="B248" s="9"/>
      <c r="C248" s="9"/>
      <c r="D248" s="9"/>
      <c r="E248" s="10"/>
      <c r="F248" s="10"/>
      <c r="G248" s="10"/>
      <c r="H248" s="10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</row>
    <row r="249" spans="1:34" ht="15.75" customHeight="1">
      <c r="A249" s="9"/>
      <c r="B249" s="9"/>
      <c r="C249" s="9"/>
      <c r="D249" s="9"/>
      <c r="E249" s="10"/>
      <c r="F249" s="10"/>
      <c r="G249" s="10"/>
      <c r="H249" s="10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 spans="1:34" ht="15.75" customHeight="1">
      <c r="A250" s="9"/>
      <c r="B250" s="9"/>
      <c r="C250" s="9"/>
      <c r="D250" s="9"/>
      <c r="E250" s="10"/>
      <c r="F250" s="10"/>
      <c r="G250" s="10"/>
      <c r="H250" s="10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 spans="1:34" ht="15.75" customHeight="1">
      <c r="A251" s="9"/>
      <c r="B251" s="9"/>
      <c r="C251" s="9"/>
      <c r="D251" s="9"/>
      <c r="E251" s="10"/>
      <c r="F251" s="10"/>
      <c r="G251" s="10"/>
      <c r="H251" s="10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 spans="1:34" ht="15.75" customHeight="1">
      <c r="A252" s="9"/>
      <c r="B252" s="9"/>
      <c r="C252" s="9"/>
      <c r="D252" s="9"/>
      <c r="E252" s="10"/>
      <c r="F252" s="10"/>
      <c r="G252" s="10"/>
      <c r="H252" s="10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 spans="1:34" ht="15.75" customHeight="1">
      <c r="A253" s="9"/>
      <c r="B253" s="9"/>
      <c r="C253" s="9"/>
      <c r="D253" s="9"/>
      <c r="E253" s="10"/>
      <c r="F253" s="10"/>
      <c r="G253" s="10"/>
      <c r="H253" s="10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 spans="1:34" ht="15.75" customHeight="1">
      <c r="A254" s="9"/>
      <c r="B254" s="9"/>
      <c r="C254" s="9"/>
      <c r="D254" s="9"/>
      <c r="E254" s="10"/>
      <c r="F254" s="10"/>
      <c r="G254" s="10"/>
      <c r="H254" s="10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 spans="1:34" ht="15.75" customHeight="1">
      <c r="A255" s="9"/>
      <c r="B255" s="9"/>
      <c r="C255" s="9"/>
      <c r="D255" s="9"/>
      <c r="E255" s="10"/>
      <c r="F255" s="10"/>
      <c r="G255" s="10"/>
      <c r="H255" s="10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 spans="1:34" ht="15.75" customHeight="1">
      <c r="A256" s="9"/>
      <c r="B256" s="9"/>
      <c r="C256" s="9"/>
      <c r="D256" s="9"/>
      <c r="E256" s="10"/>
      <c r="F256" s="10"/>
      <c r="G256" s="10"/>
      <c r="H256" s="10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 spans="1:34" ht="15.75" customHeight="1">
      <c r="A257" s="9"/>
      <c r="B257" s="9"/>
      <c r="C257" s="9"/>
      <c r="D257" s="9"/>
      <c r="E257" s="10"/>
      <c r="F257" s="10"/>
      <c r="G257" s="10"/>
      <c r="H257" s="10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 spans="1:34" ht="15.75" customHeight="1">
      <c r="A258" s="9"/>
      <c r="B258" s="9"/>
      <c r="C258" s="9"/>
      <c r="D258" s="9"/>
      <c r="E258" s="10"/>
      <c r="F258" s="10"/>
      <c r="G258" s="10"/>
      <c r="H258" s="10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 spans="1:34" ht="15.75" customHeight="1">
      <c r="A259" s="9"/>
      <c r="B259" s="9"/>
      <c r="C259" s="9"/>
      <c r="D259" s="9"/>
      <c r="E259" s="10"/>
      <c r="F259" s="10"/>
      <c r="G259" s="10"/>
      <c r="H259" s="10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 spans="1:34" ht="15.75" customHeight="1">
      <c r="A260" s="9"/>
      <c r="B260" s="9"/>
      <c r="C260" s="9"/>
      <c r="D260" s="9"/>
      <c r="E260" s="10"/>
      <c r="F260" s="10"/>
      <c r="G260" s="10"/>
      <c r="H260" s="10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</row>
    <row r="261" spans="1:34" ht="15.75" customHeight="1">
      <c r="A261" s="9"/>
      <c r="B261" s="9"/>
      <c r="C261" s="9"/>
      <c r="D261" s="9"/>
      <c r="E261" s="10"/>
      <c r="F261" s="10"/>
      <c r="G261" s="10"/>
      <c r="H261" s="10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 spans="1:34" ht="15.75" customHeight="1">
      <c r="A262" s="9"/>
      <c r="B262" s="9"/>
      <c r="C262" s="9"/>
      <c r="D262" s="9"/>
      <c r="E262" s="10"/>
      <c r="F262" s="10"/>
      <c r="G262" s="10"/>
      <c r="H262" s="10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</row>
    <row r="263" spans="1:34" ht="15.75" customHeight="1">
      <c r="A263" s="9"/>
      <c r="B263" s="9"/>
      <c r="C263" s="9"/>
      <c r="D263" s="9"/>
      <c r="E263" s="10"/>
      <c r="F263" s="10"/>
      <c r="G263" s="10"/>
      <c r="H263" s="10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</row>
    <row r="264" spans="1:34" ht="15.75" customHeight="1">
      <c r="A264" s="9"/>
      <c r="B264" s="9"/>
      <c r="C264" s="9"/>
      <c r="D264" s="9"/>
      <c r="E264" s="10"/>
      <c r="F264" s="10"/>
      <c r="G264" s="10"/>
      <c r="H264" s="10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</row>
    <row r="265" spans="1:34" ht="15.75" customHeight="1">
      <c r="A265" s="9"/>
      <c r="B265" s="9"/>
      <c r="C265" s="9"/>
      <c r="D265" s="9"/>
      <c r="E265" s="10"/>
      <c r="F265" s="10"/>
      <c r="G265" s="10"/>
      <c r="H265" s="10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 spans="1:34" ht="15.75" customHeight="1">
      <c r="A266" s="9"/>
      <c r="B266" s="9"/>
      <c r="C266" s="9"/>
      <c r="D266" s="9"/>
      <c r="E266" s="10"/>
      <c r="F266" s="10"/>
      <c r="G266" s="10"/>
      <c r="H266" s="10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</row>
    <row r="267" spans="1:34" ht="15.75" customHeight="1">
      <c r="A267" s="9"/>
      <c r="B267" s="9"/>
      <c r="C267" s="9"/>
      <c r="D267" s="9"/>
      <c r="E267" s="10"/>
      <c r="F267" s="10"/>
      <c r="G267" s="10"/>
      <c r="H267" s="10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 spans="1:34" ht="15.75" customHeight="1">
      <c r="A268" s="9"/>
      <c r="B268" s="9"/>
      <c r="C268" s="9"/>
      <c r="D268" s="9"/>
      <c r="E268" s="10"/>
      <c r="F268" s="10"/>
      <c r="G268" s="10"/>
      <c r="H268" s="10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 spans="1:34" ht="15.75" customHeight="1">
      <c r="A269" s="9"/>
      <c r="B269" s="9"/>
      <c r="C269" s="9"/>
      <c r="D269" s="9"/>
      <c r="E269" s="10"/>
      <c r="F269" s="10"/>
      <c r="G269" s="10"/>
      <c r="H269" s="10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 spans="1:34" ht="15.75" customHeight="1">
      <c r="A270" s="9"/>
      <c r="B270" s="9"/>
      <c r="C270" s="9"/>
      <c r="D270" s="9"/>
      <c r="E270" s="10"/>
      <c r="F270" s="10"/>
      <c r="G270" s="10"/>
      <c r="H270" s="10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 spans="1:34" ht="15.75" customHeight="1">
      <c r="A271" s="9"/>
      <c r="B271" s="9"/>
      <c r="C271" s="9"/>
      <c r="D271" s="9"/>
      <c r="E271" s="10"/>
      <c r="F271" s="10"/>
      <c r="G271" s="10"/>
      <c r="H271" s="10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 spans="1:34" ht="15.75" customHeight="1">
      <c r="A272" s="9"/>
      <c r="B272" s="9"/>
      <c r="C272" s="9"/>
      <c r="D272" s="9"/>
      <c r="E272" s="10"/>
      <c r="F272" s="10"/>
      <c r="G272" s="10"/>
      <c r="H272" s="10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</row>
    <row r="273" spans="1:34" ht="15.75" customHeight="1">
      <c r="A273" s="9"/>
      <c r="B273" s="9"/>
      <c r="C273" s="9"/>
      <c r="D273" s="9"/>
      <c r="E273" s="10"/>
      <c r="F273" s="10"/>
      <c r="G273" s="10"/>
      <c r="H273" s="10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 spans="1:34" ht="15.75" customHeight="1">
      <c r="A274" s="9"/>
      <c r="B274" s="9"/>
      <c r="C274" s="9"/>
      <c r="D274" s="9"/>
      <c r="E274" s="10"/>
      <c r="F274" s="10"/>
      <c r="G274" s="10"/>
      <c r="H274" s="10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  <row r="275" spans="1:34" ht="15.75" customHeight="1">
      <c r="A275" s="9"/>
      <c r="B275" s="9"/>
      <c r="C275" s="9"/>
      <c r="D275" s="9"/>
      <c r="E275" s="10"/>
      <c r="F275" s="10"/>
      <c r="G275" s="10"/>
      <c r="H275" s="10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 spans="1:34" ht="15.75" customHeight="1">
      <c r="A276" s="9"/>
      <c r="B276" s="9"/>
      <c r="C276" s="9"/>
      <c r="D276" s="9"/>
      <c r="E276" s="10"/>
      <c r="F276" s="10"/>
      <c r="G276" s="10"/>
      <c r="H276" s="10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</row>
    <row r="277" spans="1:34" ht="15.75" customHeight="1">
      <c r="A277" s="9"/>
      <c r="B277" s="9"/>
      <c r="C277" s="9"/>
      <c r="D277" s="9"/>
      <c r="E277" s="10"/>
      <c r="F277" s="10"/>
      <c r="G277" s="10"/>
      <c r="H277" s="10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 spans="1:34" ht="15.75" customHeight="1">
      <c r="A278" s="9"/>
      <c r="B278" s="9"/>
      <c r="C278" s="9"/>
      <c r="D278" s="9"/>
      <c r="E278" s="10"/>
      <c r="F278" s="10"/>
      <c r="G278" s="10"/>
      <c r="H278" s="10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</row>
    <row r="279" spans="1:34" ht="15.75" customHeight="1">
      <c r="A279" s="9"/>
      <c r="B279" s="9"/>
      <c r="C279" s="9"/>
      <c r="D279" s="9"/>
      <c r="E279" s="10"/>
      <c r="F279" s="10"/>
      <c r="G279" s="10"/>
      <c r="H279" s="10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 spans="1:34" ht="15.75" customHeight="1">
      <c r="A280" s="9"/>
      <c r="B280" s="9"/>
      <c r="C280" s="9"/>
      <c r="D280" s="9"/>
      <c r="E280" s="10"/>
      <c r="F280" s="10"/>
      <c r="G280" s="10"/>
      <c r="H280" s="10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</row>
    <row r="281" spans="1:34" ht="15.75" customHeight="1">
      <c r="A281" s="9"/>
      <c r="B281" s="9"/>
      <c r="C281" s="9"/>
      <c r="D281" s="9"/>
      <c r="E281" s="10"/>
      <c r="F281" s="10"/>
      <c r="G281" s="10"/>
      <c r="H281" s="10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 spans="1:34" ht="15.75" customHeight="1">
      <c r="A282" s="9"/>
      <c r="B282" s="9"/>
      <c r="C282" s="9"/>
      <c r="D282" s="9"/>
      <c r="E282" s="10"/>
      <c r="F282" s="10"/>
      <c r="G282" s="10"/>
      <c r="H282" s="10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 spans="1:34" ht="15.75" customHeight="1">
      <c r="A283" s="9"/>
      <c r="B283" s="9"/>
      <c r="C283" s="9"/>
      <c r="D283" s="9"/>
      <c r="E283" s="10"/>
      <c r="F283" s="10"/>
      <c r="G283" s="10"/>
      <c r="H283" s="10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 spans="1:34" ht="15.75" customHeight="1">
      <c r="A284" s="9"/>
      <c r="B284" s="9"/>
      <c r="C284" s="9"/>
      <c r="D284" s="9"/>
      <c r="E284" s="10"/>
      <c r="F284" s="10"/>
      <c r="G284" s="10"/>
      <c r="H284" s="10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</row>
    <row r="285" spans="1:34" ht="15.75" customHeight="1">
      <c r="A285" s="9"/>
      <c r="B285" s="9"/>
      <c r="C285" s="9"/>
      <c r="D285" s="9"/>
      <c r="E285" s="10"/>
      <c r="F285" s="10"/>
      <c r="G285" s="10"/>
      <c r="H285" s="10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 spans="1:34" ht="15.75" customHeight="1">
      <c r="A286" s="9"/>
      <c r="B286" s="9"/>
      <c r="C286" s="9"/>
      <c r="D286" s="9"/>
      <c r="E286" s="10"/>
      <c r="F286" s="10"/>
      <c r="G286" s="10"/>
      <c r="H286" s="10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</row>
    <row r="287" spans="1:34" ht="15.75" customHeight="1">
      <c r="A287" s="9"/>
      <c r="B287" s="9"/>
      <c r="C287" s="9"/>
      <c r="D287" s="9"/>
      <c r="E287" s="10"/>
      <c r="F287" s="10"/>
      <c r="G287" s="10"/>
      <c r="H287" s="10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 spans="1:34" ht="15.75" customHeight="1">
      <c r="A288" s="9"/>
      <c r="B288" s="9"/>
      <c r="C288" s="9"/>
      <c r="D288" s="9"/>
      <c r="E288" s="10"/>
      <c r="F288" s="10"/>
      <c r="G288" s="10"/>
      <c r="H288" s="10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</row>
    <row r="289" spans="1:34" ht="15.75" customHeight="1">
      <c r="A289" s="9"/>
      <c r="B289" s="9"/>
      <c r="C289" s="9"/>
      <c r="D289" s="9"/>
      <c r="E289" s="10"/>
      <c r="F289" s="10"/>
      <c r="G289" s="10"/>
      <c r="H289" s="10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 spans="1:34" ht="15.75" customHeight="1">
      <c r="A290" s="9"/>
      <c r="B290" s="9"/>
      <c r="C290" s="9"/>
      <c r="D290" s="9"/>
      <c r="E290" s="10"/>
      <c r="F290" s="10"/>
      <c r="G290" s="10"/>
      <c r="H290" s="10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</row>
    <row r="291" spans="1:34" ht="15.75" customHeight="1">
      <c r="A291" s="9"/>
      <c r="B291" s="9"/>
      <c r="C291" s="9"/>
      <c r="D291" s="9"/>
      <c r="E291" s="10"/>
      <c r="F291" s="10"/>
      <c r="G291" s="10"/>
      <c r="H291" s="10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 spans="1:34" ht="15.75" customHeight="1">
      <c r="A292" s="9"/>
      <c r="B292" s="9"/>
      <c r="C292" s="9"/>
      <c r="D292" s="9"/>
      <c r="E292" s="10"/>
      <c r="F292" s="10"/>
      <c r="G292" s="10"/>
      <c r="H292" s="10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 spans="1:34" ht="15.75" customHeight="1">
      <c r="A293" s="9"/>
      <c r="B293" s="9"/>
      <c r="C293" s="9"/>
      <c r="D293" s="9"/>
      <c r="E293" s="10"/>
      <c r="F293" s="10"/>
      <c r="G293" s="10"/>
      <c r="H293" s="10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 spans="1:34" ht="15.75" customHeight="1">
      <c r="A294" s="9"/>
      <c r="B294" s="9"/>
      <c r="C294" s="9"/>
      <c r="D294" s="9"/>
      <c r="E294" s="10"/>
      <c r="F294" s="10"/>
      <c r="G294" s="10"/>
      <c r="H294" s="10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 spans="1:34" ht="15.75" customHeight="1">
      <c r="A295" s="9"/>
      <c r="B295" s="9"/>
      <c r="C295" s="9"/>
      <c r="D295" s="9"/>
      <c r="E295" s="10"/>
      <c r="F295" s="10"/>
      <c r="G295" s="10"/>
      <c r="H295" s="10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 spans="1:34" ht="15.75" customHeight="1">
      <c r="A296" s="9"/>
      <c r="B296" s="9"/>
      <c r="C296" s="9"/>
      <c r="D296" s="9"/>
      <c r="E296" s="10"/>
      <c r="F296" s="10"/>
      <c r="G296" s="10"/>
      <c r="H296" s="10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 spans="1:34" ht="15.75" customHeight="1">
      <c r="A297" s="9"/>
      <c r="B297" s="9"/>
      <c r="C297" s="9"/>
      <c r="D297" s="9"/>
      <c r="E297" s="10"/>
      <c r="F297" s="10"/>
      <c r="G297" s="10"/>
      <c r="H297" s="10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 spans="1:34" ht="15.75" customHeight="1">
      <c r="A298" s="9"/>
      <c r="B298" s="9"/>
      <c r="C298" s="9"/>
      <c r="D298" s="9"/>
      <c r="E298" s="10"/>
      <c r="F298" s="10"/>
      <c r="G298" s="10"/>
      <c r="H298" s="10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 spans="1:34" ht="15.75" customHeight="1">
      <c r="A299" s="9"/>
      <c r="B299" s="9"/>
      <c r="C299" s="9"/>
      <c r="D299" s="9"/>
      <c r="E299" s="10"/>
      <c r="F299" s="10"/>
      <c r="G299" s="10"/>
      <c r="H299" s="10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 spans="1:34" ht="15.75" customHeight="1">
      <c r="A300" s="9"/>
      <c r="B300" s="9"/>
      <c r="C300" s="9"/>
      <c r="D300" s="9"/>
      <c r="E300" s="10"/>
      <c r="F300" s="10"/>
      <c r="G300" s="10"/>
      <c r="H300" s="10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  <row r="301" spans="1:34" ht="15.75" customHeight="1">
      <c r="A301" s="9"/>
      <c r="B301" s="9"/>
      <c r="C301" s="9"/>
      <c r="D301" s="9"/>
      <c r="E301" s="10"/>
      <c r="F301" s="10"/>
      <c r="G301" s="10"/>
      <c r="H301" s="10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 spans="1:34" ht="15.75" customHeight="1">
      <c r="A302" s="9"/>
      <c r="B302" s="9"/>
      <c r="C302" s="9"/>
      <c r="D302" s="9"/>
      <c r="E302" s="10"/>
      <c r="F302" s="10"/>
      <c r="G302" s="10"/>
      <c r="H302" s="10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</row>
    <row r="303" spans="1:34" ht="15.75" customHeight="1">
      <c r="A303" s="9"/>
      <c r="B303" s="9"/>
      <c r="C303" s="9"/>
      <c r="D303" s="9"/>
      <c r="E303" s="10"/>
      <c r="F303" s="10"/>
      <c r="G303" s="10"/>
      <c r="H303" s="10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 spans="1:34" ht="15.75" customHeight="1">
      <c r="A304" s="9"/>
      <c r="B304" s="9"/>
      <c r="C304" s="9"/>
      <c r="D304" s="9"/>
      <c r="E304" s="10"/>
      <c r="F304" s="10"/>
      <c r="G304" s="10"/>
      <c r="H304" s="10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</row>
    <row r="305" spans="1:34" ht="15.75" customHeight="1">
      <c r="A305" s="9"/>
      <c r="B305" s="9"/>
      <c r="C305" s="9"/>
      <c r="D305" s="9"/>
      <c r="E305" s="10"/>
      <c r="F305" s="10"/>
      <c r="G305" s="10"/>
      <c r="H305" s="10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 spans="1:34" ht="15.75" customHeight="1">
      <c r="A306" s="9"/>
      <c r="B306" s="9"/>
      <c r="C306" s="9"/>
      <c r="D306" s="9"/>
      <c r="E306" s="10"/>
      <c r="F306" s="10"/>
      <c r="G306" s="10"/>
      <c r="H306" s="10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</row>
    <row r="307" spans="1:34" ht="15.75" customHeight="1">
      <c r="A307" s="9"/>
      <c r="B307" s="9"/>
      <c r="C307" s="9"/>
      <c r="D307" s="9"/>
      <c r="E307" s="10"/>
      <c r="F307" s="10"/>
      <c r="G307" s="10"/>
      <c r="H307" s="10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 spans="1:34" ht="15.75" customHeight="1">
      <c r="A308" s="9"/>
      <c r="B308" s="9"/>
      <c r="C308" s="9"/>
      <c r="D308" s="9"/>
      <c r="E308" s="10"/>
      <c r="F308" s="10"/>
      <c r="G308" s="10"/>
      <c r="H308" s="10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</row>
    <row r="309" spans="1:34" ht="15.75" customHeight="1">
      <c r="A309" s="9"/>
      <c r="B309" s="9"/>
      <c r="C309" s="9"/>
      <c r="D309" s="9"/>
      <c r="E309" s="10"/>
      <c r="F309" s="10"/>
      <c r="G309" s="10"/>
      <c r="H309" s="10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 spans="1:34" ht="15.75" customHeight="1">
      <c r="A310" s="9"/>
      <c r="B310" s="9"/>
      <c r="C310" s="9"/>
      <c r="D310" s="9"/>
      <c r="E310" s="10"/>
      <c r="F310" s="10"/>
      <c r="G310" s="10"/>
      <c r="H310" s="10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</row>
    <row r="311" spans="1:34" ht="15.75" customHeight="1">
      <c r="A311" s="9"/>
      <c r="B311" s="9"/>
      <c r="C311" s="9"/>
      <c r="D311" s="9"/>
      <c r="E311" s="10"/>
      <c r="F311" s="10"/>
      <c r="G311" s="10"/>
      <c r="H311" s="10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 spans="1:34" ht="15.75" customHeight="1">
      <c r="A312" s="9"/>
      <c r="B312" s="9"/>
      <c r="C312" s="9"/>
      <c r="D312" s="9"/>
      <c r="E312" s="10"/>
      <c r="F312" s="10"/>
      <c r="G312" s="10"/>
      <c r="H312" s="10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</row>
    <row r="313" spans="1:34" ht="15.75" customHeight="1">
      <c r="A313" s="9"/>
      <c r="B313" s="9"/>
      <c r="C313" s="9"/>
      <c r="D313" s="9"/>
      <c r="E313" s="10"/>
      <c r="F313" s="10"/>
      <c r="G313" s="10"/>
      <c r="H313" s="10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 spans="1:34" ht="15.75" customHeight="1">
      <c r="A314" s="9"/>
      <c r="B314" s="9"/>
      <c r="C314" s="9"/>
      <c r="D314" s="9"/>
      <c r="E314" s="10"/>
      <c r="F314" s="10"/>
      <c r="G314" s="10"/>
      <c r="H314" s="10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</row>
    <row r="315" spans="1:34" ht="15.75" customHeight="1">
      <c r="A315" s="9"/>
      <c r="B315" s="9"/>
      <c r="C315" s="9"/>
      <c r="D315" s="9"/>
      <c r="E315" s="10"/>
      <c r="F315" s="10"/>
      <c r="G315" s="10"/>
      <c r="H315" s="10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 spans="1:34" ht="15.75" customHeight="1">
      <c r="A316" s="9"/>
      <c r="B316" s="9"/>
      <c r="C316" s="9"/>
      <c r="D316" s="9"/>
      <c r="E316" s="10"/>
      <c r="F316" s="10"/>
      <c r="G316" s="10"/>
      <c r="H316" s="10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</row>
    <row r="317" spans="1:34" ht="15.75" customHeight="1">
      <c r="A317" s="9"/>
      <c r="B317" s="9"/>
      <c r="C317" s="9"/>
      <c r="D317" s="9"/>
      <c r="E317" s="10"/>
      <c r="F317" s="10"/>
      <c r="G317" s="10"/>
      <c r="H317" s="10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 spans="1:34" ht="15.75" customHeight="1">
      <c r="A318" s="9"/>
      <c r="B318" s="9"/>
      <c r="C318" s="9"/>
      <c r="D318" s="9"/>
      <c r="E318" s="10"/>
      <c r="F318" s="10"/>
      <c r="G318" s="10"/>
      <c r="H318" s="10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</row>
    <row r="319" spans="1:34" ht="15.75" customHeight="1">
      <c r="A319" s="9"/>
      <c r="B319" s="9"/>
      <c r="C319" s="9"/>
      <c r="D319" s="9"/>
      <c r="E319" s="10"/>
      <c r="F319" s="10"/>
      <c r="G319" s="10"/>
      <c r="H319" s="10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 spans="1:34" ht="15.75" customHeight="1">
      <c r="A320" s="9"/>
      <c r="B320" s="9"/>
      <c r="C320" s="9"/>
      <c r="D320" s="9"/>
      <c r="E320" s="10"/>
      <c r="F320" s="10"/>
      <c r="G320" s="10"/>
      <c r="H320" s="10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</row>
    <row r="321" spans="1:34" ht="15.75" customHeight="1">
      <c r="A321" s="9"/>
      <c r="B321" s="9"/>
      <c r="C321" s="9"/>
      <c r="D321" s="9"/>
      <c r="E321" s="10"/>
      <c r="F321" s="10"/>
      <c r="G321" s="10"/>
      <c r="H321" s="10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 spans="1:34" ht="15.75" customHeight="1">
      <c r="A322" s="9"/>
      <c r="B322" s="9"/>
      <c r="C322" s="9"/>
      <c r="D322" s="9"/>
      <c r="E322" s="10"/>
      <c r="F322" s="10"/>
      <c r="G322" s="10"/>
      <c r="H322" s="10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</row>
    <row r="323" spans="1:34" ht="15.75" customHeight="1">
      <c r="A323" s="9"/>
      <c r="B323" s="9"/>
      <c r="C323" s="9"/>
      <c r="D323" s="9"/>
      <c r="E323" s="10"/>
      <c r="F323" s="10"/>
      <c r="G323" s="10"/>
      <c r="H323" s="10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 spans="1:34" ht="15.75" customHeight="1">
      <c r="A324" s="9"/>
      <c r="B324" s="9"/>
      <c r="C324" s="9"/>
      <c r="D324" s="9"/>
      <c r="E324" s="10"/>
      <c r="F324" s="10"/>
      <c r="G324" s="10"/>
      <c r="H324" s="10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</row>
    <row r="325" spans="1:34" ht="15.75" customHeight="1">
      <c r="A325" s="9"/>
      <c r="B325" s="9"/>
      <c r="C325" s="9"/>
      <c r="D325" s="9"/>
      <c r="E325" s="10"/>
      <c r="F325" s="10"/>
      <c r="G325" s="10"/>
      <c r="H325" s="10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 spans="1:34" ht="15.75" customHeight="1">
      <c r="A326" s="9"/>
      <c r="B326" s="9"/>
      <c r="C326" s="9"/>
      <c r="D326" s="9"/>
      <c r="E326" s="10"/>
      <c r="F326" s="10"/>
      <c r="G326" s="10"/>
      <c r="H326" s="10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</row>
    <row r="327" spans="1:34" ht="15.75" customHeight="1">
      <c r="A327" s="9"/>
      <c r="B327" s="9"/>
      <c r="C327" s="9"/>
      <c r="D327" s="9"/>
      <c r="E327" s="10"/>
      <c r="F327" s="10"/>
      <c r="G327" s="10"/>
      <c r="H327" s="10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 spans="1:34" ht="15.75" customHeight="1">
      <c r="A328" s="9"/>
      <c r="B328" s="9"/>
      <c r="C328" s="9"/>
      <c r="D328" s="9"/>
      <c r="E328" s="10"/>
      <c r="F328" s="10"/>
      <c r="G328" s="10"/>
      <c r="H328" s="10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</row>
    <row r="329" spans="1:34" ht="15.75" customHeight="1">
      <c r="A329" s="9"/>
      <c r="B329" s="9"/>
      <c r="C329" s="9"/>
      <c r="D329" s="9"/>
      <c r="E329" s="10"/>
      <c r="F329" s="10"/>
      <c r="G329" s="10"/>
      <c r="H329" s="10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 spans="1:34" ht="15.75" customHeight="1">
      <c r="A330" s="9"/>
      <c r="B330" s="9"/>
      <c r="C330" s="9"/>
      <c r="D330" s="9"/>
      <c r="E330" s="10"/>
      <c r="F330" s="10"/>
      <c r="G330" s="10"/>
      <c r="H330" s="10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</row>
    <row r="331" spans="1:34" ht="15.75" customHeight="1">
      <c r="A331" s="9"/>
      <c r="B331" s="9"/>
      <c r="C331" s="9"/>
      <c r="D331" s="9"/>
      <c r="E331" s="10"/>
      <c r="F331" s="10"/>
      <c r="G331" s="10"/>
      <c r="H331" s="10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 spans="1:34" ht="15.75" customHeight="1">
      <c r="A332" s="9"/>
      <c r="B332" s="9"/>
      <c r="C332" s="9"/>
      <c r="D332" s="9"/>
      <c r="E332" s="10"/>
      <c r="F332" s="10"/>
      <c r="G332" s="10"/>
      <c r="H332" s="10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</row>
    <row r="333" spans="1:34" ht="15.75" customHeight="1">
      <c r="A333" s="9"/>
      <c r="B333" s="9"/>
      <c r="C333" s="9"/>
      <c r="D333" s="9"/>
      <c r="E333" s="10"/>
      <c r="F333" s="10"/>
      <c r="G333" s="10"/>
      <c r="H333" s="10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 spans="1:34" ht="15.75" customHeight="1">
      <c r="A334" s="9"/>
      <c r="B334" s="9"/>
      <c r="C334" s="9"/>
      <c r="D334" s="9"/>
      <c r="E334" s="10"/>
      <c r="F334" s="10"/>
      <c r="G334" s="10"/>
      <c r="H334" s="10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</row>
    <row r="335" spans="1:34" ht="15.75" customHeight="1">
      <c r="A335" s="9"/>
      <c r="B335" s="9"/>
      <c r="C335" s="9"/>
      <c r="D335" s="9"/>
      <c r="E335" s="10"/>
      <c r="F335" s="10"/>
      <c r="G335" s="10"/>
      <c r="H335" s="10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 spans="1:34" ht="15.75" customHeight="1">
      <c r="A336" s="9"/>
      <c r="B336" s="9"/>
      <c r="C336" s="9"/>
      <c r="D336" s="9"/>
      <c r="E336" s="10"/>
      <c r="F336" s="10"/>
      <c r="G336" s="10"/>
      <c r="H336" s="10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</row>
    <row r="337" spans="1:34" ht="15.75" customHeight="1">
      <c r="A337" s="9"/>
      <c r="B337" s="9"/>
      <c r="C337" s="9"/>
      <c r="D337" s="9"/>
      <c r="E337" s="10"/>
      <c r="F337" s="10"/>
      <c r="G337" s="10"/>
      <c r="H337" s="10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 spans="1:34" ht="15.75" customHeight="1">
      <c r="A338" s="9"/>
      <c r="B338" s="9"/>
      <c r="C338" s="9"/>
      <c r="D338" s="9"/>
      <c r="E338" s="10"/>
      <c r="F338" s="10"/>
      <c r="G338" s="10"/>
      <c r="H338" s="10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</row>
    <row r="339" spans="1:34" ht="15.75" customHeight="1">
      <c r="A339" s="9"/>
      <c r="B339" s="9"/>
      <c r="C339" s="9"/>
      <c r="D339" s="9"/>
      <c r="E339" s="10"/>
      <c r="F339" s="10"/>
      <c r="G339" s="10"/>
      <c r="H339" s="10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 spans="1:34" ht="15.75" customHeight="1">
      <c r="A340" s="9"/>
      <c r="B340" s="9"/>
      <c r="C340" s="9"/>
      <c r="D340" s="9"/>
      <c r="E340" s="10"/>
      <c r="F340" s="10"/>
      <c r="G340" s="10"/>
      <c r="H340" s="10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</row>
    <row r="341" spans="1:34" ht="15.75" customHeight="1">
      <c r="A341" s="9"/>
      <c r="B341" s="9"/>
      <c r="C341" s="9"/>
      <c r="D341" s="9"/>
      <c r="E341" s="10"/>
      <c r="F341" s="10"/>
      <c r="G341" s="10"/>
      <c r="H341" s="10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 spans="1:34" ht="15.75" customHeight="1">
      <c r="A342" s="9"/>
      <c r="B342" s="9"/>
      <c r="C342" s="9"/>
      <c r="D342" s="9"/>
      <c r="E342" s="10"/>
      <c r="F342" s="10"/>
      <c r="G342" s="10"/>
      <c r="H342" s="10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</row>
    <row r="343" spans="1:34" ht="15.75" customHeight="1">
      <c r="A343" s="9"/>
      <c r="B343" s="9"/>
      <c r="C343" s="9"/>
      <c r="D343" s="9"/>
      <c r="E343" s="10"/>
      <c r="F343" s="10"/>
      <c r="G343" s="10"/>
      <c r="H343" s="10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 spans="1:34" ht="15.75" customHeight="1">
      <c r="A344" s="9"/>
      <c r="B344" s="9"/>
      <c r="C344" s="9"/>
      <c r="D344" s="9"/>
      <c r="E344" s="10"/>
      <c r="F344" s="10"/>
      <c r="G344" s="10"/>
      <c r="H344" s="10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</row>
    <row r="345" spans="1:34" ht="15.75" customHeight="1">
      <c r="A345" s="9"/>
      <c r="B345" s="9"/>
      <c r="C345" s="9"/>
      <c r="D345" s="9"/>
      <c r="E345" s="10"/>
      <c r="F345" s="10"/>
      <c r="G345" s="10"/>
      <c r="H345" s="10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 spans="1:34" ht="15.75" customHeight="1">
      <c r="A346" s="9"/>
      <c r="B346" s="9"/>
      <c r="C346" s="9"/>
      <c r="D346" s="9"/>
      <c r="E346" s="10"/>
      <c r="F346" s="10"/>
      <c r="G346" s="10"/>
      <c r="H346" s="10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</row>
    <row r="347" spans="1:34" ht="15.75" customHeight="1">
      <c r="A347" s="9"/>
      <c r="B347" s="9"/>
      <c r="C347" s="9"/>
      <c r="D347" s="9"/>
      <c r="E347" s="10"/>
      <c r="F347" s="10"/>
      <c r="G347" s="10"/>
      <c r="H347" s="10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 spans="1:34" ht="15.75" customHeight="1">
      <c r="A348" s="9"/>
      <c r="B348" s="9"/>
      <c r="C348" s="9"/>
      <c r="D348" s="9"/>
      <c r="E348" s="10"/>
      <c r="F348" s="10"/>
      <c r="G348" s="10"/>
      <c r="H348" s="10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</row>
    <row r="349" spans="1:34" ht="15.75" customHeight="1">
      <c r="A349" s="9"/>
      <c r="B349" s="9"/>
      <c r="C349" s="9"/>
      <c r="D349" s="9"/>
      <c r="E349" s="10"/>
      <c r="F349" s="10"/>
      <c r="G349" s="10"/>
      <c r="H349" s="10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 spans="1:34" ht="15.75" customHeight="1">
      <c r="A350" s="9"/>
      <c r="B350" s="9"/>
      <c r="C350" s="9"/>
      <c r="D350" s="9"/>
      <c r="E350" s="10"/>
      <c r="F350" s="10"/>
      <c r="G350" s="10"/>
      <c r="H350" s="10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</row>
    <row r="351" spans="1:34" ht="15.75" customHeight="1">
      <c r="A351" s="9"/>
      <c r="B351" s="9"/>
      <c r="C351" s="9"/>
      <c r="D351" s="9"/>
      <c r="E351" s="10"/>
      <c r="F351" s="10"/>
      <c r="G351" s="10"/>
      <c r="H351" s="10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 spans="1:34" ht="15.75" customHeight="1">
      <c r="A352" s="9"/>
      <c r="B352" s="9"/>
      <c r="C352" s="9"/>
      <c r="D352" s="9"/>
      <c r="E352" s="10"/>
      <c r="F352" s="10"/>
      <c r="G352" s="10"/>
      <c r="H352" s="10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</row>
    <row r="353" spans="1:34" ht="15.75" customHeight="1">
      <c r="A353" s="9"/>
      <c r="B353" s="9"/>
      <c r="C353" s="9"/>
      <c r="D353" s="9"/>
      <c r="E353" s="10"/>
      <c r="F353" s="10"/>
      <c r="G353" s="10"/>
      <c r="H353" s="10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 spans="1:34" ht="15.75" customHeight="1">
      <c r="A354" s="9"/>
      <c r="B354" s="9"/>
      <c r="C354" s="9"/>
      <c r="D354" s="9"/>
      <c r="E354" s="10"/>
      <c r="F354" s="10"/>
      <c r="G354" s="10"/>
      <c r="H354" s="10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</row>
    <row r="355" spans="1:34" ht="15.75" customHeight="1">
      <c r="A355" s="9"/>
      <c r="B355" s="9"/>
      <c r="C355" s="9"/>
      <c r="D355" s="9"/>
      <c r="E355" s="10"/>
      <c r="F355" s="10"/>
      <c r="G355" s="10"/>
      <c r="H355" s="10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 spans="1:34" ht="15.75" customHeight="1">
      <c r="A356" s="9"/>
      <c r="B356" s="9"/>
      <c r="C356" s="9"/>
      <c r="D356" s="9"/>
      <c r="E356" s="10"/>
      <c r="F356" s="10"/>
      <c r="G356" s="10"/>
      <c r="H356" s="10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</row>
    <row r="357" spans="1:34" ht="15.75" customHeight="1">
      <c r="A357" s="9"/>
      <c r="B357" s="9"/>
      <c r="C357" s="9"/>
      <c r="D357" s="9"/>
      <c r="E357" s="10"/>
      <c r="F357" s="10"/>
      <c r="G357" s="10"/>
      <c r="H357" s="10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 spans="1:34" ht="15.75" customHeight="1">
      <c r="A358" s="9"/>
      <c r="B358" s="9"/>
      <c r="C358" s="9"/>
      <c r="D358" s="9"/>
      <c r="E358" s="10"/>
      <c r="F358" s="10"/>
      <c r="G358" s="10"/>
      <c r="H358" s="10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</row>
    <row r="359" spans="1:34" ht="15.75" customHeight="1">
      <c r="A359" s="9"/>
      <c r="B359" s="9"/>
      <c r="C359" s="9"/>
      <c r="D359" s="9"/>
      <c r="E359" s="10"/>
      <c r="F359" s="10"/>
      <c r="G359" s="10"/>
      <c r="H359" s="10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 spans="1:34" ht="15.75" customHeight="1">
      <c r="A360" s="9"/>
      <c r="B360" s="9"/>
      <c r="C360" s="9"/>
      <c r="D360" s="9"/>
      <c r="E360" s="10"/>
      <c r="F360" s="10"/>
      <c r="G360" s="10"/>
      <c r="H360" s="10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</row>
    <row r="361" spans="1:34" ht="15.75" customHeight="1">
      <c r="A361" s="9"/>
      <c r="B361" s="9"/>
      <c r="C361" s="9"/>
      <c r="D361" s="9"/>
      <c r="E361" s="10"/>
      <c r="F361" s="10"/>
      <c r="G361" s="10"/>
      <c r="H361" s="10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 spans="1:34" ht="15.75" customHeight="1">
      <c r="A362" s="9"/>
      <c r="B362" s="9"/>
      <c r="C362" s="9"/>
      <c r="D362" s="9"/>
      <c r="E362" s="10"/>
      <c r="F362" s="10"/>
      <c r="G362" s="10"/>
      <c r="H362" s="10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</row>
    <row r="363" spans="1:34" ht="15.75" customHeight="1">
      <c r="A363" s="9"/>
      <c r="B363" s="9"/>
      <c r="C363" s="9"/>
      <c r="D363" s="9"/>
      <c r="E363" s="10"/>
      <c r="F363" s="10"/>
      <c r="G363" s="10"/>
      <c r="H363" s="10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 spans="1:34" ht="15.75" customHeight="1">
      <c r="A364" s="9"/>
      <c r="B364" s="9"/>
      <c r="C364" s="9"/>
      <c r="D364" s="9"/>
      <c r="E364" s="10"/>
      <c r="F364" s="10"/>
      <c r="G364" s="10"/>
      <c r="H364" s="10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</row>
    <row r="365" spans="1:34" ht="15.75" customHeight="1">
      <c r="A365" s="9"/>
      <c r="B365" s="9"/>
      <c r="C365" s="9"/>
      <c r="D365" s="9"/>
      <c r="E365" s="10"/>
      <c r="F365" s="10"/>
      <c r="G365" s="10"/>
      <c r="H365" s="10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 spans="1:34" ht="15.75" customHeight="1">
      <c r="A366" s="9"/>
      <c r="B366" s="9"/>
      <c r="C366" s="9"/>
      <c r="D366" s="9"/>
      <c r="E366" s="10"/>
      <c r="F366" s="10"/>
      <c r="G366" s="10"/>
      <c r="H366" s="10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</row>
    <row r="367" spans="1:34" ht="15.75" customHeight="1">
      <c r="A367" s="9"/>
      <c r="B367" s="9"/>
      <c r="C367" s="9"/>
      <c r="D367" s="9"/>
      <c r="E367" s="10"/>
      <c r="F367" s="10"/>
      <c r="G367" s="10"/>
      <c r="H367" s="10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 spans="1:34" ht="15.75" customHeight="1">
      <c r="A368" s="9"/>
      <c r="B368" s="9"/>
      <c r="C368" s="9"/>
      <c r="D368" s="9"/>
      <c r="E368" s="10"/>
      <c r="F368" s="10"/>
      <c r="G368" s="10"/>
      <c r="H368" s="10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</row>
    <row r="369" spans="1:34" ht="15.75" customHeight="1">
      <c r="A369" s="9"/>
      <c r="B369" s="9"/>
      <c r="C369" s="9"/>
      <c r="D369" s="9"/>
      <c r="E369" s="10"/>
      <c r="F369" s="10"/>
      <c r="G369" s="10"/>
      <c r="H369" s="10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 spans="1:34" ht="15.75" customHeight="1">
      <c r="A370" s="9"/>
      <c r="B370" s="9"/>
      <c r="C370" s="9"/>
      <c r="D370" s="9"/>
      <c r="E370" s="10"/>
      <c r="F370" s="10"/>
      <c r="G370" s="10"/>
      <c r="H370" s="10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</row>
    <row r="371" spans="1:34" ht="15.75" customHeight="1">
      <c r="A371" s="9"/>
      <c r="B371" s="9"/>
      <c r="C371" s="9"/>
      <c r="D371" s="9"/>
      <c r="E371" s="10"/>
      <c r="F371" s="10"/>
      <c r="G371" s="10"/>
      <c r="H371" s="10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 spans="1:34" ht="15.75" customHeight="1">
      <c r="A372" s="9"/>
      <c r="B372" s="9"/>
      <c r="C372" s="9"/>
      <c r="D372" s="9"/>
      <c r="E372" s="10"/>
      <c r="F372" s="10"/>
      <c r="G372" s="10"/>
      <c r="H372" s="10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 spans="1:34" ht="15.75" customHeight="1">
      <c r="A373" s="9"/>
      <c r="B373" s="9"/>
      <c r="C373" s="9"/>
      <c r="D373" s="9"/>
      <c r="E373" s="10"/>
      <c r="F373" s="10"/>
      <c r="G373" s="10"/>
      <c r="H373" s="10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 spans="1:34" ht="15.75" customHeight="1">
      <c r="A374" s="9"/>
      <c r="B374" s="9"/>
      <c r="C374" s="9"/>
      <c r="D374" s="9"/>
      <c r="E374" s="10"/>
      <c r="F374" s="10"/>
      <c r="G374" s="10"/>
      <c r="H374" s="10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 spans="1:34" ht="15.75" customHeight="1">
      <c r="A375" s="9"/>
      <c r="B375" s="9"/>
      <c r="C375" s="9"/>
      <c r="D375" s="9"/>
      <c r="E375" s="10"/>
      <c r="F375" s="10"/>
      <c r="G375" s="10"/>
      <c r="H375" s="10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 spans="1:34" ht="15.75" customHeight="1">
      <c r="A376" s="9"/>
      <c r="B376" s="9"/>
      <c r="C376" s="9"/>
      <c r="D376" s="9"/>
      <c r="E376" s="10"/>
      <c r="F376" s="10"/>
      <c r="G376" s="10"/>
      <c r="H376" s="10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 spans="1:34" ht="15.75" customHeight="1">
      <c r="A377" s="9"/>
      <c r="B377" s="9"/>
      <c r="C377" s="9"/>
      <c r="D377" s="9"/>
      <c r="E377" s="10"/>
      <c r="F377" s="10"/>
      <c r="G377" s="10"/>
      <c r="H377" s="10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 spans="1:34" ht="15.75" customHeight="1">
      <c r="A378" s="9"/>
      <c r="B378" s="9"/>
      <c r="C378" s="9"/>
      <c r="D378" s="9"/>
      <c r="E378" s="10"/>
      <c r="F378" s="10"/>
      <c r="G378" s="10"/>
      <c r="H378" s="10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 spans="1:34" ht="15.75" customHeight="1">
      <c r="A379" s="9"/>
      <c r="B379" s="9"/>
      <c r="C379" s="9"/>
      <c r="D379" s="9"/>
      <c r="E379" s="10"/>
      <c r="F379" s="10"/>
      <c r="G379" s="10"/>
      <c r="H379" s="10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 spans="1:34" ht="15.75" customHeight="1">
      <c r="A380" s="9"/>
      <c r="B380" s="9"/>
      <c r="C380" s="9"/>
      <c r="D380" s="9"/>
      <c r="E380" s="10"/>
      <c r="F380" s="10"/>
      <c r="G380" s="10"/>
      <c r="H380" s="10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 spans="1:34" ht="15.75" customHeight="1">
      <c r="A381" s="9"/>
      <c r="B381" s="9"/>
      <c r="C381" s="9"/>
      <c r="D381" s="9"/>
      <c r="E381" s="10"/>
      <c r="F381" s="10"/>
      <c r="G381" s="10"/>
      <c r="H381" s="10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 spans="1:34" ht="15.75" customHeight="1">
      <c r="A382" s="9"/>
      <c r="B382" s="9"/>
      <c r="C382" s="9"/>
      <c r="D382" s="9"/>
      <c r="E382" s="10"/>
      <c r="F382" s="10"/>
      <c r="G382" s="10"/>
      <c r="H382" s="10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 spans="1:34" ht="15.75" customHeight="1">
      <c r="A383" s="9"/>
      <c r="B383" s="9"/>
      <c r="C383" s="9"/>
      <c r="D383" s="9"/>
      <c r="E383" s="10"/>
      <c r="F383" s="10"/>
      <c r="G383" s="10"/>
      <c r="H383" s="10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 spans="1:34" ht="15.75" customHeight="1">
      <c r="A384" s="9"/>
      <c r="B384" s="9"/>
      <c r="C384" s="9"/>
      <c r="D384" s="9"/>
      <c r="E384" s="10"/>
      <c r="F384" s="10"/>
      <c r="G384" s="10"/>
      <c r="H384" s="10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 spans="1:34" ht="15.75" customHeight="1">
      <c r="A385" s="9"/>
      <c r="B385" s="9"/>
      <c r="C385" s="9"/>
      <c r="D385" s="9"/>
      <c r="E385" s="10"/>
      <c r="F385" s="10"/>
      <c r="G385" s="10"/>
      <c r="H385" s="10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 spans="1:34" ht="15.75" customHeight="1">
      <c r="A386" s="9"/>
      <c r="B386" s="9"/>
      <c r="C386" s="9"/>
      <c r="D386" s="9"/>
      <c r="E386" s="10"/>
      <c r="F386" s="10"/>
      <c r="G386" s="10"/>
      <c r="H386" s="10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 spans="1:34" ht="15.75" customHeight="1">
      <c r="A387" s="9"/>
      <c r="B387" s="9"/>
      <c r="C387" s="9"/>
      <c r="D387" s="9"/>
      <c r="E387" s="10"/>
      <c r="F387" s="10"/>
      <c r="G387" s="10"/>
      <c r="H387" s="10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 spans="1:34" ht="15.75" customHeight="1">
      <c r="A388" s="9"/>
      <c r="B388" s="9"/>
      <c r="C388" s="9"/>
      <c r="D388" s="9"/>
      <c r="E388" s="10"/>
      <c r="F388" s="10"/>
      <c r="G388" s="10"/>
      <c r="H388" s="10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 spans="1:34" ht="15.75" customHeight="1">
      <c r="A389" s="9"/>
      <c r="B389" s="9"/>
      <c r="C389" s="9"/>
      <c r="D389" s="9"/>
      <c r="E389" s="10"/>
      <c r="F389" s="10"/>
      <c r="G389" s="10"/>
      <c r="H389" s="10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 spans="1:34" ht="15.75" customHeight="1">
      <c r="A390" s="9"/>
      <c r="B390" s="9"/>
      <c r="C390" s="9"/>
      <c r="D390" s="9"/>
      <c r="E390" s="10"/>
      <c r="F390" s="10"/>
      <c r="G390" s="10"/>
      <c r="H390" s="10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 spans="1:34" ht="15.75" customHeight="1">
      <c r="A391" s="9"/>
      <c r="B391" s="9"/>
      <c r="C391" s="9"/>
      <c r="D391" s="9"/>
      <c r="E391" s="10"/>
      <c r="F391" s="10"/>
      <c r="G391" s="10"/>
      <c r="H391" s="10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 spans="1:34" ht="15.75" customHeight="1">
      <c r="A392" s="9"/>
      <c r="B392" s="9"/>
      <c r="C392" s="9"/>
      <c r="D392" s="9"/>
      <c r="E392" s="10"/>
      <c r="F392" s="10"/>
      <c r="G392" s="10"/>
      <c r="H392" s="10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 spans="1:34" ht="15.75" customHeight="1">
      <c r="A393" s="9"/>
      <c r="B393" s="9"/>
      <c r="C393" s="9"/>
      <c r="D393" s="9"/>
      <c r="E393" s="10"/>
      <c r="F393" s="10"/>
      <c r="G393" s="10"/>
      <c r="H393" s="10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 spans="1:34" ht="15.75" customHeight="1">
      <c r="A394" s="9"/>
      <c r="B394" s="9"/>
      <c r="C394" s="9"/>
      <c r="D394" s="9"/>
      <c r="E394" s="10"/>
      <c r="F394" s="10"/>
      <c r="G394" s="10"/>
      <c r="H394" s="10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 spans="1:34" ht="15.75" customHeight="1">
      <c r="A395" s="9"/>
      <c r="B395" s="9"/>
      <c r="C395" s="9"/>
      <c r="D395" s="9"/>
      <c r="E395" s="10"/>
      <c r="F395" s="10"/>
      <c r="G395" s="10"/>
      <c r="H395" s="10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 spans="1:34" ht="15.75" customHeight="1">
      <c r="A396" s="9"/>
      <c r="B396" s="9"/>
      <c r="C396" s="9"/>
      <c r="D396" s="9"/>
      <c r="E396" s="10"/>
      <c r="F396" s="10"/>
      <c r="G396" s="10"/>
      <c r="H396" s="10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 spans="1:34" ht="15.75" customHeight="1">
      <c r="A397" s="9"/>
      <c r="B397" s="9"/>
      <c r="C397" s="9"/>
      <c r="D397" s="9"/>
      <c r="E397" s="10"/>
      <c r="F397" s="10"/>
      <c r="G397" s="10"/>
      <c r="H397" s="10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 spans="1:34" ht="15.75" customHeight="1">
      <c r="A398" s="9"/>
      <c r="B398" s="9"/>
      <c r="C398" s="9"/>
      <c r="D398" s="9"/>
      <c r="E398" s="10"/>
      <c r="F398" s="10"/>
      <c r="G398" s="10"/>
      <c r="H398" s="10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 spans="1:34" ht="15.75" customHeight="1">
      <c r="A399" s="9"/>
      <c r="B399" s="9"/>
      <c r="C399" s="9"/>
      <c r="D399" s="9"/>
      <c r="E399" s="10"/>
      <c r="F399" s="10"/>
      <c r="G399" s="10"/>
      <c r="H399" s="10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 spans="1:34" ht="15.75" customHeight="1">
      <c r="A400" s="9"/>
      <c r="B400" s="9"/>
      <c r="C400" s="9"/>
      <c r="D400" s="9"/>
      <c r="E400" s="10"/>
      <c r="F400" s="10"/>
      <c r="G400" s="10"/>
      <c r="H400" s="10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  <row r="401" spans="1:34" ht="15.75" customHeight="1">
      <c r="A401" s="9"/>
      <c r="B401" s="9"/>
      <c r="C401" s="9"/>
      <c r="D401" s="9"/>
      <c r="E401" s="10"/>
      <c r="F401" s="10"/>
      <c r="G401" s="10"/>
      <c r="H401" s="10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 spans="1:34" ht="15.75" customHeight="1">
      <c r="A402" s="9"/>
      <c r="B402" s="9"/>
      <c r="C402" s="9"/>
      <c r="D402" s="9"/>
      <c r="E402" s="10"/>
      <c r="F402" s="10"/>
      <c r="G402" s="10"/>
      <c r="H402" s="10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</row>
    <row r="403" spans="1:34" ht="15.75" customHeight="1">
      <c r="A403" s="9"/>
      <c r="B403" s="9"/>
      <c r="C403" s="9"/>
      <c r="D403" s="9"/>
      <c r="E403" s="10"/>
      <c r="F403" s="10"/>
      <c r="G403" s="10"/>
      <c r="H403" s="10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 spans="1:34" ht="15.75" customHeight="1">
      <c r="A404" s="9"/>
      <c r="B404" s="9"/>
      <c r="C404" s="9"/>
      <c r="D404" s="9"/>
      <c r="E404" s="10"/>
      <c r="F404" s="10"/>
      <c r="G404" s="10"/>
      <c r="H404" s="10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</row>
    <row r="405" spans="1:34" ht="15.75" customHeight="1">
      <c r="A405" s="9"/>
      <c r="B405" s="9"/>
      <c r="C405" s="9"/>
      <c r="D405" s="9"/>
      <c r="E405" s="10"/>
      <c r="F405" s="10"/>
      <c r="G405" s="10"/>
      <c r="H405" s="10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 spans="1:34" ht="15.75" customHeight="1">
      <c r="A406" s="9"/>
      <c r="B406" s="9"/>
      <c r="C406" s="9"/>
      <c r="D406" s="9"/>
      <c r="E406" s="10"/>
      <c r="F406" s="10"/>
      <c r="G406" s="10"/>
      <c r="H406" s="10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</row>
    <row r="407" spans="1:34" ht="15.75" customHeight="1">
      <c r="A407" s="9"/>
      <c r="B407" s="9"/>
      <c r="C407" s="9"/>
      <c r="D407" s="9"/>
      <c r="E407" s="10"/>
      <c r="F407" s="10"/>
      <c r="G407" s="10"/>
      <c r="H407" s="10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 spans="1:34" ht="15.75" customHeight="1">
      <c r="A408" s="9"/>
      <c r="B408" s="9"/>
      <c r="C408" s="9"/>
      <c r="D408" s="9"/>
      <c r="E408" s="10"/>
      <c r="F408" s="10"/>
      <c r="G408" s="10"/>
      <c r="H408" s="10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</row>
    <row r="409" spans="1:34" ht="15.75" customHeight="1">
      <c r="A409" s="9"/>
      <c r="B409" s="9"/>
      <c r="C409" s="9"/>
      <c r="D409" s="9"/>
      <c r="E409" s="10"/>
      <c r="F409" s="10"/>
      <c r="G409" s="10"/>
      <c r="H409" s="10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 spans="1:34" ht="15.75" customHeight="1">
      <c r="A410" s="9"/>
      <c r="B410" s="9"/>
      <c r="C410" s="9"/>
      <c r="D410" s="9"/>
      <c r="E410" s="10"/>
      <c r="F410" s="10"/>
      <c r="G410" s="10"/>
      <c r="H410" s="10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</row>
    <row r="411" spans="1:34" ht="15.75" customHeight="1">
      <c r="A411" s="9"/>
      <c r="B411" s="9"/>
      <c r="C411" s="9"/>
      <c r="D411" s="9"/>
      <c r="E411" s="10"/>
      <c r="F411" s="10"/>
      <c r="G411" s="10"/>
      <c r="H411" s="10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 spans="1:34" ht="15.75" customHeight="1">
      <c r="A412" s="9"/>
      <c r="B412" s="9"/>
      <c r="C412" s="9"/>
      <c r="D412" s="9"/>
      <c r="E412" s="10"/>
      <c r="F412" s="10"/>
      <c r="G412" s="10"/>
      <c r="H412" s="10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</row>
    <row r="413" spans="1:34" ht="15.75" customHeight="1">
      <c r="A413" s="9"/>
      <c r="B413" s="9"/>
      <c r="C413" s="9"/>
      <c r="D413" s="9"/>
      <c r="E413" s="10"/>
      <c r="F413" s="10"/>
      <c r="G413" s="10"/>
      <c r="H413" s="10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 spans="1:34" ht="15.75" customHeight="1">
      <c r="A414" s="9"/>
      <c r="B414" s="9"/>
      <c r="C414" s="9"/>
      <c r="D414" s="9"/>
      <c r="E414" s="10"/>
      <c r="F414" s="10"/>
      <c r="G414" s="10"/>
      <c r="H414" s="10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</row>
    <row r="415" spans="1:34" ht="15.75" customHeight="1">
      <c r="A415" s="9"/>
      <c r="B415" s="9"/>
      <c r="C415" s="9"/>
      <c r="D415" s="9"/>
      <c r="E415" s="10"/>
      <c r="F415" s="10"/>
      <c r="G415" s="10"/>
      <c r="H415" s="10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 spans="1:34" ht="15.75" customHeight="1">
      <c r="A416" s="9"/>
      <c r="B416" s="9"/>
      <c r="C416" s="9"/>
      <c r="D416" s="9"/>
      <c r="E416" s="10"/>
      <c r="F416" s="10"/>
      <c r="G416" s="10"/>
      <c r="H416" s="10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</row>
    <row r="417" spans="1:34" ht="15.75" customHeight="1">
      <c r="A417" s="9"/>
      <c r="B417" s="9"/>
      <c r="C417" s="9"/>
      <c r="D417" s="9"/>
      <c r="E417" s="10"/>
      <c r="F417" s="10"/>
      <c r="G417" s="10"/>
      <c r="H417" s="10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 spans="1:34" ht="15.75" customHeight="1">
      <c r="A418" s="9"/>
      <c r="B418" s="9"/>
      <c r="C418" s="9"/>
      <c r="D418" s="9"/>
      <c r="E418" s="10"/>
      <c r="F418" s="10"/>
      <c r="G418" s="10"/>
      <c r="H418" s="10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</row>
    <row r="419" spans="1:34" ht="15.75" customHeight="1">
      <c r="A419" s="9"/>
      <c r="B419" s="9"/>
      <c r="C419" s="9"/>
      <c r="D419" s="9"/>
      <c r="E419" s="10"/>
      <c r="F419" s="10"/>
      <c r="G419" s="10"/>
      <c r="H419" s="10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 spans="1:34" ht="15.75" customHeight="1">
      <c r="A420" s="9"/>
      <c r="B420" s="9"/>
      <c r="C420" s="9"/>
      <c r="D420" s="9"/>
      <c r="E420" s="10"/>
      <c r="F420" s="10"/>
      <c r="G420" s="10"/>
      <c r="H420" s="10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</row>
    <row r="421" spans="1:34" ht="15.75" customHeight="1">
      <c r="A421" s="9"/>
      <c r="B421" s="9"/>
      <c r="C421" s="9"/>
      <c r="D421" s="9"/>
      <c r="E421" s="10"/>
      <c r="F421" s="10"/>
      <c r="G421" s="10"/>
      <c r="H421" s="10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 spans="1:34" ht="15.75" customHeight="1">
      <c r="A422" s="9"/>
      <c r="B422" s="9"/>
      <c r="C422" s="9"/>
      <c r="D422" s="9"/>
      <c r="E422" s="10"/>
      <c r="F422" s="10"/>
      <c r="G422" s="10"/>
      <c r="H422" s="10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</row>
    <row r="423" spans="1:34" ht="15.75" customHeight="1">
      <c r="A423" s="9"/>
      <c r="B423" s="9"/>
      <c r="C423" s="9"/>
      <c r="D423" s="9"/>
      <c r="E423" s="10"/>
      <c r="F423" s="10"/>
      <c r="G423" s="10"/>
      <c r="H423" s="10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 spans="1:34" ht="15.75" customHeight="1">
      <c r="A424" s="9"/>
      <c r="B424" s="9"/>
      <c r="C424" s="9"/>
      <c r="D424" s="9"/>
      <c r="E424" s="10"/>
      <c r="F424" s="10"/>
      <c r="G424" s="10"/>
      <c r="H424" s="10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</row>
    <row r="425" spans="1:34" ht="15.75" customHeight="1">
      <c r="A425" s="9"/>
      <c r="B425" s="9"/>
      <c r="C425" s="9"/>
      <c r="D425" s="9"/>
      <c r="E425" s="10"/>
      <c r="F425" s="10"/>
      <c r="G425" s="10"/>
      <c r="H425" s="10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</row>
    <row r="426" spans="1:34" ht="15.75" customHeight="1">
      <c r="A426" s="9"/>
      <c r="B426" s="9"/>
      <c r="C426" s="9"/>
      <c r="D426" s="9"/>
      <c r="E426" s="10"/>
      <c r="F426" s="10"/>
      <c r="G426" s="10"/>
      <c r="H426" s="10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</row>
    <row r="427" spans="1:34" ht="15.75" customHeight="1">
      <c r="A427" s="9"/>
      <c r="B427" s="9"/>
      <c r="C427" s="9"/>
      <c r="D427" s="9"/>
      <c r="E427" s="10"/>
      <c r="F427" s="10"/>
      <c r="G427" s="10"/>
      <c r="H427" s="10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</row>
    <row r="428" spans="1:34" ht="15.75" customHeight="1">
      <c r="A428" s="9"/>
      <c r="B428" s="9"/>
      <c r="C428" s="9"/>
      <c r="D428" s="9"/>
      <c r="E428" s="10"/>
      <c r="F428" s="10"/>
      <c r="G428" s="10"/>
      <c r="H428" s="10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</row>
    <row r="429" spans="1:34" ht="15.75" customHeight="1">
      <c r="A429" s="9"/>
      <c r="B429" s="9"/>
      <c r="C429" s="9"/>
      <c r="D429" s="9"/>
      <c r="E429" s="10"/>
      <c r="F429" s="10"/>
      <c r="G429" s="10"/>
      <c r="H429" s="10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</row>
    <row r="430" spans="1:34" ht="15.75" customHeight="1">
      <c r="A430" s="9"/>
      <c r="B430" s="9"/>
      <c r="C430" s="9"/>
      <c r="D430" s="9"/>
      <c r="E430" s="10"/>
      <c r="F430" s="10"/>
      <c r="G430" s="10"/>
      <c r="H430" s="10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</row>
    <row r="431" spans="1:34" ht="15.75" customHeight="1">
      <c r="A431" s="9"/>
      <c r="B431" s="9"/>
      <c r="C431" s="9"/>
      <c r="D431" s="9"/>
      <c r="E431" s="10"/>
      <c r="F431" s="10"/>
      <c r="G431" s="10"/>
      <c r="H431" s="10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</row>
    <row r="432" spans="1:34" ht="15.75" customHeight="1">
      <c r="A432" s="9"/>
      <c r="B432" s="9"/>
      <c r="C432" s="9"/>
      <c r="D432" s="9"/>
      <c r="E432" s="10"/>
      <c r="F432" s="10"/>
      <c r="G432" s="10"/>
      <c r="H432" s="10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</row>
    <row r="433" spans="1:34" ht="15.75" customHeight="1">
      <c r="A433" s="9"/>
      <c r="B433" s="9"/>
      <c r="C433" s="9"/>
      <c r="D433" s="9"/>
      <c r="E433" s="10"/>
      <c r="F433" s="10"/>
      <c r="G433" s="10"/>
      <c r="H433" s="10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</row>
    <row r="434" spans="1:34" ht="15.75" customHeight="1">
      <c r="A434" s="9"/>
      <c r="B434" s="9"/>
      <c r="C434" s="9"/>
      <c r="D434" s="9"/>
      <c r="E434" s="10"/>
      <c r="F434" s="10"/>
      <c r="G434" s="10"/>
      <c r="H434" s="10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</row>
    <row r="435" spans="1:34" ht="15.75" customHeight="1">
      <c r="A435" s="9"/>
      <c r="B435" s="9"/>
      <c r="C435" s="9"/>
      <c r="D435" s="9"/>
      <c r="E435" s="10"/>
      <c r="F435" s="10"/>
      <c r="G435" s="10"/>
      <c r="H435" s="10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</row>
    <row r="436" spans="1:34" ht="15.75" customHeight="1">
      <c r="A436" s="9"/>
      <c r="B436" s="9"/>
      <c r="C436" s="9"/>
      <c r="D436" s="9"/>
      <c r="E436" s="10"/>
      <c r="F436" s="10"/>
      <c r="G436" s="10"/>
      <c r="H436" s="10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</row>
    <row r="437" spans="1:34" ht="15.75" customHeight="1">
      <c r="A437" s="9"/>
      <c r="B437" s="9"/>
      <c r="C437" s="9"/>
      <c r="D437" s="9"/>
      <c r="E437" s="10"/>
      <c r="F437" s="10"/>
      <c r="G437" s="10"/>
      <c r="H437" s="10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 spans="1:34" ht="15.75" customHeight="1">
      <c r="A438" s="9"/>
      <c r="B438" s="9"/>
      <c r="C438" s="9"/>
      <c r="D438" s="9"/>
      <c r="E438" s="10"/>
      <c r="F438" s="10"/>
      <c r="G438" s="10"/>
      <c r="H438" s="10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</row>
    <row r="439" spans="1:34" ht="15.75" customHeight="1">
      <c r="A439" s="9"/>
      <c r="B439" s="9"/>
      <c r="C439" s="9"/>
      <c r="D439" s="9"/>
      <c r="E439" s="10"/>
      <c r="F439" s="10"/>
      <c r="G439" s="10"/>
      <c r="H439" s="10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 spans="1:34" ht="15.75" customHeight="1">
      <c r="A440" s="9"/>
      <c r="B440" s="9"/>
      <c r="C440" s="9"/>
      <c r="D440" s="9"/>
      <c r="E440" s="10"/>
      <c r="F440" s="10"/>
      <c r="G440" s="10"/>
      <c r="H440" s="10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</row>
    <row r="441" spans="1:34" ht="15.75" customHeight="1">
      <c r="A441" s="9"/>
      <c r="B441" s="9"/>
      <c r="C441" s="9"/>
      <c r="D441" s="9"/>
      <c r="E441" s="10"/>
      <c r="F441" s="10"/>
      <c r="G441" s="10"/>
      <c r="H441" s="10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 spans="1:34" ht="15.75" customHeight="1">
      <c r="A442" s="9"/>
      <c r="B442" s="9"/>
      <c r="C442" s="9"/>
      <c r="D442" s="9"/>
      <c r="E442" s="10"/>
      <c r="F442" s="10"/>
      <c r="G442" s="10"/>
      <c r="H442" s="10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</row>
    <row r="443" spans="1:34" ht="15.75" customHeight="1">
      <c r="A443" s="9"/>
      <c r="B443" s="9"/>
      <c r="C443" s="9"/>
      <c r="D443" s="9"/>
      <c r="E443" s="10"/>
      <c r="F443" s="10"/>
      <c r="G443" s="10"/>
      <c r="H443" s="10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 spans="1:34" ht="15.75" customHeight="1">
      <c r="A444" s="9"/>
      <c r="B444" s="9"/>
      <c r="C444" s="9"/>
      <c r="D444" s="9"/>
      <c r="E444" s="10"/>
      <c r="F444" s="10"/>
      <c r="G444" s="10"/>
      <c r="H444" s="10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</row>
    <row r="445" spans="1:34" ht="15.75" customHeight="1">
      <c r="A445" s="9"/>
      <c r="B445" s="9"/>
      <c r="C445" s="9"/>
      <c r="D445" s="9"/>
      <c r="E445" s="10"/>
      <c r="F445" s="10"/>
      <c r="G445" s="10"/>
      <c r="H445" s="10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 spans="1:34" ht="15.75" customHeight="1">
      <c r="A446" s="9"/>
      <c r="B446" s="9"/>
      <c r="C446" s="9"/>
      <c r="D446" s="9"/>
      <c r="E446" s="10"/>
      <c r="F446" s="10"/>
      <c r="G446" s="10"/>
      <c r="H446" s="10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</row>
    <row r="447" spans="1:34" ht="15.75" customHeight="1">
      <c r="A447" s="9"/>
      <c r="B447" s="9"/>
      <c r="C447" s="9"/>
      <c r="D447" s="9"/>
      <c r="E447" s="10"/>
      <c r="F447" s="10"/>
      <c r="G447" s="10"/>
      <c r="H447" s="10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 spans="1:34" ht="15.75" customHeight="1">
      <c r="A448" s="9"/>
      <c r="B448" s="9"/>
      <c r="C448" s="9"/>
      <c r="D448" s="9"/>
      <c r="E448" s="10"/>
      <c r="F448" s="10"/>
      <c r="G448" s="10"/>
      <c r="H448" s="10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  <row r="449" spans="1:34" ht="15.75" customHeight="1">
      <c r="A449" s="9"/>
      <c r="B449" s="9"/>
      <c r="C449" s="9"/>
      <c r="D449" s="9"/>
      <c r="E449" s="10"/>
      <c r="F449" s="10"/>
      <c r="G449" s="10"/>
      <c r="H449" s="10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 spans="1:34" ht="15.75" customHeight="1">
      <c r="A450" s="9"/>
      <c r="B450" s="9"/>
      <c r="C450" s="9"/>
      <c r="D450" s="9"/>
      <c r="E450" s="10"/>
      <c r="F450" s="10"/>
      <c r="G450" s="10"/>
      <c r="H450" s="10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</row>
    <row r="451" spans="1:34" ht="15.75" customHeight="1">
      <c r="A451" s="9"/>
      <c r="B451" s="9"/>
      <c r="C451" s="9"/>
      <c r="D451" s="9"/>
      <c r="E451" s="10"/>
      <c r="F451" s="10"/>
      <c r="G451" s="10"/>
      <c r="H451" s="10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 spans="1:34" ht="15.75" customHeight="1">
      <c r="A452" s="9"/>
      <c r="B452" s="9"/>
      <c r="C452" s="9"/>
      <c r="D452" s="9"/>
      <c r="E452" s="10"/>
      <c r="F452" s="10"/>
      <c r="G452" s="10"/>
      <c r="H452" s="10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</row>
    <row r="453" spans="1:34" ht="15.75" customHeight="1">
      <c r="A453" s="9"/>
      <c r="B453" s="9"/>
      <c r="C453" s="9"/>
      <c r="D453" s="9"/>
      <c r="E453" s="10"/>
      <c r="F453" s="10"/>
      <c r="G453" s="10"/>
      <c r="H453" s="10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 spans="1:34" ht="15.75" customHeight="1">
      <c r="A454" s="9"/>
      <c r="B454" s="9"/>
      <c r="C454" s="9"/>
      <c r="D454" s="9"/>
      <c r="E454" s="10"/>
      <c r="F454" s="10"/>
      <c r="G454" s="10"/>
      <c r="H454" s="10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</row>
    <row r="455" spans="1:34" ht="15.75" customHeight="1">
      <c r="A455" s="9"/>
      <c r="B455" s="9"/>
      <c r="C455" s="9"/>
      <c r="D455" s="9"/>
      <c r="E455" s="10"/>
      <c r="F455" s="10"/>
      <c r="G455" s="10"/>
      <c r="H455" s="10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 spans="1:34" ht="15.75" customHeight="1">
      <c r="A456" s="9"/>
      <c r="B456" s="9"/>
      <c r="C456" s="9"/>
      <c r="D456" s="9"/>
      <c r="E456" s="10"/>
      <c r="F456" s="10"/>
      <c r="G456" s="10"/>
      <c r="H456" s="10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</row>
    <row r="457" spans="1:34" ht="15.75" customHeight="1">
      <c r="A457" s="9"/>
      <c r="B457" s="9"/>
      <c r="C457" s="9"/>
      <c r="D457" s="9"/>
      <c r="E457" s="10"/>
      <c r="F457" s="10"/>
      <c r="G457" s="10"/>
      <c r="H457" s="10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 spans="1:34" ht="15.75" customHeight="1">
      <c r="A458" s="9"/>
      <c r="B458" s="9"/>
      <c r="C458" s="9"/>
      <c r="D458" s="9"/>
      <c r="E458" s="10"/>
      <c r="F458" s="10"/>
      <c r="G458" s="10"/>
      <c r="H458" s="10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</row>
    <row r="459" spans="1:34" ht="15.75" customHeight="1">
      <c r="A459" s="9"/>
      <c r="B459" s="9"/>
      <c r="C459" s="9"/>
      <c r="D459" s="9"/>
      <c r="E459" s="10"/>
      <c r="F459" s="10"/>
      <c r="G459" s="10"/>
      <c r="H459" s="10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 spans="1:34" ht="15.75" customHeight="1">
      <c r="A460" s="9"/>
      <c r="B460" s="9"/>
      <c r="C460" s="9"/>
      <c r="D460" s="9"/>
      <c r="E460" s="10"/>
      <c r="F460" s="10"/>
      <c r="G460" s="10"/>
      <c r="H460" s="10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</row>
    <row r="461" spans="1:34" ht="15.75" customHeight="1">
      <c r="A461" s="9"/>
      <c r="B461" s="9"/>
      <c r="C461" s="9"/>
      <c r="D461" s="9"/>
      <c r="E461" s="10"/>
      <c r="F461" s="10"/>
      <c r="G461" s="10"/>
      <c r="H461" s="10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 spans="1:34" ht="15.75" customHeight="1">
      <c r="A462" s="9"/>
      <c r="B462" s="9"/>
      <c r="C462" s="9"/>
      <c r="D462" s="9"/>
      <c r="E462" s="10"/>
      <c r="F462" s="10"/>
      <c r="G462" s="10"/>
      <c r="H462" s="10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</row>
    <row r="463" spans="1:34" ht="15.75" customHeight="1">
      <c r="A463" s="9"/>
      <c r="B463" s="9"/>
      <c r="C463" s="9"/>
      <c r="D463" s="9"/>
      <c r="E463" s="10"/>
      <c r="F463" s="10"/>
      <c r="G463" s="10"/>
      <c r="H463" s="10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 spans="1:34" ht="15.75" customHeight="1">
      <c r="A464" s="9"/>
      <c r="B464" s="9"/>
      <c r="C464" s="9"/>
      <c r="D464" s="9"/>
      <c r="E464" s="10"/>
      <c r="F464" s="10"/>
      <c r="G464" s="10"/>
      <c r="H464" s="10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</row>
    <row r="465" spans="1:34" ht="15.75" customHeight="1">
      <c r="A465" s="9"/>
      <c r="B465" s="9"/>
      <c r="C465" s="9"/>
      <c r="D465" s="9"/>
      <c r="E465" s="10"/>
      <c r="F465" s="10"/>
      <c r="G465" s="10"/>
      <c r="H465" s="10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 spans="1:34" ht="15.75" customHeight="1">
      <c r="A466" s="9"/>
      <c r="B466" s="9"/>
      <c r="C466" s="9"/>
      <c r="D466" s="9"/>
      <c r="E466" s="10"/>
      <c r="F466" s="10"/>
      <c r="G466" s="10"/>
      <c r="H466" s="10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</row>
    <row r="467" spans="1:34" ht="15.75" customHeight="1">
      <c r="A467" s="9"/>
      <c r="B467" s="9"/>
      <c r="C467" s="9"/>
      <c r="D467" s="9"/>
      <c r="E467" s="10"/>
      <c r="F467" s="10"/>
      <c r="G467" s="10"/>
      <c r="H467" s="10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 spans="1:34" ht="15.75" customHeight="1">
      <c r="A468" s="9"/>
      <c r="B468" s="9"/>
      <c r="C468" s="9"/>
      <c r="D468" s="9"/>
      <c r="E468" s="10"/>
      <c r="F468" s="10"/>
      <c r="G468" s="10"/>
      <c r="H468" s="10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</row>
    <row r="469" spans="1:34" ht="15.75" customHeight="1">
      <c r="A469" s="9"/>
      <c r="B469" s="9"/>
      <c r="C469" s="9"/>
      <c r="D469" s="9"/>
      <c r="E469" s="10"/>
      <c r="F469" s="10"/>
      <c r="G469" s="10"/>
      <c r="H469" s="10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 spans="1:34" ht="15.75" customHeight="1">
      <c r="A470" s="9"/>
      <c r="B470" s="9"/>
      <c r="C470" s="9"/>
      <c r="D470" s="9"/>
      <c r="E470" s="10"/>
      <c r="F470" s="10"/>
      <c r="G470" s="10"/>
      <c r="H470" s="10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 spans="1:34" ht="15.75" customHeight="1">
      <c r="A471" s="9"/>
      <c r="B471" s="9"/>
      <c r="C471" s="9"/>
      <c r="D471" s="9"/>
      <c r="E471" s="10"/>
      <c r="F471" s="10"/>
      <c r="G471" s="10"/>
      <c r="H471" s="10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 spans="1:34" ht="15.75" customHeight="1">
      <c r="A472" s="9"/>
      <c r="B472" s="9"/>
      <c r="C472" s="9"/>
      <c r="D472" s="9"/>
      <c r="E472" s="10"/>
      <c r="F472" s="10"/>
      <c r="G472" s="10"/>
      <c r="H472" s="10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</row>
    <row r="473" spans="1:34" ht="15.75" customHeight="1">
      <c r="A473" s="9"/>
      <c r="B473" s="9"/>
      <c r="C473" s="9"/>
      <c r="D473" s="9"/>
      <c r="E473" s="10"/>
      <c r="F473" s="10"/>
      <c r="G473" s="10"/>
      <c r="H473" s="10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 spans="1:34" ht="15.75" customHeight="1">
      <c r="A474" s="9"/>
      <c r="B474" s="9"/>
      <c r="C474" s="9"/>
      <c r="D474" s="9"/>
      <c r="E474" s="10"/>
      <c r="F474" s="10"/>
      <c r="G474" s="10"/>
      <c r="H474" s="10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</row>
    <row r="475" spans="1:34" ht="15.75" customHeight="1">
      <c r="A475" s="9"/>
      <c r="B475" s="9"/>
      <c r="C475" s="9"/>
      <c r="D475" s="9"/>
      <c r="E475" s="10"/>
      <c r="F475" s="10"/>
      <c r="G475" s="10"/>
      <c r="H475" s="10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 spans="1:34" ht="15.75" customHeight="1">
      <c r="A476" s="9"/>
      <c r="B476" s="9"/>
      <c r="C476" s="9"/>
      <c r="D476" s="9"/>
      <c r="E476" s="10"/>
      <c r="F476" s="10"/>
      <c r="G476" s="10"/>
      <c r="H476" s="10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</row>
    <row r="477" spans="1:34" ht="15.75" customHeight="1">
      <c r="A477" s="9"/>
      <c r="B477" s="9"/>
      <c r="C477" s="9"/>
      <c r="D477" s="9"/>
      <c r="E477" s="10"/>
      <c r="F477" s="10"/>
      <c r="G477" s="10"/>
      <c r="H477" s="10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 spans="1:34" ht="15.75" customHeight="1">
      <c r="A478" s="9"/>
      <c r="B478" s="9"/>
      <c r="C478" s="9"/>
      <c r="D478" s="9"/>
      <c r="E478" s="10"/>
      <c r="F478" s="10"/>
      <c r="G478" s="10"/>
      <c r="H478" s="10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</row>
    <row r="479" spans="1:34" ht="15.75" customHeight="1">
      <c r="A479" s="9"/>
      <c r="B479" s="9"/>
      <c r="C479" s="9"/>
      <c r="D479" s="9"/>
      <c r="E479" s="10"/>
      <c r="F479" s="10"/>
      <c r="G479" s="10"/>
      <c r="H479" s="10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 spans="1:34" ht="15.75" customHeight="1">
      <c r="A480" s="9"/>
      <c r="B480" s="9"/>
      <c r="C480" s="9"/>
      <c r="D480" s="9"/>
      <c r="E480" s="10"/>
      <c r="F480" s="10"/>
      <c r="G480" s="10"/>
      <c r="H480" s="10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</row>
    <row r="481" spans="1:34" ht="15.75" customHeight="1">
      <c r="A481" s="9"/>
      <c r="B481" s="9"/>
      <c r="C481" s="9"/>
      <c r="D481" s="9"/>
      <c r="E481" s="10"/>
      <c r="F481" s="10"/>
      <c r="G481" s="10"/>
      <c r="H481" s="10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 spans="1:34" ht="15.75" customHeight="1">
      <c r="A482" s="9"/>
      <c r="B482" s="9"/>
      <c r="C482" s="9"/>
      <c r="D482" s="9"/>
      <c r="E482" s="10"/>
      <c r="F482" s="10"/>
      <c r="G482" s="10"/>
      <c r="H482" s="10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</row>
    <row r="483" spans="1:34" ht="15.75" customHeight="1">
      <c r="A483" s="9"/>
      <c r="B483" s="9"/>
      <c r="C483" s="9"/>
      <c r="D483" s="9"/>
      <c r="E483" s="10"/>
      <c r="F483" s="10"/>
      <c r="G483" s="10"/>
      <c r="H483" s="10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 spans="1:34" ht="15.75" customHeight="1">
      <c r="A484" s="9"/>
      <c r="B484" s="9"/>
      <c r="C484" s="9"/>
      <c r="D484" s="9"/>
      <c r="E484" s="10"/>
      <c r="F484" s="10"/>
      <c r="G484" s="10"/>
      <c r="H484" s="10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</row>
    <row r="485" spans="1:34" ht="15.75" customHeight="1">
      <c r="A485" s="9"/>
      <c r="B485" s="9"/>
      <c r="C485" s="9"/>
      <c r="D485" s="9"/>
      <c r="E485" s="10"/>
      <c r="F485" s="10"/>
      <c r="G485" s="10"/>
      <c r="H485" s="10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 spans="1:34" ht="15.75" customHeight="1">
      <c r="A486" s="9"/>
      <c r="B486" s="9"/>
      <c r="C486" s="9"/>
      <c r="D486" s="9"/>
      <c r="E486" s="10"/>
      <c r="F486" s="10"/>
      <c r="G486" s="10"/>
      <c r="H486" s="10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</row>
    <row r="487" spans="1:34" ht="15.75" customHeight="1">
      <c r="A487" s="9"/>
      <c r="B487" s="9"/>
      <c r="C487" s="9"/>
      <c r="D487" s="9"/>
      <c r="E487" s="10"/>
      <c r="F487" s="10"/>
      <c r="G487" s="10"/>
      <c r="H487" s="10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 spans="1:34" ht="15.75" customHeight="1">
      <c r="A488" s="9"/>
      <c r="B488" s="9"/>
      <c r="C488" s="9"/>
      <c r="D488" s="9"/>
      <c r="E488" s="10"/>
      <c r="F488" s="10"/>
      <c r="G488" s="10"/>
      <c r="H488" s="10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</row>
    <row r="489" spans="1:34" ht="15.75" customHeight="1">
      <c r="A489" s="9"/>
      <c r="B489" s="9"/>
      <c r="C489" s="9"/>
      <c r="D489" s="9"/>
      <c r="E489" s="10"/>
      <c r="F489" s="10"/>
      <c r="G489" s="10"/>
      <c r="H489" s="10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 spans="1:34" ht="15.75" customHeight="1">
      <c r="A490" s="9"/>
      <c r="B490" s="9"/>
      <c r="C490" s="9"/>
      <c r="D490" s="9"/>
      <c r="E490" s="10"/>
      <c r="F490" s="10"/>
      <c r="G490" s="10"/>
      <c r="H490" s="10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</row>
    <row r="491" spans="1:34" ht="15.75" customHeight="1">
      <c r="A491" s="9"/>
      <c r="B491" s="9"/>
      <c r="C491" s="9"/>
      <c r="D491" s="9"/>
      <c r="E491" s="10"/>
      <c r="F491" s="10"/>
      <c r="G491" s="10"/>
      <c r="H491" s="10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 spans="1:34" ht="15.75" customHeight="1">
      <c r="A492" s="9"/>
      <c r="B492" s="9"/>
      <c r="C492" s="9"/>
      <c r="D492" s="9"/>
      <c r="E492" s="10"/>
      <c r="F492" s="10"/>
      <c r="G492" s="10"/>
      <c r="H492" s="10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</row>
    <row r="493" spans="1:34" ht="15.75" customHeight="1">
      <c r="A493" s="9"/>
      <c r="B493" s="9"/>
      <c r="C493" s="9"/>
      <c r="D493" s="9"/>
      <c r="E493" s="10"/>
      <c r="F493" s="10"/>
      <c r="G493" s="10"/>
      <c r="H493" s="10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 spans="1:34" ht="15.75" customHeight="1">
      <c r="A494" s="9"/>
      <c r="B494" s="9"/>
      <c r="C494" s="9"/>
      <c r="D494" s="9"/>
      <c r="E494" s="10"/>
      <c r="F494" s="10"/>
      <c r="G494" s="10"/>
      <c r="H494" s="10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</row>
    <row r="495" spans="1:34" ht="15.75" customHeight="1">
      <c r="A495" s="9"/>
      <c r="B495" s="9"/>
      <c r="C495" s="9"/>
      <c r="D495" s="9"/>
      <c r="E495" s="10"/>
      <c r="F495" s="10"/>
      <c r="G495" s="10"/>
      <c r="H495" s="10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 spans="1:34" ht="15.75" customHeight="1">
      <c r="A496" s="9"/>
      <c r="B496" s="9"/>
      <c r="C496" s="9"/>
      <c r="D496" s="9"/>
      <c r="E496" s="10"/>
      <c r="F496" s="10"/>
      <c r="G496" s="10"/>
      <c r="H496" s="10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</row>
    <row r="497" spans="1:34" ht="15.75" customHeight="1">
      <c r="A497" s="9"/>
      <c r="B497" s="9"/>
      <c r="C497" s="9"/>
      <c r="D497" s="9"/>
      <c r="E497" s="10"/>
      <c r="F497" s="10"/>
      <c r="G497" s="10"/>
      <c r="H497" s="10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 spans="1:34" ht="15.75" customHeight="1">
      <c r="A498" s="9"/>
      <c r="B498" s="9"/>
      <c r="C498" s="9"/>
      <c r="D498" s="9"/>
      <c r="E498" s="10"/>
      <c r="F498" s="10"/>
      <c r="G498" s="10"/>
      <c r="H498" s="10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</row>
    <row r="499" spans="1:34" ht="15.75" customHeight="1">
      <c r="A499" s="9"/>
      <c r="B499" s="9"/>
      <c r="C499" s="9"/>
      <c r="D499" s="9"/>
      <c r="E499" s="10"/>
      <c r="F499" s="10"/>
      <c r="G499" s="10"/>
      <c r="H499" s="10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 spans="1:34" ht="15.75" customHeight="1">
      <c r="A500" s="9"/>
      <c r="B500" s="9"/>
      <c r="C500" s="9"/>
      <c r="D500" s="9"/>
      <c r="E500" s="10"/>
      <c r="F500" s="10"/>
      <c r="G500" s="10"/>
      <c r="H500" s="10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</row>
    <row r="501" spans="1:34" ht="15.75" customHeight="1">
      <c r="A501" s="9"/>
      <c r="B501" s="9"/>
      <c r="C501" s="9"/>
      <c r="D501" s="9"/>
      <c r="E501" s="10"/>
      <c r="F501" s="10"/>
      <c r="G501" s="10"/>
      <c r="H501" s="10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</row>
    <row r="502" spans="1:34" ht="15.75" customHeight="1">
      <c r="A502" s="9"/>
      <c r="B502" s="9"/>
      <c r="C502" s="9"/>
      <c r="D502" s="9"/>
      <c r="E502" s="10"/>
      <c r="F502" s="10"/>
      <c r="G502" s="10"/>
      <c r="H502" s="10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</row>
    <row r="503" spans="1:34" ht="15.75" customHeight="1">
      <c r="A503" s="9"/>
      <c r="B503" s="9"/>
      <c r="C503" s="9"/>
      <c r="D503" s="9"/>
      <c r="E503" s="10"/>
      <c r="F503" s="10"/>
      <c r="G503" s="10"/>
      <c r="H503" s="10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</row>
    <row r="504" spans="1:34" ht="15.75" customHeight="1">
      <c r="A504" s="9"/>
      <c r="B504" s="9"/>
      <c r="C504" s="9"/>
      <c r="D504" s="9"/>
      <c r="E504" s="10"/>
      <c r="F504" s="10"/>
      <c r="G504" s="10"/>
      <c r="H504" s="10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</row>
    <row r="505" spans="1:34" ht="15.75" customHeight="1">
      <c r="A505" s="9"/>
      <c r="B505" s="9"/>
      <c r="C505" s="9"/>
      <c r="D505" s="9"/>
      <c r="E505" s="10"/>
      <c r="F505" s="10"/>
      <c r="G505" s="10"/>
      <c r="H505" s="10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</row>
    <row r="506" spans="1:34" ht="15.75" customHeight="1">
      <c r="A506" s="9"/>
      <c r="B506" s="9"/>
      <c r="C506" s="9"/>
      <c r="D506" s="9"/>
      <c r="E506" s="10"/>
      <c r="F506" s="10"/>
      <c r="G506" s="10"/>
      <c r="H506" s="10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</row>
    <row r="507" spans="1:34" ht="15.75" customHeight="1">
      <c r="A507" s="9"/>
      <c r="B507" s="9"/>
      <c r="C507" s="9"/>
      <c r="D507" s="9"/>
      <c r="E507" s="10"/>
      <c r="F507" s="10"/>
      <c r="G507" s="10"/>
      <c r="H507" s="10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</row>
    <row r="508" spans="1:34" ht="15.75" customHeight="1">
      <c r="A508" s="9"/>
      <c r="B508" s="9"/>
      <c r="C508" s="9"/>
      <c r="D508" s="9"/>
      <c r="E508" s="10"/>
      <c r="F508" s="10"/>
      <c r="G508" s="10"/>
      <c r="H508" s="10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</row>
    <row r="509" spans="1:34" ht="15.75" customHeight="1">
      <c r="A509" s="9"/>
      <c r="B509" s="9"/>
      <c r="C509" s="9"/>
      <c r="D509" s="9"/>
      <c r="E509" s="10"/>
      <c r="F509" s="10"/>
      <c r="G509" s="10"/>
      <c r="H509" s="10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</row>
    <row r="510" spans="1:34" ht="15.75" customHeight="1">
      <c r="A510" s="9"/>
      <c r="B510" s="9"/>
      <c r="C510" s="9"/>
      <c r="D510" s="9"/>
      <c r="E510" s="10"/>
      <c r="F510" s="10"/>
      <c r="G510" s="10"/>
      <c r="H510" s="10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</row>
    <row r="511" spans="1:34" ht="15.75" customHeight="1">
      <c r="A511" s="9"/>
      <c r="B511" s="9"/>
      <c r="C511" s="9"/>
      <c r="D511" s="9"/>
      <c r="E511" s="10"/>
      <c r="F511" s="10"/>
      <c r="G511" s="10"/>
      <c r="H511" s="10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</row>
    <row r="512" spans="1:34" ht="15.75" customHeight="1">
      <c r="A512" s="9"/>
      <c r="B512" s="9"/>
      <c r="C512" s="9"/>
      <c r="D512" s="9"/>
      <c r="E512" s="10"/>
      <c r="F512" s="10"/>
      <c r="G512" s="10"/>
      <c r="H512" s="10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</row>
    <row r="513" spans="1:34" ht="15.75" customHeight="1">
      <c r="A513" s="9"/>
      <c r="B513" s="9"/>
      <c r="C513" s="9"/>
      <c r="D513" s="9"/>
      <c r="E513" s="10"/>
      <c r="F513" s="10"/>
      <c r="G513" s="10"/>
      <c r="H513" s="10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</row>
    <row r="514" spans="1:34" ht="15.75" customHeight="1">
      <c r="A514" s="9"/>
      <c r="B514" s="9"/>
      <c r="C514" s="9"/>
      <c r="D514" s="9"/>
      <c r="E514" s="10"/>
      <c r="F514" s="10"/>
      <c r="G514" s="10"/>
      <c r="H514" s="10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</row>
    <row r="515" spans="1:34" ht="15.75" customHeight="1">
      <c r="A515" s="9"/>
      <c r="B515" s="9"/>
      <c r="C515" s="9"/>
      <c r="D515" s="9"/>
      <c r="E515" s="10"/>
      <c r="F515" s="10"/>
      <c r="G515" s="10"/>
      <c r="H515" s="10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</row>
    <row r="516" spans="1:34" ht="15.75" customHeight="1">
      <c r="A516" s="9"/>
      <c r="B516" s="9"/>
      <c r="C516" s="9"/>
      <c r="D516" s="9"/>
      <c r="E516" s="10"/>
      <c r="F516" s="10"/>
      <c r="G516" s="10"/>
      <c r="H516" s="10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</row>
    <row r="517" spans="1:34" ht="15.75" customHeight="1">
      <c r="A517" s="9"/>
      <c r="B517" s="9"/>
      <c r="C517" s="9"/>
      <c r="D517" s="9"/>
      <c r="E517" s="10"/>
      <c r="F517" s="10"/>
      <c r="G517" s="10"/>
      <c r="H517" s="10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 spans="1:34" ht="15.75" customHeight="1">
      <c r="A518" s="9"/>
      <c r="B518" s="9"/>
      <c r="C518" s="9"/>
      <c r="D518" s="9"/>
      <c r="E518" s="10"/>
      <c r="F518" s="10"/>
      <c r="G518" s="10"/>
      <c r="H518" s="10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</row>
    <row r="519" spans="1:34" ht="15.75" customHeight="1">
      <c r="A519" s="9"/>
      <c r="B519" s="9"/>
      <c r="C519" s="9"/>
      <c r="D519" s="9"/>
      <c r="E519" s="10"/>
      <c r="F519" s="10"/>
      <c r="G519" s="10"/>
      <c r="H519" s="10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</row>
    <row r="520" spans="1:34" ht="15.75" customHeight="1">
      <c r="A520" s="9"/>
      <c r="B520" s="9"/>
      <c r="C520" s="9"/>
      <c r="D520" s="9"/>
      <c r="E520" s="10"/>
      <c r="F520" s="10"/>
      <c r="G520" s="10"/>
      <c r="H520" s="10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</row>
    <row r="521" spans="1:34" ht="15.75" customHeight="1">
      <c r="A521" s="9"/>
      <c r="B521" s="9"/>
      <c r="C521" s="9"/>
      <c r="D521" s="9"/>
      <c r="E521" s="10"/>
      <c r="F521" s="10"/>
      <c r="G521" s="10"/>
      <c r="H521" s="10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</row>
    <row r="522" spans="1:34" ht="15.75" customHeight="1">
      <c r="A522" s="9"/>
      <c r="B522" s="9"/>
      <c r="C522" s="9"/>
      <c r="D522" s="9"/>
      <c r="E522" s="10"/>
      <c r="F522" s="10"/>
      <c r="G522" s="10"/>
      <c r="H522" s="10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</row>
    <row r="523" spans="1:34" ht="15.75" customHeight="1">
      <c r="A523" s="9"/>
      <c r="B523" s="9"/>
      <c r="C523" s="9"/>
      <c r="D523" s="9"/>
      <c r="E523" s="10"/>
      <c r="F523" s="10"/>
      <c r="G523" s="10"/>
      <c r="H523" s="10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</row>
    <row r="524" spans="1:34" ht="15.75" customHeight="1">
      <c r="A524" s="9"/>
      <c r="B524" s="9"/>
      <c r="C524" s="9"/>
      <c r="D524" s="9"/>
      <c r="E524" s="10"/>
      <c r="F524" s="10"/>
      <c r="G524" s="10"/>
      <c r="H524" s="10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</row>
    <row r="525" spans="1:34" ht="15.75" customHeight="1">
      <c r="A525" s="9"/>
      <c r="B525" s="9"/>
      <c r="C525" s="9"/>
      <c r="D525" s="9"/>
      <c r="E525" s="10"/>
      <c r="F525" s="10"/>
      <c r="G525" s="10"/>
      <c r="H525" s="10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</row>
    <row r="526" spans="1:34" ht="15.75" customHeight="1">
      <c r="A526" s="9"/>
      <c r="B526" s="9"/>
      <c r="C526" s="9"/>
      <c r="D526" s="9"/>
      <c r="E526" s="10"/>
      <c r="F526" s="10"/>
      <c r="G526" s="10"/>
      <c r="H526" s="10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</row>
    <row r="527" spans="1:34" ht="15.75" customHeight="1">
      <c r="A527" s="9"/>
      <c r="B527" s="9"/>
      <c r="C527" s="9"/>
      <c r="D527" s="9"/>
      <c r="E527" s="10"/>
      <c r="F527" s="10"/>
      <c r="G527" s="10"/>
      <c r="H527" s="10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</row>
    <row r="528" spans="1:34" ht="15.75" customHeight="1">
      <c r="A528" s="9"/>
      <c r="B528" s="9"/>
      <c r="C528" s="9"/>
      <c r="D528" s="9"/>
      <c r="E528" s="10"/>
      <c r="F528" s="10"/>
      <c r="G528" s="10"/>
      <c r="H528" s="10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</row>
    <row r="529" spans="1:34" ht="15.75" customHeight="1">
      <c r="A529" s="9"/>
      <c r="B529" s="9"/>
      <c r="C529" s="9"/>
      <c r="D529" s="9"/>
      <c r="E529" s="10"/>
      <c r="F529" s="10"/>
      <c r="G529" s="10"/>
      <c r="H529" s="10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</row>
    <row r="530" spans="1:34" ht="15.75" customHeight="1">
      <c r="A530" s="9"/>
      <c r="B530" s="9"/>
      <c r="C530" s="9"/>
      <c r="D530" s="9"/>
      <c r="E530" s="10"/>
      <c r="F530" s="10"/>
      <c r="G530" s="10"/>
      <c r="H530" s="10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</row>
    <row r="531" spans="1:34" ht="15.75" customHeight="1">
      <c r="A531" s="9"/>
      <c r="B531" s="9"/>
      <c r="C531" s="9"/>
      <c r="D531" s="9"/>
      <c r="E531" s="10"/>
      <c r="F531" s="10"/>
      <c r="G531" s="10"/>
      <c r="H531" s="10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</row>
    <row r="532" spans="1:34" ht="15.75" customHeight="1">
      <c r="A532" s="9"/>
      <c r="B532" s="9"/>
      <c r="C532" s="9"/>
      <c r="D532" s="9"/>
      <c r="E532" s="10"/>
      <c r="F532" s="10"/>
      <c r="G532" s="10"/>
      <c r="H532" s="10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</row>
    <row r="533" spans="1:34" ht="15.75" customHeight="1">
      <c r="A533" s="9"/>
      <c r="B533" s="9"/>
      <c r="C533" s="9"/>
      <c r="D533" s="9"/>
      <c r="E533" s="10"/>
      <c r="F533" s="10"/>
      <c r="G533" s="10"/>
      <c r="H533" s="10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</row>
    <row r="534" spans="1:34" ht="15.75" customHeight="1">
      <c r="A534" s="9"/>
      <c r="B534" s="9"/>
      <c r="C534" s="9"/>
      <c r="D534" s="9"/>
      <c r="E534" s="10"/>
      <c r="F534" s="10"/>
      <c r="G534" s="10"/>
      <c r="H534" s="10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</row>
    <row r="535" spans="1:34" ht="15.75" customHeight="1">
      <c r="A535" s="9"/>
      <c r="B535" s="9"/>
      <c r="C535" s="9"/>
      <c r="D535" s="9"/>
      <c r="E535" s="10"/>
      <c r="F535" s="10"/>
      <c r="G535" s="10"/>
      <c r="H535" s="10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</row>
    <row r="536" spans="1:34" ht="15.75" customHeight="1">
      <c r="A536" s="9"/>
      <c r="B536" s="9"/>
      <c r="C536" s="9"/>
      <c r="D536" s="9"/>
      <c r="E536" s="10"/>
      <c r="F536" s="10"/>
      <c r="G536" s="10"/>
      <c r="H536" s="10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</row>
    <row r="537" spans="1:34" ht="15.75" customHeight="1">
      <c r="A537" s="9"/>
      <c r="B537" s="9"/>
      <c r="C537" s="9"/>
      <c r="D537" s="9"/>
      <c r="E537" s="10"/>
      <c r="F537" s="10"/>
      <c r="G537" s="10"/>
      <c r="H537" s="10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</row>
    <row r="538" spans="1:34" ht="15.75" customHeight="1">
      <c r="A538" s="9"/>
      <c r="B538" s="9"/>
      <c r="C538" s="9"/>
      <c r="D538" s="9"/>
      <c r="E538" s="10"/>
      <c r="F538" s="10"/>
      <c r="G538" s="10"/>
      <c r="H538" s="10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</row>
    <row r="539" spans="1:34" ht="15.75" customHeight="1">
      <c r="A539" s="9"/>
      <c r="B539" s="9"/>
      <c r="C539" s="9"/>
      <c r="D539" s="9"/>
      <c r="E539" s="10"/>
      <c r="F539" s="10"/>
      <c r="G539" s="10"/>
      <c r="H539" s="10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</row>
    <row r="540" spans="1:34" ht="15.75" customHeight="1">
      <c r="A540" s="9"/>
      <c r="B540" s="9"/>
      <c r="C540" s="9"/>
      <c r="D540" s="9"/>
      <c r="E540" s="10"/>
      <c r="F540" s="10"/>
      <c r="G540" s="10"/>
      <c r="H540" s="10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</row>
    <row r="541" spans="1:34" ht="15.75" customHeight="1">
      <c r="A541" s="9"/>
      <c r="B541" s="9"/>
      <c r="C541" s="9"/>
      <c r="D541" s="9"/>
      <c r="E541" s="10"/>
      <c r="F541" s="10"/>
      <c r="G541" s="10"/>
      <c r="H541" s="10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</row>
    <row r="542" spans="1:34" ht="15.75" customHeight="1">
      <c r="A542" s="9"/>
      <c r="B542" s="9"/>
      <c r="C542" s="9"/>
      <c r="D542" s="9"/>
      <c r="E542" s="10"/>
      <c r="F542" s="10"/>
      <c r="G542" s="10"/>
      <c r="H542" s="10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</row>
    <row r="543" spans="1:34" ht="15.75" customHeight="1">
      <c r="A543" s="9"/>
      <c r="B543" s="9"/>
      <c r="C543" s="9"/>
      <c r="D543" s="9"/>
      <c r="E543" s="10"/>
      <c r="F543" s="10"/>
      <c r="G543" s="10"/>
      <c r="H543" s="10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</row>
    <row r="544" spans="1:34" ht="15.75" customHeight="1">
      <c r="A544" s="9"/>
      <c r="B544" s="9"/>
      <c r="C544" s="9"/>
      <c r="D544" s="9"/>
      <c r="E544" s="10"/>
      <c r="F544" s="10"/>
      <c r="G544" s="10"/>
      <c r="H544" s="10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</row>
    <row r="545" spans="1:34" ht="15.75" customHeight="1">
      <c r="A545" s="9"/>
      <c r="B545" s="9"/>
      <c r="C545" s="9"/>
      <c r="D545" s="9"/>
      <c r="E545" s="10"/>
      <c r="F545" s="10"/>
      <c r="G545" s="10"/>
      <c r="H545" s="10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</row>
    <row r="546" spans="1:34" ht="15.75" customHeight="1">
      <c r="A546" s="9"/>
      <c r="B546" s="9"/>
      <c r="C546" s="9"/>
      <c r="D546" s="9"/>
      <c r="E546" s="10"/>
      <c r="F546" s="10"/>
      <c r="G546" s="10"/>
      <c r="H546" s="10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</row>
    <row r="547" spans="1:34" ht="15.75" customHeight="1">
      <c r="A547" s="9"/>
      <c r="B547" s="9"/>
      <c r="C547" s="9"/>
      <c r="D547" s="9"/>
      <c r="E547" s="10"/>
      <c r="F547" s="10"/>
      <c r="G547" s="10"/>
      <c r="H547" s="10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</row>
    <row r="548" spans="1:34" ht="15.75" customHeight="1">
      <c r="A548" s="9"/>
      <c r="B548" s="9"/>
      <c r="C548" s="9"/>
      <c r="D548" s="9"/>
      <c r="E548" s="10"/>
      <c r="F548" s="10"/>
      <c r="G548" s="10"/>
      <c r="H548" s="10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</row>
    <row r="549" spans="1:34" ht="15.75" customHeight="1">
      <c r="A549" s="9"/>
      <c r="B549" s="9"/>
      <c r="C549" s="9"/>
      <c r="D549" s="9"/>
      <c r="E549" s="10"/>
      <c r="F549" s="10"/>
      <c r="G549" s="10"/>
      <c r="H549" s="10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</row>
    <row r="550" spans="1:34" ht="15.75" customHeight="1">
      <c r="A550" s="9"/>
      <c r="B550" s="9"/>
      <c r="C550" s="9"/>
      <c r="D550" s="9"/>
      <c r="E550" s="10"/>
      <c r="F550" s="10"/>
      <c r="G550" s="10"/>
      <c r="H550" s="10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</row>
    <row r="551" spans="1:34" ht="15.75" customHeight="1">
      <c r="A551" s="9"/>
      <c r="B551" s="9"/>
      <c r="C551" s="9"/>
      <c r="D551" s="9"/>
      <c r="E551" s="10"/>
      <c r="F551" s="10"/>
      <c r="G551" s="10"/>
      <c r="H551" s="10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</row>
    <row r="552" spans="1:34" ht="15.75" customHeight="1">
      <c r="A552" s="9"/>
      <c r="B552" s="9"/>
      <c r="C552" s="9"/>
      <c r="D552" s="9"/>
      <c r="E552" s="10"/>
      <c r="F552" s="10"/>
      <c r="G552" s="10"/>
      <c r="H552" s="10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</row>
    <row r="553" spans="1:34" ht="15.75" customHeight="1">
      <c r="A553" s="9"/>
      <c r="B553" s="9"/>
      <c r="C553" s="9"/>
      <c r="D553" s="9"/>
      <c r="E553" s="10"/>
      <c r="F553" s="10"/>
      <c r="G553" s="10"/>
      <c r="H553" s="10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</row>
    <row r="554" spans="1:34" ht="15.75" customHeight="1">
      <c r="A554" s="9"/>
      <c r="B554" s="9"/>
      <c r="C554" s="9"/>
      <c r="D554" s="9"/>
      <c r="E554" s="10"/>
      <c r="F554" s="10"/>
      <c r="G554" s="10"/>
      <c r="H554" s="10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</row>
    <row r="555" spans="1:34" ht="15.75" customHeight="1">
      <c r="A555" s="9"/>
      <c r="B555" s="9"/>
      <c r="C555" s="9"/>
      <c r="D555" s="9"/>
      <c r="E555" s="10"/>
      <c r="F555" s="10"/>
      <c r="G555" s="10"/>
      <c r="H555" s="10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</row>
    <row r="556" spans="1:34" ht="15.75" customHeight="1">
      <c r="A556" s="9"/>
      <c r="B556" s="9"/>
      <c r="C556" s="9"/>
      <c r="D556" s="9"/>
      <c r="E556" s="10"/>
      <c r="F556" s="10"/>
      <c r="G556" s="10"/>
      <c r="H556" s="10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</row>
    <row r="557" spans="1:34" ht="15.75" customHeight="1">
      <c r="A557" s="9"/>
      <c r="B557" s="9"/>
      <c r="C557" s="9"/>
      <c r="D557" s="9"/>
      <c r="E557" s="10"/>
      <c r="F557" s="10"/>
      <c r="G557" s="10"/>
      <c r="H557" s="10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</row>
    <row r="558" spans="1:34" ht="15.75" customHeight="1">
      <c r="A558" s="9"/>
      <c r="B558" s="9"/>
      <c r="C558" s="9"/>
      <c r="D558" s="9"/>
      <c r="E558" s="10"/>
      <c r="F558" s="10"/>
      <c r="G558" s="10"/>
      <c r="H558" s="10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</row>
    <row r="559" spans="1:34" ht="15.75" customHeight="1">
      <c r="A559" s="9"/>
      <c r="B559" s="9"/>
      <c r="C559" s="9"/>
      <c r="D559" s="9"/>
      <c r="E559" s="10"/>
      <c r="F559" s="10"/>
      <c r="G559" s="10"/>
      <c r="H559" s="10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</row>
    <row r="560" spans="1:34" ht="15.75" customHeight="1">
      <c r="A560" s="9"/>
      <c r="B560" s="9"/>
      <c r="C560" s="9"/>
      <c r="D560" s="9"/>
      <c r="E560" s="10"/>
      <c r="F560" s="10"/>
      <c r="G560" s="10"/>
      <c r="H560" s="10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</row>
    <row r="561" spans="1:34" ht="15.75" customHeight="1">
      <c r="A561" s="9"/>
      <c r="B561" s="9"/>
      <c r="C561" s="9"/>
      <c r="D561" s="9"/>
      <c r="E561" s="10"/>
      <c r="F561" s="10"/>
      <c r="G561" s="10"/>
      <c r="H561" s="10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</row>
    <row r="562" spans="1:34" ht="15.75" customHeight="1">
      <c r="A562" s="9"/>
      <c r="B562" s="9"/>
      <c r="C562" s="9"/>
      <c r="D562" s="9"/>
      <c r="E562" s="10"/>
      <c r="F562" s="10"/>
      <c r="G562" s="10"/>
      <c r="H562" s="10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</row>
    <row r="563" spans="1:34" ht="15.75" customHeight="1">
      <c r="A563" s="9"/>
      <c r="B563" s="9"/>
      <c r="C563" s="9"/>
      <c r="D563" s="9"/>
      <c r="E563" s="10"/>
      <c r="F563" s="10"/>
      <c r="G563" s="10"/>
      <c r="H563" s="10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</row>
    <row r="564" spans="1:34" ht="15.75" customHeight="1">
      <c r="A564" s="9"/>
      <c r="B564" s="9"/>
      <c r="C564" s="9"/>
      <c r="D564" s="9"/>
      <c r="E564" s="10"/>
      <c r="F564" s="10"/>
      <c r="G564" s="10"/>
      <c r="H564" s="10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 spans="1:34" ht="15.75" customHeight="1">
      <c r="A565" s="9"/>
      <c r="B565" s="9"/>
      <c r="C565" s="9"/>
      <c r="D565" s="9"/>
      <c r="E565" s="10"/>
      <c r="F565" s="10"/>
      <c r="G565" s="10"/>
      <c r="H565" s="10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</row>
    <row r="566" spans="1:34" ht="15.75" customHeight="1">
      <c r="A566" s="9"/>
      <c r="B566" s="9"/>
      <c r="C566" s="9"/>
      <c r="D566" s="9"/>
      <c r="E566" s="10"/>
      <c r="F566" s="10"/>
      <c r="G566" s="10"/>
      <c r="H566" s="10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</row>
    <row r="567" spans="1:34" ht="15.75" customHeight="1">
      <c r="A567" s="9"/>
      <c r="B567" s="9"/>
      <c r="C567" s="9"/>
      <c r="D567" s="9"/>
      <c r="E567" s="10"/>
      <c r="F567" s="10"/>
      <c r="G567" s="10"/>
      <c r="H567" s="10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</row>
    <row r="568" spans="1:34" ht="15.75" customHeight="1">
      <c r="A568" s="9"/>
      <c r="B568" s="9"/>
      <c r="C568" s="9"/>
      <c r="D568" s="9"/>
      <c r="E568" s="10"/>
      <c r="F568" s="10"/>
      <c r="G568" s="10"/>
      <c r="H568" s="10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</row>
    <row r="569" spans="1:34" ht="15.75" customHeight="1">
      <c r="A569" s="9"/>
      <c r="B569" s="9"/>
      <c r="C569" s="9"/>
      <c r="D569" s="9"/>
      <c r="E569" s="10"/>
      <c r="F569" s="10"/>
      <c r="G569" s="10"/>
      <c r="H569" s="10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</row>
    <row r="570" spans="1:34" ht="15.75" customHeight="1">
      <c r="A570" s="9"/>
      <c r="B570" s="9"/>
      <c r="C570" s="9"/>
      <c r="D570" s="9"/>
      <c r="E570" s="10"/>
      <c r="F570" s="10"/>
      <c r="G570" s="10"/>
      <c r="H570" s="10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</row>
    <row r="571" spans="1:34" ht="15.75" customHeight="1">
      <c r="A571" s="9"/>
      <c r="B571" s="9"/>
      <c r="C571" s="9"/>
      <c r="D571" s="9"/>
      <c r="E571" s="10"/>
      <c r="F571" s="10"/>
      <c r="G571" s="10"/>
      <c r="H571" s="10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</row>
    <row r="572" spans="1:34" ht="15.75" customHeight="1">
      <c r="A572" s="9"/>
      <c r="B572" s="9"/>
      <c r="C572" s="9"/>
      <c r="D572" s="9"/>
      <c r="E572" s="10"/>
      <c r="F572" s="10"/>
      <c r="G572" s="10"/>
      <c r="H572" s="10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</row>
    <row r="573" spans="1:34" ht="15.75" customHeight="1">
      <c r="A573" s="9"/>
      <c r="B573" s="9"/>
      <c r="C573" s="9"/>
      <c r="D573" s="9"/>
      <c r="E573" s="10"/>
      <c r="F573" s="10"/>
      <c r="G573" s="10"/>
      <c r="H573" s="10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</row>
    <row r="574" spans="1:34" ht="15.75" customHeight="1">
      <c r="A574" s="9"/>
      <c r="B574" s="9"/>
      <c r="C574" s="9"/>
      <c r="D574" s="9"/>
      <c r="E574" s="10"/>
      <c r="F574" s="10"/>
      <c r="G574" s="10"/>
      <c r="H574" s="10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</row>
    <row r="575" spans="1:34" ht="15.75" customHeight="1">
      <c r="A575" s="9"/>
      <c r="B575" s="9"/>
      <c r="C575" s="9"/>
      <c r="D575" s="9"/>
      <c r="E575" s="10"/>
      <c r="F575" s="10"/>
      <c r="G575" s="10"/>
      <c r="H575" s="10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</row>
    <row r="576" spans="1:34" ht="15.75" customHeight="1">
      <c r="A576" s="9"/>
      <c r="B576" s="9"/>
      <c r="C576" s="9"/>
      <c r="D576" s="9"/>
      <c r="E576" s="10"/>
      <c r="F576" s="10"/>
      <c r="G576" s="10"/>
      <c r="H576" s="10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</row>
    <row r="577" spans="1:34" ht="15.75" customHeight="1">
      <c r="A577" s="9"/>
      <c r="B577" s="9"/>
      <c r="C577" s="9"/>
      <c r="D577" s="9"/>
      <c r="E577" s="10"/>
      <c r="F577" s="10"/>
      <c r="G577" s="10"/>
      <c r="H577" s="10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</row>
    <row r="578" spans="1:34" ht="15.75" customHeight="1">
      <c r="A578" s="9"/>
      <c r="B578" s="9"/>
      <c r="C578" s="9"/>
      <c r="D578" s="9"/>
      <c r="E578" s="10"/>
      <c r="F578" s="10"/>
      <c r="G578" s="10"/>
      <c r="H578" s="10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</row>
    <row r="579" spans="1:34" ht="15.75" customHeight="1">
      <c r="A579" s="9"/>
      <c r="B579" s="9"/>
      <c r="C579" s="9"/>
      <c r="D579" s="9"/>
      <c r="E579" s="10"/>
      <c r="F579" s="10"/>
      <c r="G579" s="10"/>
      <c r="H579" s="10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</row>
    <row r="580" spans="1:34" ht="15.75" customHeight="1">
      <c r="A580" s="9"/>
      <c r="B580" s="9"/>
      <c r="C580" s="9"/>
      <c r="D580" s="9"/>
      <c r="E580" s="10"/>
      <c r="F580" s="10"/>
      <c r="G580" s="10"/>
      <c r="H580" s="10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</row>
    <row r="581" spans="1:34" ht="15.75" customHeight="1">
      <c r="A581" s="9"/>
      <c r="B581" s="9"/>
      <c r="C581" s="9"/>
      <c r="D581" s="9"/>
      <c r="E581" s="10"/>
      <c r="F581" s="10"/>
      <c r="G581" s="10"/>
      <c r="H581" s="10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</row>
    <row r="582" spans="1:34" ht="15.75" customHeight="1">
      <c r="A582" s="9"/>
      <c r="B582" s="9"/>
      <c r="C582" s="9"/>
      <c r="D582" s="9"/>
      <c r="E582" s="10"/>
      <c r="F582" s="10"/>
      <c r="G582" s="10"/>
      <c r="H582" s="10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</row>
    <row r="583" spans="1:34" ht="15.75" customHeight="1">
      <c r="A583" s="9"/>
      <c r="B583" s="9"/>
      <c r="C583" s="9"/>
      <c r="D583" s="9"/>
      <c r="E583" s="10"/>
      <c r="F583" s="10"/>
      <c r="G583" s="10"/>
      <c r="H583" s="10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</row>
    <row r="584" spans="1:34" ht="15.75" customHeight="1">
      <c r="A584" s="9"/>
      <c r="B584" s="9"/>
      <c r="C584" s="9"/>
      <c r="D584" s="9"/>
      <c r="E584" s="10"/>
      <c r="F584" s="10"/>
      <c r="G584" s="10"/>
      <c r="H584" s="10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</row>
    <row r="585" spans="1:34" ht="15.75" customHeight="1">
      <c r="A585" s="9"/>
      <c r="B585" s="9"/>
      <c r="C585" s="9"/>
      <c r="D585" s="9"/>
      <c r="E585" s="10"/>
      <c r="F585" s="10"/>
      <c r="G585" s="10"/>
      <c r="H585" s="10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</row>
    <row r="586" spans="1:34" ht="15.75" customHeight="1">
      <c r="A586" s="9"/>
      <c r="B586" s="9"/>
      <c r="C586" s="9"/>
      <c r="D586" s="9"/>
      <c r="E586" s="10"/>
      <c r="F586" s="10"/>
      <c r="G586" s="10"/>
      <c r="H586" s="10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</row>
    <row r="587" spans="1:34" ht="15.75" customHeight="1">
      <c r="A587" s="9"/>
      <c r="B587" s="9"/>
      <c r="C587" s="9"/>
      <c r="D587" s="9"/>
      <c r="E587" s="10"/>
      <c r="F587" s="10"/>
      <c r="G587" s="10"/>
      <c r="H587" s="10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  <row r="588" spans="1:34" ht="15.75" customHeight="1">
      <c r="A588" s="9"/>
      <c r="B588" s="9"/>
      <c r="C588" s="9"/>
      <c r="D588" s="9"/>
      <c r="E588" s="10"/>
      <c r="F588" s="10"/>
      <c r="G588" s="10"/>
      <c r="H588" s="10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</row>
    <row r="589" spans="1:34" ht="15.75" customHeight="1">
      <c r="A589" s="9"/>
      <c r="B589" s="9"/>
      <c r="C589" s="9"/>
      <c r="D589" s="9"/>
      <c r="E589" s="10"/>
      <c r="F589" s="10"/>
      <c r="G589" s="10"/>
      <c r="H589" s="10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</row>
    <row r="590" spans="1:34" ht="15.75" customHeight="1">
      <c r="A590" s="9"/>
      <c r="B590" s="9"/>
      <c r="C590" s="9"/>
      <c r="D590" s="9"/>
      <c r="E590" s="10"/>
      <c r="F590" s="10"/>
      <c r="G590" s="10"/>
      <c r="H590" s="10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</row>
    <row r="591" spans="1:34" ht="15.75" customHeight="1">
      <c r="A591" s="9"/>
      <c r="B591" s="9"/>
      <c r="C591" s="9"/>
      <c r="D591" s="9"/>
      <c r="E591" s="10"/>
      <c r="F591" s="10"/>
      <c r="G591" s="10"/>
      <c r="H591" s="10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</row>
    <row r="592" spans="1:34" ht="15.75" customHeight="1">
      <c r="A592" s="9"/>
      <c r="B592" s="9"/>
      <c r="C592" s="9"/>
      <c r="D592" s="9"/>
      <c r="E592" s="10"/>
      <c r="F592" s="10"/>
      <c r="G592" s="10"/>
      <c r="H592" s="10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</row>
    <row r="593" spans="1:34" ht="15.75" customHeight="1">
      <c r="A593" s="9"/>
      <c r="B593" s="9"/>
      <c r="C593" s="9"/>
      <c r="D593" s="9"/>
      <c r="E593" s="10"/>
      <c r="F593" s="10"/>
      <c r="G593" s="10"/>
      <c r="H593" s="10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</row>
    <row r="594" spans="1:34" ht="15.75" customHeight="1">
      <c r="A594" s="9"/>
      <c r="B594" s="9"/>
      <c r="C594" s="9"/>
      <c r="D594" s="9"/>
      <c r="E594" s="10"/>
      <c r="F594" s="10"/>
      <c r="G594" s="10"/>
      <c r="H594" s="10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</row>
    <row r="595" spans="1:34" ht="15.75" customHeight="1">
      <c r="A595" s="9"/>
      <c r="B595" s="9"/>
      <c r="C595" s="9"/>
      <c r="D595" s="9"/>
      <c r="E595" s="10"/>
      <c r="F595" s="10"/>
      <c r="G595" s="10"/>
      <c r="H595" s="10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</row>
    <row r="596" spans="1:34" ht="15.75" customHeight="1">
      <c r="A596" s="9"/>
      <c r="B596" s="9"/>
      <c r="C596" s="9"/>
      <c r="D596" s="9"/>
      <c r="E596" s="10"/>
      <c r="F596" s="10"/>
      <c r="G596" s="10"/>
      <c r="H596" s="10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</row>
    <row r="597" spans="1:34" ht="15.75" customHeight="1">
      <c r="A597" s="9"/>
      <c r="B597" s="9"/>
      <c r="C597" s="9"/>
      <c r="D597" s="9"/>
      <c r="E597" s="10"/>
      <c r="F597" s="10"/>
      <c r="G597" s="10"/>
      <c r="H597" s="10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</row>
    <row r="598" spans="1:34" ht="15.75" customHeight="1">
      <c r="A598" s="9"/>
      <c r="B598" s="9"/>
      <c r="C598" s="9"/>
      <c r="D598" s="9"/>
      <c r="E598" s="10"/>
      <c r="F598" s="10"/>
      <c r="G598" s="10"/>
      <c r="H598" s="10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</row>
    <row r="599" spans="1:34" ht="15.75" customHeight="1">
      <c r="A599" s="9"/>
      <c r="B599" s="9"/>
      <c r="C599" s="9"/>
      <c r="D599" s="9"/>
      <c r="E599" s="10"/>
      <c r="F599" s="10"/>
      <c r="G599" s="10"/>
      <c r="H599" s="10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</row>
    <row r="600" spans="1:34" ht="15.75" customHeight="1">
      <c r="A600" s="9"/>
      <c r="B600" s="9"/>
      <c r="C600" s="9"/>
      <c r="D600" s="9"/>
      <c r="E600" s="10"/>
      <c r="F600" s="10"/>
      <c r="G600" s="10"/>
      <c r="H600" s="10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</row>
    <row r="601" spans="1:34" ht="15.75" customHeight="1">
      <c r="A601" s="9"/>
      <c r="B601" s="9"/>
      <c r="C601" s="9"/>
      <c r="D601" s="9"/>
      <c r="E601" s="10"/>
      <c r="F601" s="10"/>
      <c r="G601" s="10"/>
      <c r="H601" s="10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</row>
    <row r="602" spans="1:34" ht="15.75" customHeight="1">
      <c r="A602" s="9"/>
      <c r="B602" s="9"/>
      <c r="C602" s="9"/>
      <c r="D602" s="9"/>
      <c r="E602" s="10"/>
      <c r="F602" s="10"/>
      <c r="G602" s="10"/>
      <c r="H602" s="10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</row>
    <row r="603" spans="1:34" ht="15.75" customHeight="1">
      <c r="A603" s="9"/>
      <c r="B603" s="9"/>
      <c r="C603" s="9"/>
      <c r="D603" s="9"/>
      <c r="E603" s="10"/>
      <c r="F603" s="10"/>
      <c r="G603" s="10"/>
      <c r="H603" s="10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</row>
    <row r="604" spans="1:34" ht="15.75" customHeight="1">
      <c r="A604" s="9"/>
      <c r="B604" s="9"/>
      <c r="C604" s="9"/>
      <c r="D604" s="9"/>
      <c r="E604" s="10"/>
      <c r="F604" s="10"/>
      <c r="G604" s="10"/>
      <c r="H604" s="10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</row>
    <row r="605" spans="1:34" ht="15.75" customHeight="1">
      <c r="A605" s="9"/>
      <c r="B605" s="9"/>
      <c r="C605" s="9"/>
      <c r="D605" s="9"/>
      <c r="E605" s="10"/>
      <c r="F605" s="10"/>
      <c r="G605" s="10"/>
      <c r="H605" s="10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</row>
    <row r="606" spans="1:34" ht="15.75" customHeight="1">
      <c r="A606" s="9"/>
      <c r="B606" s="9"/>
      <c r="C606" s="9"/>
      <c r="D606" s="9"/>
      <c r="E606" s="10"/>
      <c r="F606" s="10"/>
      <c r="G606" s="10"/>
      <c r="H606" s="10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</row>
    <row r="607" spans="1:34" ht="15.75" customHeight="1">
      <c r="A607" s="9"/>
      <c r="B607" s="9"/>
      <c r="C607" s="9"/>
      <c r="D607" s="9"/>
      <c r="E607" s="10"/>
      <c r="F607" s="10"/>
      <c r="G607" s="10"/>
      <c r="H607" s="10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</row>
    <row r="608" spans="1:34" ht="15.75" customHeight="1">
      <c r="A608" s="9"/>
      <c r="B608" s="9"/>
      <c r="C608" s="9"/>
      <c r="D608" s="9"/>
      <c r="E608" s="10"/>
      <c r="F608" s="10"/>
      <c r="G608" s="10"/>
      <c r="H608" s="10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</row>
    <row r="609" spans="1:34" ht="15.75" customHeight="1">
      <c r="A609" s="9"/>
      <c r="B609" s="9"/>
      <c r="C609" s="9"/>
      <c r="D609" s="9"/>
      <c r="E609" s="10"/>
      <c r="F609" s="10"/>
      <c r="G609" s="10"/>
      <c r="H609" s="10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</row>
    <row r="610" spans="1:34" ht="15.75" customHeight="1">
      <c r="A610" s="9"/>
      <c r="B610" s="9"/>
      <c r="C610" s="9"/>
      <c r="D610" s="9"/>
      <c r="E610" s="10"/>
      <c r="F610" s="10"/>
      <c r="G610" s="10"/>
      <c r="H610" s="10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</row>
    <row r="611" spans="1:34" ht="15.75" customHeight="1">
      <c r="A611" s="9"/>
      <c r="B611" s="9"/>
      <c r="C611" s="9"/>
      <c r="D611" s="9"/>
      <c r="E611" s="10"/>
      <c r="F611" s="10"/>
      <c r="G611" s="10"/>
      <c r="H611" s="10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 spans="1:34" ht="15.75" customHeight="1">
      <c r="A612" s="9"/>
      <c r="B612" s="9"/>
      <c r="C612" s="9"/>
      <c r="D612" s="9"/>
      <c r="E612" s="10"/>
      <c r="F612" s="10"/>
      <c r="G612" s="10"/>
      <c r="H612" s="10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</row>
    <row r="613" spans="1:34" ht="15.75" customHeight="1">
      <c r="A613" s="9"/>
      <c r="B613" s="9"/>
      <c r="C613" s="9"/>
      <c r="D613" s="9"/>
      <c r="E613" s="10"/>
      <c r="F613" s="10"/>
      <c r="G613" s="10"/>
      <c r="H613" s="10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</row>
    <row r="614" spans="1:34" ht="15.75" customHeight="1">
      <c r="A614" s="9"/>
      <c r="B614" s="9"/>
      <c r="C614" s="9"/>
      <c r="D614" s="9"/>
      <c r="E614" s="10"/>
      <c r="F614" s="10"/>
      <c r="G614" s="10"/>
      <c r="H614" s="10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</row>
    <row r="615" spans="1:34" ht="15.75" customHeight="1">
      <c r="A615" s="9"/>
      <c r="B615" s="9"/>
      <c r="C615" s="9"/>
      <c r="D615" s="9"/>
      <c r="E615" s="10"/>
      <c r="F615" s="10"/>
      <c r="G615" s="10"/>
      <c r="H615" s="10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</row>
    <row r="616" spans="1:34" ht="15.75" customHeight="1">
      <c r="A616" s="9"/>
      <c r="B616" s="9"/>
      <c r="C616" s="9"/>
      <c r="D616" s="9"/>
      <c r="E616" s="10"/>
      <c r="F616" s="10"/>
      <c r="G616" s="10"/>
      <c r="H616" s="10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</row>
    <row r="617" spans="1:34" ht="15.75" customHeight="1">
      <c r="A617" s="9"/>
      <c r="B617" s="9"/>
      <c r="C617" s="9"/>
      <c r="D617" s="9"/>
      <c r="E617" s="10"/>
      <c r="F617" s="10"/>
      <c r="G617" s="10"/>
      <c r="H617" s="10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</row>
    <row r="618" spans="1:34" ht="15.75" customHeight="1">
      <c r="A618" s="9"/>
      <c r="B618" s="9"/>
      <c r="C618" s="9"/>
      <c r="D618" s="9"/>
      <c r="E618" s="10"/>
      <c r="F618" s="10"/>
      <c r="G618" s="10"/>
      <c r="H618" s="10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</row>
    <row r="619" spans="1:34" ht="15.75" customHeight="1">
      <c r="A619" s="9"/>
      <c r="B619" s="9"/>
      <c r="C619" s="9"/>
      <c r="D619" s="9"/>
      <c r="E619" s="10"/>
      <c r="F619" s="10"/>
      <c r="G619" s="10"/>
      <c r="H619" s="10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</row>
    <row r="620" spans="1:34" ht="15.75" customHeight="1">
      <c r="A620" s="9"/>
      <c r="B620" s="9"/>
      <c r="C620" s="9"/>
      <c r="D620" s="9"/>
      <c r="E620" s="10"/>
      <c r="F620" s="10"/>
      <c r="G620" s="10"/>
      <c r="H620" s="10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</row>
    <row r="621" spans="1:34" ht="15.75" customHeight="1">
      <c r="A621" s="9"/>
      <c r="B621" s="9"/>
      <c r="C621" s="9"/>
      <c r="D621" s="9"/>
      <c r="E621" s="10"/>
      <c r="F621" s="10"/>
      <c r="G621" s="10"/>
      <c r="H621" s="10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</row>
    <row r="622" spans="1:34" ht="15.75" customHeight="1">
      <c r="A622" s="9"/>
      <c r="B622" s="9"/>
      <c r="C622" s="9"/>
      <c r="D622" s="9"/>
      <c r="E622" s="10"/>
      <c r="F622" s="10"/>
      <c r="G622" s="10"/>
      <c r="H622" s="10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</row>
    <row r="623" spans="1:34" ht="15.75" customHeight="1">
      <c r="A623" s="9"/>
      <c r="B623" s="9"/>
      <c r="C623" s="9"/>
      <c r="D623" s="9"/>
      <c r="E623" s="10"/>
      <c r="F623" s="10"/>
      <c r="G623" s="10"/>
      <c r="H623" s="10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</row>
    <row r="624" spans="1:34" ht="15.75" customHeight="1">
      <c r="A624" s="9"/>
      <c r="B624" s="9"/>
      <c r="C624" s="9"/>
      <c r="D624" s="9"/>
      <c r="E624" s="10"/>
      <c r="F624" s="10"/>
      <c r="G624" s="10"/>
      <c r="H624" s="10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</row>
    <row r="625" spans="1:34" ht="15.75" customHeight="1">
      <c r="A625" s="9"/>
      <c r="B625" s="9"/>
      <c r="C625" s="9"/>
      <c r="D625" s="9"/>
      <c r="E625" s="10"/>
      <c r="F625" s="10"/>
      <c r="G625" s="10"/>
      <c r="H625" s="10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</row>
    <row r="626" spans="1:34" ht="15.75" customHeight="1">
      <c r="A626" s="9"/>
      <c r="B626" s="9"/>
      <c r="C626" s="9"/>
      <c r="D626" s="9"/>
      <c r="E626" s="10"/>
      <c r="F626" s="10"/>
      <c r="G626" s="10"/>
      <c r="H626" s="10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</row>
    <row r="627" spans="1:34" ht="15.75" customHeight="1">
      <c r="A627" s="9"/>
      <c r="B627" s="9"/>
      <c r="C627" s="9"/>
      <c r="D627" s="9"/>
      <c r="E627" s="10"/>
      <c r="F627" s="10"/>
      <c r="G627" s="10"/>
      <c r="H627" s="10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</row>
    <row r="628" spans="1:34" ht="15.75" customHeight="1">
      <c r="A628" s="9"/>
      <c r="B628" s="9"/>
      <c r="C628" s="9"/>
      <c r="D628" s="9"/>
      <c r="E628" s="10"/>
      <c r="F628" s="10"/>
      <c r="G628" s="10"/>
      <c r="H628" s="10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</row>
    <row r="629" spans="1:34" ht="15.75" customHeight="1">
      <c r="A629" s="9"/>
      <c r="B629" s="9"/>
      <c r="C629" s="9"/>
      <c r="D629" s="9"/>
      <c r="E629" s="10"/>
      <c r="F629" s="10"/>
      <c r="G629" s="10"/>
      <c r="H629" s="10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</row>
    <row r="630" spans="1:34" ht="15.75" customHeight="1">
      <c r="A630" s="9"/>
      <c r="B630" s="9"/>
      <c r="C630" s="9"/>
      <c r="D630" s="9"/>
      <c r="E630" s="10"/>
      <c r="F630" s="10"/>
      <c r="G630" s="10"/>
      <c r="H630" s="10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</row>
    <row r="631" spans="1:34" ht="15.75" customHeight="1">
      <c r="A631" s="9"/>
      <c r="B631" s="9"/>
      <c r="C631" s="9"/>
      <c r="D631" s="9"/>
      <c r="E631" s="10"/>
      <c r="F631" s="10"/>
      <c r="G631" s="10"/>
      <c r="H631" s="10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</row>
    <row r="632" spans="1:34" ht="15.75" customHeight="1">
      <c r="A632" s="9"/>
      <c r="B632" s="9"/>
      <c r="C632" s="9"/>
      <c r="D632" s="9"/>
      <c r="E632" s="10"/>
      <c r="F632" s="10"/>
      <c r="G632" s="10"/>
      <c r="H632" s="10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</row>
    <row r="633" spans="1:34" ht="15.75" customHeight="1">
      <c r="A633" s="9"/>
      <c r="B633" s="9"/>
      <c r="C633" s="9"/>
      <c r="D633" s="9"/>
      <c r="E633" s="10"/>
      <c r="F633" s="10"/>
      <c r="G633" s="10"/>
      <c r="H633" s="10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</row>
    <row r="634" spans="1:34" ht="15.75" customHeight="1">
      <c r="A634" s="9"/>
      <c r="B634" s="9"/>
      <c r="C634" s="9"/>
      <c r="D634" s="9"/>
      <c r="E634" s="10"/>
      <c r="F634" s="10"/>
      <c r="G634" s="10"/>
      <c r="H634" s="10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</row>
    <row r="635" spans="1:34" ht="15.75" customHeight="1">
      <c r="A635" s="9"/>
      <c r="B635" s="9"/>
      <c r="C635" s="9"/>
      <c r="D635" s="9"/>
      <c r="E635" s="10"/>
      <c r="F635" s="10"/>
      <c r="G635" s="10"/>
      <c r="H635" s="10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</row>
    <row r="636" spans="1:34" ht="15.75" customHeight="1">
      <c r="A636" s="9"/>
      <c r="B636" s="9"/>
      <c r="C636" s="9"/>
      <c r="D636" s="9"/>
      <c r="E636" s="10"/>
      <c r="F636" s="10"/>
      <c r="G636" s="10"/>
      <c r="H636" s="10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</row>
    <row r="637" spans="1:34" ht="15.75" customHeight="1">
      <c r="A637" s="9"/>
      <c r="B637" s="9"/>
      <c r="C637" s="9"/>
      <c r="D637" s="9"/>
      <c r="E637" s="10"/>
      <c r="F637" s="10"/>
      <c r="G637" s="10"/>
      <c r="H637" s="10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</row>
    <row r="638" spans="1:34" ht="15.75" customHeight="1">
      <c r="A638" s="9"/>
      <c r="B638" s="9"/>
      <c r="C638" s="9"/>
      <c r="D638" s="9"/>
      <c r="E638" s="10"/>
      <c r="F638" s="10"/>
      <c r="G638" s="10"/>
      <c r="H638" s="10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</row>
    <row r="639" spans="1:34" ht="15.75" customHeight="1">
      <c r="A639" s="9"/>
      <c r="B639" s="9"/>
      <c r="C639" s="9"/>
      <c r="D639" s="9"/>
      <c r="E639" s="10"/>
      <c r="F639" s="10"/>
      <c r="G639" s="10"/>
      <c r="H639" s="10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</row>
    <row r="640" spans="1:34" ht="15.75" customHeight="1">
      <c r="A640" s="9"/>
      <c r="B640" s="9"/>
      <c r="C640" s="9"/>
      <c r="D640" s="9"/>
      <c r="E640" s="10"/>
      <c r="F640" s="10"/>
      <c r="G640" s="10"/>
      <c r="H640" s="10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</row>
    <row r="641" spans="1:34" ht="15.75" customHeight="1">
      <c r="A641" s="9"/>
      <c r="B641" s="9"/>
      <c r="C641" s="9"/>
      <c r="D641" s="9"/>
      <c r="E641" s="10"/>
      <c r="F641" s="10"/>
      <c r="G641" s="10"/>
      <c r="H641" s="10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</row>
    <row r="642" spans="1:34" ht="15.75" customHeight="1">
      <c r="A642" s="9"/>
      <c r="B642" s="9"/>
      <c r="C642" s="9"/>
      <c r="D642" s="9"/>
      <c r="E642" s="10"/>
      <c r="F642" s="10"/>
      <c r="G642" s="10"/>
      <c r="H642" s="10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</row>
    <row r="643" spans="1:34" ht="15.75" customHeight="1">
      <c r="A643" s="9"/>
      <c r="B643" s="9"/>
      <c r="C643" s="9"/>
      <c r="D643" s="9"/>
      <c r="E643" s="10"/>
      <c r="F643" s="10"/>
      <c r="G643" s="10"/>
      <c r="H643" s="10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</row>
    <row r="644" spans="1:34" ht="15.75" customHeight="1">
      <c r="A644" s="9"/>
      <c r="B644" s="9"/>
      <c r="C644" s="9"/>
      <c r="D644" s="9"/>
      <c r="E644" s="10"/>
      <c r="F644" s="10"/>
      <c r="G644" s="10"/>
      <c r="H644" s="10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</row>
    <row r="645" spans="1:34" ht="15.75" customHeight="1">
      <c r="A645" s="9"/>
      <c r="B645" s="9"/>
      <c r="C645" s="9"/>
      <c r="D645" s="9"/>
      <c r="E645" s="10"/>
      <c r="F645" s="10"/>
      <c r="G645" s="10"/>
      <c r="H645" s="10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</row>
    <row r="646" spans="1:34" ht="15.75" customHeight="1">
      <c r="A646" s="9"/>
      <c r="B646" s="9"/>
      <c r="C646" s="9"/>
      <c r="D646" s="9"/>
      <c r="E646" s="10"/>
      <c r="F646" s="10"/>
      <c r="G646" s="10"/>
      <c r="H646" s="10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</row>
    <row r="647" spans="1:34" ht="15.75" customHeight="1">
      <c r="A647" s="9"/>
      <c r="B647" s="9"/>
      <c r="C647" s="9"/>
      <c r="D647" s="9"/>
      <c r="E647" s="10"/>
      <c r="F647" s="10"/>
      <c r="G647" s="10"/>
      <c r="H647" s="10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</row>
    <row r="648" spans="1:34" ht="15.75" customHeight="1">
      <c r="A648" s="9"/>
      <c r="B648" s="9"/>
      <c r="C648" s="9"/>
      <c r="D648" s="9"/>
      <c r="E648" s="10"/>
      <c r="F648" s="10"/>
      <c r="G648" s="10"/>
      <c r="H648" s="10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</row>
    <row r="649" spans="1:34" ht="15.75" customHeight="1">
      <c r="A649" s="9"/>
      <c r="B649" s="9"/>
      <c r="C649" s="9"/>
      <c r="D649" s="9"/>
      <c r="E649" s="10"/>
      <c r="F649" s="10"/>
      <c r="G649" s="10"/>
      <c r="H649" s="10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</row>
    <row r="650" spans="1:34" ht="15.75" customHeight="1">
      <c r="A650" s="9"/>
      <c r="B650" s="9"/>
      <c r="C650" s="9"/>
      <c r="D650" s="9"/>
      <c r="E650" s="10"/>
      <c r="F650" s="10"/>
      <c r="G650" s="10"/>
      <c r="H650" s="10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</row>
    <row r="651" spans="1:34" ht="15.75" customHeight="1">
      <c r="A651" s="9"/>
      <c r="B651" s="9"/>
      <c r="C651" s="9"/>
      <c r="D651" s="9"/>
      <c r="E651" s="10"/>
      <c r="F651" s="10"/>
      <c r="G651" s="10"/>
      <c r="H651" s="10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</row>
    <row r="652" spans="1:34" ht="15.75" customHeight="1">
      <c r="A652" s="9"/>
      <c r="B652" s="9"/>
      <c r="C652" s="9"/>
      <c r="D652" s="9"/>
      <c r="E652" s="10"/>
      <c r="F652" s="10"/>
      <c r="G652" s="10"/>
      <c r="H652" s="10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</row>
    <row r="653" spans="1:34" ht="15.75" customHeight="1">
      <c r="A653" s="9"/>
      <c r="B653" s="9"/>
      <c r="C653" s="9"/>
      <c r="D653" s="9"/>
      <c r="E653" s="10"/>
      <c r="F653" s="10"/>
      <c r="G653" s="10"/>
      <c r="H653" s="10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</row>
    <row r="654" spans="1:34" ht="15.75" customHeight="1">
      <c r="A654" s="9"/>
      <c r="B654" s="9"/>
      <c r="C654" s="9"/>
      <c r="D654" s="9"/>
      <c r="E654" s="10"/>
      <c r="F654" s="10"/>
      <c r="G654" s="10"/>
      <c r="H654" s="10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</row>
    <row r="655" spans="1:34" ht="15.75" customHeight="1">
      <c r="A655" s="9"/>
      <c r="B655" s="9"/>
      <c r="C655" s="9"/>
      <c r="D655" s="9"/>
      <c r="E655" s="10"/>
      <c r="F655" s="10"/>
      <c r="G655" s="10"/>
      <c r="H655" s="10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</row>
    <row r="656" spans="1:34" ht="15.75" customHeight="1">
      <c r="A656" s="9"/>
      <c r="B656" s="9"/>
      <c r="C656" s="9"/>
      <c r="D656" s="9"/>
      <c r="E656" s="10"/>
      <c r="F656" s="10"/>
      <c r="G656" s="10"/>
      <c r="H656" s="10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</row>
    <row r="657" spans="1:34" ht="15.75" customHeight="1">
      <c r="A657" s="9"/>
      <c r="B657" s="9"/>
      <c r="C657" s="9"/>
      <c r="D657" s="9"/>
      <c r="E657" s="10"/>
      <c r="F657" s="10"/>
      <c r="G657" s="10"/>
      <c r="H657" s="10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</row>
    <row r="658" spans="1:34" ht="15.75" customHeight="1">
      <c r="A658" s="9"/>
      <c r="B658" s="9"/>
      <c r="C658" s="9"/>
      <c r="D658" s="9"/>
      <c r="E658" s="10"/>
      <c r="F658" s="10"/>
      <c r="G658" s="10"/>
      <c r="H658" s="10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 spans="1:34" ht="15.75" customHeight="1">
      <c r="A659" s="9"/>
      <c r="B659" s="9"/>
      <c r="C659" s="9"/>
      <c r="D659" s="9"/>
      <c r="E659" s="10"/>
      <c r="F659" s="10"/>
      <c r="G659" s="10"/>
      <c r="H659" s="10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</row>
    <row r="660" spans="1:34" ht="15.75" customHeight="1">
      <c r="A660" s="9"/>
      <c r="B660" s="9"/>
      <c r="C660" s="9"/>
      <c r="D660" s="9"/>
      <c r="E660" s="10"/>
      <c r="F660" s="10"/>
      <c r="G660" s="10"/>
      <c r="H660" s="10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</row>
    <row r="661" spans="1:34" ht="15.75" customHeight="1">
      <c r="A661" s="9"/>
      <c r="B661" s="9"/>
      <c r="C661" s="9"/>
      <c r="D661" s="9"/>
      <c r="E661" s="10"/>
      <c r="F661" s="10"/>
      <c r="G661" s="10"/>
      <c r="H661" s="10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</row>
    <row r="662" spans="1:34" ht="15.75" customHeight="1">
      <c r="A662" s="9"/>
      <c r="B662" s="9"/>
      <c r="C662" s="9"/>
      <c r="D662" s="9"/>
      <c r="E662" s="10"/>
      <c r="F662" s="10"/>
      <c r="G662" s="10"/>
      <c r="H662" s="10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</row>
    <row r="663" spans="1:34" ht="15.75" customHeight="1">
      <c r="A663" s="9"/>
      <c r="B663" s="9"/>
      <c r="C663" s="9"/>
      <c r="D663" s="9"/>
      <c r="E663" s="10"/>
      <c r="F663" s="10"/>
      <c r="G663" s="10"/>
      <c r="H663" s="10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</row>
    <row r="664" spans="1:34" ht="15.75" customHeight="1">
      <c r="A664" s="9"/>
      <c r="B664" s="9"/>
      <c r="C664" s="9"/>
      <c r="D664" s="9"/>
      <c r="E664" s="10"/>
      <c r="F664" s="10"/>
      <c r="G664" s="10"/>
      <c r="H664" s="10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</row>
    <row r="665" spans="1:34" ht="15.75" customHeight="1">
      <c r="A665" s="9"/>
      <c r="B665" s="9"/>
      <c r="C665" s="9"/>
      <c r="D665" s="9"/>
      <c r="E665" s="10"/>
      <c r="F665" s="10"/>
      <c r="G665" s="10"/>
      <c r="H665" s="10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</row>
    <row r="666" spans="1:34" ht="15.75" customHeight="1">
      <c r="A666" s="9"/>
      <c r="B666" s="9"/>
      <c r="C666" s="9"/>
      <c r="D666" s="9"/>
      <c r="E666" s="10"/>
      <c r="F666" s="10"/>
      <c r="G666" s="10"/>
      <c r="H666" s="10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</row>
    <row r="667" spans="1:34" ht="15.75" customHeight="1">
      <c r="A667" s="9"/>
      <c r="B667" s="9"/>
      <c r="C667" s="9"/>
      <c r="D667" s="9"/>
      <c r="E667" s="10"/>
      <c r="F667" s="10"/>
      <c r="G667" s="10"/>
      <c r="H667" s="10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</row>
    <row r="668" spans="1:34" ht="15.75" customHeight="1">
      <c r="A668" s="9"/>
      <c r="B668" s="9"/>
      <c r="C668" s="9"/>
      <c r="D668" s="9"/>
      <c r="E668" s="10"/>
      <c r="F668" s="10"/>
      <c r="G668" s="10"/>
      <c r="H668" s="10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</row>
    <row r="669" spans="1:34" ht="15.75" customHeight="1">
      <c r="A669" s="9"/>
      <c r="B669" s="9"/>
      <c r="C669" s="9"/>
      <c r="D669" s="9"/>
      <c r="E669" s="10"/>
      <c r="F669" s="10"/>
      <c r="G669" s="10"/>
      <c r="H669" s="10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</row>
    <row r="670" spans="1:34" ht="15.75" customHeight="1">
      <c r="A670" s="9"/>
      <c r="B670" s="9"/>
      <c r="C670" s="9"/>
      <c r="D670" s="9"/>
      <c r="E670" s="10"/>
      <c r="F670" s="10"/>
      <c r="G670" s="10"/>
      <c r="H670" s="10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</row>
    <row r="671" spans="1:34" ht="15.75" customHeight="1">
      <c r="A671" s="9"/>
      <c r="B671" s="9"/>
      <c r="C671" s="9"/>
      <c r="D671" s="9"/>
      <c r="E671" s="10"/>
      <c r="F671" s="10"/>
      <c r="G671" s="10"/>
      <c r="H671" s="10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</row>
    <row r="672" spans="1:34" ht="15.75" customHeight="1">
      <c r="A672" s="9"/>
      <c r="B672" s="9"/>
      <c r="C672" s="9"/>
      <c r="D672" s="9"/>
      <c r="E672" s="10"/>
      <c r="F672" s="10"/>
      <c r="G672" s="10"/>
      <c r="H672" s="10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</row>
    <row r="673" spans="1:34" ht="15.75" customHeight="1">
      <c r="A673" s="9"/>
      <c r="B673" s="9"/>
      <c r="C673" s="9"/>
      <c r="D673" s="9"/>
      <c r="E673" s="10"/>
      <c r="F673" s="10"/>
      <c r="G673" s="10"/>
      <c r="H673" s="10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</row>
    <row r="674" spans="1:34" ht="15.75" customHeight="1">
      <c r="A674" s="9"/>
      <c r="B674" s="9"/>
      <c r="C674" s="9"/>
      <c r="D674" s="9"/>
      <c r="E674" s="10"/>
      <c r="F674" s="10"/>
      <c r="G674" s="10"/>
      <c r="H674" s="10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</row>
    <row r="675" spans="1:34" ht="15.75" customHeight="1">
      <c r="A675" s="9"/>
      <c r="B675" s="9"/>
      <c r="C675" s="9"/>
      <c r="D675" s="9"/>
      <c r="E675" s="10"/>
      <c r="F675" s="10"/>
      <c r="G675" s="10"/>
      <c r="H675" s="10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</row>
    <row r="676" spans="1:34" ht="15.75" customHeight="1">
      <c r="A676" s="9"/>
      <c r="B676" s="9"/>
      <c r="C676" s="9"/>
      <c r="D676" s="9"/>
      <c r="E676" s="10"/>
      <c r="F676" s="10"/>
      <c r="G676" s="10"/>
      <c r="H676" s="10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</row>
    <row r="677" spans="1:34" ht="15.75" customHeight="1">
      <c r="A677" s="9"/>
      <c r="B677" s="9"/>
      <c r="C677" s="9"/>
      <c r="D677" s="9"/>
      <c r="E677" s="10"/>
      <c r="F677" s="10"/>
      <c r="G677" s="10"/>
      <c r="H677" s="10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</row>
    <row r="678" spans="1:34" ht="15.75" customHeight="1">
      <c r="A678" s="9"/>
      <c r="B678" s="9"/>
      <c r="C678" s="9"/>
      <c r="D678" s="9"/>
      <c r="E678" s="10"/>
      <c r="F678" s="10"/>
      <c r="G678" s="10"/>
      <c r="H678" s="10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</row>
    <row r="679" spans="1:34" ht="15.75" customHeight="1">
      <c r="A679" s="9"/>
      <c r="B679" s="9"/>
      <c r="C679" s="9"/>
      <c r="D679" s="9"/>
      <c r="E679" s="10"/>
      <c r="F679" s="10"/>
      <c r="G679" s="10"/>
      <c r="H679" s="10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</row>
    <row r="680" spans="1:34" ht="15.75" customHeight="1">
      <c r="A680" s="9"/>
      <c r="B680" s="9"/>
      <c r="C680" s="9"/>
      <c r="D680" s="9"/>
      <c r="E680" s="10"/>
      <c r="F680" s="10"/>
      <c r="G680" s="10"/>
      <c r="H680" s="10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</row>
    <row r="681" spans="1:34" ht="15.75" customHeight="1">
      <c r="A681" s="9"/>
      <c r="B681" s="9"/>
      <c r="C681" s="9"/>
      <c r="D681" s="9"/>
      <c r="E681" s="10"/>
      <c r="F681" s="10"/>
      <c r="G681" s="10"/>
      <c r="H681" s="10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</row>
    <row r="682" spans="1:34" ht="15.75" customHeight="1">
      <c r="A682" s="9"/>
      <c r="B682" s="9"/>
      <c r="C682" s="9"/>
      <c r="D682" s="9"/>
      <c r="E682" s="10"/>
      <c r="F682" s="10"/>
      <c r="G682" s="10"/>
      <c r="H682" s="10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</row>
    <row r="683" spans="1:34" ht="15.75" customHeight="1">
      <c r="A683" s="9"/>
      <c r="B683" s="9"/>
      <c r="C683" s="9"/>
      <c r="D683" s="9"/>
      <c r="E683" s="10"/>
      <c r="F683" s="10"/>
      <c r="G683" s="10"/>
      <c r="H683" s="10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</row>
    <row r="684" spans="1:34" ht="15.75" customHeight="1">
      <c r="A684" s="9"/>
      <c r="B684" s="9"/>
      <c r="C684" s="9"/>
      <c r="D684" s="9"/>
      <c r="E684" s="10"/>
      <c r="F684" s="10"/>
      <c r="G684" s="10"/>
      <c r="H684" s="10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</row>
    <row r="685" spans="1:34" ht="15.75" customHeight="1">
      <c r="A685" s="9"/>
      <c r="B685" s="9"/>
      <c r="C685" s="9"/>
      <c r="D685" s="9"/>
      <c r="E685" s="10"/>
      <c r="F685" s="10"/>
      <c r="G685" s="10"/>
      <c r="H685" s="10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</row>
    <row r="686" spans="1:34" ht="15.75" customHeight="1">
      <c r="A686" s="9"/>
      <c r="B686" s="9"/>
      <c r="C686" s="9"/>
      <c r="D686" s="9"/>
      <c r="E686" s="10"/>
      <c r="F686" s="10"/>
      <c r="G686" s="10"/>
      <c r="H686" s="10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</row>
    <row r="687" spans="1:34" ht="15.75" customHeight="1">
      <c r="A687" s="9"/>
      <c r="B687" s="9"/>
      <c r="C687" s="9"/>
      <c r="D687" s="9"/>
      <c r="E687" s="10"/>
      <c r="F687" s="10"/>
      <c r="G687" s="10"/>
      <c r="H687" s="10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</row>
    <row r="688" spans="1:34" ht="15.75" customHeight="1">
      <c r="A688" s="9"/>
      <c r="B688" s="9"/>
      <c r="C688" s="9"/>
      <c r="D688" s="9"/>
      <c r="E688" s="10"/>
      <c r="F688" s="10"/>
      <c r="G688" s="10"/>
      <c r="H688" s="10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</row>
    <row r="689" spans="1:34" ht="15.75" customHeight="1">
      <c r="A689" s="9"/>
      <c r="B689" s="9"/>
      <c r="C689" s="9"/>
      <c r="D689" s="9"/>
      <c r="E689" s="10"/>
      <c r="F689" s="10"/>
      <c r="G689" s="10"/>
      <c r="H689" s="10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</row>
    <row r="690" spans="1:34" ht="15.75" customHeight="1">
      <c r="A690" s="9"/>
      <c r="B690" s="9"/>
      <c r="C690" s="9"/>
      <c r="D690" s="9"/>
      <c r="E690" s="10"/>
      <c r="F690" s="10"/>
      <c r="G690" s="10"/>
      <c r="H690" s="10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</row>
    <row r="691" spans="1:34" ht="15.75" customHeight="1">
      <c r="A691" s="9"/>
      <c r="B691" s="9"/>
      <c r="C691" s="9"/>
      <c r="D691" s="9"/>
      <c r="E691" s="10"/>
      <c r="F691" s="10"/>
      <c r="G691" s="10"/>
      <c r="H691" s="10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</row>
    <row r="692" spans="1:34" ht="15.75" customHeight="1">
      <c r="A692" s="9"/>
      <c r="B692" s="9"/>
      <c r="C692" s="9"/>
      <c r="D692" s="9"/>
      <c r="E692" s="10"/>
      <c r="F692" s="10"/>
      <c r="G692" s="10"/>
      <c r="H692" s="10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</row>
    <row r="693" spans="1:34" ht="15.75" customHeight="1">
      <c r="A693" s="9"/>
      <c r="B693" s="9"/>
      <c r="C693" s="9"/>
      <c r="D693" s="9"/>
      <c r="E693" s="10"/>
      <c r="F693" s="10"/>
      <c r="G693" s="10"/>
      <c r="H693" s="10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</row>
    <row r="694" spans="1:34" ht="15.75" customHeight="1">
      <c r="A694" s="9"/>
      <c r="B694" s="9"/>
      <c r="C694" s="9"/>
      <c r="D694" s="9"/>
      <c r="E694" s="10"/>
      <c r="F694" s="10"/>
      <c r="G694" s="10"/>
      <c r="H694" s="10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</row>
    <row r="695" spans="1:34" ht="15.75" customHeight="1">
      <c r="A695" s="9"/>
      <c r="B695" s="9"/>
      <c r="C695" s="9"/>
      <c r="D695" s="9"/>
      <c r="E695" s="10"/>
      <c r="F695" s="10"/>
      <c r="G695" s="10"/>
      <c r="H695" s="10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</row>
    <row r="696" spans="1:34" ht="15.75" customHeight="1">
      <c r="A696" s="9"/>
      <c r="B696" s="9"/>
      <c r="C696" s="9"/>
      <c r="D696" s="9"/>
      <c r="E696" s="10"/>
      <c r="F696" s="10"/>
      <c r="G696" s="10"/>
      <c r="H696" s="10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</row>
    <row r="697" spans="1:34" ht="15.75" customHeight="1">
      <c r="A697" s="9"/>
      <c r="B697" s="9"/>
      <c r="C697" s="9"/>
      <c r="D697" s="9"/>
      <c r="E697" s="10"/>
      <c r="F697" s="10"/>
      <c r="G697" s="10"/>
      <c r="H697" s="10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</row>
    <row r="698" spans="1:34" ht="15.75" customHeight="1">
      <c r="A698" s="9"/>
      <c r="B698" s="9"/>
      <c r="C698" s="9"/>
      <c r="D698" s="9"/>
      <c r="E698" s="10"/>
      <c r="F698" s="10"/>
      <c r="G698" s="10"/>
      <c r="H698" s="10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</row>
    <row r="699" spans="1:34" ht="15.75" customHeight="1">
      <c r="A699" s="9"/>
      <c r="B699" s="9"/>
      <c r="C699" s="9"/>
      <c r="D699" s="9"/>
      <c r="E699" s="10"/>
      <c r="F699" s="10"/>
      <c r="G699" s="10"/>
      <c r="H699" s="10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</row>
    <row r="700" spans="1:34" ht="15.75" customHeight="1">
      <c r="A700" s="9"/>
      <c r="B700" s="9"/>
      <c r="C700" s="9"/>
      <c r="D700" s="9"/>
      <c r="E700" s="10"/>
      <c r="F700" s="10"/>
      <c r="G700" s="10"/>
      <c r="H700" s="10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</row>
    <row r="701" spans="1:34" ht="15.75" customHeight="1">
      <c r="A701" s="9"/>
      <c r="B701" s="9"/>
      <c r="C701" s="9"/>
      <c r="D701" s="9"/>
      <c r="E701" s="10"/>
      <c r="F701" s="10"/>
      <c r="G701" s="10"/>
      <c r="H701" s="10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</row>
    <row r="702" spans="1:34" ht="15.75" customHeight="1">
      <c r="A702" s="9"/>
      <c r="B702" s="9"/>
      <c r="C702" s="9"/>
      <c r="D702" s="9"/>
      <c r="E702" s="10"/>
      <c r="F702" s="10"/>
      <c r="G702" s="10"/>
      <c r="H702" s="10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</row>
    <row r="703" spans="1:34" ht="15.75" customHeight="1">
      <c r="A703" s="9"/>
      <c r="B703" s="9"/>
      <c r="C703" s="9"/>
      <c r="D703" s="9"/>
      <c r="E703" s="10"/>
      <c r="F703" s="10"/>
      <c r="G703" s="10"/>
      <c r="H703" s="10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</row>
    <row r="704" spans="1:34" ht="15.75" customHeight="1">
      <c r="A704" s="9"/>
      <c r="B704" s="9"/>
      <c r="C704" s="9"/>
      <c r="D704" s="9"/>
      <c r="E704" s="10"/>
      <c r="F704" s="10"/>
      <c r="G704" s="10"/>
      <c r="H704" s="10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</row>
    <row r="705" spans="1:34" ht="15.75" customHeight="1">
      <c r="A705" s="9"/>
      <c r="B705" s="9"/>
      <c r="C705" s="9"/>
      <c r="D705" s="9"/>
      <c r="E705" s="10"/>
      <c r="F705" s="10"/>
      <c r="G705" s="10"/>
      <c r="H705" s="10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 spans="1:34" ht="15.75" customHeight="1">
      <c r="A706" s="9"/>
      <c r="B706" s="9"/>
      <c r="C706" s="9"/>
      <c r="D706" s="9"/>
      <c r="E706" s="10"/>
      <c r="F706" s="10"/>
      <c r="G706" s="10"/>
      <c r="H706" s="10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</row>
    <row r="707" spans="1:34" ht="15.75" customHeight="1">
      <c r="A707" s="9"/>
      <c r="B707" s="9"/>
      <c r="C707" s="9"/>
      <c r="D707" s="9"/>
      <c r="E707" s="10"/>
      <c r="F707" s="10"/>
      <c r="G707" s="10"/>
      <c r="H707" s="10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</row>
    <row r="708" spans="1:34" ht="15.75" customHeight="1">
      <c r="A708" s="9"/>
      <c r="B708" s="9"/>
      <c r="C708" s="9"/>
      <c r="D708" s="9"/>
      <c r="E708" s="10"/>
      <c r="F708" s="10"/>
      <c r="G708" s="10"/>
      <c r="H708" s="10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</row>
    <row r="709" spans="1:34" ht="15.75" customHeight="1">
      <c r="A709" s="9"/>
      <c r="B709" s="9"/>
      <c r="C709" s="9"/>
      <c r="D709" s="9"/>
      <c r="E709" s="10"/>
      <c r="F709" s="10"/>
      <c r="G709" s="10"/>
      <c r="H709" s="10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</row>
    <row r="710" spans="1:34" ht="15.75" customHeight="1">
      <c r="A710" s="9"/>
      <c r="B710" s="9"/>
      <c r="C710" s="9"/>
      <c r="D710" s="9"/>
      <c r="E710" s="10"/>
      <c r="F710" s="10"/>
      <c r="G710" s="10"/>
      <c r="H710" s="10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</row>
    <row r="711" spans="1:34" ht="15.75" customHeight="1">
      <c r="A711" s="9"/>
      <c r="B711" s="9"/>
      <c r="C711" s="9"/>
      <c r="D711" s="9"/>
      <c r="E711" s="10"/>
      <c r="F711" s="10"/>
      <c r="G711" s="10"/>
      <c r="H711" s="10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</row>
    <row r="712" spans="1:34" ht="15.75" customHeight="1">
      <c r="A712" s="9"/>
      <c r="B712" s="9"/>
      <c r="C712" s="9"/>
      <c r="D712" s="9"/>
      <c r="E712" s="10"/>
      <c r="F712" s="10"/>
      <c r="G712" s="10"/>
      <c r="H712" s="10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</row>
    <row r="713" spans="1:34" ht="15.75" customHeight="1">
      <c r="A713" s="9"/>
      <c r="B713" s="9"/>
      <c r="C713" s="9"/>
      <c r="D713" s="9"/>
      <c r="E713" s="10"/>
      <c r="F713" s="10"/>
      <c r="G713" s="10"/>
      <c r="H713" s="10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</row>
    <row r="714" spans="1:34" ht="15.75" customHeight="1">
      <c r="A714" s="9"/>
      <c r="B714" s="9"/>
      <c r="C714" s="9"/>
      <c r="D714" s="9"/>
      <c r="E714" s="10"/>
      <c r="F714" s="10"/>
      <c r="G714" s="10"/>
      <c r="H714" s="10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</row>
    <row r="715" spans="1:34" ht="15.75" customHeight="1">
      <c r="A715" s="9"/>
      <c r="B715" s="9"/>
      <c r="C715" s="9"/>
      <c r="D715" s="9"/>
      <c r="E715" s="10"/>
      <c r="F715" s="10"/>
      <c r="G715" s="10"/>
      <c r="H715" s="10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</row>
    <row r="716" spans="1:34" ht="15.75" customHeight="1">
      <c r="A716" s="9"/>
      <c r="B716" s="9"/>
      <c r="C716" s="9"/>
      <c r="D716" s="9"/>
      <c r="E716" s="10"/>
      <c r="F716" s="10"/>
      <c r="G716" s="10"/>
      <c r="H716" s="10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</row>
    <row r="717" spans="1:34" ht="15.75" customHeight="1">
      <c r="A717" s="9"/>
      <c r="B717" s="9"/>
      <c r="C717" s="9"/>
      <c r="D717" s="9"/>
      <c r="E717" s="10"/>
      <c r="F717" s="10"/>
      <c r="G717" s="10"/>
      <c r="H717" s="10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</row>
    <row r="718" spans="1:34" ht="15.75" customHeight="1">
      <c r="A718" s="9"/>
      <c r="B718" s="9"/>
      <c r="C718" s="9"/>
      <c r="D718" s="9"/>
      <c r="E718" s="10"/>
      <c r="F718" s="10"/>
      <c r="G718" s="10"/>
      <c r="H718" s="10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</row>
    <row r="719" spans="1:34" ht="15.75" customHeight="1">
      <c r="A719" s="9"/>
      <c r="B719" s="9"/>
      <c r="C719" s="9"/>
      <c r="D719" s="9"/>
      <c r="E719" s="10"/>
      <c r="F719" s="10"/>
      <c r="G719" s="10"/>
      <c r="H719" s="10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</row>
    <row r="720" spans="1:34" ht="15.75" customHeight="1">
      <c r="A720" s="9"/>
      <c r="B720" s="9"/>
      <c r="C720" s="9"/>
      <c r="D720" s="9"/>
      <c r="E720" s="10"/>
      <c r="F720" s="10"/>
      <c r="G720" s="10"/>
      <c r="H720" s="10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</row>
    <row r="721" spans="1:34" ht="15.75" customHeight="1">
      <c r="A721" s="9"/>
      <c r="B721" s="9"/>
      <c r="C721" s="9"/>
      <c r="D721" s="9"/>
      <c r="E721" s="10"/>
      <c r="F721" s="10"/>
      <c r="G721" s="10"/>
      <c r="H721" s="10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</row>
    <row r="722" spans="1:34" ht="15.75" customHeight="1">
      <c r="A722" s="9"/>
      <c r="B722" s="9"/>
      <c r="C722" s="9"/>
      <c r="D722" s="9"/>
      <c r="E722" s="10"/>
      <c r="F722" s="10"/>
      <c r="G722" s="10"/>
      <c r="H722" s="10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</row>
    <row r="723" spans="1:34" ht="15.75" customHeight="1">
      <c r="A723" s="9"/>
      <c r="B723" s="9"/>
      <c r="C723" s="9"/>
      <c r="D723" s="9"/>
      <c r="E723" s="10"/>
      <c r="F723" s="10"/>
      <c r="G723" s="10"/>
      <c r="H723" s="10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</row>
    <row r="724" spans="1:34" ht="15.75" customHeight="1">
      <c r="A724" s="9"/>
      <c r="B724" s="9"/>
      <c r="C724" s="9"/>
      <c r="D724" s="9"/>
      <c r="E724" s="10"/>
      <c r="F724" s="10"/>
      <c r="G724" s="10"/>
      <c r="H724" s="10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</row>
    <row r="725" spans="1:34" ht="15.75" customHeight="1">
      <c r="A725" s="9"/>
      <c r="B725" s="9"/>
      <c r="C725" s="9"/>
      <c r="D725" s="9"/>
      <c r="E725" s="10"/>
      <c r="F725" s="10"/>
      <c r="G725" s="10"/>
      <c r="H725" s="10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</row>
    <row r="726" spans="1:34" ht="15.75" customHeight="1">
      <c r="A726" s="9"/>
      <c r="B726" s="9"/>
      <c r="C726" s="9"/>
      <c r="D726" s="9"/>
      <c r="E726" s="10"/>
      <c r="F726" s="10"/>
      <c r="G726" s="10"/>
      <c r="H726" s="10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</row>
    <row r="727" spans="1:34" ht="15.75" customHeight="1">
      <c r="A727" s="9"/>
      <c r="B727" s="9"/>
      <c r="C727" s="9"/>
      <c r="D727" s="9"/>
      <c r="E727" s="10"/>
      <c r="F727" s="10"/>
      <c r="G727" s="10"/>
      <c r="H727" s="10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</row>
    <row r="728" spans="1:34" ht="15.75" customHeight="1">
      <c r="A728" s="9"/>
      <c r="B728" s="9"/>
      <c r="C728" s="9"/>
      <c r="D728" s="9"/>
      <c r="E728" s="10"/>
      <c r="F728" s="10"/>
      <c r="G728" s="10"/>
      <c r="H728" s="10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</row>
    <row r="729" spans="1:34" ht="15.75" customHeight="1">
      <c r="A729" s="9"/>
      <c r="B729" s="9"/>
      <c r="C729" s="9"/>
      <c r="D729" s="9"/>
      <c r="E729" s="10"/>
      <c r="F729" s="10"/>
      <c r="G729" s="10"/>
      <c r="H729" s="10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</row>
    <row r="730" spans="1:34" ht="15.75" customHeight="1">
      <c r="A730" s="9"/>
      <c r="B730" s="9"/>
      <c r="C730" s="9"/>
      <c r="D730" s="9"/>
      <c r="E730" s="10"/>
      <c r="F730" s="10"/>
      <c r="G730" s="10"/>
      <c r="H730" s="10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</row>
    <row r="731" spans="1:34" ht="15.75" customHeight="1">
      <c r="A731" s="9"/>
      <c r="B731" s="9"/>
      <c r="C731" s="9"/>
      <c r="D731" s="9"/>
      <c r="E731" s="10"/>
      <c r="F731" s="10"/>
      <c r="G731" s="10"/>
      <c r="H731" s="10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</row>
    <row r="732" spans="1:34" ht="15.75" customHeight="1">
      <c r="A732" s="9"/>
      <c r="B732" s="9"/>
      <c r="C732" s="9"/>
      <c r="D732" s="9"/>
      <c r="E732" s="10"/>
      <c r="F732" s="10"/>
      <c r="G732" s="10"/>
      <c r="H732" s="10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</row>
    <row r="733" spans="1:34" ht="15.75" customHeight="1">
      <c r="A733" s="9"/>
      <c r="B733" s="9"/>
      <c r="C733" s="9"/>
      <c r="D733" s="9"/>
      <c r="E733" s="10"/>
      <c r="F733" s="10"/>
      <c r="G733" s="10"/>
      <c r="H733" s="10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</row>
    <row r="734" spans="1:34" ht="15.75" customHeight="1">
      <c r="A734" s="9"/>
      <c r="B734" s="9"/>
      <c r="C734" s="9"/>
      <c r="D734" s="9"/>
      <c r="E734" s="10"/>
      <c r="F734" s="10"/>
      <c r="G734" s="10"/>
      <c r="H734" s="10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</row>
    <row r="735" spans="1:34" ht="15.75" customHeight="1">
      <c r="A735" s="9"/>
      <c r="B735" s="9"/>
      <c r="C735" s="9"/>
      <c r="D735" s="9"/>
      <c r="E735" s="10"/>
      <c r="F735" s="10"/>
      <c r="G735" s="10"/>
      <c r="H735" s="10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</row>
    <row r="736" spans="1:34" ht="15.75" customHeight="1">
      <c r="A736" s="9"/>
      <c r="B736" s="9"/>
      <c r="C736" s="9"/>
      <c r="D736" s="9"/>
      <c r="E736" s="10"/>
      <c r="F736" s="10"/>
      <c r="G736" s="10"/>
      <c r="H736" s="10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</row>
    <row r="737" spans="1:34" ht="15.75" customHeight="1">
      <c r="A737" s="9"/>
      <c r="B737" s="9"/>
      <c r="C737" s="9"/>
      <c r="D737" s="9"/>
      <c r="E737" s="10"/>
      <c r="F737" s="10"/>
      <c r="G737" s="10"/>
      <c r="H737" s="10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</row>
    <row r="738" spans="1:34" ht="15.75" customHeight="1">
      <c r="A738" s="9"/>
      <c r="B738" s="9"/>
      <c r="C738" s="9"/>
      <c r="D738" s="9"/>
      <c r="E738" s="10"/>
      <c r="F738" s="10"/>
      <c r="G738" s="10"/>
      <c r="H738" s="10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</row>
    <row r="739" spans="1:34" ht="15.75" customHeight="1">
      <c r="A739" s="9"/>
      <c r="B739" s="9"/>
      <c r="C739" s="9"/>
      <c r="D739" s="9"/>
      <c r="E739" s="10"/>
      <c r="F739" s="10"/>
      <c r="G739" s="10"/>
      <c r="H739" s="10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</row>
    <row r="740" spans="1:34" ht="15.75" customHeight="1">
      <c r="A740" s="9"/>
      <c r="B740" s="9"/>
      <c r="C740" s="9"/>
      <c r="D740" s="9"/>
      <c r="E740" s="10"/>
      <c r="F740" s="10"/>
      <c r="G740" s="10"/>
      <c r="H740" s="10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</row>
    <row r="741" spans="1:34" ht="15.75" customHeight="1">
      <c r="A741" s="9"/>
      <c r="B741" s="9"/>
      <c r="C741" s="9"/>
      <c r="D741" s="9"/>
      <c r="E741" s="10"/>
      <c r="F741" s="10"/>
      <c r="G741" s="10"/>
      <c r="H741" s="10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</row>
    <row r="742" spans="1:34" ht="15.75" customHeight="1">
      <c r="A742" s="9"/>
      <c r="B742" s="9"/>
      <c r="C742" s="9"/>
      <c r="D742" s="9"/>
      <c r="E742" s="10"/>
      <c r="F742" s="10"/>
      <c r="G742" s="10"/>
      <c r="H742" s="10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</row>
    <row r="743" spans="1:34" ht="15.75" customHeight="1">
      <c r="A743" s="9"/>
      <c r="B743" s="9"/>
      <c r="C743" s="9"/>
      <c r="D743" s="9"/>
      <c r="E743" s="10"/>
      <c r="F743" s="10"/>
      <c r="G743" s="10"/>
      <c r="H743" s="10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</row>
    <row r="744" spans="1:34" ht="15.75" customHeight="1">
      <c r="A744" s="9"/>
      <c r="B744" s="9"/>
      <c r="C744" s="9"/>
      <c r="D744" s="9"/>
      <c r="E744" s="10"/>
      <c r="F744" s="10"/>
      <c r="G744" s="10"/>
      <c r="H744" s="10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</row>
    <row r="745" spans="1:34" ht="15.75" customHeight="1">
      <c r="A745" s="9"/>
      <c r="B745" s="9"/>
      <c r="C745" s="9"/>
      <c r="D745" s="9"/>
      <c r="E745" s="10"/>
      <c r="F745" s="10"/>
      <c r="G745" s="10"/>
      <c r="H745" s="10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</row>
    <row r="746" spans="1:34" ht="15.75" customHeight="1">
      <c r="A746" s="9"/>
      <c r="B746" s="9"/>
      <c r="C746" s="9"/>
      <c r="D746" s="9"/>
      <c r="E746" s="10"/>
      <c r="F746" s="10"/>
      <c r="G746" s="10"/>
      <c r="H746" s="10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</row>
    <row r="747" spans="1:34" ht="15.75" customHeight="1">
      <c r="A747" s="9"/>
      <c r="B747" s="9"/>
      <c r="C747" s="9"/>
      <c r="D747" s="9"/>
      <c r="E747" s="10"/>
      <c r="F747" s="10"/>
      <c r="G747" s="10"/>
      <c r="H747" s="10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</row>
    <row r="748" spans="1:34" ht="15.75" customHeight="1">
      <c r="A748" s="9"/>
      <c r="B748" s="9"/>
      <c r="C748" s="9"/>
      <c r="D748" s="9"/>
      <c r="E748" s="10"/>
      <c r="F748" s="10"/>
      <c r="G748" s="10"/>
      <c r="H748" s="10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</row>
    <row r="749" spans="1:34" ht="15.75" customHeight="1">
      <c r="A749" s="9"/>
      <c r="B749" s="9"/>
      <c r="C749" s="9"/>
      <c r="D749" s="9"/>
      <c r="E749" s="10"/>
      <c r="F749" s="10"/>
      <c r="G749" s="10"/>
      <c r="H749" s="10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</row>
    <row r="750" spans="1:34" ht="15.75" customHeight="1">
      <c r="A750" s="9"/>
      <c r="B750" s="9"/>
      <c r="C750" s="9"/>
      <c r="D750" s="9"/>
      <c r="E750" s="10"/>
      <c r="F750" s="10"/>
      <c r="G750" s="10"/>
      <c r="H750" s="10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</row>
    <row r="751" spans="1:34" ht="15.75" customHeight="1">
      <c r="A751" s="9"/>
      <c r="B751" s="9"/>
      <c r="C751" s="9"/>
      <c r="D751" s="9"/>
      <c r="E751" s="10"/>
      <c r="F751" s="10"/>
      <c r="G751" s="10"/>
      <c r="H751" s="10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</row>
    <row r="752" spans="1:34" ht="15.75" customHeight="1">
      <c r="A752" s="9"/>
      <c r="B752" s="9"/>
      <c r="C752" s="9"/>
      <c r="D752" s="9"/>
      <c r="E752" s="10"/>
      <c r="F752" s="10"/>
      <c r="G752" s="10"/>
      <c r="H752" s="10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</row>
    <row r="753" spans="1:34" ht="15.75" customHeight="1">
      <c r="A753" s="9"/>
      <c r="B753" s="9"/>
      <c r="C753" s="9"/>
      <c r="D753" s="9"/>
      <c r="E753" s="10"/>
      <c r="F753" s="10"/>
      <c r="G753" s="10"/>
      <c r="H753" s="10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</row>
    <row r="754" spans="1:34" ht="15.75" customHeight="1">
      <c r="A754" s="9"/>
      <c r="B754" s="9"/>
      <c r="C754" s="9"/>
      <c r="D754" s="9"/>
      <c r="E754" s="10"/>
      <c r="F754" s="10"/>
      <c r="G754" s="10"/>
      <c r="H754" s="10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</row>
    <row r="755" spans="1:34" ht="15.75" customHeight="1">
      <c r="A755" s="9"/>
      <c r="B755" s="9"/>
      <c r="C755" s="9"/>
      <c r="D755" s="9"/>
      <c r="E755" s="10"/>
      <c r="F755" s="10"/>
      <c r="G755" s="10"/>
      <c r="H755" s="10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</row>
    <row r="756" spans="1:34" ht="15.75" customHeight="1">
      <c r="A756" s="9"/>
      <c r="B756" s="9"/>
      <c r="C756" s="9"/>
      <c r="D756" s="9"/>
      <c r="E756" s="10"/>
      <c r="F756" s="10"/>
      <c r="G756" s="10"/>
      <c r="H756" s="10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</row>
    <row r="757" spans="1:34" ht="15.75" customHeight="1">
      <c r="A757" s="9"/>
      <c r="B757" s="9"/>
      <c r="C757" s="9"/>
      <c r="D757" s="9"/>
      <c r="E757" s="10"/>
      <c r="F757" s="10"/>
      <c r="G757" s="10"/>
      <c r="H757" s="10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</row>
    <row r="758" spans="1:34" ht="15.75" customHeight="1">
      <c r="A758" s="9"/>
      <c r="B758" s="9"/>
      <c r="C758" s="9"/>
      <c r="D758" s="9"/>
      <c r="E758" s="10"/>
      <c r="F758" s="10"/>
      <c r="G758" s="10"/>
      <c r="H758" s="10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</row>
    <row r="759" spans="1:34" ht="15.75" customHeight="1">
      <c r="A759" s="9"/>
      <c r="B759" s="9"/>
      <c r="C759" s="9"/>
      <c r="D759" s="9"/>
      <c r="E759" s="10"/>
      <c r="F759" s="10"/>
      <c r="G759" s="10"/>
      <c r="H759" s="10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</row>
    <row r="760" spans="1:34" ht="15.75" customHeight="1">
      <c r="A760" s="9"/>
      <c r="B760" s="9"/>
      <c r="C760" s="9"/>
      <c r="D760" s="9"/>
      <c r="E760" s="10"/>
      <c r="F760" s="10"/>
      <c r="G760" s="10"/>
      <c r="H760" s="10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</row>
    <row r="761" spans="1:34" ht="15.75" customHeight="1">
      <c r="A761" s="9"/>
      <c r="B761" s="9"/>
      <c r="C761" s="9"/>
      <c r="D761" s="9"/>
      <c r="E761" s="10"/>
      <c r="F761" s="10"/>
      <c r="G761" s="10"/>
      <c r="H761" s="10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</row>
    <row r="762" spans="1:34" ht="15.75" customHeight="1">
      <c r="A762" s="9"/>
      <c r="B762" s="9"/>
      <c r="C762" s="9"/>
      <c r="D762" s="9"/>
      <c r="E762" s="10"/>
      <c r="F762" s="10"/>
      <c r="G762" s="10"/>
      <c r="H762" s="10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</row>
    <row r="763" spans="1:34" ht="15.75" customHeight="1">
      <c r="A763" s="9"/>
      <c r="B763" s="9"/>
      <c r="C763" s="9"/>
      <c r="D763" s="9"/>
      <c r="E763" s="10"/>
      <c r="F763" s="10"/>
      <c r="G763" s="10"/>
      <c r="H763" s="10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</row>
    <row r="764" spans="1:34" ht="15.75" customHeight="1">
      <c r="A764" s="9"/>
      <c r="B764" s="9"/>
      <c r="C764" s="9"/>
      <c r="D764" s="9"/>
      <c r="E764" s="10"/>
      <c r="F764" s="10"/>
      <c r="G764" s="10"/>
      <c r="H764" s="10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</row>
    <row r="765" spans="1:34" ht="15.75" customHeight="1">
      <c r="A765" s="9"/>
      <c r="B765" s="9"/>
      <c r="C765" s="9"/>
      <c r="D765" s="9"/>
      <c r="E765" s="10"/>
      <c r="F765" s="10"/>
      <c r="G765" s="10"/>
      <c r="H765" s="10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</row>
    <row r="766" spans="1:34" ht="15.75" customHeight="1">
      <c r="A766" s="9"/>
      <c r="B766" s="9"/>
      <c r="C766" s="9"/>
      <c r="D766" s="9"/>
      <c r="E766" s="10"/>
      <c r="F766" s="10"/>
      <c r="G766" s="10"/>
      <c r="H766" s="10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</row>
    <row r="767" spans="1:34" ht="15.75" customHeight="1">
      <c r="A767" s="9"/>
      <c r="B767" s="9"/>
      <c r="C767" s="9"/>
      <c r="D767" s="9"/>
      <c r="E767" s="10"/>
      <c r="F767" s="10"/>
      <c r="G767" s="10"/>
      <c r="H767" s="10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</row>
    <row r="768" spans="1:34" ht="15.75" customHeight="1">
      <c r="A768" s="9"/>
      <c r="B768" s="9"/>
      <c r="C768" s="9"/>
      <c r="D768" s="9"/>
      <c r="E768" s="10"/>
      <c r="F768" s="10"/>
      <c r="G768" s="10"/>
      <c r="H768" s="10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</row>
    <row r="769" spans="1:34" ht="15.75" customHeight="1">
      <c r="A769" s="9"/>
      <c r="B769" s="9"/>
      <c r="C769" s="9"/>
      <c r="D769" s="9"/>
      <c r="E769" s="10"/>
      <c r="F769" s="10"/>
      <c r="G769" s="10"/>
      <c r="H769" s="10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</row>
    <row r="770" spans="1:34" ht="15.75" customHeight="1">
      <c r="A770" s="9"/>
      <c r="B770" s="9"/>
      <c r="C770" s="9"/>
      <c r="D770" s="9"/>
      <c r="E770" s="10"/>
      <c r="F770" s="10"/>
      <c r="G770" s="10"/>
      <c r="H770" s="10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</row>
    <row r="771" spans="1:34" ht="15.75" customHeight="1">
      <c r="A771" s="9"/>
      <c r="B771" s="9"/>
      <c r="C771" s="9"/>
      <c r="D771" s="9"/>
      <c r="E771" s="10"/>
      <c r="F771" s="10"/>
      <c r="G771" s="10"/>
      <c r="H771" s="10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</row>
    <row r="772" spans="1:34" ht="15.75" customHeight="1">
      <c r="A772" s="9"/>
      <c r="B772" s="9"/>
      <c r="C772" s="9"/>
      <c r="D772" s="9"/>
      <c r="E772" s="10"/>
      <c r="F772" s="10"/>
      <c r="G772" s="10"/>
      <c r="H772" s="10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</row>
    <row r="773" spans="1:34" ht="15.75" customHeight="1">
      <c r="A773" s="9"/>
      <c r="B773" s="9"/>
      <c r="C773" s="9"/>
      <c r="D773" s="9"/>
      <c r="E773" s="10"/>
      <c r="F773" s="10"/>
      <c r="G773" s="10"/>
      <c r="H773" s="10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</row>
    <row r="774" spans="1:34" ht="15.75" customHeight="1">
      <c r="A774" s="9"/>
      <c r="B774" s="9"/>
      <c r="C774" s="9"/>
      <c r="D774" s="9"/>
      <c r="E774" s="10"/>
      <c r="F774" s="10"/>
      <c r="G774" s="10"/>
      <c r="H774" s="10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</row>
    <row r="775" spans="1:34" ht="15.75" customHeight="1">
      <c r="A775" s="9"/>
      <c r="B775" s="9"/>
      <c r="C775" s="9"/>
      <c r="D775" s="9"/>
      <c r="E775" s="10"/>
      <c r="F775" s="10"/>
      <c r="G775" s="10"/>
      <c r="H775" s="10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</row>
    <row r="776" spans="1:34" ht="15.75" customHeight="1">
      <c r="A776" s="9"/>
      <c r="B776" s="9"/>
      <c r="C776" s="9"/>
      <c r="D776" s="9"/>
      <c r="E776" s="10"/>
      <c r="F776" s="10"/>
      <c r="G776" s="10"/>
      <c r="H776" s="10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</row>
    <row r="777" spans="1:34" ht="15.75" customHeight="1">
      <c r="A777" s="9"/>
      <c r="B777" s="9"/>
      <c r="C777" s="9"/>
      <c r="D777" s="9"/>
      <c r="E777" s="10"/>
      <c r="F777" s="10"/>
      <c r="G777" s="10"/>
      <c r="H777" s="10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</row>
    <row r="778" spans="1:34" ht="15.75" customHeight="1">
      <c r="A778" s="9"/>
      <c r="B778" s="9"/>
      <c r="C778" s="9"/>
      <c r="D778" s="9"/>
      <c r="E778" s="10"/>
      <c r="F778" s="10"/>
      <c r="G778" s="10"/>
      <c r="H778" s="10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</row>
    <row r="779" spans="1:34" ht="15.75" customHeight="1">
      <c r="A779" s="9"/>
      <c r="B779" s="9"/>
      <c r="C779" s="9"/>
      <c r="D779" s="9"/>
      <c r="E779" s="10"/>
      <c r="F779" s="10"/>
      <c r="G779" s="10"/>
      <c r="H779" s="10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</row>
    <row r="780" spans="1:34" ht="15.75" customHeight="1">
      <c r="A780" s="9"/>
      <c r="B780" s="9"/>
      <c r="C780" s="9"/>
      <c r="D780" s="9"/>
      <c r="E780" s="10"/>
      <c r="F780" s="10"/>
      <c r="G780" s="10"/>
      <c r="H780" s="10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</row>
    <row r="781" spans="1:34" ht="15.75" customHeight="1">
      <c r="A781" s="9"/>
      <c r="B781" s="9"/>
      <c r="C781" s="9"/>
      <c r="D781" s="9"/>
      <c r="E781" s="10"/>
      <c r="F781" s="10"/>
      <c r="G781" s="10"/>
      <c r="H781" s="10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</row>
    <row r="782" spans="1:34" ht="15.75" customHeight="1">
      <c r="A782" s="9"/>
      <c r="B782" s="9"/>
      <c r="C782" s="9"/>
      <c r="D782" s="9"/>
      <c r="E782" s="10"/>
      <c r="F782" s="10"/>
      <c r="G782" s="10"/>
      <c r="H782" s="10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</row>
    <row r="783" spans="1:34" ht="15.75" customHeight="1">
      <c r="A783" s="9"/>
      <c r="B783" s="9"/>
      <c r="C783" s="9"/>
      <c r="D783" s="9"/>
      <c r="E783" s="10"/>
      <c r="F783" s="10"/>
      <c r="G783" s="10"/>
      <c r="H783" s="10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</row>
    <row r="784" spans="1:34" ht="15.75" customHeight="1">
      <c r="A784" s="9"/>
      <c r="B784" s="9"/>
      <c r="C784" s="9"/>
      <c r="D784" s="9"/>
      <c r="E784" s="10"/>
      <c r="F784" s="10"/>
      <c r="G784" s="10"/>
      <c r="H784" s="10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</row>
    <row r="785" spans="1:34" ht="15.75" customHeight="1">
      <c r="A785" s="9"/>
      <c r="B785" s="9"/>
      <c r="C785" s="9"/>
      <c r="D785" s="9"/>
      <c r="E785" s="10"/>
      <c r="F785" s="10"/>
      <c r="G785" s="10"/>
      <c r="H785" s="10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</row>
    <row r="786" spans="1:34" ht="15.75" customHeight="1">
      <c r="A786" s="9"/>
      <c r="B786" s="9"/>
      <c r="C786" s="9"/>
      <c r="D786" s="9"/>
      <c r="E786" s="10"/>
      <c r="F786" s="10"/>
      <c r="G786" s="10"/>
      <c r="H786" s="10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</row>
    <row r="787" spans="1:34" ht="15.75" customHeight="1">
      <c r="A787" s="9"/>
      <c r="B787" s="9"/>
      <c r="C787" s="9"/>
      <c r="D787" s="9"/>
      <c r="E787" s="10"/>
      <c r="F787" s="10"/>
      <c r="G787" s="10"/>
      <c r="H787" s="10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</row>
    <row r="788" spans="1:34" ht="15.75" customHeight="1">
      <c r="A788" s="9"/>
      <c r="B788" s="9"/>
      <c r="C788" s="9"/>
      <c r="D788" s="9"/>
      <c r="E788" s="10"/>
      <c r="F788" s="10"/>
      <c r="G788" s="10"/>
      <c r="H788" s="10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</row>
    <row r="789" spans="1:34" ht="15.75" customHeight="1">
      <c r="A789" s="9"/>
      <c r="B789" s="9"/>
      <c r="C789" s="9"/>
      <c r="D789" s="9"/>
      <c r="E789" s="10"/>
      <c r="F789" s="10"/>
      <c r="G789" s="10"/>
      <c r="H789" s="10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</row>
    <row r="790" spans="1:34" ht="15.75" customHeight="1">
      <c r="A790" s="9"/>
      <c r="B790" s="9"/>
      <c r="C790" s="9"/>
      <c r="D790" s="9"/>
      <c r="E790" s="10"/>
      <c r="F790" s="10"/>
      <c r="G790" s="10"/>
      <c r="H790" s="10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</row>
    <row r="791" spans="1:34" ht="15.75" customHeight="1">
      <c r="A791" s="9"/>
      <c r="B791" s="9"/>
      <c r="C791" s="9"/>
      <c r="D791" s="9"/>
      <c r="E791" s="10"/>
      <c r="F791" s="10"/>
      <c r="G791" s="10"/>
      <c r="H791" s="10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</row>
    <row r="792" spans="1:34" ht="15.75" customHeight="1">
      <c r="A792" s="9"/>
      <c r="B792" s="9"/>
      <c r="C792" s="9"/>
      <c r="D792" s="9"/>
      <c r="E792" s="10"/>
      <c r="F792" s="10"/>
      <c r="G792" s="10"/>
      <c r="H792" s="10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</row>
    <row r="793" spans="1:34" ht="15.75" customHeight="1">
      <c r="A793" s="9"/>
      <c r="B793" s="9"/>
      <c r="C793" s="9"/>
      <c r="D793" s="9"/>
      <c r="E793" s="10"/>
      <c r="F793" s="10"/>
      <c r="G793" s="10"/>
      <c r="H793" s="10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</row>
    <row r="794" spans="1:34" ht="15.75" customHeight="1">
      <c r="A794" s="9"/>
      <c r="B794" s="9"/>
      <c r="C794" s="9"/>
      <c r="D794" s="9"/>
      <c r="E794" s="10"/>
      <c r="F794" s="10"/>
      <c r="G794" s="10"/>
      <c r="H794" s="10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</row>
    <row r="795" spans="1:34" ht="15.75" customHeight="1">
      <c r="A795" s="9"/>
      <c r="B795" s="9"/>
      <c r="C795" s="9"/>
      <c r="D795" s="9"/>
      <c r="E795" s="10"/>
      <c r="F795" s="10"/>
      <c r="G795" s="10"/>
      <c r="H795" s="10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</row>
    <row r="796" spans="1:34" ht="15.75" customHeight="1">
      <c r="A796" s="9"/>
      <c r="B796" s="9"/>
      <c r="C796" s="9"/>
      <c r="D796" s="9"/>
      <c r="E796" s="10"/>
      <c r="F796" s="10"/>
      <c r="G796" s="10"/>
      <c r="H796" s="10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</row>
    <row r="797" spans="1:34" ht="15.75" customHeight="1">
      <c r="A797" s="9"/>
      <c r="B797" s="9"/>
      <c r="C797" s="9"/>
      <c r="D797" s="9"/>
      <c r="E797" s="10"/>
      <c r="F797" s="10"/>
      <c r="G797" s="10"/>
      <c r="H797" s="10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</row>
    <row r="798" spans="1:34" ht="15.75" customHeight="1">
      <c r="A798" s="9"/>
      <c r="B798" s="9"/>
      <c r="C798" s="9"/>
      <c r="D798" s="9"/>
      <c r="E798" s="10"/>
      <c r="F798" s="10"/>
      <c r="G798" s="10"/>
      <c r="H798" s="10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</row>
    <row r="799" spans="1:34" ht="15.75" customHeight="1">
      <c r="A799" s="9"/>
      <c r="B799" s="9"/>
      <c r="C799" s="9"/>
      <c r="D799" s="9"/>
      <c r="E799" s="10"/>
      <c r="F799" s="10"/>
      <c r="G799" s="10"/>
      <c r="H799" s="10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 spans="1:34" ht="15.75" customHeight="1">
      <c r="A800" s="9"/>
      <c r="B800" s="9"/>
      <c r="C800" s="9"/>
      <c r="D800" s="9"/>
      <c r="E800" s="10"/>
      <c r="F800" s="10"/>
      <c r="G800" s="10"/>
      <c r="H800" s="10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</row>
    <row r="801" spans="1:34" ht="15.75" customHeight="1">
      <c r="A801" s="9"/>
      <c r="B801" s="9"/>
      <c r="C801" s="9"/>
      <c r="D801" s="9"/>
      <c r="E801" s="10"/>
      <c r="F801" s="10"/>
      <c r="G801" s="10"/>
      <c r="H801" s="10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</row>
    <row r="802" spans="1:34" ht="15.75" customHeight="1">
      <c r="A802" s="9"/>
      <c r="B802" s="9"/>
      <c r="C802" s="9"/>
      <c r="D802" s="9"/>
      <c r="E802" s="10"/>
      <c r="F802" s="10"/>
      <c r="G802" s="10"/>
      <c r="H802" s="10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</row>
    <row r="803" spans="1:34" ht="15.75" customHeight="1">
      <c r="A803" s="9"/>
      <c r="B803" s="9"/>
      <c r="C803" s="9"/>
      <c r="D803" s="9"/>
      <c r="E803" s="10"/>
      <c r="F803" s="10"/>
      <c r="G803" s="10"/>
      <c r="H803" s="10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</row>
    <row r="804" spans="1:34" ht="15.75" customHeight="1">
      <c r="A804" s="9"/>
      <c r="B804" s="9"/>
      <c r="C804" s="9"/>
      <c r="D804" s="9"/>
      <c r="E804" s="10"/>
      <c r="F804" s="10"/>
      <c r="G804" s="10"/>
      <c r="H804" s="10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</row>
    <row r="805" spans="1:34" ht="15.75" customHeight="1">
      <c r="A805" s="9"/>
      <c r="B805" s="9"/>
      <c r="C805" s="9"/>
      <c r="D805" s="9"/>
      <c r="E805" s="10"/>
      <c r="F805" s="10"/>
      <c r="G805" s="10"/>
      <c r="H805" s="10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</row>
    <row r="806" spans="1:34" ht="15.75" customHeight="1">
      <c r="A806" s="9"/>
      <c r="B806" s="9"/>
      <c r="C806" s="9"/>
      <c r="D806" s="9"/>
      <c r="E806" s="10"/>
      <c r="F806" s="10"/>
      <c r="G806" s="10"/>
      <c r="H806" s="10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</row>
    <row r="807" spans="1:34" ht="15.75" customHeight="1">
      <c r="A807" s="9"/>
      <c r="B807" s="9"/>
      <c r="C807" s="9"/>
      <c r="D807" s="9"/>
      <c r="E807" s="10"/>
      <c r="F807" s="10"/>
      <c r="G807" s="10"/>
      <c r="H807" s="10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</row>
    <row r="808" spans="1:34" ht="15.75" customHeight="1">
      <c r="A808" s="9"/>
      <c r="B808" s="9"/>
      <c r="C808" s="9"/>
      <c r="D808" s="9"/>
      <c r="E808" s="10"/>
      <c r="F808" s="10"/>
      <c r="G808" s="10"/>
      <c r="H808" s="10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</row>
    <row r="809" spans="1:34" ht="15.75" customHeight="1">
      <c r="A809" s="9"/>
      <c r="B809" s="9"/>
      <c r="C809" s="9"/>
      <c r="D809" s="9"/>
      <c r="E809" s="10"/>
      <c r="F809" s="10"/>
      <c r="G809" s="10"/>
      <c r="H809" s="10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</row>
    <row r="810" spans="1:34" ht="15.75" customHeight="1">
      <c r="A810" s="9"/>
      <c r="B810" s="9"/>
      <c r="C810" s="9"/>
      <c r="D810" s="9"/>
      <c r="E810" s="10"/>
      <c r="F810" s="10"/>
      <c r="G810" s="10"/>
      <c r="H810" s="10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</row>
    <row r="811" spans="1:34" ht="15.75" customHeight="1">
      <c r="A811" s="9"/>
      <c r="B811" s="9"/>
      <c r="C811" s="9"/>
      <c r="D811" s="9"/>
      <c r="E811" s="10"/>
      <c r="F811" s="10"/>
      <c r="G811" s="10"/>
      <c r="H811" s="10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</row>
    <row r="812" spans="1:34" ht="15.75" customHeight="1">
      <c r="A812" s="9"/>
      <c r="B812" s="9"/>
      <c r="C812" s="9"/>
      <c r="D812" s="9"/>
      <c r="E812" s="10"/>
      <c r="F812" s="10"/>
      <c r="G812" s="10"/>
      <c r="H812" s="10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</row>
    <row r="813" spans="1:34" ht="15.75" customHeight="1">
      <c r="A813" s="9"/>
      <c r="B813" s="9"/>
      <c r="C813" s="9"/>
      <c r="D813" s="9"/>
      <c r="E813" s="10"/>
      <c r="F813" s="10"/>
      <c r="G813" s="10"/>
      <c r="H813" s="10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</row>
    <row r="814" spans="1:34" ht="15.75" customHeight="1">
      <c r="A814" s="9"/>
      <c r="B814" s="9"/>
      <c r="C814" s="9"/>
      <c r="D814" s="9"/>
      <c r="E814" s="10"/>
      <c r="F814" s="10"/>
      <c r="G814" s="10"/>
      <c r="H814" s="10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</row>
    <row r="815" spans="1:34" ht="15.75" customHeight="1">
      <c r="A815" s="9"/>
      <c r="B815" s="9"/>
      <c r="C815" s="9"/>
      <c r="D815" s="9"/>
      <c r="E815" s="10"/>
      <c r="F815" s="10"/>
      <c r="G815" s="10"/>
      <c r="H815" s="10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</row>
    <row r="816" spans="1:34" ht="15.75" customHeight="1">
      <c r="A816" s="9"/>
      <c r="B816" s="9"/>
      <c r="C816" s="9"/>
      <c r="D816" s="9"/>
      <c r="E816" s="10"/>
      <c r="F816" s="10"/>
      <c r="G816" s="10"/>
      <c r="H816" s="10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</row>
    <row r="817" spans="1:34" ht="15.75" customHeight="1">
      <c r="A817" s="9"/>
      <c r="B817" s="9"/>
      <c r="C817" s="9"/>
      <c r="D817" s="9"/>
      <c r="E817" s="10"/>
      <c r="F817" s="10"/>
      <c r="G817" s="10"/>
      <c r="H817" s="10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</row>
    <row r="818" spans="1:34" ht="15.75" customHeight="1">
      <c r="A818" s="9"/>
      <c r="B818" s="9"/>
      <c r="C818" s="9"/>
      <c r="D818" s="9"/>
      <c r="E818" s="10"/>
      <c r="F818" s="10"/>
      <c r="G818" s="10"/>
      <c r="H818" s="10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</row>
    <row r="819" spans="1:34" ht="15.75" customHeight="1">
      <c r="A819" s="9"/>
      <c r="B819" s="9"/>
      <c r="C819" s="9"/>
      <c r="D819" s="9"/>
      <c r="E819" s="10"/>
      <c r="F819" s="10"/>
      <c r="G819" s="10"/>
      <c r="H819" s="10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</row>
    <row r="820" spans="1:34" ht="15.75" customHeight="1">
      <c r="A820" s="9"/>
      <c r="B820" s="9"/>
      <c r="C820" s="9"/>
      <c r="D820" s="9"/>
      <c r="E820" s="10"/>
      <c r="F820" s="10"/>
      <c r="G820" s="10"/>
      <c r="H820" s="10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</row>
    <row r="821" spans="1:34" ht="15.75" customHeight="1">
      <c r="A821" s="9"/>
      <c r="B821" s="9"/>
      <c r="C821" s="9"/>
      <c r="D821" s="9"/>
      <c r="E821" s="10"/>
      <c r="F821" s="10"/>
      <c r="G821" s="10"/>
      <c r="H821" s="10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</row>
    <row r="822" spans="1:34" ht="15.75" customHeight="1">
      <c r="A822" s="9"/>
      <c r="B822" s="9"/>
      <c r="C822" s="9"/>
      <c r="D822" s="9"/>
      <c r="E822" s="10"/>
      <c r="F822" s="10"/>
      <c r="G822" s="10"/>
      <c r="H822" s="10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</row>
    <row r="823" spans="1:34" ht="15.75" customHeight="1">
      <c r="A823" s="9"/>
      <c r="B823" s="9"/>
      <c r="C823" s="9"/>
      <c r="D823" s="9"/>
      <c r="E823" s="10"/>
      <c r="F823" s="10"/>
      <c r="G823" s="10"/>
      <c r="H823" s="10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</row>
    <row r="824" spans="1:34" ht="15.75" customHeight="1">
      <c r="A824" s="9"/>
      <c r="B824" s="9"/>
      <c r="C824" s="9"/>
      <c r="D824" s="9"/>
      <c r="E824" s="10"/>
      <c r="F824" s="10"/>
      <c r="G824" s="10"/>
      <c r="H824" s="10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</row>
    <row r="825" spans="1:34" ht="15.75" customHeight="1">
      <c r="A825" s="9"/>
      <c r="B825" s="9"/>
      <c r="C825" s="9"/>
      <c r="D825" s="9"/>
      <c r="E825" s="10"/>
      <c r="F825" s="10"/>
      <c r="G825" s="10"/>
      <c r="H825" s="10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</row>
    <row r="826" spans="1:34" ht="15.75" customHeight="1">
      <c r="A826" s="9"/>
      <c r="B826" s="9"/>
      <c r="C826" s="9"/>
      <c r="D826" s="9"/>
      <c r="E826" s="10"/>
      <c r="F826" s="10"/>
      <c r="G826" s="10"/>
      <c r="H826" s="10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</row>
    <row r="827" spans="1:34" ht="15.75" customHeight="1">
      <c r="A827" s="9"/>
      <c r="B827" s="9"/>
      <c r="C827" s="9"/>
      <c r="D827" s="9"/>
      <c r="E827" s="10"/>
      <c r="F827" s="10"/>
      <c r="G827" s="10"/>
      <c r="H827" s="10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</row>
    <row r="828" spans="1:34" ht="15.75" customHeight="1">
      <c r="A828" s="9"/>
      <c r="B828" s="9"/>
      <c r="C828" s="9"/>
      <c r="D828" s="9"/>
      <c r="E828" s="10"/>
      <c r="F828" s="10"/>
      <c r="G828" s="10"/>
      <c r="H828" s="10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</row>
    <row r="829" spans="1:34" ht="15.75" customHeight="1">
      <c r="A829" s="9"/>
      <c r="B829" s="9"/>
      <c r="C829" s="9"/>
      <c r="D829" s="9"/>
      <c r="E829" s="10"/>
      <c r="F829" s="10"/>
      <c r="G829" s="10"/>
      <c r="H829" s="10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</row>
    <row r="830" spans="1:34" ht="15.75" customHeight="1">
      <c r="A830" s="9"/>
      <c r="B830" s="9"/>
      <c r="C830" s="9"/>
      <c r="D830" s="9"/>
      <c r="E830" s="10"/>
      <c r="F830" s="10"/>
      <c r="G830" s="10"/>
      <c r="H830" s="10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</row>
    <row r="831" spans="1:34" ht="15.75" customHeight="1">
      <c r="A831" s="9"/>
      <c r="B831" s="9"/>
      <c r="C831" s="9"/>
      <c r="D831" s="9"/>
      <c r="E831" s="10"/>
      <c r="F831" s="10"/>
      <c r="G831" s="10"/>
      <c r="H831" s="10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</row>
    <row r="832" spans="1:34" ht="15.75" customHeight="1">
      <c r="A832" s="9"/>
      <c r="B832" s="9"/>
      <c r="C832" s="9"/>
      <c r="D832" s="9"/>
      <c r="E832" s="10"/>
      <c r="F832" s="10"/>
      <c r="G832" s="10"/>
      <c r="H832" s="10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</row>
    <row r="833" spans="1:34" ht="15.75" customHeight="1">
      <c r="A833" s="9"/>
      <c r="B833" s="9"/>
      <c r="C833" s="9"/>
      <c r="D833" s="9"/>
      <c r="E833" s="10"/>
      <c r="F833" s="10"/>
      <c r="G833" s="10"/>
      <c r="H833" s="10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</row>
    <row r="834" spans="1:34" ht="15.75" customHeight="1">
      <c r="A834" s="9"/>
      <c r="B834" s="9"/>
      <c r="C834" s="9"/>
      <c r="D834" s="9"/>
      <c r="E834" s="10"/>
      <c r="F834" s="10"/>
      <c r="G834" s="10"/>
      <c r="H834" s="10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</row>
    <row r="835" spans="1:34" ht="15.75" customHeight="1">
      <c r="A835" s="9"/>
      <c r="B835" s="9"/>
      <c r="C835" s="9"/>
      <c r="D835" s="9"/>
      <c r="E835" s="10"/>
      <c r="F835" s="10"/>
      <c r="G835" s="10"/>
      <c r="H835" s="10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</row>
    <row r="836" spans="1:34" ht="15.75" customHeight="1">
      <c r="A836" s="9"/>
      <c r="B836" s="9"/>
      <c r="C836" s="9"/>
      <c r="D836" s="9"/>
      <c r="E836" s="10"/>
      <c r="F836" s="10"/>
      <c r="G836" s="10"/>
      <c r="H836" s="10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</row>
    <row r="837" spans="1:34" ht="15.75" customHeight="1">
      <c r="A837" s="9"/>
      <c r="B837" s="9"/>
      <c r="C837" s="9"/>
      <c r="D837" s="9"/>
      <c r="E837" s="10"/>
      <c r="F837" s="10"/>
      <c r="G837" s="10"/>
      <c r="H837" s="10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</row>
    <row r="838" spans="1:34" ht="15.75" customHeight="1">
      <c r="A838" s="9"/>
      <c r="B838" s="9"/>
      <c r="C838" s="9"/>
      <c r="D838" s="9"/>
      <c r="E838" s="10"/>
      <c r="F838" s="10"/>
      <c r="G838" s="10"/>
      <c r="H838" s="10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</row>
    <row r="839" spans="1:34" ht="15.75" customHeight="1">
      <c r="A839" s="9"/>
      <c r="B839" s="9"/>
      <c r="C839" s="9"/>
      <c r="D839" s="9"/>
      <c r="E839" s="10"/>
      <c r="F839" s="10"/>
      <c r="G839" s="10"/>
      <c r="H839" s="10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</row>
    <row r="840" spans="1:34" ht="15.75" customHeight="1">
      <c r="A840" s="9"/>
      <c r="B840" s="9"/>
      <c r="C840" s="9"/>
      <c r="D840" s="9"/>
      <c r="E840" s="10"/>
      <c r="F840" s="10"/>
      <c r="G840" s="10"/>
      <c r="H840" s="10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</row>
    <row r="841" spans="1:34" ht="15.75" customHeight="1">
      <c r="A841" s="9"/>
      <c r="B841" s="9"/>
      <c r="C841" s="9"/>
      <c r="D841" s="9"/>
      <c r="E841" s="10"/>
      <c r="F841" s="10"/>
      <c r="G841" s="10"/>
      <c r="H841" s="10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</row>
    <row r="842" spans="1:34" ht="15.75" customHeight="1">
      <c r="A842" s="9"/>
      <c r="B842" s="9"/>
      <c r="C842" s="9"/>
      <c r="D842" s="9"/>
      <c r="E842" s="10"/>
      <c r="F842" s="10"/>
      <c r="G842" s="10"/>
      <c r="H842" s="10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</row>
    <row r="843" spans="1:34" ht="15.75" customHeight="1">
      <c r="A843" s="9"/>
      <c r="B843" s="9"/>
      <c r="C843" s="9"/>
      <c r="D843" s="9"/>
      <c r="E843" s="10"/>
      <c r="F843" s="10"/>
      <c r="G843" s="10"/>
      <c r="H843" s="10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</row>
    <row r="844" spans="1:34" ht="15.75" customHeight="1">
      <c r="A844" s="9"/>
      <c r="B844" s="9"/>
      <c r="C844" s="9"/>
      <c r="D844" s="9"/>
      <c r="E844" s="10"/>
      <c r="F844" s="10"/>
      <c r="G844" s="10"/>
      <c r="H844" s="10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</row>
    <row r="845" spans="1:34" ht="15.75" customHeight="1">
      <c r="A845" s="9"/>
      <c r="B845" s="9"/>
      <c r="C845" s="9"/>
      <c r="D845" s="9"/>
      <c r="E845" s="10"/>
      <c r="F845" s="10"/>
      <c r="G845" s="10"/>
      <c r="H845" s="10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 spans="1:34" ht="15.75" customHeight="1">
      <c r="A846" s="9"/>
      <c r="B846" s="9"/>
      <c r="C846" s="9"/>
      <c r="D846" s="9"/>
      <c r="E846" s="10"/>
      <c r="F846" s="10"/>
      <c r="G846" s="10"/>
      <c r="H846" s="10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</row>
    <row r="847" spans="1:34" ht="15.75" customHeight="1">
      <c r="A847" s="9"/>
      <c r="B847" s="9"/>
      <c r="C847" s="9"/>
      <c r="D847" s="9"/>
      <c r="E847" s="10"/>
      <c r="F847" s="10"/>
      <c r="G847" s="10"/>
      <c r="H847" s="10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</row>
    <row r="848" spans="1:34" ht="15.75" customHeight="1">
      <c r="A848" s="9"/>
      <c r="B848" s="9"/>
      <c r="C848" s="9"/>
      <c r="D848" s="9"/>
      <c r="E848" s="10"/>
      <c r="F848" s="10"/>
      <c r="G848" s="10"/>
      <c r="H848" s="10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</row>
    <row r="849" spans="1:34" ht="15.75" customHeight="1">
      <c r="A849" s="9"/>
      <c r="B849" s="9"/>
      <c r="C849" s="9"/>
      <c r="D849" s="9"/>
      <c r="E849" s="10"/>
      <c r="F849" s="10"/>
      <c r="G849" s="10"/>
      <c r="H849" s="10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</row>
    <row r="850" spans="1:34" ht="15.75" customHeight="1">
      <c r="A850" s="9"/>
      <c r="B850" s="9"/>
      <c r="C850" s="9"/>
      <c r="D850" s="9"/>
      <c r="E850" s="10"/>
      <c r="F850" s="10"/>
      <c r="G850" s="10"/>
      <c r="H850" s="10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</row>
    <row r="851" spans="1:34" ht="15.75" customHeight="1">
      <c r="A851" s="9"/>
      <c r="B851" s="9"/>
      <c r="C851" s="9"/>
      <c r="D851" s="9"/>
      <c r="E851" s="10"/>
      <c r="F851" s="10"/>
      <c r="G851" s="10"/>
      <c r="H851" s="10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</row>
    <row r="852" spans="1:34" ht="15.75" customHeight="1">
      <c r="A852" s="9"/>
      <c r="B852" s="9"/>
      <c r="C852" s="9"/>
      <c r="D852" s="9"/>
      <c r="E852" s="10"/>
      <c r="F852" s="10"/>
      <c r="G852" s="10"/>
      <c r="H852" s="10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</row>
    <row r="853" spans="1:34" ht="15.75" customHeight="1">
      <c r="A853" s="9"/>
      <c r="B853" s="9"/>
      <c r="C853" s="9"/>
      <c r="D853" s="9"/>
      <c r="E853" s="10"/>
      <c r="F853" s="10"/>
      <c r="G853" s="10"/>
      <c r="H853" s="10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</row>
    <row r="854" spans="1:34" ht="15.75" customHeight="1">
      <c r="A854" s="9"/>
      <c r="B854" s="9"/>
      <c r="C854" s="9"/>
      <c r="D854" s="9"/>
      <c r="E854" s="10"/>
      <c r="F854" s="10"/>
      <c r="G854" s="10"/>
      <c r="H854" s="10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</row>
    <row r="855" spans="1:34" ht="15.75" customHeight="1">
      <c r="A855" s="9"/>
      <c r="B855" s="9"/>
      <c r="C855" s="9"/>
      <c r="D855" s="9"/>
      <c r="E855" s="10"/>
      <c r="F855" s="10"/>
      <c r="G855" s="10"/>
      <c r="H855" s="10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</row>
    <row r="856" spans="1:34" ht="15.75" customHeight="1">
      <c r="A856" s="9"/>
      <c r="B856" s="9"/>
      <c r="C856" s="9"/>
      <c r="D856" s="9"/>
      <c r="E856" s="10"/>
      <c r="F856" s="10"/>
      <c r="G856" s="10"/>
      <c r="H856" s="10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</row>
    <row r="857" spans="1:34" ht="15.75" customHeight="1">
      <c r="A857" s="9"/>
      <c r="B857" s="9"/>
      <c r="C857" s="9"/>
      <c r="D857" s="9"/>
      <c r="E857" s="10"/>
      <c r="F857" s="10"/>
      <c r="G857" s="10"/>
      <c r="H857" s="10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</row>
    <row r="858" spans="1:34" ht="15.75" customHeight="1">
      <c r="A858" s="9"/>
      <c r="B858" s="9"/>
      <c r="C858" s="9"/>
      <c r="D858" s="9"/>
      <c r="E858" s="10"/>
      <c r="F858" s="10"/>
      <c r="G858" s="10"/>
      <c r="H858" s="10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</row>
    <row r="859" spans="1:34" ht="15.75" customHeight="1">
      <c r="A859" s="9"/>
      <c r="B859" s="9"/>
      <c r="C859" s="9"/>
      <c r="D859" s="9"/>
      <c r="E859" s="10"/>
      <c r="F859" s="10"/>
      <c r="G859" s="10"/>
      <c r="H859" s="10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</row>
    <row r="860" spans="1:34" ht="15.75" customHeight="1">
      <c r="A860" s="9"/>
      <c r="B860" s="9"/>
      <c r="C860" s="9"/>
      <c r="D860" s="9"/>
      <c r="E860" s="10"/>
      <c r="F860" s="10"/>
      <c r="G860" s="10"/>
      <c r="H860" s="10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</row>
    <row r="861" spans="1:34" ht="15.75" customHeight="1">
      <c r="A861" s="9"/>
      <c r="B861" s="9"/>
      <c r="C861" s="9"/>
      <c r="D861" s="9"/>
      <c r="E861" s="10"/>
      <c r="F861" s="10"/>
      <c r="G861" s="10"/>
      <c r="H861" s="10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</row>
    <row r="862" spans="1:34" ht="15.75" customHeight="1">
      <c r="A862" s="9"/>
      <c r="B862" s="9"/>
      <c r="C862" s="9"/>
      <c r="D862" s="9"/>
      <c r="E862" s="10"/>
      <c r="F862" s="10"/>
      <c r="G862" s="10"/>
      <c r="H862" s="10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</row>
    <row r="863" spans="1:34" ht="15.75" customHeight="1">
      <c r="A863" s="9"/>
      <c r="B863" s="9"/>
      <c r="C863" s="9"/>
      <c r="D863" s="9"/>
      <c r="E863" s="10"/>
      <c r="F863" s="10"/>
      <c r="G863" s="10"/>
      <c r="H863" s="10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</row>
    <row r="864" spans="1:34" ht="15.75" customHeight="1">
      <c r="A864" s="9"/>
      <c r="B864" s="9"/>
      <c r="C864" s="9"/>
      <c r="D864" s="9"/>
      <c r="E864" s="10"/>
      <c r="F864" s="10"/>
      <c r="G864" s="10"/>
      <c r="H864" s="10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</row>
    <row r="865" spans="1:34" ht="15.75" customHeight="1">
      <c r="A865" s="9"/>
      <c r="B865" s="9"/>
      <c r="C865" s="9"/>
      <c r="D865" s="9"/>
      <c r="E865" s="10"/>
      <c r="F865" s="10"/>
      <c r="G865" s="10"/>
      <c r="H865" s="10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</row>
    <row r="866" spans="1:34" ht="15.75" customHeight="1">
      <c r="A866" s="9"/>
      <c r="B866" s="9"/>
      <c r="C866" s="9"/>
      <c r="D866" s="9"/>
      <c r="E866" s="10"/>
      <c r="F866" s="10"/>
      <c r="G866" s="10"/>
      <c r="H866" s="10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</row>
    <row r="867" spans="1:34" ht="15.75" customHeight="1">
      <c r="A867" s="9"/>
      <c r="B867" s="9"/>
      <c r="C867" s="9"/>
      <c r="D867" s="9"/>
      <c r="E867" s="10"/>
      <c r="F867" s="10"/>
      <c r="G867" s="10"/>
      <c r="H867" s="10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</row>
    <row r="868" spans="1:34" ht="15.75" customHeight="1">
      <c r="A868" s="9"/>
      <c r="B868" s="9"/>
      <c r="C868" s="9"/>
      <c r="D868" s="9"/>
      <c r="E868" s="10"/>
      <c r="F868" s="10"/>
      <c r="G868" s="10"/>
      <c r="H868" s="10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</row>
    <row r="869" spans="1:34" ht="15.75" customHeight="1">
      <c r="A869" s="9"/>
      <c r="B869" s="9"/>
      <c r="C869" s="9"/>
      <c r="D869" s="9"/>
      <c r="E869" s="10"/>
      <c r="F869" s="10"/>
      <c r="G869" s="10"/>
      <c r="H869" s="10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</row>
    <row r="870" spans="1:34" ht="15.75" customHeight="1">
      <c r="A870" s="9"/>
      <c r="B870" s="9"/>
      <c r="C870" s="9"/>
      <c r="D870" s="9"/>
      <c r="E870" s="10"/>
      <c r="F870" s="10"/>
      <c r="G870" s="10"/>
      <c r="H870" s="10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</row>
    <row r="871" spans="1:34" ht="15.75" customHeight="1">
      <c r="A871" s="9"/>
      <c r="B871" s="9"/>
      <c r="C871" s="9"/>
      <c r="D871" s="9"/>
      <c r="E871" s="10"/>
      <c r="F871" s="10"/>
      <c r="G871" s="10"/>
      <c r="H871" s="10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</row>
    <row r="872" spans="1:34" ht="15.75" customHeight="1">
      <c r="A872" s="9"/>
      <c r="B872" s="9"/>
      <c r="C872" s="9"/>
      <c r="D872" s="9"/>
      <c r="E872" s="10"/>
      <c r="F872" s="10"/>
      <c r="G872" s="10"/>
      <c r="H872" s="10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</row>
    <row r="873" spans="1:34" ht="15.75" customHeight="1">
      <c r="A873" s="9"/>
      <c r="B873" s="9"/>
      <c r="C873" s="9"/>
      <c r="D873" s="9"/>
      <c r="E873" s="10"/>
      <c r="F873" s="10"/>
      <c r="G873" s="10"/>
      <c r="H873" s="10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</row>
    <row r="874" spans="1:34" ht="15.75" customHeight="1">
      <c r="A874" s="9"/>
      <c r="B874" s="9"/>
      <c r="C874" s="9"/>
      <c r="D874" s="9"/>
      <c r="E874" s="10"/>
      <c r="F874" s="10"/>
      <c r="G874" s="10"/>
      <c r="H874" s="10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</row>
    <row r="875" spans="1:34" ht="15.75" customHeight="1">
      <c r="A875" s="9"/>
      <c r="B875" s="9"/>
      <c r="C875" s="9"/>
      <c r="D875" s="9"/>
      <c r="E875" s="10"/>
      <c r="F875" s="10"/>
      <c r="G875" s="10"/>
      <c r="H875" s="10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</row>
    <row r="876" spans="1:34" ht="15.75" customHeight="1">
      <c r="A876" s="9"/>
      <c r="B876" s="9"/>
      <c r="C876" s="9"/>
      <c r="D876" s="9"/>
      <c r="E876" s="10"/>
      <c r="F876" s="10"/>
      <c r="G876" s="10"/>
      <c r="H876" s="10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</row>
    <row r="877" spans="1:34" ht="15.75" customHeight="1">
      <c r="A877" s="9"/>
      <c r="B877" s="9"/>
      <c r="C877" s="9"/>
      <c r="D877" s="9"/>
      <c r="E877" s="10"/>
      <c r="F877" s="10"/>
      <c r="G877" s="10"/>
      <c r="H877" s="10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</row>
    <row r="878" spans="1:34" ht="15.75" customHeight="1">
      <c r="A878" s="9"/>
      <c r="B878" s="9"/>
      <c r="C878" s="9"/>
      <c r="D878" s="9"/>
      <c r="E878" s="10"/>
      <c r="F878" s="10"/>
      <c r="G878" s="10"/>
      <c r="H878" s="10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</row>
    <row r="879" spans="1:34" ht="15.75" customHeight="1">
      <c r="A879" s="9"/>
      <c r="B879" s="9"/>
      <c r="C879" s="9"/>
      <c r="D879" s="9"/>
      <c r="E879" s="10"/>
      <c r="F879" s="10"/>
      <c r="G879" s="10"/>
      <c r="H879" s="10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</row>
    <row r="880" spans="1:34" ht="15.75" customHeight="1">
      <c r="A880" s="9"/>
      <c r="B880" s="9"/>
      <c r="C880" s="9"/>
      <c r="D880" s="9"/>
      <c r="E880" s="10"/>
      <c r="F880" s="10"/>
      <c r="G880" s="10"/>
      <c r="H880" s="10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</row>
    <row r="881" spans="1:34" ht="15.75" customHeight="1">
      <c r="A881" s="9"/>
      <c r="B881" s="9"/>
      <c r="C881" s="9"/>
      <c r="D881" s="9"/>
      <c r="E881" s="10"/>
      <c r="F881" s="10"/>
      <c r="G881" s="10"/>
      <c r="H881" s="10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</row>
    <row r="882" spans="1:34" ht="15.75" customHeight="1">
      <c r="A882" s="9"/>
      <c r="B882" s="9"/>
      <c r="C882" s="9"/>
      <c r="D882" s="9"/>
      <c r="E882" s="10"/>
      <c r="F882" s="10"/>
      <c r="G882" s="10"/>
      <c r="H882" s="10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</row>
    <row r="883" spans="1:34" ht="15.75" customHeight="1">
      <c r="A883" s="9"/>
      <c r="B883" s="9"/>
      <c r="C883" s="9"/>
      <c r="D883" s="9"/>
      <c r="E883" s="10"/>
      <c r="F883" s="10"/>
      <c r="G883" s="10"/>
      <c r="H883" s="10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</row>
    <row r="884" spans="1:34" ht="15.75" customHeight="1">
      <c r="A884" s="9"/>
      <c r="B884" s="9"/>
      <c r="C884" s="9"/>
      <c r="D884" s="9"/>
      <c r="E884" s="10"/>
      <c r="F884" s="10"/>
      <c r="G884" s="10"/>
      <c r="H884" s="10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</row>
    <row r="885" spans="1:34" ht="15.75" customHeight="1">
      <c r="A885" s="9"/>
      <c r="B885" s="9"/>
      <c r="C885" s="9"/>
      <c r="D885" s="9"/>
      <c r="E885" s="10"/>
      <c r="F885" s="10"/>
      <c r="G885" s="10"/>
      <c r="H885" s="10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</row>
    <row r="886" spans="1:34" ht="15.75" customHeight="1">
      <c r="A886" s="9"/>
      <c r="B886" s="9"/>
      <c r="C886" s="9"/>
      <c r="D886" s="9"/>
      <c r="E886" s="10"/>
      <c r="F886" s="10"/>
      <c r="G886" s="10"/>
      <c r="H886" s="10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</row>
    <row r="887" spans="1:34" ht="15.75" customHeight="1">
      <c r="A887" s="9"/>
      <c r="B887" s="9"/>
      <c r="C887" s="9"/>
      <c r="D887" s="9"/>
      <c r="E887" s="10"/>
      <c r="F887" s="10"/>
      <c r="G887" s="10"/>
      <c r="H887" s="10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</row>
    <row r="888" spans="1:34" ht="15.75" customHeight="1">
      <c r="A888" s="9"/>
      <c r="B888" s="9"/>
      <c r="C888" s="9"/>
      <c r="D888" s="9"/>
      <c r="E888" s="10"/>
      <c r="F888" s="10"/>
      <c r="G888" s="10"/>
      <c r="H888" s="10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</row>
    <row r="889" spans="1:34" ht="15.75" customHeight="1">
      <c r="A889" s="9"/>
      <c r="B889" s="9"/>
      <c r="C889" s="9"/>
      <c r="D889" s="9"/>
      <c r="E889" s="10"/>
      <c r="F889" s="10"/>
      <c r="G889" s="10"/>
      <c r="H889" s="10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</row>
    <row r="890" spans="1:34" ht="15.75" customHeight="1">
      <c r="A890" s="9"/>
      <c r="B890" s="9"/>
      <c r="C890" s="9"/>
      <c r="D890" s="9"/>
      <c r="E890" s="10"/>
      <c r="F890" s="10"/>
      <c r="G890" s="10"/>
      <c r="H890" s="10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</row>
    <row r="891" spans="1:34" ht="15.75" customHeight="1">
      <c r="A891" s="9"/>
      <c r="B891" s="9"/>
      <c r="C891" s="9"/>
      <c r="D891" s="9"/>
      <c r="E891" s="10"/>
      <c r="F891" s="10"/>
      <c r="G891" s="10"/>
      <c r="H891" s="10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</row>
    <row r="892" spans="1:34" ht="15.75" customHeight="1">
      <c r="A892" s="9"/>
      <c r="B892" s="9"/>
      <c r="C892" s="9"/>
      <c r="D892" s="9"/>
      <c r="E892" s="10"/>
      <c r="F892" s="10"/>
      <c r="G892" s="10"/>
      <c r="H892" s="10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</row>
    <row r="893" spans="1:34" ht="15.75" customHeight="1">
      <c r="A893" s="9"/>
      <c r="B893" s="9"/>
      <c r="C893" s="9"/>
      <c r="D893" s="9"/>
      <c r="E893" s="10"/>
      <c r="F893" s="10"/>
      <c r="G893" s="10"/>
      <c r="H893" s="10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</row>
    <row r="894" spans="1:34" ht="15.75" customHeight="1">
      <c r="A894" s="9"/>
      <c r="B894" s="9"/>
      <c r="C894" s="9"/>
      <c r="D894" s="9"/>
      <c r="E894" s="10"/>
      <c r="F894" s="10"/>
      <c r="G894" s="10"/>
      <c r="H894" s="10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</row>
    <row r="895" spans="1:34" ht="15.75" customHeight="1">
      <c r="A895" s="9"/>
      <c r="B895" s="9"/>
      <c r="C895" s="9"/>
      <c r="D895" s="9"/>
      <c r="E895" s="10"/>
      <c r="F895" s="10"/>
      <c r="G895" s="10"/>
      <c r="H895" s="10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</row>
    <row r="896" spans="1:34" ht="15.75" customHeight="1">
      <c r="A896" s="9"/>
      <c r="B896" s="9"/>
      <c r="C896" s="9"/>
      <c r="D896" s="9"/>
      <c r="E896" s="10"/>
      <c r="F896" s="10"/>
      <c r="G896" s="10"/>
      <c r="H896" s="10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</row>
    <row r="897" spans="1:34" ht="15.75" customHeight="1">
      <c r="A897" s="9"/>
      <c r="B897" s="9"/>
      <c r="C897" s="9"/>
      <c r="D897" s="9"/>
      <c r="E897" s="10"/>
      <c r="F897" s="10"/>
      <c r="G897" s="10"/>
      <c r="H897" s="10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</row>
    <row r="898" spans="1:34" ht="15.75" customHeight="1">
      <c r="A898" s="9"/>
      <c r="B898" s="9"/>
      <c r="C898" s="9"/>
      <c r="D898" s="9"/>
      <c r="E898" s="10"/>
      <c r="F898" s="10"/>
      <c r="G898" s="10"/>
      <c r="H898" s="10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</row>
    <row r="899" spans="1:34" ht="15.75" customHeight="1">
      <c r="A899" s="9"/>
      <c r="B899" s="9"/>
      <c r="C899" s="9"/>
      <c r="D899" s="9"/>
      <c r="E899" s="10"/>
      <c r="F899" s="10"/>
      <c r="G899" s="10"/>
      <c r="H899" s="10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</row>
    <row r="900" spans="1:34" ht="15.75" customHeight="1">
      <c r="A900" s="9"/>
      <c r="B900" s="9"/>
      <c r="C900" s="9"/>
      <c r="D900" s="9"/>
      <c r="E900" s="10"/>
      <c r="F900" s="10"/>
      <c r="G900" s="10"/>
      <c r="H900" s="10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</row>
    <row r="901" spans="1:34" ht="15.75" customHeight="1">
      <c r="A901" s="9"/>
      <c r="B901" s="9"/>
      <c r="C901" s="9"/>
      <c r="D901" s="9"/>
      <c r="E901" s="10"/>
      <c r="F901" s="10"/>
      <c r="G901" s="10"/>
      <c r="H901" s="10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</row>
    <row r="902" spans="1:34" ht="15.75" customHeight="1">
      <c r="A902" s="9"/>
      <c r="B902" s="9"/>
      <c r="C902" s="9"/>
      <c r="D902" s="9"/>
      <c r="E902" s="10"/>
      <c r="F902" s="10"/>
      <c r="G902" s="10"/>
      <c r="H902" s="10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</row>
    <row r="903" spans="1:34" ht="15.75" customHeight="1">
      <c r="A903" s="9"/>
      <c r="B903" s="9"/>
      <c r="C903" s="9"/>
      <c r="D903" s="9"/>
      <c r="E903" s="10"/>
      <c r="F903" s="10"/>
      <c r="G903" s="10"/>
      <c r="H903" s="10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</row>
    <row r="904" spans="1:34" ht="15.75" customHeight="1">
      <c r="A904" s="9"/>
      <c r="B904" s="9"/>
      <c r="C904" s="9"/>
      <c r="D904" s="9"/>
      <c r="E904" s="10"/>
      <c r="F904" s="10"/>
      <c r="G904" s="10"/>
      <c r="H904" s="10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</row>
    <row r="905" spans="1:34" ht="15.75" customHeight="1">
      <c r="A905" s="9"/>
      <c r="B905" s="9"/>
      <c r="C905" s="9"/>
      <c r="D905" s="9"/>
      <c r="E905" s="10"/>
      <c r="F905" s="10"/>
      <c r="G905" s="10"/>
      <c r="H905" s="10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</row>
    <row r="906" spans="1:34" ht="15.75" customHeight="1">
      <c r="A906" s="9"/>
      <c r="B906" s="9"/>
      <c r="C906" s="9"/>
      <c r="D906" s="9"/>
      <c r="E906" s="10"/>
      <c r="F906" s="10"/>
      <c r="G906" s="10"/>
      <c r="H906" s="10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</row>
    <row r="907" spans="1:34" ht="15.75" customHeight="1">
      <c r="A907" s="9"/>
      <c r="B907" s="9"/>
      <c r="C907" s="9"/>
      <c r="D907" s="9"/>
      <c r="E907" s="10"/>
      <c r="F907" s="10"/>
      <c r="G907" s="10"/>
      <c r="H907" s="10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</row>
    <row r="908" spans="1:34" ht="15.75" customHeight="1">
      <c r="A908" s="9"/>
      <c r="B908" s="9"/>
      <c r="C908" s="9"/>
      <c r="D908" s="9"/>
      <c r="E908" s="10"/>
      <c r="F908" s="10"/>
      <c r="G908" s="10"/>
      <c r="H908" s="10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</row>
    <row r="909" spans="1:34" ht="15.75" customHeight="1">
      <c r="A909" s="9"/>
      <c r="B909" s="9"/>
      <c r="C909" s="9"/>
      <c r="D909" s="9"/>
      <c r="E909" s="10"/>
      <c r="F909" s="10"/>
      <c r="G909" s="10"/>
      <c r="H909" s="10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</row>
    <row r="910" spans="1:34" ht="15.75" customHeight="1">
      <c r="A910" s="9"/>
      <c r="B910" s="9"/>
      <c r="C910" s="9"/>
      <c r="D910" s="9"/>
      <c r="E910" s="10"/>
      <c r="F910" s="10"/>
      <c r="G910" s="10"/>
      <c r="H910" s="10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</row>
    <row r="911" spans="1:34" ht="15.75" customHeight="1">
      <c r="A911" s="9"/>
      <c r="B911" s="9"/>
      <c r="C911" s="9"/>
      <c r="D911" s="9"/>
      <c r="E911" s="10"/>
      <c r="F911" s="10"/>
      <c r="G911" s="10"/>
      <c r="H911" s="10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</row>
    <row r="912" spans="1:34" ht="15.75" customHeight="1">
      <c r="A912" s="9"/>
      <c r="B912" s="9"/>
      <c r="C912" s="9"/>
      <c r="D912" s="9"/>
      <c r="E912" s="10"/>
      <c r="F912" s="10"/>
      <c r="G912" s="10"/>
      <c r="H912" s="10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</row>
    <row r="913" spans="1:34" ht="15.75" customHeight="1">
      <c r="A913" s="9"/>
      <c r="B913" s="9"/>
      <c r="C913" s="9"/>
      <c r="D913" s="9"/>
      <c r="E913" s="10"/>
      <c r="F913" s="10"/>
      <c r="G913" s="10"/>
      <c r="H913" s="10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</row>
    <row r="914" spans="1:34" ht="15.75" customHeight="1">
      <c r="A914" s="9"/>
      <c r="B914" s="9"/>
      <c r="C914" s="9"/>
      <c r="D914" s="9"/>
      <c r="E914" s="10"/>
      <c r="F914" s="10"/>
      <c r="G914" s="10"/>
      <c r="H914" s="10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</row>
    <row r="915" spans="1:34" ht="15.75" customHeight="1">
      <c r="A915" s="9"/>
      <c r="B915" s="9"/>
      <c r="C915" s="9"/>
      <c r="D915" s="9"/>
      <c r="E915" s="10"/>
      <c r="F915" s="10"/>
      <c r="G915" s="10"/>
      <c r="H915" s="10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</row>
    <row r="916" spans="1:34" ht="15.75" customHeight="1">
      <c r="A916" s="9"/>
      <c r="B916" s="9"/>
      <c r="C916" s="9"/>
      <c r="D916" s="9"/>
      <c r="E916" s="10"/>
      <c r="F916" s="10"/>
      <c r="G916" s="10"/>
      <c r="H916" s="10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</row>
    <row r="917" spans="1:34" ht="15.75" customHeight="1">
      <c r="A917" s="9"/>
      <c r="B917" s="9"/>
      <c r="C917" s="9"/>
      <c r="D917" s="9"/>
      <c r="E917" s="10"/>
      <c r="F917" s="10"/>
      <c r="G917" s="10"/>
      <c r="H917" s="10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</row>
    <row r="918" spans="1:34" ht="15.75" customHeight="1">
      <c r="A918" s="9"/>
      <c r="B918" s="9"/>
      <c r="C918" s="9"/>
      <c r="D918" s="9"/>
      <c r="E918" s="10"/>
      <c r="F918" s="10"/>
      <c r="G918" s="10"/>
      <c r="H918" s="10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</row>
    <row r="919" spans="1:34" ht="15.75" customHeight="1">
      <c r="A919" s="9"/>
      <c r="B919" s="9"/>
      <c r="C919" s="9"/>
      <c r="D919" s="9"/>
      <c r="E919" s="10"/>
      <c r="F919" s="10"/>
      <c r="G919" s="10"/>
      <c r="H919" s="10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</row>
    <row r="920" spans="1:34" ht="15.75" customHeight="1">
      <c r="A920" s="9"/>
      <c r="B920" s="9"/>
      <c r="C920" s="9"/>
      <c r="D920" s="9"/>
      <c r="E920" s="10"/>
      <c r="F920" s="10"/>
      <c r="G920" s="10"/>
      <c r="H920" s="10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</row>
    <row r="921" spans="1:34" ht="15.75" customHeight="1">
      <c r="A921" s="9"/>
      <c r="B921" s="9"/>
      <c r="C921" s="9"/>
      <c r="D921" s="9"/>
      <c r="E921" s="10"/>
      <c r="F921" s="10"/>
      <c r="G921" s="10"/>
      <c r="H921" s="10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</row>
    <row r="922" spans="1:34" ht="15.75" customHeight="1">
      <c r="A922" s="9"/>
      <c r="B922" s="9"/>
      <c r="C922" s="9"/>
      <c r="D922" s="9"/>
      <c r="E922" s="10"/>
      <c r="F922" s="10"/>
      <c r="G922" s="10"/>
      <c r="H922" s="10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</row>
    <row r="923" spans="1:34" ht="15.75" customHeight="1">
      <c r="A923" s="9"/>
      <c r="B923" s="9"/>
      <c r="C923" s="9"/>
      <c r="D923" s="9"/>
      <c r="E923" s="10"/>
      <c r="F923" s="10"/>
      <c r="G923" s="10"/>
      <c r="H923" s="10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</row>
    <row r="924" spans="1:34" ht="15.75" customHeight="1">
      <c r="A924" s="9"/>
      <c r="B924" s="9"/>
      <c r="C924" s="9"/>
      <c r="D924" s="9"/>
      <c r="E924" s="10"/>
      <c r="F924" s="10"/>
      <c r="G924" s="10"/>
      <c r="H924" s="10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</row>
    <row r="925" spans="1:34" ht="15.75" customHeight="1">
      <c r="A925" s="9"/>
      <c r="B925" s="9"/>
      <c r="C925" s="9"/>
      <c r="D925" s="9"/>
      <c r="E925" s="10"/>
      <c r="F925" s="10"/>
      <c r="G925" s="10"/>
      <c r="H925" s="10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</row>
    <row r="926" spans="1:34" ht="15.75" customHeight="1">
      <c r="A926" s="9"/>
      <c r="B926" s="9"/>
      <c r="C926" s="9"/>
      <c r="D926" s="9"/>
      <c r="E926" s="10"/>
      <c r="F926" s="10"/>
      <c r="G926" s="10"/>
      <c r="H926" s="10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</row>
    <row r="927" spans="1:34" ht="15.75" customHeight="1">
      <c r="A927" s="9"/>
      <c r="B927" s="9"/>
      <c r="C927" s="9"/>
      <c r="D927" s="9"/>
      <c r="E927" s="10"/>
      <c r="F927" s="10"/>
      <c r="G927" s="10"/>
      <c r="H927" s="10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</row>
    <row r="928" spans="1:34" ht="15.75" customHeight="1">
      <c r="A928" s="9"/>
      <c r="B928" s="9"/>
      <c r="C928" s="9"/>
      <c r="D928" s="9"/>
      <c r="E928" s="10"/>
      <c r="F928" s="10"/>
      <c r="G928" s="10"/>
      <c r="H928" s="10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</row>
    <row r="929" spans="1:34" ht="15.75" customHeight="1">
      <c r="A929" s="9"/>
      <c r="B929" s="9"/>
      <c r="C929" s="9"/>
      <c r="D929" s="9"/>
      <c r="E929" s="10"/>
      <c r="F929" s="10"/>
      <c r="G929" s="10"/>
      <c r="H929" s="10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</row>
    <row r="930" spans="1:34" ht="15.75" customHeight="1">
      <c r="A930" s="9"/>
      <c r="B930" s="9"/>
      <c r="C930" s="9"/>
      <c r="D930" s="9"/>
      <c r="E930" s="10"/>
      <c r="F930" s="10"/>
      <c r="G930" s="10"/>
      <c r="H930" s="10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</row>
    <row r="931" spans="1:34" ht="15.75" customHeight="1">
      <c r="A931" s="9"/>
      <c r="B931" s="9"/>
      <c r="C931" s="9"/>
      <c r="D931" s="9"/>
      <c r="E931" s="10"/>
      <c r="F931" s="10"/>
      <c r="G931" s="10"/>
      <c r="H931" s="10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</row>
    <row r="932" spans="1:34" ht="15.75" customHeight="1">
      <c r="A932" s="9"/>
      <c r="B932" s="9"/>
      <c r="C932" s="9"/>
      <c r="D932" s="9"/>
      <c r="E932" s="10"/>
      <c r="F932" s="10"/>
      <c r="G932" s="10"/>
      <c r="H932" s="10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</row>
    <row r="933" spans="1:34" ht="15.75" customHeight="1">
      <c r="A933" s="9"/>
      <c r="B933" s="9"/>
      <c r="C933" s="9"/>
      <c r="D933" s="9"/>
      <c r="E933" s="10"/>
      <c r="F933" s="10"/>
      <c r="G933" s="10"/>
      <c r="H933" s="10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</row>
    <row r="934" spans="1:34" ht="15.75" customHeight="1">
      <c r="A934" s="9"/>
      <c r="B934" s="9"/>
      <c r="C934" s="9"/>
      <c r="D934" s="9"/>
      <c r="E934" s="10"/>
      <c r="F934" s="10"/>
      <c r="G934" s="10"/>
      <c r="H934" s="10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</row>
    <row r="935" spans="1:34" ht="15.75" customHeight="1">
      <c r="A935" s="9"/>
      <c r="B935" s="9"/>
      <c r="C935" s="9"/>
      <c r="D935" s="9"/>
      <c r="E935" s="10"/>
      <c r="F935" s="10"/>
      <c r="G935" s="10"/>
      <c r="H935" s="10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</row>
    <row r="936" spans="1:34" ht="15.75" customHeight="1">
      <c r="A936" s="9"/>
      <c r="B936" s="9"/>
      <c r="C936" s="9"/>
      <c r="D936" s="9"/>
      <c r="E936" s="10"/>
      <c r="F936" s="10"/>
      <c r="G936" s="10"/>
      <c r="H936" s="10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</row>
    <row r="937" spans="1:34" ht="15.75" customHeight="1">
      <c r="A937" s="9"/>
      <c r="B937" s="9"/>
      <c r="C937" s="9"/>
      <c r="D937" s="9"/>
      <c r="E937" s="10"/>
      <c r="F937" s="10"/>
      <c r="G937" s="10"/>
      <c r="H937" s="10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</row>
    <row r="938" spans="1:34" ht="15.75" customHeight="1">
      <c r="A938" s="9"/>
      <c r="B938" s="9"/>
      <c r="C938" s="9"/>
      <c r="D938" s="9"/>
      <c r="E938" s="10"/>
      <c r="F938" s="10"/>
      <c r="G938" s="10"/>
      <c r="H938" s="10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</row>
    <row r="939" spans="1:34" ht="15.75" customHeight="1">
      <c r="A939" s="9"/>
      <c r="B939" s="9"/>
      <c r="C939" s="9"/>
      <c r="D939" s="9"/>
      <c r="E939" s="10"/>
      <c r="F939" s="10"/>
      <c r="G939" s="10"/>
      <c r="H939" s="10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 spans="1:34" ht="15.75" customHeight="1">
      <c r="A940" s="9"/>
      <c r="B940" s="9"/>
      <c r="C940" s="9"/>
      <c r="D940" s="9"/>
      <c r="E940" s="10"/>
      <c r="F940" s="10"/>
      <c r="G940" s="10"/>
      <c r="H940" s="10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</row>
    <row r="941" spans="1:34" ht="15.75" customHeight="1">
      <c r="A941" s="9"/>
      <c r="B941" s="9"/>
      <c r="C941" s="9"/>
      <c r="D941" s="9"/>
      <c r="E941" s="10"/>
      <c r="F941" s="10"/>
      <c r="G941" s="10"/>
      <c r="H941" s="10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</row>
    <row r="942" spans="1:34" ht="15.75" customHeight="1">
      <c r="A942" s="9"/>
      <c r="B942" s="9"/>
      <c r="C942" s="9"/>
      <c r="D942" s="9"/>
      <c r="E942" s="10"/>
      <c r="F942" s="10"/>
      <c r="G942" s="10"/>
      <c r="H942" s="10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</row>
    <row r="943" spans="1:34" ht="15.75" customHeight="1">
      <c r="A943" s="9"/>
      <c r="B943" s="9"/>
      <c r="C943" s="9"/>
      <c r="D943" s="9"/>
      <c r="E943" s="10"/>
      <c r="F943" s="10"/>
      <c r="G943" s="10"/>
      <c r="H943" s="10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</row>
    <row r="944" spans="1:34" ht="15.75" customHeight="1">
      <c r="A944" s="9"/>
      <c r="B944" s="9"/>
      <c r="C944" s="9"/>
      <c r="D944" s="9"/>
      <c r="E944" s="10"/>
      <c r="F944" s="10"/>
      <c r="G944" s="10"/>
      <c r="H944" s="10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</row>
    <row r="945" spans="1:34" ht="15.75" customHeight="1">
      <c r="A945" s="9"/>
      <c r="B945" s="9"/>
      <c r="C945" s="9"/>
      <c r="D945" s="9"/>
      <c r="E945" s="10"/>
      <c r="F945" s="10"/>
      <c r="G945" s="10"/>
      <c r="H945" s="10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</row>
    <row r="946" spans="1:34" ht="15.75" customHeight="1">
      <c r="A946" s="9"/>
      <c r="B946" s="9"/>
      <c r="C946" s="9"/>
      <c r="D946" s="9"/>
      <c r="E946" s="10"/>
      <c r="F946" s="10"/>
      <c r="G946" s="10"/>
      <c r="H946" s="10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</row>
    <row r="947" spans="1:34" ht="15.75" customHeight="1">
      <c r="A947" s="9"/>
      <c r="B947" s="9"/>
      <c r="C947" s="9"/>
      <c r="D947" s="9"/>
      <c r="E947" s="10"/>
      <c r="F947" s="10"/>
      <c r="G947" s="10"/>
      <c r="H947" s="10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</row>
    <row r="948" spans="1:34" ht="15.75" customHeight="1">
      <c r="A948" s="9"/>
      <c r="B948" s="9"/>
      <c r="C948" s="9"/>
      <c r="D948" s="9"/>
      <c r="E948" s="10"/>
      <c r="F948" s="10"/>
      <c r="G948" s="10"/>
      <c r="H948" s="10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</row>
    <row r="949" spans="1:34" ht="15.75" customHeight="1">
      <c r="A949" s="9"/>
      <c r="B949" s="9"/>
      <c r="C949" s="9"/>
      <c r="D949" s="9"/>
      <c r="E949" s="10"/>
      <c r="F949" s="10"/>
      <c r="G949" s="10"/>
      <c r="H949" s="10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</row>
    <row r="950" spans="1:34" ht="15.75" customHeight="1">
      <c r="A950" s="9"/>
      <c r="B950" s="9"/>
      <c r="C950" s="9"/>
      <c r="D950" s="9"/>
      <c r="E950" s="10"/>
      <c r="F950" s="10"/>
      <c r="G950" s="10"/>
      <c r="H950" s="10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</row>
    <row r="951" spans="1:34" ht="15.75" customHeight="1">
      <c r="A951" s="9"/>
      <c r="B951" s="9"/>
      <c r="C951" s="9"/>
      <c r="D951" s="9"/>
      <c r="E951" s="10"/>
      <c r="F951" s="10"/>
      <c r="G951" s="10"/>
      <c r="H951" s="10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</row>
    <row r="952" spans="1:34" ht="15.75" customHeight="1">
      <c r="A952" s="9"/>
      <c r="B952" s="9"/>
      <c r="C952" s="9"/>
      <c r="D952" s="9"/>
      <c r="E952" s="10"/>
      <c r="F952" s="10"/>
      <c r="G952" s="10"/>
      <c r="H952" s="10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</row>
    <row r="953" spans="1:34" ht="15.75" customHeight="1">
      <c r="A953" s="9"/>
      <c r="B953" s="9"/>
      <c r="C953" s="9"/>
      <c r="D953" s="9"/>
      <c r="E953" s="10"/>
      <c r="F953" s="10"/>
      <c r="G953" s="10"/>
      <c r="H953" s="10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</row>
    <row r="954" spans="1:34" ht="15.75" customHeight="1">
      <c r="A954" s="9"/>
      <c r="B954" s="9"/>
      <c r="C954" s="9"/>
      <c r="D954" s="9"/>
      <c r="E954" s="10"/>
      <c r="F954" s="10"/>
      <c r="G954" s="10"/>
      <c r="H954" s="10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</row>
    <row r="955" spans="1:34" ht="15.75" customHeight="1">
      <c r="A955" s="9"/>
      <c r="B955" s="9"/>
      <c r="C955" s="9"/>
      <c r="D955" s="9"/>
      <c r="E955" s="10"/>
      <c r="F955" s="10"/>
      <c r="G955" s="10"/>
      <c r="H955" s="10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</row>
    <row r="956" spans="1:34" ht="15.75" customHeight="1">
      <c r="A956" s="9"/>
      <c r="B956" s="9"/>
      <c r="C956" s="9"/>
      <c r="D956" s="9"/>
      <c r="E956" s="10"/>
      <c r="F956" s="10"/>
      <c r="G956" s="10"/>
      <c r="H956" s="10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</row>
    <row r="957" spans="1:34" ht="15.75" customHeight="1">
      <c r="A957" s="9"/>
      <c r="B957" s="9"/>
      <c r="C957" s="9"/>
      <c r="D957" s="9"/>
      <c r="E957" s="10"/>
      <c r="F957" s="10"/>
      <c r="G957" s="10"/>
      <c r="H957" s="10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</row>
    <row r="958" spans="1:34" ht="15.75" customHeight="1">
      <c r="A958" s="9"/>
      <c r="B958" s="9"/>
      <c r="C958" s="9"/>
      <c r="D958" s="9"/>
      <c r="E958" s="10"/>
      <c r="F958" s="10"/>
      <c r="G958" s="10"/>
      <c r="H958" s="10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</row>
    <row r="959" spans="1:34" ht="15.75" customHeight="1">
      <c r="A959" s="9"/>
      <c r="B959" s="9"/>
      <c r="C959" s="9"/>
      <c r="D959" s="9"/>
      <c r="E959" s="10"/>
      <c r="F959" s="10"/>
      <c r="G959" s="10"/>
      <c r="H959" s="10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</row>
    <row r="960" spans="1:34" ht="15.75" customHeight="1">
      <c r="A960" s="9"/>
      <c r="B960" s="9"/>
      <c r="C960" s="9"/>
      <c r="D960" s="9"/>
      <c r="E960" s="10"/>
      <c r="F960" s="10"/>
      <c r="G960" s="10"/>
      <c r="H960" s="10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</row>
    <row r="961" spans="1:34" ht="15.75" customHeight="1">
      <c r="A961" s="9"/>
      <c r="B961" s="9"/>
      <c r="C961" s="9"/>
      <c r="D961" s="9"/>
      <c r="E961" s="10"/>
      <c r="F961" s="10"/>
      <c r="G961" s="10"/>
      <c r="H961" s="10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</row>
    <row r="962" spans="1:34" ht="15.75" customHeight="1">
      <c r="A962" s="9"/>
      <c r="B962" s="9"/>
      <c r="C962" s="9"/>
      <c r="D962" s="9"/>
      <c r="E962" s="10"/>
      <c r="F962" s="10"/>
      <c r="G962" s="10"/>
      <c r="H962" s="10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</row>
    <row r="963" spans="1:34" ht="15.75" customHeight="1">
      <c r="A963" s="9"/>
      <c r="B963" s="9"/>
      <c r="C963" s="9"/>
      <c r="D963" s="9"/>
      <c r="E963" s="10"/>
      <c r="F963" s="10"/>
      <c r="G963" s="10"/>
      <c r="H963" s="10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</row>
    <row r="964" spans="1:34" ht="15.75" customHeight="1">
      <c r="A964" s="9"/>
      <c r="B964" s="9"/>
      <c r="C964" s="9"/>
      <c r="D964" s="9"/>
      <c r="E964" s="10"/>
      <c r="F964" s="10"/>
      <c r="G964" s="10"/>
      <c r="H964" s="10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</row>
    <row r="965" spans="1:34" ht="15.75" customHeight="1">
      <c r="A965" s="9"/>
      <c r="B965" s="9"/>
      <c r="C965" s="9"/>
      <c r="D965" s="9"/>
      <c r="E965" s="10"/>
      <c r="F965" s="10"/>
      <c r="G965" s="10"/>
      <c r="H965" s="10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</row>
    <row r="966" spans="1:34" ht="15.75" customHeight="1">
      <c r="A966" s="9"/>
      <c r="B966" s="9"/>
      <c r="C966" s="9"/>
      <c r="D966" s="9"/>
      <c r="E966" s="10"/>
      <c r="F966" s="10"/>
      <c r="G966" s="10"/>
      <c r="H966" s="10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</row>
    <row r="967" spans="1:34" ht="15.75" customHeight="1">
      <c r="A967" s="9"/>
      <c r="B967" s="9"/>
      <c r="C967" s="9"/>
      <c r="D967" s="9"/>
      <c r="E967" s="10"/>
      <c r="F967" s="10"/>
      <c r="G967" s="10"/>
      <c r="H967" s="10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</row>
    <row r="968" spans="1:34" ht="15.75" customHeight="1">
      <c r="A968" s="9"/>
      <c r="B968" s="9"/>
      <c r="C968" s="9"/>
      <c r="D968" s="9"/>
      <c r="E968" s="10"/>
      <c r="F968" s="10"/>
      <c r="G968" s="10"/>
      <c r="H968" s="10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</row>
    <row r="969" spans="1:34" ht="15.75" customHeight="1">
      <c r="A969" s="9"/>
      <c r="B969" s="9"/>
      <c r="C969" s="9"/>
      <c r="D969" s="9"/>
      <c r="E969" s="10"/>
      <c r="F969" s="10"/>
      <c r="G969" s="10"/>
      <c r="H969" s="10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</row>
    <row r="970" spans="1:34" ht="15.75" customHeight="1">
      <c r="A970" s="9"/>
      <c r="B970" s="9"/>
      <c r="C970" s="9"/>
      <c r="D970" s="9"/>
      <c r="E970" s="10"/>
      <c r="F970" s="10"/>
      <c r="G970" s="10"/>
      <c r="H970" s="10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</row>
    <row r="971" spans="1:34" ht="15.75" customHeight="1">
      <c r="A971" s="9"/>
      <c r="B971" s="9"/>
      <c r="C971" s="9"/>
      <c r="D971" s="9"/>
      <c r="E971" s="10"/>
      <c r="F971" s="10"/>
      <c r="G971" s="10"/>
      <c r="H971" s="10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</row>
    <row r="972" spans="1:34" ht="15.75" customHeight="1">
      <c r="A972" s="9"/>
      <c r="B972" s="9"/>
      <c r="C972" s="9"/>
      <c r="D972" s="9"/>
      <c r="E972" s="10"/>
      <c r="F972" s="10"/>
      <c r="G972" s="10"/>
      <c r="H972" s="10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</row>
    <row r="973" spans="1:34" ht="15.75" customHeight="1">
      <c r="A973" s="9"/>
      <c r="B973" s="9"/>
      <c r="C973" s="9"/>
      <c r="D973" s="9"/>
      <c r="E973" s="10"/>
      <c r="F973" s="10"/>
      <c r="G973" s="10"/>
      <c r="H973" s="10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</row>
    <row r="974" spans="1:34" ht="15.75" customHeight="1">
      <c r="A974" s="9"/>
      <c r="B974" s="9"/>
      <c r="C974" s="9"/>
      <c r="D974" s="9"/>
      <c r="E974" s="10"/>
      <c r="F974" s="10"/>
      <c r="G974" s="10"/>
      <c r="H974" s="10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</row>
    <row r="975" spans="1:34" ht="15.75" customHeight="1">
      <c r="A975" s="9"/>
      <c r="B975" s="9"/>
      <c r="C975" s="9"/>
      <c r="D975" s="9"/>
      <c r="E975" s="10"/>
      <c r="F975" s="10"/>
      <c r="G975" s="10"/>
      <c r="H975" s="10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</row>
    <row r="976" spans="1:34" ht="15.75" customHeight="1">
      <c r="A976" s="9"/>
      <c r="B976" s="9"/>
      <c r="C976" s="9"/>
      <c r="D976" s="9"/>
      <c r="E976" s="10"/>
      <c r="F976" s="10"/>
      <c r="G976" s="10"/>
      <c r="H976" s="10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</row>
    <row r="977" spans="1:34" ht="15.75" customHeight="1">
      <c r="A977" s="9"/>
      <c r="B977" s="9"/>
      <c r="C977" s="9"/>
      <c r="D977" s="9"/>
      <c r="E977" s="10"/>
      <c r="F977" s="10"/>
      <c r="G977" s="10"/>
      <c r="H977" s="10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</row>
    <row r="978" spans="1:34" ht="15.75" customHeight="1">
      <c r="A978" s="9"/>
      <c r="B978" s="9"/>
      <c r="C978" s="9"/>
      <c r="D978" s="9"/>
      <c r="E978" s="10"/>
      <c r="F978" s="10"/>
      <c r="G978" s="10"/>
      <c r="H978" s="10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</row>
    <row r="979" spans="1:34" ht="15.75" customHeight="1">
      <c r="A979" s="9"/>
      <c r="B979" s="9"/>
      <c r="C979" s="9"/>
      <c r="D979" s="9"/>
      <c r="E979" s="10"/>
      <c r="F979" s="10"/>
      <c r="G979" s="10"/>
      <c r="H979" s="10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</row>
    <row r="980" spans="1:34" ht="15.75" customHeight="1">
      <c r="A980" s="9"/>
      <c r="B980" s="9"/>
      <c r="C980" s="9"/>
      <c r="D980" s="9"/>
      <c r="E980" s="10"/>
      <c r="F980" s="10"/>
      <c r="G980" s="10"/>
      <c r="H980" s="10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</row>
    <row r="981" spans="1:34" ht="15.75" customHeight="1">
      <c r="A981" s="9"/>
      <c r="B981" s="9"/>
      <c r="C981" s="9"/>
      <c r="D981" s="9"/>
      <c r="E981" s="10"/>
      <c r="F981" s="10"/>
      <c r="G981" s="10"/>
      <c r="H981" s="10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</row>
    <row r="982" spans="1:34" ht="15.75" customHeight="1">
      <c r="A982" s="9"/>
      <c r="B982" s="9"/>
      <c r="C982" s="9"/>
      <c r="D982" s="9"/>
      <c r="E982" s="10"/>
      <c r="F982" s="10"/>
      <c r="G982" s="10"/>
      <c r="H982" s="10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</row>
    <row r="983" spans="1:34" ht="15.75" customHeight="1">
      <c r="A983" s="9"/>
      <c r="B983" s="9"/>
      <c r="C983" s="9"/>
      <c r="D983" s="9"/>
      <c r="E983" s="10"/>
      <c r="F983" s="10"/>
      <c r="G983" s="10"/>
      <c r="H983" s="10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</row>
    <row r="984" spans="1:34" ht="15.75" customHeight="1">
      <c r="A984" s="9"/>
      <c r="B984" s="9"/>
      <c r="C984" s="9"/>
      <c r="D984" s="9"/>
      <c r="E984" s="10"/>
      <c r="F984" s="10"/>
      <c r="G984" s="10"/>
      <c r="H984" s="10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</row>
    <row r="985" spans="1:34" ht="15.75" customHeight="1">
      <c r="A985" s="9"/>
      <c r="B985" s="9"/>
      <c r="C985" s="9"/>
      <c r="D985" s="9"/>
      <c r="E985" s="10"/>
      <c r="F985" s="10"/>
      <c r="G985" s="10"/>
      <c r="H985" s="10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 spans="1:34" ht="15.75" customHeight="1">
      <c r="A986" s="9"/>
      <c r="B986" s="9"/>
      <c r="C986" s="9"/>
      <c r="D986" s="9"/>
      <c r="E986" s="10"/>
      <c r="F986" s="10"/>
      <c r="G986" s="10"/>
      <c r="H986" s="10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</row>
    <row r="987" spans="1:34" ht="15.75" customHeight="1">
      <c r="A987" s="9"/>
      <c r="B987" s="9"/>
      <c r="C987" s="9"/>
      <c r="D987" s="9"/>
      <c r="E987" s="10"/>
      <c r="F987" s="10"/>
      <c r="G987" s="10"/>
      <c r="H987" s="10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</row>
    <row r="988" spans="1:34" ht="15.75" customHeight="1">
      <c r="A988" s="9"/>
      <c r="B988" s="9"/>
      <c r="C988" s="9"/>
      <c r="D988" s="9"/>
      <c r="E988" s="10"/>
      <c r="F988" s="10"/>
      <c r="G988" s="10"/>
      <c r="H988" s="10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</row>
    <row r="989" spans="1:34" ht="15.75" customHeight="1">
      <c r="A989" s="9"/>
      <c r="B989" s="9"/>
      <c r="C989" s="9"/>
      <c r="D989" s="9"/>
      <c r="E989" s="10"/>
      <c r="F989" s="10"/>
      <c r="G989" s="10"/>
      <c r="H989" s="10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</row>
    <row r="990" spans="1:34" ht="15.75" customHeight="1">
      <c r="A990" s="9"/>
      <c r="B990" s="9"/>
      <c r="C990" s="9"/>
      <c r="D990" s="9"/>
      <c r="E990" s="10"/>
      <c r="F990" s="10"/>
      <c r="G990" s="10"/>
      <c r="H990" s="10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</row>
    <row r="991" spans="1:34" ht="15.75" customHeight="1">
      <c r="A991" s="9"/>
      <c r="B991" s="9"/>
      <c r="C991" s="9"/>
      <c r="D991" s="9"/>
      <c r="E991" s="10"/>
      <c r="F991" s="10"/>
      <c r="G991" s="10"/>
      <c r="H991" s="10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</row>
    <row r="992" spans="1:34" ht="15.75" customHeight="1">
      <c r="A992" s="9"/>
      <c r="B992" s="9"/>
      <c r="C992" s="9"/>
      <c r="D992" s="9"/>
      <c r="E992" s="10"/>
      <c r="F992" s="10"/>
      <c r="G992" s="10"/>
      <c r="H992" s="10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</row>
    <row r="993" spans="1:34" ht="15.75" customHeight="1">
      <c r="A993" s="9"/>
      <c r="B993" s="9"/>
      <c r="C993" s="9"/>
      <c r="D993" s="9"/>
      <c r="E993" s="10"/>
      <c r="F993" s="10"/>
      <c r="G993" s="10"/>
      <c r="H993" s="10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</row>
    <row r="994" spans="1:34" ht="15.75" customHeight="1">
      <c r="A994" s="9"/>
      <c r="B994" s="9"/>
      <c r="C994" s="9"/>
      <c r="D994" s="9"/>
      <c r="E994" s="10"/>
      <c r="F994" s="10"/>
      <c r="G994" s="10"/>
      <c r="H994" s="10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</row>
    <row r="995" spans="1:34" ht="15.75" customHeight="1">
      <c r="A995" s="9"/>
      <c r="B995" s="9"/>
      <c r="C995" s="9"/>
      <c r="D995" s="9"/>
      <c r="E995" s="10"/>
      <c r="F995" s="10"/>
      <c r="G995" s="10"/>
      <c r="H995" s="10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</row>
    <row r="996" spans="1:34" ht="15.75" customHeight="1">
      <c r="A996" s="9"/>
      <c r="B996" s="9"/>
      <c r="C996" s="9"/>
      <c r="D996" s="9"/>
      <c r="E996" s="10"/>
      <c r="F996" s="10"/>
      <c r="G996" s="10"/>
      <c r="H996" s="10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</row>
    <row r="997" spans="1:34" ht="15.75" customHeight="1">
      <c r="A997" s="9"/>
      <c r="B997" s="9"/>
      <c r="C997" s="9"/>
      <c r="D997" s="9"/>
      <c r="E997" s="10"/>
      <c r="F997" s="10"/>
      <c r="G997" s="10"/>
      <c r="H997" s="10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</row>
    <row r="998" spans="1:34" ht="15.75" customHeight="1">
      <c r="A998" s="9"/>
      <c r="B998" s="9"/>
      <c r="C998" s="9"/>
      <c r="D998" s="9"/>
      <c r="E998" s="10"/>
      <c r="F998" s="10"/>
      <c r="G998" s="10"/>
      <c r="H998" s="10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</row>
    <row r="999" spans="1:34" ht="15.75" customHeight="1">
      <c r="A999" s="9"/>
      <c r="B999" s="9"/>
      <c r="C999" s="9"/>
      <c r="D999" s="9"/>
      <c r="E999" s="10"/>
      <c r="F999" s="10"/>
      <c r="G999" s="10"/>
      <c r="H999" s="10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</row>
    <row r="1000" spans="1:34" ht="15.75" customHeight="1">
      <c r="A1000" s="9"/>
      <c r="B1000" s="9"/>
      <c r="C1000" s="9"/>
      <c r="D1000" s="9"/>
      <c r="E1000" s="10"/>
      <c r="F1000" s="10"/>
      <c r="G1000" s="10"/>
      <c r="H1000" s="10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</row>
    <row r="1001" spans="1:34" ht="15.75" customHeight="1">
      <c r="A1001" s="9"/>
      <c r="B1001" s="9"/>
      <c r="C1001" s="9"/>
      <c r="D1001" s="9"/>
      <c r="E1001" s="10"/>
      <c r="F1001" s="10"/>
      <c r="G1001" s="10"/>
      <c r="H1001" s="10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</row>
    <row r="1002" spans="1:34" ht="15.75" customHeight="1">
      <c r="A1002" s="9"/>
      <c r="B1002" s="9"/>
      <c r="C1002" s="9"/>
      <c r="D1002" s="9"/>
      <c r="E1002" s="10"/>
      <c r="F1002" s="10"/>
      <c r="G1002" s="10"/>
      <c r="H1002" s="10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</row>
    <row r="1003" spans="1:34" ht="15.75" customHeight="1">
      <c r="A1003" s="9"/>
      <c r="B1003" s="9"/>
      <c r="C1003" s="9"/>
      <c r="D1003" s="9"/>
      <c r="E1003" s="10"/>
      <c r="F1003" s="10"/>
      <c r="G1003" s="10"/>
      <c r="H1003" s="10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</row>
    <row r="1004" spans="1:34" ht="15.75" customHeight="1">
      <c r="A1004" s="9"/>
      <c r="B1004" s="9"/>
      <c r="C1004" s="9"/>
      <c r="D1004" s="9"/>
      <c r="E1004" s="10"/>
      <c r="F1004" s="10"/>
      <c r="G1004" s="10"/>
      <c r="H1004" s="10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</row>
    <row r="1005" spans="1:34" ht="15.75" customHeight="1">
      <c r="A1005" s="9"/>
      <c r="B1005" s="9"/>
      <c r="C1005" s="9"/>
      <c r="D1005" s="9"/>
      <c r="E1005" s="10"/>
      <c r="F1005" s="10"/>
      <c r="G1005" s="10"/>
      <c r="H1005" s="10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</row>
  </sheetData>
  <mergeCells count="17">
    <mergeCell ref="AI51:AI54"/>
    <mergeCell ref="AI7:AI10"/>
    <mergeCell ref="AI11:AI14"/>
    <mergeCell ref="AI15:AI18"/>
    <mergeCell ref="AI19:AI22"/>
    <mergeCell ref="AI23:AI26"/>
    <mergeCell ref="AI27:AI30"/>
    <mergeCell ref="AI31:AI34"/>
    <mergeCell ref="AI35:AI38"/>
    <mergeCell ref="AI39:AI42"/>
    <mergeCell ref="AI43:AI46"/>
    <mergeCell ref="AI47:AI50"/>
    <mergeCell ref="A5:AI5"/>
    <mergeCell ref="A3:AI3"/>
    <mergeCell ref="A4:AI4"/>
    <mergeCell ref="A2:AI2"/>
    <mergeCell ref="A1:AI1"/>
  </mergeCells>
  <pageMargins left="0.7" right="0.7" top="0.75" bottom="0.75" header="0.3" footer="0.3"/>
  <pageSetup paperSize="9" orientation="portrait" horizontalDpi="1200" verticalDpi="1200" r:id="rId1"/>
  <ignoredErrors>
    <ignoredError sqref="AG7:AG42 AG52:AG5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55"/>
  <sheetViews>
    <sheetView topLeftCell="Y32" zoomScaleNormal="100" workbookViewId="0">
      <selection activeCell="AH58" sqref="AH58"/>
    </sheetView>
  </sheetViews>
  <sheetFormatPr baseColWidth="10" defaultColWidth="12.5703125" defaultRowHeight="15" customHeight="1"/>
  <cols>
    <col min="1" max="1" width="12.5703125" style="29"/>
    <col min="2" max="2" width="8" style="29" customWidth="1"/>
    <col min="3" max="3" width="8.140625" style="29" customWidth="1"/>
    <col min="4" max="4" width="12.5703125" style="29"/>
    <col min="5" max="5" width="10" style="29" customWidth="1"/>
    <col min="6" max="8" width="12.5703125" style="29"/>
    <col min="9" max="34" width="12.7109375" style="29" bestFit="1" customWidth="1"/>
    <col min="35" max="35" width="12.85546875" style="29" bestFit="1" customWidth="1"/>
  </cols>
  <sheetData>
    <row r="1" spans="1:38" ht="15" customHeight="1">
      <c r="A1" s="55" t="s">
        <v>55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</row>
    <row r="2" spans="1:38" ht="15" customHeight="1">
      <c r="A2" s="55" t="s">
        <v>40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</row>
    <row r="3" spans="1:38" ht="15" customHeight="1">
      <c r="A3" s="55" t="s">
        <v>41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</row>
    <row r="4" spans="1:38" ht="15" customHeight="1">
      <c r="A4" s="55" t="s">
        <v>42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</row>
    <row r="5" spans="1:38" ht="15" customHeight="1">
      <c r="A5" s="57" t="s">
        <v>56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</row>
    <row r="6" spans="1:38" ht="15" customHeight="1">
      <c r="A6" s="30" t="s">
        <v>9</v>
      </c>
      <c r="B6" s="30" t="s">
        <v>10</v>
      </c>
      <c r="C6" s="30" t="s">
        <v>11</v>
      </c>
      <c r="D6" s="31" t="s">
        <v>43</v>
      </c>
      <c r="E6" s="31" t="s">
        <v>44</v>
      </c>
      <c r="F6" s="31" t="s">
        <v>45</v>
      </c>
      <c r="G6" s="31" t="s">
        <v>46</v>
      </c>
      <c r="H6" s="31" t="s">
        <v>47</v>
      </c>
      <c r="I6" s="30" t="s">
        <v>12</v>
      </c>
      <c r="J6" s="30" t="s">
        <v>13</v>
      </c>
      <c r="K6" s="30" t="s">
        <v>14</v>
      </c>
      <c r="L6" s="30" t="s">
        <v>15</v>
      </c>
      <c r="M6" s="30" t="s">
        <v>16</v>
      </c>
      <c r="N6" s="30" t="s">
        <v>17</v>
      </c>
      <c r="O6" s="30" t="s">
        <v>18</v>
      </c>
      <c r="P6" s="30" t="s">
        <v>19</v>
      </c>
      <c r="Q6" s="30" t="s">
        <v>20</v>
      </c>
      <c r="R6" s="30" t="s">
        <v>21</v>
      </c>
      <c r="S6" s="30" t="s">
        <v>22</v>
      </c>
      <c r="T6" s="30" t="s">
        <v>23</v>
      </c>
      <c r="U6" s="30" t="s">
        <v>24</v>
      </c>
      <c r="V6" s="30" t="s">
        <v>25</v>
      </c>
      <c r="W6" s="30" t="s">
        <v>26</v>
      </c>
      <c r="X6" s="30" t="s">
        <v>27</v>
      </c>
      <c r="Y6" s="30" t="s">
        <v>28</v>
      </c>
      <c r="Z6" s="30" t="s">
        <v>29</v>
      </c>
      <c r="AA6" s="30" t="s">
        <v>30</v>
      </c>
      <c r="AB6" s="30" t="s">
        <v>31</v>
      </c>
      <c r="AC6" s="30" t="s">
        <v>32</v>
      </c>
      <c r="AD6" s="30" t="s">
        <v>33</v>
      </c>
      <c r="AE6" s="30" t="s">
        <v>34</v>
      </c>
      <c r="AF6" s="30" t="s">
        <v>35</v>
      </c>
      <c r="AG6" s="13" t="s">
        <v>36</v>
      </c>
      <c r="AH6" s="13" t="s">
        <v>37</v>
      </c>
      <c r="AI6" s="28" t="s">
        <v>39</v>
      </c>
    </row>
    <row r="7" spans="1:38" ht="12.75">
      <c r="A7" s="32">
        <v>2027</v>
      </c>
      <c r="B7" s="32">
        <v>1</v>
      </c>
      <c r="C7" s="32">
        <v>1</v>
      </c>
      <c r="D7" s="32">
        <v>19</v>
      </c>
      <c r="E7" s="32">
        <v>5</v>
      </c>
      <c r="F7" s="32">
        <v>5</v>
      </c>
      <c r="G7" s="32">
        <v>2</v>
      </c>
      <c r="H7" s="32">
        <v>31</v>
      </c>
      <c r="I7" s="32">
        <v>415.66890091933902</v>
      </c>
      <c r="J7" s="32">
        <v>397.09938719048398</v>
      </c>
      <c r="K7" s="32">
        <v>381.58773320881301</v>
      </c>
      <c r="L7" s="32">
        <v>371.69482524488399</v>
      </c>
      <c r="M7" s="32">
        <v>361.74300264319101</v>
      </c>
      <c r="N7" s="32">
        <v>332.038147258847</v>
      </c>
      <c r="O7" s="32">
        <v>370.39095878991299</v>
      </c>
      <c r="P7" s="32">
        <v>409.37745901547999</v>
      </c>
      <c r="Q7" s="32">
        <v>466.81032237225099</v>
      </c>
      <c r="R7" s="32">
        <v>483.53357488426599</v>
      </c>
      <c r="S7" s="32">
        <v>523.70041087271795</v>
      </c>
      <c r="T7" s="32">
        <v>534.06701152899404</v>
      </c>
      <c r="U7" s="32">
        <v>524.98052142536505</v>
      </c>
      <c r="V7" s="32">
        <v>534.450645595629</v>
      </c>
      <c r="W7" s="32">
        <v>572.70396740776096</v>
      </c>
      <c r="X7" s="32">
        <v>558.30313941877296</v>
      </c>
      <c r="Y7" s="32">
        <v>551.87146642349398</v>
      </c>
      <c r="Z7" s="32">
        <v>556.78703773243706</v>
      </c>
      <c r="AA7" s="32">
        <v>593.75882363778305</v>
      </c>
      <c r="AB7" s="32">
        <v>592.42469216325003</v>
      </c>
      <c r="AC7" s="32">
        <v>563.02058650233198</v>
      </c>
      <c r="AD7" s="32">
        <v>514.85216871349996</v>
      </c>
      <c r="AE7" s="32">
        <v>472.55193391681502</v>
      </c>
      <c r="AF7" s="32">
        <v>437.91630344603999</v>
      </c>
      <c r="AG7" s="32">
        <f>SUM(I7:AF7)</f>
        <v>11521.333020312359</v>
      </c>
      <c r="AH7" s="32">
        <f>AG7*D7</f>
        <v>218905.32738593483</v>
      </c>
      <c r="AI7" s="59">
        <f>AH7+AH8+AH9+AH10</f>
        <v>342652.67384329374</v>
      </c>
      <c r="AJ7" s="27"/>
      <c r="AK7" s="27"/>
      <c r="AL7" s="27"/>
    </row>
    <row r="8" spans="1:38" ht="12.75">
      <c r="A8" s="32">
        <v>2027</v>
      </c>
      <c r="B8" s="32">
        <v>1</v>
      </c>
      <c r="C8" s="32">
        <v>2</v>
      </c>
      <c r="D8" s="32">
        <v>19</v>
      </c>
      <c r="E8" s="32">
        <v>5</v>
      </c>
      <c r="F8" s="32">
        <v>5</v>
      </c>
      <c r="G8" s="32">
        <v>2</v>
      </c>
      <c r="H8" s="32">
        <v>31</v>
      </c>
      <c r="I8" s="32">
        <v>386.91596670123499</v>
      </c>
      <c r="J8" s="32">
        <v>370.31566019217701</v>
      </c>
      <c r="K8" s="32">
        <v>360.448053977217</v>
      </c>
      <c r="L8" s="32">
        <v>351.68501227031101</v>
      </c>
      <c r="M8" s="32">
        <v>341.15123854716899</v>
      </c>
      <c r="N8" s="32">
        <v>324.06600127847798</v>
      </c>
      <c r="O8" s="32">
        <v>351.29559817545402</v>
      </c>
      <c r="P8" s="32">
        <v>390.66560808001401</v>
      </c>
      <c r="Q8" s="32">
        <v>416.790640468937</v>
      </c>
      <c r="R8" s="32">
        <v>428.84043510224598</v>
      </c>
      <c r="S8" s="32">
        <v>451.75953635803899</v>
      </c>
      <c r="T8" s="32">
        <v>463.47624723725602</v>
      </c>
      <c r="U8" s="32">
        <v>465.66578309135701</v>
      </c>
      <c r="V8" s="32">
        <v>478.13193241727998</v>
      </c>
      <c r="W8" s="32">
        <v>471.930696642577</v>
      </c>
      <c r="X8" s="32">
        <v>438.49006738989499</v>
      </c>
      <c r="Y8" s="32">
        <v>482.10199686862001</v>
      </c>
      <c r="Z8" s="32">
        <v>513.18654839015505</v>
      </c>
      <c r="AA8" s="32">
        <v>561.10407521956097</v>
      </c>
      <c r="AB8" s="32">
        <v>551.73854378098997</v>
      </c>
      <c r="AC8" s="32">
        <v>525.00612336990002</v>
      </c>
      <c r="AD8" s="32">
        <v>466.821779649674</v>
      </c>
      <c r="AE8" s="32">
        <v>435.53884736283499</v>
      </c>
      <c r="AF8" s="32">
        <v>409.91588975029998</v>
      </c>
      <c r="AG8" s="32">
        <f t="shared" ref="AG8:AG54" si="0">SUM(I8:AF8)</f>
        <v>10437.042282321676</v>
      </c>
      <c r="AH8" s="32">
        <f>AG8*E8</f>
        <v>52185.211411608383</v>
      </c>
      <c r="AI8" s="59"/>
      <c r="AJ8" s="27"/>
      <c r="AK8" s="27"/>
      <c r="AL8" s="27"/>
    </row>
    <row r="9" spans="1:38" ht="12.75">
      <c r="A9" s="32">
        <v>2027</v>
      </c>
      <c r="B9" s="32">
        <v>1</v>
      </c>
      <c r="C9" s="32">
        <v>3</v>
      </c>
      <c r="D9" s="32">
        <v>19</v>
      </c>
      <c r="E9" s="32">
        <v>5</v>
      </c>
      <c r="F9" s="32">
        <v>5</v>
      </c>
      <c r="G9" s="32">
        <v>2</v>
      </c>
      <c r="H9" s="32">
        <v>31</v>
      </c>
      <c r="I9" s="32">
        <v>387.97504592631799</v>
      </c>
      <c r="J9" s="32">
        <v>372.10702141197299</v>
      </c>
      <c r="K9" s="32">
        <v>360.66825618409803</v>
      </c>
      <c r="L9" s="32">
        <v>351.361641340929</v>
      </c>
      <c r="M9" s="32">
        <v>343.53472901647501</v>
      </c>
      <c r="N9" s="32">
        <v>317.81843482681802</v>
      </c>
      <c r="O9" s="32">
        <v>340.444834405846</v>
      </c>
      <c r="P9" s="32">
        <v>374.94332307846202</v>
      </c>
      <c r="Q9" s="32">
        <v>360.22015991387201</v>
      </c>
      <c r="R9" s="32">
        <v>374.26871660570401</v>
      </c>
      <c r="S9" s="32">
        <v>417.209634457481</v>
      </c>
      <c r="T9" s="32">
        <v>431.60288058794902</v>
      </c>
      <c r="U9" s="32">
        <v>439.64891691267798</v>
      </c>
      <c r="V9" s="32">
        <v>451.66134384914</v>
      </c>
      <c r="W9" s="32">
        <v>466.11121753024099</v>
      </c>
      <c r="X9" s="32">
        <v>462.76034377321599</v>
      </c>
      <c r="Y9" s="32">
        <v>451.32896474759798</v>
      </c>
      <c r="Z9" s="32">
        <v>481.57300092048001</v>
      </c>
      <c r="AA9" s="32">
        <v>543.76482392007301</v>
      </c>
      <c r="AB9" s="32">
        <v>550.92944010886197</v>
      </c>
      <c r="AC9" s="32">
        <v>528.79545401359906</v>
      </c>
      <c r="AD9" s="32">
        <v>482.511048607053</v>
      </c>
      <c r="AE9" s="32">
        <v>452.02326775970698</v>
      </c>
      <c r="AF9" s="32">
        <v>415.513270005908</v>
      </c>
      <c r="AG9" s="32">
        <f t="shared" si="0"/>
        <v>10158.775769904481</v>
      </c>
      <c r="AH9" s="32">
        <f>AG9*F9</f>
        <v>50793.878849522407</v>
      </c>
      <c r="AI9" s="59"/>
      <c r="AJ9" s="27"/>
      <c r="AK9" s="27"/>
      <c r="AL9" s="27"/>
    </row>
    <row r="10" spans="1:38" ht="12.75">
      <c r="A10" s="32">
        <v>2027</v>
      </c>
      <c r="B10" s="32">
        <v>1</v>
      </c>
      <c r="C10" s="32">
        <v>4</v>
      </c>
      <c r="D10" s="32">
        <v>19</v>
      </c>
      <c r="E10" s="32">
        <v>5</v>
      </c>
      <c r="F10" s="32">
        <v>5</v>
      </c>
      <c r="G10" s="32">
        <v>2</v>
      </c>
      <c r="H10" s="32">
        <v>31</v>
      </c>
      <c r="I10" s="32">
        <v>396.781280537025</v>
      </c>
      <c r="J10" s="32">
        <v>387.255321059891</v>
      </c>
      <c r="K10" s="32">
        <v>375.638664160671</v>
      </c>
      <c r="L10" s="32">
        <v>368.18836111697601</v>
      </c>
      <c r="M10" s="32">
        <v>359.64507956485198</v>
      </c>
      <c r="N10" s="32">
        <v>338.43227190814099</v>
      </c>
      <c r="O10" s="32">
        <v>365.28043664500899</v>
      </c>
      <c r="P10" s="32">
        <v>396.47544710118001</v>
      </c>
      <c r="Q10" s="32">
        <v>414.16866341423503</v>
      </c>
      <c r="R10" s="32">
        <v>417.09664253773298</v>
      </c>
      <c r="S10" s="32">
        <v>435.84272805615501</v>
      </c>
      <c r="T10" s="32">
        <v>445.57424771147902</v>
      </c>
      <c r="U10" s="32">
        <v>451.78617602314699</v>
      </c>
      <c r="V10" s="32">
        <v>456.53411477306599</v>
      </c>
      <c r="W10" s="32">
        <v>410.909782540479</v>
      </c>
      <c r="X10" s="32">
        <v>398.16003782976799</v>
      </c>
      <c r="Y10" s="32">
        <v>453.90695542253002</v>
      </c>
      <c r="Z10" s="32">
        <v>485.29248506824399</v>
      </c>
      <c r="AA10" s="32">
        <v>543.58132974253601</v>
      </c>
      <c r="AB10" s="32">
        <v>554.95231716050296</v>
      </c>
      <c r="AC10" s="32">
        <v>543.30056462110394</v>
      </c>
      <c r="AD10" s="32">
        <v>496.30248875865698</v>
      </c>
      <c r="AE10" s="32">
        <v>460.30438926085799</v>
      </c>
      <c r="AF10" s="32">
        <v>428.718313099836</v>
      </c>
      <c r="AG10" s="32">
        <f t="shared" si="0"/>
        <v>10384.128098114075</v>
      </c>
      <c r="AH10" s="32">
        <f>AG10*G10</f>
        <v>20768.256196228151</v>
      </c>
      <c r="AI10" s="59"/>
      <c r="AJ10" s="27"/>
      <c r="AK10" s="27"/>
    </row>
    <row r="11" spans="1:38" ht="12.75">
      <c r="A11" s="32">
        <v>2027</v>
      </c>
      <c r="B11" s="32">
        <v>2</v>
      </c>
      <c r="C11" s="32">
        <v>1</v>
      </c>
      <c r="D11" s="32">
        <v>20</v>
      </c>
      <c r="E11" s="32">
        <v>4</v>
      </c>
      <c r="F11" s="32">
        <v>4</v>
      </c>
      <c r="G11" s="32">
        <v>0</v>
      </c>
      <c r="H11" s="32">
        <v>28</v>
      </c>
      <c r="I11" s="32">
        <v>464.80347710722401</v>
      </c>
      <c r="J11" s="32">
        <v>430.299433617472</v>
      </c>
      <c r="K11" s="32">
        <v>416.03583940800598</v>
      </c>
      <c r="L11" s="32">
        <v>402.39862999362401</v>
      </c>
      <c r="M11" s="32">
        <v>374.41994890484602</v>
      </c>
      <c r="N11" s="32">
        <v>356.30093945626101</v>
      </c>
      <c r="O11" s="32">
        <v>372.65369280748803</v>
      </c>
      <c r="P11" s="32">
        <v>472.798344006165</v>
      </c>
      <c r="Q11" s="32">
        <v>508.23662864002</v>
      </c>
      <c r="R11" s="32">
        <v>517.27539007658595</v>
      </c>
      <c r="S11" s="32">
        <v>577.33896177384099</v>
      </c>
      <c r="T11" s="32">
        <v>586.72146568755602</v>
      </c>
      <c r="U11" s="32">
        <v>569.77410346983595</v>
      </c>
      <c r="V11" s="32">
        <v>593.88100063010597</v>
      </c>
      <c r="W11" s="32">
        <v>635.86603993153597</v>
      </c>
      <c r="X11" s="32">
        <v>599.36523266273502</v>
      </c>
      <c r="Y11" s="32">
        <v>603.30136164482894</v>
      </c>
      <c r="Z11" s="32">
        <v>563.818905064418</v>
      </c>
      <c r="AA11" s="32">
        <v>605.34393852515996</v>
      </c>
      <c r="AB11" s="32">
        <v>629.94312221605605</v>
      </c>
      <c r="AC11" s="32">
        <v>619.08738818490895</v>
      </c>
      <c r="AD11" s="32">
        <v>578.29209541406601</v>
      </c>
      <c r="AE11" s="32">
        <v>535.47439218050704</v>
      </c>
      <c r="AF11" s="32">
        <v>494.13347643006199</v>
      </c>
      <c r="AG11" s="32">
        <f t="shared" si="0"/>
        <v>12507.56380783331</v>
      </c>
      <c r="AH11" s="32">
        <f t="shared" ref="AH11" si="1">AG11*D11</f>
        <v>250151.27615666622</v>
      </c>
      <c r="AI11" s="59">
        <f>AH11+AH12+AH13+AH14</f>
        <v>347611.77188715152</v>
      </c>
      <c r="AJ11" s="27"/>
      <c r="AK11" s="27"/>
    </row>
    <row r="12" spans="1:38" ht="12.75">
      <c r="A12" s="32">
        <v>2027</v>
      </c>
      <c r="B12" s="32">
        <v>2</v>
      </c>
      <c r="C12" s="32">
        <v>2</v>
      </c>
      <c r="D12" s="32">
        <v>20</v>
      </c>
      <c r="E12" s="32">
        <v>4</v>
      </c>
      <c r="F12" s="32">
        <v>4</v>
      </c>
      <c r="G12" s="32">
        <v>0</v>
      </c>
      <c r="H12" s="32">
        <v>28</v>
      </c>
      <c r="I12" s="32">
        <v>474.95396312190798</v>
      </c>
      <c r="J12" s="32">
        <v>451.63130170331902</v>
      </c>
      <c r="K12" s="32">
        <v>436.41850690231502</v>
      </c>
      <c r="L12" s="32">
        <v>420.86402605167098</v>
      </c>
      <c r="M12" s="32">
        <v>407.926549717586</v>
      </c>
      <c r="N12" s="32">
        <v>389.55833601877202</v>
      </c>
      <c r="O12" s="32">
        <v>401.05141223392599</v>
      </c>
      <c r="P12" s="32">
        <v>439.770654131735</v>
      </c>
      <c r="Q12" s="32">
        <v>468.44380846400003</v>
      </c>
      <c r="R12" s="32">
        <v>485.13724281344298</v>
      </c>
      <c r="S12" s="32">
        <v>505.27601149675297</v>
      </c>
      <c r="T12" s="32">
        <v>521.67435334877996</v>
      </c>
      <c r="U12" s="32">
        <v>524.24476431311496</v>
      </c>
      <c r="V12" s="32">
        <v>551.18878015174903</v>
      </c>
      <c r="W12" s="32">
        <v>572.72535540176705</v>
      </c>
      <c r="X12" s="32">
        <v>572.779714546028</v>
      </c>
      <c r="Y12" s="32">
        <v>554.60305211746697</v>
      </c>
      <c r="Z12" s="32">
        <v>551.83332429084203</v>
      </c>
      <c r="AA12" s="32">
        <v>627.314878893068</v>
      </c>
      <c r="AB12" s="32">
        <v>637.883849655787</v>
      </c>
      <c r="AC12" s="32">
        <v>619.84696788389704</v>
      </c>
      <c r="AD12" s="32">
        <v>587.938150202771</v>
      </c>
      <c r="AE12" s="32">
        <v>552.39762397888398</v>
      </c>
      <c r="AF12" s="32">
        <v>511.37976683804402</v>
      </c>
      <c r="AG12" s="32">
        <f t="shared" si="0"/>
        <v>12266.842394277632</v>
      </c>
      <c r="AH12" s="32">
        <f t="shared" ref="AH12" si="2">AG12*E12</f>
        <v>49067.369577110527</v>
      </c>
      <c r="AI12" s="59"/>
      <c r="AJ12" s="27"/>
      <c r="AK12" s="27"/>
    </row>
    <row r="13" spans="1:38" ht="12.75">
      <c r="A13" s="32">
        <v>2027</v>
      </c>
      <c r="B13" s="32">
        <v>2</v>
      </c>
      <c r="C13" s="32">
        <v>3</v>
      </c>
      <c r="D13" s="32">
        <v>20</v>
      </c>
      <c r="E13" s="32">
        <v>4</v>
      </c>
      <c r="F13" s="32">
        <v>4</v>
      </c>
      <c r="G13" s="32">
        <v>0</v>
      </c>
      <c r="H13" s="32">
        <v>28</v>
      </c>
      <c r="I13" s="32">
        <v>482.23522314801397</v>
      </c>
      <c r="J13" s="32">
        <v>439.88364249537398</v>
      </c>
      <c r="K13" s="32">
        <v>440.80624995313599</v>
      </c>
      <c r="L13" s="32">
        <v>423.99140417364498</v>
      </c>
      <c r="M13" s="32">
        <v>409.52076100514302</v>
      </c>
      <c r="N13" s="32">
        <v>388.44892644871101</v>
      </c>
      <c r="O13" s="32">
        <v>385.06776503308299</v>
      </c>
      <c r="P13" s="32">
        <v>422.74393493498098</v>
      </c>
      <c r="Q13" s="32">
        <v>445.40109498221398</v>
      </c>
      <c r="R13" s="32">
        <v>464.110534667926</v>
      </c>
      <c r="S13" s="32">
        <v>482.12606958963102</v>
      </c>
      <c r="T13" s="32">
        <v>507.58743652961101</v>
      </c>
      <c r="U13" s="32">
        <v>521.47592738673598</v>
      </c>
      <c r="V13" s="32">
        <v>552.33259878393801</v>
      </c>
      <c r="W13" s="32">
        <v>566.96177450152004</v>
      </c>
      <c r="X13" s="32">
        <v>561.77698047832303</v>
      </c>
      <c r="Y13" s="32">
        <v>538.37653667638494</v>
      </c>
      <c r="Z13" s="32">
        <v>533.03321010410798</v>
      </c>
      <c r="AA13" s="32">
        <v>610.21777035219202</v>
      </c>
      <c r="AB13" s="32">
        <v>640.67421203532194</v>
      </c>
      <c r="AC13" s="32">
        <v>631.24282481217301</v>
      </c>
      <c r="AD13" s="32">
        <v>594.90248655334506</v>
      </c>
      <c r="AE13" s="32">
        <v>548.78510813648802</v>
      </c>
      <c r="AF13" s="32">
        <v>506.57906556169098</v>
      </c>
      <c r="AG13" s="32">
        <f t="shared" si="0"/>
        <v>12098.28153834369</v>
      </c>
      <c r="AH13" s="32">
        <f t="shared" ref="AH13" si="3">AG13*F13</f>
        <v>48393.12615337476</v>
      </c>
      <c r="AI13" s="59"/>
      <c r="AJ13" s="27"/>
      <c r="AK13" s="27"/>
    </row>
    <row r="14" spans="1:38" ht="12.75">
      <c r="A14" s="32">
        <v>2027</v>
      </c>
      <c r="B14" s="32">
        <v>2</v>
      </c>
      <c r="C14" s="32">
        <v>4</v>
      </c>
      <c r="D14" s="32">
        <v>20</v>
      </c>
      <c r="E14" s="32">
        <v>4</v>
      </c>
      <c r="F14" s="32">
        <v>4</v>
      </c>
      <c r="G14" s="32">
        <v>0</v>
      </c>
      <c r="H14" s="32">
        <v>28</v>
      </c>
      <c r="I14" s="32" t="s">
        <v>38</v>
      </c>
      <c r="J14" s="32" t="s">
        <v>38</v>
      </c>
      <c r="K14" s="32" t="s">
        <v>38</v>
      </c>
      <c r="L14" s="32" t="s">
        <v>38</v>
      </c>
      <c r="M14" s="32" t="s">
        <v>38</v>
      </c>
      <c r="N14" s="32" t="s">
        <v>38</v>
      </c>
      <c r="O14" s="32" t="s">
        <v>38</v>
      </c>
      <c r="P14" s="32" t="s">
        <v>38</v>
      </c>
      <c r="Q14" s="32" t="s">
        <v>38</v>
      </c>
      <c r="R14" s="32" t="s">
        <v>38</v>
      </c>
      <c r="S14" s="32" t="s">
        <v>38</v>
      </c>
      <c r="T14" s="32" t="s">
        <v>38</v>
      </c>
      <c r="U14" s="32" t="s">
        <v>38</v>
      </c>
      <c r="V14" s="32" t="s">
        <v>38</v>
      </c>
      <c r="W14" s="32" t="s">
        <v>38</v>
      </c>
      <c r="X14" s="32" t="s">
        <v>38</v>
      </c>
      <c r="Y14" s="32" t="s">
        <v>38</v>
      </c>
      <c r="Z14" s="32" t="s">
        <v>38</v>
      </c>
      <c r="AA14" s="32" t="s">
        <v>38</v>
      </c>
      <c r="AB14" s="32" t="s">
        <v>38</v>
      </c>
      <c r="AC14" s="32" t="s">
        <v>38</v>
      </c>
      <c r="AD14" s="32" t="s">
        <v>38</v>
      </c>
      <c r="AE14" s="32" t="s">
        <v>38</v>
      </c>
      <c r="AF14" s="32" t="s">
        <v>38</v>
      </c>
      <c r="AG14" s="32">
        <f t="shared" si="0"/>
        <v>0</v>
      </c>
      <c r="AH14" s="32">
        <f t="shared" ref="AH14" si="4">AG14*G14</f>
        <v>0</v>
      </c>
      <c r="AI14" s="59"/>
      <c r="AJ14" s="27"/>
      <c r="AK14" s="27"/>
    </row>
    <row r="15" spans="1:38" ht="12.75">
      <c r="A15" s="32">
        <v>2027</v>
      </c>
      <c r="B15" s="32">
        <v>3</v>
      </c>
      <c r="C15" s="32">
        <v>1</v>
      </c>
      <c r="D15" s="32">
        <v>20</v>
      </c>
      <c r="E15" s="32">
        <v>4</v>
      </c>
      <c r="F15" s="32">
        <v>4</v>
      </c>
      <c r="G15" s="32">
        <v>3</v>
      </c>
      <c r="H15" s="32">
        <v>31</v>
      </c>
      <c r="I15" s="32">
        <v>585.850416085544</v>
      </c>
      <c r="J15" s="32">
        <v>559.88962584467799</v>
      </c>
      <c r="K15" s="32">
        <v>541.76514368325502</v>
      </c>
      <c r="L15" s="32">
        <v>521.475019836878</v>
      </c>
      <c r="M15" s="32">
        <v>502.45639247822203</v>
      </c>
      <c r="N15" s="32">
        <v>481.26784230165799</v>
      </c>
      <c r="O15" s="32">
        <v>499.45164873403201</v>
      </c>
      <c r="P15" s="32">
        <v>562.65523773379402</v>
      </c>
      <c r="Q15" s="32">
        <v>610.92868134719902</v>
      </c>
      <c r="R15" s="32">
        <v>640.55350980737001</v>
      </c>
      <c r="S15" s="32">
        <v>674.12493126189497</v>
      </c>
      <c r="T15" s="32">
        <v>688.39578217313601</v>
      </c>
      <c r="U15" s="32">
        <v>666.62622109549704</v>
      </c>
      <c r="V15" s="32">
        <v>692.44879190095003</v>
      </c>
      <c r="W15" s="32">
        <v>717.37721750917001</v>
      </c>
      <c r="X15" s="32">
        <v>740.58462766936395</v>
      </c>
      <c r="Y15" s="32">
        <v>702.61036676553704</v>
      </c>
      <c r="Z15" s="32">
        <v>686.57630066713898</v>
      </c>
      <c r="AA15" s="32">
        <v>737.44961516524802</v>
      </c>
      <c r="AB15" s="32">
        <v>746.16355550052594</v>
      </c>
      <c r="AC15" s="32">
        <v>732.46393004360505</v>
      </c>
      <c r="AD15" s="32">
        <v>706.41507078194297</v>
      </c>
      <c r="AE15" s="32">
        <v>667.02314327949398</v>
      </c>
      <c r="AF15" s="32">
        <v>623.95188779718603</v>
      </c>
      <c r="AG15" s="32">
        <f t="shared" si="0"/>
        <v>15288.504959463318</v>
      </c>
      <c r="AH15" s="32">
        <f t="shared" ref="AH15" si="5">AG15*D15</f>
        <v>305770.09918926639</v>
      </c>
      <c r="AI15" s="59">
        <f t="shared" ref="AI15" si="6">AH15+AH16+AH17+AH18</f>
        <v>447413.47749905597</v>
      </c>
      <c r="AJ15" s="27"/>
      <c r="AK15" s="27"/>
    </row>
    <row r="16" spans="1:38" ht="12.75">
      <c r="A16" s="32">
        <v>2027</v>
      </c>
      <c r="B16" s="32">
        <v>3</v>
      </c>
      <c r="C16" s="32">
        <v>2</v>
      </c>
      <c r="D16" s="32">
        <v>20</v>
      </c>
      <c r="E16" s="32">
        <v>4</v>
      </c>
      <c r="F16" s="32">
        <v>4</v>
      </c>
      <c r="G16" s="32">
        <v>3</v>
      </c>
      <c r="H16" s="32">
        <v>31</v>
      </c>
      <c r="I16" s="32">
        <v>534.19003203387399</v>
      </c>
      <c r="J16" s="32">
        <v>519.75075247454504</v>
      </c>
      <c r="K16" s="32">
        <v>501.94118214405898</v>
      </c>
      <c r="L16" s="32">
        <v>485.12771528507301</v>
      </c>
      <c r="M16" s="32">
        <v>467.73389153061601</v>
      </c>
      <c r="N16" s="32">
        <v>446.90224456625702</v>
      </c>
      <c r="O16" s="32">
        <v>455.21084492069798</v>
      </c>
      <c r="P16" s="32">
        <v>449.77448360166301</v>
      </c>
      <c r="Q16" s="32">
        <v>494.74264625150198</v>
      </c>
      <c r="R16" s="32">
        <v>535.91632999931301</v>
      </c>
      <c r="S16" s="32">
        <v>557.42541173984</v>
      </c>
      <c r="T16" s="32">
        <v>570.86647743895901</v>
      </c>
      <c r="U16" s="32">
        <v>577.37913700050399</v>
      </c>
      <c r="V16" s="32">
        <v>602.60672364947095</v>
      </c>
      <c r="W16" s="32">
        <v>614.42490042997997</v>
      </c>
      <c r="X16" s="32">
        <v>614.44600431708795</v>
      </c>
      <c r="Y16" s="32">
        <v>586.852671923309</v>
      </c>
      <c r="Z16" s="32">
        <v>591.34779987732395</v>
      </c>
      <c r="AA16" s="32">
        <v>660.93786761612796</v>
      </c>
      <c r="AB16" s="32">
        <v>640.29615563574202</v>
      </c>
      <c r="AC16" s="32">
        <v>649.676833455272</v>
      </c>
      <c r="AD16" s="32">
        <v>622.28820876644102</v>
      </c>
      <c r="AE16" s="32">
        <v>592.12864370032196</v>
      </c>
      <c r="AF16" s="32">
        <v>561.32329968869794</v>
      </c>
      <c r="AG16" s="32">
        <f t="shared" si="0"/>
        <v>13333.290258046678</v>
      </c>
      <c r="AH16" s="32">
        <f t="shared" ref="AH16" si="7">AG16*E16</f>
        <v>53333.161032186712</v>
      </c>
      <c r="AI16" s="59"/>
      <c r="AJ16" s="27"/>
      <c r="AK16" s="27"/>
    </row>
    <row r="17" spans="1:37" ht="12.75">
      <c r="A17" s="32">
        <v>2027</v>
      </c>
      <c r="B17" s="32">
        <v>3</v>
      </c>
      <c r="C17" s="32">
        <v>3</v>
      </c>
      <c r="D17" s="32">
        <v>20</v>
      </c>
      <c r="E17" s="32">
        <v>4</v>
      </c>
      <c r="F17" s="32">
        <v>4</v>
      </c>
      <c r="G17" s="32">
        <v>3</v>
      </c>
      <c r="H17" s="32">
        <v>31</v>
      </c>
      <c r="I17" s="32">
        <v>546.54740956846604</v>
      </c>
      <c r="J17" s="32">
        <v>525.48276306140099</v>
      </c>
      <c r="K17" s="32">
        <v>506.42761493402298</v>
      </c>
      <c r="L17" s="32">
        <v>488.87374284480302</v>
      </c>
      <c r="M17" s="32">
        <v>476.17456366650799</v>
      </c>
      <c r="N17" s="32">
        <v>450.30200622137897</v>
      </c>
      <c r="O17" s="32">
        <v>454.50387796556998</v>
      </c>
      <c r="P17" s="32">
        <v>485.89883466154203</v>
      </c>
      <c r="Q17" s="32">
        <v>509.764020180297</v>
      </c>
      <c r="R17" s="32">
        <v>522.86509903452895</v>
      </c>
      <c r="S17" s="32">
        <v>540.55931704233001</v>
      </c>
      <c r="T17" s="32">
        <v>568.21171590946801</v>
      </c>
      <c r="U17" s="32">
        <v>577.28741864439201</v>
      </c>
      <c r="V17" s="32">
        <v>601.96065642164501</v>
      </c>
      <c r="W17" s="32">
        <v>618.80854601133501</v>
      </c>
      <c r="X17" s="32">
        <v>617.36681066590904</v>
      </c>
      <c r="Y17" s="32">
        <v>585.41047029561196</v>
      </c>
      <c r="Z17" s="32">
        <v>579.84979488515603</v>
      </c>
      <c r="AA17" s="32">
        <v>646.61617597023701</v>
      </c>
      <c r="AB17" s="32">
        <v>670.37716527671103</v>
      </c>
      <c r="AC17" s="32">
        <v>664.67189104105103</v>
      </c>
      <c r="AD17" s="32">
        <v>634.03607817740499</v>
      </c>
      <c r="AE17" s="32">
        <v>597.92039512915301</v>
      </c>
      <c r="AF17" s="32">
        <v>560.686197638875</v>
      </c>
      <c r="AG17" s="32">
        <f t="shared" si="0"/>
        <v>13430.602565247798</v>
      </c>
      <c r="AH17" s="32">
        <f t="shared" ref="AH17" si="8">AG17*F17</f>
        <v>53722.410260991193</v>
      </c>
      <c r="AI17" s="59"/>
      <c r="AJ17" s="27"/>
      <c r="AK17" s="27"/>
    </row>
    <row r="18" spans="1:37" ht="12.75">
      <c r="A18" s="32">
        <v>2027</v>
      </c>
      <c r="B18" s="32">
        <v>3</v>
      </c>
      <c r="C18" s="32">
        <v>4</v>
      </c>
      <c r="D18" s="32">
        <v>20</v>
      </c>
      <c r="E18" s="32">
        <v>4</v>
      </c>
      <c r="F18" s="32">
        <v>4</v>
      </c>
      <c r="G18" s="32">
        <v>3</v>
      </c>
      <c r="H18" s="32">
        <v>31</v>
      </c>
      <c r="I18" s="32">
        <v>490.37641376234001</v>
      </c>
      <c r="J18" s="32">
        <v>477.04146105105599</v>
      </c>
      <c r="K18" s="32">
        <v>465.305231037537</v>
      </c>
      <c r="L18" s="32">
        <v>453.71950839096297</v>
      </c>
      <c r="M18" s="32">
        <v>443.56862264259303</v>
      </c>
      <c r="N18" s="32">
        <v>421.246707820643</v>
      </c>
      <c r="O18" s="32">
        <v>426.43753967615203</v>
      </c>
      <c r="P18" s="32">
        <v>456.21124146593303</v>
      </c>
      <c r="Q18" s="32">
        <v>422.86549816733498</v>
      </c>
      <c r="R18" s="32">
        <v>323.48381146978898</v>
      </c>
      <c r="S18" s="32">
        <v>437.36102990817</v>
      </c>
      <c r="T18" s="32">
        <v>478.74386660160599</v>
      </c>
      <c r="U18" s="32">
        <v>505.73150979883599</v>
      </c>
      <c r="V18" s="32">
        <v>523.250567311179</v>
      </c>
      <c r="W18" s="32">
        <v>532.68905152267803</v>
      </c>
      <c r="X18" s="32">
        <v>534.73929632127795</v>
      </c>
      <c r="Y18" s="32">
        <v>499.81489797383898</v>
      </c>
      <c r="Z18" s="32">
        <v>500.75138825705</v>
      </c>
      <c r="AA18" s="32">
        <v>480.62688099248999</v>
      </c>
      <c r="AB18" s="32">
        <v>581.88489286461095</v>
      </c>
      <c r="AC18" s="32">
        <v>574.45651815385997</v>
      </c>
      <c r="AD18" s="32">
        <v>558.45591274358003</v>
      </c>
      <c r="AE18" s="32">
        <v>502.53740901145801</v>
      </c>
      <c r="AF18" s="32">
        <v>437.96974859225702</v>
      </c>
      <c r="AG18" s="32">
        <f t="shared" si="0"/>
        <v>11529.269005537233</v>
      </c>
      <c r="AH18" s="32">
        <f t="shared" ref="AH18" si="9">AG18*G18</f>
        <v>34587.807016611696</v>
      </c>
      <c r="AI18" s="59"/>
      <c r="AJ18" s="27"/>
      <c r="AK18" s="27"/>
    </row>
    <row r="19" spans="1:37" ht="12.75">
      <c r="A19" s="32">
        <v>2027</v>
      </c>
      <c r="B19" s="32">
        <v>4</v>
      </c>
      <c r="C19" s="32">
        <v>1</v>
      </c>
      <c r="D19" s="32">
        <v>22</v>
      </c>
      <c r="E19" s="32">
        <v>4</v>
      </c>
      <c r="F19" s="32">
        <v>4</v>
      </c>
      <c r="G19" s="32">
        <v>0</v>
      </c>
      <c r="H19" s="32">
        <v>30</v>
      </c>
      <c r="I19" s="32">
        <v>492.36352398218702</v>
      </c>
      <c r="J19" s="32">
        <v>487.77718930541897</v>
      </c>
      <c r="K19" s="32">
        <v>470.33858241400901</v>
      </c>
      <c r="L19" s="32">
        <v>450.58408537703798</v>
      </c>
      <c r="M19" s="32">
        <v>429.620574331966</v>
      </c>
      <c r="N19" s="32">
        <v>409.14881696745601</v>
      </c>
      <c r="O19" s="32">
        <v>459.31228285080499</v>
      </c>
      <c r="P19" s="32">
        <v>521.84246439746403</v>
      </c>
      <c r="Q19" s="32">
        <v>558.52611266040003</v>
      </c>
      <c r="R19" s="32">
        <v>590.92519201156995</v>
      </c>
      <c r="S19" s="32">
        <v>619.61201881152601</v>
      </c>
      <c r="T19" s="32">
        <v>638.23542500237897</v>
      </c>
      <c r="U19" s="32">
        <v>607.801495496602</v>
      </c>
      <c r="V19" s="32">
        <v>627.03348682879698</v>
      </c>
      <c r="W19" s="32">
        <v>677.89869289240801</v>
      </c>
      <c r="X19" s="32">
        <v>684.224136579424</v>
      </c>
      <c r="Y19" s="32">
        <v>653.88651122695796</v>
      </c>
      <c r="Z19" s="32">
        <v>635.71903122175297</v>
      </c>
      <c r="AA19" s="32">
        <v>682.04885678226401</v>
      </c>
      <c r="AB19" s="32">
        <v>681.56655727592499</v>
      </c>
      <c r="AC19" s="32">
        <v>663.82530751259696</v>
      </c>
      <c r="AD19" s="32">
        <v>634.21814007769797</v>
      </c>
      <c r="AE19" s="32">
        <v>559.56918268533195</v>
      </c>
      <c r="AF19" s="32">
        <v>532.63301483621296</v>
      </c>
      <c r="AG19" s="32">
        <f t="shared" si="0"/>
        <v>13768.71068152819</v>
      </c>
      <c r="AH19" s="32">
        <f t="shared" ref="AH19" si="10">AG19*D19</f>
        <v>302911.63499362016</v>
      </c>
      <c r="AI19" s="59">
        <f t="shared" ref="AI19" si="11">AH19+AH20+AH21+AH22</f>
        <v>409689.56665257126</v>
      </c>
      <c r="AJ19" s="27"/>
      <c r="AK19" s="27"/>
    </row>
    <row r="20" spans="1:37" ht="12.75">
      <c r="A20" s="32">
        <v>2027</v>
      </c>
      <c r="B20" s="32">
        <v>4</v>
      </c>
      <c r="C20" s="32">
        <v>2</v>
      </c>
      <c r="D20" s="32">
        <v>22</v>
      </c>
      <c r="E20" s="32">
        <v>4</v>
      </c>
      <c r="F20" s="32">
        <v>4</v>
      </c>
      <c r="G20" s="32">
        <v>0</v>
      </c>
      <c r="H20" s="32">
        <v>30</v>
      </c>
      <c r="I20" s="32">
        <v>518.25426756211698</v>
      </c>
      <c r="J20" s="32">
        <v>498.52722749707499</v>
      </c>
      <c r="K20" s="32">
        <v>483.613301204295</v>
      </c>
      <c r="L20" s="32">
        <v>471.26288115978599</v>
      </c>
      <c r="M20" s="32">
        <v>453.75555350213801</v>
      </c>
      <c r="N20" s="32">
        <v>425.14219002836899</v>
      </c>
      <c r="O20" s="32">
        <v>449.23765400628002</v>
      </c>
      <c r="P20" s="32">
        <v>495.03323574469499</v>
      </c>
      <c r="Q20" s="32">
        <v>526.76316512379503</v>
      </c>
      <c r="R20" s="32">
        <v>532.96266492828602</v>
      </c>
      <c r="S20" s="32">
        <v>569.36744316538295</v>
      </c>
      <c r="T20" s="32">
        <v>594.52418378252003</v>
      </c>
      <c r="U20" s="32">
        <v>586.336658724269</v>
      </c>
      <c r="V20" s="32">
        <v>588.25368307610904</v>
      </c>
      <c r="W20" s="32">
        <v>601.00768719468999</v>
      </c>
      <c r="X20" s="32">
        <v>596.89337177290395</v>
      </c>
      <c r="Y20" s="32">
        <v>565.08870460230798</v>
      </c>
      <c r="Z20" s="32">
        <v>554.46846443090305</v>
      </c>
      <c r="AA20" s="32">
        <v>638.30184515057601</v>
      </c>
      <c r="AB20" s="32">
        <v>649.265879162857</v>
      </c>
      <c r="AC20" s="32">
        <v>631.05601626515897</v>
      </c>
      <c r="AD20" s="32">
        <v>595.89562225644795</v>
      </c>
      <c r="AE20" s="32">
        <v>557.08055024364501</v>
      </c>
      <c r="AF20" s="32">
        <v>517.24530737693703</v>
      </c>
      <c r="AG20" s="32">
        <f t="shared" si="0"/>
        <v>13099.337557961544</v>
      </c>
      <c r="AH20" s="32">
        <f t="shared" ref="AH20" si="12">AG20*E20</f>
        <v>52397.350231846176</v>
      </c>
      <c r="AI20" s="59"/>
      <c r="AJ20" s="27"/>
      <c r="AK20" s="27"/>
    </row>
    <row r="21" spans="1:37" ht="12.75">
      <c r="A21" s="32">
        <v>2027</v>
      </c>
      <c r="B21" s="32">
        <v>4</v>
      </c>
      <c r="C21" s="32">
        <v>3</v>
      </c>
      <c r="D21" s="32">
        <v>22</v>
      </c>
      <c r="E21" s="32">
        <v>4</v>
      </c>
      <c r="F21" s="32">
        <v>4</v>
      </c>
      <c r="G21" s="32">
        <v>0</v>
      </c>
      <c r="H21" s="32">
        <v>30</v>
      </c>
      <c r="I21" s="32">
        <v>512.85127736308505</v>
      </c>
      <c r="J21" s="32">
        <v>496.45803813474498</v>
      </c>
      <c r="K21" s="32">
        <v>482.18586256402301</v>
      </c>
      <c r="L21" s="32">
        <v>466.12526247018002</v>
      </c>
      <c r="M21" s="32">
        <v>456.314364703303</v>
      </c>
      <c r="N21" s="32">
        <v>426.03637666089003</v>
      </c>
      <c r="O21" s="32">
        <v>442.503970519294</v>
      </c>
      <c r="P21" s="32">
        <v>481.80234920895498</v>
      </c>
      <c r="Q21" s="32">
        <v>504.71531547344102</v>
      </c>
      <c r="R21" s="32">
        <v>527.76133739172599</v>
      </c>
      <c r="S21" s="32">
        <v>545.45382594539603</v>
      </c>
      <c r="T21" s="32">
        <v>567.78760877569903</v>
      </c>
      <c r="U21" s="32">
        <v>509.21964069469198</v>
      </c>
      <c r="V21" s="32">
        <v>633.80278006786102</v>
      </c>
      <c r="W21" s="32">
        <v>633.58362957925101</v>
      </c>
      <c r="X21" s="32">
        <v>634.07671817862399</v>
      </c>
      <c r="Y21" s="32">
        <v>606.89423078782602</v>
      </c>
      <c r="Z21" s="32">
        <v>608.75309653942804</v>
      </c>
      <c r="AA21" s="32">
        <v>702.87823139739805</v>
      </c>
      <c r="AB21" s="32">
        <v>729.77112707110405</v>
      </c>
      <c r="AC21" s="32">
        <v>723.06355675900704</v>
      </c>
      <c r="AD21" s="32">
        <v>685.08790780416996</v>
      </c>
      <c r="AE21" s="32">
        <v>630.54682995137</v>
      </c>
      <c r="AF21" s="32">
        <v>587.47201873477002</v>
      </c>
      <c r="AG21" s="32">
        <f t="shared" si="0"/>
        <v>13595.14535677624</v>
      </c>
      <c r="AH21" s="32">
        <f t="shared" ref="AH21" si="13">AG21*F21</f>
        <v>54380.58142710496</v>
      </c>
      <c r="AI21" s="59"/>
      <c r="AJ21" s="27"/>
      <c r="AK21" s="27"/>
    </row>
    <row r="22" spans="1:37" ht="12.75">
      <c r="A22" s="32">
        <v>2027</v>
      </c>
      <c r="B22" s="32">
        <v>4</v>
      </c>
      <c r="C22" s="32">
        <v>4</v>
      </c>
      <c r="D22" s="32">
        <v>22</v>
      </c>
      <c r="E22" s="32">
        <v>4</v>
      </c>
      <c r="F22" s="32">
        <v>4</v>
      </c>
      <c r="G22" s="32">
        <v>0</v>
      </c>
      <c r="H22" s="32">
        <v>30</v>
      </c>
      <c r="I22" s="32">
        <v>442.34631149484198</v>
      </c>
      <c r="J22" s="32">
        <v>440.77333345149799</v>
      </c>
      <c r="K22" s="32">
        <v>419.15513452658598</v>
      </c>
      <c r="L22" s="32">
        <v>401.74772661893797</v>
      </c>
      <c r="M22" s="32">
        <v>389.08226852371098</v>
      </c>
      <c r="N22" s="32">
        <v>374.49823752925198</v>
      </c>
      <c r="O22" s="32">
        <v>404.33878898800299</v>
      </c>
      <c r="P22" s="32">
        <v>424.28547397933897</v>
      </c>
      <c r="Q22" s="32">
        <v>446.51646544788599</v>
      </c>
      <c r="R22" s="32">
        <v>448.528179936789</v>
      </c>
      <c r="S22" s="32">
        <v>480.945768583149</v>
      </c>
      <c r="T22" s="32">
        <v>509.16155671317898</v>
      </c>
      <c r="U22" s="32">
        <v>531.88127181247603</v>
      </c>
      <c r="V22" s="32">
        <v>531.81042666511905</v>
      </c>
      <c r="W22" s="32">
        <v>516.39711186454497</v>
      </c>
      <c r="X22" s="32">
        <v>525.73716347444997</v>
      </c>
      <c r="Y22" s="32">
        <v>498.287006403926</v>
      </c>
      <c r="Z22" s="32">
        <v>520.92221079444801</v>
      </c>
      <c r="AA22" s="32">
        <v>592.06116772177404</v>
      </c>
      <c r="AB22" s="32">
        <v>613.58982125738805</v>
      </c>
      <c r="AC22" s="32">
        <v>583.19401646097697</v>
      </c>
      <c r="AD22" s="32">
        <v>552.41305860457101</v>
      </c>
      <c r="AE22" s="32">
        <v>505.39525606207201</v>
      </c>
      <c r="AF22" s="32">
        <v>467.04213869934603</v>
      </c>
      <c r="AG22" s="32">
        <f t="shared" si="0"/>
        <v>11620.109895614267</v>
      </c>
      <c r="AH22" s="32">
        <f t="shared" ref="AH22" si="14">AG22*G22</f>
        <v>0</v>
      </c>
      <c r="AI22" s="59"/>
      <c r="AJ22" s="27"/>
      <c r="AK22" s="27"/>
    </row>
    <row r="23" spans="1:37" ht="12.75">
      <c r="A23" s="32">
        <v>2027</v>
      </c>
      <c r="B23" s="32">
        <v>5</v>
      </c>
      <c r="C23" s="32">
        <v>1</v>
      </c>
      <c r="D23" s="32">
        <v>19</v>
      </c>
      <c r="E23" s="32">
        <v>4</v>
      </c>
      <c r="F23" s="32">
        <v>5</v>
      </c>
      <c r="G23" s="32">
        <v>3</v>
      </c>
      <c r="H23" s="32">
        <v>31</v>
      </c>
      <c r="I23" s="32">
        <v>393.32737576563801</v>
      </c>
      <c r="J23" s="32">
        <v>369.00507048672102</v>
      </c>
      <c r="K23" s="32">
        <v>362.17822154677901</v>
      </c>
      <c r="L23" s="32">
        <v>358.24471227902501</v>
      </c>
      <c r="M23" s="32">
        <v>345.26273335423701</v>
      </c>
      <c r="N23" s="32">
        <v>331.60071902404701</v>
      </c>
      <c r="O23" s="32">
        <v>400.51457968646002</v>
      </c>
      <c r="P23" s="32">
        <v>444.091454535943</v>
      </c>
      <c r="Q23" s="32">
        <v>482.642249525502</v>
      </c>
      <c r="R23" s="32">
        <v>511.269679379568</v>
      </c>
      <c r="S23" s="32">
        <v>536.99871590727901</v>
      </c>
      <c r="T23" s="32">
        <v>573.04677453362399</v>
      </c>
      <c r="U23" s="32">
        <v>524.15686549026998</v>
      </c>
      <c r="V23" s="32">
        <v>554.59360166537601</v>
      </c>
      <c r="W23" s="32">
        <v>593.00014672045495</v>
      </c>
      <c r="X23" s="32">
        <v>595.13040914571002</v>
      </c>
      <c r="Y23" s="32">
        <v>565.14754508587703</v>
      </c>
      <c r="Z23" s="32">
        <v>544.59450531428195</v>
      </c>
      <c r="AA23" s="32">
        <v>601.85091055742805</v>
      </c>
      <c r="AB23" s="32">
        <v>594.03565517868105</v>
      </c>
      <c r="AC23" s="32">
        <v>575.64121264089897</v>
      </c>
      <c r="AD23" s="32">
        <v>535.79422895437801</v>
      </c>
      <c r="AE23" s="32">
        <v>468.99517536709698</v>
      </c>
      <c r="AF23" s="32">
        <v>434.19539385233401</v>
      </c>
      <c r="AG23" s="32">
        <f t="shared" si="0"/>
        <v>11695.317935997611</v>
      </c>
      <c r="AH23" s="32">
        <f t="shared" ref="AH23" si="15">AG23*D23</f>
        <v>222211.04078395461</v>
      </c>
      <c r="AI23" s="59">
        <f t="shared" ref="AI23" si="16">AH23+AH24+AH25+AH26</f>
        <v>354470.56518836372</v>
      </c>
      <c r="AJ23" s="27"/>
      <c r="AK23" s="27"/>
    </row>
    <row r="24" spans="1:37" ht="12.75">
      <c r="A24" s="32">
        <v>2027</v>
      </c>
      <c r="B24" s="32">
        <v>5</v>
      </c>
      <c r="C24" s="32">
        <v>2</v>
      </c>
      <c r="D24" s="32">
        <v>19</v>
      </c>
      <c r="E24" s="32">
        <v>4</v>
      </c>
      <c r="F24" s="32">
        <v>5</v>
      </c>
      <c r="G24" s="32">
        <v>3</v>
      </c>
      <c r="H24" s="32">
        <v>31</v>
      </c>
      <c r="I24" s="32">
        <v>473.18905104243498</v>
      </c>
      <c r="J24" s="32">
        <v>457.4631895983</v>
      </c>
      <c r="K24" s="32">
        <v>441.46777186713899</v>
      </c>
      <c r="L24" s="32">
        <v>424.616578350949</v>
      </c>
      <c r="M24" s="32">
        <v>417.77822322471798</v>
      </c>
      <c r="N24" s="32">
        <v>386.98076316903803</v>
      </c>
      <c r="O24" s="32">
        <v>370.888514538653</v>
      </c>
      <c r="P24" s="32">
        <v>352.16089521859499</v>
      </c>
      <c r="Q24" s="32">
        <v>489.41302458978203</v>
      </c>
      <c r="R24" s="32">
        <v>517.79930801975604</v>
      </c>
      <c r="S24" s="32">
        <v>436.20488164178403</v>
      </c>
      <c r="T24" s="32">
        <v>525.57718457358601</v>
      </c>
      <c r="U24" s="32">
        <v>518.69433957473905</v>
      </c>
      <c r="V24" s="32">
        <v>458.28494371603301</v>
      </c>
      <c r="W24" s="32">
        <v>519.96360946996401</v>
      </c>
      <c r="X24" s="32">
        <v>537.037252349234</v>
      </c>
      <c r="Y24" s="32">
        <v>517.59779506731797</v>
      </c>
      <c r="Z24" s="32">
        <v>530.54434799860996</v>
      </c>
      <c r="AA24" s="32">
        <v>578.24010849442595</v>
      </c>
      <c r="AB24" s="32">
        <v>582.31224036446599</v>
      </c>
      <c r="AC24" s="32">
        <v>556.23070680609601</v>
      </c>
      <c r="AD24" s="32">
        <v>514.42331180359099</v>
      </c>
      <c r="AE24" s="32">
        <v>482.02945043639198</v>
      </c>
      <c r="AF24" s="32">
        <v>450.19302100255999</v>
      </c>
      <c r="AG24" s="32">
        <f t="shared" si="0"/>
        <v>11539.090512918166</v>
      </c>
      <c r="AH24" s="32">
        <f t="shared" ref="AH24" si="17">AG24*E24</f>
        <v>46156.362051672666</v>
      </c>
      <c r="AI24" s="59"/>
      <c r="AJ24" s="27"/>
      <c r="AK24" s="27"/>
    </row>
    <row r="25" spans="1:37" ht="12.75">
      <c r="A25" s="32">
        <v>2027</v>
      </c>
      <c r="B25" s="32">
        <v>5</v>
      </c>
      <c r="C25" s="32">
        <v>3</v>
      </c>
      <c r="D25" s="32">
        <v>19</v>
      </c>
      <c r="E25" s="32">
        <v>4</v>
      </c>
      <c r="F25" s="32">
        <v>5</v>
      </c>
      <c r="G25" s="32">
        <v>3</v>
      </c>
      <c r="H25" s="32">
        <v>31</v>
      </c>
      <c r="I25" s="32">
        <v>406.32900913598797</v>
      </c>
      <c r="J25" s="32">
        <v>391.63241106827098</v>
      </c>
      <c r="K25" s="32">
        <v>382.71767218605402</v>
      </c>
      <c r="L25" s="32">
        <v>376.41200349712102</v>
      </c>
      <c r="M25" s="32">
        <v>374.04737773877201</v>
      </c>
      <c r="N25" s="32">
        <v>348.52039460485798</v>
      </c>
      <c r="O25" s="32">
        <v>357.09341014436001</v>
      </c>
      <c r="P25" s="32">
        <v>372.134225885761</v>
      </c>
      <c r="Q25" s="32">
        <v>421.087965477924</v>
      </c>
      <c r="R25" s="32">
        <v>420.03785214009099</v>
      </c>
      <c r="S25" s="32">
        <v>433.91880398103598</v>
      </c>
      <c r="T25" s="32">
        <v>452.486603712212</v>
      </c>
      <c r="U25" s="32">
        <v>372.37867032069602</v>
      </c>
      <c r="V25" s="32">
        <v>472.46286899706098</v>
      </c>
      <c r="W25" s="32">
        <v>463.70610440952998</v>
      </c>
      <c r="X25" s="32">
        <v>422.41661244059702</v>
      </c>
      <c r="Y25" s="32">
        <v>430.741026326883</v>
      </c>
      <c r="Z25" s="32">
        <v>467.17322445605498</v>
      </c>
      <c r="AA25" s="32">
        <v>535.627643561696</v>
      </c>
      <c r="AB25" s="32">
        <v>511.53240640382899</v>
      </c>
      <c r="AC25" s="32">
        <v>511.38524087667503</v>
      </c>
      <c r="AD25" s="32">
        <v>471.59068460166401</v>
      </c>
      <c r="AE25" s="32">
        <v>437.423338992092</v>
      </c>
      <c r="AF25" s="32">
        <v>410.04556227938599</v>
      </c>
      <c r="AG25" s="32">
        <f t="shared" si="0"/>
        <v>10242.901113238611</v>
      </c>
      <c r="AH25" s="32">
        <f t="shared" ref="AH25" si="18">AG25*F25</f>
        <v>51214.505566193053</v>
      </c>
      <c r="AI25" s="59"/>
      <c r="AJ25" s="27"/>
      <c r="AK25" s="27"/>
    </row>
    <row r="26" spans="1:37" ht="12.75">
      <c r="A26" s="32">
        <v>2027</v>
      </c>
      <c r="B26" s="32">
        <v>5</v>
      </c>
      <c r="C26" s="32">
        <v>4</v>
      </c>
      <c r="D26" s="32">
        <v>19</v>
      </c>
      <c r="E26" s="32">
        <v>4</v>
      </c>
      <c r="F26" s="32">
        <v>5</v>
      </c>
      <c r="G26" s="32">
        <v>3</v>
      </c>
      <c r="H26" s="32">
        <v>31</v>
      </c>
      <c r="I26" s="32">
        <v>466.64217877071798</v>
      </c>
      <c r="J26" s="32">
        <v>452.29912425730703</v>
      </c>
      <c r="K26" s="32">
        <v>435.00404379608301</v>
      </c>
      <c r="L26" s="32">
        <v>423.59134898499599</v>
      </c>
      <c r="M26" s="32">
        <v>412.893640275032</v>
      </c>
      <c r="N26" s="32">
        <v>381.80799456035402</v>
      </c>
      <c r="O26" s="32">
        <v>363.27252154491202</v>
      </c>
      <c r="P26" s="32">
        <v>456.21529812935898</v>
      </c>
      <c r="Q26" s="32">
        <v>505.852666543596</v>
      </c>
      <c r="R26" s="32">
        <v>432.214514689434</v>
      </c>
      <c r="S26" s="32">
        <v>560.51118734980003</v>
      </c>
      <c r="T26" s="32">
        <v>574.87049154732699</v>
      </c>
      <c r="U26" s="32">
        <v>573.70051429094599</v>
      </c>
      <c r="V26" s="32">
        <v>385.58875439810402</v>
      </c>
      <c r="W26" s="32">
        <v>313.69473530576897</v>
      </c>
      <c r="X26" s="32">
        <v>365.26039956848501</v>
      </c>
      <c r="Y26" s="32">
        <v>547.11061451514001</v>
      </c>
      <c r="Z26" s="32">
        <v>546.66103992125295</v>
      </c>
      <c r="AA26" s="32">
        <v>606.82820364291797</v>
      </c>
      <c r="AB26" s="32">
        <v>618.425061540657</v>
      </c>
      <c r="AC26" s="32">
        <v>600.66415680142995</v>
      </c>
      <c r="AD26" s="32">
        <v>577.62210472437198</v>
      </c>
      <c r="AE26" s="32">
        <v>531.03967692401898</v>
      </c>
      <c r="AF26" s="32">
        <v>497.781990099116</v>
      </c>
      <c r="AG26" s="32">
        <f t="shared" si="0"/>
        <v>11629.552262181125</v>
      </c>
      <c r="AH26" s="32">
        <f t="shared" ref="AH26" si="19">AG26*G26</f>
        <v>34888.656786543375</v>
      </c>
      <c r="AI26" s="59"/>
      <c r="AJ26" s="27"/>
      <c r="AK26" s="27"/>
    </row>
    <row r="27" spans="1:37" ht="12.75">
      <c r="A27" s="32">
        <v>2027</v>
      </c>
      <c r="B27" s="32">
        <v>6</v>
      </c>
      <c r="C27" s="32">
        <v>1</v>
      </c>
      <c r="D27" s="32">
        <v>21</v>
      </c>
      <c r="E27" s="32">
        <v>4</v>
      </c>
      <c r="F27" s="32">
        <v>4</v>
      </c>
      <c r="G27" s="32">
        <v>1</v>
      </c>
      <c r="H27" s="32">
        <v>30</v>
      </c>
      <c r="I27" s="32">
        <v>369.26719196742903</v>
      </c>
      <c r="J27" s="32">
        <v>358.98767069000098</v>
      </c>
      <c r="K27" s="32">
        <v>349.57610556255798</v>
      </c>
      <c r="L27" s="32">
        <v>341.65246526366298</v>
      </c>
      <c r="M27" s="32">
        <v>322.72996230449297</v>
      </c>
      <c r="N27" s="32">
        <v>311.974673019281</v>
      </c>
      <c r="O27" s="32">
        <v>356.557029811029</v>
      </c>
      <c r="P27" s="32">
        <v>393.44212403794899</v>
      </c>
      <c r="Q27" s="32">
        <v>433.30306792196399</v>
      </c>
      <c r="R27" s="32">
        <v>446.90950967051901</v>
      </c>
      <c r="S27" s="32">
        <v>469.19677173858702</v>
      </c>
      <c r="T27" s="32">
        <v>493.800821441555</v>
      </c>
      <c r="U27" s="32">
        <v>480.96092681279401</v>
      </c>
      <c r="V27" s="32">
        <v>462.30123742316999</v>
      </c>
      <c r="W27" s="32">
        <v>503.708011839721</v>
      </c>
      <c r="X27" s="32">
        <v>521.25500338801601</v>
      </c>
      <c r="Y27" s="32">
        <v>507.60880597568399</v>
      </c>
      <c r="Z27" s="32">
        <v>487.48378469061203</v>
      </c>
      <c r="AA27" s="32">
        <v>529.35772106686898</v>
      </c>
      <c r="AB27" s="32">
        <v>524.60162068428394</v>
      </c>
      <c r="AC27" s="32">
        <v>533.29168880306997</v>
      </c>
      <c r="AD27" s="32">
        <v>486.30720792263497</v>
      </c>
      <c r="AE27" s="32">
        <v>420.98720428188898</v>
      </c>
      <c r="AF27" s="32">
        <v>389.551663741742</v>
      </c>
      <c r="AG27" s="32">
        <f t="shared" si="0"/>
        <v>10494.812270059516</v>
      </c>
      <c r="AH27" s="32">
        <f t="shared" ref="AH27" si="20">AG27*D27</f>
        <v>220391.05767124984</v>
      </c>
      <c r="AI27" s="59">
        <f t="shared" ref="AI27" si="21">AH27+AH28+AH29+AH30</f>
        <v>312959.00265635946</v>
      </c>
      <c r="AJ27" s="27"/>
      <c r="AK27" s="27"/>
    </row>
    <row r="28" spans="1:37" ht="12.75">
      <c r="A28" s="32">
        <v>2027</v>
      </c>
      <c r="B28" s="32">
        <v>6</v>
      </c>
      <c r="C28" s="32">
        <v>2</v>
      </c>
      <c r="D28" s="32">
        <v>21</v>
      </c>
      <c r="E28" s="32">
        <v>4</v>
      </c>
      <c r="F28" s="32">
        <v>4</v>
      </c>
      <c r="G28" s="32">
        <v>1</v>
      </c>
      <c r="H28" s="32">
        <v>30</v>
      </c>
      <c r="I28" s="32">
        <v>391.45168910567497</v>
      </c>
      <c r="J28" s="32">
        <v>378.55881372201799</v>
      </c>
      <c r="K28" s="32">
        <v>367.97306291082498</v>
      </c>
      <c r="L28" s="32">
        <v>356.82230200025299</v>
      </c>
      <c r="M28" s="32">
        <v>337.31717074342799</v>
      </c>
      <c r="N28" s="32">
        <v>332.348766717366</v>
      </c>
      <c r="O28" s="32">
        <v>362.15509659765399</v>
      </c>
      <c r="P28" s="32">
        <v>401.61982375645698</v>
      </c>
      <c r="Q28" s="32">
        <v>434.97793813827599</v>
      </c>
      <c r="R28" s="32">
        <v>451.28953405078403</v>
      </c>
      <c r="S28" s="32">
        <v>459.74421416105798</v>
      </c>
      <c r="T28" s="32">
        <v>463.85282020980401</v>
      </c>
      <c r="U28" s="32">
        <v>454.476927980977</v>
      </c>
      <c r="V28" s="32">
        <v>466.46087407432901</v>
      </c>
      <c r="W28" s="32">
        <v>468.37085386679502</v>
      </c>
      <c r="X28" s="32">
        <v>470.43436901235299</v>
      </c>
      <c r="Y28" s="32">
        <v>452.03264515975002</v>
      </c>
      <c r="Z28" s="32">
        <v>474.49384374811001</v>
      </c>
      <c r="AA28" s="32">
        <v>504.65228137148802</v>
      </c>
      <c r="AB28" s="32">
        <v>531.77071900364194</v>
      </c>
      <c r="AC28" s="32">
        <v>501.352294849028</v>
      </c>
      <c r="AD28" s="32">
        <v>464.08619394650401</v>
      </c>
      <c r="AE28" s="32">
        <v>428.69322435170398</v>
      </c>
      <c r="AF28" s="32">
        <v>398.09874632554403</v>
      </c>
      <c r="AG28" s="32">
        <f t="shared" si="0"/>
        <v>10353.034205803824</v>
      </c>
      <c r="AH28" s="32">
        <f t="shared" ref="AH28" si="22">AG28*E28</f>
        <v>41412.136823215296</v>
      </c>
      <c r="AI28" s="59"/>
      <c r="AJ28" s="27"/>
      <c r="AK28" s="27"/>
    </row>
    <row r="29" spans="1:37" ht="12.75">
      <c r="A29" s="32">
        <v>2027</v>
      </c>
      <c r="B29" s="32">
        <v>6</v>
      </c>
      <c r="C29" s="32">
        <v>3</v>
      </c>
      <c r="D29" s="32">
        <v>21</v>
      </c>
      <c r="E29" s="32">
        <v>4</v>
      </c>
      <c r="F29" s="32">
        <v>4</v>
      </c>
      <c r="G29" s="32">
        <v>1</v>
      </c>
      <c r="H29" s="32">
        <v>30</v>
      </c>
      <c r="I29" s="32">
        <v>378.66901178505299</v>
      </c>
      <c r="J29" s="32">
        <v>354.04391296336098</v>
      </c>
      <c r="K29" s="32">
        <v>339.63496723846799</v>
      </c>
      <c r="L29" s="32">
        <v>351.70045253870802</v>
      </c>
      <c r="M29" s="32">
        <v>324.76942201802501</v>
      </c>
      <c r="N29" s="32">
        <v>296.83137069208499</v>
      </c>
      <c r="O29" s="32">
        <v>351.27512698120802</v>
      </c>
      <c r="P29" s="32">
        <v>379.396652077049</v>
      </c>
      <c r="Q29" s="32">
        <v>402.232881642199</v>
      </c>
      <c r="R29" s="32">
        <v>408.475159677264</v>
      </c>
      <c r="S29" s="32">
        <v>422.854916393309</v>
      </c>
      <c r="T29" s="32">
        <v>439.41342412693598</v>
      </c>
      <c r="U29" s="32">
        <v>456.06992353312501</v>
      </c>
      <c r="V29" s="32">
        <v>476.846243045287</v>
      </c>
      <c r="W29" s="32">
        <v>477.41751364702702</v>
      </c>
      <c r="X29" s="32">
        <v>474.18378845250999</v>
      </c>
      <c r="Y29" s="32">
        <v>454.40198017038199</v>
      </c>
      <c r="Z29" s="32">
        <v>463.17536225840797</v>
      </c>
      <c r="AA29" s="32">
        <v>541.23302670555995</v>
      </c>
      <c r="AB29" s="32">
        <v>556.09231713839404</v>
      </c>
      <c r="AC29" s="32">
        <v>543.12405749307004</v>
      </c>
      <c r="AD29" s="32">
        <v>510.019551601035</v>
      </c>
      <c r="AE29" s="32">
        <v>469.82003162973399</v>
      </c>
      <c r="AF29" s="32">
        <v>429.45371732215898</v>
      </c>
      <c r="AG29" s="32">
        <f t="shared" si="0"/>
        <v>10301.134811130358</v>
      </c>
      <c r="AH29" s="32">
        <f t="shared" ref="AH29" si="23">AG29*F29</f>
        <v>41204.539244521431</v>
      </c>
      <c r="AI29" s="59"/>
      <c r="AJ29" s="27"/>
      <c r="AK29" s="27"/>
    </row>
    <row r="30" spans="1:37" ht="12.75">
      <c r="A30" s="32">
        <v>2027</v>
      </c>
      <c r="B30" s="32">
        <v>6</v>
      </c>
      <c r="C30" s="32">
        <v>4</v>
      </c>
      <c r="D30" s="32">
        <v>21</v>
      </c>
      <c r="E30" s="32">
        <v>4</v>
      </c>
      <c r="F30" s="32">
        <v>4</v>
      </c>
      <c r="G30" s="32">
        <v>1</v>
      </c>
      <c r="H30" s="32">
        <v>30</v>
      </c>
      <c r="I30" s="32">
        <v>396.31034723985999</v>
      </c>
      <c r="J30" s="32">
        <v>382.120477087506</v>
      </c>
      <c r="K30" s="32">
        <v>370.68709358651398</v>
      </c>
      <c r="L30" s="32">
        <v>360.70237460302502</v>
      </c>
      <c r="M30" s="32">
        <v>355.405694960902</v>
      </c>
      <c r="N30" s="32">
        <v>334.581142521787</v>
      </c>
      <c r="O30" s="32">
        <v>359.30401093682298</v>
      </c>
      <c r="P30" s="32">
        <v>309.10376133721701</v>
      </c>
      <c r="Q30" s="32">
        <v>389.529792484322</v>
      </c>
      <c r="R30" s="32">
        <v>434.38809167563397</v>
      </c>
      <c r="S30" s="32">
        <v>454.20159700357499</v>
      </c>
      <c r="T30" s="32">
        <v>473.94971122482298</v>
      </c>
      <c r="U30" s="32">
        <v>459.90068345611502</v>
      </c>
      <c r="V30" s="32">
        <v>467.66713489717699</v>
      </c>
      <c r="W30" s="32">
        <v>450.08195728192402</v>
      </c>
      <c r="X30" s="32">
        <v>444.78024755467101</v>
      </c>
      <c r="Y30" s="32">
        <v>387.69381141179099</v>
      </c>
      <c r="Z30" s="32">
        <v>391.38589389737399</v>
      </c>
      <c r="AA30" s="32">
        <v>511.705530212263</v>
      </c>
      <c r="AB30" s="32">
        <v>508.33537317501401</v>
      </c>
      <c r="AC30" s="32">
        <v>478.50193826767298</v>
      </c>
      <c r="AD30" s="32">
        <v>445.534760324204</v>
      </c>
      <c r="AE30" s="32">
        <v>407.57270784642498</v>
      </c>
      <c r="AF30" s="32">
        <v>377.82478438629801</v>
      </c>
      <c r="AG30" s="32">
        <f t="shared" si="0"/>
        <v>9951.2689173729141</v>
      </c>
      <c r="AH30" s="32">
        <f t="shared" ref="AH30" si="24">AG30*G30</f>
        <v>9951.2689173729141</v>
      </c>
      <c r="AI30" s="59"/>
      <c r="AJ30" s="27"/>
      <c r="AK30" s="27"/>
    </row>
    <row r="31" spans="1:37" ht="12.75">
      <c r="A31" s="32">
        <v>2027</v>
      </c>
      <c r="B31" s="32">
        <v>7</v>
      </c>
      <c r="C31" s="32">
        <v>1</v>
      </c>
      <c r="D31" s="32">
        <v>20</v>
      </c>
      <c r="E31" s="32">
        <v>5</v>
      </c>
      <c r="F31" s="32">
        <v>4</v>
      </c>
      <c r="G31" s="32">
        <v>2</v>
      </c>
      <c r="H31" s="32">
        <v>31</v>
      </c>
      <c r="I31" s="32">
        <v>382.01290935222897</v>
      </c>
      <c r="J31" s="32">
        <v>358.22471334678801</v>
      </c>
      <c r="K31" s="32">
        <v>349.65570260001402</v>
      </c>
      <c r="L31" s="32">
        <v>345.682754768081</v>
      </c>
      <c r="M31" s="32">
        <v>349.215939837267</v>
      </c>
      <c r="N31" s="32">
        <v>342.10384945453501</v>
      </c>
      <c r="O31" s="32">
        <v>386.95776588382398</v>
      </c>
      <c r="P31" s="32">
        <v>423.01077094546901</v>
      </c>
      <c r="Q31" s="32">
        <v>462.675675311433</v>
      </c>
      <c r="R31" s="32">
        <v>486.83811744079799</v>
      </c>
      <c r="S31" s="32">
        <v>505.233209982841</v>
      </c>
      <c r="T31" s="32">
        <v>506.45728704056199</v>
      </c>
      <c r="U31" s="32">
        <v>499.81133216830398</v>
      </c>
      <c r="V31" s="32">
        <v>498.19087832346003</v>
      </c>
      <c r="W31" s="32">
        <v>539.00020282656203</v>
      </c>
      <c r="X31" s="32">
        <v>530.44768907517596</v>
      </c>
      <c r="Y31" s="32">
        <v>515.60086456953104</v>
      </c>
      <c r="Z31" s="32">
        <v>523.19136781848795</v>
      </c>
      <c r="AA31" s="32">
        <v>573.410107147654</v>
      </c>
      <c r="AB31" s="32">
        <v>565.74088966356499</v>
      </c>
      <c r="AC31" s="32">
        <v>551.03169723372105</v>
      </c>
      <c r="AD31" s="32">
        <v>496.24046212598199</v>
      </c>
      <c r="AE31" s="32">
        <v>445.66585903918002</v>
      </c>
      <c r="AF31" s="32">
        <v>408.912910030398</v>
      </c>
      <c r="AG31" s="32">
        <f t="shared" si="0"/>
        <v>11045.312955985859</v>
      </c>
      <c r="AH31" s="32">
        <f t="shared" ref="AH31" si="25">AG31*D31</f>
        <v>220906.25911971717</v>
      </c>
      <c r="AI31" s="59">
        <f t="shared" ref="AI31" si="26">AH31+AH32+AH33+AH34</f>
        <v>337449.6072178529</v>
      </c>
      <c r="AJ31" s="27"/>
      <c r="AK31" s="27"/>
    </row>
    <row r="32" spans="1:37" ht="12.75">
      <c r="A32" s="32">
        <v>2027</v>
      </c>
      <c r="B32" s="32">
        <v>7</v>
      </c>
      <c r="C32" s="32">
        <v>2</v>
      </c>
      <c r="D32" s="32">
        <v>20</v>
      </c>
      <c r="E32" s="32">
        <v>5</v>
      </c>
      <c r="F32" s="32">
        <v>4</v>
      </c>
      <c r="G32" s="32">
        <v>2</v>
      </c>
      <c r="H32" s="32">
        <v>31</v>
      </c>
      <c r="I32" s="32">
        <v>381.72208348984998</v>
      </c>
      <c r="J32" s="32">
        <v>367.40776714238098</v>
      </c>
      <c r="K32" s="32">
        <v>359.32738617569299</v>
      </c>
      <c r="L32" s="32">
        <v>353.65890294031402</v>
      </c>
      <c r="M32" s="32">
        <v>355.40412561130501</v>
      </c>
      <c r="N32" s="32">
        <v>337.302676067785</v>
      </c>
      <c r="O32" s="32">
        <v>358.744481803582</v>
      </c>
      <c r="P32" s="32">
        <v>382.88440178872997</v>
      </c>
      <c r="Q32" s="32">
        <v>406.17265311043502</v>
      </c>
      <c r="R32" s="32">
        <v>418.86740281922403</v>
      </c>
      <c r="S32" s="32">
        <v>450.90271016793599</v>
      </c>
      <c r="T32" s="32">
        <v>461.30074684170103</v>
      </c>
      <c r="U32" s="32">
        <v>464.18385469417802</v>
      </c>
      <c r="V32" s="32">
        <v>441.81359049741502</v>
      </c>
      <c r="W32" s="32">
        <v>509.70973328965101</v>
      </c>
      <c r="X32" s="32">
        <v>505.60496956748</v>
      </c>
      <c r="Y32" s="32">
        <v>370.075339994991</v>
      </c>
      <c r="Z32" s="32">
        <v>528.44906171941795</v>
      </c>
      <c r="AA32" s="32">
        <v>577.32664045452896</v>
      </c>
      <c r="AB32" s="32">
        <v>599.27194293090599</v>
      </c>
      <c r="AC32" s="32">
        <v>582.28220022880805</v>
      </c>
      <c r="AD32" s="32">
        <v>531.24490843834599</v>
      </c>
      <c r="AE32" s="32">
        <v>484.36211921617701</v>
      </c>
      <c r="AF32" s="32">
        <v>447.07107379377499</v>
      </c>
      <c r="AG32" s="32">
        <f t="shared" si="0"/>
        <v>10675.090772784612</v>
      </c>
      <c r="AH32" s="32">
        <f t="shared" ref="AH32" si="27">AG32*E32</f>
        <v>53375.45386392306</v>
      </c>
      <c r="AI32" s="59"/>
      <c r="AJ32" s="27"/>
      <c r="AK32" s="27"/>
    </row>
    <row r="33" spans="1:37" ht="12.75">
      <c r="A33" s="32">
        <v>2027</v>
      </c>
      <c r="B33" s="32">
        <v>7</v>
      </c>
      <c r="C33" s="32">
        <v>3</v>
      </c>
      <c r="D33" s="32">
        <v>20</v>
      </c>
      <c r="E33" s="32">
        <v>5</v>
      </c>
      <c r="F33" s="32">
        <v>4</v>
      </c>
      <c r="G33" s="32">
        <v>2</v>
      </c>
      <c r="H33" s="32">
        <v>31</v>
      </c>
      <c r="I33" s="32">
        <v>417.40428038522401</v>
      </c>
      <c r="J33" s="32">
        <v>402.232029084923</v>
      </c>
      <c r="K33" s="32">
        <v>388.26120626966502</v>
      </c>
      <c r="L33" s="32">
        <v>373.45742763648298</v>
      </c>
      <c r="M33" s="32">
        <v>375.38023218813697</v>
      </c>
      <c r="N33" s="32">
        <v>360.32475039502299</v>
      </c>
      <c r="O33" s="32">
        <v>385.905057102456</v>
      </c>
      <c r="P33" s="32">
        <v>409.788313638793</v>
      </c>
      <c r="Q33" s="32">
        <v>411.95244183863002</v>
      </c>
      <c r="R33" s="32">
        <v>353.663698729575</v>
      </c>
      <c r="S33" s="32">
        <v>410.19484451566098</v>
      </c>
      <c r="T33" s="32">
        <v>446.47123808128401</v>
      </c>
      <c r="U33" s="32">
        <v>448.394907592251</v>
      </c>
      <c r="V33" s="32">
        <v>414.48244782764903</v>
      </c>
      <c r="W33" s="32">
        <v>475.49581277103198</v>
      </c>
      <c r="X33" s="32">
        <v>466.79518704674501</v>
      </c>
      <c r="Y33" s="32">
        <v>449.56779241997998</v>
      </c>
      <c r="Z33" s="32">
        <v>454.81463560951499</v>
      </c>
      <c r="AA33" s="32">
        <v>530.46311212014496</v>
      </c>
      <c r="AB33" s="32">
        <v>544.32495006202998</v>
      </c>
      <c r="AC33" s="32">
        <v>518.64603799297402</v>
      </c>
      <c r="AD33" s="32">
        <v>478.77314360603799</v>
      </c>
      <c r="AE33" s="32">
        <v>443.16103879240399</v>
      </c>
      <c r="AF33" s="32">
        <v>411.42308673938999</v>
      </c>
      <c r="AG33" s="32">
        <f t="shared" si="0"/>
        <v>10371.377672446009</v>
      </c>
      <c r="AH33" s="32">
        <f t="shared" ref="AH33" si="28">AG33*F33</f>
        <v>41485.510689784038</v>
      </c>
      <c r="AI33" s="59"/>
      <c r="AJ33" s="27"/>
      <c r="AK33" s="27"/>
    </row>
    <row r="34" spans="1:37" ht="12.75">
      <c r="A34" s="32">
        <v>2027</v>
      </c>
      <c r="B34" s="32">
        <v>7</v>
      </c>
      <c r="C34" s="32">
        <v>4</v>
      </c>
      <c r="D34" s="32">
        <v>20</v>
      </c>
      <c r="E34" s="32">
        <v>5</v>
      </c>
      <c r="F34" s="32">
        <v>4</v>
      </c>
      <c r="G34" s="32">
        <v>2</v>
      </c>
      <c r="H34" s="32">
        <v>31</v>
      </c>
      <c r="I34" s="32">
        <v>410.48313201062098</v>
      </c>
      <c r="J34" s="32">
        <v>387.33036928809503</v>
      </c>
      <c r="K34" s="32">
        <v>376.56359861240702</v>
      </c>
      <c r="L34" s="32">
        <v>371.24329982149101</v>
      </c>
      <c r="M34" s="32">
        <v>368.12051574856099</v>
      </c>
      <c r="N34" s="32">
        <v>333.717318823901</v>
      </c>
      <c r="O34" s="32">
        <v>377.89893052238</v>
      </c>
      <c r="P34" s="32">
        <v>407.717838370283</v>
      </c>
      <c r="Q34" s="32">
        <v>437.47365967125802</v>
      </c>
      <c r="R34" s="32">
        <v>446.40040606154997</v>
      </c>
      <c r="S34" s="32">
        <v>452.23591165237701</v>
      </c>
      <c r="T34" s="32">
        <v>477.18664096234698</v>
      </c>
      <c r="U34" s="32">
        <v>500.381461382824</v>
      </c>
      <c r="V34" s="32">
        <v>484.55725252841899</v>
      </c>
      <c r="W34" s="32">
        <v>478.39579977846398</v>
      </c>
      <c r="X34" s="32">
        <v>489.01536851132101</v>
      </c>
      <c r="Y34" s="32">
        <v>484.17873324685098</v>
      </c>
      <c r="Z34" s="32">
        <v>500.33940368487202</v>
      </c>
      <c r="AA34" s="32">
        <v>569.44020141985698</v>
      </c>
      <c r="AB34" s="32">
        <v>571.69028826028398</v>
      </c>
      <c r="AC34" s="32">
        <v>542.47070260819601</v>
      </c>
      <c r="AD34" s="32">
        <v>491.05516686198803</v>
      </c>
      <c r="AE34" s="32">
        <v>458.54456634516299</v>
      </c>
      <c r="AF34" s="32">
        <v>424.75120604080502</v>
      </c>
      <c r="AG34" s="32">
        <f t="shared" si="0"/>
        <v>10841.191772214315</v>
      </c>
      <c r="AH34" s="32">
        <f t="shared" ref="AH34" si="29">AG34*G34</f>
        <v>21682.383544428631</v>
      </c>
      <c r="AI34" s="59"/>
      <c r="AJ34" s="27"/>
      <c r="AK34" s="27"/>
    </row>
    <row r="35" spans="1:37" ht="12.75">
      <c r="A35" s="32">
        <v>2027</v>
      </c>
      <c r="B35" s="32">
        <v>8</v>
      </c>
      <c r="C35" s="32">
        <v>1</v>
      </c>
      <c r="D35" s="32">
        <v>21</v>
      </c>
      <c r="E35" s="32">
        <v>3</v>
      </c>
      <c r="F35" s="32">
        <v>5</v>
      </c>
      <c r="G35" s="32">
        <v>2</v>
      </c>
      <c r="H35" s="32">
        <v>31</v>
      </c>
      <c r="I35" s="32">
        <v>423.07991042267298</v>
      </c>
      <c r="J35" s="32">
        <v>396.06716335882999</v>
      </c>
      <c r="K35" s="32">
        <v>385.16999964562501</v>
      </c>
      <c r="L35" s="32">
        <v>373.78027292835901</v>
      </c>
      <c r="M35" s="32">
        <v>371.49820527650297</v>
      </c>
      <c r="N35" s="32">
        <v>362.745698935051</v>
      </c>
      <c r="O35" s="32">
        <v>416.378516762289</v>
      </c>
      <c r="P35" s="32">
        <v>461.087593899024</v>
      </c>
      <c r="Q35" s="32">
        <v>498.618569403636</v>
      </c>
      <c r="R35" s="32">
        <v>500.784366818482</v>
      </c>
      <c r="S35" s="32">
        <v>547.75648556829003</v>
      </c>
      <c r="T35" s="32">
        <v>576.38803143195605</v>
      </c>
      <c r="U35" s="32">
        <v>560.84957125774997</v>
      </c>
      <c r="V35" s="32">
        <v>586.62139779205097</v>
      </c>
      <c r="W35" s="32">
        <v>610.48533543723704</v>
      </c>
      <c r="X35" s="32">
        <v>584.916981817703</v>
      </c>
      <c r="Y35" s="32">
        <v>545.42315331193504</v>
      </c>
      <c r="Z35" s="32">
        <v>559.17422284265399</v>
      </c>
      <c r="AA35" s="32">
        <v>611.68027637305102</v>
      </c>
      <c r="AB35" s="32">
        <v>617.96573968558596</v>
      </c>
      <c r="AC35" s="32">
        <v>592.57707643234005</v>
      </c>
      <c r="AD35" s="32">
        <v>546.040442570241</v>
      </c>
      <c r="AE35" s="32">
        <v>486.50003970074999</v>
      </c>
      <c r="AF35" s="32">
        <v>452.45452880104602</v>
      </c>
      <c r="AG35" s="32">
        <f t="shared" si="0"/>
        <v>12068.043580473062</v>
      </c>
      <c r="AH35" s="32">
        <f t="shared" ref="AH35" si="30">AG35*D35</f>
        <v>253428.91518993431</v>
      </c>
      <c r="AI35" s="59">
        <f t="shared" ref="AI35" si="31">AH35+AH36+AH37+AH38</f>
        <v>367011.65930744563</v>
      </c>
      <c r="AJ35" s="27"/>
      <c r="AK35" s="27"/>
    </row>
    <row r="36" spans="1:37" ht="12.75">
      <c r="A36" s="32">
        <v>2027</v>
      </c>
      <c r="B36" s="32">
        <v>8</v>
      </c>
      <c r="C36" s="32">
        <v>2</v>
      </c>
      <c r="D36" s="32">
        <v>21</v>
      </c>
      <c r="E36" s="32">
        <v>3</v>
      </c>
      <c r="F36" s="32">
        <v>5</v>
      </c>
      <c r="G36" s="32">
        <v>2</v>
      </c>
      <c r="H36" s="32">
        <v>31</v>
      </c>
      <c r="I36" s="32">
        <v>416.32162716406299</v>
      </c>
      <c r="J36" s="32">
        <v>415.62974133654399</v>
      </c>
      <c r="K36" s="32">
        <v>402.17713104866198</v>
      </c>
      <c r="L36" s="32">
        <v>391.31147751838802</v>
      </c>
      <c r="M36" s="32">
        <v>389.53824811767299</v>
      </c>
      <c r="N36" s="32">
        <v>363.81663097011602</v>
      </c>
      <c r="O36" s="32">
        <v>394.15734752591698</v>
      </c>
      <c r="P36" s="32">
        <v>439.66733448882002</v>
      </c>
      <c r="Q36" s="32">
        <v>474.18547490888398</v>
      </c>
      <c r="R36" s="32">
        <v>491.95040503997899</v>
      </c>
      <c r="S36" s="32">
        <v>491.06487821041901</v>
      </c>
      <c r="T36" s="32">
        <v>548.50880782721799</v>
      </c>
      <c r="U36" s="32">
        <v>555.22967361716906</v>
      </c>
      <c r="V36" s="32">
        <v>577.74424765226604</v>
      </c>
      <c r="W36" s="32">
        <v>584.98729142524996</v>
      </c>
      <c r="X36" s="32">
        <v>565.59273083877395</v>
      </c>
      <c r="Y36" s="32">
        <v>539.16182193093096</v>
      </c>
      <c r="Z36" s="32">
        <v>553.67836985924203</v>
      </c>
      <c r="AA36" s="32">
        <v>636.89395868030499</v>
      </c>
      <c r="AB36" s="32">
        <v>645.51859836672998</v>
      </c>
      <c r="AC36" s="32">
        <v>615.25838424998005</v>
      </c>
      <c r="AD36" s="32">
        <v>575.01804343251501</v>
      </c>
      <c r="AE36" s="32">
        <v>536.657543353969</v>
      </c>
      <c r="AF36" s="32">
        <v>500.596802142363</v>
      </c>
      <c r="AG36" s="32">
        <f t="shared" si="0"/>
        <v>12104.66656970618</v>
      </c>
      <c r="AH36" s="32">
        <f t="shared" ref="AH36" si="32">AG36*E36</f>
        <v>36313.999709118536</v>
      </c>
      <c r="AI36" s="59"/>
      <c r="AJ36" s="27"/>
      <c r="AK36" s="27"/>
    </row>
    <row r="37" spans="1:37" ht="12.75">
      <c r="A37" s="32">
        <v>2027</v>
      </c>
      <c r="B37" s="32">
        <v>8</v>
      </c>
      <c r="C37" s="32">
        <v>3</v>
      </c>
      <c r="D37" s="32">
        <v>21</v>
      </c>
      <c r="E37" s="32">
        <v>3</v>
      </c>
      <c r="F37" s="32">
        <v>5</v>
      </c>
      <c r="G37" s="32">
        <v>2</v>
      </c>
      <c r="H37" s="32">
        <v>31</v>
      </c>
      <c r="I37" s="32">
        <v>457.55458410968998</v>
      </c>
      <c r="J37" s="32">
        <v>345.41268347819499</v>
      </c>
      <c r="K37" s="32">
        <v>317.678182439164</v>
      </c>
      <c r="L37" s="32">
        <v>415.73502233355998</v>
      </c>
      <c r="M37" s="32">
        <v>404.12903789114398</v>
      </c>
      <c r="N37" s="32">
        <v>371.57367070292099</v>
      </c>
      <c r="O37" s="32">
        <v>389.27570111384</v>
      </c>
      <c r="P37" s="32">
        <v>418.50451225168899</v>
      </c>
      <c r="Q37" s="32">
        <v>437.727253999921</v>
      </c>
      <c r="R37" s="32">
        <v>446.53470716186399</v>
      </c>
      <c r="S37" s="32">
        <v>454.959342365628</v>
      </c>
      <c r="T37" s="32">
        <v>479.42008983127499</v>
      </c>
      <c r="U37" s="32">
        <v>480.47085912337701</v>
      </c>
      <c r="V37" s="32">
        <v>483.40667684402501</v>
      </c>
      <c r="W37" s="32">
        <v>483.77629418295498</v>
      </c>
      <c r="X37" s="32">
        <v>487.74704045260802</v>
      </c>
      <c r="Y37" s="32">
        <v>477.86769700776699</v>
      </c>
      <c r="Z37" s="32">
        <v>488.25130410786301</v>
      </c>
      <c r="AA37" s="32">
        <v>563.07241400278201</v>
      </c>
      <c r="AB37" s="32">
        <v>586.55631564411203</v>
      </c>
      <c r="AC37" s="32">
        <v>569.67800387423904</v>
      </c>
      <c r="AD37" s="32">
        <v>535.88177847674899</v>
      </c>
      <c r="AE37" s="32">
        <v>492.04516207959898</v>
      </c>
      <c r="AF37" s="32">
        <v>444.042430247933</v>
      </c>
      <c r="AG37" s="32">
        <f t="shared" si="0"/>
        <v>11031.3007637229</v>
      </c>
      <c r="AH37" s="32">
        <f t="shared" ref="AH37" si="33">AG37*F37</f>
        <v>55156.503818614503</v>
      </c>
      <c r="AI37" s="59"/>
      <c r="AJ37" s="27"/>
      <c r="AK37" s="27"/>
    </row>
    <row r="38" spans="1:37" ht="12.75">
      <c r="A38" s="32">
        <v>2027</v>
      </c>
      <c r="B38" s="32">
        <v>8</v>
      </c>
      <c r="C38" s="32">
        <v>4</v>
      </c>
      <c r="D38" s="32">
        <v>21</v>
      </c>
      <c r="E38" s="32">
        <v>3</v>
      </c>
      <c r="F38" s="32">
        <v>5</v>
      </c>
      <c r="G38" s="32">
        <v>2</v>
      </c>
      <c r="H38" s="32">
        <v>31</v>
      </c>
      <c r="I38" s="32">
        <v>395.88696234597103</v>
      </c>
      <c r="J38" s="32">
        <v>380.77919961210398</v>
      </c>
      <c r="K38" s="32">
        <v>367.64133488216999</v>
      </c>
      <c r="L38" s="32">
        <v>359.00609416122501</v>
      </c>
      <c r="M38" s="32">
        <v>358.834118938659</v>
      </c>
      <c r="N38" s="32">
        <v>337.73849163728102</v>
      </c>
      <c r="O38" s="32">
        <v>382.78557720870202</v>
      </c>
      <c r="P38" s="32">
        <v>421.43309995253202</v>
      </c>
      <c r="Q38" s="32">
        <v>446.71345766967198</v>
      </c>
      <c r="R38" s="32">
        <v>451.09100878952302</v>
      </c>
      <c r="S38" s="32">
        <v>488.133429456074</v>
      </c>
      <c r="T38" s="32">
        <v>517.45259921831496</v>
      </c>
      <c r="U38" s="32">
        <v>518.72938496160498</v>
      </c>
      <c r="V38" s="32">
        <v>542.519290749844</v>
      </c>
      <c r="W38" s="32">
        <v>544.17129516055002</v>
      </c>
      <c r="X38" s="32">
        <v>531.84119283963605</v>
      </c>
      <c r="Y38" s="32">
        <v>216.46990287664099</v>
      </c>
      <c r="Z38" s="32">
        <v>454.62431790768898</v>
      </c>
      <c r="AA38" s="32">
        <v>609.20398614224405</v>
      </c>
      <c r="AB38" s="32">
        <v>631.13343270454698</v>
      </c>
      <c r="AC38" s="32">
        <v>603.47147872339099</v>
      </c>
      <c r="AD38" s="32">
        <v>551.24833613764304</v>
      </c>
      <c r="AE38" s="32">
        <v>493.94410743063798</v>
      </c>
      <c r="AF38" s="32">
        <v>451.26819538247003</v>
      </c>
      <c r="AG38" s="32">
        <f t="shared" si="0"/>
        <v>11056.12029488913</v>
      </c>
      <c r="AH38" s="32">
        <f t="shared" ref="AH38" si="34">AG38*G38</f>
        <v>22112.240589778259</v>
      </c>
      <c r="AI38" s="59"/>
      <c r="AJ38" s="27"/>
      <c r="AK38" s="27"/>
    </row>
    <row r="39" spans="1:37" ht="12.75">
      <c r="A39" s="32">
        <v>2027</v>
      </c>
      <c r="B39" s="32">
        <v>9</v>
      </c>
      <c r="C39" s="32">
        <v>1</v>
      </c>
      <c r="D39" s="32">
        <v>22</v>
      </c>
      <c r="E39" s="32">
        <v>4</v>
      </c>
      <c r="F39" s="32">
        <v>4</v>
      </c>
      <c r="G39" s="32">
        <v>0</v>
      </c>
      <c r="H39" s="32">
        <v>30</v>
      </c>
      <c r="I39" s="32">
        <v>420.63111308206499</v>
      </c>
      <c r="J39" s="32">
        <v>402.81532064896697</v>
      </c>
      <c r="K39" s="32">
        <v>388.72497862607298</v>
      </c>
      <c r="L39" s="32">
        <v>378.55511593443202</v>
      </c>
      <c r="M39" s="32">
        <v>377.97798953541599</v>
      </c>
      <c r="N39" s="32">
        <v>370.91714655709899</v>
      </c>
      <c r="O39" s="32">
        <v>415.76136032898199</v>
      </c>
      <c r="P39" s="32">
        <v>474.84567047384797</v>
      </c>
      <c r="Q39" s="32">
        <v>509.12200334787099</v>
      </c>
      <c r="R39" s="32">
        <v>549.77657797654604</v>
      </c>
      <c r="S39" s="32">
        <v>580.94936388758003</v>
      </c>
      <c r="T39" s="32">
        <v>599.06964024843603</v>
      </c>
      <c r="U39" s="32">
        <v>564.672409344274</v>
      </c>
      <c r="V39" s="32">
        <v>571.83872714723805</v>
      </c>
      <c r="W39" s="32">
        <v>608.47680055241096</v>
      </c>
      <c r="X39" s="32">
        <v>626.53737418233402</v>
      </c>
      <c r="Y39" s="32">
        <v>594.26854563592497</v>
      </c>
      <c r="Z39" s="32">
        <v>589.74904890431401</v>
      </c>
      <c r="AA39" s="32">
        <v>626.03039849216304</v>
      </c>
      <c r="AB39" s="32">
        <v>625.71944676855503</v>
      </c>
      <c r="AC39" s="32">
        <v>603.58167413868102</v>
      </c>
      <c r="AD39" s="32">
        <v>557.02498703454296</v>
      </c>
      <c r="AE39" s="32">
        <v>497.56405216204303</v>
      </c>
      <c r="AF39" s="32">
        <v>457.95427532469103</v>
      </c>
      <c r="AG39" s="32">
        <f t="shared" si="0"/>
        <v>12392.564020334486</v>
      </c>
      <c r="AH39" s="32">
        <f t="shared" ref="AH39" si="35">AG39*D39</f>
        <v>272636.4084473587</v>
      </c>
      <c r="AI39" s="59">
        <f t="shared" ref="AI39" si="36">AH39+AH40+AH41+AH42</f>
        <v>355580.68986431265</v>
      </c>
      <c r="AJ39" s="27"/>
      <c r="AK39" s="27"/>
    </row>
    <row r="40" spans="1:37" ht="12.75">
      <c r="A40" s="32">
        <v>2027</v>
      </c>
      <c r="B40" s="32">
        <v>9</v>
      </c>
      <c r="C40" s="32">
        <v>2</v>
      </c>
      <c r="D40" s="32">
        <v>22</v>
      </c>
      <c r="E40" s="32">
        <v>4</v>
      </c>
      <c r="F40" s="32">
        <v>4</v>
      </c>
      <c r="G40" s="32">
        <v>0</v>
      </c>
      <c r="H40" s="32">
        <v>30</v>
      </c>
      <c r="I40" s="32">
        <v>407.85911265424897</v>
      </c>
      <c r="J40" s="32">
        <v>394.63942794317802</v>
      </c>
      <c r="K40" s="32">
        <v>381.89096513413898</v>
      </c>
      <c r="L40" s="32">
        <v>371.839929321059</v>
      </c>
      <c r="M40" s="32">
        <v>366.69724272536399</v>
      </c>
      <c r="N40" s="32">
        <v>343.18963767748897</v>
      </c>
      <c r="O40" s="32">
        <v>373.25868931798902</v>
      </c>
      <c r="P40" s="32">
        <v>418.70740498266002</v>
      </c>
      <c r="Q40" s="32">
        <v>448.43004484653</v>
      </c>
      <c r="R40" s="32">
        <v>460.94162313184501</v>
      </c>
      <c r="S40" s="32">
        <v>460.414364030652</v>
      </c>
      <c r="T40" s="32">
        <v>490.549641451978</v>
      </c>
      <c r="U40" s="32">
        <v>489.47474608626101</v>
      </c>
      <c r="V40" s="32">
        <v>511.902361477586</v>
      </c>
      <c r="W40" s="32">
        <v>521.80566285651605</v>
      </c>
      <c r="X40" s="32">
        <v>520.20350838960599</v>
      </c>
      <c r="Y40" s="32">
        <v>493.86602478411902</v>
      </c>
      <c r="Z40" s="32">
        <v>474.10017635292201</v>
      </c>
      <c r="AA40" s="32">
        <v>577.67475041964406</v>
      </c>
      <c r="AB40" s="32">
        <v>584.10883974144895</v>
      </c>
      <c r="AC40" s="32">
        <v>553.45139750976205</v>
      </c>
      <c r="AD40" s="32">
        <v>511.96349296758001</v>
      </c>
      <c r="AE40" s="32">
        <v>476.886753438455</v>
      </c>
      <c r="AF40" s="32">
        <v>441.071341738576</v>
      </c>
      <c r="AG40" s="32">
        <f t="shared" si="0"/>
        <v>11074.92713897961</v>
      </c>
      <c r="AH40" s="32">
        <f t="shared" ref="AH40" si="37">AG40*E40</f>
        <v>44299.708555918442</v>
      </c>
      <c r="AI40" s="59"/>
      <c r="AJ40" s="27"/>
      <c r="AK40" s="27"/>
    </row>
    <row r="41" spans="1:37" ht="12.75">
      <c r="A41" s="32">
        <v>2027</v>
      </c>
      <c r="B41" s="32">
        <v>9</v>
      </c>
      <c r="C41" s="32">
        <v>3</v>
      </c>
      <c r="D41" s="32">
        <v>22</v>
      </c>
      <c r="E41" s="32">
        <v>4</v>
      </c>
      <c r="F41" s="32">
        <v>4</v>
      </c>
      <c r="G41" s="32">
        <v>0</v>
      </c>
      <c r="H41" s="32">
        <v>30</v>
      </c>
      <c r="I41" s="32">
        <v>392.785509811238</v>
      </c>
      <c r="J41" s="32">
        <v>377.314102706413</v>
      </c>
      <c r="K41" s="32">
        <v>371.09096688771302</v>
      </c>
      <c r="L41" s="32">
        <v>280.31769565568197</v>
      </c>
      <c r="M41" s="32">
        <v>341.57380778961601</v>
      </c>
      <c r="N41" s="32">
        <v>322.86838681604598</v>
      </c>
      <c r="O41" s="32">
        <v>344.26761889632201</v>
      </c>
      <c r="P41" s="32">
        <v>380.27393366215898</v>
      </c>
      <c r="Q41" s="32">
        <v>397.98057975124698</v>
      </c>
      <c r="R41" s="32">
        <v>397.09704812266602</v>
      </c>
      <c r="S41" s="32">
        <v>405.48339589069099</v>
      </c>
      <c r="T41" s="32">
        <v>420.34497409970101</v>
      </c>
      <c r="U41" s="32">
        <v>419.47584787810803</v>
      </c>
      <c r="V41" s="32">
        <v>436.41900739684598</v>
      </c>
      <c r="W41" s="32">
        <v>432.212628556428</v>
      </c>
      <c r="X41" s="32">
        <v>450.93485583815101</v>
      </c>
      <c r="Y41" s="32">
        <v>349.01900230110903</v>
      </c>
      <c r="Z41" s="32">
        <v>368.36066208330402</v>
      </c>
      <c r="AA41" s="32">
        <v>400.80644042200697</v>
      </c>
      <c r="AB41" s="32">
        <v>536.30177782768601</v>
      </c>
      <c r="AC41" s="32">
        <v>516.06314137038805</v>
      </c>
      <c r="AD41" s="32">
        <v>479.92861848235998</v>
      </c>
      <c r="AE41" s="32">
        <v>439.37643745142702</v>
      </c>
      <c r="AF41" s="32">
        <v>400.846775561573</v>
      </c>
      <c r="AG41" s="32">
        <f t="shared" si="0"/>
        <v>9661.1432152588804</v>
      </c>
      <c r="AH41" s="32">
        <f t="shared" ref="AH41" si="38">AG41*F41</f>
        <v>38644.572861035522</v>
      </c>
      <c r="AI41" s="59"/>
      <c r="AJ41" s="27"/>
      <c r="AK41" s="27"/>
    </row>
    <row r="42" spans="1:37" ht="12.75">
      <c r="A42" s="32">
        <v>2027</v>
      </c>
      <c r="B42" s="32">
        <v>9</v>
      </c>
      <c r="C42" s="32">
        <v>4</v>
      </c>
      <c r="D42" s="32">
        <v>22</v>
      </c>
      <c r="E42" s="32">
        <v>4</v>
      </c>
      <c r="F42" s="32">
        <v>4</v>
      </c>
      <c r="G42" s="32">
        <v>0</v>
      </c>
      <c r="H42" s="32">
        <v>30</v>
      </c>
      <c r="I42" s="32" t="s">
        <v>38</v>
      </c>
      <c r="J42" s="32" t="s">
        <v>38</v>
      </c>
      <c r="K42" s="32" t="s">
        <v>38</v>
      </c>
      <c r="L42" s="32" t="s">
        <v>38</v>
      </c>
      <c r="M42" s="32" t="s">
        <v>38</v>
      </c>
      <c r="N42" s="32" t="s">
        <v>38</v>
      </c>
      <c r="O42" s="32" t="s">
        <v>38</v>
      </c>
      <c r="P42" s="32" t="s">
        <v>38</v>
      </c>
      <c r="Q42" s="32" t="s">
        <v>38</v>
      </c>
      <c r="R42" s="32" t="s">
        <v>38</v>
      </c>
      <c r="S42" s="32" t="s">
        <v>38</v>
      </c>
      <c r="T42" s="32" t="s">
        <v>38</v>
      </c>
      <c r="U42" s="32" t="s">
        <v>38</v>
      </c>
      <c r="V42" s="32" t="s">
        <v>38</v>
      </c>
      <c r="W42" s="32" t="s">
        <v>38</v>
      </c>
      <c r="X42" s="32" t="s">
        <v>38</v>
      </c>
      <c r="Y42" s="32" t="s">
        <v>38</v>
      </c>
      <c r="Z42" s="32" t="s">
        <v>38</v>
      </c>
      <c r="AA42" s="32" t="s">
        <v>38</v>
      </c>
      <c r="AB42" s="32" t="s">
        <v>38</v>
      </c>
      <c r="AC42" s="32" t="s">
        <v>38</v>
      </c>
      <c r="AD42" s="32" t="s">
        <v>38</v>
      </c>
      <c r="AE42" s="32" t="s">
        <v>38</v>
      </c>
      <c r="AF42" s="32" t="s">
        <v>38</v>
      </c>
      <c r="AG42" s="32">
        <f t="shared" si="0"/>
        <v>0</v>
      </c>
      <c r="AH42" s="32">
        <f t="shared" ref="AH42" si="39">AG42*G42</f>
        <v>0</v>
      </c>
      <c r="AI42" s="59"/>
      <c r="AJ42" s="27"/>
      <c r="AK42" s="27"/>
    </row>
    <row r="43" spans="1:37" ht="12.75">
      <c r="A43" s="32">
        <v>2027</v>
      </c>
      <c r="B43" s="32">
        <v>10</v>
      </c>
      <c r="C43" s="32">
        <v>1</v>
      </c>
      <c r="D43" s="32">
        <v>20</v>
      </c>
      <c r="E43" s="32">
        <v>5</v>
      </c>
      <c r="F43" s="32">
        <v>5</v>
      </c>
      <c r="G43" s="32">
        <v>1</v>
      </c>
      <c r="H43" s="32">
        <v>31</v>
      </c>
      <c r="I43" s="32">
        <v>436.34902694075203</v>
      </c>
      <c r="J43" s="32">
        <v>417.99156732490701</v>
      </c>
      <c r="K43" s="32">
        <v>395.51245631688698</v>
      </c>
      <c r="L43" s="32">
        <v>383.65614354164501</v>
      </c>
      <c r="M43" s="32">
        <v>377.68209113921102</v>
      </c>
      <c r="N43" s="32">
        <v>362.84064478191902</v>
      </c>
      <c r="O43" s="32">
        <v>428.43220096280697</v>
      </c>
      <c r="P43" s="32">
        <v>498.12474744329</v>
      </c>
      <c r="Q43" s="32">
        <v>544.37472710355803</v>
      </c>
      <c r="R43" s="32">
        <v>563.27270523495201</v>
      </c>
      <c r="S43" s="32">
        <v>579.65606842806301</v>
      </c>
      <c r="T43" s="32">
        <v>603.53524446529298</v>
      </c>
      <c r="U43" s="32">
        <v>571.146379495877</v>
      </c>
      <c r="V43" s="32">
        <v>598.06197909459695</v>
      </c>
      <c r="W43" s="32">
        <v>629.44359712360995</v>
      </c>
      <c r="X43" s="32">
        <v>623.632105212542</v>
      </c>
      <c r="Y43" s="32">
        <v>570.25407430586495</v>
      </c>
      <c r="Z43" s="32">
        <v>602.94503117788599</v>
      </c>
      <c r="AA43" s="32">
        <v>644.46866987505803</v>
      </c>
      <c r="AB43" s="32">
        <v>608.17660908088305</v>
      </c>
      <c r="AC43" s="32">
        <v>590.24593508732596</v>
      </c>
      <c r="AD43" s="32">
        <v>566.92697432369596</v>
      </c>
      <c r="AE43" s="32">
        <v>522.57533675086199</v>
      </c>
      <c r="AF43" s="32">
        <v>479.40705931255098</v>
      </c>
      <c r="AG43" s="32">
        <f t="shared" si="0"/>
        <v>12598.711374524037</v>
      </c>
      <c r="AH43" s="32">
        <f t="shared" ref="AH43" si="40">AG43*D43</f>
        <v>251974.22749048073</v>
      </c>
      <c r="AI43" s="59">
        <f t="shared" ref="AI43" si="41">AH43+AH44+AH45+AH46</f>
        <v>375703.23526175495</v>
      </c>
      <c r="AJ43" s="27"/>
      <c r="AK43" s="27"/>
    </row>
    <row r="44" spans="1:37" ht="12.75">
      <c r="A44" s="32">
        <v>2027</v>
      </c>
      <c r="B44" s="32">
        <v>10</v>
      </c>
      <c r="C44" s="32">
        <v>2</v>
      </c>
      <c r="D44" s="32">
        <v>20</v>
      </c>
      <c r="E44" s="32">
        <v>5</v>
      </c>
      <c r="F44" s="32">
        <v>5</v>
      </c>
      <c r="G44" s="32">
        <v>1</v>
      </c>
      <c r="H44" s="32">
        <v>31</v>
      </c>
      <c r="I44" s="32">
        <v>483.89198673106802</v>
      </c>
      <c r="J44" s="32">
        <v>464.783391533295</v>
      </c>
      <c r="K44" s="32">
        <v>451.756134024804</v>
      </c>
      <c r="L44" s="32">
        <v>435.93827142617403</v>
      </c>
      <c r="M44" s="32">
        <v>429.75850438671603</v>
      </c>
      <c r="N44" s="32">
        <v>398.35954168042201</v>
      </c>
      <c r="O44" s="32">
        <v>383.656324966223</v>
      </c>
      <c r="P44" s="32">
        <v>484.44265904151399</v>
      </c>
      <c r="Q44" s="32">
        <v>526.22724831777998</v>
      </c>
      <c r="R44" s="32">
        <v>539.16139698151005</v>
      </c>
      <c r="S44" s="32">
        <v>553.99762633108196</v>
      </c>
      <c r="T44" s="32">
        <v>570.03895015713897</v>
      </c>
      <c r="U44" s="32">
        <v>562.731235969713</v>
      </c>
      <c r="V44" s="32">
        <v>583.82703993996802</v>
      </c>
      <c r="W44" s="32">
        <v>573.02907420033796</v>
      </c>
      <c r="X44" s="32">
        <v>453.70875951208802</v>
      </c>
      <c r="Y44" s="32">
        <v>547.99077571760995</v>
      </c>
      <c r="Z44" s="32">
        <v>586.59281600483598</v>
      </c>
      <c r="AA44" s="32">
        <v>582.91191300859703</v>
      </c>
      <c r="AB44" s="32">
        <v>617.62555058840201</v>
      </c>
      <c r="AC44" s="32">
        <v>561.92783965205695</v>
      </c>
      <c r="AD44" s="32">
        <v>523.50847005074297</v>
      </c>
      <c r="AE44" s="32">
        <v>452.06206308616299</v>
      </c>
      <c r="AF44" s="32">
        <v>460.77173045042701</v>
      </c>
      <c r="AG44" s="32">
        <f t="shared" si="0"/>
        <v>12228.699303758669</v>
      </c>
      <c r="AH44" s="32">
        <f t="shared" ref="AH44" si="42">AG44*E44</f>
        <v>61143.496518793341</v>
      </c>
      <c r="AI44" s="59"/>
      <c r="AJ44" s="27"/>
      <c r="AK44" s="27"/>
    </row>
    <row r="45" spans="1:37" ht="12.75">
      <c r="A45" s="32">
        <v>2027</v>
      </c>
      <c r="B45" s="32">
        <v>10</v>
      </c>
      <c r="C45" s="32">
        <v>3</v>
      </c>
      <c r="D45" s="32">
        <v>20</v>
      </c>
      <c r="E45" s="32">
        <v>5</v>
      </c>
      <c r="F45" s="32">
        <v>5</v>
      </c>
      <c r="G45" s="32">
        <v>1</v>
      </c>
      <c r="H45" s="32">
        <v>31</v>
      </c>
      <c r="I45" s="32">
        <v>353.52310302593298</v>
      </c>
      <c r="J45" s="32">
        <v>393.35109651169898</v>
      </c>
      <c r="K45" s="32">
        <v>380.91850527832997</v>
      </c>
      <c r="L45" s="32">
        <v>371.09310813224698</v>
      </c>
      <c r="M45" s="32">
        <v>369.38229220259001</v>
      </c>
      <c r="N45" s="32">
        <v>343.08191146685198</v>
      </c>
      <c r="O45" s="32">
        <v>375.24723737798797</v>
      </c>
      <c r="P45" s="32">
        <v>411.117261935057</v>
      </c>
      <c r="Q45" s="32">
        <v>426.20422505348</v>
      </c>
      <c r="R45" s="32">
        <v>427.37622087176499</v>
      </c>
      <c r="S45" s="32">
        <v>440.76230022848301</v>
      </c>
      <c r="T45" s="32">
        <v>450.96760279871398</v>
      </c>
      <c r="U45" s="32">
        <v>461.85574191561398</v>
      </c>
      <c r="V45" s="32">
        <v>488.85385744995</v>
      </c>
      <c r="W45" s="32">
        <v>479.86524545378501</v>
      </c>
      <c r="X45" s="32">
        <v>375.15288178244799</v>
      </c>
      <c r="Y45" s="32">
        <v>424.220274505156</v>
      </c>
      <c r="Z45" s="32">
        <v>502.16296250504399</v>
      </c>
      <c r="AA45" s="32">
        <v>551.07640662450206</v>
      </c>
      <c r="AB45" s="32">
        <v>549.35069244291799</v>
      </c>
      <c r="AC45" s="32">
        <v>521.61759648016698</v>
      </c>
      <c r="AD45" s="32">
        <v>486.301290286398</v>
      </c>
      <c r="AE45" s="32">
        <v>447.80172426415299</v>
      </c>
      <c r="AF45" s="32">
        <v>413.28744063247302</v>
      </c>
      <c r="AG45" s="32">
        <f t="shared" si="0"/>
        <v>10444.570979225746</v>
      </c>
      <c r="AH45" s="32">
        <f t="shared" ref="AH45" si="43">AG45*F45</f>
        <v>52222.854896128731</v>
      </c>
      <c r="AI45" s="59"/>
      <c r="AJ45" s="27"/>
      <c r="AK45" s="27"/>
    </row>
    <row r="46" spans="1:37" ht="12.75">
      <c r="A46" s="32">
        <v>2027</v>
      </c>
      <c r="B46" s="32">
        <v>10</v>
      </c>
      <c r="C46" s="32">
        <v>4</v>
      </c>
      <c r="D46" s="32">
        <v>20</v>
      </c>
      <c r="E46" s="32">
        <v>5</v>
      </c>
      <c r="F46" s="32">
        <v>5</v>
      </c>
      <c r="G46" s="32">
        <v>1</v>
      </c>
      <c r="H46" s="32">
        <v>31</v>
      </c>
      <c r="I46" s="32">
        <v>336.22398061805802</v>
      </c>
      <c r="J46" s="32">
        <v>325.300376986321</v>
      </c>
      <c r="K46" s="32">
        <v>129.474799685661</v>
      </c>
      <c r="L46" s="32">
        <v>340.38817278842203</v>
      </c>
      <c r="M46" s="32">
        <v>331.54173136488799</v>
      </c>
      <c r="N46" s="32">
        <v>78.705205570675702</v>
      </c>
      <c r="O46" s="32">
        <v>390.63477594362303</v>
      </c>
      <c r="P46" s="32">
        <v>414.13976587207702</v>
      </c>
      <c r="Q46" s="32">
        <v>423.97791656841201</v>
      </c>
      <c r="R46" s="32">
        <v>446.89084125937302</v>
      </c>
      <c r="S46" s="32">
        <v>387.07251676470997</v>
      </c>
      <c r="T46" s="32">
        <v>488.00977200323001</v>
      </c>
      <c r="U46" s="32">
        <v>495.519132765427</v>
      </c>
      <c r="V46" s="32">
        <v>521.16542530281299</v>
      </c>
      <c r="W46" s="32">
        <v>523.00082753903996</v>
      </c>
      <c r="X46" s="32">
        <v>517.60316612389897</v>
      </c>
      <c r="Y46" s="32">
        <v>512.36338877209005</v>
      </c>
      <c r="Z46" s="32">
        <v>540.51609081486095</v>
      </c>
      <c r="AA46" s="32">
        <v>582.02973171704696</v>
      </c>
      <c r="AB46" s="32">
        <v>594.58151475188902</v>
      </c>
      <c r="AC46" s="32">
        <v>560.66604439752405</v>
      </c>
      <c r="AD46" s="32">
        <v>519.58658466949998</v>
      </c>
      <c r="AE46" s="32">
        <v>470.37609567991097</v>
      </c>
      <c r="AF46" s="32">
        <v>432.88849839267402</v>
      </c>
      <c r="AG46" s="32">
        <f t="shared" si="0"/>
        <v>10362.656356352125</v>
      </c>
      <c r="AH46" s="32">
        <f t="shared" ref="AH46" si="44">AG46*G46</f>
        <v>10362.656356352125</v>
      </c>
      <c r="AI46" s="59"/>
      <c r="AJ46" s="27"/>
      <c r="AK46" s="27"/>
    </row>
    <row r="47" spans="1:37" ht="12.75">
      <c r="A47" s="32">
        <v>2027</v>
      </c>
      <c r="B47" s="32">
        <v>11</v>
      </c>
      <c r="C47" s="32">
        <v>1</v>
      </c>
      <c r="D47" s="32">
        <v>20</v>
      </c>
      <c r="E47" s="32">
        <v>4</v>
      </c>
      <c r="F47" s="32">
        <v>4</v>
      </c>
      <c r="G47" s="32">
        <v>2</v>
      </c>
      <c r="H47" s="32">
        <v>30</v>
      </c>
      <c r="I47" s="32">
        <v>413.71227052118797</v>
      </c>
      <c r="J47" s="32">
        <v>396.82979992418598</v>
      </c>
      <c r="K47" s="32">
        <v>384.78813688396298</v>
      </c>
      <c r="L47" s="32">
        <v>379.19623428346199</v>
      </c>
      <c r="M47" s="32">
        <v>366.302078368617</v>
      </c>
      <c r="N47" s="32">
        <v>348.38148712190002</v>
      </c>
      <c r="O47" s="32">
        <v>413.68064703541899</v>
      </c>
      <c r="P47" s="32">
        <v>467.94368730117498</v>
      </c>
      <c r="Q47" s="32">
        <v>526.36055140693702</v>
      </c>
      <c r="R47" s="32">
        <v>536.85015999431596</v>
      </c>
      <c r="S47" s="32">
        <v>546.475025704573</v>
      </c>
      <c r="T47" s="32">
        <v>562.504198682263</v>
      </c>
      <c r="U47" s="32">
        <v>548.47633633178202</v>
      </c>
      <c r="V47" s="32">
        <v>569.697930684933</v>
      </c>
      <c r="W47" s="32">
        <v>607.43625056978499</v>
      </c>
      <c r="X47" s="32">
        <v>583.62139362954701</v>
      </c>
      <c r="Y47" s="32">
        <v>561.344545805096</v>
      </c>
      <c r="Z47" s="32">
        <v>583.03150700571405</v>
      </c>
      <c r="AA47" s="32">
        <v>632.779422871149</v>
      </c>
      <c r="AB47" s="32">
        <v>617.44623482861402</v>
      </c>
      <c r="AC47" s="32">
        <v>581.62594589175501</v>
      </c>
      <c r="AD47" s="32">
        <v>533.426299198587</v>
      </c>
      <c r="AE47" s="32">
        <v>477.81772581165001</v>
      </c>
      <c r="AF47" s="32">
        <v>447.890373599957</v>
      </c>
      <c r="AG47" s="32">
        <f t="shared" si="0"/>
        <v>12087.618243456571</v>
      </c>
      <c r="AH47" s="32">
        <f t="shared" ref="AH47" si="45">AG47*D47</f>
        <v>241752.36486913142</v>
      </c>
      <c r="AI47" s="59">
        <f t="shared" ref="AI47" si="46">AH47+AH48+AH49+AH50</f>
        <v>342740.13518246321</v>
      </c>
      <c r="AJ47" s="27"/>
      <c r="AK47" s="27"/>
    </row>
    <row r="48" spans="1:37" ht="12.75">
      <c r="A48" s="32">
        <v>2027</v>
      </c>
      <c r="B48" s="32">
        <v>11</v>
      </c>
      <c r="C48" s="32">
        <v>2</v>
      </c>
      <c r="D48" s="32">
        <v>20</v>
      </c>
      <c r="E48" s="32">
        <v>4</v>
      </c>
      <c r="F48" s="32">
        <v>4</v>
      </c>
      <c r="G48" s="32">
        <v>2</v>
      </c>
      <c r="H48" s="32">
        <v>30</v>
      </c>
      <c r="I48" s="32">
        <v>404.39474663380702</v>
      </c>
      <c r="J48" s="32">
        <v>389.522526437382</v>
      </c>
      <c r="K48" s="32">
        <v>376.06414559515702</v>
      </c>
      <c r="L48" s="32">
        <v>371.85687277643098</v>
      </c>
      <c r="M48" s="32">
        <v>364.12233983875097</v>
      </c>
      <c r="N48" s="32">
        <v>344.05218084012199</v>
      </c>
      <c r="O48" s="32">
        <v>377.31654308538202</v>
      </c>
      <c r="P48" s="32">
        <v>417.00922682343901</v>
      </c>
      <c r="Q48" s="32">
        <v>446.80748117094703</v>
      </c>
      <c r="R48" s="32">
        <v>391.086555646855</v>
      </c>
      <c r="S48" s="32">
        <v>485.62886806131201</v>
      </c>
      <c r="T48" s="32">
        <v>507.38731758289703</v>
      </c>
      <c r="U48" s="32">
        <v>489.89289014131299</v>
      </c>
      <c r="V48" s="32">
        <v>499.096054823391</v>
      </c>
      <c r="W48" s="32">
        <v>508.29921950546799</v>
      </c>
      <c r="X48" s="32">
        <v>382.83834405107399</v>
      </c>
      <c r="Y48" s="32">
        <v>387.86750272275998</v>
      </c>
      <c r="Z48" s="32">
        <v>533.71897481488304</v>
      </c>
      <c r="AA48" s="32">
        <v>560.06433014441905</v>
      </c>
      <c r="AB48" s="32">
        <v>541.73236188124599</v>
      </c>
      <c r="AC48" s="32">
        <v>505.82573446227298</v>
      </c>
      <c r="AD48" s="32">
        <v>474.24966273996898</v>
      </c>
      <c r="AE48" s="32">
        <v>438.06711649892998</v>
      </c>
      <c r="AF48" s="32">
        <v>406.29535766877802</v>
      </c>
      <c r="AG48" s="32">
        <f t="shared" si="0"/>
        <v>10603.196353946985</v>
      </c>
      <c r="AH48" s="32">
        <f t="shared" ref="AH48" si="47">AG48*E48</f>
        <v>42412.785415787941</v>
      </c>
      <c r="AI48" s="59"/>
      <c r="AJ48" s="27"/>
      <c r="AK48" s="27"/>
    </row>
    <row r="49" spans="1:37" ht="12.75">
      <c r="A49" s="32">
        <v>2027</v>
      </c>
      <c r="B49" s="32">
        <v>11</v>
      </c>
      <c r="C49" s="32">
        <v>3</v>
      </c>
      <c r="D49" s="32">
        <v>20</v>
      </c>
      <c r="E49" s="32">
        <v>4</v>
      </c>
      <c r="F49" s="32">
        <v>4</v>
      </c>
      <c r="G49" s="32">
        <v>2</v>
      </c>
      <c r="H49" s="32">
        <v>30</v>
      </c>
      <c r="I49" s="32">
        <v>368.01032405201403</v>
      </c>
      <c r="J49" s="32">
        <v>354.05275629230698</v>
      </c>
      <c r="K49" s="32">
        <v>340.14433489794999</v>
      </c>
      <c r="L49" s="32">
        <v>335.75158595680898</v>
      </c>
      <c r="M49" s="32">
        <v>329.334474823824</v>
      </c>
      <c r="N49" s="32">
        <v>309.69699141139898</v>
      </c>
      <c r="O49" s="32">
        <v>335.65563352921799</v>
      </c>
      <c r="P49" s="32">
        <v>362.04723172274902</v>
      </c>
      <c r="Q49" s="32">
        <v>376.03288311979998</v>
      </c>
      <c r="R49" s="32">
        <v>388.54648385943</v>
      </c>
      <c r="S49" s="32">
        <v>405.85302537234702</v>
      </c>
      <c r="T49" s="32">
        <v>415.40848297846497</v>
      </c>
      <c r="U49" s="32">
        <v>413.267105631025</v>
      </c>
      <c r="V49" s="32">
        <v>393.014122500155</v>
      </c>
      <c r="W49" s="32">
        <v>337.141726005311</v>
      </c>
      <c r="X49" s="32">
        <v>433.580936642805</v>
      </c>
      <c r="Y49" s="32">
        <v>423.04021142655398</v>
      </c>
      <c r="Z49" s="32">
        <v>466.46687597201498</v>
      </c>
      <c r="AA49" s="32">
        <v>508.51978259075798</v>
      </c>
      <c r="AB49" s="32">
        <v>500.668065650144</v>
      </c>
      <c r="AC49" s="32">
        <v>476.342955104471</v>
      </c>
      <c r="AD49" s="32">
        <v>436.21845824998002</v>
      </c>
      <c r="AE49" s="32">
        <v>397.70643023962703</v>
      </c>
      <c r="AF49" s="32">
        <v>369.35599834138901</v>
      </c>
      <c r="AG49" s="32">
        <f t="shared" si="0"/>
        <v>9475.8568763705443</v>
      </c>
      <c r="AH49" s="32">
        <f t="shared" ref="AH49" si="48">AG49*F49</f>
        <v>37903.427505482177</v>
      </c>
      <c r="AI49" s="59"/>
      <c r="AJ49" s="27"/>
      <c r="AK49" s="27"/>
    </row>
    <row r="50" spans="1:37" ht="12.75">
      <c r="A50" s="32">
        <v>2027</v>
      </c>
      <c r="B50" s="32">
        <v>11</v>
      </c>
      <c r="C50" s="32">
        <v>4</v>
      </c>
      <c r="D50" s="32">
        <v>20</v>
      </c>
      <c r="E50" s="32">
        <v>4</v>
      </c>
      <c r="F50" s="32">
        <v>4</v>
      </c>
      <c r="G50" s="32">
        <v>2</v>
      </c>
      <c r="H50" s="32">
        <v>30</v>
      </c>
      <c r="I50" s="32">
        <v>368.06557963200498</v>
      </c>
      <c r="J50" s="32">
        <v>355.02588454002102</v>
      </c>
      <c r="K50" s="32">
        <v>341.66225189847597</v>
      </c>
      <c r="L50" s="32">
        <v>333.55897827067997</v>
      </c>
      <c r="M50" s="32">
        <v>324.89002265335398</v>
      </c>
      <c r="N50" s="32">
        <v>305.95659811489901</v>
      </c>
      <c r="O50" s="32">
        <v>336.677481546293</v>
      </c>
      <c r="P50" s="32">
        <v>379.72733141616101</v>
      </c>
      <c r="Q50" s="32">
        <v>417.93745759782701</v>
      </c>
      <c r="R50" s="32">
        <v>432.99813620796198</v>
      </c>
      <c r="S50" s="32">
        <v>449.39807901553002</v>
      </c>
      <c r="T50" s="32">
        <v>472.92464791341598</v>
      </c>
      <c r="U50" s="32">
        <v>467.045423133344</v>
      </c>
      <c r="V50" s="32">
        <v>486.82011832289498</v>
      </c>
      <c r="W50" s="32">
        <v>497.819490341532</v>
      </c>
      <c r="X50" s="32">
        <v>499.18776387176302</v>
      </c>
      <c r="Y50" s="32">
        <v>480.91671909882598</v>
      </c>
      <c r="Z50" s="32">
        <v>518.29524440699595</v>
      </c>
      <c r="AA50" s="32">
        <v>560.50865851456604</v>
      </c>
      <c r="AB50" s="32">
        <v>548.20386652009097</v>
      </c>
      <c r="AC50" s="32">
        <v>448.15067770528498</v>
      </c>
      <c r="AD50" s="32">
        <v>479.05045202225699</v>
      </c>
      <c r="AE50" s="32">
        <v>432.32608666484498</v>
      </c>
      <c r="AF50" s="32">
        <v>398.63174662181899</v>
      </c>
      <c r="AG50" s="32">
        <f t="shared" si="0"/>
        <v>10335.778696030846</v>
      </c>
      <c r="AH50" s="32">
        <f t="shared" ref="AH50" si="49">AG50*G50</f>
        <v>20671.557392061692</v>
      </c>
      <c r="AI50" s="59"/>
      <c r="AJ50" s="27"/>
      <c r="AK50" s="27"/>
    </row>
    <row r="51" spans="1:37" ht="12.75">
      <c r="A51" s="32">
        <v>2027</v>
      </c>
      <c r="B51" s="32">
        <v>12</v>
      </c>
      <c r="C51" s="32">
        <v>1</v>
      </c>
      <c r="D51" s="32">
        <v>22</v>
      </c>
      <c r="E51" s="32">
        <v>3</v>
      </c>
      <c r="F51" s="32">
        <v>4</v>
      </c>
      <c r="G51" s="32">
        <v>2</v>
      </c>
      <c r="H51" s="32">
        <v>31</v>
      </c>
      <c r="I51" s="32">
        <v>439.78618524234997</v>
      </c>
      <c r="J51" s="32">
        <v>421.40330208764698</v>
      </c>
      <c r="K51" s="32">
        <v>407.392396472896</v>
      </c>
      <c r="L51" s="32">
        <v>396.66158165295502</v>
      </c>
      <c r="M51" s="32">
        <v>386.27093533657302</v>
      </c>
      <c r="N51" s="32">
        <v>364.916131406202</v>
      </c>
      <c r="O51" s="32">
        <v>406.86220620034402</v>
      </c>
      <c r="P51" s="32">
        <v>466.14949041036101</v>
      </c>
      <c r="Q51" s="32">
        <v>513.55632809803205</v>
      </c>
      <c r="R51" s="32">
        <v>536.301933846427</v>
      </c>
      <c r="S51" s="32">
        <v>537.25799933233498</v>
      </c>
      <c r="T51" s="32">
        <v>555.73343194965696</v>
      </c>
      <c r="U51" s="32">
        <v>561.00333619075502</v>
      </c>
      <c r="V51" s="32">
        <v>594.62931275240703</v>
      </c>
      <c r="W51" s="32">
        <v>616.50987639594803</v>
      </c>
      <c r="X51" s="32">
        <v>608.48957934821499</v>
      </c>
      <c r="Y51" s="32">
        <v>585.31676921865005</v>
      </c>
      <c r="Z51" s="32">
        <v>610.26967965048698</v>
      </c>
      <c r="AA51" s="32">
        <v>637.60426189161103</v>
      </c>
      <c r="AB51" s="32">
        <v>625.91644624544995</v>
      </c>
      <c r="AC51" s="32">
        <v>601.18014093888996</v>
      </c>
      <c r="AD51" s="32">
        <v>562.26604561424097</v>
      </c>
      <c r="AE51" s="32">
        <v>522.06610350045196</v>
      </c>
      <c r="AF51" s="32">
        <v>475.643686878724</v>
      </c>
      <c r="AG51" s="32">
        <f t="shared" si="0"/>
        <v>12433.187160661608</v>
      </c>
      <c r="AH51" s="32">
        <f t="shared" ref="AH51" si="50">AG51*D51</f>
        <v>273530.11753455538</v>
      </c>
      <c r="AI51" s="59">
        <f t="shared" ref="AI51" si="51">AH51+AH52+AH53+AH54</f>
        <v>371134.83268246666</v>
      </c>
      <c r="AJ51" s="27"/>
      <c r="AK51" s="27"/>
    </row>
    <row r="52" spans="1:37" ht="12.75">
      <c r="A52" s="32">
        <v>2027</v>
      </c>
      <c r="B52" s="32">
        <v>12</v>
      </c>
      <c r="C52" s="32">
        <v>2</v>
      </c>
      <c r="D52" s="32">
        <v>22</v>
      </c>
      <c r="E52" s="32">
        <v>3</v>
      </c>
      <c r="F52" s="32">
        <v>4</v>
      </c>
      <c r="G52" s="32">
        <v>2</v>
      </c>
      <c r="H52" s="32">
        <v>31</v>
      </c>
      <c r="I52" s="32">
        <v>447.18223549357498</v>
      </c>
      <c r="J52" s="32">
        <v>429.05926783856802</v>
      </c>
      <c r="K52" s="32">
        <v>409.14533060245498</v>
      </c>
      <c r="L52" s="32">
        <v>386.72609158502399</v>
      </c>
      <c r="M52" s="32">
        <v>370.101165918231</v>
      </c>
      <c r="N52" s="32">
        <v>346.31236192701402</v>
      </c>
      <c r="O52" s="32">
        <v>366.33421985524501</v>
      </c>
      <c r="P52" s="32">
        <v>398.16311540927501</v>
      </c>
      <c r="Q52" s="32">
        <v>452.15172641159302</v>
      </c>
      <c r="R52" s="32">
        <v>467.32229227507798</v>
      </c>
      <c r="S52" s="32">
        <v>492.62712503652898</v>
      </c>
      <c r="T52" s="32">
        <v>515.74527901244005</v>
      </c>
      <c r="U52" s="32">
        <v>511.59290190617401</v>
      </c>
      <c r="V52" s="32">
        <v>544.71427622533497</v>
      </c>
      <c r="W52" s="32">
        <v>562.919469169575</v>
      </c>
      <c r="X52" s="32">
        <v>558.63347596830602</v>
      </c>
      <c r="Y52" s="32">
        <v>542.38370318363695</v>
      </c>
      <c r="Z52" s="32">
        <v>573.23103434744803</v>
      </c>
      <c r="AA52" s="32">
        <v>609.90608288564704</v>
      </c>
      <c r="AB52" s="32">
        <v>593.76166125280895</v>
      </c>
      <c r="AC52" s="32">
        <v>559.545662770734</v>
      </c>
      <c r="AD52" s="32">
        <v>528.813960919907</v>
      </c>
      <c r="AE52" s="32">
        <v>497.97690791725</v>
      </c>
      <c r="AF52" s="32">
        <v>460.89844155375198</v>
      </c>
      <c r="AG52" s="32">
        <f t="shared" si="0"/>
        <v>11625.247789465599</v>
      </c>
      <c r="AH52" s="32">
        <f t="shared" ref="AH52" si="52">AG52*E52</f>
        <v>34875.743368396797</v>
      </c>
      <c r="AI52" s="59"/>
      <c r="AJ52" s="27"/>
      <c r="AK52" s="27"/>
    </row>
    <row r="53" spans="1:37" ht="12.75">
      <c r="A53" s="32">
        <v>2027</v>
      </c>
      <c r="B53" s="32">
        <v>12</v>
      </c>
      <c r="C53" s="32">
        <v>3</v>
      </c>
      <c r="D53" s="32">
        <v>22</v>
      </c>
      <c r="E53" s="32">
        <v>3</v>
      </c>
      <c r="F53" s="32">
        <v>4</v>
      </c>
      <c r="G53" s="32">
        <v>2</v>
      </c>
      <c r="H53" s="32">
        <v>31</v>
      </c>
      <c r="I53" s="32">
        <v>416.94731191359898</v>
      </c>
      <c r="J53" s="32">
        <v>399.56487138297501</v>
      </c>
      <c r="K53" s="32">
        <v>389.07639568259498</v>
      </c>
      <c r="L53" s="32">
        <v>379.37141569600499</v>
      </c>
      <c r="M53" s="32">
        <v>368.33668598652002</v>
      </c>
      <c r="N53" s="32">
        <v>334.38321142784798</v>
      </c>
      <c r="O53" s="32">
        <v>328.61365266014298</v>
      </c>
      <c r="P53" s="32">
        <v>409.77224556772001</v>
      </c>
      <c r="Q53" s="32">
        <v>431.04624750627801</v>
      </c>
      <c r="R53" s="32">
        <v>375.62738274308498</v>
      </c>
      <c r="S53" s="32">
        <v>406.83164460629399</v>
      </c>
      <c r="T53" s="32">
        <v>474.91802022297799</v>
      </c>
      <c r="U53" s="32">
        <v>480.58989122993103</v>
      </c>
      <c r="V53" s="32">
        <v>504.73072990240797</v>
      </c>
      <c r="W53" s="32">
        <v>508.96718891463098</v>
      </c>
      <c r="X53" s="32">
        <v>492.97829419555802</v>
      </c>
      <c r="Y53" s="32">
        <v>458.27122833965302</v>
      </c>
      <c r="Z53" s="32">
        <v>524.23239675302898</v>
      </c>
      <c r="AA53" s="32">
        <v>574.57149795709495</v>
      </c>
      <c r="AB53" s="32">
        <v>524.36796344141999</v>
      </c>
      <c r="AC53" s="32">
        <v>544.90432310490803</v>
      </c>
      <c r="AD53" s="32">
        <v>517.91060309290594</v>
      </c>
      <c r="AE53" s="32">
        <v>482.33431552908201</v>
      </c>
      <c r="AF53" s="32">
        <v>437.73287504839402</v>
      </c>
      <c r="AG53" s="32">
        <f t="shared" si="0"/>
        <v>10766.080392905054</v>
      </c>
      <c r="AH53" s="32">
        <f t="shared" ref="AH53" si="53">AG53*F53</f>
        <v>43064.321571620218</v>
      </c>
      <c r="AI53" s="59"/>
      <c r="AJ53" s="27"/>
      <c r="AK53" s="27"/>
    </row>
    <row r="54" spans="1:37" ht="12.75">
      <c r="A54" s="32">
        <v>2027</v>
      </c>
      <c r="B54" s="32">
        <v>12</v>
      </c>
      <c r="C54" s="32">
        <v>4</v>
      </c>
      <c r="D54" s="32">
        <v>22</v>
      </c>
      <c r="E54" s="32">
        <v>3</v>
      </c>
      <c r="F54" s="32">
        <v>4</v>
      </c>
      <c r="G54" s="32">
        <v>2</v>
      </c>
      <c r="H54" s="32">
        <v>31</v>
      </c>
      <c r="I54" s="32">
        <v>407.18629729218401</v>
      </c>
      <c r="J54" s="32">
        <v>389.54779456150101</v>
      </c>
      <c r="K54" s="32">
        <v>377.49319352401199</v>
      </c>
      <c r="L54" s="32">
        <v>375.56367775568401</v>
      </c>
      <c r="M54" s="32">
        <v>369.55099478063897</v>
      </c>
      <c r="N54" s="32">
        <v>342.839869927157</v>
      </c>
      <c r="O54" s="32">
        <v>355.742288499214</v>
      </c>
      <c r="P54" s="32">
        <v>374.46248946365699</v>
      </c>
      <c r="Q54" s="32">
        <v>374.84254559984299</v>
      </c>
      <c r="R54" s="32">
        <v>384.80196537374297</v>
      </c>
      <c r="S54" s="32">
        <v>400.78381315182003</v>
      </c>
      <c r="T54" s="32">
        <v>406.12408911669002</v>
      </c>
      <c r="U54" s="32">
        <v>414.63149954977598</v>
      </c>
      <c r="V54" s="32">
        <v>414.44634399624999</v>
      </c>
      <c r="W54" s="32">
        <v>408.74550195346001</v>
      </c>
      <c r="X54" s="32">
        <v>408.979382652651</v>
      </c>
      <c r="Y54" s="32">
        <v>406.65032068987</v>
      </c>
      <c r="Z54" s="32">
        <v>438.99407238221102</v>
      </c>
      <c r="AA54" s="32">
        <v>501.74231496943099</v>
      </c>
      <c r="AB54" s="32">
        <v>500.48520621127699</v>
      </c>
      <c r="AC54" s="32">
        <v>480.07911520682899</v>
      </c>
      <c r="AD54" s="32">
        <v>458.708266318217</v>
      </c>
      <c r="AE54" s="32">
        <v>434.06308764092603</v>
      </c>
      <c r="AF54" s="32">
        <v>405.86097333010002</v>
      </c>
      <c r="AG54" s="32">
        <f t="shared" si="0"/>
        <v>9832.3251039471434</v>
      </c>
      <c r="AH54" s="32">
        <f t="shared" ref="AH54" si="54">AG54*G54</f>
        <v>19664.650207894287</v>
      </c>
      <c r="AI54" s="59"/>
      <c r="AJ54" s="27"/>
      <c r="AK54" s="27"/>
    </row>
    <row r="55" spans="1:37" ht="15" customHeight="1"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2">
        <f>SUM(AI7:AI54)</f>
        <v>4364417.2172430921</v>
      </c>
      <c r="AJ55" s="27"/>
    </row>
  </sheetData>
  <mergeCells count="17">
    <mergeCell ref="AI51:AI54"/>
    <mergeCell ref="AI7:AI10"/>
    <mergeCell ref="AI11:AI14"/>
    <mergeCell ref="AI15:AI18"/>
    <mergeCell ref="AI19:AI22"/>
    <mergeCell ref="AI23:AI26"/>
    <mergeCell ref="AI27:AI30"/>
    <mergeCell ref="AI31:AI34"/>
    <mergeCell ref="AI35:AI38"/>
    <mergeCell ref="AI39:AI42"/>
    <mergeCell ref="AI43:AI46"/>
    <mergeCell ref="AI47:AI50"/>
    <mergeCell ref="A3:AI3"/>
    <mergeCell ref="A5:AI5"/>
    <mergeCell ref="A1:AI1"/>
    <mergeCell ref="A2:AI2"/>
    <mergeCell ref="A4:AI4"/>
  </mergeCells>
  <pageMargins left="0.7" right="0.7" top="0.75" bottom="0.75" header="0.3" footer="0.3"/>
  <pageSetup paperSize="9" orientation="portrait" horizontalDpi="1200" verticalDpi="1200" r:id="rId1"/>
  <ignoredErrors>
    <ignoredError sqref="AG7:AG5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55"/>
  <sheetViews>
    <sheetView tabSelected="1" topLeftCell="X30" workbookViewId="0">
      <selection activeCell="AI51" sqref="AI51:AI54"/>
    </sheetView>
  </sheetViews>
  <sheetFormatPr baseColWidth="10" defaultColWidth="12.5703125" defaultRowHeight="15" customHeight="1"/>
  <cols>
    <col min="1" max="1" width="7" customWidth="1"/>
    <col min="2" max="2" width="6.5703125" customWidth="1"/>
    <col min="3" max="3" width="7.42578125" customWidth="1"/>
    <col min="4" max="4" width="10.85546875" customWidth="1"/>
    <col min="5" max="5" width="9.7109375" customWidth="1"/>
    <col min="6" max="6" width="10.5703125" customWidth="1"/>
    <col min="7" max="7" width="10" customWidth="1"/>
    <col min="8" max="8" width="8.5703125" customWidth="1"/>
    <col min="9" max="32" width="12.7109375" bestFit="1" customWidth="1"/>
    <col min="33" max="33" width="11" customWidth="1"/>
    <col min="34" max="34" width="12.7109375" bestFit="1" customWidth="1"/>
    <col min="35" max="35" width="12.85546875" bestFit="1" customWidth="1"/>
  </cols>
  <sheetData>
    <row r="1" spans="1:35" ht="15" customHeight="1">
      <c r="A1" s="52" t="s">
        <v>40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</row>
    <row r="2" spans="1:35" ht="15" customHeight="1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</row>
    <row r="3" spans="1:35" ht="15" customHeight="1">
      <c r="A3" s="50" t="s">
        <v>41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</row>
    <row r="4" spans="1:35" ht="15" customHeight="1">
      <c r="A4" s="50" t="s">
        <v>62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</row>
    <row r="5" spans="1:35" ht="15" customHeight="1">
      <c r="A5" s="48" t="s">
        <v>61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</row>
    <row r="6" spans="1:35" ht="12.75">
      <c r="A6" s="14" t="s">
        <v>9</v>
      </c>
      <c r="B6" s="14" t="s">
        <v>10</v>
      </c>
      <c r="C6" s="14" t="s">
        <v>11</v>
      </c>
      <c r="D6" s="11" t="s">
        <v>43</v>
      </c>
      <c r="E6" s="11" t="s">
        <v>44</v>
      </c>
      <c r="F6" s="11" t="s">
        <v>45</v>
      </c>
      <c r="G6" s="11" t="s">
        <v>46</v>
      </c>
      <c r="H6" s="11" t="s">
        <v>47</v>
      </c>
      <c r="I6" s="14" t="s">
        <v>12</v>
      </c>
      <c r="J6" s="14" t="s">
        <v>13</v>
      </c>
      <c r="K6" s="14" t="s">
        <v>14</v>
      </c>
      <c r="L6" s="14" t="s">
        <v>15</v>
      </c>
      <c r="M6" s="14" t="s">
        <v>16</v>
      </c>
      <c r="N6" s="14" t="s">
        <v>17</v>
      </c>
      <c r="O6" s="14" t="s">
        <v>18</v>
      </c>
      <c r="P6" s="14" t="s">
        <v>19</v>
      </c>
      <c r="Q6" s="14" t="s">
        <v>20</v>
      </c>
      <c r="R6" s="14" t="s">
        <v>21</v>
      </c>
      <c r="S6" s="14" t="s">
        <v>22</v>
      </c>
      <c r="T6" s="14" t="s">
        <v>23</v>
      </c>
      <c r="U6" s="14" t="s">
        <v>24</v>
      </c>
      <c r="V6" s="14" t="s">
        <v>25</v>
      </c>
      <c r="W6" s="14" t="s">
        <v>26</v>
      </c>
      <c r="X6" s="14" t="s">
        <v>27</v>
      </c>
      <c r="Y6" s="14" t="s">
        <v>28</v>
      </c>
      <c r="Z6" s="14" t="s">
        <v>29</v>
      </c>
      <c r="AA6" s="14" t="s">
        <v>30</v>
      </c>
      <c r="AB6" s="14" t="s">
        <v>31</v>
      </c>
      <c r="AC6" s="14" t="s">
        <v>32</v>
      </c>
      <c r="AD6" s="14" t="s">
        <v>33</v>
      </c>
      <c r="AE6" s="14" t="s">
        <v>34</v>
      </c>
      <c r="AF6" s="14" t="s">
        <v>35</v>
      </c>
      <c r="AG6" s="14" t="s">
        <v>36</v>
      </c>
      <c r="AH6" s="14" t="s">
        <v>37</v>
      </c>
      <c r="AI6" s="14" t="s">
        <v>39</v>
      </c>
    </row>
    <row r="7" spans="1:35" ht="12.75">
      <c r="A7" s="15">
        <v>2028</v>
      </c>
      <c r="B7" s="15">
        <v>1</v>
      </c>
      <c r="C7" s="15">
        <v>1</v>
      </c>
      <c r="D7" s="15">
        <v>20</v>
      </c>
      <c r="E7" s="15">
        <v>5</v>
      </c>
      <c r="F7" s="15">
        <v>5</v>
      </c>
      <c r="G7" s="15">
        <v>1</v>
      </c>
      <c r="H7" s="15">
        <v>31</v>
      </c>
      <c r="I7" s="23">
        <v>419.05571541862054</v>
      </c>
      <c r="J7" s="23">
        <v>400.33489978047658</v>
      </c>
      <c r="K7" s="23">
        <v>384.69685892093935</v>
      </c>
      <c r="L7" s="23">
        <v>374.72334486870756</v>
      </c>
      <c r="M7" s="23">
        <v>364.69043615013823</v>
      </c>
      <c r="N7" s="23">
        <v>334.74354958498606</v>
      </c>
      <c r="O7" s="23">
        <v>373.40885468459703</v>
      </c>
      <c r="P7" s="23">
        <v>412.71301168926925</v>
      </c>
      <c r="Q7" s="23">
        <v>470.613830319871</v>
      </c>
      <c r="R7" s="23">
        <v>487.47334165220479</v>
      </c>
      <c r="S7" s="23">
        <v>527.96745163737671</v>
      </c>
      <c r="T7" s="23">
        <v>538.418517966531</v>
      </c>
      <c r="U7" s="23">
        <v>529.2579923592541</v>
      </c>
      <c r="V7" s="23">
        <v>538.80527783212824</v>
      </c>
      <c r="W7" s="23">
        <v>577.37028258390887</v>
      </c>
      <c r="X7" s="23">
        <v>562.85211857837862</v>
      </c>
      <c r="Y7" s="23">
        <v>556.36804117346696</v>
      </c>
      <c r="Z7" s="23">
        <v>561.32366389868093</v>
      </c>
      <c r="AA7" s="23">
        <v>598.5966909608502</v>
      </c>
      <c r="AB7" s="23">
        <v>597.25168916185544</v>
      </c>
      <c r="AC7" s="23">
        <v>567.6080027885705</v>
      </c>
      <c r="AD7" s="23">
        <v>519.04711518683257</v>
      </c>
      <c r="AE7" s="23">
        <v>476.40222374584357</v>
      </c>
      <c r="AF7" s="23">
        <v>441.48438679964852</v>
      </c>
      <c r="AG7" s="23">
        <f>SUM(I7:AF7)</f>
        <v>11615.207297743136</v>
      </c>
      <c r="AH7" s="23">
        <f>AG7*D7</f>
        <v>232304.14595486273</v>
      </c>
      <c r="AI7" s="54">
        <f>AH7+AH8+AH9+AH10</f>
        <v>347383.32255591941</v>
      </c>
    </row>
    <row r="8" spans="1:35" ht="12.75">
      <c r="A8" s="15">
        <v>2028</v>
      </c>
      <c r="B8" s="15">
        <v>1</v>
      </c>
      <c r="C8" s="15">
        <v>2</v>
      </c>
      <c r="D8" s="15">
        <v>20</v>
      </c>
      <c r="E8" s="15">
        <v>5</v>
      </c>
      <c r="F8" s="15">
        <v>5</v>
      </c>
      <c r="G8" s="15">
        <v>1</v>
      </c>
      <c r="H8" s="15">
        <v>31</v>
      </c>
      <c r="I8" s="23">
        <v>393.6534218160545</v>
      </c>
      <c r="J8" s="23">
        <v>376.76405042050322</v>
      </c>
      <c r="K8" s="23">
        <v>366.72461734988082</v>
      </c>
      <c r="L8" s="23">
        <v>357.8089828185615</v>
      </c>
      <c r="M8" s="23">
        <v>347.09178211448005</v>
      </c>
      <c r="N8" s="23">
        <v>329.70903575045332</v>
      </c>
      <c r="O8" s="23">
        <v>357.41278776812027</v>
      </c>
      <c r="P8" s="23">
        <v>397.46835654703523</v>
      </c>
      <c r="Q8" s="23">
        <v>424.04831002539913</v>
      </c>
      <c r="R8" s="23">
        <v>436.3079304541555</v>
      </c>
      <c r="S8" s="23">
        <v>459.62612719649445</v>
      </c>
      <c r="T8" s="23">
        <v>471.54686380852081</v>
      </c>
      <c r="U8" s="23">
        <v>473.77452654496631</v>
      </c>
      <c r="V8" s="23">
        <v>486.45775174463495</v>
      </c>
      <c r="W8" s="23">
        <v>480.14853245081099</v>
      </c>
      <c r="X8" s="23">
        <v>446.12559396824145</v>
      </c>
      <c r="Y8" s="23">
        <v>490.49694782492219</v>
      </c>
      <c r="Z8" s="23">
        <v>522.12278166268266</v>
      </c>
      <c r="AA8" s="23">
        <v>570.87470720915189</v>
      </c>
      <c r="AB8" s="23">
        <v>561.34609165639438</v>
      </c>
      <c r="AC8" s="23">
        <v>534.14817357105278</v>
      </c>
      <c r="AD8" s="23">
        <v>474.95065273244018</v>
      </c>
      <c r="AE8" s="23">
        <v>443.12298368030372</v>
      </c>
      <c r="AF8" s="23">
        <v>417.05384771980562</v>
      </c>
      <c r="AG8" s="23">
        <f t="shared" ref="AG8:AG10" si="0">SUM(I8:AF8)</f>
        <v>10618.784856835067</v>
      </c>
      <c r="AH8" s="23">
        <f>AG8*E8</f>
        <v>53093.924284175337</v>
      </c>
      <c r="AI8" s="54"/>
    </row>
    <row r="9" spans="1:35" ht="12.75">
      <c r="A9" s="15">
        <v>2028</v>
      </c>
      <c r="B9" s="15">
        <v>1</v>
      </c>
      <c r="C9" s="15">
        <v>3</v>
      </c>
      <c r="D9" s="15">
        <v>20</v>
      </c>
      <c r="E9" s="15">
        <v>5</v>
      </c>
      <c r="F9" s="15">
        <v>5</v>
      </c>
      <c r="G9" s="15">
        <v>1</v>
      </c>
      <c r="H9" s="15">
        <v>31</v>
      </c>
      <c r="I9" s="23">
        <v>393.69370698924905</v>
      </c>
      <c r="J9" s="23">
        <v>377.59179152008966</v>
      </c>
      <c r="K9" s="23">
        <v>365.98442157909324</v>
      </c>
      <c r="L9" s="23">
        <v>356.5406294187481</v>
      </c>
      <c r="M9" s="23">
        <v>348.59835024474387</v>
      </c>
      <c r="N9" s="23">
        <v>322.50300391807571</v>
      </c>
      <c r="O9" s="23">
        <v>345.46291131320004</v>
      </c>
      <c r="P9" s="23">
        <v>380.46989960705196</v>
      </c>
      <c r="Q9" s="23">
        <v>365.52972047507683</v>
      </c>
      <c r="R9" s="23">
        <v>379.78534959331245</v>
      </c>
      <c r="S9" s="23">
        <v>423.35920648976224</v>
      </c>
      <c r="T9" s="23">
        <v>437.96460568801069</v>
      </c>
      <c r="U9" s="23">
        <v>446.12923869859486</v>
      </c>
      <c r="V9" s="23">
        <v>458.31872598704052</v>
      </c>
      <c r="W9" s="23">
        <v>472.98158741271976</v>
      </c>
      <c r="X9" s="23">
        <v>469.58132256345215</v>
      </c>
      <c r="Y9" s="23">
        <v>457.98144769559974</v>
      </c>
      <c r="Z9" s="23">
        <v>488.67127385900733</v>
      </c>
      <c r="AA9" s="23">
        <v>551.77978972417156</v>
      </c>
      <c r="AB9" s="23">
        <v>559.05001067300941</v>
      </c>
      <c r="AC9" s="23">
        <v>536.58977482075909</v>
      </c>
      <c r="AD9" s="23">
        <v>489.62314814818461</v>
      </c>
      <c r="AE9" s="23">
        <v>458.68598457105367</v>
      </c>
      <c r="AF9" s="23">
        <v>421.63783802455714</v>
      </c>
      <c r="AG9" s="23">
        <f t="shared" si="0"/>
        <v>10308.513739014563</v>
      </c>
      <c r="AH9" s="23">
        <f>F9*AG9</f>
        <v>51542.568695072812</v>
      </c>
      <c r="AI9" s="54"/>
    </row>
    <row r="10" spans="1:35" ht="12.75">
      <c r="A10" s="15">
        <v>2028</v>
      </c>
      <c r="B10" s="15">
        <v>1</v>
      </c>
      <c r="C10" s="15">
        <v>4</v>
      </c>
      <c r="D10" s="15">
        <v>20</v>
      </c>
      <c r="E10" s="15">
        <v>5</v>
      </c>
      <c r="F10" s="15">
        <v>5</v>
      </c>
      <c r="G10" s="15">
        <v>1</v>
      </c>
      <c r="H10" s="15">
        <v>31</v>
      </c>
      <c r="I10" s="23">
        <v>399.01870822035846</v>
      </c>
      <c r="J10" s="23">
        <v>389.43903238489349</v>
      </c>
      <c r="K10" s="23">
        <v>377.75686980027695</v>
      </c>
      <c r="L10" s="23">
        <v>370.26455491001332</v>
      </c>
      <c r="M10" s="23">
        <v>361.6730982659962</v>
      </c>
      <c r="N10" s="23">
        <v>340.34067276081129</v>
      </c>
      <c r="O10" s="23">
        <v>367.34023281287165</v>
      </c>
      <c r="P10" s="23">
        <v>398.7111502066939</v>
      </c>
      <c r="Q10" s="23">
        <v>416.50413758740694</v>
      </c>
      <c r="R10" s="23">
        <v>419.44862742314916</v>
      </c>
      <c r="S10" s="23">
        <v>438.30042108041448</v>
      </c>
      <c r="T10" s="23">
        <v>448.08681623653939</v>
      </c>
      <c r="U10" s="23">
        <v>454.33377326819232</v>
      </c>
      <c r="V10" s="23">
        <v>459.1084853819732</v>
      </c>
      <c r="W10" s="23">
        <v>413.22688006474812</v>
      </c>
      <c r="X10" s="23">
        <v>400.40524024917607</v>
      </c>
      <c r="Y10" s="23">
        <v>456.46651162524518</v>
      </c>
      <c r="Z10" s="23">
        <v>488.02902253577713</v>
      </c>
      <c r="AA10" s="23">
        <v>546.64655477952078</v>
      </c>
      <c r="AB10" s="23">
        <v>558.08166256627521</v>
      </c>
      <c r="AC10" s="23">
        <v>546.36420643910708</v>
      </c>
      <c r="AD10" s="23">
        <v>499.10111102771378</v>
      </c>
      <c r="AE10" s="23">
        <v>462.90002023895755</v>
      </c>
      <c r="AF10" s="23">
        <v>431.1358319424171</v>
      </c>
      <c r="AG10" s="23">
        <f t="shared" si="0"/>
        <v>10442.68362180853</v>
      </c>
      <c r="AH10" s="23">
        <f>AG10*G10</f>
        <v>10442.68362180853</v>
      </c>
      <c r="AI10" s="54"/>
    </row>
    <row r="11" spans="1:35" ht="12.75">
      <c r="A11" s="15">
        <v>2028</v>
      </c>
      <c r="B11" s="15">
        <v>2</v>
      </c>
      <c r="C11" s="15">
        <v>1</v>
      </c>
      <c r="D11" s="15">
        <v>21</v>
      </c>
      <c r="E11" s="15">
        <v>4</v>
      </c>
      <c r="F11" s="15">
        <v>4</v>
      </c>
      <c r="G11" s="15">
        <v>0</v>
      </c>
      <c r="H11" s="15">
        <v>29</v>
      </c>
      <c r="I11" s="23">
        <v>466.58630278855719</v>
      </c>
      <c r="J11" s="23">
        <v>431.94991369927129</v>
      </c>
      <c r="K11" s="23">
        <v>417.63160926641666</v>
      </c>
      <c r="L11" s="23">
        <v>403.94209222448171</v>
      </c>
      <c r="M11" s="23">
        <v>375.85609457369071</v>
      </c>
      <c r="N11" s="23">
        <v>357.66758685980329</v>
      </c>
      <c r="O11" s="23">
        <v>374.08306372768033</v>
      </c>
      <c r="P11" s="23">
        <v>474.61183523698065</v>
      </c>
      <c r="Q11" s="23">
        <v>510.18604889688476</v>
      </c>
      <c r="R11" s="23">
        <v>519.25947990201109</v>
      </c>
      <c r="S11" s="23">
        <v>579.55343472548748</v>
      </c>
      <c r="T11" s="23">
        <v>588.97192668523905</v>
      </c>
      <c r="U11" s="23">
        <v>571.95956023652616</v>
      </c>
      <c r="V11" s="23">
        <v>596.15892313225504</v>
      </c>
      <c r="W11" s="23">
        <v>638.3050025506052</v>
      </c>
      <c r="X11" s="23">
        <v>601.66419078572585</v>
      </c>
      <c r="Y11" s="23">
        <v>605.61541739978566</v>
      </c>
      <c r="Z11" s="23">
        <v>565.98151974584539</v>
      </c>
      <c r="AA11" s="23">
        <v>607.66582889990343</v>
      </c>
      <c r="AB11" s="23">
        <v>632.35936656744582</v>
      </c>
      <c r="AC11" s="23">
        <v>621.46199368811108</v>
      </c>
      <c r="AD11" s="23">
        <v>580.51022425732083</v>
      </c>
      <c r="AE11" s="23">
        <v>537.5282870954444</v>
      </c>
      <c r="AF11" s="23">
        <v>496.02880186366053</v>
      </c>
      <c r="AG11" s="23">
        <f>SUM(I11:AF11)</f>
        <v>12555.538504809134</v>
      </c>
      <c r="AH11" s="23">
        <f>AG11*D11</f>
        <v>263666.30860099179</v>
      </c>
      <c r="AI11" s="54">
        <f>AH11+AH12+AH13+AH14</f>
        <v>360614.20152778074</v>
      </c>
    </row>
    <row r="12" spans="1:35" ht="12.75">
      <c r="A12" s="15">
        <v>2028</v>
      </c>
      <c r="B12" s="15">
        <v>2</v>
      </c>
      <c r="C12" s="15">
        <v>2</v>
      </c>
      <c r="D12" s="15">
        <v>21</v>
      </c>
      <c r="E12" s="15">
        <v>4</v>
      </c>
      <c r="F12" s="15">
        <v>4</v>
      </c>
      <c r="G12" s="15">
        <v>0</v>
      </c>
      <c r="H12" s="15">
        <v>29</v>
      </c>
      <c r="I12" s="23">
        <v>472.76834769332646</v>
      </c>
      <c r="J12" s="23">
        <v>449.5530111369136</v>
      </c>
      <c r="K12" s="23">
        <v>434.41022168718581</v>
      </c>
      <c r="L12" s="23">
        <v>418.9273185387413</v>
      </c>
      <c r="M12" s="23">
        <v>406.0493771282035</v>
      </c>
      <c r="N12" s="23">
        <v>387.76568920319653</v>
      </c>
      <c r="O12" s="23">
        <v>399.20587725097471</v>
      </c>
      <c r="P12" s="23">
        <v>437.74694320112172</v>
      </c>
      <c r="Q12" s="23">
        <v>466.28815108518188</v>
      </c>
      <c r="R12" s="23">
        <v>482.90476656268555</v>
      </c>
      <c r="S12" s="23">
        <v>502.95086183559266</v>
      </c>
      <c r="T12" s="23">
        <v>519.27374275511306</v>
      </c>
      <c r="U12" s="23">
        <v>521.83232535228444</v>
      </c>
      <c r="V12" s="23">
        <v>548.65235179131957</v>
      </c>
      <c r="W12" s="23">
        <v>570.08982128625314</v>
      </c>
      <c r="X12" s="23">
        <v>570.14393028377685</v>
      </c>
      <c r="Y12" s="23">
        <v>552.05091215956668</v>
      </c>
      <c r="Z12" s="23">
        <v>549.29392990480892</v>
      </c>
      <c r="AA12" s="23">
        <v>624.42813789426611</v>
      </c>
      <c r="AB12" s="23">
        <v>634.94847298414743</v>
      </c>
      <c r="AC12" s="23">
        <v>616.99459228214005</v>
      </c>
      <c r="AD12" s="23">
        <v>585.23261073597996</v>
      </c>
      <c r="AE12" s="23">
        <v>549.85563283147962</v>
      </c>
      <c r="AF12" s="23">
        <v>509.02652927177689</v>
      </c>
      <c r="AG12" s="23">
        <f t="shared" ref="AG12:AG53" si="1">SUM(I12:AF12)</f>
        <v>12210.393554856038</v>
      </c>
      <c r="AH12" s="23">
        <f>AG12*E12</f>
        <v>48841.574219424154</v>
      </c>
      <c r="AI12" s="54"/>
    </row>
    <row r="13" spans="1:35" ht="12.75">
      <c r="A13" s="15">
        <v>2028</v>
      </c>
      <c r="B13" s="15">
        <v>2</v>
      </c>
      <c r="C13" s="15">
        <v>3</v>
      </c>
      <c r="D13" s="15">
        <v>21</v>
      </c>
      <c r="E13" s="15">
        <v>4</v>
      </c>
      <c r="F13" s="15">
        <v>4</v>
      </c>
      <c r="G13" s="15">
        <v>0</v>
      </c>
      <c r="H13" s="15">
        <v>29</v>
      </c>
      <c r="I13" s="23">
        <v>479.37720045510565</v>
      </c>
      <c r="J13" s="23">
        <v>437.27662133195827</v>
      </c>
      <c r="K13" s="23">
        <v>438.19376085016665</v>
      </c>
      <c r="L13" s="23">
        <v>421.47857019437555</v>
      </c>
      <c r="M13" s="23">
        <v>407.09368896231388</v>
      </c>
      <c r="N13" s="23">
        <v>386.14673906476435</v>
      </c>
      <c r="O13" s="23">
        <v>382.78561649240129</v>
      </c>
      <c r="P13" s="23">
        <v>420.23849422609447</v>
      </c>
      <c r="Q13" s="23">
        <v>442.76137400000226</v>
      </c>
      <c r="R13" s="23">
        <v>461.35993003261962</v>
      </c>
      <c r="S13" s="23">
        <v>479.26869380788071</v>
      </c>
      <c r="T13" s="23">
        <v>504.57916101882068</v>
      </c>
      <c r="U13" s="23">
        <v>518.38534013235119</v>
      </c>
      <c r="V13" s="23">
        <v>549.0591359061068</v>
      </c>
      <c r="W13" s="23">
        <v>563.60161012580443</v>
      </c>
      <c r="X13" s="23">
        <v>558.44754438263544</v>
      </c>
      <c r="Y13" s="23">
        <v>535.18578601096101</v>
      </c>
      <c r="Z13" s="23">
        <v>529.8741272801559</v>
      </c>
      <c r="AA13" s="23">
        <v>606.60124432595558</v>
      </c>
      <c r="AB13" s="23">
        <v>636.87718239322112</v>
      </c>
      <c r="AC13" s="23">
        <v>627.50169137469504</v>
      </c>
      <c r="AD13" s="23">
        <v>591.37672832370288</v>
      </c>
      <c r="AE13" s="23">
        <v>545.53266987130701</v>
      </c>
      <c r="AF13" s="23">
        <v>503.5767662777933</v>
      </c>
      <c r="AG13" s="23">
        <f t="shared" si="1"/>
        <v>12026.579676841195</v>
      </c>
      <c r="AH13" s="23">
        <f>F13*AG13</f>
        <v>48106.318707364779</v>
      </c>
      <c r="AI13" s="54"/>
    </row>
    <row r="14" spans="1:35" ht="12.75">
      <c r="A14" s="15">
        <v>2028</v>
      </c>
      <c r="B14" s="15">
        <v>2</v>
      </c>
      <c r="C14" s="15">
        <v>4</v>
      </c>
      <c r="D14" s="15">
        <v>21</v>
      </c>
      <c r="E14" s="15">
        <v>4</v>
      </c>
      <c r="F14" s="15">
        <v>4</v>
      </c>
      <c r="G14" s="15">
        <v>0</v>
      </c>
      <c r="H14" s="15">
        <v>29</v>
      </c>
      <c r="I14" s="26" t="s">
        <v>48</v>
      </c>
      <c r="J14" s="26" t="s">
        <v>48</v>
      </c>
      <c r="K14" s="26" t="s">
        <v>48</v>
      </c>
      <c r="L14" s="26" t="s">
        <v>48</v>
      </c>
      <c r="M14" s="26" t="s">
        <v>48</v>
      </c>
      <c r="N14" s="26" t="s">
        <v>48</v>
      </c>
      <c r="O14" s="26" t="s">
        <v>48</v>
      </c>
      <c r="P14" s="26" t="s">
        <v>48</v>
      </c>
      <c r="Q14" s="26" t="s">
        <v>48</v>
      </c>
      <c r="R14" s="26" t="s">
        <v>48</v>
      </c>
      <c r="S14" s="26" t="s">
        <v>48</v>
      </c>
      <c r="T14" s="26" t="s">
        <v>48</v>
      </c>
      <c r="U14" s="26" t="s">
        <v>48</v>
      </c>
      <c r="V14" s="26" t="s">
        <v>48</v>
      </c>
      <c r="W14" s="26" t="s">
        <v>48</v>
      </c>
      <c r="X14" s="26" t="s">
        <v>48</v>
      </c>
      <c r="Y14" s="26" t="s">
        <v>48</v>
      </c>
      <c r="Z14" s="26" t="s">
        <v>48</v>
      </c>
      <c r="AA14" s="26" t="s">
        <v>48</v>
      </c>
      <c r="AB14" s="26" t="s">
        <v>48</v>
      </c>
      <c r="AC14" s="26" t="s">
        <v>48</v>
      </c>
      <c r="AD14" s="26" t="s">
        <v>48</v>
      </c>
      <c r="AE14" s="26" t="s">
        <v>48</v>
      </c>
      <c r="AF14" s="26" t="s">
        <v>48</v>
      </c>
      <c r="AG14" s="23">
        <f t="shared" si="1"/>
        <v>0</v>
      </c>
      <c r="AH14" s="23">
        <f>AG14*G14</f>
        <v>0</v>
      </c>
      <c r="AI14" s="54"/>
    </row>
    <row r="15" spans="1:35" ht="12.75">
      <c r="A15" s="15">
        <v>2028</v>
      </c>
      <c r="B15" s="15">
        <v>3</v>
      </c>
      <c r="C15" s="15">
        <v>1</v>
      </c>
      <c r="D15" s="15">
        <v>22</v>
      </c>
      <c r="E15" s="15">
        <v>4</v>
      </c>
      <c r="F15" s="15">
        <v>4</v>
      </c>
      <c r="G15" s="15">
        <v>1</v>
      </c>
      <c r="H15" s="15">
        <v>31</v>
      </c>
      <c r="I15" s="23">
        <v>571.36065185296627</v>
      </c>
      <c r="J15" s="23">
        <v>546.04194655315825</v>
      </c>
      <c r="K15" s="23">
        <v>528.36573491633692</v>
      </c>
      <c r="L15" s="23">
        <v>508.57744413640768</v>
      </c>
      <c r="M15" s="23">
        <v>490.02920208240926</v>
      </c>
      <c r="N15" s="23">
        <v>469.3647056370682</v>
      </c>
      <c r="O15" s="23">
        <v>487.09877428515301</v>
      </c>
      <c r="P15" s="23">
        <v>548.73915691326295</v>
      </c>
      <c r="Q15" s="23">
        <v>595.81865955223589</v>
      </c>
      <c r="R15" s="23">
        <v>624.71078087756052</v>
      </c>
      <c r="S15" s="23">
        <v>657.45188461194311</v>
      </c>
      <c r="T15" s="23">
        <v>671.36977637281996</v>
      </c>
      <c r="U15" s="23">
        <v>650.13863909552447</v>
      </c>
      <c r="V15" s="23">
        <v>675.32254352373013</v>
      </c>
      <c r="W15" s="23">
        <v>699.63441753475877</v>
      </c>
      <c r="X15" s="23">
        <v>722.26784175513478</v>
      </c>
      <c r="Y15" s="23">
        <v>685.2327934426022</v>
      </c>
      <c r="Z15" s="23">
        <v>669.59529587275074</v>
      </c>
      <c r="AA15" s="23">
        <v>719.21036711871295</v>
      </c>
      <c r="AB15" s="23">
        <v>727.70878666996794</v>
      </c>
      <c r="AC15" s="23">
        <v>714.34799231650777</v>
      </c>
      <c r="AD15" s="23">
        <v>688.94339619585617</v>
      </c>
      <c r="AE15" s="23">
        <v>650.52574425335376</v>
      </c>
      <c r="AF15" s="23">
        <v>608.51976468449425</v>
      </c>
      <c r="AG15" s="23">
        <f t="shared" si="1"/>
        <v>14910.376300254715</v>
      </c>
      <c r="AH15" s="23">
        <f t="shared" ref="AH15" si="2">AG15*D15</f>
        <v>328028.27860560373</v>
      </c>
      <c r="AI15" s="54">
        <f>AH15+AH16+AH17+AH18</f>
        <v>445383.97667185357</v>
      </c>
    </row>
    <row r="16" spans="1:35" ht="12.75">
      <c r="A16" s="15">
        <v>2028</v>
      </c>
      <c r="B16" s="15">
        <v>3</v>
      </c>
      <c r="C16" s="15">
        <v>2</v>
      </c>
      <c r="D16" s="15">
        <v>22</v>
      </c>
      <c r="E16" s="15">
        <v>4</v>
      </c>
      <c r="F16" s="15">
        <v>4</v>
      </c>
      <c r="G16" s="15">
        <v>1</v>
      </c>
      <c r="H16" s="15">
        <v>31</v>
      </c>
      <c r="I16" s="23">
        <v>528.38799178382988</v>
      </c>
      <c r="J16" s="23">
        <v>514.10554270833745</v>
      </c>
      <c r="K16" s="23">
        <v>496.48940886617413</v>
      </c>
      <c r="L16" s="23">
        <v>479.85855943845513</v>
      </c>
      <c r="M16" s="23">
        <v>462.65365659130379</v>
      </c>
      <c r="N16" s="23">
        <v>442.0482700341293</v>
      </c>
      <c r="O16" s="23">
        <v>450.26662753343049</v>
      </c>
      <c r="P16" s="23">
        <v>444.88931259357787</v>
      </c>
      <c r="Q16" s="23">
        <v>489.36905899822546</v>
      </c>
      <c r="R16" s="23">
        <v>530.09553977327039</v>
      </c>
      <c r="S16" s="23">
        <v>551.37100323094649</v>
      </c>
      <c r="T16" s="23">
        <v>564.66608042501446</v>
      </c>
      <c r="U16" s="23">
        <v>571.10800352454135</v>
      </c>
      <c r="V16" s="23">
        <v>596.06158380054876</v>
      </c>
      <c r="W16" s="23">
        <v>607.75139888718411</v>
      </c>
      <c r="X16" s="23">
        <v>607.77227355698074</v>
      </c>
      <c r="Y16" s="23">
        <v>580.47864279666805</v>
      </c>
      <c r="Z16" s="23">
        <v>584.92494746354816</v>
      </c>
      <c r="AA16" s="23">
        <v>653.75917112101263</v>
      </c>
      <c r="AB16" s="23">
        <v>633.34165659201574</v>
      </c>
      <c r="AC16" s="23">
        <v>642.6204473170327</v>
      </c>
      <c r="AD16" s="23">
        <v>615.52930085375567</v>
      </c>
      <c r="AE16" s="23">
        <v>585.69731024605869</v>
      </c>
      <c r="AF16" s="23">
        <v>555.22655474255612</v>
      </c>
      <c r="AG16" s="23">
        <f t="shared" si="1"/>
        <v>13188.472342878598</v>
      </c>
      <c r="AH16" s="23">
        <f t="shared" ref="AH16" si="3">AG16*E16</f>
        <v>52753.889371514393</v>
      </c>
      <c r="AI16" s="54"/>
    </row>
    <row r="17" spans="1:35" ht="12.75">
      <c r="A17" s="15">
        <v>2028</v>
      </c>
      <c r="B17" s="15">
        <v>3</v>
      </c>
      <c r="C17" s="15">
        <v>3</v>
      </c>
      <c r="D17" s="15">
        <v>22</v>
      </c>
      <c r="E17" s="15">
        <v>4</v>
      </c>
      <c r="F17" s="15">
        <v>4</v>
      </c>
      <c r="G17" s="15">
        <v>1</v>
      </c>
      <c r="H17" s="15">
        <v>31</v>
      </c>
      <c r="I17" s="23">
        <v>539.24633325628736</v>
      </c>
      <c r="J17" s="23">
        <v>518.4630797060729</v>
      </c>
      <c r="K17" s="23">
        <v>499.66248056782575</v>
      </c>
      <c r="L17" s="23">
        <v>482.34310260931386</v>
      </c>
      <c r="M17" s="23">
        <v>469.81356594447618</v>
      </c>
      <c r="N17" s="23">
        <v>444.28662813451632</v>
      </c>
      <c r="O17" s="23">
        <v>448.43236900017661</v>
      </c>
      <c r="P17" s="23">
        <v>479.4079348608031</v>
      </c>
      <c r="Q17" s="23">
        <v>502.95431630579156</v>
      </c>
      <c r="R17" s="23">
        <v>515.88038385302286</v>
      </c>
      <c r="S17" s="23">
        <v>533.33823291332328</v>
      </c>
      <c r="T17" s="23">
        <v>560.62123605959687</v>
      </c>
      <c r="U17" s="23">
        <v>569.57570064190224</v>
      </c>
      <c r="V17" s="23">
        <v>593.91933994567148</v>
      </c>
      <c r="W17" s="23">
        <v>610.54216630124927</v>
      </c>
      <c r="X17" s="23">
        <v>609.11969043742431</v>
      </c>
      <c r="Y17" s="23">
        <v>577.59024016964486</v>
      </c>
      <c r="Z17" s="23">
        <v>572.10384727303551</v>
      </c>
      <c r="AA17" s="23">
        <v>637.97832687828873</v>
      </c>
      <c r="AB17" s="23">
        <v>661.42190402043457</v>
      </c>
      <c r="AC17" s="23">
        <v>655.79284392804311</v>
      </c>
      <c r="AD17" s="23">
        <v>625.56628084527188</v>
      </c>
      <c r="AE17" s="23">
        <v>589.93305065176833</v>
      </c>
      <c r="AF17" s="23">
        <v>553.19624773795317</v>
      </c>
      <c r="AG17" s="23">
        <f t="shared" si="1"/>
        <v>13251.189302041894</v>
      </c>
      <c r="AH17" s="23">
        <f t="shared" ref="AH17" si="4">F17*AG17</f>
        <v>53004.757208167575</v>
      </c>
      <c r="AI17" s="54"/>
    </row>
    <row r="18" spans="1:35" ht="12.75">
      <c r="A18" s="15">
        <v>2028</v>
      </c>
      <c r="B18" s="15">
        <v>3</v>
      </c>
      <c r="C18" s="15">
        <v>4</v>
      </c>
      <c r="D18" s="15">
        <v>22</v>
      </c>
      <c r="E18" s="15">
        <v>4</v>
      </c>
      <c r="F18" s="15">
        <v>4</v>
      </c>
      <c r="G18" s="15">
        <v>1</v>
      </c>
      <c r="H18" s="15">
        <v>31</v>
      </c>
      <c r="I18" s="23">
        <v>493.25941787541683</v>
      </c>
      <c r="J18" s="23">
        <v>479.84606676968406</v>
      </c>
      <c r="K18" s="23">
        <v>468.04083751710851</v>
      </c>
      <c r="L18" s="23">
        <v>456.38700048920231</v>
      </c>
      <c r="M18" s="23">
        <v>446.17643600314733</v>
      </c>
      <c r="N18" s="23">
        <v>423.72328694880554</v>
      </c>
      <c r="O18" s="23">
        <v>428.94463656407947</v>
      </c>
      <c r="P18" s="23">
        <v>458.89338287540022</v>
      </c>
      <c r="Q18" s="23">
        <v>425.35159443191901</v>
      </c>
      <c r="R18" s="23">
        <v>325.38562634670245</v>
      </c>
      <c r="S18" s="23">
        <v>439.93234780343903</v>
      </c>
      <c r="T18" s="23">
        <v>481.55848104428094</v>
      </c>
      <c r="U18" s="23">
        <v>508.70478906338354</v>
      </c>
      <c r="V18" s="23">
        <v>526.32684401493304</v>
      </c>
      <c r="W18" s="23">
        <v>535.82081863755195</v>
      </c>
      <c r="X18" s="23">
        <v>537.88311716471821</v>
      </c>
      <c r="Y18" s="23">
        <v>502.75339249803471</v>
      </c>
      <c r="Z18" s="23">
        <v>503.69538856264637</v>
      </c>
      <c r="AA18" s="23">
        <v>483.4525659884813</v>
      </c>
      <c r="AB18" s="23">
        <v>585.30589047457988</v>
      </c>
      <c r="AC18" s="23">
        <v>577.83384311921577</v>
      </c>
      <c r="AD18" s="23">
        <v>561.739167501</v>
      </c>
      <c r="AE18" s="23">
        <v>505.49190962872666</v>
      </c>
      <c r="AF18" s="23">
        <v>440.54464524543556</v>
      </c>
      <c r="AG18" s="23">
        <f t="shared" si="1"/>
        <v>11597.051486567894</v>
      </c>
      <c r="AH18" s="23">
        <f t="shared" ref="AH18" si="5">AG18*G18</f>
        <v>11597.051486567894</v>
      </c>
      <c r="AI18" s="54"/>
    </row>
    <row r="19" spans="1:35" ht="12.75">
      <c r="A19" s="15">
        <v>2028</v>
      </c>
      <c r="B19" s="15">
        <v>4</v>
      </c>
      <c r="C19" s="15">
        <v>1</v>
      </c>
      <c r="D19" s="15">
        <v>18</v>
      </c>
      <c r="E19" s="15">
        <v>5</v>
      </c>
      <c r="F19" s="15">
        <v>5</v>
      </c>
      <c r="G19" s="15">
        <v>2</v>
      </c>
      <c r="H19" s="15">
        <v>30</v>
      </c>
      <c r="I19" s="23">
        <v>481.74111983386956</v>
      </c>
      <c r="J19" s="23">
        <v>477.25373217109137</v>
      </c>
      <c r="K19" s="23">
        <v>460.19135122080337</v>
      </c>
      <c r="L19" s="23">
        <v>440.863043860875</v>
      </c>
      <c r="M19" s="23">
        <v>420.35180613793614</v>
      </c>
      <c r="N19" s="23">
        <v>400.32171284836278</v>
      </c>
      <c r="O19" s="23">
        <v>449.40293648154693</v>
      </c>
      <c r="P19" s="23">
        <v>510.58407239930978</v>
      </c>
      <c r="Q19" s="23">
        <v>546.47629619941756</v>
      </c>
      <c r="R19" s="23">
        <v>578.17638771306861</v>
      </c>
      <c r="S19" s="23">
        <v>606.24431596924592</v>
      </c>
      <c r="T19" s="23">
        <v>624.46593498956076</v>
      </c>
      <c r="U19" s="23">
        <v>594.68859656595225</v>
      </c>
      <c r="V19" s="23">
        <v>613.50567092205779</v>
      </c>
      <c r="W19" s="23">
        <v>663.27349517410516</v>
      </c>
      <c r="X19" s="23">
        <v>669.46247176721999</v>
      </c>
      <c r="Y19" s="23">
        <v>639.77935980109828</v>
      </c>
      <c r="Z19" s="23">
        <v>622.00383067278028</v>
      </c>
      <c r="AA19" s="23">
        <v>667.3341221344923</v>
      </c>
      <c r="AB19" s="23">
        <v>666.862227908048</v>
      </c>
      <c r="AC19" s="23">
        <v>649.50373339750229</v>
      </c>
      <c r="AD19" s="23">
        <v>620.53532022213221</v>
      </c>
      <c r="AE19" s="23">
        <v>547.49686270648067</v>
      </c>
      <c r="AF19" s="23">
        <v>521.14182413921003</v>
      </c>
      <c r="AG19" s="23">
        <f t="shared" si="1"/>
        <v>13471.660225236166</v>
      </c>
      <c r="AH19" s="23">
        <f t="shared" ref="AH19" si="6">AG19*D19</f>
        <v>242489.88405425099</v>
      </c>
      <c r="AI19" s="54">
        <f>AH19+AH20+AH21+AH22</f>
        <v>393926.3833804056</v>
      </c>
    </row>
    <row r="20" spans="1:35" ht="12.75">
      <c r="A20" s="15">
        <v>2028</v>
      </c>
      <c r="B20" s="15">
        <v>4</v>
      </c>
      <c r="C20" s="15">
        <v>2</v>
      </c>
      <c r="D20" s="15">
        <v>18</v>
      </c>
      <c r="E20" s="15">
        <v>5</v>
      </c>
      <c r="F20" s="15">
        <v>5</v>
      </c>
      <c r="G20" s="15">
        <v>2</v>
      </c>
      <c r="H20" s="15">
        <v>30</v>
      </c>
      <c r="I20" s="23">
        <v>502.38156330545183</v>
      </c>
      <c r="J20" s="23">
        <v>483.25870827545918</v>
      </c>
      <c r="K20" s="23">
        <v>468.80155456742779</v>
      </c>
      <c r="L20" s="23">
        <v>456.829393954789</v>
      </c>
      <c r="M20" s="23">
        <v>439.85826764004889</v>
      </c>
      <c r="N20" s="23">
        <v>412.12125287121955</v>
      </c>
      <c r="O20" s="23">
        <v>435.47873899233809</v>
      </c>
      <c r="P20" s="23">
        <v>479.87172789034094</v>
      </c>
      <c r="Q20" s="23">
        <v>510.629856713918</v>
      </c>
      <c r="R20" s="23">
        <v>516.63948287318226</v>
      </c>
      <c r="S20" s="23">
        <v>551.92928277888063</v>
      </c>
      <c r="T20" s="23">
        <v>576.31554155173626</v>
      </c>
      <c r="U20" s="23">
        <v>568.37877788992341</v>
      </c>
      <c r="V20" s="23">
        <v>570.23708905309502</v>
      </c>
      <c r="W20" s="23">
        <v>582.60047306850822</v>
      </c>
      <c r="X20" s="23">
        <v>578.61216782357167</v>
      </c>
      <c r="Y20" s="23">
        <v>547.78159022170314</v>
      </c>
      <c r="Z20" s="23">
        <v>537.48661882650731</v>
      </c>
      <c r="AA20" s="23">
        <v>618.75241343587334</v>
      </c>
      <c r="AB20" s="23">
        <v>629.38064921120917</v>
      </c>
      <c r="AC20" s="23">
        <v>611.72850438053081</v>
      </c>
      <c r="AD20" s="23">
        <v>577.64497663338216</v>
      </c>
      <c r="AE20" s="23">
        <v>540.01870362778845</v>
      </c>
      <c r="AF20" s="23">
        <v>501.40350479851941</v>
      </c>
      <c r="AG20" s="23">
        <f t="shared" si="1"/>
        <v>12698.140840385408</v>
      </c>
      <c r="AH20" s="23">
        <f t="shared" ref="AH20" si="7">AG20*E20</f>
        <v>63490.704201927038</v>
      </c>
      <c r="AI20" s="54"/>
    </row>
    <row r="21" spans="1:35" ht="12.75">
      <c r="A21" s="15">
        <v>2028</v>
      </c>
      <c r="B21" s="15">
        <v>4</v>
      </c>
      <c r="C21" s="15">
        <v>3</v>
      </c>
      <c r="D21" s="15">
        <v>18</v>
      </c>
      <c r="E21" s="15">
        <v>5</v>
      </c>
      <c r="F21" s="15">
        <v>5</v>
      </c>
      <c r="G21" s="15">
        <v>2</v>
      </c>
      <c r="H21" s="15">
        <v>30</v>
      </c>
      <c r="I21" s="23">
        <v>489.55429343325159</v>
      </c>
      <c r="J21" s="23">
        <v>473.90573994075345</v>
      </c>
      <c r="K21" s="23">
        <v>460.28189783353406</v>
      </c>
      <c r="L21" s="23">
        <v>444.95087287931756</v>
      </c>
      <c r="M21" s="23">
        <v>435.58564881493697</v>
      </c>
      <c r="N21" s="23">
        <v>406.683080571571</v>
      </c>
      <c r="O21" s="23">
        <v>422.40261103144968</v>
      </c>
      <c r="P21" s="23">
        <v>459.91580610704517</v>
      </c>
      <c r="Q21" s="23">
        <v>481.78791894986568</v>
      </c>
      <c r="R21" s="23">
        <v>503.78704320799932</v>
      </c>
      <c r="S21" s="23">
        <v>520.67582581472834</v>
      </c>
      <c r="T21" s="23">
        <v>541.99506543795292</v>
      </c>
      <c r="U21" s="23">
        <v>486.08762892118756</v>
      </c>
      <c r="V21" s="23">
        <v>605.0114055823675</v>
      </c>
      <c r="W21" s="23">
        <v>604.80221031008728</v>
      </c>
      <c r="X21" s="23">
        <v>605.27289967271679</v>
      </c>
      <c r="Y21" s="23">
        <v>579.32521465030288</v>
      </c>
      <c r="Z21" s="23">
        <v>581.09963883481817</v>
      </c>
      <c r="AA21" s="23">
        <v>670.94900827897436</v>
      </c>
      <c r="AB21" s="23">
        <v>696.6202566915897</v>
      </c>
      <c r="AC21" s="23">
        <v>690.21738710788429</v>
      </c>
      <c r="AD21" s="23">
        <v>653.96683492569218</v>
      </c>
      <c r="AE21" s="23">
        <v>601.90336153706744</v>
      </c>
      <c r="AF21" s="23">
        <v>560.78528364450926</v>
      </c>
      <c r="AG21" s="23">
        <f t="shared" si="1"/>
        <v>12977.566934179602</v>
      </c>
      <c r="AH21" s="23">
        <f t="shared" ref="AH21" si="8">F21*AG21</f>
        <v>64887.83467089801</v>
      </c>
      <c r="AI21" s="54"/>
    </row>
    <row r="22" spans="1:35" ht="12.75">
      <c r="A22" s="15">
        <v>2028</v>
      </c>
      <c r="B22" s="15">
        <v>4</v>
      </c>
      <c r="C22" s="15">
        <v>4</v>
      </c>
      <c r="D22" s="15">
        <v>18</v>
      </c>
      <c r="E22" s="15">
        <v>5</v>
      </c>
      <c r="F22" s="15">
        <v>5</v>
      </c>
      <c r="G22" s="15">
        <v>2</v>
      </c>
      <c r="H22" s="15">
        <v>30</v>
      </c>
      <c r="I22" s="23">
        <v>438.87725024760215</v>
      </c>
      <c r="J22" s="23">
        <v>437.31660814338784</v>
      </c>
      <c r="K22" s="23">
        <v>415.86794800330739</v>
      </c>
      <c r="L22" s="23">
        <v>398.59705612985715</v>
      </c>
      <c r="M22" s="23">
        <v>386.03092575301537</v>
      </c>
      <c r="N22" s="23">
        <v>371.56126871271101</v>
      </c>
      <c r="O22" s="23">
        <v>401.16779832484156</v>
      </c>
      <c r="P22" s="23">
        <v>420.95805322935138</v>
      </c>
      <c r="Q22" s="23">
        <v>443.0147001425409</v>
      </c>
      <c r="R22" s="23">
        <v>445.01063794111735</v>
      </c>
      <c r="S22" s="23">
        <v>477.17399455800239</v>
      </c>
      <c r="T22" s="23">
        <v>505.16850290199369</v>
      </c>
      <c r="U22" s="23">
        <v>527.71004067472393</v>
      </c>
      <c r="V22" s="23">
        <v>527.63975112407672</v>
      </c>
      <c r="W22" s="23">
        <v>512.34731386147791</v>
      </c>
      <c r="X22" s="23">
        <v>521.61411695490369</v>
      </c>
      <c r="Y22" s="23">
        <v>494.37923527754913</v>
      </c>
      <c r="Z22" s="23">
        <v>516.83692510915103</v>
      </c>
      <c r="AA22" s="23">
        <v>587.41798115150982</v>
      </c>
      <c r="AB22" s="23">
        <v>608.77779815397037</v>
      </c>
      <c r="AC22" s="23">
        <v>578.62036972864678</v>
      </c>
      <c r="AD22" s="23">
        <v>548.08080877163286</v>
      </c>
      <c r="AE22" s="23">
        <v>501.43173912571774</v>
      </c>
      <c r="AF22" s="23">
        <v>463.37940264370991</v>
      </c>
      <c r="AG22" s="23">
        <f t="shared" si="1"/>
        <v>11528.980226664798</v>
      </c>
      <c r="AH22" s="23">
        <f t="shared" ref="AH22" si="9">AG22*G22</f>
        <v>23057.960453329597</v>
      </c>
      <c r="AI22" s="54"/>
    </row>
    <row r="23" spans="1:35" ht="12.75">
      <c r="A23" s="15">
        <v>2028</v>
      </c>
      <c r="B23" s="15">
        <v>5</v>
      </c>
      <c r="C23" s="15">
        <v>1</v>
      </c>
      <c r="D23" s="15">
        <v>21</v>
      </c>
      <c r="E23" s="15">
        <v>4</v>
      </c>
      <c r="F23" s="15">
        <v>4</v>
      </c>
      <c r="G23" s="15">
        <v>2</v>
      </c>
      <c r="H23" s="15">
        <v>31</v>
      </c>
      <c r="I23" s="23">
        <v>392.15668623611964</v>
      </c>
      <c r="J23" s="23">
        <v>367.90677324382739</v>
      </c>
      <c r="K23" s="23">
        <v>361.10024356225807</v>
      </c>
      <c r="L23" s="23">
        <v>357.17844189076692</v>
      </c>
      <c r="M23" s="23">
        <v>344.23510219562758</v>
      </c>
      <c r="N23" s="23">
        <v>330.613751135055</v>
      </c>
      <c r="O23" s="23">
        <v>399.32249834722995</v>
      </c>
      <c r="P23" s="23">
        <v>442.76967210225905</v>
      </c>
      <c r="Q23" s="23">
        <v>481.20572549275971</v>
      </c>
      <c r="R23" s="23">
        <v>509.74794939765496</v>
      </c>
      <c r="S23" s="23">
        <v>535.4004066798725</v>
      </c>
      <c r="T23" s="23">
        <v>571.34117278758526</v>
      </c>
      <c r="U23" s="23">
        <v>522.59677841761209</v>
      </c>
      <c r="V23" s="23">
        <v>552.94292347054147</v>
      </c>
      <c r="W23" s="23">
        <v>591.23515626837457</v>
      </c>
      <c r="X23" s="23">
        <v>593.35907823509456</v>
      </c>
      <c r="Y23" s="23">
        <v>563.465454404095</v>
      </c>
      <c r="Z23" s="23">
        <v>542.97358817378608</v>
      </c>
      <c r="AA23" s="23">
        <v>600.05957691849881</v>
      </c>
      <c r="AB23" s="23">
        <v>592.26758266574018</v>
      </c>
      <c r="AC23" s="23">
        <v>573.92788887571169</v>
      </c>
      <c r="AD23" s="23">
        <v>534.19950473109623</v>
      </c>
      <c r="AE23" s="23">
        <v>467.59927013642692</v>
      </c>
      <c r="AF23" s="23">
        <v>432.90306580026686</v>
      </c>
      <c r="AG23" s="23">
        <f t="shared" si="1"/>
        <v>11660.508291168258</v>
      </c>
      <c r="AH23" s="23">
        <f t="shared" ref="AH23" si="10">AG23*D23</f>
        <v>244870.67411453344</v>
      </c>
      <c r="AI23" s="54">
        <f>AH23+AH24+AH25+AH26</f>
        <v>354742.94115090417</v>
      </c>
    </row>
    <row r="24" spans="1:35" ht="12.75">
      <c r="A24" s="15">
        <v>2028</v>
      </c>
      <c r="B24" s="15">
        <v>5</v>
      </c>
      <c r="C24" s="15">
        <v>2</v>
      </c>
      <c r="D24" s="15">
        <v>21</v>
      </c>
      <c r="E24" s="15">
        <v>4</v>
      </c>
      <c r="F24" s="15">
        <v>4</v>
      </c>
      <c r="G24" s="15">
        <v>2</v>
      </c>
      <c r="H24" s="15">
        <v>31</v>
      </c>
      <c r="I24" s="23">
        <v>469.29427423400693</v>
      </c>
      <c r="J24" s="23">
        <v>453.69785095060308</v>
      </c>
      <c r="K24" s="23">
        <v>437.83409007389179</v>
      </c>
      <c r="L24" s="23">
        <v>421.12159722619145</v>
      </c>
      <c r="M24" s="23">
        <v>414.33952799012263</v>
      </c>
      <c r="N24" s="23">
        <v>383.79555907697727</v>
      </c>
      <c r="O24" s="23">
        <v>367.83576430752362</v>
      </c>
      <c r="P24" s="23">
        <v>349.26229034912291</v>
      </c>
      <c r="Q24" s="23">
        <v>485.38470970439784</v>
      </c>
      <c r="R24" s="23">
        <v>513.5373481712495</v>
      </c>
      <c r="S24" s="23">
        <v>432.61451822783965</v>
      </c>
      <c r="T24" s="23">
        <v>521.25120571797572</v>
      </c>
      <c r="U24" s="23">
        <v>514.42501280145859</v>
      </c>
      <c r="V24" s="23">
        <v>454.51284128360231</v>
      </c>
      <c r="W24" s="23">
        <v>515.68383544956146</v>
      </c>
      <c r="X24" s="23">
        <v>532.61694669950714</v>
      </c>
      <c r="Y24" s="23">
        <v>513.33749385392184</v>
      </c>
      <c r="Z24" s="23">
        <v>526.17748486457242</v>
      </c>
      <c r="AA24" s="23">
        <v>573.48066581648197</v>
      </c>
      <c r="AB24" s="23">
        <v>577.51928033286958</v>
      </c>
      <c r="AC24" s="23">
        <v>551.65242154731459</v>
      </c>
      <c r="AD24" s="23">
        <v>510.18913947835699</v>
      </c>
      <c r="AE24" s="23">
        <v>478.06190909027811</v>
      </c>
      <c r="AF24" s="23">
        <v>446.48752246311932</v>
      </c>
      <c r="AG24" s="23">
        <f t="shared" si="1"/>
        <v>11444.113289710946</v>
      </c>
      <c r="AH24" s="23">
        <f t="shared" ref="AH24" si="11">AG24*E24</f>
        <v>45776.453158843782</v>
      </c>
      <c r="AI24" s="54"/>
    </row>
    <row r="25" spans="1:35" ht="12.75">
      <c r="A25" s="15">
        <v>2028</v>
      </c>
      <c r="B25" s="15">
        <v>5</v>
      </c>
      <c r="C25" s="15">
        <v>3</v>
      </c>
      <c r="D25" s="15">
        <v>21</v>
      </c>
      <c r="E25" s="15">
        <v>4</v>
      </c>
      <c r="F25" s="15">
        <v>4</v>
      </c>
      <c r="G25" s="15">
        <v>2</v>
      </c>
      <c r="H25" s="15">
        <v>31</v>
      </c>
      <c r="I25" s="23">
        <v>409.48794239408579</v>
      </c>
      <c r="J25" s="23">
        <v>394.6770882152527</v>
      </c>
      <c r="K25" s="23">
        <v>385.69304326699353</v>
      </c>
      <c r="L25" s="23">
        <v>379.33835226833668</v>
      </c>
      <c r="M25" s="23">
        <v>376.95534314384025</v>
      </c>
      <c r="N25" s="23">
        <v>351.22990497918147</v>
      </c>
      <c r="O25" s="23">
        <v>359.86956991683309</v>
      </c>
      <c r="P25" s="23">
        <v>375.0273178289778</v>
      </c>
      <c r="Q25" s="23">
        <v>424.3616396405464</v>
      </c>
      <c r="R25" s="23">
        <v>423.30336238167234</v>
      </c>
      <c r="S25" s="23">
        <v>437.29222923591573</v>
      </c>
      <c r="T25" s="23">
        <v>456.00438105316431</v>
      </c>
      <c r="U25" s="23">
        <v>375.27366265408489</v>
      </c>
      <c r="V25" s="23">
        <v>476.1359482912622</v>
      </c>
      <c r="W25" s="23">
        <v>467.3111057809964</v>
      </c>
      <c r="X25" s="23">
        <v>425.70061593483109</v>
      </c>
      <c r="Y25" s="23">
        <v>434.08974650953581</v>
      </c>
      <c r="Z25" s="23">
        <v>470.8051803411758</v>
      </c>
      <c r="AA25" s="23">
        <v>539.79178626172438</v>
      </c>
      <c r="AB25" s="23">
        <v>515.50922492983034</v>
      </c>
      <c r="AC25" s="23">
        <v>515.36091529022508</v>
      </c>
      <c r="AD25" s="23">
        <v>475.25698325202262</v>
      </c>
      <c r="AE25" s="23">
        <v>440.82400963667226</v>
      </c>
      <c r="AF25" s="23">
        <v>413.23338922478149</v>
      </c>
      <c r="AG25" s="23">
        <f t="shared" si="1"/>
        <v>10322.532742431938</v>
      </c>
      <c r="AH25" s="23">
        <f t="shared" ref="AH25" si="12">F25*AG25</f>
        <v>41290.130969727754</v>
      </c>
      <c r="AI25" s="54"/>
    </row>
    <row r="26" spans="1:35" ht="12.75">
      <c r="A26" s="15">
        <v>2028</v>
      </c>
      <c r="B26" s="15">
        <v>5</v>
      </c>
      <c r="C26" s="15">
        <v>4</v>
      </c>
      <c r="D26" s="15">
        <v>21</v>
      </c>
      <c r="E26" s="15">
        <v>4</v>
      </c>
      <c r="F26" s="15">
        <v>4</v>
      </c>
      <c r="G26" s="15">
        <v>2</v>
      </c>
      <c r="H26" s="15">
        <v>31</v>
      </c>
      <c r="I26" s="23">
        <v>457.54528293652476</v>
      </c>
      <c r="J26" s="23">
        <v>443.48183725143787</v>
      </c>
      <c r="K26" s="23">
        <v>426.52391350805328</v>
      </c>
      <c r="L26" s="23">
        <v>415.33370200560677</v>
      </c>
      <c r="M26" s="23">
        <v>404.84453839984911</v>
      </c>
      <c r="N26" s="23">
        <v>374.3648878006374</v>
      </c>
      <c r="O26" s="23">
        <v>356.19075217587653</v>
      </c>
      <c r="P26" s="23">
        <v>447.32166777648303</v>
      </c>
      <c r="Q26" s="23">
        <v>495.9913869071982</v>
      </c>
      <c r="R26" s="23">
        <v>423.7887645171848</v>
      </c>
      <c r="S26" s="23">
        <v>549.58437422147779</v>
      </c>
      <c r="T26" s="23">
        <v>563.66375281330818</v>
      </c>
      <c r="U26" s="23">
        <v>562.51658352781681</v>
      </c>
      <c r="V26" s="23">
        <v>378.07194410282455</v>
      </c>
      <c r="W26" s="23">
        <v>307.57945370321755</v>
      </c>
      <c r="X26" s="23">
        <v>358.13987776742675</v>
      </c>
      <c r="Y26" s="23">
        <v>536.44503712748019</v>
      </c>
      <c r="Z26" s="23">
        <v>536.00422670759349</v>
      </c>
      <c r="AA26" s="23">
        <v>594.99846940772318</v>
      </c>
      <c r="AB26" s="23">
        <v>606.36925385325617</v>
      </c>
      <c r="AC26" s="23">
        <v>588.95458678324155</v>
      </c>
      <c r="AD26" s="23">
        <v>566.36172502177578</v>
      </c>
      <c r="AE26" s="23">
        <v>520.68739235872931</v>
      </c>
      <c r="AF26" s="23">
        <v>488.07804322487982</v>
      </c>
      <c r="AG26" s="23">
        <f t="shared" si="1"/>
        <v>11402.841453899604</v>
      </c>
      <c r="AH26" s="23">
        <f t="shared" ref="AH26" si="13">AG26*G26</f>
        <v>22805.682907799208</v>
      </c>
      <c r="AI26" s="54"/>
    </row>
    <row r="27" spans="1:35" ht="12.75">
      <c r="A27" s="15">
        <v>2028</v>
      </c>
      <c r="B27" s="15">
        <v>6</v>
      </c>
      <c r="C27" s="15">
        <v>1</v>
      </c>
      <c r="D27" s="15">
        <v>20</v>
      </c>
      <c r="E27" s="15">
        <v>4</v>
      </c>
      <c r="F27" s="15">
        <v>4</v>
      </c>
      <c r="G27" s="15">
        <v>2</v>
      </c>
      <c r="H27" s="15">
        <v>30</v>
      </c>
      <c r="I27" s="23">
        <v>370.98601294305655</v>
      </c>
      <c r="J27" s="23">
        <v>360.65864377343587</v>
      </c>
      <c r="K27" s="23">
        <v>351.20327081278657</v>
      </c>
      <c r="L27" s="23">
        <v>343.24274849608651</v>
      </c>
      <c r="M27" s="23">
        <v>324.23216732226598</v>
      </c>
      <c r="N27" s="23">
        <v>313.4268155965641</v>
      </c>
      <c r="O27" s="23">
        <v>358.21668903659116</v>
      </c>
      <c r="P27" s="23">
        <v>395.27347161011841</v>
      </c>
      <c r="Q27" s="23">
        <v>435.31995547154526</v>
      </c>
      <c r="R27" s="23">
        <v>448.98973086573545</v>
      </c>
      <c r="S27" s="23">
        <v>471.38073302868708</v>
      </c>
      <c r="T27" s="23">
        <v>496.09930673388044</v>
      </c>
      <c r="U27" s="23">
        <v>483.19964649178354</v>
      </c>
      <c r="V27" s="23">
        <v>464.45310220083365</v>
      </c>
      <c r="W27" s="23">
        <v>506.05261194277523</v>
      </c>
      <c r="X27" s="23">
        <v>523.68127913891681</v>
      </c>
      <c r="Y27" s="23">
        <v>509.97156303101656</v>
      </c>
      <c r="Z27" s="23">
        <v>489.75286619211232</v>
      </c>
      <c r="AA27" s="23">
        <v>531.82171238364936</v>
      </c>
      <c r="AB27" s="23">
        <v>527.04347387106611</v>
      </c>
      <c r="AC27" s="23">
        <v>535.77399148465508</v>
      </c>
      <c r="AD27" s="23">
        <v>488.57081283462907</v>
      </c>
      <c r="AE27" s="23">
        <v>422.94676541521068</v>
      </c>
      <c r="AF27" s="23">
        <v>391.36490246236156</v>
      </c>
      <c r="AG27" s="23">
        <f t="shared" si="1"/>
        <v>10543.662273139762</v>
      </c>
      <c r="AH27" s="23">
        <f t="shared" ref="AH27" si="14">AG27*D27</f>
        <v>210873.24546279525</v>
      </c>
      <c r="AI27" s="54">
        <f>AH27+AH28+AH29+AH30</f>
        <v>313177.4752273747</v>
      </c>
    </row>
    <row r="28" spans="1:35" ht="12.75">
      <c r="A28" s="15">
        <v>2028</v>
      </c>
      <c r="B28" s="15">
        <v>6</v>
      </c>
      <c r="C28" s="15">
        <v>2</v>
      </c>
      <c r="D28" s="15">
        <v>20</v>
      </c>
      <c r="E28" s="15">
        <v>4</v>
      </c>
      <c r="F28" s="15">
        <v>4</v>
      </c>
      <c r="G28" s="15">
        <v>2</v>
      </c>
      <c r="H28" s="15">
        <v>30</v>
      </c>
      <c r="I28" s="23">
        <v>391.14739255892277</v>
      </c>
      <c r="J28" s="23">
        <v>378.2645395038594</v>
      </c>
      <c r="K28" s="23">
        <v>367.68701756868501</v>
      </c>
      <c r="L28" s="23">
        <v>356.54492474700703</v>
      </c>
      <c r="M28" s="23">
        <v>337.05495588250432</v>
      </c>
      <c r="N28" s="23">
        <v>332.0904140653181</v>
      </c>
      <c r="O28" s="23">
        <v>361.87357387505347</v>
      </c>
      <c r="P28" s="23">
        <v>401.30762296929038</v>
      </c>
      <c r="Q28" s="23">
        <v>434.63980628657407</v>
      </c>
      <c r="R28" s="23">
        <v>450.93872231431976</v>
      </c>
      <c r="S28" s="23">
        <v>459.38683014496678</v>
      </c>
      <c r="T28" s="23">
        <v>463.49224235225665</v>
      </c>
      <c r="U28" s="23">
        <v>454.12363851100685</v>
      </c>
      <c r="V28" s="23">
        <v>466.09826883560834</v>
      </c>
      <c r="W28" s="23">
        <v>468.00676389759246</v>
      </c>
      <c r="X28" s="23">
        <v>470.06867496134333</v>
      </c>
      <c r="Y28" s="23">
        <v>451.68125576287298</v>
      </c>
      <c r="Z28" s="23">
        <v>474.12499404806766</v>
      </c>
      <c r="AA28" s="23">
        <v>504.25998788852326</v>
      </c>
      <c r="AB28" s="23">
        <v>531.35734489398862</v>
      </c>
      <c r="AC28" s="23">
        <v>500.96256662387304</v>
      </c>
      <c r="AD28" s="23">
        <v>463.7254346749429</v>
      </c>
      <c r="AE28" s="23">
        <v>428.35997794757111</v>
      </c>
      <c r="AF28" s="23">
        <v>397.78928266209692</v>
      </c>
      <c r="AG28" s="23">
        <f t="shared" si="1"/>
        <v>10344.986232976245</v>
      </c>
      <c r="AH28" s="23">
        <f t="shared" ref="AH28" si="15">AG28*E28</f>
        <v>41379.944931904982</v>
      </c>
      <c r="AI28" s="54"/>
    </row>
    <row r="29" spans="1:35" ht="12.75">
      <c r="A29" s="15">
        <v>2028</v>
      </c>
      <c r="B29" s="15">
        <v>6</v>
      </c>
      <c r="C29" s="15">
        <v>3</v>
      </c>
      <c r="D29" s="15">
        <v>20</v>
      </c>
      <c r="E29" s="15">
        <v>4</v>
      </c>
      <c r="F29" s="15">
        <v>4</v>
      </c>
      <c r="G29" s="15">
        <v>2</v>
      </c>
      <c r="H29" s="15">
        <v>30</v>
      </c>
      <c r="I29" s="23">
        <v>376.07457480190993</v>
      </c>
      <c r="J29" s="23">
        <v>351.6181939505517</v>
      </c>
      <c r="K29" s="23">
        <v>337.30797059404256</v>
      </c>
      <c r="L29" s="23">
        <v>349.29078965989709</v>
      </c>
      <c r="M29" s="23">
        <v>322.54427611684417</v>
      </c>
      <c r="N29" s="23">
        <v>294.79764133501436</v>
      </c>
      <c r="O29" s="23">
        <v>348.86837820500909</v>
      </c>
      <c r="P29" s="23">
        <v>376.7972296928703</v>
      </c>
      <c r="Q29" s="23">
        <v>399.47699766043598</v>
      </c>
      <c r="R29" s="23">
        <v>405.67650695422782</v>
      </c>
      <c r="S29" s="23">
        <v>419.95774128932328</v>
      </c>
      <c r="T29" s="23">
        <v>436.40279900852482</v>
      </c>
      <c r="U29" s="23">
        <v>452.94517701390123</v>
      </c>
      <c r="V29" s="23">
        <v>473.57914832740414</v>
      </c>
      <c r="W29" s="23">
        <v>474.1465048893603</v>
      </c>
      <c r="X29" s="23">
        <v>470.93493544558311</v>
      </c>
      <c r="Y29" s="23">
        <v>451.28866150453746</v>
      </c>
      <c r="Z29" s="23">
        <v>460.00193308378743</v>
      </c>
      <c r="AA29" s="23">
        <v>537.5247882775891</v>
      </c>
      <c r="AB29" s="23">
        <v>552.28227082162766</v>
      </c>
      <c r="AC29" s="23">
        <v>539.40286273632978</v>
      </c>
      <c r="AD29" s="23">
        <v>506.52517116424769</v>
      </c>
      <c r="AE29" s="23">
        <v>466.60107674421232</v>
      </c>
      <c r="AF29" s="23">
        <v>426.51133077324062</v>
      </c>
      <c r="AG29" s="23">
        <f t="shared" si="1"/>
        <v>10230.556960050473</v>
      </c>
      <c r="AH29" s="23">
        <f t="shared" ref="AH29" si="16">F29*AG29</f>
        <v>40922.227840201893</v>
      </c>
      <c r="AI29" s="54"/>
    </row>
    <row r="30" spans="1:35" ht="12.75">
      <c r="A30" s="15">
        <v>2028</v>
      </c>
      <c r="B30" s="15">
        <v>6</v>
      </c>
      <c r="C30" s="15">
        <v>4</v>
      </c>
      <c r="D30" s="15">
        <v>20</v>
      </c>
      <c r="E30" s="15">
        <v>4</v>
      </c>
      <c r="F30" s="15">
        <v>4</v>
      </c>
      <c r="G30" s="15">
        <v>2</v>
      </c>
      <c r="H30" s="15">
        <v>30</v>
      </c>
      <c r="I30" s="23">
        <v>398.29202778146652</v>
      </c>
      <c r="J30" s="23">
        <v>384.03120366648051</v>
      </c>
      <c r="K30" s="23">
        <v>372.54064953200174</v>
      </c>
      <c r="L30" s="23">
        <v>362.50600370844779</v>
      </c>
      <c r="M30" s="23">
        <v>357.18283894663199</v>
      </c>
      <c r="N30" s="23">
        <v>336.25415697710292</v>
      </c>
      <c r="O30" s="23">
        <v>361.10064776943096</v>
      </c>
      <c r="P30" s="23">
        <v>310.6493806061697</v>
      </c>
      <c r="Q30" s="23">
        <v>391.4775680483919</v>
      </c>
      <c r="R30" s="23">
        <v>436.56017331512271</v>
      </c>
      <c r="S30" s="23">
        <v>456.47275260931963</v>
      </c>
      <c r="T30" s="23">
        <v>476.31961382003772</v>
      </c>
      <c r="U30" s="23">
        <v>462.20033634639094</v>
      </c>
      <c r="V30" s="23">
        <v>470.00562256884325</v>
      </c>
      <c r="W30" s="23">
        <v>452.33251335012966</v>
      </c>
      <c r="X30" s="23">
        <v>447.0042933511246</v>
      </c>
      <c r="Y30" s="23">
        <v>389.6324064737845</v>
      </c>
      <c r="Z30" s="23">
        <v>393.34295057176348</v>
      </c>
      <c r="AA30" s="23">
        <v>514.26422417348806</v>
      </c>
      <c r="AB30" s="23">
        <v>510.87721525571396</v>
      </c>
      <c r="AC30" s="23">
        <v>480.89460347762798</v>
      </c>
      <c r="AD30" s="23">
        <v>447.76257892973069</v>
      </c>
      <c r="AE30" s="23">
        <v>409.61070385146024</v>
      </c>
      <c r="AF30" s="23">
        <v>379.7140311056163</v>
      </c>
      <c r="AG30" s="23">
        <f t="shared" si="1"/>
        <v>10001.028496236277</v>
      </c>
      <c r="AH30" s="23">
        <f t="shared" ref="AH30" si="17">AG30*G30</f>
        <v>20002.056992472553</v>
      </c>
      <c r="AI30" s="54"/>
    </row>
    <row r="31" spans="1:35" ht="12.75">
      <c r="A31" s="15">
        <v>2028</v>
      </c>
      <c r="B31" s="15">
        <v>7</v>
      </c>
      <c r="C31" s="15">
        <v>1</v>
      </c>
      <c r="D31" s="15">
        <v>19</v>
      </c>
      <c r="E31" s="15">
        <v>5</v>
      </c>
      <c r="F31" s="15">
        <v>5</v>
      </c>
      <c r="G31" s="15">
        <v>2</v>
      </c>
      <c r="H31" s="15">
        <v>31</v>
      </c>
      <c r="I31" s="23">
        <v>380.0664391293368</v>
      </c>
      <c r="J31" s="23">
        <v>356.39945110940471</v>
      </c>
      <c r="K31" s="23">
        <v>347.87410203963248</v>
      </c>
      <c r="L31" s="23">
        <v>343.92139756718336</v>
      </c>
      <c r="M31" s="23">
        <v>347.43657999991279</v>
      </c>
      <c r="N31" s="23">
        <v>340.3607278484385</v>
      </c>
      <c r="O31" s="23">
        <v>384.98610013544226</v>
      </c>
      <c r="P31" s="23">
        <v>420.85540433494293</v>
      </c>
      <c r="Q31" s="23">
        <v>460.31820412969461</v>
      </c>
      <c r="R31" s="23">
        <v>484.35753137742677</v>
      </c>
      <c r="S31" s="23">
        <v>502.65889541186215</v>
      </c>
      <c r="T31" s="23">
        <v>503.87673543024511</v>
      </c>
      <c r="U31" s="23">
        <v>497.2646436891668</v>
      </c>
      <c r="V31" s="23">
        <v>495.65244654214331</v>
      </c>
      <c r="W31" s="23">
        <v>536.25383531057025</v>
      </c>
      <c r="X31" s="23">
        <v>527.74489917905078</v>
      </c>
      <c r="Y31" s="23">
        <v>512.9737236923196</v>
      </c>
      <c r="Z31" s="23">
        <v>520.52555105313513</v>
      </c>
      <c r="AA31" s="23">
        <v>570.48841086005871</v>
      </c>
      <c r="AB31" s="23">
        <v>562.85827033672172</v>
      </c>
      <c r="AC31" s="23">
        <v>548.22402564913057</v>
      </c>
      <c r="AD31" s="23">
        <v>493.71196829953027</v>
      </c>
      <c r="AE31" s="23">
        <v>443.39505796743146</v>
      </c>
      <c r="AF31" s="23">
        <v>406.82937624490432</v>
      </c>
      <c r="AG31" s="23">
        <f t="shared" si="1"/>
        <v>10989.033777337685</v>
      </c>
      <c r="AH31" s="23">
        <f t="shared" ref="AH31" si="18">AG31*D31</f>
        <v>208791.64176941602</v>
      </c>
      <c r="AI31" s="54">
        <f>AH31+AH32+AH33+AH34</f>
        <v>334770.98822163267</v>
      </c>
    </row>
    <row r="32" spans="1:35" ht="12.75">
      <c r="A32" s="15">
        <v>2028</v>
      </c>
      <c r="B32" s="15">
        <v>7</v>
      </c>
      <c r="C32" s="15">
        <v>2</v>
      </c>
      <c r="D32" s="15">
        <v>19</v>
      </c>
      <c r="E32" s="15">
        <v>5</v>
      </c>
      <c r="F32" s="15">
        <v>5</v>
      </c>
      <c r="G32" s="15">
        <v>2</v>
      </c>
      <c r="H32" s="15">
        <v>31</v>
      </c>
      <c r="I32" s="23">
        <v>378.54243024798956</v>
      </c>
      <c r="J32" s="23">
        <v>364.34734871649829</v>
      </c>
      <c r="K32" s="23">
        <v>356.33427538184662</v>
      </c>
      <c r="L32" s="23">
        <v>350.71300924989362</v>
      </c>
      <c r="M32" s="23">
        <v>352.44369463534662</v>
      </c>
      <c r="N32" s="23">
        <v>334.49302581742069</v>
      </c>
      <c r="O32" s="23">
        <v>355.75622646310541</v>
      </c>
      <c r="P32" s="23">
        <v>379.69506671470231</v>
      </c>
      <c r="Q32" s="23">
        <v>402.78933249819715</v>
      </c>
      <c r="R32" s="23">
        <v>415.37833799198751</v>
      </c>
      <c r="S32" s="23">
        <v>447.14679892737666</v>
      </c>
      <c r="T32" s="23">
        <v>457.45822245391037</v>
      </c>
      <c r="U32" s="23">
        <v>460.31731471068008</v>
      </c>
      <c r="V32" s="23">
        <v>438.13338943993421</v>
      </c>
      <c r="W32" s="23">
        <v>505.46397367562707</v>
      </c>
      <c r="X32" s="23">
        <v>501.3934016490403</v>
      </c>
      <c r="Y32" s="23">
        <v>366.99270132816383</v>
      </c>
      <c r="Z32" s="23">
        <v>524.04720800193695</v>
      </c>
      <c r="AA32" s="23">
        <v>572.51764824964789</v>
      </c>
      <c r="AB32" s="23">
        <v>594.28015162903614</v>
      </c>
      <c r="AC32" s="23">
        <v>577.43192940164386</v>
      </c>
      <c r="AD32" s="23">
        <v>526.81976598943459</v>
      </c>
      <c r="AE32" s="23">
        <v>480.32749913729702</v>
      </c>
      <c r="AF32" s="23">
        <v>443.34707916361344</v>
      </c>
      <c r="AG32" s="23">
        <f t="shared" si="1"/>
        <v>10586.16983147433</v>
      </c>
      <c r="AH32" s="23">
        <f t="shared" ref="AH32" si="19">AG32*E32</f>
        <v>52930.849157371646</v>
      </c>
      <c r="AI32" s="54"/>
    </row>
    <row r="33" spans="1:35" ht="12.75">
      <c r="A33" s="15">
        <v>2028</v>
      </c>
      <c r="B33" s="15">
        <v>7</v>
      </c>
      <c r="C33" s="15">
        <v>3</v>
      </c>
      <c r="D33" s="15">
        <v>19</v>
      </c>
      <c r="E33" s="15">
        <v>5</v>
      </c>
      <c r="F33" s="15">
        <v>5</v>
      </c>
      <c r="G33" s="15">
        <v>2</v>
      </c>
      <c r="H33" s="15">
        <v>31</v>
      </c>
      <c r="I33" s="23">
        <v>415.14444961659001</v>
      </c>
      <c r="J33" s="23">
        <v>400.05434103003068</v>
      </c>
      <c r="K33" s="23">
        <v>386.159156383197</v>
      </c>
      <c r="L33" s="23">
        <v>371.43552554920933</v>
      </c>
      <c r="M33" s="23">
        <v>373.34792001861967</v>
      </c>
      <c r="N33" s="23">
        <v>358.37394874801595</v>
      </c>
      <c r="O33" s="23">
        <v>383.81576343012728</v>
      </c>
      <c r="P33" s="23">
        <v>407.56971578701069</v>
      </c>
      <c r="Q33" s="23">
        <v>409.72212737606253</v>
      </c>
      <c r="R33" s="23">
        <v>351.7489600800327</v>
      </c>
      <c r="S33" s="23">
        <v>407.97404570181988</v>
      </c>
      <c r="T33" s="23">
        <v>444.05403852550842</v>
      </c>
      <c r="U33" s="23">
        <v>445.96729327133238</v>
      </c>
      <c r="V33" s="23">
        <v>412.23843588844449</v>
      </c>
      <c r="W33" s="23">
        <v>472.92147389011569</v>
      </c>
      <c r="X33" s="23">
        <v>464.26795343676633</v>
      </c>
      <c r="Y33" s="23">
        <v>447.1338280893799</v>
      </c>
      <c r="Z33" s="23">
        <v>452.35226481967328</v>
      </c>
      <c r="AA33" s="23">
        <v>527.59117975450636</v>
      </c>
      <c r="AB33" s="23">
        <v>541.37796957311411</v>
      </c>
      <c r="AC33" s="23">
        <v>515.83808337975165</v>
      </c>
      <c r="AD33" s="23">
        <v>476.18106122461683</v>
      </c>
      <c r="AE33" s="23">
        <v>440.76176068725732</v>
      </c>
      <c r="AF33" s="23">
        <v>409.19563821039583</v>
      </c>
      <c r="AG33" s="23">
        <f t="shared" si="1"/>
        <v>10315.226934471577</v>
      </c>
      <c r="AH33" s="23">
        <f t="shared" ref="AH33" si="20">F33*AG33</f>
        <v>51576.134672357883</v>
      </c>
      <c r="AI33" s="54"/>
    </row>
    <row r="34" spans="1:35" ht="12.75">
      <c r="A34" s="15">
        <v>2028</v>
      </c>
      <c r="B34" s="15">
        <v>7</v>
      </c>
      <c r="C34" s="15">
        <v>4</v>
      </c>
      <c r="D34" s="15">
        <v>19</v>
      </c>
      <c r="E34" s="15">
        <v>5</v>
      </c>
      <c r="F34" s="15">
        <v>5</v>
      </c>
      <c r="G34" s="15">
        <v>2</v>
      </c>
      <c r="H34" s="15">
        <v>31</v>
      </c>
      <c r="I34" s="23">
        <v>406.50709101634357</v>
      </c>
      <c r="J34" s="23">
        <v>383.57859167162019</v>
      </c>
      <c r="K34" s="23">
        <v>372.91611059578156</v>
      </c>
      <c r="L34" s="23">
        <v>367.64734553291623</v>
      </c>
      <c r="M34" s="23">
        <v>364.55480951775576</v>
      </c>
      <c r="N34" s="23">
        <v>330.48485045511518</v>
      </c>
      <c r="O34" s="23">
        <v>374.2385081510854</v>
      </c>
      <c r="P34" s="23">
        <v>403.76858269315386</v>
      </c>
      <c r="Q34" s="23">
        <v>433.23618176016896</v>
      </c>
      <c r="R34" s="23">
        <v>442.07646148027334</v>
      </c>
      <c r="S34" s="23">
        <v>447.85544292274403</v>
      </c>
      <c r="T34" s="23">
        <v>472.56449330649906</v>
      </c>
      <c r="U34" s="23">
        <v>495.53464296792401</v>
      </c>
      <c r="V34" s="23">
        <v>479.86371130861062</v>
      </c>
      <c r="W34" s="23">
        <v>473.76193991169595</v>
      </c>
      <c r="X34" s="23">
        <v>484.27864487907596</v>
      </c>
      <c r="Y34" s="23">
        <v>479.48885845828812</v>
      </c>
      <c r="Z34" s="23">
        <v>495.49299265122244</v>
      </c>
      <c r="AA34" s="23">
        <v>563.92446299341998</v>
      </c>
      <c r="AB34" s="23">
        <v>566.15275493700335</v>
      </c>
      <c r="AC34" s="23">
        <v>537.2161974079454</v>
      </c>
      <c r="AD34" s="23">
        <v>486.29868523914627</v>
      </c>
      <c r="AE34" s="23">
        <v>454.10299042811835</v>
      </c>
      <c r="AF34" s="23">
        <v>420.63696095766426</v>
      </c>
      <c r="AG34" s="23">
        <f t="shared" si="1"/>
        <v>10736.18131124357</v>
      </c>
      <c r="AH34" s="23">
        <f t="shared" ref="AH34" si="21">AG34*G34</f>
        <v>21472.36262248714</v>
      </c>
      <c r="AI34" s="54"/>
    </row>
    <row r="35" spans="1:35" ht="12.75">
      <c r="A35" s="15">
        <v>2028</v>
      </c>
      <c r="B35" s="15">
        <v>8</v>
      </c>
      <c r="C35" s="15">
        <v>1</v>
      </c>
      <c r="D35" s="15">
        <v>21</v>
      </c>
      <c r="E35" s="15">
        <v>4</v>
      </c>
      <c r="F35" s="15">
        <v>4</v>
      </c>
      <c r="G35" s="15">
        <v>2</v>
      </c>
      <c r="H35" s="15">
        <v>31</v>
      </c>
      <c r="I35" s="23">
        <v>418.2459639093799</v>
      </c>
      <c r="J35" s="23">
        <v>391.54185398775775</v>
      </c>
      <c r="K35" s="23">
        <v>380.76919702904161</v>
      </c>
      <c r="L35" s="23">
        <v>369.50960489958254</v>
      </c>
      <c r="M35" s="23">
        <v>367.25361126518067</v>
      </c>
      <c r="N35" s="23">
        <v>358.60110765718264</v>
      </c>
      <c r="O35" s="23">
        <v>411.62113776667036</v>
      </c>
      <c r="P35" s="23">
        <v>455.81938637618526</v>
      </c>
      <c r="Q35" s="23">
        <v>492.92154755113631</v>
      </c>
      <c r="R35" s="23">
        <v>495.06259940703706</v>
      </c>
      <c r="S35" s="23">
        <v>541.49803299629048</v>
      </c>
      <c r="T35" s="23">
        <v>569.80244595222814</v>
      </c>
      <c r="U35" s="23">
        <v>554.44152218079239</v>
      </c>
      <c r="V35" s="23">
        <v>579.91888984822765</v>
      </c>
      <c r="W35" s="23">
        <v>603.5101674229835</v>
      </c>
      <c r="X35" s="23">
        <v>578.23394786792517</v>
      </c>
      <c r="Y35" s="23">
        <v>539.19136048682117</v>
      </c>
      <c r="Z35" s="23">
        <v>552.78531564511525</v>
      </c>
      <c r="AA35" s="23">
        <v>604.69145542839908</v>
      </c>
      <c r="AB35" s="23">
        <v>610.9051034816523</v>
      </c>
      <c r="AC35" s="23">
        <v>585.80652122064078</v>
      </c>
      <c r="AD35" s="23">
        <v>539.80159683813713</v>
      </c>
      <c r="AE35" s="23">
        <v>480.94147945552692</v>
      </c>
      <c r="AF35" s="23">
        <v>447.28495932246631</v>
      </c>
      <c r="AG35" s="23">
        <f t="shared" si="1"/>
        <v>11930.15880799636</v>
      </c>
      <c r="AH35" s="23">
        <f t="shared" ref="AH35" si="22">AG35*D35</f>
        <v>250533.33496792355</v>
      </c>
      <c r="AI35" s="54">
        <f>AH35+AH36+AH37+AH38</f>
        <v>363537.94082373928</v>
      </c>
    </row>
    <row r="36" spans="1:35" ht="12.75">
      <c r="A36" s="15">
        <v>2028</v>
      </c>
      <c r="B36" s="15">
        <v>8</v>
      </c>
      <c r="C36" s="15">
        <v>2</v>
      </c>
      <c r="D36" s="15">
        <v>21</v>
      </c>
      <c r="E36" s="15">
        <v>4</v>
      </c>
      <c r="F36" s="15">
        <v>4</v>
      </c>
      <c r="G36" s="15">
        <v>2</v>
      </c>
      <c r="H36" s="15">
        <v>31</v>
      </c>
      <c r="I36" s="23">
        <v>407.63473014874546</v>
      </c>
      <c r="J36" s="23">
        <v>406.95728109447583</v>
      </c>
      <c r="K36" s="23">
        <v>393.78537070910426</v>
      </c>
      <c r="L36" s="23">
        <v>383.14643807696075</v>
      </c>
      <c r="M36" s="23">
        <v>381.41020858252801</v>
      </c>
      <c r="N36" s="23">
        <v>356.22529437003146</v>
      </c>
      <c r="O36" s="23">
        <v>385.93292663980441</v>
      </c>
      <c r="P36" s="23">
        <v>430.49330987299493</v>
      </c>
      <c r="Q36" s="23">
        <v>464.29120058364026</v>
      </c>
      <c r="R36" s="23">
        <v>481.68545067203792</v>
      </c>
      <c r="S36" s="23">
        <v>480.81840109629053</v>
      </c>
      <c r="T36" s="23">
        <v>537.06371534416041</v>
      </c>
      <c r="U36" s="23">
        <v>543.64434467950127</v>
      </c>
      <c r="V36" s="23">
        <v>565.68913340145207</v>
      </c>
      <c r="W36" s="23">
        <v>572.78104504190208</v>
      </c>
      <c r="X36" s="23">
        <v>553.79116809297773</v>
      </c>
      <c r="Y36" s="23">
        <v>527.91176208270815</v>
      </c>
      <c r="Z36" s="23">
        <v>542.12541016473961</v>
      </c>
      <c r="AA36" s="23">
        <v>623.60463651267878</v>
      </c>
      <c r="AB36" s="23">
        <v>632.04931591872901</v>
      </c>
      <c r="AC36" s="23">
        <v>602.4205063376611</v>
      </c>
      <c r="AD36" s="23">
        <v>563.0198137001961</v>
      </c>
      <c r="AE36" s="23">
        <v>525.45973736112319</v>
      </c>
      <c r="AF36" s="23">
        <v>490.15143350746843</v>
      </c>
      <c r="AG36" s="23">
        <f t="shared" si="1"/>
        <v>11852.09263399191</v>
      </c>
      <c r="AH36" s="23">
        <f t="shared" ref="AH36" si="23">AG36*E36</f>
        <v>47408.370535967639</v>
      </c>
      <c r="AI36" s="54"/>
    </row>
    <row r="37" spans="1:35" ht="12.75">
      <c r="A37" s="15">
        <v>2028</v>
      </c>
      <c r="B37" s="15">
        <v>8</v>
      </c>
      <c r="C37" s="15">
        <v>3</v>
      </c>
      <c r="D37" s="15">
        <v>21</v>
      </c>
      <c r="E37" s="15">
        <v>4</v>
      </c>
      <c r="F37" s="15">
        <v>4</v>
      </c>
      <c r="G37" s="15">
        <v>2</v>
      </c>
      <c r="H37" s="15">
        <v>31</v>
      </c>
      <c r="I37" s="23">
        <v>452.46271038382554</v>
      </c>
      <c r="J37" s="23">
        <v>341.56877538796005</v>
      </c>
      <c r="K37" s="23">
        <v>314.14291638213177</v>
      </c>
      <c r="L37" s="23">
        <v>411.10853554781272</v>
      </c>
      <c r="M37" s="23">
        <v>399.63170773347457</v>
      </c>
      <c r="N37" s="23">
        <v>367.43863135071695</v>
      </c>
      <c r="O37" s="23">
        <v>384.9436655852794</v>
      </c>
      <c r="P37" s="23">
        <v>413.84720533335394</v>
      </c>
      <c r="Q37" s="23">
        <v>432.85602774377145</v>
      </c>
      <c r="R37" s="23">
        <v>441.56546759559882</v>
      </c>
      <c r="S37" s="23">
        <v>449.89634966010078</v>
      </c>
      <c r="T37" s="23">
        <v>474.08488689846337</v>
      </c>
      <c r="U37" s="23">
        <v>475.12396275608523</v>
      </c>
      <c r="V37" s="23">
        <v>478.02710937336138</v>
      </c>
      <c r="W37" s="23">
        <v>478.39261344388143</v>
      </c>
      <c r="X37" s="23">
        <v>482.31917145861422</v>
      </c>
      <c r="Y37" s="23">
        <v>472.54976980227792</v>
      </c>
      <c r="Z37" s="23">
        <v>482.81782344053863</v>
      </c>
      <c r="AA37" s="23">
        <v>556.80629028729436</v>
      </c>
      <c r="AB37" s="23">
        <v>580.02885248213943</v>
      </c>
      <c r="AC37" s="23">
        <v>563.33837017616497</v>
      </c>
      <c r="AD37" s="23">
        <v>529.91824441380368</v>
      </c>
      <c r="AE37" s="23">
        <v>486.56946165009299</v>
      </c>
      <c r="AF37" s="23">
        <v>439.10092586294712</v>
      </c>
      <c r="AG37" s="23">
        <f t="shared" si="1"/>
        <v>10908.539474749692</v>
      </c>
      <c r="AH37" s="23">
        <f t="shared" ref="AH37" si="24">F37*AG37</f>
        <v>43634.157898998768</v>
      </c>
      <c r="AI37" s="54"/>
    </row>
    <row r="38" spans="1:35" ht="12.75">
      <c r="A38" s="15">
        <v>2028</v>
      </c>
      <c r="B38" s="15">
        <v>8</v>
      </c>
      <c r="C38" s="15">
        <v>4</v>
      </c>
      <c r="D38" s="15">
        <v>21</v>
      </c>
      <c r="E38" s="15">
        <v>4</v>
      </c>
      <c r="F38" s="15">
        <v>4</v>
      </c>
      <c r="G38" s="15">
        <v>2</v>
      </c>
      <c r="H38" s="15">
        <v>31</v>
      </c>
      <c r="I38" s="23">
        <v>393.19851290720186</v>
      </c>
      <c r="J38" s="23">
        <v>378.19334626794227</v>
      </c>
      <c r="K38" s="23">
        <v>365.14470014942822</v>
      </c>
      <c r="L38" s="23">
        <v>356.56810093547415</v>
      </c>
      <c r="M38" s="23">
        <v>356.39729358842521</v>
      </c>
      <c r="N38" s="23">
        <v>335.44492568372596</v>
      </c>
      <c r="O38" s="23">
        <v>380.18609865018277</v>
      </c>
      <c r="P38" s="23">
        <v>418.57116791432509</v>
      </c>
      <c r="Q38" s="23">
        <v>443.67984793055444</v>
      </c>
      <c r="R38" s="23">
        <v>448.0276713099874</v>
      </c>
      <c r="S38" s="23">
        <v>484.81853866833711</v>
      </c>
      <c r="T38" s="23">
        <v>513.93860335011448</v>
      </c>
      <c r="U38" s="23">
        <v>515.20671850244923</v>
      </c>
      <c r="V38" s="23">
        <v>538.83506817758575</v>
      </c>
      <c r="W38" s="23">
        <v>540.47585390530048</v>
      </c>
      <c r="X38" s="23">
        <v>528.22948471989628</v>
      </c>
      <c r="Y38" s="23">
        <v>214.99986611298925</v>
      </c>
      <c r="Z38" s="23">
        <v>451.53698589481564</v>
      </c>
      <c r="AA38" s="23">
        <v>605.06691099095679</v>
      </c>
      <c r="AB38" s="23">
        <v>626.84743572983393</v>
      </c>
      <c r="AC38" s="23">
        <v>599.37333275598417</v>
      </c>
      <c r="AD38" s="23">
        <v>547.50483503538487</v>
      </c>
      <c r="AE38" s="23">
        <v>490.58975660651384</v>
      </c>
      <c r="AF38" s="23">
        <v>448.20365463725039</v>
      </c>
      <c r="AG38" s="23">
        <f t="shared" si="1"/>
        <v>10981.03871042466</v>
      </c>
      <c r="AH38" s="23">
        <f t="shared" ref="AH38" si="25">AG38*G38</f>
        <v>21962.07742084932</v>
      </c>
      <c r="AI38" s="54"/>
    </row>
    <row r="39" spans="1:35" ht="12.75">
      <c r="A39" s="15">
        <v>2028</v>
      </c>
      <c r="B39" s="15">
        <v>9</v>
      </c>
      <c r="C39" s="15">
        <v>1</v>
      </c>
      <c r="D39" s="15">
        <v>21</v>
      </c>
      <c r="E39" s="15">
        <v>5</v>
      </c>
      <c r="F39" s="15">
        <v>4</v>
      </c>
      <c r="G39" s="15">
        <v>0</v>
      </c>
      <c r="H39" s="15">
        <v>30</v>
      </c>
      <c r="I39" s="23">
        <v>417.43797707487886</v>
      </c>
      <c r="J39" s="23">
        <v>399.7574296261518</v>
      </c>
      <c r="K39" s="23">
        <v>385.7740515844464</v>
      </c>
      <c r="L39" s="23">
        <v>375.68139134820848</v>
      </c>
      <c r="M39" s="23">
        <v>375.10864608750518</v>
      </c>
      <c r="N39" s="23">
        <v>368.10140407034845</v>
      </c>
      <c r="O39" s="23">
        <v>412.60519206473805</v>
      </c>
      <c r="P39" s="23">
        <v>471.24097562106698</v>
      </c>
      <c r="Q39" s="23">
        <v>505.25710664769775</v>
      </c>
      <c r="R39" s="23">
        <v>545.60306029693038</v>
      </c>
      <c r="S39" s="23">
        <v>576.53920430953804</v>
      </c>
      <c r="T39" s="23">
        <v>594.52192425787803</v>
      </c>
      <c r="U39" s="23">
        <v>560.38581297404812</v>
      </c>
      <c r="V39" s="23">
        <v>567.49772912505637</v>
      </c>
      <c r="W39" s="23">
        <v>603.85767200734244</v>
      </c>
      <c r="X39" s="23">
        <v>621.78114244595474</v>
      </c>
      <c r="Y39" s="23">
        <v>589.75727618392489</v>
      </c>
      <c r="Z39" s="23">
        <v>585.27208829751987</v>
      </c>
      <c r="AA39" s="23">
        <v>621.2780153591815</v>
      </c>
      <c r="AB39" s="23">
        <v>620.96942416268178</v>
      </c>
      <c r="AC39" s="23">
        <v>598.9997059555667</v>
      </c>
      <c r="AD39" s="23">
        <v>552.79644452381444</v>
      </c>
      <c r="AE39" s="23">
        <v>493.78689531028624</v>
      </c>
      <c r="AF39" s="23">
        <v>454.47780808129301</v>
      </c>
      <c r="AG39" s="23">
        <f t="shared" si="1"/>
        <v>12298.488377416055</v>
      </c>
      <c r="AH39" s="23">
        <f t="shared" ref="AH39" si="26">AG39*D39</f>
        <v>258268.25592573715</v>
      </c>
      <c r="AI39" s="54">
        <f>AH39+AH40+AH41+AH42</f>
        <v>353128.76131902949</v>
      </c>
    </row>
    <row r="40" spans="1:35" ht="12.75">
      <c r="A40" s="15">
        <v>2028</v>
      </c>
      <c r="B40" s="15">
        <v>9</v>
      </c>
      <c r="C40" s="15">
        <v>2</v>
      </c>
      <c r="D40" s="15">
        <v>21</v>
      </c>
      <c r="E40" s="15">
        <v>5</v>
      </c>
      <c r="F40" s="15">
        <v>4</v>
      </c>
      <c r="G40" s="15">
        <v>0</v>
      </c>
      <c r="H40" s="15">
        <v>30</v>
      </c>
      <c r="I40" s="23">
        <v>408.16920816824023</v>
      </c>
      <c r="J40" s="23">
        <v>394.9394725234086</v>
      </c>
      <c r="K40" s="23">
        <v>382.18131705088649</v>
      </c>
      <c r="L40" s="23">
        <v>372.12263942959402</v>
      </c>
      <c r="M40" s="23">
        <v>366.97604284637288</v>
      </c>
      <c r="N40" s="23">
        <v>343.4505649530858</v>
      </c>
      <c r="O40" s="23">
        <v>373.54247811055217</v>
      </c>
      <c r="P40" s="23">
        <v>419.02574845944389</v>
      </c>
      <c r="Q40" s="23">
        <v>448.77098646321048</v>
      </c>
      <c r="R40" s="23">
        <v>461.29207730857064</v>
      </c>
      <c r="S40" s="23">
        <v>460.76441733198448</v>
      </c>
      <c r="T40" s="23">
        <v>490.922606621775</v>
      </c>
      <c r="U40" s="23">
        <v>489.84689401250336</v>
      </c>
      <c r="V40" s="23">
        <v>512.29156113249462</v>
      </c>
      <c r="W40" s="23">
        <v>522.20239199706293</v>
      </c>
      <c r="X40" s="23">
        <v>520.59901941120518</v>
      </c>
      <c r="Y40" s="23">
        <v>494.24151140203941</v>
      </c>
      <c r="Z40" s="23">
        <v>474.46063498510341</v>
      </c>
      <c r="AA40" s="23">
        <v>578.11395685905836</v>
      </c>
      <c r="AB40" s="23">
        <v>584.55293802261269</v>
      </c>
      <c r="AC40" s="23">
        <v>553.87218692026124</v>
      </c>
      <c r="AD40" s="23">
        <v>512.35273910079445</v>
      </c>
      <c r="AE40" s="23">
        <v>477.24933070676946</v>
      </c>
      <c r="AF40" s="23">
        <v>441.40668852912205</v>
      </c>
      <c r="AG40" s="23">
        <f t="shared" si="1"/>
        <v>11083.347412346151</v>
      </c>
      <c r="AH40" s="23">
        <f t="shared" ref="AH40" si="27">AG40*E40</f>
        <v>55416.737061730753</v>
      </c>
      <c r="AI40" s="54"/>
    </row>
    <row r="41" spans="1:35" ht="12.75">
      <c r="A41" s="15">
        <v>2028</v>
      </c>
      <c r="B41" s="15">
        <v>9</v>
      </c>
      <c r="C41" s="15">
        <v>3</v>
      </c>
      <c r="D41" s="15">
        <v>21</v>
      </c>
      <c r="E41" s="15">
        <v>5</v>
      </c>
      <c r="F41" s="15">
        <v>4</v>
      </c>
      <c r="G41" s="15">
        <v>0</v>
      </c>
      <c r="H41" s="15">
        <v>30</v>
      </c>
      <c r="I41" s="23">
        <v>400.90857540852676</v>
      </c>
      <c r="J41" s="23">
        <v>385.11720931423935</v>
      </c>
      <c r="K41" s="23">
        <v>378.76537490759836</v>
      </c>
      <c r="L41" s="23">
        <v>286.11485205024047</v>
      </c>
      <c r="M41" s="23">
        <v>348.63778132653317</v>
      </c>
      <c r="N41" s="23">
        <v>329.54551980564651</v>
      </c>
      <c r="O41" s="23">
        <v>351.38730223866634</v>
      </c>
      <c r="P41" s="23">
        <v>388.13825154283012</v>
      </c>
      <c r="Q41" s="23">
        <v>406.21108285030522</v>
      </c>
      <c r="R41" s="23">
        <v>405.3092791999797</v>
      </c>
      <c r="S41" s="23">
        <v>413.8690622178799</v>
      </c>
      <c r="T41" s="23">
        <v>429.03798774917016</v>
      </c>
      <c r="U41" s="23">
        <v>428.15088741923108</v>
      </c>
      <c r="V41" s="23">
        <v>445.44444274626204</v>
      </c>
      <c r="W41" s="23">
        <v>441.15107319362511</v>
      </c>
      <c r="X41" s="23">
        <v>460.26048858829449</v>
      </c>
      <c r="Y41" s="23">
        <v>356.23694741256378</v>
      </c>
      <c r="Z41" s="23">
        <v>375.97860558382138</v>
      </c>
      <c r="AA41" s="23">
        <v>409.09538419930817</v>
      </c>
      <c r="AB41" s="23">
        <v>547.39285530488405</v>
      </c>
      <c r="AC41" s="23">
        <v>526.73567038427552</v>
      </c>
      <c r="AD41" s="23">
        <v>489.85386152867846</v>
      </c>
      <c r="AE41" s="23">
        <v>448.46303442145461</v>
      </c>
      <c r="AF41" s="23">
        <v>409.13655349638833</v>
      </c>
      <c r="AG41" s="23">
        <f t="shared" si="1"/>
        <v>9860.9420828904022</v>
      </c>
      <c r="AH41" s="23">
        <f t="shared" ref="AH41" si="28">F41*AG41</f>
        <v>39443.768331561609</v>
      </c>
      <c r="AI41" s="54"/>
    </row>
    <row r="42" spans="1:35" ht="12.75">
      <c r="A42" s="15">
        <v>2028</v>
      </c>
      <c r="B42" s="15">
        <v>9</v>
      </c>
      <c r="C42" s="15">
        <v>4</v>
      </c>
      <c r="D42" s="15">
        <v>21</v>
      </c>
      <c r="E42" s="15">
        <v>5</v>
      </c>
      <c r="F42" s="15">
        <v>4</v>
      </c>
      <c r="G42" s="15">
        <v>0</v>
      </c>
      <c r="H42" s="15">
        <v>30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f t="shared" si="1"/>
        <v>0</v>
      </c>
      <c r="AH42" s="23">
        <f t="shared" ref="AH42" si="29">AG42*G42</f>
        <v>0</v>
      </c>
      <c r="AI42" s="54"/>
    </row>
    <row r="43" spans="1:35" ht="12.75">
      <c r="A43" s="15">
        <v>2028</v>
      </c>
      <c r="B43" s="15">
        <v>10</v>
      </c>
      <c r="C43" s="15">
        <v>1</v>
      </c>
      <c r="D43" s="15">
        <v>21</v>
      </c>
      <c r="E43" s="15">
        <v>4</v>
      </c>
      <c r="F43" s="15">
        <v>5</v>
      </c>
      <c r="G43" s="15">
        <v>1</v>
      </c>
      <c r="H43" s="15">
        <v>31</v>
      </c>
      <c r="I43" s="23">
        <v>433.57079069264813</v>
      </c>
      <c r="J43" s="23">
        <v>415.33021310604829</v>
      </c>
      <c r="K43" s="23">
        <v>392.99422670051752</v>
      </c>
      <c r="L43" s="23">
        <v>381.2134031228847</v>
      </c>
      <c r="M43" s="23">
        <v>375.27738753939019</v>
      </c>
      <c r="N43" s="23">
        <v>360.53043673886265</v>
      </c>
      <c r="O43" s="23">
        <v>425.70437118187454</v>
      </c>
      <c r="P43" s="23">
        <v>494.95318490050863</v>
      </c>
      <c r="Q43" s="23">
        <v>540.90869072897453</v>
      </c>
      <c r="R43" s="23">
        <v>559.68634534726584</v>
      </c>
      <c r="S43" s="23">
        <v>575.96539559207497</v>
      </c>
      <c r="T43" s="23">
        <v>599.69253280637781</v>
      </c>
      <c r="U43" s="23">
        <v>567.50988788819836</v>
      </c>
      <c r="V43" s="23">
        <v>594.25411574130283</v>
      </c>
      <c r="W43" s="23">
        <v>625.43592686494935</v>
      </c>
      <c r="X43" s="23">
        <v>619.66143674943066</v>
      </c>
      <c r="Y43" s="23">
        <v>566.62326400940856</v>
      </c>
      <c r="Z43" s="23">
        <v>599.10607740966782</v>
      </c>
      <c r="AA43" s="23">
        <v>640.36533490954344</v>
      </c>
      <c r="AB43" s="23">
        <v>604.30434583225497</v>
      </c>
      <c r="AC43" s="23">
        <v>586.48783652193492</v>
      </c>
      <c r="AD43" s="23">
        <v>563.3173476880263</v>
      </c>
      <c r="AE43" s="23">
        <v>519.24809719425082</v>
      </c>
      <c r="AF43" s="23">
        <v>476.35467237561517</v>
      </c>
      <c r="AG43" s="23">
        <f t="shared" si="1"/>
        <v>12518.495321642013</v>
      </c>
      <c r="AH43" s="23">
        <f t="shared" ref="AH43" si="30">AG43*D43</f>
        <v>262888.40175448224</v>
      </c>
      <c r="AI43" s="54">
        <f>AH43+AH44+AH45+AH46</f>
        <v>374326.76497997611</v>
      </c>
    </row>
    <row r="44" spans="1:35" ht="12.75">
      <c r="A44" s="15">
        <v>2028</v>
      </c>
      <c r="B44" s="15">
        <v>10</v>
      </c>
      <c r="C44" s="15">
        <v>2</v>
      </c>
      <c r="D44" s="15">
        <v>21</v>
      </c>
      <c r="E44" s="15">
        <v>4</v>
      </c>
      <c r="F44" s="15">
        <v>5</v>
      </c>
      <c r="G44" s="15">
        <v>1</v>
      </c>
      <c r="H44" s="15">
        <v>31</v>
      </c>
      <c r="I44" s="23">
        <v>477.29708389623039</v>
      </c>
      <c r="J44" s="23">
        <v>458.44891733149018</v>
      </c>
      <c r="K44" s="23">
        <v>445.59920667194189</v>
      </c>
      <c r="L44" s="23">
        <v>429.99692372693937</v>
      </c>
      <c r="M44" s="23">
        <v>423.90137995276586</v>
      </c>
      <c r="N44" s="23">
        <v>392.93034974760957</v>
      </c>
      <c r="O44" s="23">
        <v>378.42752131891365</v>
      </c>
      <c r="P44" s="23">
        <v>477.84025116323642</v>
      </c>
      <c r="Q44" s="23">
        <v>519.05536354418882</v>
      </c>
      <c r="R44" s="23">
        <v>531.81323432767249</v>
      </c>
      <c r="S44" s="23">
        <v>546.44726257931654</v>
      </c>
      <c r="T44" s="23">
        <v>562.26996122687126</v>
      </c>
      <c r="U44" s="23">
        <v>555.06184295409662</v>
      </c>
      <c r="V44" s="23">
        <v>575.87013487368313</v>
      </c>
      <c r="W44" s="23">
        <v>565.21933324674706</v>
      </c>
      <c r="X44" s="23">
        <v>447.52522007282079</v>
      </c>
      <c r="Y44" s="23">
        <v>540.52227857497564</v>
      </c>
      <c r="Z44" s="23">
        <v>578.59821652551977</v>
      </c>
      <c r="AA44" s="23">
        <v>574.96748009180033</v>
      </c>
      <c r="AB44" s="23">
        <v>609.20800988482483</v>
      </c>
      <c r="AC44" s="23">
        <v>554.26939602348989</v>
      </c>
      <c r="AD44" s="23">
        <v>516.37363916312722</v>
      </c>
      <c r="AE44" s="23">
        <v>445.90096626472268</v>
      </c>
      <c r="AF44" s="23">
        <v>454.49193067137122</v>
      </c>
      <c r="AG44" s="23">
        <f t="shared" si="1"/>
        <v>12062.035903834354</v>
      </c>
      <c r="AH44" s="23">
        <f t="shared" ref="AH44" si="31">AG44*E44</f>
        <v>48248.143615337416</v>
      </c>
      <c r="AI44" s="54"/>
    </row>
    <row r="45" spans="1:35" ht="12.75">
      <c r="A45" s="15">
        <v>2028</v>
      </c>
      <c r="B45" s="15">
        <v>10</v>
      </c>
      <c r="C45" s="15">
        <v>3</v>
      </c>
      <c r="D45" s="15">
        <v>21</v>
      </c>
      <c r="E45" s="15">
        <v>4</v>
      </c>
      <c r="F45" s="15">
        <v>5</v>
      </c>
      <c r="G45" s="15">
        <v>1</v>
      </c>
      <c r="H45" s="15">
        <v>31</v>
      </c>
      <c r="I45" s="23">
        <v>356.81061125458888</v>
      </c>
      <c r="J45" s="23">
        <v>397.00897616783652</v>
      </c>
      <c r="K45" s="23">
        <v>384.46077086106362</v>
      </c>
      <c r="L45" s="23">
        <v>374.54400465397435</v>
      </c>
      <c r="M45" s="23">
        <v>372.81727937808722</v>
      </c>
      <c r="N45" s="23">
        <v>346.27232419347922</v>
      </c>
      <c r="O45" s="23">
        <v>378.73676428613555</v>
      </c>
      <c r="P45" s="23">
        <v>414.94035403281725</v>
      </c>
      <c r="Q45" s="23">
        <v>430.16761495631374</v>
      </c>
      <c r="R45" s="23">
        <v>431.35050948493318</v>
      </c>
      <c r="S45" s="23">
        <v>444.86106966244688</v>
      </c>
      <c r="T45" s="23">
        <v>455.16127413834738</v>
      </c>
      <c r="U45" s="23">
        <v>466.15066504511776</v>
      </c>
      <c r="V45" s="23">
        <v>493.39984345545088</v>
      </c>
      <c r="W45" s="23">
        <v>484.32764389273473</v>
      </c>
      <c r="X45" s="23">
        <v>378.64153125205144</v>
      </c>
      <c r="Y45" s="23">
        <v>428.16521510807974</v>
      </c>
      <c r="Z45" s="23">
        <v>506.83271352621188</v>
      </c>
      <c r="AA45" s="23">
        <v>556.20101716873376</v>
      </c>
      <c r="AB45" s="23">
        <v>554.45925509799122</v>
      </c>
      <c r="AC45" s="23">
        <v>526.46826147479612</v>
      </c>
      <c r="AD45" s="23">
        <v>490.82353927023746</v>
      </c>
      <c r="AE45" s="23">
        <v>451.96595523158965</v>
      </c>
      <c r="AF45" s="23">
        <v>417.13071381674331</v>
      </c>
      <c r="AG45" s="23">
        <f t="shared" si="1"/>
        <v>10541.69790740976</v>
      </c>
      <c r="AH45" s="23">
        <f t="shared" ref="AH45" si="32">F45*AG45</f>
        <v>52708.489537048801</v>
      </c>
      <c r="AI45" s="54"/>
    </row>
    <row r="46" spans="1:35" ht="12.75">
      <c r="A46" s="15">
        <v>2028</v>
      </c>
      <c r="B46" s="15">
        <v>10</v>
      </c>
      <c r="C46" s="15">
        <v>4</v>
      </c>
      <c r="D46" s="15">
        <v>21</v>
      </c>
      <c r="E46" s="15">
        <v>4</v>
      </c>
      <c r="F46" s="15">
        <v>5</v>
      </c>
      <c r="G46" s="15">
        <v>1</v>
      </c>
      <c r="H46" s="15">
        <v>31</v>
      </c>
      <c r="I46" s="23">
        <v>340.08741463128717</v>
      </c>
      <c r="J46" s="23">
        <v>329.0382916307633</v>
      </c>
      <c r="K46" s="23">
        <v>130.96255003601439</v>
      </c>
      <c r="L46" s="23">
        <v>344.29945610032081</v>
      </c>
      <c r="M46" s="23">
        <v>335.35136326385373</v>
      </c>
      <c r="N46" s="23">
        <v>79.609579992931202</v>
      </c>
      <c r="O46" s="23">
        <v>395.12342567454471</v>
      </c>
      <c r="P46" s="23">
        <v>418.89850335046714</v>
      </c>
      <c r="Q46" s="23">
        <v>428.84970084958354</v>
      </c>
      <c r="R46" s="23">
        <v>452.02591007019436</v>
      </c>
      <c r="S46" s="23">
        <v>391.52023380174484</v>
      </c>
      <c r="T46" s="23">
        <v>493.61732429167654</v>
      </c>
      <c r="U46" s="23">
        <v>501.21297253322916</v>
      </c>
      <c r="V46" s="23">
        <v>527.15395778920004</v>
      </c>
      <c r="W46" s="23">
        <v>529.01045000066995</v>
      </c>
      <c r="X46" s="23">
        <v>523.55076591640113</v>
      </c>
      <c r="Y46" s="23">
        <v>518.25078008688126</v>
      </c>
      <c r="Z46" s="23">
        <v>546.72697513701098</v>
      </c>
      <c r="AA46" s="23">
        <v>588.71763499536917</v>
      </c>
      <c r="AB46" s="23">
        <v>601.41364624800326</v>
      </c>
      <c r="AC46" s="23">
        <v>567.10846489949415</v>
      </c>
      <c r="AD46" s="23">
        <v>525.55697524169864</v>
      </c>
      <c r="AE46" s="23">
        <v>475.7810254642734</v>
      </c>
      <c r="AF46" s="23">
        <v>437.86267110204324</v>
      </c>
      <c r="AG46" s="23">
        <f t="shared" si="1"/>
        <v>10481.730073107658</v>
      </c>
      <c r="AH46" s="23">
        <f t="shared" ref="AH46" si="33">AG46*G46</f>
        <v>10481.730073107658</v>
      </c>
      <c r="AI46" s="54"/>
    </row>
    <row r="47" spans="1:35" ht="12.75">
      <c r="A47" s="15">
        <v>2028</v>
      </c>
      <c r="B47" s="15">
        <v>11</v>
      </c>
      <c r="C47" s="15">
        <v>1</v>
      </c>
      <c r="D47" s="15">
        <v>20</v>
      </c>
      <c r="E47" s="15">
        <v>4</v>
      </c>
      <c r="F47" s="15">
        <v>4</v>
      </c>
      <c r="G47" s="15">
        <v>2</v>
      </c>
      <c r="H47" s="15">
        <v>30</v>
      </c>
      <c r="I47" s="23">
        <v>413.96112710216289</v>
      </c>
      <c r="J47" s="23">
        <v>397.06850134610346</v>
      </c>
      <c r="K47" s="23">
        <v>385.01959499378444</v>
      </c>
      <c r="L47" s="23">
        <v>379.42432874694919</v>
      </c>
      <c r="M47" s="23">
        <v>366.52241672771891</v>
      </c>
      <c r="N47" s="23">
        <v>348.59104587066764</v>
      </c>
      <c r="O47" s="23">
        <v>413.92948459420609</v>
      </c>
      <c r="P47" s="23">
        <v>468.22516521326185</v>
      </c>
      <c r="Q47" s="23">
        <v>526.67716828421442</v>
      </c>
      <c r="R47" s="23">
        <v>537.17308659048354</v>
      </c>
      <c r="S47" s="23">
        <v>546.80374185871062</v>
      </c>
      <c r="T47" s="23">
        <v>562.84255671909852</v>
      </c>
      <c r="U47" s="23">
        <v>548.80625631610712</v>
      </c>
      <c r="V47" s="23">
        <v>570.0406159019808</v>
      </c>
      <c r="W47" s="23">
        <v>607.80163617530866</v>
      </c>
      <c r="X47" s="23">
        <v>583.97245410068001</v>
      </c>
      <c r="Y47" s="23">
        <v>561.6822062864793</v>
      </c>
      <c r="Z47" s="23">
        <v>583.38221264770959</v>
      </c>
      <c r="AA47" s="23">
        <v>633.16005292470993</v>
      </c>
      <c r="AB47" s="23">
        <v>617.81764164896776</v>
      </c>
      <c r="AC47" s="23">
        <v>581.97580605935048</v>
      </c>
      <c r="AD47" s="23">
        <v>533.74716627089731</v>
      </c>
      <c r="AE47" s="23">
        <v>478.1051431643553</v>
      </c>
      <c r="AF47" s="23">
        <v>448.15978902455981</v>
      </c>
      <c r="AG47" s="23">
        <f t="shared" si="1"/>
        <v>12094.88919856847</v>
      </c>
      <c r="AH47" s="23">
        <f t="shared" ref="AH47" si="34">AG47*D47</f>
        <v>241897.78397136938</v>
      </c>
      <c r="AI47" s="54">
        <f>AH47+AH48+AH49+AH50</f>
        <v>344988.65166212269</v>
      </c>
    </row>
    <row r="48" spans="1:35" ht="12.75">
      <c r="A48" s="15">
        <v>2028</v>
      </c>
      <c r="B48" s="15">
        <v>11</v>
      </c>
      <c r="C48" s="15">
        <v>2</v>
      </c>
      <c r="D48" s="15">
        <v>20</v>
      </c>
      <c r="E48" s="15">
        <v>4</v>
      </c>
      <c r="F48" s="15">
        <v>4</v>
      </c>
      <c r="G48" s="15">
        <v>2</v>
      </c>
      <c r="H48" s="15">
        <v>30</v>
      </c>
      <c r="I48" s="23">
        <v>410.20039856354151</v>
      </c>
      <c r="J48" s="23">
        <v>395.11466685490865</v>
      </c>
      <c r="K48" s="23">
        <v>381.46307214094537</v>
      </c>
      <c r="L48" s="23">
        <v>377.19539803916035</v>
      </c>
      <c r="M48" s="23">
        <v>369.34982506832228</v>
      </c>
      <c r="N48" s="23">
        <v>348.99153087928704</v>
      </c>
      <c r="O48" s="23">
        <v>382.73344954798768</v>
      </c>
      <c r="P48" s="23">
        <v>422.99597725127495</v>
      </c>
      <c r="Q48" s="23">
        <v>453.22202719774981</v>
      </c>
      <c r="R48" s="23">
        <v>396.70114989018805</v>
      </c>
      <c r="S48" s="23">
        <v>492.60074936902805</v>
      </c>
      <c r="T48" s="23">
        <v>514.67157185169845</v>
      </c>
      <c r="U48" s="23">
        <v>496.92598744706964</v>
      </c>
      <c r="V48" s="23">
        <v>506.26127642413593</v>
      </c>
      <c r="W48" s="23">
        <v>515.59656540120125</v>
      </c>
      <c r="X48" s="23">
        <v>388.33452368599194</v>
      </c>
      <c r="Y48" s="23">
        <v>393.43588296114865</v>
      </c>
      <c r="Z48" s="23">
        <v>541.3812568347729</v>
      </c>
      <c r="AA48" s="23">
        <v>568.10483657073632</v>
      </c>
      <c r="AB48" s="23">
        <v>549.50968727514839</v>
      </c>
      <c r="AC48" s="23">
        <v>513.08757002229186</v>
      </c>
      <c r="AD48" s="23">
        <v>481.05817964722553</v>
      </c>
      <c r="AE48" s="23">
        <v>444.35618237188095</v>
      </c>
      <c r="AF48" s="23">
        <v>412.12829552696354</v>
      </c>
      <c r="AG48" s="23">
        <f t="shared" si="1"/>
        <v>10755.420060822658</v>
      </c>
      <c r="AH48" s="23">
        <f t="shared" ref="AH48" si="35">AG48*E48</f>
        <v>43021.680243290633</v>
      </c>
      <c r="AI48" s="54"/>
    </row>
    <row r="49" spans="1:35" ht="12.75">
      <c r="A49" s="15">
        <v>2028</v>
      </c>
      <c r="B49" s="15">
        <v>11</v>
      </c>
      <c r="C49" s="15">
        <v>3</v>
      </c>
      <c r="D49" s="15">
        <v>20</v>
      </c>
      <c r="E49" s="15">
        <v>4</v>
      </c>
      <c r="F49" s="15">
        <v>4</v>
      </c>
      <c r="G49" s="15">
        <v>2</v>
      </c>
      <c r="H49" s="15">
        <v>30</v>
      </c>
      <c r="I49" s="23">
        <v>378.83545222199251</v>
      </c>
      <c r="J49" s="23">
        <v>364.4673186437069</v>
      </c>
      <c r="K49" s="23">
        <v>350.14977708506228</v>
      </c>
      <c r="L49" s="23">
        <v>345.62781418659722</v>
      </c>
      <c r="M49" s="23">
        <v>339.02194190764629</v>
      </c>
      <c r="N49" s="23">
        <v>318.80681634503708</v>
      </c>
      <c r="O49" s="23">
        <v>345.52903929110619</v>
      </c>
      <c r="P49" s="23">
        <v>372.69695383878155</v>
      </c>
      <c r="Q49" s="23">
        <v>387.09399714257768</v>
      </c>
      <c r="R49" s="23">
        <v>399.9756890009109</v>
      </c>
      <c r="S49" s="23">
        <v>417.79130734622026</v>
      </c>
      <c r="T49" s="23">
        <v>427.62784145087204</v>
      </c>
      <c r="U49" s="23">
        <v>425.42347488076246</v>
      </c>
      <c r="V49" s="23">
        <v>404.57474450073448</v>
      </c>
      <c r="W49" s="23">
        <v>347.05884559932372</v>
      </c>
      <c r="X49" s="23">
        <v>446.33484299939522</v>
      </c>
      <c r="Y49" s="23">
        <v>435.48405935811394</v>
      </c>
      <c r="Z49" s="23">
        <v>480.18813157117313</v>
      </c>
      <c r="AA49" s="23">
        <v>523.47803637805248</v>
      </c>
      <c r="AB49" s="23">
        <v>515.39535895431902</v>
      </c>
      <c r="AC49" s="23">
        <v>490.35471837539365</v>
      </c>
      <c r="AD49" s="23">
        <v>449.04994805350907</v>
      </c>
      <c r="AE49" s="23">
        <v>409.40507780463457</v>
      </c>
      <c r="AF49" s="23">
        <v>380.22070990266292</v>
      </c>
      <c r="AG49" s="23">
        <f t="shared" si="1"/>
        <v>9754.5918968385868</v>
      </c>
      <c r="AH49" s="23">
        <f t="shared" ref="AH49" si="36">F49*AG49</f>
        <v>39018.367587354347</v>
      </c>
      <c r="AI49" s="54"/>
    </row>
    <row r="50" spans="1:35" ht="12.75">
      <c r="A50" s="15">
        <v>2028</v>
      </c>
      <c r="B50" s="15">
        <v>11</v>
      </c>
      <c r="C50" s="15">
        <v>4</v>
      </c>
      <c r="D50" s="15">
        <v>20</v>
      </c>
      <c r="E50" s="15">
        <v>4</v>
      </c>
      <c r="F50" s="15">
        <v>4</v>
      </c>
      <c r="G50" s="15">
        <v>2</v>
      </c>
      <c r="H50" s="15">
        <v>30</v>
      </c>
      <c r="I50" s="23">
        <v>374.8185038305416</v>
      </c>
      <c r="J50" s="23">
        <v>361.53956856669311</v>
      </c>
      <c r="K50" s="23">
        <v>347.93075244905305</v>
      </c>
      <c r="L50" s="23">
        <v>339.67880750941208</v>
      </c>
      <c r="M50" s="23">
        <v>330.85080197434348</v>
      </c>
      <c r="N50" s="23">
        <v>311.57000460940856</v>
      </c>
      <c r="O50" s="23">
        <v>342.85452617651725</v>
      </c>
      <c r="P50" s="23">
        <v>386.69421456706431</v>
      </c>
      <c r="Q50" s="23">
        <v>425.60538453005717</v>
      </c>
      <c r="R50" s="23">
        <v>440.94238243398212</v>
      </c>
      <c r="S50" s="23">
        <v>457.64321610657186</v>
      </c>
      <c r="T50" s="23">
        <v>481.60142856259131</v>
      </c>
      <c r="U50" s="23">
        <v>475.61433724600272</v>
      </c>
      <c r="V50" s="23">
        <v>495.75184011183069</v>
      </c>
      <c r="W50" s="23">
        <v>506.95301835627134</v>
      </c>
      <c r="X50" s="23">
        <v>508.34639569393096</v>
      </c>
      <c r="Y50" s="23">
        <v>489.74013082107905</v>
      </c>
      <c r="Z50" s="23">
        <v>527.80444247284413</v>
      </c>
      <c r="AA50" s="23">
        <v>570.79234895732975</v>
      </c>
      <c r="AB50" s="23">
        <v>558.26180010805558</v>
      </c>
      <c r="AC50" s="23">
        <v>456.37292863972982</v>
      </c>
      <c r="AD50" s="23">
        <v>487.83962321564849</v>
      </c>
      <c r="AE50" s="23">
        <v>440.25800275223389</v>
      </c>
      <c r="AF50" s="23">
        <v>405.94547036300253</v>
      </c>
      <c r="AG50" s="23">
        <f t="shared" si="1"/>
        <v>10525.409930054195</v>
      </c>
      <c r="AH50" s="23">
        <f t="shared" ref="AH50" si="37">AG50*G50</f>
        <v>21050.81986010839</v>
      </c>
      <c r="AI50" s="54"/>
    </row>
    <row r="51" spans="1:35" ht="12.75">
      <c r="A51" s="15">
        <v>2028</v>
      </c>
      <c r="B51" s="15">
        <v>12</v>
      </c>
      <c r="C51" s="15">
        <v>1</v>
      </c>
      <c r="D51" s="15">
        <v>19</v>
      </c>
      <c r="E51" s="15">
        <v>5</v>
      </c>
      <c r="F51" s="15">
        <v>5</v>
      </c>
      <c r="G51" s="15">
        <v>2</v>
      </c>
      <c r="H51" s="15">
        <v>31</v>
      </c>
      <c r="I51" s="23">
        <v>437.99025367856132</v>
      </c>
      <c r="J51" s="23">
        <v>419.68243973066467</v>
      </c>
      <c r="K51" s="23">
        <v>405.7287497094805</v>
      </c>
      <c r="L51" s="23">
        <v>395.04175574996412</v>
      </c>
      <c r="M51" s="23">
        <v>384.69354116589693</v>
      </c>
      <c r="N51" s="23">
        <v>363.42594271788136</v>
      </c>
      <c r="O51" s="23">
        <v>405.20072454687852</v>
      </c>
      <c r="P51" s="23">
        <v>464.24590041284767</v>
      </c>
      <c r="Q51" s="23">
        <v>511.45914530702146</v>
      </c>
      <c r="R51" s="23">
        <v>534.11186602930195</v>
      </c>
      <c r="S51" s="23">
        <v>535.06402728119565</v>
      </c>
      <c r="T51" s="23">
        <v>553.46401275236826</v>
      </c>
      <c r="U51" s="23">
        <v>558.71239656448972</v>
      </c>
      <c r="V51" s="23">
        <v>592.20105650570963</v>
      </c>
      <c r="W51" s="23">
        <v>613.99226764978687</v>
      </c>
      <c r="X51" s="23">
        <v>606.00472266453869</v>
      </c>
      <c r="Y51" s="23">
        <v>582.92654211300544</v>
      </c>
      <c r="Z51" s="23">
        <v>607.77755366543875</v>
      </c>
      <c r="AA51" s="23">
        <v>635.00051112007111</v>
      </c>
      <c r="AB51" s="23">
        <v>623.360424387948</v>
      </c>
      <c r="AC51" s="23">
        <v>598.72513342190712</v>
      </c>
      <c r="AD51" s="23">
        <v>559.969949528347</v>
      </c>
      <c r="AE51" s="23">
        <v>519.93416979011079</v>
      </c>
      <c r="AF51" s="23">
        <v>473.70132593368578</v>
      </c>
      <c r="AG51" s="23">
        <f t="shared" si="1"/>
        <v>12382.414412427102</v>
      </c>
      <c r="AH51" s="23">
        <f t="shared" ref="AH51" si="38">AG51*D51</f>
        <v>235265.87383611494</v>
      </c>
      <c r="AI51" s="54">
        <f>AH51+AH52+AH53+AH54</f>
        <v>367506.1317300488</v>
      </c>
    </row>
    <row r="52" spans="1:35" ht="12.75">
      <c r="A52" s="15">
        <v>2028</v>
      </c>
      <c r="B52" s="15">
        <v>12</v>
      </c>
      <c r="C52" s="15">
        <v>2</v>
      </c>
      <c r="D52" s="15">
        <v>19</v>
      </c>
      <c r="E52" s="15">
        <v>5</v>
      </c>
      <c r="F52" s="15">
        <v>5</v>
      </c>
      <c r="G52" s="15">
        <v>2</v>
      </c>
      <c r="H52" s="15">
        <v>31</v>
      </c>
      <c r="I52" s="23">
        <v>446.21830370450721</v>
      </c>
      <c r="J52" s="23">
        <v>428.13440134156303</v>
      </c>
      <c r="K52" s="23">
        <v>408.26338995451965</v>
      </c>
      <c r="L52" s="23">
        <v>385.89247713491267</v>
      </c>
      <c r="M52" s="23">
        <v>369.30338762856883</v>
      </c>
      <c r="N52" s="23">
        <v>345.56586202582736</v>
      </c>
      <c r="O52" s="23">
        <v>365.54456147458103</v>
      </c>
      <c r="P52" s="23">
        <v>397.30484767474962</v>
      </c>
      <c r="Q52" s="23">
        <v>451.17708254612552</v>
      </c>
      <c r="R52" s="23">
        <v>466.31494722084904</v>
      </c>
      <c r="S52" s="23">
        <v>491.56523369047534</v>
      </c>
      <c r="T52" s="23">
        <v>514.63355490973117</v>
      </c>
      <c r="U52" s="23">
        <v>510.4901285353489</v>
      </c>
      <c r="V52" s="23">
        <v>543.54010747457289</v>
      </c>
      <c r="W52" s="23">
        <v>561.70605788453497</v>
      </c>
      <c r="X52" s="23">
        <v>557.42930343374894</v>
      </c>
      <c r="Y52" s="23">
        <v>541.21455814192188</v>
      </c>
      <c r="Z52" s="23">
        <v>571.99539578081942</v>
      </c>
      <c r="AA52" s="23">
        <v>608.59138875208032</v>
      </c>
      <c r="AB52" s="23">
        <v>592.48176752049369</v>
      </c>
      <c r="AC52" s="23">
        <v>558.33952395534959</v>
      </c>
      <c r="AD52" s="23">
        <v>527.67406638257012</v>
      </c>
      <c r="AE52" s="23">
        <v>496.90348474954931</v>
      </c>
      <c r="AF52" s="23">
        <v>459.90494354760932</v>
      </c>
      <c r="AG52" s="23">
        <f t="shared" si="1"/>
        <v>11600.188775465011</v>
      </c>
      <c r="AH52" s="23">
        <f t="shared" ref="AH52" si="39">AG52*E52</f>
        <v>58000.943877325051</v>
      </c>
      <c r="AI52" s="54"/>
    </row>
    <row r="53" spans="1:35" ht="12.75">
      <c r="A53" s="15">
        <v>2028</v>
      </c>
      <c r="B53" s="15">
        <v>12</v>
      </c>
      <c r="C53" s="15">
        <v>3</v>
      </c>
      <c r="D53" s="15">
        <v>19</v>
      </c>
      <c r="E53" s="15">
        <v>5</v>
      </c>
      <c r="F53" s="15">
        <v>5</v>
      </c>
      <c r="G53" s="15">
        <v>2</v>
      </c>
      <c r="H53" s="15">
        <v>31</v>
      </c>
      <c r="I53" s="23">
        <v>420.31781499238463</v>
      </c>
      <c r="J53" s="23">
        <v>402.79485893941211</v>
      </c>
      <c r="K53" s="23">
        <v>392.2215968916218</v>
      </c>
      <c r="L53" s="23">
        <v>382.43816415095483</v>
      </c>
      <c r="M53" s="23">
        <v>371.31423230634022</v>
      </c>
      <c r="N53" s="23">
        <v>337.08628592049621</v>
      </c>
      <c r="O53" s="23">
        <v>331.27008740950845</v>
      </c>
      <c r="P53" s="23">
        <v>413.08474711365386</v>
      </c>
      <c r="Q53" s="23">
        <v>434.53072303305612</v>
      </c>
      <c r="R53" s="23">
        <v>378.66386532454328</v>
      </c>
      <c r="S53" s="23">
        <v>410.1203750322079</v>
      </c>
      <c r="T53" s="23">
        <v>478.75714474445783</v>
      </c>
      <c r="U53" s="23">
        <v>484.47486581002715</v>
      </c>
      <c r="V53" s="23">
        <v>508.81085329086727</v>
      </c>
      <c r="W53" s="23">
        <v>513.0815588319341</v>
      </c>
      <c r="X53" s="23">
        <v>496.96341368399982</v>
      </c>
      <c r="Y53" s="23">
        <v>461.97578414779309</v>
      </c>
      <c r="Z53" s="23">
        <v>528.47016698626521</v>
      </c>
      <c r="AA53" s="23">
        <v>579.21619753306447</v>
      </c>
      <c r="AB53" s="23">
        <v>528.60682956357869</v>
      </c>
      <c r="AC53" s="23">
        <v>549.30920028288904</v>
      </c>
      <c r="AD53" s="23">
        <v>522.09726944710087</v>
      </c>
      <c r="AE53" s="23">
        <v>486.23339162105492</v>
      </c>
      <c r="AF53" s="23">
        <v>441.27140368469873</v>
      </c>
      <c r="AG53" s="23">
        <f t="shared" si="1"/>
        <v>10853.110830741911</v>
      </c>
      <c r="AH53" s="23">
        <f t="shared" ref="AH53" si="40">F53*AG53</f>
        <v>54265.554153709556</v>
      </c>
      <c r="AI53" s="54"/>
    </row>
    <row r="54" spans="1:35" ht="12.75">
      <c r="A54" s="15">
        <v>2028</v>
      </c>
      <c r="B54" s="15">
        <v>12</v>
      </c>
      <c r="C54" s="15">
        <v>4</v>
      </c>
      <c r="D54" s="15">
        <v>19</v>
      </c>
      <c r="E54" s="15">
        <v>5</v>
      </c>
      <c r="F54" s="15">
        <v>5</v>
      </c>
      <c r="G54" s="15">
        <v>2</v>
      </c>
      <c r="H54" s="15">
        <v>31</v>
      </c>
      <c r="I54" s="23">
        <v>413.58687978656309</v>
      </c>
      <c r="J54" s="23">
        <v>395.67111651799866</v>
      </c>
      <c r="K54" s="23">
        <v>383.42702858252215</v>
      </c>
      <c r="L54" s="23">
        <v>381.46718265590511</v>
      </c>
      <c r="M54" s="23">
        <v>375.35998600579222</v>
      </c>
      <c r="N54" s="23">
        <v>348.22898759743146</v>
      </c>
      <c r="O54" s="23">
        <v>361.33421995521007</v>
      </c>
      <c r="P54" s="23">
        <v>380.34868472808836</v>
      </c>
      <c r="Q54" s="23">
        <v>380.73471498636184</v>
      </c>
      <c r="R54" s="23">
        <v>390.85068739546296</v>
      </c>
      <c r="S54" s="23">
        <v>407.08375466642684</v>
      </c>
      <c r="T54" s="23">
        <v>412.50797470574906</v>
      </c>
      <c r="U54" s="23">
        <v>421.14911356401166</v>
      </c>
      <c r="V54" s="23">
        <v>420.96104754075134</v>
      </c>
      <c r="W54" s="23">
        <v>415.17059366665654</v>
      </c>
      <c r="X54" s="23">
        <v>415.4081507486714</v>
      </c>
      <c r="Y54" s="23">
        <v>413.04247814028014</v>
      </c>
      <c r="Z54" s="23">
        <v>445.89464294048133</v>
      </c>
      <c r="AA54" s="23">
        <v>509.6292284025169</v>
      </c>
      <c r="AB54" s="23">
        <v>508.35235908669165</v>
      </c>
      <c r="AC54" s="23">
        <v>487.62550368096004</v>
      </c>
      <c r="AD54" s="23">
        <v>465.91872531192143</v>
      </c>
      <c r="AE54" s="23">
        <v>440.88614779468435</v>
      </c>
      <c r="AF54" s="23">
        <v>412.24072298848347</v>
      </c>
      <c r="AG54" s="23">
        <f>SUM(I54:AF54)</f>
        <v>9986.8799314496227</v>
      </c>
      <c r="AH54" s="23">
        <f t="shared" ref="AH54" si="41">AG54*G54</f>
        <v>19973.759862899245</v>
      </c>
      <c r="AI54" s="54"/>
    </row>
    <row r="55" spans="1:35" ht="15" customHeight="1"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5">
        <f>SUM(AI7:AI54)</f>
        <v>4353487.5392507873</v>
      </c>
    </row>
  </sheetData>
  <mergeCells count="16">
    <mergeCell ref="AI35:AI38"/>
    <mergeCell ref="AI39:AI42"/>
    <mergeCell ref="AI43:AI46"/>
    <mergeCell ref="AI47:AI50"/>
    <mergeCell ref="AI51:AI54"/>
    <mergeCell ref="A1:AI2"/>
    <mergeCell ref="A3:AI3"/>
    <mergeCell ref="A5:AI5"/>
    <mergeCell ref="A4:AI4"/>
    <mergeCell ref="AI31:AI34"/>
    <mergeCell ref="AI7:AI10"/>
    <mergeCell ref="AI11:AI14"/>
    <mergeCell ref="AI15:AI18"/>
    <mergeCell ref="AI19:AI22"/>
    <mergeCell ref="AI23:AI26"/>
    <mergeCell ref="AI27:AI30"/>
  </mergeCells>
  <pageMargins left="0.7" right="0.7" top="0.75" bottom="0.75" header="0.3" footer="0.3"/>
  <ignoredErrors>
    <ignoredError sqref="AG7:AG5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 1 2026</vt:lpstr>
      <vt:lpstr>Producto 2 2027</vt:lpstr>
      <vt:lpstr>Producto 3 2028</vt:lpstr>
      <vt:lpstr>2026 Curvas</vt:lpstr>
      <vt:lpstr>2027 Curvas</vt:lpstr>
      <vt:lpstr>2028 Curvas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2025-04-27T22:06:14Z</dcterms:created>
  <dcterms:modified xsi:type="dcterms:W3CDTF">2025-05-28T18:16:27Z</dcterms:modified>
</cp:coreProperties>
</file>