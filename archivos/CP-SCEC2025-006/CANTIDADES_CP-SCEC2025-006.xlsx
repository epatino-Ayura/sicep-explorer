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Z:\Unidades compartidas\9. COMERCIALIZADORA\2. DOCUMENTOS OPERATIVOS\6. PLANEACIÓN\5. MEM\1. COMPRA ENERGÍA\0. SICEP\CP-SCEC2025-006\Pliegos de consulta\"/>
    </mc:Choice>
  </mc:AlternateContent>
  <xr:revisionPtr revIDLastSave="0" documentId="13_ncr:1_{35A04916-80AE-48BA-9CB4-9862FD267E8D}" xr6:coauthVersionLast="47" xr6:coauthVersionMax="47" xr10:uidLastSave="{00000000-0000-0000-0000-000000000000}"/>
  <bookViews>
    <workbookView xWindow="-120" yWindow="-120" windowWidth="29040" windowHeight="15720" tabRatio="923" activeTab="4" xr2:uid="{00000000-000D-0000-FFFF-FFFF00000000}"/>
  </bookViews>
  <sheets>
    <sheet name="R-Producto 1" sheetId="45" r:id="rId1"/>
    <sheet name="Producto 1" sheetId="44" r:id="rId2"/>
    <sheet name="R-Producto 2" sheetId="49" r:id="rId3"/>
    <sheet name="Producto 2" sheetId="48" r:id="rId4"/>
    <sheet name="R-Producto 3" sheetId="51" r:id="rId5"/>
    <sheet name="Producto 3" sheetId="50" r:id="rId6"/>
  </sheets>
  <definedNames>
    <definedName name="_xlnm.Print_Area" localSheetId="1">'Producto 1'!$B$1:$AB$5</definedName>
    <definedName name="_xlnm.Print_Area" localSheetId="3">'Producto 2'!$B$1:$AB$5</definedName>
    <definedName name="_xlnm.Print_Area" localSheetId="5">'Producto 3'!$B$1:$AB$5</definedName>
    <definedName name="_xlnm.Print_Area" localSheetId="0">'R-Producto 1'!$A$2:$I$30</definedName>
    <definedName name="_xlnm.Print_Area" localSheetId="2">'R-Producto 2'!$A$2:$I$31</definedName>
    <definedName name="_xlnm.Print_Area" localSheetId="4">'R-Producto 3'!$A$2:$I$30</definedName>
    <definedName name="Cuadro">#REF!</definedName>
  </definedNames>
  <calcPr calcId="191029" concurrentCalc="0" concurrentManualCount="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9" i="50" l="1"/>
  <c r="AC10" i="50"/>
  <c r="AC11" i="50"/>
  <c r="D11" i="51"/>
  <c r="AC12" i="50"/>
  <c r="AC13" i="50"/>
  <c r="AC14" i="50"/>
  <c r="D12" i="51"/>
  <c r="AC15" i="50"/>
  <c r="AC16" i="50"/>
  <c r="AC17" i="50"/>
  <c r="D13" i="51"/>
  <c r="AC18" i="50"/>
  <c r="AC19" i="50"/>
  <c r="AC20" i="50"/>
  <c r="D14" i="51"/>
  <c r="AC21" i="50"/>
  <c r="AC22" i="50"/>
  <c r="AC23" i="50"/>
  <c r="D15" i="51"/>
  <c r="F15" i="51"/>
  <c r="AC24" i="50"/>
  <c r="AC25" i="50"/>
  <c r="AC26" i="50"/>
  <c r="D16" i="51"/>
  <c r="F16" i="51"/>
  <c r="AC27" i="50"/>
  <c r="AC28" i="50"/>
  <c r="AC29" i="50"/>
  <c r="D17" i="51"/>
  <c r="F17" i="51"/>
  <c r="AC30" i="50"/>
  <c r="AC31" i="50"/>
  <c r="AC32" i="50"/>
  <c r="D18" i="51"/>
  <c r="AC33" i="50"/>
  <c r="AC34" i="50"/>
  <c r="AC35" i="50"/>
  <c r="D19" i="51"/>
  <c r="F19" i="51"/>
  <c r="AC36" i="50"/>
  <c r="AC37" i="50"/>
  <c r="AC38" i="50"/>
  <c r="D20" i="51"/>
  <c r="F20" i="51"/>
  <c r="AC39" i="50"/>
  <c r="AC40" i="50"/>
  <c r="AC41" i="50"/>
  <c r="D21" i="51"/>
  <c r="F21" i="51"/>
  <c r="AC6" i="50"/>
  <c r="AC7" i="50"/>
  <c r="AC8" i="50"/>
  <c r="D10" i="51"/>
  <c r="F18" i="51"/>
  <c r="F14" i="51"/>
  <c r="F13" i="51"/>
  <c r="F12" i="51"/>
  <c r="F11" i="51"/>
  <c r="AC9" i="48"/>
  <c r="AC10" i="48"/>
  <c r="AC11" i="48"/>
  <c r="D11" i="49"/>
  <c r="AC12" i="48"/>
  <c r="AC13" i="48"/>
  <c r="AC14" i="48"/>
  <c r="D12" i="49"/>
  <c r="F12" i="49"/>
  <c r="AC15" i="48"/>
  <c r="AC16" i="48"/>
  <c r="AC17" i="48"/>
  <c r="D13" i="49"/>
  <c r="F13" i="49"/>
  <c r="AC18" i="48"/>
  <c r="AC19" i="48"/>
  <c r="AC20" i="48"/>
  <c r="D14" i="49"/>
  <c r="F14" i="49"/>
  <c r="AC21" i="48"/>
  <c r="AC22" i="48"/>
  <c r="AC23" i="48"/>
  <c r="D15" i="49"/>
  <c r="F15" i="49"/>
  <c r="AC24" i="48"/>
  <c r="AC25" i="48"/>
  <c r="AC26" i="48"/>
  <c r="D16" i="49"/>
  <c r="F16" i="49"/>
  <c r="AC27" i="48"/>
  <c r="AC28" i="48"/>
  <c r="AC29" i="48"/>
  <c r="D17" i="49"/>
  <c r="F17" i="49"/>
  <c r="AC30" i="48"/>
  <c r="AC31" i="48"/>
  <c r="AC32" i="48"/>
  <c r="D18" i="49"/>
  <c r="F18" i="49"/>
  <c r="AC33" i="48"/>
  <c r="AC34" i="48"/>
  <c r="AC35" i="48"/>
  <c r="D19" i="49"/>
  <c r="AC36" i="48"/>
  <c r="AC37" i="48"/>
  <c r="AC38" i="48"/>
  <c r="D20" i="49"/>
  <c r="F20" i="49"/>
  <c r="AC39" i="48"/>
  <c r="AC40" i="48"/>
  <c r="AC41" i="48"/>
  <c r="D21" i="49"/>
  <c r="F21" i="49"/>
  <c r="AC6" i="48"/>
  <c r="AC7" i="48"/>
  <c r="AC8" i="48"/>
  <c r="D10" i="49"/>
  <c r="F19" i="49"/>
  <c r="F11" i="49"/>
  <c r="AC21" i="44"/>
  <c r="AC22" i="44"/>
  <c r="AC23" i="44"/>
  <c r="D15" i="45"/>
  <c r="F15" i="45"/>
  <c r="AC24" i="44"/>
  <c r="AC25" i="44"/>
  <c r="AC26" i="44"/>
  <c r="D16" i="45"/>
  <c r="F16" i="45"/>
  <c r="AC27" i="44"/>
  <c r="AC28" i="44"/>
  <c r="AC29" i="44"/>
  <c r="D17" i="45"/>
  <c r="F17" i="45"/>
  <c r="AC30" i="44"/>
  <c r="AC31" i="44"/>
  <c r="AC32" i="44"/>
  <c r="D18" i="45"/>
  <c r="F18" i="45"/>
  <c r="AC33" i="44"/>
  <c r="AC34" i="44"/>
  <c r="AC35" i="44"/>
  <c r="D19" i="45"/>
  <c r="F19" i="45"/>
  <c r="AC36" i="44"/>
  <c r="AC37" i="44"/>
  <c r="AC38" i="44"/>
  <c r="D20" i="45"/>
  <c r="F20" i="45"/>
  <c r="AC39" i="44"/>
  <c r="AC40" i="44"/>
  <c r="AC41" i="44"/>
  <c r="D21" i="45"/>
  <c r="F21" i="45"/>
  <c r="AC6" i="44"/>
  <c r="AC7" i="44"/>
  <c r="AC8" i="44"/>
  <c r="D10" i="45"/>
  <c r="AC9" i="44"/>
  <c r="AC10" i="44"/>
  <c r="AC11" i="44"/>
  <c r="D11" i="45"/>
  <c r="AC12" i="44"/>
  <c r="AC13" i="44"/>
  <c r="AC14" i="44"/>
  <c r="D12" i="45"/>
  <c r="AC15" i="44"/>
  <c r="AC16" i="44"/>
  <c r="AC17" i="44"/>
  <c r="D13" i="45"/>
  <c r="AC18" i="44"/>
  <c r="AC19" i="44"/>
  <c r="AC20" i="44"/>
  <c r="D14" i="45"/>
  <c r="D22" i="45"/>
  <c r="F22" i="45"/>
  <c r="F11" i="45"/>
  <c r="F12" i="45"/>
  <c r="F13" i="45"/>
  <c r="F14" i="45"/>
  <c r="F10" i="45"/>
  <c r="D22" i="51"/>
  <c r="F22" i="51"/>
  <c r="F10" i="51"/>
  <c r="D22" i="49"/>
  <c r="F22" i="49"/>
  <c r="F10" i="49"/>
</calcChain>
</file>

<file path=xl/sharedStrings.xml><?xml version="1.0" encoding="utf-8"?>
<sst xmlns="http://schemas.openxmlformats.org/spreadsheetml/2006/main" count="393" uniqueCount="70">
  <si>
    <t>Mes</t>
  </si>
  <si>
    <t>Dias\Horas</t>
  </si>
  <si>
    <t>HO2</t>
  </si>
  <si>
    <t>HO3</t>
  </si>
  <si>
    <t>HO4</t>
  </si>
  <si>
    <t>HO5</t>
  </si>
  <si>
    <t>HO6</t>
  </si>
  <si>
    <t>HO7</t>
  </si>
  <si>
    <t>HO8</t>
  </si>
  <si>
    <t>HO9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</si>
  <si>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</si>
  <si>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</si>
  <si>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</si>
  <si>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</si>
  <si>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</si>
  <si>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</si>
  <si>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</si>
  <si>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</si>
  <si>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</si>
  <si>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</si>
  <si>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</si>
  <si>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</si>
  <si>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</si>
  <si>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</si>
  <si>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</si>
  <si>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May</t>
  </si>
  <si>
    <t>Jun</t>
  </si>
  <si>
    <t>Jul</t>
  </si>
  <si>
    <t>Ago</t>
  </si>
  <si>
    <t>Sep</t>
  </si>
  <si>
    <t>Oct</t>
  </si>
  <si>
    <t>Nov</t>
  </si>
  <si>
    <t>Dic</t>
  </si>
  <si>
    <t>MES</t>
  </si>
  <si>
    <t>NOMBRE DEL OFERENTE</t>
  </si>
  <si>
    <t>% E. Ofertado</t>
  </si>
  <si>
    <t>$/kWh</t>
  </si>
  <si>
    <t>AÑO</t>
  </si>
  <si>
    <t>PRODUCTO  1</t>
  </si>
  <si>
    <t>E. Solicitada
[kWh]</t>
  </si>
  <si>
    <t>E. Ofertada
[kWh]</t>
  </si>
  <si>
    <t xml:space="preserve"> - La tarifa ofertada debe tener dos decimales</t>
  </si>
  <si>
    <t xml:space="preserve"> PRECIOS Y CANTIDADES DE ENERGÍA OFERTADA</t>
  </si>
  <si>
    <t>Año</t>
  </si>
  <si>
    <t xml:space="preserve"> - El Tope Ofertado debe tener máximo dos decimales y corresponde al tope horario para cada hora del mes ofertado.</t>
  </si>
  <si>
    <t>Habil</t>
  </si>
  <si>
    <t>Sabado</t>
  </si>
  <si>
    <t>Total</t>
  </si>
  <si>
    <t>N. Días</t>
  </si>
  <si>
    <t>TOTAL PRODUCTO</t>
  </si>
  <si>
    <t>SOL &amp; CIELO ENERGÍA SAS ESP</t>
  </si>
  <si>
    <t>HO1</t>
  </si>
  <si>
    <t>Domingo y Festivo</t>
  </si>
  <si>
    <t>PRODUCTO  2</t>
  </si>
  <si>
    <t>ANEXO 4 - CANTIDADES DE  ENERGÍA ESTIMADAS EN kWh</t>
  </si>
  <si>
    <t>PERIODO:  DE 1 ENERO 2026 A 31 DICIEMBRE 2026</t>
  </si>
  <si>
    <t>Abr</t>
  </si>
  <si>
    <t>Ene</t>
  </si>
  <si>
    <t>Feb</t>
  </si>
  <si>
    <t>Mar</t>
  </si>
  <si>
    <t>PERIODO 2026-01-01 A 2026-12-31</t>
  </si>
  <si>
    <t>ANEXO 4 - OFERTAS PRODUCTO 1</t>
  </si>
  <si>
    <t xml:space="preserve"> - Por favor complete los campos azules</t>
  </si>
  <si>
    <t>PERIODO:  DE 1 ENERO 2027 A 31 DICIEMBRE 2027</t>
  </si>
  <si>
    <t>ANEXO 4 - OFERTAS PRODUCTO 2</t>
  </si>
  <si>
    <t>PERIODO 2027-01-01 A 2027-12-31</t>
  </si>
  <si>
    <t>PERIODO:  DE 1 ENERO 2028 A 31 DICIEMBRE 2028</t>
  </si>
  <si>
    <t>ANEXO 4 - OFERTAS PRODUCTO 3</t>
  </si>
  <si>
    <t>PERIODO 2028-01-01 A 2028-12-31</t>
  </si>
  <si>
    <t>PRODUCTO 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</si>
</sst>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_-* #,##0\ _€_-;\-* #,##0\ _€_-;_-* &quot;-&quot;\ _€_-;_-@_-"/>
    <numFmt numFmtId="166" formatCode="_-* #,##0.00\ _€_-;\-* #,##0.00\ _€_-;_-* &quot;-&quot;??\ _€_-;_-@_-"/>
    <numFmt numFmtId="167" formatCode="_(* #,##0.0_);_(* \(#,##0.0\);_(* &quot;-&quot;??_);_(@_)"/>
    <numFmt numFmtId="168" formatCode="_ * #,##0.00_ ;_ * \-#,##0.00_ ;_ * &quot;-&quot;??_ ;_ @_ "/>
  </numFmts>
  <fonts count="1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6">
    <xf numFmtId="0" fontId="0" fillId="0" borderId="0"/>
    <xf numFmtId="166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168" fontId="4" fillId="0" borderId="0" applyFont="0" applyFill="0" applyBorder="0" applyAlignment="0" applyProtection="0"/>
    <xf numFmtId="0" fontId="10" fillId="3" borderId="0">
      <alignment horizontal="center" vertical="center"/>
    </xf>
    <xf numFmtId="0" fontId="10" fillId="3" borderId="0"/>
  </cellStyleXfs>
  <cellXfs count="49">
    <xf numFmtId="0" fontId="0" fillId="0" borderId="0" xfId="0"/>
    <xf numFmtId="167" fontId="6" fillId="0" borderId="0" xfId="1" applyNumberFormat="1" applyFont="1" applyFill="1" applyBorder="1" applyAlignment="1">
      <alignment horizontal="center"/>
    </xf>
    <xf numFmtId="0" fontId="6" fillId="0" borderId="0" xfId="3" applyFont="1"/>
    <xf numFmtId="0" fontId="6" fillId="0" borderId="0" xfId="0" applyFont="1"/>
    <xf numFmtId="166" fontId="6" fillId="0" borderId="0" xfId="1" applyFont="1" applyFill="1" applyBorder="1"/>
    <xf numFmtId="0" fontId="6" fillId="0" borderId="0" xfId="0" applyFont="1" applyAlignment="1">
      <alignment horizontal="center"/>
    </xf>
    <xf numFmtId="3" fontId="6" fillId="0" borderId="0" xfId="0" applyNumberFormat="1" applyFont="1" applyAlignment="1">
      <alignment horizontal="center"/>
    </xf>
    <xf numFmtId="4" fontId="6" fillId="0" borderId="0" xfId="0" applyNumberFormat="1" applyFont="1"/>
    <xf numFmtId="3" fontId="6" fillId="0" borderId="0" xfId="0" applyNumberFormat="1" applyFont="1"/>
    <xf numFmtId="9" fontId="6" fillId="0" borderId="0" xfId="4" applyFont="1" applyFill="1" applyBorder="1"/>
    <xf numFmtId="0" fontId="9" fillId="0" borderId="0" xfId="0" applyFont="1" applyAlignment="1">
      <alignment horizontal="center"/>
    </xf>
    <xf numFmtId="0" fontId="9" fillId="0" borderId="0" xfId="0" applyFont="1"/>
    <xf numFmtId="0" fontId="9" fillId="0" borderId="1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9" xfId="0" applyFont="1" applyBorder="1" applyAlignment="1">
      <alignment horizontal="center" vertical="center"/>
    </xf>
    <xf numFmtId="17" fontId="9" fillId="0" borderId="10" xfId="0" applyNumberFormat="1" applyFont="1" applyBorder="1" applyAlignment="1">
      <alignment horizontal="center" vertical="center"/>
    </xf>
    <xf numFmtId="165" fontId="6" fillId="0" borderId="11" xfId="2" applyFont="1" applyFill="1" applyBorder="1" applyAlignment="1">
      <alignment horizontal="center" vertical="center"/>
    </xf>
    <xf numFmtId="165" fontId="6" fillId="0" borderId="10" xfId="2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8" fillId="0" borderId="0" xfId="0" applyFont="1"/>
    <xf numFmtId="0" fontId="6" fillId="0" borderId="0" xfId="0" quotePrefix="1" applyFont="1"/>
    <xf numFmtId="165" fontId="6" fillId="0" borderId="0" xfId="0" applyNumberFormat="1" applyFont="1"/>
    <xf numFmtId="0" fontId="9" fillId="0" borderId="7" xfId="0" applyFont="1" applyBorder="1" applyAlignment="1">
      <alignment horizontal="center" vertical="center"/>
    </xf>
    <xf numFmtId="17" fontId="9" fillId="0" borderId="18" xfId="0" applyNumberFormat="1" applyFont="1" applyBorder="1" applyAlignment="1">
      <alignment horizontal="center" vertical="center"/>
    </xf>
    <xf numFmtId="165" fontId="6" fillId="0" borderId="8" xfId="2" applyFont="1" applyFill="1" applyBorder="1" applyAlignment="1">
      <alignment horizontal="center" vertical="center"/>
    </xf>
    <xf numFmtId="165" fontId="6" fillId="0" borderId="18" xfId="2" applyFont="1" applyFill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17" fontId="9" fillId="0" borderId="15" xfId="0" applyNumberFormat="1" applyFont="1" applyBorder="1" applyAlignment="1">
      <alignment horizontal="center" vertical="center"/>
    </xf>
    <xf numFmtId="165" fontId="6" fillId="0" borderId="16" xfId="0" applyNumberFormat="1" applyFont="1" applyBorder="1"/>
    <xf numFmtId="165" fontId="6" fillId="0" borderId="15" xfId="2" applyFont="1" applyFill="1" applyBorder="1" applyAlignment="1">
      <alignment horizontal="center" vertical="center"/>
    </xf>
    <xf numFmtId="9" fontId="6" fillId="2" borderId="14" xfId="4" applyFont="1" applyFill="1" applyBorder="1" applyAlignment="1" applyProtection="1">
      <alignment horizontal="center" vertical="center"/>
      <protection locked="0"/>
    </xf>
    <xf numFmtId="2" fontId="6" fillId="2" borderId="16" xfId="1" quotePrefix="1" applyNumberFormat="1" applyFont="1" applyFill="1" applyBorder="1" applyAlignment="1" applyProtection="1">
      <alignment horizontal="center" vertical="center"/>
      <protection locked="0"/>
    </xf>
    <xf numFmtId="0" fontId="9" fillId="0" borderId="0" xfId="0" applyFont="1" applyAlignment="1">
      <alignment horizontal="center"/>
    </xf>
    <xf numFmtId="0" fontId="9" fillId="2" borderId="0" xfId="0" applyFont="1" applyFill="1" applyAlignment="1" applyProtection="1">
      <alignment horizontal="center"/>
      <protection locked="0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9" fontId="6" fillId="2" borderId="1" xfId="4" applyFont="1" applyFill="1" applyBorder="1" applyAlignment="1" applyProtection="1">
      <alignment horizontal="center" vertical="center"/>
      <protection locked="0"/>
    </xf>
    <xf numFmtId="9" fontId="6" fillId="2" borderId="17" xfId="4" applyFont="1" applyFill="1" applyBorder="1" applyAlignment="1" applyProtection="1">
      <alignment horizontal="center" vertical="center"/>
      <protection locked="0"/>
    </xf>
    <xf numFmtId="166" fontId="6" fillId="2" borderId="3" xfId="1" applyFont="1" applyFill="1" applyBorder="1" applyAlignment="1" applyProtection="1">
      <alignment horizontal="center" vertical="center"/>
      <protection locked="0"/>
    </xf>
    <xf numFmtId="166" fontId="6" fillId="2" borderId="8" xfId="1" applyFont="1" applyFill="1" applyBorder="1" applyAlignment="1" applyProtection="1">
      <alignment horizontal="center" vertical="center"/>
      <protection locked="0"/>
    </xf>
    <xf numFmtId="0" fontId="9" fillId="0" borderId="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</cellXfs>
  <cellStyles count="16">
    <cellStyle name="EstiloLabel" xfId="14" xr:uid="{2C7BB463-02AA-496E-A847-06CD13D84712}"/>
    <cellStyle name="Millares" xfId="1" builtinId="3"/>
    <cellStyle name="Millares [0]" xfId="2" builtinId="6"/>
    <cellStyle name="Millares 2" xfId="7" xr:uid="{00000000-0005-0000-0000-000002000000}"/>
    <cellStyle name="Millares 3" xfId="9" xr:uid="{00000000-0005-0000-0000-000003000000}"/>
    <cellStyle name="Millares 4" xfId="13" xr:uid="{6DA14229-D450-4BCD-BD9A-9983C5C088F3}"/>
    <cellStyle name="Moneda 2" xfId="11" xr:uid="{D955DB16-FB66-42B4-A489-4764EC4A4088}"/>
    <cellStyle name="Normal" xfId="0" builtinId="0"/>
    <cellStyle name="Normal 2" xfId="3" xr:uid="{00000000-0005-0000-0000-000005000000}"/>
    <cellStyle name="Normal 2 2" xfId="12" xr:uid="{F7694215-9558-4456-A429-A7EDA9DC2E77}"/>
    <cellStyle name="Normal 3" xfId="5" xr:uid="{00000000-0005-0000-0000-000006000000}"/>
    <cellStyle name="Normal 4" xfId="8" xr:uid="{00000000-0005-0000-0000-000007000000}"/>
    <cellStyle name="Normal 5" xfId="10" xr:uid="{5DCFC1C1-8DB6-495A-8A3C-6EC3855601A8}"/>
    <cellStyle name="Porcentaje" xfId="4" builtinId="5"/>
    <cellStyle name="Porcentaje 2" xfId="6" xr:uid="{00000000-0005-0000-0000-000009000000}"/>
    <cellStyle name="SinEstilo" xfId="15" xr:uid="{7267CCE8-AE0D-4551-9D6A-1AD6FC2BA574}"/>
  </cellStyles>
  <dxfs count="9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3B8226-A19B-4A49-BA1D-E2B90CEAFCDE}" name="Tabla1" displayName="Tabla1" ref="A5:AC41" totalsRowShown="0" headerRowDxfId="92" dataDxfId="91" dataCellStyle="Millares">
  <autoFilter ref="A5:AC41" xr:uid="{623B8226-A19B-4A49-BA1D-E2B90CEAFCDE}"/>
  <tableColumns count="29">
    <tableColumn id="1" xr3:uid="{258FC7B1-AB2C-41E9-A4DA-A22C0F76CE93}" name="Año" dataDxfId="90" dataCellStyle="Normal 2"/>
    <tableColumn id="2" xr3:uid="{2CFE93B2-E9F0-40B3-9CCD-741BDAA0874C}" name="Mes" dataDxfId="89"/>
    <tableColumn id="3" xr3:uid="{1DF17EEE-269F-4ACD-9D0D-FC60933DE82B}" name="Dias\Horas" dataDxfId="88"/>
    <tableColumn id="4" xr3:uid="{707697F8-85C2-425A-BE80-FD1CB5DE8B72}" name="HO1" dataDxfId="87" dataCellStyle="Millares"/>
    <tableColumn id="5" xr3:uid="{7C3DBE8F-9144-4ABE-A782-F1DADD14A57D}" name="HO2" dataDxfId="86" dataCellStyle="Millares"/>
    <tableColumn id="6" xr3:uid="{DC7A1BE4-942D-4028-A791-AFFB3557B890}" name="HO3" dataDxfId="85" dataCellStyle="Millares"/>
    <tableColumn id="7" xr3:uid="{05840084-9C8D-40A2-BF0D-745725769AF7}" name="HO4" dataDxfId="84" dataCellStyle="Millares"/>
    <tableColumn id="8" xr3:uid="{476F1D24-2E1C-4362-8D75-95E46A3A2D33}" name="HO5" dataDxfId="83" dataCellStyle="Millares"/>
    <tableColumn id="9" xr3:uid="{3BB499EE-3583-40F8-9F65-998958A70E32}" name="HO6" dataDxfId="82" dataCellStyle="Millares"/>
    <tableColumn id="10" xr3:uid="{D60A03BA-156A-48A3-8980-D9BA1B3EF120}" name="HO7" dataDxfId="81" dataCellStyle="Millares"/>
    <tableColumn id="11" xr3:uid="{F8F076C4-25CA-452E-8047-3659C4FAD26F}" name="HO8" dataDxfId="80" dataCellStyle="Millares"/>
    <tableColumn id="12" xr3:uid="{0FB7A36B-4B9B-43A6-8AF2-4886F888D32F}" name="HO9" dataDxfId="79" dataCellStyle="Millares"/>
    <tableColumn id="13" xr3:uid="{7A540E58-AA37-4C1B-88BD-BDEAA76B27CA}" name="H10" dataDxfId="78" dataCellStyle="Millares"/>
    <tableColumn id="14" xr3:uid="{9C4E1837-4D81-4890-B611-89CA84F202BE}" name="H11" dataDxfId="77" dataCellStyle="Millares"/>
    <tableColumn id="15" xr3:uid="{E2A592E3-3D92-4920-BE15-B3346115244D}" name="H12" dataDxfId="76" dataCellStyle="Millares"/>
    <tableColumn id="16" xr3:uid="{4D6B59C0-4646-4E66-A96F-6FDC070B829B}" name="H13" dataDxfId="75" dataCellStyle="Millares"/>
    <tableColumn id="17" xr3:uid="{F071DE44-637F-4744-B382-4E1444E479DE}" name="H14" dataDxfId="74" dataCellStyle="Millares"/>
    <tableColumn id="18" xr3:uid="{50D7028A-6057-4636-9612-C53729934B5E}" name="H15" dataDxfId="73" dataCellStyle="Millares"/>
    <tableColumn id="19" xr3:uid="{A01D35F9-A947-4D26-A92D-F864B52732A9}" name="H16" dataDxfId="72" dataCellStyle="Millares"/>
    <tableColumn id="20" xr3:uid="{79F6CB1F-0146-432F-83EF-BAF9DB2FD289}" name="H17" dataDxfId="71" dataCellStyle="Millares"/>
    <tableColumn id="21" xr3:uid="{CC508A62-EF3E-4686-B86B-F031627D9142}" name="H18" dataDxfId="70" dataCellStyle="Millares"/>
    <tableColumn id="22" xr3:uid="{2F6E929D-CE44-44B3-95DF-92412FAF3013}" name="H19" dataDxfId="69" dataCellStyle="Millares"/>
    <tableColumn id="23" xr3:uid="{AC79BE4C-94C7-44D1-BA95-949C6A4637F1}" name="H20" dataDxfId="68" dataCellStyle="Millares"/>
    <tableColumn id="24" xr3:uid="{FF587CCF-6B2E-4491-B88D-95E97D43BFDE}" name="H21" dataDxfId="67" dataCellStyle="Millares"/>
    <tableColumn id="25" xr3:uid="{FDBBB00F-B638-4DD4-AD11-447BC4227883}" name="H22" dataDxfId="66" dataCellStyle="Millares"/>
    <tableColumn id="26" xr3:uid="{D596B851-B005-48EB-AA3E-E6774E8E1A3B}" name="H23" dataDxfId="65" dataCellStyle="Millares"/>
    <tableColumn id="27" xr3:uid="{09883F07-BBE2-4693-8766-1F8C0694B6F5}" name="H24" dataDxfId="64" dataCellStyle="Millares"/>
    <tableColumn id="28" xr3:uid="{68465093-3698-4221-B23C-85C48A645668}" name="N. Días" dataDxfId="63"/>
    <tableColumn id="29" xr3:uid="{164E94B5-8FC1-41A8-97C2-57A01D3D4044}" name="Total" dataDxfId="62">
      <calculatedColumnFormula>AB6*SUM(D6:AA6)</calculatedColumnFormula>
    </tableColumn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1D6A7C2-536F-403A-99C9-A8859EDF8F09}" name="Tabla13" displayName="Tabla13" ref="A5:AC41" totalsRowShown="0" headerRowDxfId="61" dataDxfId="60" dataCellStyle="Millares">
  <autoFilter ref="A5:AC41" xr:uid="{623B8226-A19B-4A49-BA1D-E2B90CEAFCDE}"/>
  <tableColumns count="29">
    <tableColumn id="1" xr3:uid="{0B46943D-BD4F-4BE7-830E-4C1644F48356}" name="Año" dataDxfId="59" dataCellStyle="Normal 2"/>
    <tableColumn id="2" xr3:uid="{31E46633-6C98-4917-A8B8-D6F334AFC4B0}" name="Mes" dataDxfId="58"/>
    <tableColumn id="3" xr3:uid="{32C2D1E8-B888-4CAE-A4A3-411FC78EDB2D}" name="Dias\Horas" dataDxfId="57"/>
    <tableColumn id="4" xr3:uid="{814D2710-81E9-49C5-91D0-6FD1F9D763A8}" name="HO1" dataDxfId="56" dataCellStyle="Millares"/>
    <tableColumn id="5" xr3:uid="{A579FA5C-8AF2-4A3F-82FA-4AF0331D6863}" name="HO2" dataDxfId="55" dataCellStyle="Millares"/>
    <tableColumn id="6" xr3:uid="{005484E7-C374-4CAB-B026-D196667572EE}" name="HO3" dataDxfId="54" dataCellStyle="Millares"/>
    <tableColumn id="7" xr3:uid="{DE35CAFB-6216-49E3-B162-6FB6C052A9F0}" name="HO4" dataDxfId="53" dataCellStyle="Millares"/>
    <tableColumn id="8" xr3:uid="{175737CB-9726-40F0-86D2-CF775FF824AC}" name="HO5" dataDxfId="52" dataCellStyle="Millares"/>
    <tableColumn id="9" xr3:uid="{A3E9620D-A429-4136-B8EE-FAE0562CA589}" name="HO6" dataDxfId="51" dataCellStyle="Millares"/>
    <tableColumn id="10" xr3:uid="{B7749DFD-88CE-498C-B356-4FF645649084}" name="HO7" dataDxfId="50" dataCellStyle="Millares"/>
    <tableColumn id="11" xr3:uid="{922CE34E-7484-45AF-B13A-E4246CE09323}" name="HO8" dataDxfId="49" dataCellStyle="Millares"/>
    <tableColumn id="12" xr3:uid="{7DA4AA3B-C5A0-4487-88F4-487B1E1AC0AB}" name="HO9" dataDxfId="48" dataCellStyle="Millares"/>
    <tableColumn id="13" xr3:uid="{268A9951-5C6F-407D-8C03-50EA51DBFE11}" name="H10" dataDxfId="47" dataCellStyle="Millares"/>
    <tableColumn id="14" xr3:uid="{192F64DB-4F75-425B-92C1-F0B3D5925B6F}" name="H11" dataDxfId="46" dataCellStyle="Millares"/>
    <tableColumn id="15" xr3:uid="{D2AAFE92-11DB-46AD-A22E-791F575BC5E2}" name="H12" dataDxfId="45" dataCellStyle="Millares"/>
    <tableColumn id="16" xr3:uid="{D8503B22-6C49-425A-ACA6-4949489047AC}" name="H13" dataDxfId="44" dataCellStyle="Millares"/>
    <tableColumn id="17" xr3:uid="{6411376B-E475-4E74-B2F3-597E3ABDCED5}" name="H14" dataDxfId="43" dataCellStyle="Millares"/>
    <tableColumn id="18" xr3:uid="{C6311B6B-8D61-4CCA-8AF3-5BB68046A51B}" name="H15" dataDxfId="42" dataCellStyle="Millares"/>
    <tableColumn id="19" xr3:uid="{BDC4E056-F15C-4FC2-8F90-25FE6BE85918}" name="H16" dataDxfId="41" dataCellStyle="Millares"/>
    <tableColumn id="20" xr3:uid="{7D799F37-DA16-411F-823A-07EC6F2FFD74}" name="H17" dataDxfId="40" dataCellStyle="Millares"/>
    <tableColumn id="21" xr3:uid="{4C0A9FDE-6799-48A5-A0C6-4448A1BC4ACC}" name="H18" dataDxfId="39" dataCellStyle="Millares"/>
    <tableColumn id="22" xr3:uid="{17C94DC6-8379-4B34-9A72-6F674A570917}" name="H19" dataDxfId="38" dataCellStyle="Millares"/>
    <tableColumn id="23" xr3:uid="{5D62F22B-B78A-4C10-91A5-BC5789F39D68}" name="H20" dataDxfId="37" dataCellStyle="Millares"/>
    <tableColumn id="24" xr3:uid="{DDBBABC2-A999-48C0-95B2-E4C170C19CBE}" name="H21" dataDxfId="36" dataCellStyle="Millares"/>
    <tableColumn id="25" xr3:uid="{1F934B5B-C6E0-4225-93E3-B208A8AAE12C}" name="H22" dataDxfId="35" dataCellStyle="Millares"/>
    <tableColumn id="26" xr3:uid="{5C11495F-88C0-49F5-A906-9A324E47627F}" name="H23" dataDxfId="34" dataCellStyle="Millares"/>
    <tableColumn id="27" xr3:uid="{15AEEEED-4E86-4022-A595-4C4F6CECD05A}" name="H24" dataDxfId="33" dataCellStyle="Millares"/>
    <tableColumn id="28" xr3:uid="{DB7AD282-F3AC-47D3-B4D0-DAD7745011EE}" name="N. Días" dataDxfId="32"/>
    <tableColumn id="29" xr3:uid="{93066F9A-36E5-4E34-9EE1-0E6446598C9C}" name="Total" dataDxfId="31">
      <calculatedColumnFormula>AB6*SUM(D6:AA6)</calculatedColumnFormula>
    </tableColumn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33E3FF2-A908-4DF6-A0FF-28632A0243A5}" name="Tabla134" displayName="Tabla134" ref="A5:AC41" totalsRowShown="0" headerRowDxfId="30" dataDxfId="29" dataCellStyle="Millares">
  <autoFilter ref="A5:AC41" xr:uid="{623B8226-A19B-4A49-BA1D-E2B90CEAFCDE}"/>
  <tableColumns count="29">
    <tableColumn id="1" xr3:uid="{6070537B-587E-4E5A-A58B-F230EDD8C98E}" name="Año" dataDxfId="28" dataCellStyle="Normal 2"/>
    <tableColumn id="2" xr3:uid="{E0430832-7FD4-4A91-9FBA-7FB7045321B7}" name="Mes" dataDxfId="27"/>
    <tableColumn id="3" xr3:uid="{0611858A-5600-470C-B945-C864F2BB4C63}" name="Dias\Horas" dataDxfId="26"/>
    <tableColumn id="4" xr3:uid="{807FDBA3-0BFF-426C-A2D2-092EDFD5820B}" name="HO1" dataDxfId="25" dataCellStyle="Millares"/>
    <tableColumn id="5" xr3:uid="{F0E2D565-D3E4-45CF-B5FD-0DE201743926}" name="HO2" dataDxfId="24" dataCellStyle="Millares"/>
    <tableColumn id="6" xr3:uid="{DB755C86-510A-42F4-A529-C37FD1B328C4}" name="HO3" dataDxfId="23" dataCellStyle="Millares"/>
    <tableColumn id="7" xr3:uid="{8B2DC661-A959-4A39-9182-E69F61B62553}" name="HO4" dataDxfId="22" dataCellStyle="Millares"/>
    <tableColumn id="8" xr3:uid="{03A032AD-DB80-408A-93D9-EFB547F72E12}" name="HO5" dataDxfId="21" dataCellStyle="Millares"/>
    <tableColumn id="9" xr3:uid="{8FD71EF3-8F27-4A4F-8667-1DFFDDDEFDC6}" name="HO6" dataDxfId="20" dataCellStyle="Millares"/>
    <tableColumn id="10" xr3:uid="{378AA99F-1034-4760-BC2E-06FC0187A93A}" name="HO7" dataDxfId="19" dataCellStyle="Millares"/>
    <tableColumn id="11" xr3:uid="{79CEADA8-8AF4-4914-B877-8DAA8117E138}" name="HO8" dataDxfId="18" dataCellStyle="Millares"/>
    <tableColumn id="12" xr3:uid="{A273C8E0-885C-491D-B9CC-908A05D57FC1}" name="HO9" dataDxfId="17" dataCellStyle="Millares"/>
    <tableColumn id="13" xr3:uid="{B1A5656E-40BE-4C3D-9AF1-55185220E0D8}" name="H10" dataDxfId="16" dataCellStyle="Millares"/>
    <tableColumn id="14" xr3:uid="{C12DFB95-D10D-4D07-8BD6-2A956D0B4A5D}" name="H11" dataDxfId="15" dataCellStyle="Millares"/>
    <tableColumn id="15" xr3:uid="{A710733D-96EF-4285-8C28-5A462391D437}" name="H12" dataDxfId="14" dataCellStyle="Millares"/>
    <tableColumn id="16" xr3:uid="{EC623EFA-67E9-4CE8-9887-5F76CB1259A6}" name="H13" dataDxfId="13" dataCellStyle="Millares"/>
    <tableColumn id="17" xr3:uid="{C72A1503-FF10-424A-B10A-3CCE9A1D02D6}" name="H14" dataDxfId="12" dataCellStyle="Millares"/>
    <tableColumn id="18" xr3:uid="{44EEC20E-5DB9-457F-92B3-85475D385047}" name="H15" dataDxfId="11" dataCellStyle="Millares"/>
    <tableColumn id="19" xr3:uid="{3DC884F5-B904-4A7D-A59B-5D58D2800C01}" name="H16" dataDxfId="10" dataCellStyle="Millares"/>
    <tableColumn id="20" xr3:uid="{C3EC3F03-19EB-4EB2-855F-B962FD12F7A8}" name="H17" dataDxfId="9" dataCellStyle="Millares"/>
    <tableColumn id="21" xr3:uid="{33DCC1EC-7FEE-479E-AE45-6AF2B4EC50FE}" name="H18" dataDxfId="8" dataCellStyle="Millares"/>
    <tableColumn id="22" xr3:uid="{DA0C27E7-0567-448C-BADD-6DC501473A05}" name="H19" dataDxfId="7" dataCellStyle="Millares"/>
    <tableColumn id="23" xr3:uid="{61F389A8-253B-407E-89F1-8407BB22D548}" name="H20" dataDxfId="6" dataCellStyle="Millares"/>
    <tableColumn id="24" xr3:uid="{C841478C-6765-4B6C-B02A-4E9E793DBECF}" name="H21" dataDxfId="5" dataCellStyle="Millares"/>
    <tableColumn id="25" xr3:uid="{BA10EC2C-0BCE-44D1-BF45-B90341864F56}" name="H22" dataDxfId="4" dataCellStyle="Millares"/>
    <tableColumn id="26" xr3:uid="{AE7C6ABE-DD1D-457F-94BC-633F1C039E5F}" name="H23" dataDxfId="3" dataCellStyle="Millares"/>
    <tableColumn id="27" xr3:uid="{3F5931EE-78FA-4D33-A156-FF382B38095C}" name="H24" dataDxfId="2" dataCellStyle="Millares"/>
    <tableColumn id="28" xr3:uid="{A9E01A67-5C2E-45E2-B59D-6CDB68848231}" name="N. Días" dataDxfId="1"/>
    <tableColumn id="29" xr3:uid="{4BBD600F-A49B-4E99-A476-AFE1DAB85DE3}" name="Total" dataDxfId="0">
      <calculatedColumnFormula>AB6*SUM(D6:AA6)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146"/>
  <sheetViews>
    <sheetView showGridLines="0" zoomScaleNormal="100" workbookViewId="0">
      <selection activeCell="G10" sqref="G10:G21"/>
    </sheetView>
  </sheetViews>
  <sheetFormatPr baseColWidth="10" defaultColWidth="11.42578125" defaultRowHeight="15" customHeight="1" x14ac:dyDescent="0.25"/>
  <cols>
    <col min="1" max="1" width="4.140625" style="3" customWidth="1"/>
    <col min="2" max="2" width="10" style="3" customWidth="1"/>
    <col min="3" max="3" width="18.28515625" style="3" bestFit="1" customWidth="1"/>
    <col min="4" max="7" width="16.85546875" style="3" customWidth="1"/>
    <col min="8" max="8" width="8.140625" style="3" bestFit="1" customWidth="1"/>
    <col min="9" max="9" width="9.42578125" style="3" customWidth="1"/>
    <col min="10" max="16" width="14.5703125" style="3" customWidth="1"/>
    <col min="17" max="20" width="17" style="3" customWidth="1"/>
    <col min="21" max="16384" width="11.42578125" style="3"/>
  </cols>
  <sheetData>
    <row r="2" spans="2:21" ht="15" customHeight="1" x14ac:dyDescent="0.25">
      <c r="B2" s="34" t="s">
        <v>61</v>
      </c>
      <c r="C2" s="34"/>
      <c r="D2" s="34"/>
      <c r="E2" s="34"/>
      <c r="F2" s="34"/>
      <c r="G2" s="34"/>
      <c r="H2" s="11"/>
    </row>
    <row r="3" spans="2:21" ht="15" customHeight="1" x14ac:dyDescent="0.25">
      <c r="B3" s="35" t="s">
        <v>34</v>
      </c>
      <c r="C3" s="35"/>
      <c r="D3" s="35"/>
      <c r="E3" s="35"/>
      <c r="F3" s="35"/>
      <c r="G3" s="35"/>
      <c r="H3" s="11"/>
    </row>
    <row r="4" spans="2:21" ht="15" customHeight="1" x14ac:dyDescent="0.25">
      <c r="B4" s="34" t="s">
        <v>42</v>
      </c>
      <c r="C4" s="34"/>
      <c r="D4" s="34"/>
      <c r="E4" s="34"/>
      <c r="F4" s="34"/>
      <c r="G4" s="34"/>
      <c r="H4" s="11"/>
    </row>
    <row r="5" spans="2:21" ht="15" customHeight="1" x14ac:dyDescent="0.25">
      <c r="B5" s="34"/>
      <c r="C5" s="34"/>
      <c r="D5" s="34"/>
      <c r="E5" s="34"/>
      <c r="F5" s="34"/>
      <c r="G5" s="34"/>
      <c r="H5" s="11"/>
    </row>
    <row r="6" spans="2:21" ht="15" customHeight="1" thickBot="1" x14ac:dyDescent="0.3">
      <c r="B6" s="10"/>
      <c r="C6" s="10"/>
      <c r="D6" s="10"/>
      <c r="E6" s="10"/>
      <c r="F6" s="10"/>
      <c r="G6" s="10"/>
      <c r="H6" s="10"/>
      <c r="U6" s="10"/>
    </row>
    <row r="7" spans="2:21" ht="15" customHeight="1" thickBot="1" x14ac:dyDescent="0.3">
      <c r="B7" s="36" t="s">
        <v>38</v>
      </c>
      <c r="C7" s="37"/>
      <c r="D7" s="37"/>
      <c r="E7" s="37"/>
      <c r="F7" s="37"/>
      <c r="G7" s="38"/>
      <c r="H7" s="10"/>
      <c r="U7" s="10"/>
    </row>
    <row r="8" spans="2:21" ht="15" customHeight="1" thickBot="1" x14ac:dyDescent="0.3">
      <c r="B8" s="43" t="s">
        <v>37</v>
      </c>
      <c r="C8" s="43" t="s">
        <v>33</v>
      </c>
      <c r="D8" s="45" t="s">
        <v>60</v>
      </c>
      <c r="E8" s="46"/>
      <c r="F8" s="46"/>
      <c r="G8" s="47"/>
      <c r="H8" s="10"/>
      <c r="U8" s="10"/>
    </row>
    <row r="9" spans="2:21" ht="30.75" thickBot="1" x14ac:dyDescent="0.3">
      <c r="B9" s="44"/>
      <c r="C9" s="44"/>
      <c r="D9" s="12" t="s">
        <v>39</v>
      </c>
      <c r="E9" s="13" t="s">
        <v>35</v>
      </c>
      <c r="F9" s="13" t="s">
        <v>40</v>
      </c>
      <c r="G9" s="14" t="s">
        <v>36</v>
      </c>
      <c r="H9" s="15"/>
      <c r="U9" s="10"/>
    </row>
    <row r="10" spans="2:21" ht="15" customHeight="1" x14ac:dyDescent="0.25">
      <c r="B10" s="16">
        <v>2026</v>
      </c>
      <c r="C10" s="17" t="s">
        <v>57</v>
      </c>
      <c r="D10" s="18">
        <f>SUMIFS('Producto 1'!$AC:$AC,'Producto 1'!$A:$A,'R-Producto 1'!$B10,'Producto 1'!$B:$B,'R-Producto 1'!$C10)</f>
        <v>883437.30617542856</v>
      </c>
      <c r="E10" s="39"/>
      <c r="F10" s="19">
        <f>D10*$E$10</f>
        <v>0</v>
      </c>
      <c r="G10" s="41"/>
      <c r="H10" s="15"/>
      <c r="U10" s="10"/>
    </row>
    <row r="11" spans="2:21" ht="15" customHeight="1" x14ac:dyDescent="0.25">
      <c r="B11" s="20">
        <v>2026</v>
      </c>
      <c r="C11" s="17" t="s">
        <v>58</v>
      </c>
      <c r="D11" s="18">
        <f>SUMIFS('Producto 1'!$AC:$AC,'Producto 1'!$A:$A,'R-Producto 1'!$B11,'Producto 1'!$B:$B,'R-Producto 1'!$C11)</f>
        <v>839928.88642544392</v>
      </c>
      <c r="E11" s="40"/>
      <c r="F11" s="19">
        <f t="shared" ref="F11:F22" si="0">D11*$E$10</f>
        <v>0</v>
      </c>
      <c r="G11" s="42"/>
      <c r="H11" s="15"/>
      <c r="U11" s="10"/>
    </row>
    <row r="12" spans="2:21" ht="15" customHeight="1" x14ac:dyDescent="0.25">
      <c r="B12" s="20">
        <v>2026</v>
      </c>
      <c r="C12" s="17" t="s">
        <v>59</v>
      </c>
      <c r="D12" s="18">
        <f>SUMIFS('Producto 1'!$AC:$AC,'Producto 1'!$A:$A,'R-Producto 1'!$B12,'Producto 1'!$B:$B,'R-Producto 1'!$C12)</f>
        <v>929359.8775202285</v>
      </c>
      <c r="E12" s="40"/>
      <c r="F12" s="19">
        <f t="shared" si="0"/>
        <v>0</v>
      </c>
      <c r="G12" s="42"/>
      <c r="H12" s="15"/>
      <c r="U12" s="10"/>
    </row>
    <row r="13" spans="2:21" ht="15" customHeight="1" x14ac:dyDescent="0.25">
      <c r="B13" s="20">
        <v>2026</v>
      </c>
      <c r="C13" s="17" t="s">
        <v>56</v>
      </c>
      <c r="D13" s="18">
        <f>SUMIFS('Producto 1'!$AC:$AC,'Producto 1'!$A:$A,'R-Producto 1'!$B13,'Producto 1'!$B:$B,'R-Producto 1'!$C13)</f>
        <v>913829.23575870576</v>
      </c>
      <c r="E13" s="40"/>
      <c r="F13" s="19">
        <f t="shared" si="0"/>
        <v>0</v>
      </c>
      <c r="G13" s="42"/>
      <c r="H13" s="15"/>
      <c r="U13" s="10"/>
    </row>
    <row r="14" spans="2:21" ht="15" customHeight="1" x14ac:dyDescent="0.25">
      <c r="B14" s="20">
        <v>2026</v>
      </c>
      <c r="C14" s="17" t="s">
        <v>25</v>
      </c>
      <c r="D14" s="18">
        <f>SUMIFS('Producto 1'!$AC:$AC,'Producto 1'!$A:$A,'R-Producto 1'!$B14,'Producto 1'!$B:$B,'R-Producto 1'!$C14)</f>
        <v>943618.1839025534</v>
      </c>
      <c r="E14" s="40"/>
      <c r="F14" s="19">
        <f t="shared" si="0"/>
        <v>0</v>
      </c>
      <c r="G14" s="42"/>
      <c r="H14" s="15"/>
      <c r="U14" s="10"/>
    </row>
    <row r="15" spans="2:21" ht="15" customHeight="1" x14ac:dyDescent="0.25">
      <c r="B15" s="20">
        <v>2026</v>
      </c>
      <c r="C15" s="17" t="s">
        <v>26</v>
      </c>
      <c r="D15" s="18">
        <f>SUMIFS('Producto 1'!$AC:$AC,'Producto 1'!$A:$A,'R-Producto 1'!$B15,'Producto 1'!$B:$B,'R-Producto 1'!$C15)</f>
        <v>933594.53781744523</v>
      </c>
      <c r="E15" s="40"/>
      <c r="F15" s="19">
        <f t="shared" si="0"/>
        <v>0</v>
      </c>
      <c r="G15" s="42"/>
      <c r="H15" s="15"/>
      <c r="U15" s="10"/>
    </row>
    <row r="16" spans="2:21" ht="15" customHeight="1" x14ac:dyDescent="0.25">
      <c r="B16" s="20">
        <v>2026</v>
      </c>
      <c r="C16" s="17" t="s">
        <v>27</v>
      </c>
      <c r="D16" s="18">
        <f>SUMIFS('Producto 1'!$AC:$AC,'Producto 1'!$A:$A,'R-Producto 1'!$B16,'Producto 1'!$B:$B,'R-Producto 1'!$C16)</f>
        <v>1021039.1530977704</v>
      </c>
      <c r="E16" s="40"/>
      <c r="F16" s="19">
        <f t="shared" si="0"/>
        <v>0</v>
      </c>
      <c r="G16" s="42"/>
      <c r="H16" s="15"/>
      <c r="U16" s="10"/>
    </row>
    <row r="17" spans="1:21" ht="15" customHeight="1" x14ac:dyDescent="0.25">
      <c r="B17" s="20">
        <v>2026</v>
      </c>
      <c r="C17" s="17" t="s">
        <v>28</v>
      </c>
      <c r="D17" s="18">
        <f>SUMIFS('Producto 1'!$AC:$AC,'Producto 1'!$A:$A,'R-Producto 1'!$B17,'Producto 1'!$B:$B,'R-Producto 1'!$C17)</f>
        <v>997513.79762928328</v>
      </c>
      <c r="E17" s="40"/>
      <c r="F17" s="19">
        <f t="shared" si="0"/>
        <v>0</v>
      </c>
      <c r="G17" s="42"/>
      <c r="H17" s="15"/>
      <c r="U17" s="10"/>
    </row>
    <row r="18" spans="1:21" ht="15" customHeight="1" x14ac:dyDescent="0.25">
      <c r="B18" s="20">
        <v>2026</v>
      </c>
      <c r="C18" s="17" t="s">
        <v>29</v>
      </c>
      <c r="D18" s="18">
        <f>SUMIFS('Producto 1'!$AC:$AC,'Producto 1'!$A:$A,'R-Producto 1'!$B18,'Producto 1'!$B:$B,'R-Producto 1'!$C18)</f>
        <v>1037582.0275488629</v>
      </c>
      <c r="E18" s="40"/>
      <c r="F18" s="19">
        <f t="shared" si="0"/>
        <v>0</v>
      </c>
      <c r="G18" s="42"/>
      <c r="H18" s="15"/>
      <c r="U18" s="10"/>
    </row>
    <row r="19" spans="1:21" ht="15" customHeight="1" x14ac:dyDescent="0.25">
      <c r="B19" s="20">
        <v>2026</v>
      </c>
      <c r="C19" s="17" t="s">
        <v>30</v>
      </c>
      <c r="D19" s="18">
        <f>SUMIFS('Producto 1'!$AC:$AC,'Producto 1'!$A:$A,'R-Producto 1'!$B19,'Producto 1'!$B:$B,'R-Producto 1'!$C19)</f>
        <v>1068251.6751817008</v>
      </c>
      <c r="E19" s="40"/>
      <c r="F19" s="19">
        <f t="shared" si="0"/>
        <v>0</v>
      </c>
      <c r="G19" s="42"/>
      <c r="H19" s="15"/>
      <c r="U19" s="10"/>
    </row>
    <row r="20" spans="1:21" ht="15" customHeight="1" x14ac:dyDescent="0.25">
      <c r="A20" s="21"/>
      <c r="B20" s="20">
        <v>2026</v>
      </c>
      <c r="C20" s="17" t="s">
        <v>31</v>
      </c>
      <c r="D20" s="18">
        <f>SUMIFS('Producto 1'!$AC:$AC,'Producto 1'!$A:$A,'R-Producto 1'!$B20,'Producto 1'!$B:$B,'R-Producto 1'!$C20)</f>
        <v>1018752.6515100849</v>
      </c>
      <c r="E20" s="40"/>
      <c r="F20" s="19">
        <f t="shared" si="0"/>
        <v>0</v>
      </c>
      <c r="G20" s="42"/>
      <c r="H20" s="15"/>
    </row>
    <row r="21" spans="1:21" ht="15" customHeight="1" thickBot="1" x14ac:dyDescent="0.3">
      <c r="A21" s="21"/>
      <c r="B21" s="24">
        <v>2026</v>
      </c>
      <c r="C21" s="25" t="s">
        <v>32</v>
      </c>
      <c r="D21" s="26">
        <f>SUMIFS('Producto 1'!$AC:$AC,'Producto 1'!$A:$A,'R-Producto 1'!$B21,'Producto 1'!$B:$B,'R-Producto 1'!$C21)</f>
        <v>1093711.8558729119</v>
      </c>
      <c r="E21" s="40"/>
      <c r="F21" s="27">
        <f t="shared" si="0"/>
        <v>0</v>
      </c>
      <c r="G21" s="42"/>
      <c r="H21" s="15"/>
    </row>
    <row r="22" spans="1:21" ht="15" customHeight="1" thickBot="1" x14ac:dyDescent="0.3">
      <c r="A22" s="21"/>
      <c r="B22" s="28"/>
      <c r="C22" s="29" t="s">
        <v>49</v>
      </c>
      <c r="D22" s="30">
        <f>SUM(D10:D21)</f>
        <v>11680619.18844042</v>
      </c>
      <c r="E22" s="32"/>
      <c r="F22" s="31">
        <f t="shared" si="0"/>
        <v>0</v>
      </c>
      <c r="G22" s="33"/>
      <c r="H22" s="15"/>
    </row>
    <row r="23" spans="1:21" ht="15" customHeight="1" x14ac:dyDescent="0.25">
      <c r="A23" s="21"/>
      <c r="H23" s="15"/>
    </row>
    <row r="24" spans="1:21" ht="15" customHeight="1" x14ac:dyDescent="0.25">
      <c r="A24" s="21"/>
      <c r="B24" s="22" t="s">
        <v>62</v>
      </c>
      <c r="H24" s="15"/>
    </row>
    <row r="25" spans="1:21" ht="15" customHeight="1" x14ac:dyDescent="0.25">
      <c r="A25" s="21"/>
      <c r="B25" s="3" t="s">
        <v>44</v>
      </c>
      <c r="H25" s="15"/>
    </row>
    <row r="26" spans="1:21" ht="15" customHeight="1" x14ac:dyDescent="0.25">
      <c r="A26" s="21"/>
      <c r="B26" s="3" t="s">
        <v>41</v>
      </c>
      <c r="E26" s="23"/>
      <c r="H26" s="15"/>
    </row>
    <row r="27" spans="1:21" ht="15" customHeight="1" x14ac:dyDescent="0.25">
      <c r="A27" s="21"/>
      <c r="E27" s="23"/>
      <c r="H27" s="15"/>
    </row>
    <row r="28" spans="1:21" ht="15" customHeight="1" x14ac:dyDescent="0.25">
      <c r="A28" s="21"/>
      <c r="H28" s="15"/>
    </row>
    <row r="29" spans="1:21" ht="15" customHeight="1" x14ac:dyDescent="0.25">
      <c r="A29" s="21"/>
      <c r="H29" s="15"/>
    </row>
    <row r="30" spans="1:21" ht="15" customHeight="1" x14ac:dyDescent="0.25">
      <c r="A30" s="21"/>
      <c r="H30" s="15"/>
    </row>
    <row r="31" spans="1:21" ht="15" customHeight="1" x14ac:dyDescent="0.25">
      <c r="A31" s="21"/>
      <c r="H31" s="15"/>
    </row>
    <row r="32" spans="1:21" ht="15" customHeight="1" x14ac:dyDescent="0.25">
      <c r="A32" s="21"/>
      <c r="H32" s="15"/>
    </row>
    <row r="33" spans="1:8" ht="15" customHeight="1" x14ac:dyDescent="0.25">
      <c r="A33" s="21"/>
      <c r="H33" s="15"/>
    </row>
    <row r="34" spans="1:8" ht="15" customHeight="1" x14ac:dyDescent="0.25">
      <c r="A34" s="21"/>
      <c r="H34" s="15"/>
    </row>
    <row r="35" spans="1:8" ht="15" customHeight="1" x14ac:dyDescent="0.25">
      <c r="A35" s="21"/>
      <c r="H35" s="15"/>
    </row>
    <row r="36" spans="1:8" ht="15" customHeight="1" x14ac:dyDescent="0.25">
      <c r="A36" s="21"/>
      <c r="H36" s="15"/>
    </row>
    <row r="37" spans="1:8" ht="15" customHeight="1" x14ac:dyDescent="0.25">
      <c r="A37" s="21"/>
      <c r="H37" s="15"/>
    </row>
    <row r="38" spans="1:8" ht="15" customHeight="1" x14ac:dyDescent="0.25">
      <c r="A38" s="21"/>
      <c r="H38" s="15"/>
    </row>
    <row r="39" spans="1:8" ht="15" customHeight="1" x14ac:dyDescent="0.25">
      <c r="A39" s="21"/>
      <c r="H39" s="15"/>
    </row>
    <row r="40" spans="1:8" ht="15" customHeight="1" x14ac:dyDescent="0.25">
      <c r="A40" s="21"/>
      <c r="H40" s="15"/>
    </row>
    <row r="41" spans="1:8" ht="15" customHeight="1" x14ac:dyDescent="0.25">
      <c r="A41" s="21"/>
      <c r="H41" s="15"/>
    </row>
    <row r="42" spans="1:8" ht="15" customHeight="1" x14ac:dyDescent="0.25">
      <c r="A42" s="21"/>
      <c r="H42" s="15"/>
    </row>
    <row r="43" spans="1:8" ht="15" customHeight="1" x14ac:dyDescent="0.25">
      <c r="A43" s="21"/>
      <c r="H43" s="15"/>
    </row>
    <row r="44" spans="1:8" ht="15" customHeight="1" x14ac:dyDescent="0.25">
      <c r="A44" s="21"/>
      <c r="H44" s="15"/>
    </row>
    <row r="45" spans="1:8" ht="15" customHeight="1" x14ac:dyDescent="0.25">
      <c r="A45" s="21"/>
      <c r="H45" s="15"/>
    </row>
    <row r="46" spans="1:8" ht="15" customHeight="1" x14ac:dyDescent="0.25">
      <c r="A46" s="21"/>
      <c r="H46" s="15"/>
    </row>
    <row r="47" spans="1:8" ht="15" customHeight="1" x14ac:dyDescent="0.25">
      <c r="A47" s="21"/>
      <c r="H47" s="15"/>
    </row>
    <row r="48" spans="1:8" ht="15" customHeight="1" x14ac:dyDescent="0.25">
      <c r="A48" s="21"/>
      <c r="H48" s="15"/>
    </row>
    <row r="49" spans="1:8" ht="15" customHeight="1" x14ac:dyDescent="0.25">
      <c r="A49" s="21"/>
      <c r="H49" s="15"/>
    </row>
    <row r="50" spans="1:8" ht="15" customHeight="1" x14ac:dyDescent="0.25">
      <c r="A50" s="21"/>
      <c r="H50" s="15"/>
    </row>
    <row r="51" spans="1:8" ht="15" customHeight="1" x14ac:dyDescent="0.25">
      <c r="A51" s="21"/>
      <c r="H51" s="15"/>
    </row>
    <row r="52" spans="1:8" ht="15" customHeight="1" x14ac:dyDescent="0.25">
      <c r="A52" s="21"/>
      <c r="H52" s="15"/>
    </row>
    <row r="53" spans="1:8" ht="15" customHeight="1" x14ac:dyDescent="0.25">
      <c r="A53" s="21"/>
      <c r="H53" s="15"/>
    </row>
    <row r="54" spans="1:8" ht="15" customHeight="1" x14ac:dyDescent="0.25">
      <c r="A54" s="21"/>
      <c r="H54" s="15"/>
    </row>
    <row r="55" spans="1:8" ht="15" customHeight="1" x14ac:dyDescent="0.25">
      <c r="A55" s="21"/>
      <c r="H55" s="15"/>
    </row>
    <row r="56" spans="1:8" ht="15" customHeight="1" x14ac:dyDescent="0.25">
      <c r="A56" s="21"/>
      <c r="H56" s="15"/>
    </row>
    <row r="57" spans="1:8" ht="15" customHeight="1" x14ac:dyDescent="0.25">
      <c r="A57" s="21"/>
      <c r="H57" s="15"/>
    </row>
    <row r="58" spans="1:8" ht="15" customHeight="1" x14ac:dyDescent="0.25">
      <c r="A58" s="21"/>
      <c r="H58" s="15"/>
    </row>
    <row r="59" spans="1:8" ht="15" customHeight="1" x14ac:dyDescent="0.25">
      <c r="A59" s="21"/>
      <c r="H59" s="15"/>
    </row>
    <row r="60" spans="1:8" ht="15" customHeight="1" x14ac:dyDescent="0.25">
      <c r="A60" s="21"/>
      <c r="H60" s="15"/>
    </row>
    <row r="61" spans="1:8" ht="15" customHeight="1" x14ac:dyDescent="0.25">
      <c r="A61" s="21"/>
      <c r="H61" s="15"/>
    </row>
    <row r="62" spans="1:8" ht="15" customHeight="1" x14ac:dyDescent="0.25">
      <c r="A62" s="21"/>
      <c r="H62" s="15"/>
    </row>
    <row r="63" spans="1:8" ht="15" customHeight="1" x14ac:dyDescent="0.25">
      <c r="A63" s="21"/>
      <c r="H63" s="15"/>
    </row>
    <row r="64" spans="1:8" ht="15" customHeight="1" x14ac:dyDescent="0.25">
      <c r="A64" s="21"/>
      <c r="H64" s="15"/>
    </row>
    <row r="65" spans="1:8" ht="15" customHeight="1" x14ac:dyDescent="0.25">
      <c r="A65" s="21"/>
      <c r="H65" s="15"/>
    </row>
    <row r="66" spans="1:8" ht="15" customHeight="1" x14ac:dyDescent="0.25">
      <c r="A66" s="21"/>
      <c r="H66" s="15"/>
    </row>
    <row r="67" spans="1:8" ht="15" customHeight="1" x14ac:dyDescent="0.25">
      <c r="A67" s="21"/>
      <c r="H67" s="15"/>
    </row>
    <row r="68" spans="1:8" ht="15" customHeight="1" x14ac:dyDescent="0.25">
      <c r="A68" s="21"/>
      <c r="H68" s="15"/>
    </row>
    <row r="69" spans="1:8" ht="15" customHeight="1" x14ac:dyDescent="0.25">
      <c r="A69" s="21"/>
      <c r="H69" s="15"/>
    </row>
    <row r="70" spans="1:8" ht="15" customHeight="1" x14ac:dyDescent="0.25">
      <c r="A70" s="21"/>
      <c r="H70" s="15"/>
    </row>
    <row r="71" spans="1:8" ht="15" customHeight="1" x14ac:dyDescent="0.25">
      <c r="A71" s="21"/>
      <c r="H71" s="15"/>
    </row>
    <row r="72" spans="1:8" ht="15" customHeight="1" x14ac:dyDescent="0.25">
      <c r="A72" s="21"/>
      <c r="H72" s="15"/>
    </row>
    <row r="73" spans="1:8" ht="15" customHeight="1" x14ac:dyDescent="0.25">
      <c r="A73" s="21"/>
      <c r="H73" s="15"/>
    </row>
    <row r="74" spans="1:8" ht="15" customHeight="1" x14ac:dyDescent="0.25">
      <c r="A74" s="21"/>
      <c r="H74" s="15"/>
    </row>
    <row r="75" spans="1:8" ht="15" customHeight="1" x14ac:dyDescent="0.25">
      <c r="A75" s="21"/>
      <c r="H75" s="15"/>
    </row>
    <row r="76" spans="1:8" ht="15" customHeight="1" x14ac:dyDescent="0.25">
      <c r="A76" s="21"/>
      <c r="H76" s="15"/>
    </row>
    <row r="77" spans="1:8" ht="15" customHeight="1" x14ac:dyDescent="0.25">
      <c r="A77" s="21"/>
      <c r="H77" s="15"/>
    </row>
    <row r="78" spans="1:8" ht="15" customHeight="1" x14ac:dyDescent="0.25">
      <c r="A78" s="21"/>
      <c r="H78" s="15"/>
    </row>
    <row r="79" spans="1:8" ht="15" customHeight="1" x14ac:dyDescent="0.25">
      <c r="A79" s="21"/>
      <c r="H79" s="15"/>
    </row>
    <row r="80" spans="1:8" ht="15" customHeight="1" x14ac:dyDescent="0.25">
      <c r="A80" s="21"/>
      <c r="H80" s="15"/>
    </row>
    <row r="81" spans="1:8" ht="15" customHeight="1" x14ac:dyDescent="0.25">
      <c r="A81" s="21"/>
      <c r="H81" s="15"/>
    </row>
    <row r="82" spans="1:8" ht="15" customHeight="1" x14ac:dyDescent="0.25">
      <c r="A82" s="21"/>
      <c r="H82" s="15"/>
    </row>
    <row r="83" spans="1:8" ht="15" customHeight="1" x14ac:dyDescent="0.25">
      <c r="A83" s="21"/>
      <c r="H83" s="15"/>
    </row>
    <row r="84" spans="1:8" ht="15" customHeight="1" x14ac:dyDescent="0.25">
      <c r="A84" s="21"/>
      <c r="H84" s="15"/>
    </row>
    <row r="85" spans="1:8" ht="15" customHeight="1" x14ac:dyDescent="0.25">
      <c r="A85" s="21"/>
      <c r="H85" s="15"/>
    </row>
    <row r="86" spans="1:8" ht="15" customHeight="1" x14ac:dyDescent="0.25">
      <c r="A86" s="21"/>
      <c r="H86" s="15"/>
    </row>
    <row r="87" spans="1:8" ht="15" customHeight="1" x14ac:dyDescent="0.25">
      <c r="A87" s="21"/>
      <c r="H87" s="15"/>
    </row>
    <row r="88" spans="1:8" ht="15" customHeight="1" x14ac:dyDescent="0.25">
      <c r="A88" s="21"/>
      <c r="H88" s="15"/>
    </row>
    <row r="89" spans="1:8" ht="15" customHeight="1" x14ac:dyDescent="0.25">
      <c r="A89" s="21"/>
      <c r="H89" s="15"/>
    </row>
    <row r="90" spans="1:8" ht="15" customHeight="1" x14ac:dyDescent="0.25">
      <c r="A90" s="21"/>
      <c r="H90" s="15"/>
    </row>
    <row r="91" spans="1:8" ht="15" customHeight="1" x14ac:dyDescent="0.25">
      <c r="A91" s="21"/>
      <c r="H91" s="15"/>
    </row>
    <row r="92" spans="1:8" ht="15" customHeight="1" x14ac:dyDescent="0.25">
      <c r="A92" s="21"/>
      <c r="H92" s="15"/>
    </row>
    <row r="93" spans="1:8" ht="15" customHeight="1" x14ac:dyDescent="0.25">
      <c r="A93" s="21"/>
      <c r="H93" s="15"/>
    </row>
    <row r="94" spans="1:8" ht="15" customHeight="1" x14ac:dyDescent="0.25">
      <c r="A94" s="21"/>
      <c r="H94" s="15"/>
    </row>
    <row r="95" spans="1:8" ht="15" customHeight="1" x14ac:dyDescent="0.25">
      <c r="A95" s="21"/>
      <c r="H95" s="15"/>
    </row>
    <row r="96" spans="1:8" ht="15" customHeight="1" x14ac:dyDescent="0.25">
      <c r="A96" s="21"/>
      <c r="H96" s="15"/>
    </row>
    <row r="97" spans="1:8" ht="15" customHeight="1" x14ac:dyDescent="0.25">
      <c r="A97" s="21"/>
      <c r="H97" s="15"/>
    </row>
    <row r="98" spans="1:8" ht="15" customHeight="1" x14ac:dyDescent="0.25">
      <c r="A98" s="21"/>
      <c r="H98" s="15"/>
    </row>
    <row r="99" spans="1:8" ht="15" customHeight="1" x14ac:dyDescent="0.25">
      <c r="A99" s="21"/>
      <c r="H99" s="15"/>
    </row>
    <row r="100" spans="1:8" ht="15" customHeight="1" x14ac:dyDescent="0.25">
      <c r="A100" s="21"/>
      <c r="H100" s="15"/>
    </row>
    <row r="101" spans="1:8" ht="15" customHeight="1" x14ac:dyDescent="0.25">
      <c r="A101" s="21"/>
      <c r="H101" s="15"/>
    </row>
    <row r="102" spans="1:8" ht="15" customHeight="1" x14ac:dyDescent="0.25">
      <c r="A102" s="21"/>
      <c r="H102" s="15"/>
    </row>
    <row r="103" spans="1:8" ht="15" customHeight="1" x14ac:dyDescent="0.25">
      <c r="A103" s="21"/>
      <c r="H103" s="15"/>
    </row>
    <row r="104" spans="1:8" ht="15" customHeight="1" x14ac:dyDescent="0.25">
      <c r="A104" s="21"/>
      <c r="H104" s="15"/>
    </row>
    <row r="105" spans="1:8" ht="15" customHeight="1" x14ac:dyDescent="0.25">
      <c r="A105" s="21"/>
      <c r="H105" s="15"/>
    </row>
    <row r="106" spans="1:8" ht="15" customHeight="1" x14ac:dyDescent="0.25">
      <c r="A106" s="21"/>
      <c r="H106" s="15"/>
    </row>
    <row r="107" spans="1:8" ht="15" customHeight="1" x14ac:dyDescent="0.25">
      <c r="A107" s="21"/>
      <c r="H107" s="15"/>
    </row>
    <row r="108" spans="1:8" ht="15" customHeight="1" x14ac:dyDescent="0.25">
      <c r="A108" s="21"/>
      <c r="H108" s="15"/>
    </row>
    <row r="109" spans="1:8" ht="15" customHeight="1" x14ac:dyDescent="0.25">
      <c r="A109" s="21"/>
      <c r="H109" s="15"/>
    </row>
    <row r="110" spans="1:8" ht="15" customHeight="1" x14ac:dyDescent="0.25">
      <c r="A110" s="21"/>
      <c r="H110" s="15"/>
    </row>
    <row r="111" spans="1:8" ht="15" customHeight="1" x14ac:dyDescent="0.25">
      <c r="A111" s="21"/>
      <c r="H111" s="15"/>
    </row>
    <row r="112" spans="1:8" ht="15" customHeight="1" x14ac:dyDescent="0.25">
      <c r="A112" s="21"/>
      <c r="H112" s="15"/>
    </row>
    <row r="113" spans="1:8" ht="15" customHeight="1" x14ac:dyDescent="0.25">
      <c r="A113" s="21"/>
      <c r="H113" s="15"/>
    </row>
    <row r="114" spans="1:8" ht="15" customHeight="1" x14ac:dyDescent="0.25">
      <c r="A114" s="21"/>
      <c r="H114" s="15"/>
    </row>
    <row r="115" spans="1:8" ht="15" customHeight="1" x14ac:dyDescent="0.25">
      <c r="A115" s="21"/>
      <c r="H115" s="15"/>
    </row>
    <row r="116" spans="1:8" ht="15" customHeight="1" x14ac:dyDescent="0.25">
      <c r="A116" s="21"/>
      <c r="H116" s="15"/>
    </row>
    <row r="117" spans="1:8" ht="15" customHeight="1" x14ac:dyDescent="0.25">
      <c r="A117" s="21"/>
      <c r="H117" s="15"/>
    </row>
    <row r="118" spans="1:8" ht="15" customHeight="1" x14ac:dyDescent="0.25">
      <c r="A118" s="21"/>
      <c r="H118" s="15"/>
    </row>
    <row r="119" spans="1:8" ht="15" customHeight="1" x14ac:dyDescent="0.25">
      <c r="A119" s="21"/>
      <c r="H119" s="15"/>
    </row>
    <row r="120" spans="1:8" ht="15" customHeight="1" x14ac:dyDescent="0.25">
      <c r="A120" s="21"/>
      <c r="H120" s="15"/>
    </row>
    <row r="121" spans="1:8" ht="15" customHeight="1" x14ac:dyDescent="0.25">
      <c r="A121" s="21"/>
      <c r="H121" s="15"/>
    </row>
    <row r="122" spans="1:8" ht="15" customHeight="1" x14ac:dyDescent="0.25">
      <c r="A122" s="21"/>
      <c r="H122" s="15"/>
    </row>
    <row r="123" spans="1:8" ht="15" customHeight="1" x14ac:dyDescent="0.25">
      <c r="A123" s="21"/>
      <c r="H123" s="15"/>
    </row>
    <row r="124" spans="1:8" ht="15" customHeight="1" x14ac:dyDescent="0.25">
      <c r="A124" s="21"/>
      <c r="H124" s="15"/>
    </row>
    <row r="125" spans="1:8" ht="15" customHeight="1" x14ac:dyDescent="0.25">
      <c r="A125" s="21"/>
      <c r="H125" s="15"/>
    </row>
    <row r="126" spans="1:8" ht="15" customHeight="1" x14ac:dyDescent="0.25">
      <c r="A126" s="21"/>
      <c r="H126" s="15"/>
    </row>
    <row r="127" spans="1:8" ht="15" customHeight="1" x14ac:dyDescent="0.25">
      <c r="A127" s="21"/>
      <c r="H127" s="15"/>
    </row>
    <row r="128" spans="1:8" ht="15" customHeight="1" x14ac:dyDescent="0.25">
      <c r="A128" s="21"/>
      <c r="H128" s="15"/>
    </row>
    <row r="129" spans="1:8" ht="15" customHeight="1" x14ac:dyDescent="0.25">
      <c r="A129" s="21"/>
      <c r="H129" s="15"/>
    </row>
    <row r="130" spans="1:8" ht="15" customHeight="1" x14ac:dyDescent="0.25">
      <c r="A130" s="21"/>
      <c r="H130" s="15"/>
    </row>
    <row r="131" spans="1:8" ht="15" customHeight="1" x14ac:dyDescent="0.25">
      <c r="A131" s="21"/>
      <c r="H131" s="15"/>
    </row>
    <row r="132" spans="1:8" ht="15" customHeight="1" x14ac:dyDescent="0.25">
      <c r="A132" s="21"/>
      <c r="H132" s="15"/>
    </row>
    <row r="133" spans="1:8" ht="15" customHeight="1" x14ac:dyDescent="0.25">
      <c r="A133" s="21"/>
      <c r="H133" s="15"/>
    </row>
    <row r="134" spans="1:8" ht="15" customHeight="1" x14ac:dyDescent="0.25">
      <c r="A134" s="21"/>
      <c r="H134" s="15"/>
    </row>
    <row r="135" spans="1:8" ht="15" customHeight="1" x14ac:dyDescent="0.25">
      <c r="A135" s="21"/>
      <c r="H135" s="15"/>
    </row>
    <row r="136" spans="1:8" ht="15" customHeight="1" x14ac:dyDescent="0.25">
      <c r="A136" s="21"/>
      <c r="H136" s="15"/>
    </row>
    <row r="137" spans="1:8" ht="15" customHeight="1" x14ac:dyDescent="0.25">
      <c r="A137" s="21"/>
      <c r="H137" s="15"/>
    </row>
    <row r="138" spans="1:8" ht="15" customHeight="1" x14ac:dyDescent="0.25">
      <c r="A138" s="21"/>
      <c r="H138" s="15"/>
    </row>
    <row r="139" spans="1:8" ht="15" customHeight="1" x14ac:dyDescent="0.25">
      <c r="A139" s="21"/>
      <c r="H139" s="15"/>
    </row>
    <row r="140" spans="1:8" ht="15" customHeight="1" x14ac:dyDescent="0.25">
      <c r="A140" s="21"/>
      <c r="H140" s="15"/>
    </row>
    <row r="141" spans="1:8" ht="15" customHeight="1" x14ac:dyDescent="0.25">
      <c r="A141" s="21"/>
      <c r="H141" s="15"/>
    </row>
    <row r="142" spans="1:8" ht="15" customHeight="1" x14ac:dyDescent="0.25">
      <c r="A142" s="21"/>
      <c r="H142" s="15"/>
    </row>
    <row r="143" spans="1:8" ht="15" customHeight="1" x14ac:dyDescent="0.25">
      <c r="A143" s="21"/>
      <c r="H143" s="15"/>
    </row>
    <row r="144" spans="1:8" ht="15" customHeight="1" x14ac:dyDescent="0.25">
      <c r="A144" s="21"/>
      <c r="H144" s="15"/>
    </row>
    <row r="145" spans="1:8" ht="15" customHeight="1" x14ac:dyDescent="0.25">
      <c r="A145" s="21"/>
      <c r="H145" s="15"/>
    </row>
    <row r="146" spans="1:8" ht="15" customHeight="1" x14ac:dyDescent="0.25">
      <c r="A146" s="21"/>
      <c r="H146" s="15"/>
    </row>
  </sheetData>
  <mergeCells count="10">
    <mergeCell ref="E10:E21"/>
    <mergeCell ref="G10:G21"/>
    <mergeCell ref="B8:B9"/>
    <mergeCell ref="C8:C9"/>
    <mergeCell ref="D8:G8"/>
    <mergeCell ref="B2:G2"/>
    <mergeCell ref="B3:G3"/>
    <mergeCell ref="B4:G4"/>
    <mergeCell ref="B5:G5"/>
    <mergeCell ref="B7:G7"/>
  </mergeCells>
  <phoneticPr fontId="5" type="noConversion"/>
  <printOptions horizontalCentered="1"/>
  <pageMargins left="0.35433070866141736" right="0.35433070866141736" top="1.5748031496062993" bottom="0.19685039370078741" header="0" footer="0"/>
  <pageSetup scale="8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93"/>
  <sheetViews>
    <sheetView showGridLines="0" zoomScale="80" zoomScaleNormal="80" workbookViewId="0">
      <pane xSplit="3" ySplit="5" topLeftCell="D6" activePane="bottomRight" state="frozen"/>
      <selection activeCell="A32" sqref="A32"/>
      <selection pane="topRight" activeCell="A32" sqref="A32"/>
      <selection pane="bottomLeft" activeCell="A32" sqref="A32"/>
      <selection pane="bottomRight" activeCell="AB6" sqref="AB6:AB41"/>
    </sheetView>
  </sheetViews>
  <sheetFormatPr baseColWidth="10" defaultColWidth="11.42578125" defaultRowHeight="15" x14ac:dyDescent="0.25"/>
  <cols>
    <col min="1" max="1" width="10.85546875" style="2" customWidth="1"/>
    <col min="2" max="2" width="12.42578125" style="2" bestFit="1" customWidth="1"/>
    <col min="3" max="3" width="19.140625" style="2" bestFit="1" customWidth="1"/>
    <col min="4" max="27" width="11" style="4" customWidth="1"/>
    <col min="28" max="28" width="10.5703125" style="2" customWidth="1"/>
    <col min="29" max="30" width="12.5703125" style="2" customWidth="1"/>
    <col min="31" max="31" width="12.5703125" style="3" customWidth="1"/>
    <col min="32" max="34" width="11.42578125" style="3" customWidth="1"/>
    <col min="35" max="36" width="11.42578125" style="3"/>
    <col min="37" max="37" width="12.140625" style="3" bestFit="1" customWidth="1"/>
    <col min="38" max="56" width="11.42578125" style="3"/>
    <col min="57" max="16384" width="11.42578125" style="2"/>
  </cols>
  <sheetData>
    <row r="1" spans="1:30" ht="18.75" x14ac:dyDescent="0.3">
      <c r="B1" s="48" t="s">
        <v>54</v>
      </c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</row>
    <row r="2" spans="1:30" ht="18.75" x14ac:dyDescent="0.3">
      <c r="B2" s="48" t="s">
        <v>50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</row>
    <row r="3" spans="1:30" ht="18.75" x14ac:dyDescent="0.3">
      <c r="B3" s="48" t="s">
        <v>55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</row>
    <row r="5" spans="1:30" x14ac:dyDescent="0.25">
      <c r="A5" s="5" t="s">
        <v>43</v>
      </c>
      <c r="B5" s="5" t="s">
        <v>0</v>
      </c>
      <c r="C5" s="3" t="s">
        <v>1</v>
      </c>
      <c r="D5" s="6" t="s">
        <v>51</v>
      </c>
      <c r="E5" s="6" t="s">
        <v>2</v>
      </c>
      <c r="F5" s="6" t="s">
        <v>3</v>
      </c>
      <c r="G5" s="6" t="s">
        <v>4</v>
      </c>
      <c r="H5" s="6" t="s">
        <v>5</v>
      </c>
      <c r="I5" s="6" t="s">
        <v>6</v>
      </c>
      <c r="J5" s="6" t="s">
        <v>7</v>
      </c>
      <c r="K5" s="6" t="s">
        <v>8</v>
      </c>
      <c r="L5" s="6" t="s">
        <v>9</v>
      </c>
      <c r="M5" s="6" t="s">
        <v>10</v>
      </c>
      <c r="N5" s="6" t="s">
        <v>11</v>
      </c>
      <c r="O5" s="6" t="s">
        <v>12</v>
      </c>
      <c r="P5" s="6" t="s">
        <v>13</v>
      </c>
      <c r="Q5" s="6" t="s">
        <v>14</v>
      </c>
      <c r="R5" s="6" t="s">
        <v>15</v>
      </c>
      <c r="S5" s="6" t="s">
        <v>16</v>
      </c>
      <c r="T5" s="6" t="s">
        <v>17</v>
      </c>
      <c r="U5" s="6" t="s">
        <v>18</v>
      </c>
      <c r="V5" s="6" t="s">
        <v>19</v>
      </c>
      <c r="W5" s="6" t="s">
        <v>20</v>
      </c>
      <c r="X5" s="6" t="s">
        <v>21</v>
      </c>
      <c r="Y5" s="6" t="s">
        <v>22</v>
      </c>
      <c r="Z5" s="6" t="s">
        <v>23</v>
      </c>
      <c r="AA5" s="6" t="s">
        <v>24</v>
      </c>
      <c r="AB5" s="6" t="s">
        <v>48</v>
      </c>
      <c r="AC5" s="6" t="s">
        <v>47</v>
      </c>
    </row>
    <row r="6" spans="1:30" x14ac:dyDescent="0.25">
      <c r="A6" s="3">
        <v>2026</v>
      </c>
      <c r="B6" s="5" t="s">
        <v>57</v>
      </c>
      <c r="C6" s="7" t="s">
        <v>45</v>
      </c>
      <c r="D6" s="1">
        <v>1471.5089810945569</v>
      </c>
      <c r="E6" s="1">
        <v>1415.835197359032</v>
      </c>
      <c r="F6" s="1">
        <v>1361.7179824955924</v>
      </c>
      <c r="G6" s="1">
        <v>1337.7172335353744</v>
      </c>
      <c r="H6" s="1">
        <v>1356.437022339127</v>
      </c>
      <c r="I6" s="1">
        <v>1381.0836240965505</v>
      </c>
      <c r="J6" s="1">
        <v>1428.4754592472109</v>
      </c>
      <c r="K6" s="1">
        <v>1553.5644994410841</v>
      </c>
      <c r="L6" s="1">
        <v>1548.0687852756946</v>
      </c>
      <c r="M6" s="1">
        <v>1083.9380465720728</v>
      </c>
      <c r="N6" s="1">
        <v>792.07621305232499</v>
      </c>
      <c r="O6" s="1">
        <v>638.28569725846933</v>
      </c>
      <c r="P6" s="1">
        <v>402.11037363773744</v>
      </c>
      <c r="Q6" s="1">
        <v>486.97916950115905</v>
      </c>
      <c r="R6" s="1">
        <v>926.79617516118697</v>
      </c>
      <c r="S6" s="1">
        <v>1316.1702479734081</v>
      </c>
      <c r="T6" s="1">
        <v>1731.5518266514537</v>
      </c>
      <c r="U6" s="1">
        <v>2017.2872055277517</v>
      </c>
      <c r="V6" s="1">
        <v>1818.5013502457755</v>
      </c>
      <c r="W6" s="1">
        <v>1743.8437098140453</v>
      </c>
      <c r="X6" s="1">
        <v>1734.2163671325379</v>
      </c>
      <c r="Y6" s="1">
        <v>1718.4188236205787</v>
      </c>
      <c r="Z6" s="1">
        <v>1612.9455736787982</v>
      </c>
      <c r="AA6" s="1">
        <v>1523.4897912618198</v>
      </c>
      <c r="AB6" s="8">
        <v>20</v>
      </c>
      <c r="AC6" s="8">
        <f t="shared" ref="AC6:AC41" si="0">AB6*SUM(D6:AA6)</f>
        <v>648020.38711946679</v>
      </c>
      <c r="AD6" s="9"/>
    </row>
    <row r="7" spans="1:30" x14ac:dyDescent="0.25">
      <c r="A7" s="3">
        <v>2026</v>
      </c>
      <c r="B7" s="5" t="s">
        <v>57</v>
      </c>
      <c r="C7" s="7" t="s">
        <v>46</v>
      </c>
      <c r="D7" s="1">
        <v>1477.2902456731688</v>
      </c>
      <c r="E7" s="1">
        <v>1426.9762008382097</v>
      </c>
      <c r="F7" s="1">
        <v>1371.6610307844503</v>
      </c>
      <c r="G7" s="1">
        <v>1360.6494715236804</v>
      </c>
      <c r="H7" s="1">
        <v>1371.8250434682154</v>
      </c>
      <c r="I7" s="1">
        <v>1332.721896386603</v>
      </c>
      <c r="J7" s="1">
        <v>1147.3699008278484</v>
      </c>
      <c r="K7" s="1">
        <v>1050.5241959727555</v>
      </c>
      <c r="L7" s="1">
        <v>1082.0600501526612</v>
      </c>
      <c r="M7" s="1">
        <v>706.98575183083199</v>
      </c>
      <c r="N7" s="1">
        <v>384.44093121081687</v>
      </c>
      <c r="O7" s="1">
        <v>422.6407468956935</v>
      </c>
      <c r="P7" s="1">
        <v>0</v>
      </c>
      <c r="Q7" s="1">
        <v>0</v>
      </c>
      <c r="R7" s="1">
        <v>258.91319287332806</v>
      </c>
      <c r="S7" s="1">
        <v>423.28670454252136</v>
      </c>
      <c r="T7" s="1">
        <v>859.18195254849525</v>
      </c>
      <c r="U7" s="1">
        <v>1284.0959205583938</v>
      </c>
      <c r="V7" s="1">
        <v>1559.5918103864008</v>
      </c>
      <c r="W7" s="1">
        <v>1570.1517039488033</v>
      </c>
      <c r="X7" s="1">
        <v>1571.4436192424591</v>
      </c>
      <c r="Y7" s="1">
        <v>1563.323729760067</v>
      </c>
      <c r="Z7" s="1">
        <v>1518.6138721657524</v>
      </c>
      <c r="AA7" s="1">
        <v>1443.0973860162719</v>
      </c>
      <c r="AB7" s="8">
        <v>5</v>
      </c>
      <c r="AC7" s="8">
        <f t="shared" si="0"/>
        <v>125934.22678803712</v>
      </c>
      <c r="AD7" s="9"/>
    </row>
    <row r="8" spans="1:30" x14ac:dyDescent="0.25">
      <c r="A8" s="3">
        <v>2026</v>
      </c>
      <c r="B8" s="5" t="s">
        <v>57</v>
      </c>
      <c r="C8" s="7" t="s">
        <v>52</v>
      </c>
      <c r="D8" s="1">
        <v>1343.5374292102347</v>
      </c>
      <c r="E8" s="1">
        <v>1285.1721161576511</v>
      </c>
      <c r="F8" s="1">
        <v>1215.8126882252318</v>
      </c>
      <c r="G8" s="1">
        <v>1194.6527641788202</v>
      </c>
      <c r="H8" s="1">
        <v>1206.1570101963484</v>
      </c>
      <c r="I8" s="1">
        <v>1156.8162851054012</v>
      </c>
      <c r="J8" s="1">
        <v>876.42033868550243</v>
      </c>
      <c r="K8" s="1">
        <v>381.19607429074676</v>
      </c>
      <c r="L8" s="1">
        <v>129.78030966723077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324.87917441477049</v>
      </c>
      <c r="U8" s="1">
        <v>863.70124428852364</v>
      </c>
      <c r="V8" s="1">
        <v>1338.4387473752658</v>
      </c>
      <c r="W8" s="1">
        <v>1405.6366918273638</v>
      </c>
      <c r="X8" s="1">
        <v>1419.8257001726383</v>
      </c>
      <c r="Y8" s="1">
        <v>1442.2662111471727</v>
      </c>
      <c r="Z8" s="1">
        <v>1370.1589118802808</v>
      </c>
      <c r="AA8" s="1">
        <v>1292.6636811642652</v>
      </c>
      <c r="AB8" s="8">
        <v>6</v>
      </c>
      <c r="AC8" s="8">
        <f t="shared" si="0"/>
        <v>109482.69226792469</v>
      </c>
      <c r="AD8" s="9"/>
    </row>
    <row r="9" spans="1:30" x14ac:dyDescent="0.25">
      <c r="A9" s="3">
        <v>2026</v>
      </c>
      <c r="B9" s="5" t="s">
        <v>58</v>
      </c>
      <c r="C9" s="7" t="s">
        <v>45</v>
      </c>
      <c r="D9" s="1">
        <v>1500.3376785841842</v>
      </c>
      <c r="E9" s="1">
        <v>1445.4851527358442</v>
      </c>
      <c r="F9" s="1">
        <v>1392.1662344234387</v>
      </c>
      <c r="G9" s="1">
        <v>1368.5195265047919</v>
      </c>
      <c r="H9" s="1">
        <v>1386.963175029045</v>
      </c>
      <c r="I9" s="1">
        <v>1411.2462086089981</v>
      </c>
      <c r="J9" s="1">
        <v>1457.9389549642833</v>
      </c>
      <c r="K9" s="1">
        <v>1581.1827754880219</v>
      </c>
      <c r="L9" s="1">
        <v>1575.7681299747196</v>
      </c>
      <c r="M9" s="1">
        <v>1118.4838997041529</v>
      </c>
      <c r="N9" s="1">
        <v>830.9273929767246</v>
      </c>
      <c r="O9" s="1">
        <v>679.40547948714084</v>
      </c>
      <c r="P9" s="1">
        <v>446.71403704472789</v>
      </c>
      <c r="Q9" s="1">
        <v>530.33091210625412</v>
      </c>
      <c r="R9" s="1">
        <v>963.66006728117304</v>
      </c>
      <c r="S9" s="1">
        <v>1347.2903859077355</v>
      </c>
      <c r="T9" s="1">
        <v>1756.5445671862935</v>
      </c>
      <c r="U9" s="1">
        <v>2038.0649921326644</v>
      </c>
      <c r="V9" s="1">
        <v>1842.2114766443451</v>
      </c>
      <c r="W9" s="1">
        <v>1768.6551297107262</v>
      </c>
      <c r="X9" s="1">
        <v>1759.1698023653307</v>
      </c>
      <c r="Y9" s="1">
        <v>1743.6052923628054</v>
      </c>
      <c r="Z9" s="1">
        <v>1639.687904670539</v>
      </c>
      <c r="AA9" s="1">
        <v>1551.5517068396066</v>
      </c>
      <c r="AB9" s="8">
        <v>20</v>
      </c>
      <c r="AC9" s="8">
        <f t="shared" si="0"/>
        <v>662718.21765467082</v>
      </c>
    </row>
    <row r="10" spans="1:30" x14ac:dyDescent="0.25">
      <c r="A10" s="3">
        <v>2026</v>
      </c>
      <c r="B10" s="5" t="s">
        <v>58</v>
      </c>
      <c r="C10" s="7" t="s">
        <v>46</v>
      </c>
      <c r="D10" s="1">
        <v>1504.7532293943668</v>
      </c>
      <c r="E10" s="1">
        <v>1454.361424862996</v>
      </c>
      <c r="F10" s="1">
        <v>1398.9607659393903</v>
      </c>
      <c r="G10" s="1">
        <v>1387.9321884582021</v>
      </c>
      <c r="H10" s="1">
        <v>1399.1250321026071</v>
      </c>
      <c r="I10" s="1">
        <v>1359.9614516200272</v>
      </c>
      <c r="J10" s="1">
        <v>1174.3229969830725</v>
      </c>
      <c r="K10" s="1">
        <v>1077.3276183612807</v>
      </c>
      <c r="L10" s="1">
        <v>1108.912210790221</v>
      </c>
      <c r="M10" s="1">
        <v>733.25824005952495</v>
      </c>
      <c r="N10" s="1">
        <v>410.21493064949436</v>
      </c>
      <c r="O10" s="1">
        <v>448.47378364851221</v>
      </c>
      <c r="P10" s="1">
        <v>0</v>
      </c>
      <c r="Q10" s="1">
        <v>0</v>
      </c>
      <c r="R10" s="1">
        <v>284.49319083873138</v>
      </c>
      <c r="S10" s="1">
        <v>449.12073961441132</v>
      </c>
      <c r="T10" s="1">
        <v>885.68965800930766</v>
      </c>
      <c r="U10" s="1">
        <v>1311.2603249839169</v>
      </c>
      <c r="V10" s="1">
        <v>1587.1819900964583</v>
      </c>
      <c r="W10" s="1">
        <v>1597.758203835866</v>
      </c>
      <c r="X10" s="1">
        <v>1599.0521157676644</v>
      </c>
      <c r="Y10" s="1">
        <v>1590.9196771025713</v>
      </c>
      <c r="Z10" s="1">
        <v>1546.1407210097254</v>
      </c>
      <c r="AA10" s="1">
        <v>1470.5075251213177</v>
      </c>
      <c r="AB10" s="8">
        <v>4</v>
      </c>
      <c r="AC10" s="8">
        <f t="shared" si="0"/>
        <v>103118.91207699863</v>
      </c>
    </row>
    <row r="11" spans="1:30" x14ac:dyDescent="0.25">
      <c r="A11" s="3">
        <v>2026</v>
      </c>
      <c r="B11" s="5" t="s">
        <v>58</v>
      </c>
      <c r="C11" s="7" t="s">
        <v>52</v>
      </c>
      <c r="D11" s="1">
        <v>1362.0468104613883</v>
      </c>
      <c r="E11" s="1">
        <v>1303.1879971613007</v>
      </c>
      <c r="F11" s="1">
        <v>1233.2421096853418</v>
      </c>
      <c r="G11" s="1">
        <v>1211.9032706771504</v>
      </c>
      <c r="H11" s="1">
        <v>1223.5047893376245</v>
      </c>
      <c r="I11" s="1">
        <v>1173.7468702187371</v>
      </c>
      <c r="J11" s="1">
        <v>890.98007265934973</v>
      </c>
      <c r="K11" s="1">
        <v>391.56850446604182</v>
      </c>
      <c r="L11" s="1">
        <v>138.02692682827342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334.77542443144273</v>
      </c>
      <c r="U11" s="1">
        <v>878.15343362832982</v>
      </c>
      <c r="V11" s="1">
        <v>1356.9050173910659</v>
      </c>
      <c r="W11" s="1">
        <v>1424.6711452467034</v>
      </c>
      <c r="X11" s="1">
        <v>1438.980126890569</v>
      </c>
      <c r="Y11" s="1">
        <v>1461.6103806616525</v>
      </c>
      <c r="Z11" s="1">
        <v>1388.8933875856483</v>
      </c>
      <c r="AA11" s="1">
        <v>1310.7429061130015</v>
      </c>
      <c r="AB11" s="8">
        <v>4</v>
      </c>
      <c r="AC11" s="8">
        <f t="shared" si="0"/>
        <v>74091.756693774485</v>
      </c>
    </row>
    <row r="12" spans="1:30" x14ac:dyDescent="0.25">
      <c r="A12" s="3">
        <v>2026</v>
      </c>
      <c r="B12" s="5" t="s">
        <v>59</v>
      </c>
      <c r="C12" s="7" t="s">
        <v>45</v>
      </c>
      <c r="D12" s="1">
        <v>1528.7411167578093</v>
      </c>
      <c r="E12" s="1">
        <v>1474.6977342164691</v>
      </c>
      <c r="F12" s="1">
        <v>1422.1653365833167</v>
      </c>
      <c r="G12" s="1">
        <v>1398.8674471584227</v>
      </c>
      <c r="H12" s="1">
        <v>1417.039028817399</v>
      </c>
      <c r="I12" s="1">
        <v>1440.963857304861</v>
      </c>
      <c r="J12" s="1">
        <v>1486.9678272981737</v>
      </c>
      <c r="K12" s="1">
        <v>1608.3936474479347</v>
      </c>
      <c r="L12" s="1">
        <v>1603.0588747227876</v>
      </c>
      <c r="M12" s="1">
        <v>1152.5201583296148</v>
      </c>
      <c r="N12" s="1">
        <v>869.20546944383216</v>
      </c>
      <c r="O12" s="1">
        <v>719.9186935393966</v>
      </c>
      <c r="P12" s="1">
        <v>490.65974067401851</v>
      </c>
      <c r="Q12" s="1">
        <v>573.04316233003783</v>
      </c>
      <c r="R12" s="1">
        <v>999.98017092255134</v>
      </c>
      <c r="S12" s="1">
        <v>1377.9514629158239</v>
      </c>
      <c r="T12" s="1">
        <v>1781.168633564117</v>
      </c>
      <c r="U12" s="1">
        <v>2058.5362804185734</v>
      </c>
      <c r="V12" s="1">
        <v>1865.5718490473273</v>
      </c>
      <c r="W12" s="1">
        <v>1793.100550156405</v>
      </c>
      <c r="X12" s="1">
        <v>1783.7551432434334</v>
      </c>
      <c r="Y12" s="1">
        <v>1768.4202292148489</v>
      </c>
      <c r="Z12" s="1">
        <v>1666.0357528595118</v>
      </c>
      <c r="AA12" s="1">
        <v>1579.1996740928594</v>
      </c>
      <c r="AB12" s="8">
        <v>21</v>
      </c>
      <c r="AC12" s="8">
        <f t="shared" si="0"/>
        <v>711059.19866225007</v>
      </c>
    </row>
    <row r="13" spans="1:30" x14ac:dyDescent="0.25">
      <c r="A13" s="3">
        <v>2026</v>
      </c>
      <c r="B13" s="5" t="s">
        <v>59</v>
      </c>
      <c r="C13" s="7" t="s">
        <v>46</v>
      </c>
      <c r="D13" s="1">
        <v>1532.2586567967223</v>
      </c>
      <c r="E13" s="1">
        <v>1481.7889723923488</v>
      </c>
      <c r="F13" s="1">
        <v>1426.3026924769697</v>
      </c>
      <c r="G13" s="1">
        <v>1415.2570704739267</v>
      </c>
      <c r="H13" s="1">
        <v>1426.4672125113873</v>
      </c>
      <c r="I13" s="1">
        <v>1387.2431052288114</v>
      </c>
      <c r="J13" s="1">
        <v>1201.3177487949081</v>
      </c>
      <c r="K13" s="1">
        <v>1104.172465087574</v>
      </c>
      <c r="L13" s="1">
        <v>1135.8058710898738</v>
      </c>
      <c r="M13" s="1">
        <v>759.57133207420543</v>
      </c>
      <c r="N13" s="1">
        <v>436.02876346627215</v>
      </c>
      <c r="O13" s="1">
        <v>474.34674502082589</v>
      </c>
      <c r="P13" s="1">
        <v>0</v>
      </c>
      <c r="Q13" s="1">
        <v>0</v>
      </c>
      <c r="R13" s="1">
        <v>310.1127223555024</v>
      </c>
      <c r="S13" s="1">
        <v>474.99470084868534</v>
      </c>
      <c r="T13" s="1">
        <v>912.23833078125483</v>
      </c>
      <c r="U13" s="1">
        <v>1338.466711640212</v>
      </c>
      <c r="V13" s="1">
        <v>1614.8148100674059</v>
      </c>
      <c r="W13" s="1">
        <v>1625.4073692064383</v>
      </c>
      <c r="X13" s="1">
        <v>1626.7032808621573</v>
      </c>
      <c r="Y13" s="1">
        <v>1618.5582736197662</v>
      </c>
      <c r="Z13" s="1">
        <v>1573.7101122375655</v>
      </c>
      <c r="AA13" s="1">
        <v>1497.9600262368599</v>
      </c>
      <c r="AB13" s="8">
        <v>4</v>
      </c>
      <c r="AC13" s="8">
        <f t="shared" si="0"/>
        <v>105494.10789307868</v>
      </c>
    </row>
    <row r="14" spans="1:30" x14ac:dyDescent="0.25">
      <c r="A14" s="3">
        <v>2026</v>
      </c>
      <c r="B14" s="5" t="s">
        <v>59</v>
      </c>
      <c r="C14" s="7" t="s">
        <v>52</v>
      </c>
      <c r="D14" s="1">
        <v>1380.7126953574443</v>
      </c>
      <c r="E14" s="1">
        <v>1321.3562090832529</v>
      </c>
      <c r="F14" s="1">
        <v>1250.8189033320218</v>
      </c>
      <c r="G14" s="1">
        <v>1229.2996365700633</v>
      </c>
      <c r="H14" s="1">
        <v>1240.9992503495546</v>
      </c>
      <c r="I14" s="1">
        <v>1190.8206096733556</v>
      </c>
      <c r="J14" s="1">
        <v>905.6629145537047</v>
      </c>
      <c r="K14" s="1">
        <v>402.02863736391311</v>
      </c>
      <c r="L14" s="1">
        <v>146.34327217883813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344.75535089183063</v>
      </c>
      <c r="U14" s="1">
        <v>892.72782155909943</v>
      </c>
      <c r="V14" s="1">
        <v>1375.5274265303733</v>
      </c>
      <c r="W14" s="1">
        <v>1443.8665419897784</v>
      </c>
      <c r="X14" s="1">
        <v>1458.2965113507221</v>
      </c>
      <c r="Y14" s="1">
        <v>1481.1181122636781</v>
      </c>
      <c r="Z14" s="1">
        <v>1407.7862701925451</v>
      </c>
      <c r="AA14" s="1">
        <v>1328.9749975764576</v>
      </c>
      <c r="AB14" s="8">
        <v>6</v>
      </c>
      <c r="AC14" s="8">
        <f t="shared" si="0"/>
        <v>112806.57096489977</v>
      </c>
    </row>
    <row r="15" spans="1:30" x14ac:dyDescent="0.25">
      <c r="A15" s="3">
        <v>2026</v>
      </c>
      <c r="B15" s="5" t="s">
        <v>56</v>
      </c>
      <c r="C15" s="7" t="s">
        <v>45</v>
      </c>
      <c r="D15" s="1">
        <v>1556.7255687218017</v>
      </c>
      <c r="E15" s="1">
        <v>1503.4793936124743</v>
      </c>
      <c r="F15" s="1">
        <v>1451.7219144956184</v>
      </c>
      <c r="G15" s="1">
        <v>1428.7676980557662</v>
      </c>
      <c r="H15" s="1">
        <v>1446.6712261757384</v>
      </c>
      <c r="I15" s="1">
        <v>1470.2431335434826</v>
      </c>
      <c r="J15" s="1">
        <v>1515.5684874869448</v>
      </c>
      <c r="K15" s="1">
        <v>1635.2031250402501</v>
      </c>
      <c r="L15" s="1">
        <v>1629.947046879814</v>
      </c>
      <c r="M15" s="1">
        <v>1186.0543396042863</v>
      </c>
      <c r="N15" s="1">
        <v>906.91889644586627</v>
      </c>
      <c r="O15" s="1">
        <v>759.83428705388394</v>
      </c>
      <c r="P15" s="1">
        <v>533.95719025460107</v>
      </c>
      <c r="Q15" s="1">
        <v>615.12535348432596</v>
      </c>
      <c r="R15" s="1">
        <v>1035.7645076449692</v>
      </c>
      <c r="S15" s="1">
        <v>1408.1602507200369</v>
      </c>
      <c r="T15" s="1">
        <v>1805.4294641894826</v>
      </c>
      <c r="U15" s="1">
        <v>2078.7055916187228</v>
      </c>
      <c r="V15" s="1">
        <v>1888.5876267632543</v>
      </c>
      <c r="W15" s="1">
        <v>1817.1853701003838</v>
      </c>
      <c r="X15" s="1">
        <v>1807.9778196185953</v>
      </c>
      <c r="Y15" s="1">
        <v>1792.8691147364038</v>
      </c>
      <c r="Z15" s="1">
        <v>1691.9949373600539</v>
      </c>
      <c r="AA15" s="1">
        <v>1606.4397992766881</v>
      </c>
      <c r="AB15" s="8">
        <v>20</v>
      </c>
      <c r="AC15" s="8">
        <f t="shared" si="0"/>
        <v>691466.64285766892</v>
      </c>
    </row>
    <row r="16" spans="1:30" x14ac:dyDescent="0.25">
      <c r="A16" s="3">
        <v>2026</v>
      </c>
      <c r="B16" s="5" t="s">
        <v>56</v>
      </c>
      <c r="C16" s="7" t="s">
        <v>46</v>
      </c>
      <c r="D16" s="1">
        <v>1559.8065934763879</v>
      </c>
      <c r="E16" s="1">
        <v>1509.2589088366894</v>
      </c>
      <c r="F16" s="1">
        <v>1453.6868756034169</v>
      </c>
      <c r="G16" s="1">
        <v>1442.6241827364342</v>
      </c>
      <c r="H16" s="1">
        <v>1453.8516499013899</v>
      </c>
      <c r="I16" s="1">
        <v>1414.5669222754425</v>
      </c>
      <c r="J16" s="1">
        <v>1228.3542206416262</v>
      </c>
      <c r="K16" s="1">
        <v>1131.0588001724061</v>
      </c>
      <c r="L16" s="1">
        <v>1162.7410951888028</v>
      </c>
      <c r="M16" s="1">
        <v>785.92509062749207</v>
      </c>
      <c r="N16" s="1">
        <v>461.88249122311362</v>
      </c>
      <c r="O16" s="1">
        <v>500.25969271561041</v>
      </c>
      <c r="P16" s="1">
        <v>0</v>
      </c>
      <c r="Q16" s="1">
        <v>0</v>
      </c>
      <c r="R16" s="1">
        <v>335.77184852222626</v>
      </c>
      <c r="S16" s="1">
        <v>500.9086499507037</v>
      </c>
      <c r="T16" s="1">
        <v>938.82803417877881</v>
      </c>
      <c r="U16" s="1">
        <v>1365.7151454102659</v>
      </c>
      <c r="V16" s="1">
        <v>1642.4903361992076</v>
      </c>
      <c r="W16" s="1">
        <v>1653.0992659994652</v>
      </c>
      <c r="X16" s="1">
        <v>1654.3971804696521</v>
      </c>
      <c r="Y16" s="1">
        <v>1646.2395852253915</v>
      </c>
      <c r="Z16" s="1">
        <v>1601.3221115979691</v>
      </c>
      <c r="AA16" s="1">
        <v>1525.45495483283</v>
      </c>
      <c r="AB16" s="8">
        <v>4</v>
      </c>
      <c r="AC16" s="8">
        <f t="shared" si="0"/>
        <v>107872.9745431412</v>
      </c>
    </row>
    <row r="17" spans="1:29" x14ac:dyDescent="0.25">
      <c r="A17" s="3">
        <v>2026</v>
      </c>
      <c r="B17" s="5" t="s">
        <v>56</v>
      </c>
      <c r="C17" s="7" t="s">
        <v>52</v>
      </c>
      <c r="D17" s="1">
        <v>1399.53640719444</v>
      </c>
      <c r="E17" s="1">
        <v>1339.6780399376025</v>
      </c>
      <c r="F17" s="1">
        <v>1268.5443152514617</v>
      </c>
      <c r="G17" s="1">
        <v>1246.8430951525347</v>
      </c>
      <c r="H17" s="1">
        <v>1258.641633481453</v>
      </c>
      <c r="I17" s="1">
        <v>1208.0387138920096</v>
      </c>
      <c r="J17" s="1">
        <v>920.46990529143852</v>
      </c>
      <c r="K17" s="1">
        <v>412.57721454322558</v>
      </c>
      <c r="L17" s="1">
        <v>154.72993529648369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354.81966131112637</v>
      </c>
      <c r="U17" s="1">
        <v>907.4254413149871</v>
      </c>
      <c r="V17" s="1">
        <v>1394.3072950070632</v>
      </c>
      <c r="W17" s="1">
        <v>1463.2242428917484</v>
      </c>
      <c r="X17" s="1">
        <v>1477.7762229655395</v>
      </c>
      <c r="Y17" s="1">
        <v>1500.7907889310231</v>
      </c>
      <c r="Z17" s="1">
        <v>1426.8388990897456</v>
      </c>
      <c r="AA17" s="1">
        <v>1347.3612480973939</v>
      </c>
      <c r="AB17" s="8">
        <v>6</v>
      </c>
      <c r="AC17" s="8">
        <f t="shared" si="0"/>
        <v>114489.61835789567</v>
      </c>
    </row>
    <row r="18" spans="1:29" x14ac:dyDescent="0.25">
      <c r="A18" s="3">
        <v>2026</v>
      </c>
      <c r="B18" s="5" t="s">
        <v>25</v>
      </c>
      <c r="C18" s="7" t="s">
        <v>45</v>
      </c>
      <c r="D18" s="1">
        <v>1584.297215046372</v>
      </c>
      <c r="E18" s="1">
        <v>1531.8364875631428</v>
      </c>
      <c r="F18" s="1">
        <v>1480.8424959460312</v>
      </c>
      <c r="G18" s="1">
        <v>1458.2268828851934</v>
      </c>
      <c r="H18" s="1">
        <v>1475.8663115908557</v>
      </c>
      <c r="I18" s="1">
        <v>1499.0905038664532</v>
      </c>
      <c r="J18" s="1">
        <v>1543.7472521948857</v>
      </c>
      <c r="K18" s="1">
        <v>1661.6171293335246</v>
      </c>
      <c r="L18" s="1">
        <v>1656.4385848946226</v>
      </c>
      <c r="M18" s="1">
        <v>1219.0938497965512</v>
      </c>
      <c r="N18" s="1">
        <v>944.07600326809495</v>
      </c>
      <c r="O18" s="1">
        <v>799.16107568039797</v>
      </c>
      <c r="P18" s="1">
        <v>576.61594834383527</v>
      </c>
      <c r="Q18" s="1">
        <v>656.58677972779606</v>
      </c>
      <c r="R18" s="1">
        <v>1071.020980680044</v>
      </c>
      <c r="S18" s="1">
        <v>1437.9234211513699</v>
      </c>
      <c r="T18" s="1">
        <v>1829.3324172436846</v>
      </c>
      <c r="U18" s="1">
        <v>2098.5773802725171</v>
      </c>
      <c r="V18" s="1">
        <v>1911.2638929944096</v>
      </c>
      <c r="W18" s="1">
        <v>1840.9149088507156</v>
      </c>
      <c r="X18" s="1">
        <v>1831.8431812454669</v>
      </c>
      <c r="Y18" s="1">
        <v>1816.9573486420591</v>
      </c>
      <c r="Z18" s="1">
        <v>1717.5711914472936</v>
      </c>
      <c r="AA18" s="1">
        <v>1633.2780985713084</v>
      </c>
      <c r="AB18" s="8">
        <v>19</v>
      </c>
      <c r="AC18" s="8">
        <f t="shared" si="0"/>
        <v>670247.40748349589</v>
      </c>
    </row>
    <row r="19" spans="1:29" x14ac:dyDescent="0.25">
      <c r="A19" s="3">
        <v>2026</v>
      </c>
      <c r="B19" s="5" t="s">
        <v>25</v>
      </c>
      <c r="C19" s="7" t="s">
        <v>46</v>
      </c>
      <c r="D19" s="1">
        <v>1587.397105130894</v>
      </c>
      <c r="E19" s="1">
        <v>1536.77129970753</v>
      </c>
      <c r="F19" s="1">
        <v>1481.113380625736</v>
      </c>
      <c r="G19" s="1">
        <v>1470.0335905120173</v>
      </c>
      <c r="H19" s="1">
        <v>1481.2784095802253</v>
      </c>
      <c r="I19" s="1">
        <v>1441.9329679229606</v>
      </c>
      <c r="J19" s="1">
        <v>1255.4324770009937</v>
      </c>
      <c r="K19" s="1">
        <v>1157.9866877354912</v>
      </c>
      <c r="L19" s="1">
        <v>1189.7179473233148</v>
      </c>
      <c r="M19" s="1">
        <v>812.31957856898691</v>
      </c>
      <c r="N19" s="1">
        <v>487.77617557712546</v>
      </c>
      <c r="O19" s="1">
        <v>526.21268853120273</v>
      </c>
      <c r="P19" s="1">
        <v>0</v>
      </c>
      <c r="Q19" s="1">
        <v>0</v>
      </c>
      <c r="R19" s="1">
        <v>361.47063053191522</v>
      </c>
      <c r="S19" s="1">
        <v>526.86264872119159</v>
      </c>
      <c r="T19" s="1">
        <v>965.45883161417339</v>
      </c>
      <c r="U19" s="1">
        <v>1393.0056912773418</v>
      </c>
      <c r="V19" s="1">
        <v>1670.2086344936747</v>
      </c>
      <c r="W19" s="1">
        <v>1680.8339602557999</v>
      </c>
      <c r="X19" s="1">
        <v>1682.133880635778</v>
      </c>
      <c r="Y19" s="1">
        <v>1673.9636779350562</v>
      </c>
      <c r="Z19" s="1">
        <v>1628.976784941246</v>
      </c>
      <c r="AA19" s="1">
        <v>1552.9923764803425</v>
      </c>
      <c r="AB19" s="8">
        <v>5</v>
      </c>
      <c r="AC19" s="8">
        <f t="shared" si="0"/>
        <v>137819.39712551501</v>
      </c>
    </row>
    <row r="20" spans="1:29" x14ac:dyDescent="0.25">
      <c r="A20" s="3">
        <v>2026</v>
      </c>
      <c r="B20" s="5" t="s">
        <v>25</v>
      </c>
      <c r="C20" s="7" t="s">
        <v>52</v>
      </c>
      <c r="D20" s="1">
        <v>1418.5192804573694</v>
      </c>
      <c r="E20" s="1">
        <v>1358.1547886290791</v>
      </c>
      <c r="F20" s="1">
        <v>1286.4196020659697</v>
      </c>
      <c r="G20" s="1">
        <v>1264.534890147504</v>
      </c>
      <c r="H20" s="1">
        <v>1276.4331894693987</v>
      </c>
      <c r="I20" s="1">
        <v>1225.4024035320217</v>
      </c>
      <c r="J20" s="1">
        <v>935.40209459680921</v>
      </c>
      <c r="K20" s="1">
        <v>423.2149838329978</v>
      </c>
      <c r="L20" s="1">
        <v>163.18751074386458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364.96906918682407</v>
      </c>
      <c r="U20" s="1">
        <v>922.24733486652303</v>
      </c>
      <c r="V20" s="1">
        <v>1413.2459541979051</v>
      </c>
      <c r="W20" s="1">
        <v>1482.7456202941362</v>
      </c>
      <c r="X20" s="1">
        <v>1497.4206427263503</v>
      </c>
      <c r="Y20" s="1">
        <v>1520.6298053350479</v>
      </c>
      <c r="Z20" s="1">
        <v>1446.0526249910504</v>
      </c>
      <c r="AA20" s="1">
        <v>1365.9029611474966</v>
      </c>
      <c r="AB20" s="8">
        <v>7</v>
      </c>
      <c r="AC20" s="8">
        <f t="shared" si="0"/>
        <v>135551.37929354244</v>
      </c>
    </row>
    <row r="21" spans="1:29" x14ac:dyDescent="0.25">
      <c r="A21" s="3">
        <v>2026</v>
      </c>
      <c r="B21" s="5" t="s">
        <v>26</v>
      </c>
      <c r="C21" s="7" t="s">
        <v>45</v>
      </c>
      <c r="D21" s="1">
        <v>1611.4621451305966</v>
      </c>
      <c r="E21" s="1">
        <v>1559.7752789393849</v>
      </c>
      <c r="F21" s="1">
        <v>1509.5335124272447</v>
      </c>
      <c r="G21" s="1">
        <v>1487.2515079224186</v>
      </c>
      <c r="H21" s="1">
        <v>1504.6307330101849</v>
      </c>
      <c r="I21" s="1">
        <v>1527.5123394257939</v>
      </c>
      <c r="J21" s="1">
        <v>1571.5103449075937</v>
      </c>
      <c r="K21" s="1">
        <v>1687.6414940531527</v>
      </c>
      <c r="L21" s="1">
        <v>1682.5393396164964</v>
      </c>
      <c r="M21" s="1">
        <v>1251.6459859230795</v>
      </c>
      <c r="N21" s="1">
        <v>980.68499632841917</v>
      </c>
      <c r="O21" s="1">
        <v>837.90774502688237</v>
      </c>
      <c r="P21" s="1">
        <v>618.6454364394092</v>
      </c>
      <c r="Q21" s="1">
        <v>697.43659811866996</v>
      </c>
      <c r="R21" s="1">
        <v>1105.7573766768501</v>
      </c>
      <c r="S21" s="1">
        <v>1467.2475476229738</v>
      </c>
      <c r="T21" s="1">
        <v>1852.8827718681478</v>
      </c>
      <c r="U21" s="1">
        <v>2118.1560352093375</v>
      </c>
      <c r="V21" s="1">
        <v>1933.6056559594908</v>
      </c>
      <c r="W21" s="1">
        <v>1864.2944072490109</v>
      </c>
      <c r="X21" s="1">
        <v>1855.3564989631318</v>
      </c>
      <c r="Y21" s="1">
        <v>1840.6902509938659</v>
      </c>
      <c r="Z21" s="1">
        <v>1742.7701638233857</v>
      </c>
      <c r="AA21" s="1">
        <v>1659.7204994107592</v>
      </c>
      <c r="AB21" s="8">
        <v>19</v>
      </c>
      <c r="AC21" s="8">
        <f t="shared" si="0"/>
        <v>683404.51463587931</v>
      </c>
    </row>
    <row r="22" spans="1:29" x14ac:dyDescent="0.25">
      <c r="A22" s="3">
        <v>2026</v>
      </c>
      <c r="B22" s="5" t="s">
        <v>26</v>
      </c>
      <c r="C22" s="7" t="s">
        <v>46</v>
      </c>
      <c r="D22" s="1">
        <v>1615.0302575593059</v>
      </c>
      <c r="E22" s="1">
        <v>1564.3262106176298</v>
      </c>
      <c r="F22" s="1">
        <v>1508.5822729518618</v>
      </c>
      <c r="G22" s="1">
        <v>1497.4853591678366</v>
      </c>
      <c r="H22" s="1">
        <v>1508.747556956436</v>
      </c>
      <c r="I22" s="1">
        <v>1469.3413074351149</v>
      </c>
      <c r="J22" s="1">
        <v>1282.5525824504266</v>
      </c>
      <c r="K22" s="1">
        <v>1184.9561919956393</v>
      </c>
      <c r="L22" s="1">
        <v>1216.7364918289927</v>
      </c>
      <c r="M22" s="1">
        <v>838.75485884542525</v>
      </c>
      <c r="N22" s="1">
        <v>513.70987828070452</v>
      </c>
      <c r="O22" s="1">
        <v>552.20579436144828</v>
      </c>
      <c r="P22" s="1">
        <v>0</v>
      </c>
      <c r="Q22" s="1">
        <v>0</v>
      </c>
      <c r="R22" s="1">
        <v>387.20912967215446</v>
      </c>
      <c r="S22" s="1">
        <v>552.8567590563863</v>
      </c>
      <c r="T22" s="1">
        <v>992.13078659773498</v>
      </c>
      <c r="U22" s="1">
        <v>1420.3384143251333</v>
      </c>
      <c r="V22" s="1">
        <v>1697.9697710546238</v>
      </c>
      <c r="W22" s="1">
        <v>1708.6115181183607</v>
      </c>
      <c r="X22" s="1">
        <v>1709.9134475082374</v>
      </c>
      <c r="Y22" s="1">
        <v>1701.7306178663957</v>
      </c>
      <c r="Z22" s="1">
        <v>1656.6741982194774</v>
      </c>
      <c r="AA22" s="1">
        <v>1580.5723568518513</v>
      </c>
      <c r="AB22" s="8">
        <v>4</v>
      </c>
      <c r="AC22" s="8">
        <f t="shared" si="0"/>
        <v>112641.74304688472</v>
      </c>
    </row>
    <row r="23" spans="1:29" x14ac:dyDescent="0.25">
      <c r="A23" s="3">
        <v>2026</v>
      </c>
      <c r="B23" s="5" t="s">
        <v>26</v>
      </c>
      <c r="C23" s="7" t="s">
        <v>52</v>
      </c>
      <c r="D23" s="1">
        <v>1437.6626609147884</v>
      </c>
      <c r="E23" s="1">
        <v>1376.787765045131</v>
      </c>
      <c r="F23" s="1">
        <v>1304.4460310230584</v>
      </c>
      <c r="G23" s="1">
        <v>1282.3762757940463</v>
      </c>
      <c r="H23" s="1">
        <v>1294.3751796249057</v>
      </c>
      <c r="I23" s="1">
        <v>1242.9129095718226</v>
      </c>
      <c r="J23" s="1">
        <v>950.46054106988049</v>
      </c>
      <c r="K23" s="1">
        <v>433.94269938541856</v>
      </c>
      <c r="L23" s="1">
        <v>171.71659811088179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375.20429404930229</v>
      </c>
      <c r="U23" s="1">
        <v>937.19455299448282</v>
      </c>
      <c r="V23" s="1">
        <v>1432.344746736951</v>
      </c>
      <c r="W23" s="1">
        <v>1502.432058142118</v>
      </c>
      <c r="X23" s="1">
        <v>1517.2311633012746</v>
      </c>
      <c r="Y23" s="1">
        <v>1540.6365679395735</v>
      </c>
      <c r="Z23" s="1">
        <v>1465.4288100310432</v>
      </c>
      <c r="AA23" s="1">
        <v>1384.6014512197862</v>
      </c>
      <c r="AB23" s="8">
        <v>7</v>
      </c>
      <c r="AC23" s="8">
        <f t="shared" si="0"/>
        <v>137548.28013468126</v>
      </c>
    </row>
    <row r="24" spans="1:29" x14ac:dyDescent="0.25">
      <c r="A24" s="3">
        <v>2026</v>
      </c>
      <c r="B24" s="5" t="s">
        <v>27</v>
      </c>
      <c r="C24" s="7" t="s">
        <v>45</v>
      </c>
      <c r="D24" s="1">
        <v>1638.2263585473056</v>
      </c>
      <c r="E24" s="1">
        <v>1587.3019382269376</v>
      </c>
      <c r="F24" s="1">
        <v>1537.8013005593934</v>
      </c>
      <c r="G24" s="1">
        <v>1515.8479834674586</v>
      </c>
      <c r="H24" s="1">
        <v>1532.9708432658763</v>
      </c>
      <c r="I24" s="1">
        <v>1555.5149173910709</v>
      </c>
      <c r="J24" s="1">
        <v>1598.8638973064749</v>
      </c>
      <c r="K24" s="1">
        <v>1713.2819668697889</v>
      </c>
      <c r="L24" s="1">
        <v>1708.2550755873785</v>
      </c>
      <c r="M24" s="1">
        <v>1283.7179373604258</v>
      </c>
      <c r="N24" s="1">
        <v>1016.7539609898203</v>
      </c>
      <c r="O24" s="1">
        <v>876.08285257770876</v>
      </c>
      <c r="P24" s="1">
        <v>660.05493706014556</v>
      </c>
      <c r="Q24" s="1">
        <v>737.68383063711701</v>
      </c>
      <c r="R24" s="1">
        <v>1139.9813674216571</v>
      </c>
      <c r="S24" s="1">
        <v>1496.1391065819398</v>
      </c>
      <c r="T24" s="1">
        <v>1876.0857293303625</v>
      </c>
      <c r="U24" s="1">
        <v>2137.4458805178465</v>
      </c>
      <c r="V24" s="1">
        <v>1955.6178499997104</v>
      </c>
      <c r="W24" s="1">
        <v>1887.3290288279177</v>
      </c>
      <c r="X24" s="1">
        <v>1878.5229658592098</v>
      </c>
      <c r="Y24" s="1">
        <v>1864.073063376311</v>
      </c>
      <c r="Z24" s="1">
        <v>1767.5974198650692</v>
      </c>
      <c r="AA24" s="1">
        <v>1685.7728417920193</v>
      </c>
      <c r="AB24" s="8">
        <v>22</v>
      </c>
      <c r="AC24" s="8">
        <f t="shared" si="0"/>
        <v>806320.30717521685</v>
      </c>
    </row>
    <row r="25" spans="1:29" x14ac:dyDescent="0.25">
      <c r="A25" s="3">
        <v>2026</v>
      </c>
      <c r="B25" s="5" t="s">
        <v>27</v>
      </c>
      <c r="C25" s="7" t="s">
        <v>46</v>
      </c>
      <c r="D25" s="1">
        <v>1642.7061166623805</v>
      </c>
      <c r="E25" s="1">
        <v>1591.9237072811518</v>
      </c>
      <c r="F25" s="1">
        <v>1536.0936180908166</v>
      </c>
      <c r="G25" s="1">
        <v>1524.9795541720769</v>
      </c>
      <c r="H25" s="1">
        <v>1536.2591575396521</v>
      </c>
      <c r="I25" s="1">
        <v>1496.7920061765183</v>
      </c>
      <c r="J25" s="1">
        <v>1309.714601667145</v>
      </c>
      <c r="K25" s="1">
        <v>1211.96737727091</v>
      </c>
      <c r="L25" s="1">
        <v>1243.7967931408496</v>
      </c>
      <c r="M25" s="1">
        <v>865.23099450082577</v>
      </c>
      <c r="N25" s="1">
        <v>539.68366118168524</v>
      </c>
      <c r="O25" s="1">
        <v>578.23907219584862</v>
      </c>
      <c r="P25" s="1">
        <v>0</v>
      </c>
      <c r="Q25" s="1">
        <v>0</v>
      </c>
      <c r="R25" s="1">
        <v>412.98740732524834</v>
      </c>
      <c r="S25" s="1">
        <v>578.89104294818515</v>
      </c>
      <c r="T25" s="1">
        <v>1018.8439627379146</v>
      </c>
      <c r="U25" s="1">
        <v>1447.7133797379197</v>
      </c>
      <c r="V25" s="1">
        <v>1725.773812088034</v>
      </c>
      <c r="W25" s="1">
        <v>1736.4320058322887</v>
      </c>
      <c r="X25" s="1">
        <v>1737.7359473369622</v>
      </c>
      <c r="Y25" s="1">
        <v>1729.540471239229</v>
      </c>
      <c r="Z25" s="1">
        <v>1684.4144174866722</v>
      </c>
      <c r="AA25" s="1">
        <v>1608.1949617213063</v>
      </c>
      <c r="AB25" s="8">
        <v>4</v>
      </c>
      <c r="AC25" s="8">
        <f t="shared" si="0"/>
        <v>115031.65627333449</v>
      </c>
    </row>
    <row r="26" spans="1:29" x14ac:dyDescent="0.25">
      <c r="A26" s="3">
        <v>2026</v>
      </c>
      <c r="B26" s="5" t="s">
        <v>27</v>
      </c>
      <c r="C26" s="7" t="s">
        <v>52</v>
      </c>
      <c r="D26" s="1">
        <v>1456.967905714223</v>
      </c>
      <c r="E26" s="1">
        <v>1395.5782901487869</v>
      </c>
      <c r="F26" s="1">
        <v>1322.6248800852859</v>
      </c>
      <c r="G26" s="1">
        <v>1300.3685169362911</v>
      </c>
      <c r="H26" s="1">
        <v>1312.4688759243427</v>
      </c>
      <c r="I26" s="1">
        <v>1260.5714733982195</v>
      </c>
      <c r="J26" s="1">
        <v>965.64631226157007</v>
      </c>
      <c r="K26" s="1">
        <v>444.76112172931158</v>
      </c>
      <c r="L26" s="1">
        <v>180.31780205719011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385.52606151283436</v>
      </c>
      <c r="U26" s="1">
        <v>952.26815536438096</v>
      </c>
      <c r="V26" s="1">
        <v>1451.6050266107186</v>
      </c>
      <c r="W26" s="1">
        <v>1522.2849520826371</v>
      </c>
      <c r="X26" s="1">
        <v>1537.2091891339555</v>
      </c>
      <c r="Y26" s="1">
        <v>1560.8124951005916</v>
      </c>
      <c r="Z26" s="1">
        <v>1484.9688278616577</v>
      </c>
      <c r="AA26" s="1">
        <v>1403.4580439218057</v>
      </c>
      <c r="AB26" s="8">
        <v>5</v>
      </c>
      <c r="AC26" s="8">
        <f t="shared" si="0"/>
        <v>99687.189649218999</v>
      </c>
    </row>
    <row r="27" spans="1:29" x14ac:dyDescent="0.25">
      <c r="A27" s="3">
        <v>2026</v>
      </c>
      <c r="B27" s="5" t="s">
        <v>28</v>
      </c>
      <c r="C27" s="7" t="s">
        <v>45</v>
      </c>
      <c r="D27" s="1">
        <v>1664.5957663681315</v>
      </c>
      <c r="E27" s="1">
        <v>1614.4225448891625</v>
      </c>
      <c r="F27" s="1">
        <v>1565.6521034895472</v>
      </c>
      <c r="G27" s="1">
        <v>1544.0226252603929</v>
      </c>
      <c r="H27" s="1">
        <v>1560.8929014778669</v>
      </c>
      <c r="I27" s="1">
        <v>1583.1044223357544</v>
      </c>
      <c r="J27" s="1">
        <v>1625.8139506229727</v>
      </c>
      <c r="K27" s="1">
        <v>1738.5442106687633</v>
      </c>
      <c r="L27" s="1">
        <v>1733.5914723150154</v>
      </c>
      <c r="M27" s="1">
        <v>1315.3167874328556</v>
      </c>
      <c r="N27" s="1">
        <v>1052.2908633460709</v>
      </c>
      <c r="O27" s="1">
        <v>913.69482958365995</v>
      </c>
      <c r="P27" s="1">
        <v>700.85359579611406</v>
      </c>
      <c r="Q27" s="1">
        <v>777.33736617782381</v>
      </c>
      <c r="R27" s="1">
        <v>1173.7005115322986</v>
      </c>
      <c r="S27" s="1">
        <v>1524.604478939671</v>
      </c>
      <c r="T27" s="1">
        <v>1898.9464141726244</v>
      </c>
      <c r="U27" s="1">
        <v>2156.4511765009956</v>
      </c>
      <c r="V27" s="1">
        <v>1977.3053366685817</v>
      </c>
      <c r="W27" s="1">
        <v>1910.0238609515245</v>
      </c>
      <c r="X27" s="1">
        <v>1901.3476984167883</v>
      </c>
      <c r="Y27" s="1">
        <v>1887.1109500539596</v>
      </c>
      <c r="Z27" s="1">
        <v>1792.0584428528214</v>
      </c>
      <c r="AA27" s="1">
        <v>1711.4408795648146</v>
      </c>
      <c r="AB27" s="8">
        <v>19</v>
      </c>
      <c r="AC27" s="8">
        <f t="shared" si="0"/>
        <v>709139.34059894609</v>
      </c>
    </row>
    <row r="28" spans="1:29" x14ac:dyDescent="0.25">
      <c r="A28" s="3">
        <v>2026</v>
      </c>
      <c r="B28" s="5" t="s">
        <v>28</v>
      </c>
      <c r="C28" s="7" t="s">
        <v>46</v>
      </c>
      <c r="D28" s="1">
        <v>1670.4247484427235</v>
      </c>
      <c r="E28" s="1">
        <v>1619.5638555138196</v>
      </c>
      <c r="F28" s="1">
        <v>1563.6474816528657</v>
      </c>
      <c r="G28" s="1">
        <v>1552.5162410941032</v>
      </c>
      <c r="H28" s="1">
        <v>1563.8132769407482</v>
      </c>
      <c r="I28" s="1">
        <v>1524.285129612804</v>
      </c>
      <c r="J28" s="1">
        <v>1336.9185994283264</v>
      </c>
      <c r="K28" s="1">
        <v>1239.0203079787655</v>
      </c>
      <c r="L28" s="1">
        <v>1270.8989157934816</v>
      </c>
      <c r="M28" s="1">
        <v>891.74804867664091</v>
      </c>
      <c r="N28" s="1">
        <v>565.69758622348706</v>
      </c>
      <c r="O28" s="1">
        <v>604.3125841197093</v>
      </c>
      <c r="P28" s="1">
        <v>0</v>
      </c>
      <c r="Q28" s="1">
        <v>0</v>
      </c>
      <c r="R28" s="1">
        <v>438.8055249683668</v>
      </c>
      <c r="S28" s="1">
        <v>604.96556248429283</v>
      </c>
      <c r="T28" s="1">
        <v>1045.5984237414691</v>
      </c>
      <c r="U28" s="1">
        <v>1475.1306528007224</v>
      </c>
      <c r="V28" s="1">
        <v>1753.6208239022046</v>
      </c>
      <c r="W28" s="1">
        <v>1764.2954897451061</v>
      </c>
      <c r="X28" s="1">
        <v>1765.6014464742736</v>
      </c>
      <c r="Y28" s="1">
        <v>1757.393304375717</v>
      </c>
      <c r="Z28" s="1">
        <v>1712.1975088989248</v>
      </c>
      <c r="AA28" s="1">
        <v>1635.8602569643099</v>
      </c>
      <c r="AB28" s="8">
        <v>5</v>
      </c>
      <c r="AC28" s="8">
        <f t="shared" si="0"/>
        <v>146781.57884916433</v>
      </c>
    </row>
    <row r="29" spans="1:29" x14ac:dyDescent="0.25">
      <c r="A29" s="3">
        <v>2026</v>
      </c>
      <c r="B29" s="5" t="s">
        <v>28</v>
      </c>
      <c r="C29" s="7" t="s">
        <v>52</v>
      </c>
      <c r="D29" s="1">
        <v>1476.4363834783821</v>
      </c>
      <c r="E29" s="1">
        <v>1414.5276960723063</v>
      </c>
      <c r="F29" s="1">
        <v>1340.9574380208551</v>
      </c>
      <c r="G29" s="1">
        <v>1318.5128891130917</v>
      </c>
      <c r="H29" s="1">
        <v>1330.7155610991067</v>
      </c>
      <c r="I29" s="1">
        <v>1278.3793468944032</v>
      </c>
      <c r="J29" s="1">
        <v>980.96048474933229</v>
      </c>
      <c r="K29" s="1">
        <v>455.67101782405217</v>
      </c>
      <c r="L29" s="1">
        <v>188.99173235506464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395.93510332702982</v>
      </c>
      <c r="U29" s="1">
        <v>967.46921060159468</v>
      </c>
      <c r="V29" s="1">
        <v>1471.0281592541805</v>
      </c>
      <c r="W29" s="1">
        <v>1542.3057095633467</v>
      </c>
      <c r="X29" s="1">
        <v>1557.3561365431246</v>
      </c>
      <c r="Y29" s="1">
        <v>1581.1590171668167</v>
      </c>
      <c r="Z29" s="1">
        <v>1504.6740637495618</v>
      </c>
      <c r="AA29" s="1">
        <v>1422.4740760695991</v>
      </c>
      <c r="AB29" s="8">
        <v>7</v>
      </c>
      <c r="AC29" s="8">
        <f t="shared" si="0"/>
        <v>141592.87818117294</v>
      </c>
    </row>
    <row r="30" spans="1:29" x14ac:dyDescent="0.25">
      <c r="A30" s="3">
        <v>2026</v>
      </c>
      <c r="B30" s="5" t="s">
        <v>29</v>
      </c>
      <c r="C30" s="7" t="s">
        <v>45</v>
      </c>
      <c r="D30" s="1">
        <v>1690.5761924690132</v>
      </c>
      <c r="E30" s="1">
        <v>1641.1430887097381</v>
      </c>
      <c r="F30" s="1">
        <v>1593.0920722705532</v>
      </c>
      <c r="G30" s="1">
        <v>1571.7816558762433</v>
      </c>
      <c r="H30" s="1">
        <v>1588.4030744362531</v>
      </c>
      <c r="I30" s="1">
        <v>1610.2869476031274</v>
      </c>
      <c r="J30" s="1">
        <v>1652.3664569728162</v>
      </c>
      <c r="K30" s="1">
        <v>1763.4338048007694</v>
      </c>
      <c r="L30" s="1">
        <v>1758.5541255273151</v>
      </c>
      <c r="M30" s="1">
        <v>1346.4495149767495</v>
      </c>
      <c r="N30" s="1">
        <v>1087.3035519811051</v>
      </c>
      <c r="O30" s="1">
        <v>950.75198292403286</v>
      </c>
      <c r="P30" s="1">
        <v>741.0504233285011</v>
      </c>
      <c r="Q30" s="1">
        <v>816.40596251317186</v>
      </c>
      <c r="R30" s="1">
        <v>1206.9222561275501</v>
      </c>
      <c r="S30" s="1">
        <v>1552.649951481153</v>
      </c>
      <c r="T30" s="1">
        <v>1921.4698753438252</v>
      </c>
      <c r="U30" s="1">
        <v>2175.1761206169431</v>
      </c>
      <c r="V30" s="1">
        <v>1998.672905805628</v>
      </c>
      <c r="W30" s="1">
        <v>1932.3839159389408</v>
      </c>
      <c r="X30" s="1">
        <v>1923.8357376444351</v>
      </c>
      <c r="Y30" s="1">
        <v>1909.8089991120214</v>
      </c>
      <c r="Z30" s="1">
        <v>1816.1586351818787</v>
      </c>
      <c r="AA30" s="1">
        <v>1736.7302817023956</v>
      </c>
      <c r="AB30" s="8">
        <v>22</v>
      </c>
      <c r="AC30" s="8">
        <f t="shared" si="0"/>
        <v>835678.96573357144</v>
      </c>
    </row>
    <row r="31" spans="1:29" x14ac:dyDescent="0.25">
      <c r="A31" s="3">
        <v>2026</v>
      </c>
      <c r="B31" s="5" t="s">
        <v>29</v>
      </c>
      <c r="C31" s="7" t="s">
        <v>46</v>
      </c>
      <c r="D31" s="1">
        <v>1698.1862190049465</v>
      </c>
      <c r="E31" s="1">
        <v>1647.2467212330737</v>
      </c>
      <c r="F31" s="1">
        <v>1591.2439293496745</v>
      </c>
      <c r="G31" s="1">
        <v>1580.0954856046171</v>
      </c>
      <c r="H31" s="1">
        <v>1591.409980872</v>
      </c>
      <c r="I31" s="1">
        <v>1551.8207433107814</v>
      </c>
      <c r="J31" s="1">
        <v>1364.1646406112609</v>
      </c>
      <c r="K31" s="1">
        <v>1266.1150486362242</v>
      </c>
      <c r="L31" s="1">
        <v>1298.0429244212223</v>
      </c>
      <c r="M31" s="1">
        <v>918.30608461190718</v>
      </c>
      <c r="N31" s="1">
        <v>591.75171544526211</v>
      </c>
      <c r="O31" s="1">
        <v>630.42639231428791</v>
      </c>
      <c r="P31" s="1">
        <v>0</v>
      </c>
      <c r="Q31" s="1">
        <v>0</v>
      </c>
      <c r="R31" s="1">
        <v>464.66354417369189</v>
      </c>
      <c r="S31" s="1">
        <v>631.08037984836994</v>
      </c>
      <c r="T31" s="1">
        <v>1072.3942334136134</v>
      </c>
      <c r="U31" s="1">
        <v>1502.5902988994596</v>
      </c>
      <c r="V31" s="1">
        <v>1781.5108729079136</v>
      </c>
      <c r="W31" s="1">
        <v>1792.2020363068746</v>
      </c>
      <c r="X31" s="1">
        <v>1793.5100113750391</v>
      </c>
      <c r="Y31" s="1">
        <v>1785.2891837005209</v>
      </c>
      <c r="Z31" s="1">
        <v>1740.0235387145731</v>
      </c>
      <c r="AA31" s="1">
        <v>1663.5683085582746</v>
      </c>
      <c r="AB31" s="8">
        <v>4</v>
      </c>
      <c r="AC31" s="8">
        <f t="shared" si="0"/>
        <v>119822.56917325435</v>
      </c>
    </row>
    <row r="32" spans="1:29" x14ac:dyDescent="0.25">
      <c r="A32" s="3">
        <v>2026</v>
      </c>
      <c r="B32" s="5" t="s">
        <v>29</v>
      </c>
      <c r="C32" s="7" t="s">
        <v>52</v>
      </c>
      <c r="D32" s="1">
        <v>1496.0694744021844</v>
      </c>
      <c r="E32" s="1">
        <v>1433.6373262116181</v>
      </c>
      <c r="F32" s="1">
        <v>1359.445004494979</v>
      </c>
      <c r="G32" s="1">
        <v>1336.8106786484523</v>
      </c>
      <c r="H32" s="1">
        <v>1349.1165287265621</v>
      </c>
      <c r="I32" s="1">
        <v>1296.3377925286986</v>
      </c>
      <c r="J32" s="1">
        <v>996.40414421348089</v>
      </c>
      <c r="K32" s="1">
        <v>466.67316111394007</v>
      </c>
      <c r="L32" s="1">
        <v>197.73900393263003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406.43215742871109</v>
      </c>
      <c r="U32" s="1">
        <v>982.7987963671228</v>
      </c>
      <c r="V32" s="1">
        <v>1490.6155216475663</v>
      </c>
      <c r="W32" s="1">
        <v>1562.4957499323882</v>
      </c>
      <c r="X32" s="1">
        <v>1577.6734338230108</v>
      </c>
      <c r="Y32" s="1">
        <v>1601.6775765810894</v>
      </c>
      <c r="Z32" s="1">
        <v>1524.5459146743633</v>
      </c>
      <c r="AA32" s="1">
        <v>1441.6508957824831</v>
      </c>
      <c r="AB32" s="8">
        <v>4</v>
      </c>
      <c r="AC32" s="8">
        <f t="shared" si="0"/>
        <v>82080.492642037119</v>
      </c>
    </row>
    <row r="33" spans="1:29" x14ac:dyDescent="0.25">
      <c r="A33" s="3">
        <v>2026</v>
      </c>
      <c r="B33" s="5" t="s">
        <v>30</v>
      </c>
      <c r="C33" s="7" t="s">
        <v>45</v>
      </c>
      <c r="D33" s="1">
        <v>1716.1733748164411</v>
      </c>
      <c r="E33" s="1">
        <v>1667.4694711155485</v>
      </c>
      <c r="F33" s="1">
        <v>1620.1272672195419</v>
      </c>
      <c r="G33" s="1">
        <v>1599.1312060992723</v>
      </c>
      <c r="H33" s="1">
        <v>1615.5074379632697</v>
      </c>
      <c r="I33" s="1">
        <v>1637.0684966520439</v>
      </c>
      <c r="J33" s="1">
        <v>1678.5272806705889</v>
      </c>
      <c r="K33" s="1">
        <v>1787.956246314106</v>
      </c>
      <c r="L33" s="1">
        <v>1783.1485484082073</v>
      </c>
      <c r="M33" s="1">
        <v>1377.1229958819299</v>
      </c>
      <c r="N33" s="1">
        <v>1121.7997597024355</v>
      </c>
      <c r="O33" s="1">
        <v>987.26249694127341</v>
      </c>
      <c r="P33" s="1">
        <v>780.65429741968489</v>
      </c>
      <c r="Q33" s="1">
        <v>854.89824822745504</v>
      </c>
      <c r="R33" s="1">
        <v>1239.6539384718776</v>
      </c>
      <c r="S33" s="1">
        <v>1580.2817182534359</v>
      </c>
      <c r="T33" s="1">
        <v>1943.6610873145505</v>
      </c>
      <c r="U33" s="1">
        <v>2193.6248484060934</v>
      </c>
      <c r="V33" s="1">
        <v>2019.7252765942535</v>
      </c>
      <c r="W33" s="1">
        <v>1954.4141321713064</v>
      </c>
      <c r="X33" s="1">
        <v>1945.9920501895422</v>
      </c>
      <c r="Y33" s="1">
        <v>1932.1722235800894</v>
      </c>
      <c r="Z33" s="1">
        <v>1839.9033195553975</v>
      </c>
      <c r="AA33" s="1">
        <v>1761.6466335535738</v>
      </c>
      <c r="AB33" s="8">
        <v>21</v>
      </c>
      <c r="AC33" s="8">
        <f t="shared" si="0"/>
        <v>811396.36946596031</v>
      </c>
    </row>
    <row r="34" spans="1:29" x14ac:dyDescent="0.25">
      <c r="A34" s="3">
        <v>2026</v>
      </c>
      <c r="B34" s="5" t="s">
        <v>30</v>
      </c>
      <c r="C34" s="7" t="s">
        <v>46</v>
      </c>
      <c r="D34" s="1">
        <v>1725.9905945558251</v>
      </c>
      <c r="E34" s="1">
        <v>1674.9723704582295</v>
      </c>
      <c r="F34" s="1">
        <v>1618.8830269944647</v>
      </c>
      <c r="G34" s="1">
        <v>1607.7173534758138</v>
      </c>
      <c r="H34" s="1">
        <v>1619.0493351472401</v>
      </c>
      <c r="I34" s="1">
        <v>1579.398912938593</v>
      </c>
      <c r="J34" s="1">
        <v>1391.4527901935051</v>
      </c>
      <c r="K34" s="1">
        <v>1293.251663860015</v>
      </c>
      <c r="L34" s="1">
        <v>1325.2288837582971</v>
      </c>
      <c r="M34" s="1">
        <v>944.90516564339646</v>
      </c>
      <c r="N34" s="1">
        <v>617.84611098204323</v>
      </c>
      <c r="O34" s="1">
        <v>656.58055905694243</v>
      </c>
      <c r="P34" s="1">
        <v>0</v>
      </c>
      <c r="Q34" s="1">
        <v>0</v>
      </c>
      <c r="R34" s="1">
        <v>490.56152660856469</v>
      </c>
      <c r="S34" s="1">
        <v>657.23555732018121</v>
      </c>
      <c r="T34" s="1">
        <v>1099.2314556581725</v>
      </c>
      <c r="U34" s="1">
        <v>1530.0923835211026</v>
      </c>
      <c r="V34" s="1">
        <v>1809.4440256185762</v>
      </c>
      <c r="W34" s="1">
        <v>1820.1517120703531</v>
      </c>
      <c r="X34" s="1">
        <v>1821.4617085968312</v>
      </c>
      <c r="Y34" s="1">
        <v>1813.2281757409601</v>
      </c>
      <c r="Z34" s="1">
        <v>1767.8925732943562</v>
      </c>
      <c r="AA34" s="1">
        <v>1691.31918258258</v>
      </c>
      <c r="AB34" s="8">
        <v>5</v>
      </c>
      <c r="AC34" s="8">
        <f t="shared" si="0"/>
        <v>152779.47534038028</v>
      </c>
    </row>
    <row r="35" spans="1:29" x14ac:dyDescent="0.25">
      <c r="A35" s="3">
        <v>2026</v>
      </c>
      <c r="B35" s="5" t="s">
        <v>30</v>
      </c>
      <c r="C35" s="7" t="s">
        <v>52</v>
      </c>
      <c r="D35" s="1">
        <v>1515.8685703506053</v>
      </c>
      <c r="E35" s="1">
        <v>1452.9085353215587</v>
      </c>
      <c r="F35" s="1">
        <v>1378.0888901620201</v>
      </c>
      <c r="G35" s="1">
        <v>1355.2631827427208</v>
      </c>
      <c r="H35" s="1">
        <v>1367.6730833217475</v>
      </c>
      <c r="I35" s="1">
        <v>1314.448083444066</v>
      </c>
      <c r="J35" s="1">
        <v>1011.9783855141573</v>
      </c>
      <c r="K35" s="1">
        <v>477.76833158303185</v>
      </c>
      <c r="L35" s="1">
        <v>206.56023691745494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417.01796799422863</v>
      </c>
      <c r="U35" s="1">
        <v>998.25799943398545</v>
      </c>
      <c r="V35" s="1">
        <v>1510.3685024139809</v>
      </c>
      <c r="W35" s="1">
        <v>1582.8565045390155</v>
      </c>
      <c r="X35" s="1">
        <v>1598.1625213445977</v>
      </c>
      <c r="Y35" s="1">
        <v>1622.3696279826363</v>
      </c>
      <c r="Z35" s="1">
        <v>1544.5857894276487</v>
      </c>
      <c r="AA35" s="1">
        <v>1460.9898625786204</v>
      </c>
      <c r="AB35" s="8">
        <v>5</v>
      </c>
      <c r="AC35" s="8">
        <f t="shared" si="0"/>
        <v>104075.83037536038</v>
      </c>
    </row>
    <row r="36" spans="1:29" x14ac:dyDescent="0.25">
      <c r="A36" s="3">
        <v>2026</v>
      </c>
      <c r="B36" s="5" t="s">
        <v>31</v>
      </c>
      <c r="C36" s="7" t="s">
        <v>45</v>
      </c>
      <c r="D36" s="1">
        <v>1741.3929667347288</v>
      </c>
      <c r="E36" s="1">
        <v>1693.4075064800563</v>
      </c>
      <c r="F36" s="1">
        <v>1646.7636592563931</v>
      </c>
      <c r="G36" s="1">
        <v>1626.0773162770129</v>
      </c>
      <c r="H36" s="1">
        <v>1642.2119782551808</v>
      </c>
      <c r="I36" s="1">
        <v>1663.4549843828372</v>
      </c>
      <c r="J36" s="1">
        <v>1704.3021995249055</v>
      </c>
      <c r="K36" s="1">
        <v>1812.1169511687394</v>
      </c>
      <c r="L36" s="1">
        <v>1807.3801728152671</v>
      </c>
      <c r="M36" s="1">
        <v>1407.3440046102514</v>
      </c>
      <c r="N36" s="1">
        <v>1155.787105249</v>
      </c>
      <c r="O36" s="1">
        <v>1023.2344352485483</v>
      </c>
      <c r="P36" s="1">
        <v>819.67396487395365</v>
      </c>
      <c r="Q36" s="1">
        <v>892.82272462256549</v>
      </c>
      <c r="R36" s="1">
        <v>1271.9027875959264</v>
      </c>
      <c r="S36" s="1">
        <v>1607.5058819336355</v>
      </c>
      <c r="T36" s="1">
        <v>1965.5249511757288</v>
      </c>
      <c r="U36" s="1">
        <v>2211.8014344044623</v>
      </c>
      <c r="V36" s="1">
        <v>2040.4670986040096</v>
      </c>
      <c r="W36" s="1">
        <v>1976.1193751824667</v>
      </c>
      <c r="X36" s="1">
        <v>1967.8215294352449</v>
      </c>
      <c r="Y36" s="1">
        <v>1954.2055625393059</v>
      </c>
      <c r="Z36" s="1">
        <v>1863.2977401600101</v>
      </c>
      <c r="AA36" s="1">
        <v>1786.1954380762845</v>
      </c>
      <c r="AB36" s="8">
        <v>19</v>
      </c>
      <c r="AC36" s="8">
        <f t="shared" si="0"/>
        <v>746335.42360352364</v>
      </c>
    </row>
    <row r="37" spans="1:29" x14ac:dyDescent="0.25">
      <c r="A37" s="3">
        <v>2026</v>
      </c>
      <c r="B37" s="5" t="s">
        <v>31</v>
      </c>
      <c r="C37" s="7" t="s">
        <v>46</v>
      </c>
      <c r="D37" s="1">
        <v>1753.8379414044564</v>
      </c>
      <c r="E37" s="1">
        <v>1702.7408693106343</v>
      </c>
      <c r="F37" s="1">
        <v>1646.5648405021714</v>
      </c>
      <c r="G37" s="1">
        <v>1635.3819105815378</v>
      </c>
      <c r="H37" s="1">
        <v>1646.7314056820157</v>
      </c>
      <c r="I37" s="1">
        <v>1607.0197042658699</v>
      </c>
      <c r="J37" s="1">
        <v>1418.783113253038</v>
      </c>
      <c r="K37" s="1">
        <v>1320.430218366731</v>
      </c>
      <c r="L37" s="1">
        <v>1352.4568586389769</v>
      </c>
      <c r="M37" s="1">
        <v>971.54535520576655</v>
      </c>
      <c r="N37" s="1">
        <v>643.98083506489218</v>
      </c>
      <c r="O37" s="1">
        <v>682.77514672127961</v>
      </c>
      <c r="P37" s="1">
        <v>0</v>
      </c>
      <c r="Q37" s="1">
        <v>0</v>
      </c>
      <c r="R37" s="1">
        <v>516.49953403563222</v>
      </c>
      <c r="S37" s="1">
        <v>683.43115727574366</v>
      </c>
      <c r="T37" s="1">
        <v>1126.1101544777341</v>
      </c>
      <c r="U37" s="1">
        <v>1557.6369722538318</v>
      </c>
      <c r="V37" s="1">
        <v>1837.4203486504032</v>
      </c>
      <c r="W37" s="1">
        <v>1848.1445836911575</v>
      </c>
      <c r="X37" s="1">
        <v>1849.4566048000863</v>
      </c>
      <c r="Y37" s="1">
        <v>1841.2103471271712</v>
      </c>
      <c r="Z37" s="1">
        <v>1795.8046791015734</v>
      </c>
      <c r="AA37" s="1">
        <v>1719.1129452187306</v>
      </c>
      <c r="AB37" s="8">
        <v>4</v>
      </c>
      <c r="AC37" s="8">
        <f t="shared" si="0"/>
        <v>124628.30210251774</v>
      </c>
    </row>
    <row r="38" spans="1:29" x14ac:dyDescent="0.25">
      <c r="A38" s="3">
        <v>2026</v>
      </c>
      <c r="B38" s="5" t="s">
        <v>31</v>
      </c>
      <c r="C38" s="7" t="s">
        <v>52</v>
      </c>
      <c r="D38" s="1">
        <v>1535.8350749573519</v>
      </c>
      <c r="E38" s="1">
        <v>1472.3426896119163</v>
      </c>
      <c r="F38" s="1">
        <v>1396.890416758406</v>
      </c>
      <c r="G38" s="1">
        <v>1373.8717095645534</v>
      </c>
      <c r="H38" s="1">
        <v>1386.3865404298572</v>
      </c>
      <c r="I38" s="1">
        <v>1332.7115035483585</v>
      </c>
      <c r="J38" s="1">
        <v>1027.684312768949</v>
      </c>
      <c r="K38" s="1">
        <v>488.95731581043697</v>
      </c>
      <c r="L38" s="1">
        <v>215.45605668051539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427.69328549221831</v>
      </c>
      <c r="U38" s="1">
        <v>1013.8479157642695</v>
      </c>
      <c r="V38" s="1">
        <v>1530.2885019178498</v>
      </c>
      <c r="W38" s="1">
        <v>1603.3894168350685</v>
      </c>
      <c r="X38" s="1">
        <v>1618.8248516577364</v>
      </c>
      <c r="Y38" s="1">
        <v>1643.2366383101948</v>
      </c>
      <c r="Z38" s="1">
        <v>1564.7951087128563</v>
      </c>
      <c r="AA38" s="1">
        <v>1480.4923474714014</v>
      </c>
      <c r="AB38" s="8">
        <v>7</v>
      </c>
      <c r="AC38" s="8">
        <f t="shared" si="0"/>
        <v>147788.92580404357</v>
      </c>
    </row>
    <row r="39" spans="1:29" x14ac:dyDescent="0.25">
      <c r="A39" s="3">
        <v>2026</v>
      </c>
      <c r="B39" s="5" t="s">
        <v>32</v>
      </c>
      <c r="C39" s="7" t="s">
        <v>45</v>
      </c>
      <c r="D39" s="1">
        <v>1766.2405381545918</v>
      </c>
      <c r="E39" s="1">
        <v>1718.9629234074487</v>
      </c>
      <c r="F39" s="1">
        <v>1673.0071312224563</v>
      </c>
      <c r="G39" s="1">
        <v>1652.6259376543235</v>
      </c>
      <c r="H39" s="1">
        <v>1668.522593204375</v>
      </c>
      <c r="I39" s="1">
        <v>1689.4522384436691</v>
      </c>
      <c r="J39" s="1">
        <v>1729.6969061144837</v>
      </c>
      <c r="K39" s="1">
        <v>1835.9212554324577</v>
      </c>
      <c r="L39" s="1">
        <v>1831.2543504793834</v>
      </c>
      <c r="M39" s="1">
        <v>1437.1192156917896</v>
      </c>
      <c r="N39" s="1">
        <v>1189.2730949738152</v>
      </c>
      <c r="O39" s="1">
        <v>1058.6757425106525</v>
      </c>
      <c r="P39" s="1">
        <v>858.11804346930126</v>
      </c>
      <c r="Q39" s="1">
        <v>930.1877675955684</v>
      </c>
      <c r="R39" s="1">
        <v>1303.6759258931061</v>
      </c>
      <c r="S39" s="1">
        <v>1634.3284551767524</v>
      </c>
      <c r="T39" s="1">
        <v>1987.066295721072</v>
      </c>
      <c r="U39" s="1">
        <v>2229.7098930435668</v>
      </c>
      <c r="V39" s="1">
        <v>2060.9029528174865</v>
      </c>
      <c r="W39" s="1">
        <v>1997.5044387335624</v>
      </c>
      <c r="X39" s="1">
        <v>1989.3289965811623</v>
      </c>
      <c r="Y39" s="1">
        <v>1975.9138822131931</v>
      </c>
      <c r="Z39" s="1">
        <v>1886.3470638240424</v>
      </c>
      <c r="AA39" s="1">
        <v>1810.3821170529573</v>
      </c>
      <c r="AB39" s="8">
        <v>21</v>
      </c>
      <c r="AC39" s="8">
        <f t="shared" si="0"/>
        <v>838198.57294763555</v>
      </c>
    </row>
    <row r="40" spans="1:29" x14ac:dyDescent="0.25">
      <c r="A40" s="3">
        <v>2026</v>
      </c>
      <c r="B40" s="5" t="s">
        <v>32</v>
      </c>
      <c r="C40" s="7" t="s">
        <v>46</v>
      </c>
      <c r="D40" s="1">
        <v>1781.7283259624176</v>
      </c>
      <c r="E40" s="1">
        <v>1730.5522840138249</v>
      </c>
      <c r="F40" s="1">
        <v>1674.2894358896006</v>
      </c>
      <c r="G40" s="1">
        <v>1663.0892228974415</v>
      </c>
      <c r="H40" s="1">
        <v>1674.456258493746</v>
      </c>
      <c r="I40" s="1">
        <v>1634.6831831638899</v>
      </c>
      <c r="J40" s="1">
        <v>1446.1556749684157</v>
      </c>
      <c r="K40" s="1">
        <v>1347.6507769729837</v>
      </c>
      <c r="L40" s="1">
        <v>1379.7269139977334</v>
      </c>
      <c r="M40" s="1">
        <v>998.22671683171279</v>
      </c>
      <c r="N40" s="1">
        <v>670.15595002104794</v>
      </c>
      <c r="O40" s="1">
        <v>709.01021777730364</v>
      </c>
      <c r="P40" s="1">
        <v>0</v>
      </c>
      <c r="Q40" s="1">
        <v>0</v>
      </c>
      <c r="R40" s="1">
        <v>542.47762831299519</v>
      </c>
      <c r="S40" s="1">
        <v>709.66724218747595</v>
      </c>
      <c r="T40" s="1">
        <v>1153.0303939738008</v>
      </c>
      <c r="U40" s="1">
        <v>1585.2241307871936</v>
      </c>
      <c r="V40" s="1">
        <v>1865.4399087225597</v>
      </c>
      <c r="W40" s="1">
        <v>1876.1807179279187</v>
      </c>
      <c r="X40" s="1">
        <v>1877.4947667482638</v>
      </c>
      <c r="Y40" s="1">
        <v>1869.2357645922668</v>
      </c>
      <c r="Z40" s="1">
        <v>1823.7599227022417</v>
      </c>
      <c r="AA40" s="1">
        <v>1746.9496627505134</v>
      </c>
      <c r="AB40" s="8">
        <v>4</v>
      </c>
      <c r="AC40" s="8">
        <f t="shared" si="0"/>
        <v>127036.74039878139</v>
      </c>
    </row>
    <row r="41" spans="1:29" x14ac:dyDescent="0.25">
      <c r="A41" s="3">
        <v>2026</v>
      </c>
      <c r="B41" s="5" t="s">
        <v>32</v>
      </c>
      <c r="C41" s="7" t="s">
        <v>52</v>
      </c>
      <c r="D41" s="1">
        <v>1555.9704037243723</v>
      </c>
      <c r="E41" s="1">
        <v>1491.9411668442872</v>
      </c>
      <c r="F41" s="1">
        <v>1415.8509171963337</v>
      </c>
      <c r="G41" s="1">
        <v>1392.6375783436542</v>
      </c>
      <c r="H41" s="1">
        <v>1405.2582267195044</v>
      </c>
      <c r="I41" s="1">
        <v>1351.1293476053438</v>
      </c>
      <c r="J41" s="1">
        <v>1043.5230394311652</v>
      </c>
      <c r="K41" s="1">
        <v>500.24090702608123</v>
      </c>
      <c r="L41" s="1">
        <v>224.42709388052964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438.45886673680508</v>
      </c>
      <c r="U41" s="1">
        <v>1029.5696505868252</v>
      </c>
      <c r="V41" s="1">
        <v>1550.3769323641959</v>
      </c>
      <c r="W41" s="1">
        <v>1624.0959424773046</v>
      </c>
      <c r="X41" s="1">
        <v>1639.6618895941233</v>
      </c>
      <c r="Y41" s="1">
        <v>1664.2800869060111</v>
      </c>
      <c r="Z41" s="1">
        <v>1585.1753052459962</v>
      </c>
      <c r="AA41" s="1">
        <v>1500.15973306664</v>
      </c>
      <c r="AB41" s="8">
        <v>6</v>
      </c>
      <c r="AC41" s="8">
        <f t="shared" si="0"/>
        <v>128476.54252649505</v>
      </c>
    </row>
    <row r="42" spans="1:29" x14ac:dyDescent="0.25">
      <c r="B42" s="5"/>
      <c r="C42" s="7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8"/>
      <c r="AC42" s="8"/>
    </row>
    <row r="43" spans="1:29" x14ac:dyDescent="0.25">
      <c r="B43" s="5"/>
      <c r="C43" s="7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8"/>
      <c r="AC43" s="8"/>
    </row>
    <row r="44" spans="1:29" x14ac:dyDescent="0.25">
      <c r="B44" s="5"/>
      <c r="C44" s="7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8"/>
      <c r="AC44" s="8"/>
    </row>
    <row r="45" spans="1:29" x14ac:dyDescent="0.25">
      <c r="B45" s="5"/>
      <c r="C45" s="7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8"/>
      <c r="AC45" s="8"/>
    </row>
    <row r="46" spans="1:29" x14ac:dyDescent="0.25">
      <c r="B46" s="5"/>
      <c r="C46" s="7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8"/>
      <c r="AC46" s="8"/>
    </row>
    <row r="47" spans="1:29" x14ac:dyDescent="0.25">
      <c r="B47" s="5"/>
      <c r="C47" s="7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8"/>
      <c r="AC47" s="8"/>
    </row>
    <row r="48" spans="1:29" x14ac:dyDescent="0.25">
      <c r="B48" s="5"/>
      <c r="C48" s="7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8"/>
      <c r="AC48" s="8"/>
    </row>
    <row r="49" spans="2:29" x14ac:dyDescent="0.25">
      <c r="B49" s="5"/>
      <c r="C49" s="7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8"/>
      <c r="AC49" s="8"/>
    </row>
    <row r="50" spans="2:29" x14ac:dyDescent="0.25">
      <c r="B50" s="5"/>
      <c r="C50" s="7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8"/>
      <c r="AC50" s="8"/>
    </row>
    <row r="51" spans="2:29" x14ac:dyDescent="0.25">
      <c r="B51" s="5"/>
      <c r="C51" s="7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8"/>
      <c r="AC51" s="8"/>
    </row>
    <row r="52" spans="2:29" x14ac:dyDescent="0.25">
      <c r="B52" s="5"/>
      <c r="C52" s="7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8"/>
      <c r="AC52" s="8"/>
    </row>
    <row r="53" spans="2:29" x14ac:dyDescent="0.25">
      <c r="B53" s="5"/>
      <c r="C53" s="7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8"/>
      <c r="AC53" s="8"/>
    </row>
    <row r="54" spans="2:29" x14ac:dyDescent="0.25">
      <c r="B54" s="5"/>
      <c r="C54" s="7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8"/>
      <c r="AC54" s="8"/>
    </row>
    <row r="55" spans="2:29" x14ac:dyDescent="0.25">
      <c r="B55" s="5"/>
      <c r="C55" s="7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8"/>
      <c r="AC55" s="8"/>
    </row>
    <row r="56" spans="2:29" x14ac:dyDescent="0.25">
      <c r="B56" s="5"/>
      <c r="C56" s="7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8"/>
      <c r="AC56" s="8"/>
    </row>
    <row r="57" spans="2:29" x14ac:dyDescent="0.25">
      <c r="B57" s="5"/>
      <c r="C57" s="7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8"/>
      <c r="AC57" s="8"/>
    </row>
    <row r="58" spans="2:29" x14ac:dyDescent="0.25">
      <c r="B58" s="5"/>
      <c r="C58" s="7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8"/>
      <c r="AC58" s="8"/>
    </row>
    <row r="59" spans="2:29" x14ac:dyDescent="0.25">
      <c r="B59" s="5"/>
      <c r="C59" s="7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8"/>
      <c r="AC59" s="8"/>
    </row>
    <row r="60" spans="2:29" x14ac:dyDescent="0.25">
      <c r="B60" s="5"/>
      <c r="C60" s="7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8"/>
      <c r="AC60" s="8"/>
    </row>
    <row r="61" spans="2:29" x14ac:dyDescent="0.25">
      <c r="B61" s="5"/>
      <c r="C61" s="7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8"/>
      <c r="AC61" s="8"/>
    </row>
    <row r="62" spans="2:29" x14ac:dyDescent="0.25">
      <c r="B62" s="5"/>
      <c r="C62" s="7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8"/>
      <c r="AC62" s="8"/>
    </row>
    <row r="63" spans="2:29" x14ac:dyDescent="0.25">
      <c r="B63" s="5"/>
      <c r="C63" s="7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8"/>
      <c r="AC63" s="8"/>
    </row>
    <row r="64" spans="2:29" x14ac:dyDescent="0.25">
      <c r="B64" s="5"/>
      <c r="C64" s="7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8"/>
      <c r="AC64" s="8"/>
    </row>
    <row r="65" spans="2:29" x14ac:dyDescent="0.25">
      <c r="B65" s="5"/>
      <c r="C65" s="7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8"/>
      <c r="AC65" s="8"/>
    </row>
    <row r="66" spans="2:29" x14ac:dyDescent="0.25">
      <c r="B66" s="5"/>
      <c r="C66" s="7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8"/>
      <c r="AC66" s="8"/>
    </row>
    <row r="67" spans="2:29" x14ac:dyDescent="0.25">
      <c r="B67" s="5"/>
      <c r="C67" s="7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8"/>
      <c r="AC67" s="8"/>
    </row>
    <row r="68" spans="2:29" x14ac:dyDescent="0.25">
      <c r="B68" s="5"/>
      <c r="C68" s="7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8"/>
      <c r="AC68" s="8"/>
    </row>
    <row r="69" spans="2:29" x14ac:dyDescent="0.25">
      <c r="B69" s="5"/>
      <c r="C69" s="7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8"/>
      <c r="AC69" s="8"/>
    </row>
    <row r="70" spans="2:29" x14ac:dyDescent="0.25">
      <c r="B70" s="5"/>
      <c r="C70" s="7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8"/>
      <c r="AC70" s="8"/>
    </row>
    <row r="71" spans="2:29" x14ac:dyDescent="0.25">
      <c r="B71" s="5"/>
      <c r="C71" s="7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8"/>
      <c r="AC71" s="8"/>
    </row>
    <row r="72" spans="2:29" x14ac:dyDescent="0.25">
      <c r="B72" s="5"/>
      <c r="C72" s="7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8"/>
      <c r="AC72" s="8"/>
    </row>
    <row r="73" spans="2:29" x14ac:dyDescent="0.25">
      <c r="B73" s="5"/>
      <c r="C73" s="7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8"/>
      <c r="AC73" s="8"/>
    </row>
    <row r="74" spans="2:29" x14ac:dyDescent="0.25">
      <c r="B74" s="5"/>
      <c r="C74" s="7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8"/>
      <c r="AC74" s="8"/>
    </row>
    <row r="75" spans="2:29" x14ac:dyDescent="0.25">
      <c r="B75" s="5"/>
      <c r="C75" s="7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8"/>
      <c r="AC75" s="8"/>
    </row>
    <row r="76" spans="2:29" x14ac:dyDescent="0.25">
      <c r="B76" s="5"/>
      <c r="C76" s="7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8"/>
      <c r="AC76" s="8"/>
    </row>
    <row r="77" spans="2:29" x14ac:dyDescent="0.25">
      <c r="B77" s="5"/>
      <c r="C77" s="7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8"/>
      <c r="AC77" s="8"/>
    </row>
    <row r="78" spans="2:29" x14ac:dyDescent="0.25">
      <c r="B78" s="5"/>
      <c r="C78" s="7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8"/>
      <c r="AC78" s="8"/>
    </row>
    <row r="79" spans="2:29" x14ac:dyDescent="0.25">
      <c r="B79" s="5"/>
      <c r="C79" s="7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8"/>
      <c r="AC79" s="8"/>
    </row>
    <row r="80" spans="2:29" x14ac:dyDescent="0.25">
      <c r="B80" s="5"/>
      <c r="C80" s="7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8"/>
      <c r="AC80" s="8"/>
    </row>
    <row r="81" spans="2:29" x14ac:dyDescent="0.25">
      <c r="B81" s="5"/>
      <c r="C81" s="7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8"/>
      <c r="AC81" s="8"/>
    </row>
    <row r="82" spans="2:29" x14ac:dyDescent="0.25">
      <c r="B82" s="5"/>
      <c r="C82" s="7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8"/>
      <c r="AC82" s="8"/>
    </row>
    <row r="83" spans="2:29" x14ac:dyDescent="0.25">
      <c r="B83" s="5"/>
      <c r="C83" s="7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8"/>
      <c r="AC83" s="8"/>
    </row>
    <row r="84" spans="2:29" x14ac:dyDescent="0.25">
      <c r="B84" s="5"/>
      <c r="C84" s="7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8"/>
      <c r="AC84" s="8"/>
    </row>
    <row r="85" spans="2:29" x14ac:dyDescent="0.25">
      <c r="B85" s="5"/>
      <c r="C85" s="7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8"/>
      <c r="AC85" s="8"/>
    </row>
    <row r="86" spans="2:29" x14ac:dyDescent="0.25">
      <c r="B86" s="5"/>
      <c r="C86" s="7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8"/>
      <c r="AC86" s="8"/>
    </row>
    <row r="87" spans="2:29" x14ac:dyDescent="0.25">
      <c r="B87" s="5"/>
      <c r="C87" s="7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8"/>
      <c r="AC87" s="8"/>
    </row>
    <row r="88" spans="2:29" x14ac:dyDescent="0.25">
      <c r="B88" s="5"/>
      <c r="C88" s="7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8"/>
      <c r="AC88" s="8"/>
    </row>
    <row r="89" spans="2:29" x14ac:dyDescent="0.25">
      <c r="B89" s="5"/>
      <c r="C89" s="7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8"/>
      <c r="AC89" s="8"/>
    </row>
    <row r="90" spans="2:29" x14ac:dyDescent="0.25">
      <c r="B90" s="5"/>
      <c r="C90" s="7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8"/>
      <c r="AC90" s="8"/>
    </row>
    <row r="91" spans="2:29" x14ac:dyDescent="0.25">
      <c r="B91" s="5"/>
      <c r="C91" s="7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8"/>
      <c r="AC91" s="8"/>
    </row>
    <row r="92" spans="2:29" x14ac:dyDescent="0.25">
      <c r="B92" s="5"/>
      <c r="C92" s="7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8"/>
      <c r="AC92" s="8"/>
    </row>
    <row r="93" spans="2:29" x14ac:dyDescent="0.25">
      <c r="B93" s="5"/>
      <c r="C93" s="7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8"/>
      <c r="AC93" s="8"/>
    </row>
  </sheetData>
  <mergeCells count="3">
    <mergeCell ref="B1:AB1"/>
    <mergeCell ref="B2:AB2"/>
    <mergeCell ref="B3:AB3"/>
  </mergeCells>
  <phoneticPr fontId="5" type="noConversion"/>
  <printOptions horizontalCentered="1"/>
  <pageMargins left="0" right="0" top="0" bottom="0" header="0" footer="0"/>
  <pageSetup scale="85" orientation="landscape" r:id="rId1"/>
  <headerFooter alignWithMargins="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CE93A-AE9F-4076-B272-ABBBA6153FD3}">
  <dimension ref="A2:U146"/>
  <sheetViews>
    <sheetView showGridLines="0" zoomScaleNormal="100" workbookViewId="0">
      <selection activeCell="G10" sqref="G10:G21"/>
    </sheetView>
  </sheetViews>
  <sheetFormatPr baseColWidth="10" defaultColWidth="11.42578125" defaultRowHeight="15" customHeight="1" x14ac:dyDescent="0.25"/>
  <cols>
    <col min="1" max="1" width="4.140625" style="3" customWidth="1"/>
    <col min="2" max="2" width="10" style="3" customWidth="1"/>
    <col min="3" max="3" width="18.28515625" style="3" bestFit="1" customWidth="1"/>
    <col min="4" max="7" width="16.85546875" style="3" customWidth="1"/>
    <col min="8" max="8" width="8.140625" style="3" bestFit="1" customWidth="1"/>
    <col min="9" max="9" width="7.42578125" style="3" customWidth="1"/>
    <col min="10" max="16" width="14.5703125" style="3" customWidth="1"/>
    <col min="17" max="20" width="17" style="3" customWidth="1"/>
    <col min="21" max="16384" width="11.42578125" style="3"/>
  </cols>
  <sheetData>
    <row r="2" spans="2:21" ht="15" customHeight="1" x14ac:dyDescent="0.25">
      <c r="B2" s="34" t="s">
        <v>64</v>
      </c>
      <c r="C2" s="34"/>
      <c r="D2" s="34"/>
      <c r="E2" s="34"/>
      <c r="F2" s="34"/>
      <c r="G2" s="34"/>
      <c r="H2" s="11"/>
    </row>
    <row r="3" spans="2:21" ht="15" customHeight="1" x14ac:dyDescent="0.25">
      <c r="B3" s="35" t="s">
        <v>34</v>
      </c>
      <c r="C3" s="35"/>
      <c r="D3" s="35"/>
      <c r="E3" s="35"/>
      <c r="F3" s="35"/>
      <c r="G3" s="35"/>
      <c r="H3" s="11"/>
    </row>
    <row r="4" spans="2:21" ht="15" customHeight="1" x14ac:dyDescent="0.25">
      <c r="B4" s="34" t="s">
        <v>42</v>
      </c>
      <c r="C4" s="34"/>
      <c r="D4" s="34"/>
      <c r="E4" s="34"/>
      <c r="F4" s="34"/>
      <c r="G4" s="34"/>
      <c r="H4" s="11"/>
    </row>
    <row r="5" spans="2:21" ht="15" customHeight="1" x14ac:dyDescent="0.25">
      <c r="B5" s="34"/>
      <c r="C5" s="34"/>
      <c r="D5" s="34"/>
      <c r="E5" s="34"/>
      <c r="F5" s="34"/>
      <c r="G5" s="34"/>
      <c r="H5" s="11"/>
    </row>
    <row r="6" spans="2:21" ht="15" customHeight="1" thickBot="1" x14ac:dyDescent="0.3">
      <c r="B6" s="10"/>
      <c r="C6" s="10"/>
      <c r="D6" s="10"/>
      <c r="E6" s="10"/>
      <c r="F6" s="10"/>
      <c r="G6" s="10"/>
      <c r="H6" s="10"/>
      <c r="U6" s="10"/>
    </row>
    <row r="7" spans="2:21" ht="15" customHeight="1" thickBot="1" x14ac:dyDescent="0.3">
      <c r="B7" s="36" t="s">
        <v>53</v>
      </c>
      <c r="C7" s="37"/>
      <c r="D7" s="37"/>
      <c r="E7" s="37"/>
      <c r="F7" s="37"/>
      <c r="G7" s="38"/>
      <c r="H7" s="10"/>
      <c r="U7" s="10"/>
    </row>
    <row r="8" spans="2:21" ht="15" customHeight="1" thickBot="1" x14ac:dyDescent="0.3">
      <c r="B8" s="43" t="s">
        <v>37</v>
      </c>
      <c r="C8" s="43" t="s">
        <v>33</v>
      </c>
      <c r="D8" s="45" t="s">
        <v>65</v>
      </c>
      <c r="E8" s="46"/>
      <c r="F8" s="46"/>
      <c r="G8" s="47"/>
      <c r="H8" s="10"/>
      <c r="U8" s="10"/>
    </row>
    <row r="9" spans="2:21" ht="30.75" thickBot="1" x14ac:dyDescent="0.3">
      <c r="B9" s="44"/>
      <c r="C9" s="44"/>
      <c r="D9" s="12" t="s">
        <v>39</v>
      </c>
      <c r="E9" s="13" t="s">
        <v>35</v>
      </c>
      <c r="F9" s="13" t="s">
        <v>40</v>
      </c>
      <c r="G9" s="14" t="s">
        <v>36</v>
      </c>
      <c r="H9" s="15"/>
      <c r="U9" s="10"/>
    </row>
    <row r="10" spans="2:21" ht="15" customHeight="1" x14ac:dyDescent="0.25">
      <c r="B10" s="16">
        <v>2027</v>
      </c>
      <c r="C10" s="17" t="s">
        <v>57</v>
      </c>
      <c r="D10" s="18">
        <f>SUMIFS('Producto 2'!$AC:$AC,'Producto 2'!$A:$A,'R-Producto 2'!$B10,'Producto 2'!$B:$B,'R-Producto 2'!$C10)</f>
        <v>1084045.8831757633</v>
      </c>
      <c r="E10" s="39"/>
      <c r="F10" s="19">
        <f>D10*$E$10</f>
        <v>0</v>
      </c>
      <c r="G10" s="41"/>
      <c r="H10" s="15"/>
      <c r="U10" s="10"/>
    </row>
    <row r="11" spans="2:21" ht="15" customHeight="1" x14ac:dyDescent="0.25">
      <c r="B11" s="20">
        <v>2027</v>
      </c>
      <c r="C11" s="17" t="s">
        <v>58</v>
      </c>
      <c r="D11" s="18">
        <f>SUMIFS('Producto 2'!$AC:$AC,'Producto 2'!$A:$A,'R-Producto 2'!$B11,'Producto 2'!$B:$B,'R-Producto 2'!$C11)</f>
        <v>1043009.5150875449</v>
      </c>
      <c r="E11" s="40"/>
      <c r="F11" s="19">
        <f t="shared" ref="F11:F22" si="0">D11*$E$10</f>
        <v>0</v>
      </c>
      <c r="G11" s="42"/>
      <c r="H11" s="15"/>
      <c r="U11" s="10"/>
    </row>
    <row r="12" spans="2:21" ht="15" customHeight="1" x14ac:dyDescent="0.25">
      <c r="B12" s="20">
        <v>2027</v>
      </c>
      <c r="C12" s="17" t="s">
        <v>59</v>
      </c>
      <c r="D12" s="18">
        <f>SUMIFS('Producto 2'!$AC:$AC,'Producto 2'!$A:$A,'R-Producto 2'!$B12,'Producto 2'!$B:$B,'R-Producto 2'!$C12)</f>
        <v>1125760.4678209249</v>
      </c>
      <c r="E12" s="40"/>
      <c r="F12" s="19">
        <f t="shared" si="0"/>
        <v>0</v>
      </c>
      <c r="G12" s="42"/>
      <c r="H12" s="15"/>
      <c r="U12" s="10"/>
    </row>
    <row r="13" spans="2:21" ht="15" customHeight="1" x14ac:dyDescent="0.25">
      <c r="B13" s="20">
        <v>2027</v>
      </c>
      <c r="C13" s="17" t="s">
        <v>56</v>
      </c>
      <c r="D13" s="18">
        <f>SUMIFS('Producto 2'!$AC:$AC,'Producto 2'!$A:$A,'R-Producto 2'!$B13,'Producto 2'!$B:$B,'R-Producto 2'!$C13)</f>
        <v>1159089.0408656702</v>
      </c>
      <c r="E13" s="40"/>
      <c r="F13" s="19">
        <f t="shared" si="0"/>
        <v>0</v>
      </c>
      <c r="G13" s="42"/>
      <c r="H13" s="15"/>
      <c r="U13" s="10"/>
    </row>
    <row r="14" spans="2:21" ht="15" customHeight="1" x14ac:dyDescent="0.25">
      <c r="B14" s="20">
        <v>2027</v>
      </c>
      <c r="C14" s="17" t="s">
        <v>25</v>
      </c>
      <c r="D14" s="18">
        <f>SUMIFS('Producto 2'!$AC:$AC,'Producto 2'!$A:$A,'R-Producto 2'!$B14,'Producto 2'!$B:$B,'R-Producto 2'!$C14)</f>
        <v>1138679.5739671846</v>
      </c>
      <c r="E14" s="40"/>
      <c r="F14" s="19">
        <f t="shared" si="0"/>
        <v>0</v>
      </c>
      <c r="G14" s="42"/>
      <c r="H14" s="15"/>
      <c r="U14" s="10"/>
    </row>
    <row r="15" spans="2:21" ht="15" customHeight="1" x14ac:dyDescent="0.25">
      <c r="B15" s="20">
        <v>2027</v>
      </c>
      <c r="C15" s="17" t="s">
        <v>26</v>
      </c>
      <c r="D15" s="18">
        <f>SUMIFS('Producto 2'!$AC:$AC,'Producto 2'!$A:$A,'R-Producto 2'!$B15,'Producto 2'!$B:$B,'R-Producto 2'!$C15)</f>
        <v>1171888.3572205747</v>
      </c>
      <c r="E15" s="40"/>
      <c r="F15" s="19">
        <f t="shared" si="0"/>
        <v>0</v>
      </c>
      <c r="G15" s="42"/>
      <c r="H15" s="15"/>
      <c r="U15" s="10"/>
    </row>
    <row r="16" spans="2:21" ht="15" customHeight="1" x14ac:dyDescent="0.25">
      <c r="B16" s="20">
        <v>2027</v>
      </c>
      <c r="C16" s="17" t="s">
        <v>27</v>
      </c>
      <c r="D16" s="18">
        <f>SUMIFS('Producto 2'!$AC:$AC,'Producto 2'!$A:$A,'R-Producto 2'!$B16,'Producto 2'!$B:$B,'R-Producto 2'!$C16)</f>
        <v>1203393.109991913</v>
      </c>
      <c r="E16" s="40"/>
      <c r="F16" s="19">
        <f t="shared" si="0"/>
        <v>0</v>
      </c>
      <c r="G16" s="42"/>
      <c r="H16" s="15"/>
      <c r="U16" s="10"/>
    </row>
    <row r="17" spans="1:21" ht="15" customHeight="1" x14ac:dyDescent="0.25">
      <c r="B17" s="20">
        <v>2027</v>
      </c>
      <c r="C17" s="17" t="s">
        <v>28</v>
      </c>
      <c r="D17" s="18">
        <f>SUMIFS('Producto 2'!$AC:$AC,'Producto 2'!$A:$A,'R-Producto 2'!$B17,'Producto 2'!$B:$B,'R-Producto 2'!$C17)</f>
        <v>1214958.3522992579</v>
      </c>
      <c r="E17" s="40"/>
      <c r="F17" s="19">
        <f t="shared" si="0"/>
        <v>0</v>
      </c>
      <c r="G17" s="42"/>
      <c r="H17" s="15"/>
      <c r="U17" s="10"/>
    </row>
    <row r="18" spans="1:21" ht="15" customHeight="1" x14ac:dyDescent="0.25">
      <c r="B18" s="20">
        <v>2027</v>
      </c>
      <c r="C18" s="17" t="s">
        <v>29</v>
      </c>
      <c r="D18" s="18">
        <f>SUMIFS('Producto 2'!$AC:$AC,'Producto 2'!$A:$A,'R-Producto 2'!$B18,'Producto 2'!$B:$B,'R-Producto 2'!$C18)</f>
        <v>1240432.6706966176</v>
      </c>
      <c r="E18" s="40"/>
      <c r="F18" s="19">
        <f t="shared" si="0"/>
        <v>0</v>
      </c>
      <c r="G18" s="42"/>
      <c r="H18" s="15"/>
      <c r="U18" s="10"/>
    </row>
    <row r="19" spans="1:21" ht="15" customHeight="1" x14ac:dyDescent="0.25">
      <c r="B19" s="20">
        <v>2027</v>
      </c>
      <c r="C19" s="17" t="s">
        <v>30</v>
      </c>
      <c r="D19" s="18">
        <f>SUMIFS('Producto 2'!$AC:$AC,'Producto 2'!$A:$A,'R-Producto 2'!$B19,'Producto 2'!$B:$B,'R-Producto 2'!$C19)</f>
        <v>1251626.4336839302</v>
      </c>
      <c r="E19" s="40"/>
      <c r="F19" s="19">
        <f t="shared" si="0"/>
        <v>0</v>
      </c>
      <c r="G19" s="42"/>
      <c r="H19" s="15"/>
      <c r="U19" s="10"/>
    </row>
    <row r="20" spans="1:21" ht="15" customHeight="1" x14ac:dyDescent="0.25">
      <c r="A20" s="21"/>
      <c r="B20" s="20">
        <v>2027</v>
      </c>
      <c r="C20" s="17" t="s">
        <v>31</v>
      </c>
      <c r="D20" s="18">
        <f>SUMIFS('Producto 2'!$AC:$AC,'Producto 2'!$A:$A,'R-Producto 2'!$B20,'Producto 2'!$B:$B,'R-Producto 2'!$C20)</f>
        <v>1228977.1025227294</v>
      </c>
      <c r="E20" s="40"/>
      <c r="F20" s="19">
        <f t="shared" si="0"/>
        <v>0</v>
      </c>
      <c r="G20" s="42"/>
      <c r="H20" s="15"/>
    </row>
    <row r="21" spans="1:21" ht="15" customHeight="1" thickBot="1" x14ac:dyDescent="0.3">
      <c r="A21" s="21"/>
      <c r="B21" s="24">
        <v>2027</v>
      </c>
      <c r="C21" s="25" t="s">
        <v>32</v>
      </c>
      <c r="D21" s="26">
        <f>SUMIFS('Producto 2'!$AC:$AC,'Producto 2'!$A:$A,'R-Producto 2'!$B21,'Producto 2'!$B:$B,'R-Producto 2'!$C21)</f>
        <v>1298612.3665488204</v>
      </c>
      <c r="E21" s="40"/>
      <c r="F21" s="27">
        <f t="shared" si="0"/>
        <v>0</v>
      </c>
      <c r="G21" s="42"/>
      <c r="H21" s="15"/>
    </row>
    <row r="22" spans="1:21" ht="15" customHeight="1" thickBot="1" x14ac:dyDescent="0.3">
      <c r="A22" s="21"/>
      <c r="B22" s="28"/>
      <c r="C22" s="29" t="s">
        <v>49</v>
      </c>
      <c r="D22" s="30">
        <f>SUM(D10:D21)</f>
        <v>14160472.87388093</v>
      </c>
      <c r="E22" s="32"/>
      <c r="F22" s="31">
        <f t="shared" si="0"/>
        <v>0</v>
      </c>
      <c r="G22" s="33"/>
      <c r="H22" s="15"/>
    </row>
    <row r="23" spans="1:21" ht="15" customHeight="1" x14ac:dyDescent="0.25">
      <c r="A23" s="21"/>
      <c r="H23" s="15"/>
    </row>
    <row r="24" spans="1:21" ht="15" customHeight="1" x14ac:dyDescent="0.25">
      <c r="A24" s="21"/>
      <c r="B24" s="22" t="s">
        <v>62</v>
      </c>
      <c r="H24" s="15"/>
    </row>
    <row r="25" spans="1:21" ht="15" customHeight="1" x14ac:dyDescent="0.25">
      <c r="A25" s="21"/>
      <c r="B25" s="3" t="s">
        <v>44</v>
      </c>
      <c r="H25" s="15"/>
    </row>
    <row r="26" spans="1:21" ht="15" customHeight="1" x14ac:dyDescent="0.25">
      <c r="A26" s="21"/>
      <c r="B26" s="3" t="s">
        <v>41</v>
      </c>
      <c r="E26" s="23"/>
      <c r="H26" s="15"/>
    </row>
    <row r="27" spans="1:21" ht="15" customHeight="1" x14ac:dyDescent="0.25">
      <c r="A27" s="21"/>
      <c r="E27" s="23"/>
      <c r="H27" s="15"/>
    </row>
    <row r="28" spans="1:21" ht="15" customHeight="1" x14ac:dyDescent="0.25">
      <c r="A28" s="21"/>
      <c r="H28" s="15"/>
    </row>
    <row r="29" spans="1:21" ht="15" customHeight="1" x14ac:dyDescent="0.25">
      <c r="A29" s="21"/>
      <c r="H29" s="15"/>
    </row>
    <row r="30" spans="1:21" ht="15" customHeight="1" x14ac:dyDescent="0.25">
      <c r="A30" s="21"/>
      <c r="H30" s="15"/>
    </row>
    <row r="31" spans="1:21" ht="15" customHeight="1" x14ac:dyDescent="0.25">
      <c r="A31" s="21"/>
      <c r="H31" s="15"/>
    </row>
    <row r="32" spans="1:21" ht="15" customHeight="1" x14ac:dyDescent="0.25">
      <c r="A32" s="21"/>
      <c r="H32" s="15"/>
    </row>
    <row r="33" spans="1:8" ht="15" customHeight="1" x14ac:dyDescent="0.25">
      <c r="A33" s="21"/>
      <c r="H33" s="15"/>
    </row>
    <row r="34" spans="1:8" ht="15" customHeight="1" x14ac:dyDescent="0.25">
      <c r="A34" s="21"/>
      <c r="H34" s="15"/>
    </row>
    <row r="35" spans="1:8" ht="15" customHeight="1" x14ac:dyDescent="0.25">
      <c r="A35" s="21"/>
      <c r="H35" s="15"/>
    </row>
    <row r="36" spans="1:8" ht="15" customHeight="1" x14ac:dyDescent="0.25">
      <c r="A36" s="21"/>
      <c r="H36" s="15"/>
    </row>
    <row r="37" spans="1:8" ht="15" customHeight="1" x14ac:dyDescent="0.25">
      <c r="A37" s="21"/>
      <c r="H37" s="15"/>
    </row>
    <row r="38" spans="1:8" ht="15" customHeight="1" x14ac:dyDescent="0.25">
      <c r="A38" s="21"/>
      <c r="H38" s="15"/>
    </row>
    <row r="39" spans="1:8" ht="15" customHeight="1" x14ac:dyDescent="0.25">
      <c r="A39" s="21"/>
      <c r="H39" s="15"/>
    </row>
    <row r="40" spans="1:8" ht="15" customHeight="1" x14ac:dyDescent="0.25">
      <c r="A40" s="21"/>
      <c r="H40" s="15"/>
    </row>
    <row r="41" spans="1:8" ht="15" customHeight="1" x14ac:dyDescent="0.25">
      <c r="A41" s="21"/>
      <c r="H41" s="15"/>
    </row>
    <row r="42" spans="1:8" ht="15" customHeight="1" x14ac:dyDescent="0.25">
      <c r="A42" s="21"/>
      <c r="H42" s="15"/>
    </row>
    <row r="43" spans="1:8" ht="15" customHeight="1" x14ac:dyDescent="0.25">
      <c r="A43" s="21"/>
      <c r="H43" s="15"/>
    </row>
    <row r="44" spans="1:8" ht="15" customHeight="1" x14ac:dyDescent="0.25">
      <c r="A44" s="21"/>
      <c r="H44" s="15"/>
    </row>
    <row r="45" spans="1:8" ht="15" customHeight="1" x14ac:dyDescent="0.25">
      <c r="A45" s="21"/>
      <c r="H45" s="15"/>
    </row>
    <row r="46" spans="1:8" ht="15" customHeight="1" x14ac:dyDescent="0.25">
      <c r="A46" s="21"/>
      <c r="H46" s="15"/>
    </row>
    <row r="47" spans="1:8" ht="15" customHeight="1" x14ac:dyDescent="0.25">
      <c r="A47" s="21"/>
      <c r="H47" s="15"/>
    </row>
    <row r="48" spans="1:8" ht="15" customHeight="1" x14ac:dyDescent="0.25">
      <c r="A48" s="21"/>
      <c r="H48" s="15"/>
    </row>
    <row r="49" spans="1:8" ht="15" customHeight="1" x14ac:dyDescent="0.25">
      <c r="A49" s="21"/>
      <c r="H49" s="15"/>
    </row>
    <row r="50" spans="1:8" ht="15" customHeight="1" x14ac:dyDescent="0.25">
      <c r="A50" s="21"/>
      <c r="H50" s="15"/>
    </row>
    <row r="51" spans="1:8" ht="15" customHeight="1" x14ac:dyDescent="0.25">
      <c r="A51" s="21"/>
      <c r="H51" s="15"/>
    </row>
    <row r="52" spans="1:8" ht="15" customHeight="1" x14ac:dyDescent="0.25">
      <c r="A52" s="21"/>
      <c r="H52" s="15"/>
    </row>
    <row r="53" spans="1:8" ht="15" customHeight="1" x14ac:dyDescent="0.25">
      <c r="A53" s="21"/>
      <c r="H53" s="15"/>
    </row>
    <row r="54" spans="1:8" ht="15" customHeight="1" x14ac:dyDescent="0.25">
      <c r="A54" s="21"/>
      <c r="H54" s="15"/>
    </row>
    <row r="55" spans="1:8" ht="15" customHeight="1" x14ac:dyDescent="0.25">
      <c r="A55" s="21"/>
      <c r="H55" s="15"/>
    </row>
    <row r="56" spans="1:8" ht="15" customHeight="1" x14ac:dyDescent="0.25">
      <c r="A56" s="21"/>
      <c r="H56" s="15"/>
    </row>
    <row r="57" spans="1:8" ht="15" customHeight="1" x14ac:dyDescent="0.25">
      <c r="A57" s="21"/>
      <c r="H57" s="15"/>
    </row>
    <row r="58" spans="1:8" ht="15" customHeight="1" x14ac:dyDescent="0.25">
      <c r="A58" s="21"/>
      <c r="H58" s="15"/>
    </row>
    <row r="59" spans="1:8" ht="15" customHeight="1" x14ac:dyDescent="0.25">
      <c r="A59" s="21"/>
      <c r="H59" s="15"/>
    </row>
    <row r="60" spans="1:8" ht="15" customHeight="1" x14ac:dyDescent="0.25">
      <c r="A60" s="21"/>
      <c r="H60" s="15"/>
    </row>
    <row r="61" spans="1:8" ht="15" customHeight="1" x14ac:dyDescent="0.25">
      <c r="A61" s="21"/>
      <c r="H61" s="15"/>
    </row>
    <row r="62" spans="1:8" ht="15" customHeight="1" x14ac:dyDescent="0.25">
      <c r="A62" s="21"/>
      <c r="H62" s="15"/>
    </row>
    <row r="63" spans="1:8" ht="15" customHeight="1" x14ac:dyDescent="0.25">
      <c r="A63" s="21"/>
      <c r="H63" s="15"/>
    </row>
    <row r="64" spans="1:8" ht="15" customHeight="1" x14ac:dyDescent="0.25">
      <c r="A64" s="21"/>
      <c r="H64" s="15"/>
    </row>
    <row r="65" spans="1:8" ht="15" customHeight="1" x14ac:dyDescent="0.25">
      <c r="A65" s="21"/>
      <c r="H65" s="15"/>
    </row>
    <row r="66" spans="1:8" ht="15" customHeight="1" x14ac:dyDescent="0.25">
      <c r="A66" s="21"/>
      <c r="H66" s="15"/>
    </row>
    <row r="67" spans="1:8" ht="15" customHeight="1" x14ac:dyDescent="0.25">
      <c r="A67" s="21"/>
      <c r="H67" s="15"/>
    </row>
    <row r="68" spans="1:8" ht="15" customHeight="1" x14ac:dyDescent="0.25">
      <c r="A68" s="21"/>
      <c r="H68" s="15"/>
    </row>
    <row r="69" spans="1:8" ht="15" customHeight="1" x14ac:dyDescent="0.25">
      <c r="A69" s="21"/>
      <c r="H69" s="15"/>
    </row>
    <row r="70" spans="1:8" ht="15" customHeight="1" x14ac:dyDescent="0.25">
      <c r="A70" s="21"/>
      <c r="H70" s="15"/>
    </row>
    <row r="71" spans="1:8" ht="15" customHeight="1" x14ac:dyDescent="0.25">
      <c r="A71" s="21"/>
      <c r="H71" s="15"/>
    </row>
    <row r="72" spans="1:8" ht="15" customHeight="1" x14ac:dyDescent="0.25">
      <c r="A72" s="21"/>
      <c r="H72" s="15"/>
    </row>
    <row r="73" spans="1:8" ht="15" customHeight="1" x14ac:dyDescent="0.25">
      <c r="A73" s="21"/>
      <c r="H73" s="15"/>
    </row>
    <row r="74" spans="1:8" ht="15" customHeight="1" x14ac:dyDescent="0.25">
      <c r="A74" s="21"/>
      <c r="H74" s="15"/>
    </row>
    <row r="75" spans="1:8" ht="15" customHeight="1" x14ac:dyDescent="0.25">
      <c r="A75" s="21"/>
      <c r="H75" s="15"/>
    </row>
    <row r="76" spans="1:8" ht="15" customHeight="1" x14ac:dyDescent="0.25">
      <c r="A76" s="21"/>
      <c r="H76" s="15"/>
    </row>
    <row r="77" spans="1:8" ht="15" customHeight="1" x14ac:dyDescent="0.25">
      <c r="A77" s="21"/>
      <c r="H77" s="15"/>
    </row>
    <row r="78" spans="1:8" ht="15" customHeight="1" x14ac:dyDescent="0.25">
      <c r="A78" s="21"/>
      <c r="H78" s="15"/>
    </row>
    <row r="79" spans="1:8" ht="15" customHeight="1" x14ac:dyDescent="0.25">
      <c r="A79" s="21"/>
      <c r="H79" s="15"/>
    </row>
    <row r="80" spans="1:8" ht="15" customHeight="1" x14ac:dyDescent="0.25">
      <c r="A80" s="21"/>
      <c r="H80" s="15"/>
    </row>
    <row r="81" spans="1:8" ht="15" customHeight="1" x14ac:dyDescent="0.25">
      <c r="A81" s="21"/>
      <c r="H81" s="15"/>
    </row>
    <row r="82" spans="1:8" ht="15" customHeight="1" x14ac:dyDescent="0.25">
      <c r="A82" s="21"/>
      <c r="H82" s="15"/>
    </row>
    <row r="83" spans="1:8" ht="15" customHeight="1" x14ac:dyDescent="0.25">
      <c r="A83" s="21"/>
      <c r="H83" s="15"/>
    </row>
    <row r="84" spans="1:8" ht="15" customHeight="1" x14ac:dyDescent="0.25">
      <c r="A84" s="21"/>
      <c r="H84" s="15"/>
    </row>
    <row r="85" spans="1:8" ht="15" customHeight="1" x14ac:dyDescent="0.25">
      <c r="A85" s="21"/>
      <c r="H85" s="15"/>
    </row>
    <row r="86" spans="1:8" ht="15" customHeight="1" x14ac:dyDescent="0.25">
      <c r="A86" s="21"/>
      <c r="H86" s="15"/>
    </row>
    <row r="87" spans="1:8" ht="15" customHeight="1" x14ac:dyDescent="0.25">
      <c r="A87" s="21"/>
      <c r="H87" s="15"/>
    </row>
    <row r="88" spans="1:8" ht="15" customHeight="1" x14ac:dyDescent="0.25">
      <c r="A88" s="21"/>
      <c r="H88" s="15"/>
    </row>
    <row r="89" spans="1:8" ht="15" customHeight="1" x14ac:dyDescent="0.25">
      <c r="A89" s="21"/>
      <c r="H89" s="15"/>
    </row>
    <row r="90" spans="1:8" ht="15" customHeight="1" x14ac:dyDescent="0.25">
      <c r="A90" s="21"/>
      <c r="H90" s="15"/>
    </row>
    <row r="91" spans="1:8" ht="15" customHeight="1" x14ac:dyDescent="0.25">
      <c r="A91" s="21"/>
      <c r="H91" s="15"/>
    </row>
    <row r="92" spans="1:8" ht="15" customHeight="1" x14ac:dyDescent="0.25">
      <c r="A92" s="21"/>
      <c r="H92" s="15"/>
    </row>
    <row r="93" spans="1:8" ht="15" customHeight="1" x14ac:dyDescent="0.25">
      <c r="A93" s="21"/>
      <c r="H93" s="15"/>
    </row>
    <row r="94" spans="1:8" ht="15" customHeight="1" x14ac:dyDescent="0.25">
      <c r="A94" s="21"/>
      <c r="H94" s="15"/>
    </row>
    <row r="95" spans="1:8" ht="15" customHeight="1" x14ac:dyDescent="0.25">
      <c r="A95" s="21"/>
      <c r="H95" s="15"/>
    </row>
    <row r="96" spans="1:8" ht="15" customHeight="1" x14ac:dyDescent="0.25">
      <c r="A96" s="21"/>
      <c r="H96" s="15"/>
    </row>
    <row r="97" spans="1:8" ht="15" customHeight="1" x14ac:dyDescent="0.25">
      <c r="A97" s="21"/>
      <c r="H97" s="15"/>
    </row>
    <row r="98" spans="1:8" ht="15" customHeight="1" x14ac:dyDescent="0.25">
      <c r="A98" s="21"/>
      <c r="H98" s="15"/>
    </row>
    <row r="99" spans="1:8" ht="15" customHeight="1" x14ac:dyDescent="0.25">
      <c r="A99" s="21"/>
      <c r="H99" s="15"/>
    </row>
    <row r="100" spans="1:8" ht="15" customHeight="1" x14ac:dyDescent="0.25">
      <c r="A100" s="21"/>
      <c r="H100" s="15"/>
    </row>
    <row r="101" spans="1:8" ht="15" customHeight="1" x14ac:dyDescent="0.25">
      <c r="A101" s="21"/>
      <c r="H101" s="15"/>
    </row>
    <row r="102" spans="1:8" ht="15" customHeight="1" x14ac:dyDescent="0.25">
      <c r="A102" s="21"/>
      <c r="H102" s="15"/>
    </row>
    <row r="103" spans="1:8" ht="15" customHeight="1" x14ac:dyDescent="0.25">
      <c r="A103" s="21"/>
      <c r="H103" s="15"/>
    </row>
    <row r="104" spans="1:8" ht="15" customHeight="1" x14ac:dyDescent="0.25">
      <c r="A104" s="21"/>
      <c r="H104" s="15"/>
    </row>
    <row r="105" spans="1:8" ht="15" customHeight="1" x14ac:dyDescent="0.25">
      <c r="A105" s="21"/>
      <c r="H105" s="15"/>
    </row>
    <row r="106" spans="1:8" ht="15" customHeight="1" x14ac:dyDescent="0.25">
      <c r="A106" s="21"/>
      <c r="H106" s="15"/>
    </row>
    <row r="107" spans="1:8" ht="15" customHeight="1" x14ac:dyDescent="0.25">
      <c r="A107" s="21"/>
      <c r="H107" s="15"/>
    </row>
    <row r="108" spans="1:8" ht="15" customHeight="1" x14ac:dyDescent="0.25">
      <c r="A108" s="21"/>
      <c r="H108" s="15"/>
    </row>
    <row r="109" spans="1:8" ht="15" customHeight="1" x14ac:dyDescent="0.25">
      <c r="A109" s="21"/>
      <c r="H109" s="15"/>
    </row>
    <row r="110" spans="1:8" ht="15" customHeight="1" x14ac:dyDescent="0.25">
      <c r="A110" s="21"/>
      <c r="H110" s="15"/>
    </row>
    <row r="111" spans="1:8" ht="15" customHeight="1" x14ac:dyDescent="0.25">
      <c r="A111" s="21"/>
      <c r="H111" s="15"/>
    </row>
    <row r="112" spans="1:8" ht="15" customHeight="1" x14ac:dyDescent="0.25">
      <c r="A112" s="21"/>
      <c r="H112" s="15"/>
    </row>
    <row r="113" spans="1:8" ht="15" customHeight="1" x14ac:dyDescent="0.25">
      <c r="A113" s="21"/>
      <c r="H113" s="15"/>
    </row>
    <row r="114" spans="1:8" ht="15" customHeight="1" x14ac:dyDescent="0.25">
      <c r="A114" s="21"/>
      <c r="H114" s="15"/>
    </row>
    <row r="115" spans="1:8" ht="15" customHeight="1" x14ac:dyDescent="0.25">
      <c r="A115" s="21"/>
      <c r="H115" s="15"/>
    </row>
    <row r="116" spans="1:8" ht="15" customHeight="1" x14ac:dyDescent="0.25">
      <c r="A116" s="21"/>
      <c r="H116" s="15"/>
    </row>
    <row r="117" spans="1:8" ht="15" customHeight="1" x14ac:dyDescent="0.25">
      <c r="A117" s="21"/>
      <c r="H117" s="15"/>
    </row>
    <row r="118" spans="1:8" ht="15" customHeight="1" x14ac:dyDescent="0.25">
      <c r="A118" s="21"/>
      <c r="H118" s="15"/>
    </row>
    <row r="119" spans="1:8" ht="15" customHeight="1" x14ac:dyDescent="0.25">
      <c r="A119" s="21"/>
      <c r="H119" s="15"/>
    </row>
    <row r="120" spans="1:8" ht="15" customHeight="1" x14ac:dyDescent="0.25">
      <c r="A120" s="21"/>
      <c r="H120" s="15"/>
    </row>
    <row r="121" spans="1:8" ht="15" customHeight="1" x14ac:dyDescent="0.25">
      <c r="A121" s="21"/>
      <c r="H121" s="15"/>
    </row>
    <row r="122" spans="1:8" ht="15" customHeight="1" x14ac:dyDescent="0.25">
      <c r="A122" s="21"/>
      <c r="H122" s="15"/>
    </row>
    <row r="123" spans="1:8" ht="15" customHeight="1" x14ac:dyDescent="0.25">
      <c r="A123" s="21"/>
      <c r="H123" s="15"/>
    </row>
    <row r="124" spans="1:8" ht="15" customHeight="1" x14ac:dyDescent="0.25">
      <c r="A124" s="21"/>
      <c r="H124" s="15"/>
    </row>
    <row r="125" spans="1:8" ht="15" customHeight="1" x14ac:dyDescent="0.25">
      <c r="A125" s="21"/>
      <c r="H125" s="15"/>
    </row>
    <row r="126" spans="1:8" ht="15" customHeight="1" x14ac:dyDescent="0.25">
      <c r="A126" s="21"/>
      <c r="H126" s="15"/>
    </row>
    <row r="127" spans="1:8" ht="15" customHeight="1" x14ac:dyDescent="0.25">
      <c r="A127" s="21"/>
      <c r="H127" s="15"/>
    </row>
    <row r="128" spans="1:8" ht="15" customHeight="1" x14ac:dyDescent="0.25">
      <c r="A128" s="21"/>
      <c r="H128" s="15"/>
    </row>
    <row r="129" spans="1:8" ht="15" customHeight="1" x14ac:dyDescent="0.25">
      <c r="A129" s="21"/>
      <c r="H129" s="15"/>
    </row>
    <row r="130" spans="1:8" ht="15" customHeight="1" x14ac:dyDescent="0.25">
      <c r="A130" s="21"/>
      <c r="H130" s="15"/>
    </row>
    <row r="131" spans="1:8" ht="15" customHeight="1" x14ac:dyDescent="0.25">
      <c r="A131" s="21"/>
      <c r="H131" s="15"/>
    </row>
    <row r="132" spans="1:8" ht="15" customHeight="1" x14ac:dyDescent="0.25">
      <c r="A132" s="21"/>
      <c r="H132" s="15"/>
    </row>
    <row r="133" spans="1:8" ht="15" customHeight="1" x14ac:dyDescent="0.25">
      <c r="A133" s="21"/>
      <c r="H133" s="15"/>
    </row>
    <row r="134" spans="1:8" ht="15" customHeight="1" x14ac:dyDescent="0.25">
      <c r="A134" s="21"/>
      <c r="H134" s="15"/>
    </row>
    <row r="135" spans="1:8" ht="15" customHeight="1" x14ac:dyDescent="0.25">
      <c r="A135" s="21"/>
      <c r="H135" s="15"/>
    </row>
    <row r="136" spans="1:8" ht="15" customHeight="1" x14ac:dyDescent="0.25">
      <c r="A136" s="21"/>
      <c r="H136" s="15"/>
    </row>
    <row r="137" spans="1:8" ht="15" customHeight="1" x14ac:dyDescent="0.25">
      <c r="A137" s="21"/>
      <c r="H137" s="15"/>
    </row>
    <row r="138" spans="1:8" ht="15" customHeight="1" x14ac:dyDescent="0.25">
      <c r="A138" s="21"/>
      <c r="H138" s="15"/>
    </row>
    <row r="139" spans="1:8" ht="15" customHeight="1" x14ac:dyDescent="0.25">
      <c r="A139" s="21"/>
      <c r="H139" s="15"/>
    </row>
    <row r="140" spans="1:8" ht="15" customHeight="1" x14ac:dyDescent="0.25">
      <c r="A140" s="21"/>
      <c r="H140" s="15"/>
    </row>
    <row r="141" spans="1:8" ht="15" customHeight="1" x14ac:dyDescent="0.25">
      <c r="A141" s="21"/>
      <c r="H141" s="15"/>
    </row>
    <row r="142" spans="1:8" ht="15" customHeight="1" x14ac:dyDescent="0.25">
      <c r="A142" s="21"/>
      <c r="H142" s="15"/>
    </row>
    <row r="143" spans="1:8" ht="15" customHeight="1" x14ac:dyDescent="0.25">
      <c r="A143" s="21"/>
      <c r="H143" s="15"/>
    </row>
    <row r="144" spans="1:8" ht="15" customHeight="1" x14ac:dyDescent="0.25">
      <c r="A144" s="21"/>
      <c r="H144" s="15"/>
    </row>
    <row r="145" spans="1:8" ht="15" customHeight="1" x14ac:dyDescent="0.25">
      <c r="A145" s="21"/>
      <c r="H145" s="15"/>
    </row>
    <row r="146" spans="1:8" ht="15" customHeight="1" x14ac:dyDescent="0.25">
      <c r="A146" s="21"/>
      <c r="H146" s="15"/>
    </row>
  </sheetData>
  <mergeCells count="10">
    <mergeCell ref="E10:E21"/>
    <mergeCell ref="G10:G21"/>
    <mergeCell ref="B2:G2"/>
    <mergeCell ref="B3:G3"/>
    <mergeCell ref="B4:G4"/>
    <mergeCell ref="B5:G5"/>
    <mergeCell ref="B7:G7"/>
    <mergeCell ref="B8:B9"/>
    <mergeCell ref="C8:C9"/>
    <mergeCell ref="D8:G8"/>
  </mergeCells>
  <printOptions horizontalCentered="1"/>
  <pageMargins left="0.35433070866141736" right="0.35433070866141736" top="1.5748031496062993" bottom="0.19685039370078741" header="0" footer="0"/>
  <pageSetup scale="82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D4C7F-E549-4726-8F76-9205A8A32AB2}">
  <dimension ref="A1:BD93"/>
  <sheetViews>
    <sheetView showGridLines="0" zoomScale="80" zoomScaleNormal="80" workbookViewId="0">
      <pane xSplit="3" ySplit="5" topLeftCell="D6" activePane="bottomRight" state="frozen"/>
      <selection activeCell="A32" sqref="A32"/>
      <selection pane="topRight" activeCell="A32" sqref="A32"/>
      <selection pane="bottomLeft" activeCell="A32" sqref="A32"/>
      <selection pane="bottomRight" activeCell="G17" sqref="G17"/>
    </sheetView>
  </sheetViews>
  <sheetFormatPr baseColWidth="10" defaultColWidth="11.42578125" defaultRowHeight="15" x14ac:dyDescent="0.25"/>
  <cols>
    <col min="1" max="1" width="10.85546875" style="2" customWidth="1"/>
    <col min="2" max="2" width="12.42578125" style="2" bestFit="1" customWidth="1"/>
    <col min="3" max="3" width="19.140625" style="2" bestFit="1" customWidth="1"/>
    <col min="4" max="27" width="11" style="4" customWidth="1"/>
    <col min="28" max="28" width="10.5703125" style="2" customWidth="1"/>
    <col min="29" max="30" width="12.5703125" style="2" customWidth="1"/>
    <col min="31" max="31" width="12.5703125" style="3" customWidth="1"/>
    <col min="32" max="34" width="11.42578125" style="3" customWidth="1"/>
    <col min="35" max="36" width="11.42578125" style="3"/>
    <col min="37" max="37" width="12.140625" style="3" bestFit="1" customWidth="1"/>
    <col min="38" max="56" width="11.42578125" style="3"/>
    <col min="57" max="16384" width="11.42578125" style="2"/>
  </cols>
  <sheetData>
    <row r="1" spans="1:30" ht="18.75" x14ac:dyDescent="0.3">
      <c r="B1" s="48" t="s">
        <v>54</v>
      </c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</row>
    <row r="2" spans="1:30" ht="18.75" x14ac:dyDescent="0.3">
      <c r="B2" s="48" t="s">
        <v>50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</row>
    <row r="3" spans="1:30" ht="18.75" x14ac:dyDescent="0.3">
      <c r="B3" s="48" t="s">
        <v>63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</row>
    <row r="5" spans="1:30" x14ac:dyDescent="0.25">
      <c r="A5" s="5" t="s">
        <v>43</v>
      </c>
      <c r="B5" s="5" t="s">
        <v>0</v>
      </c>
      <c r="C5" s="3" t="s">
        <v>1</v>
      </c>
      <c r="D5" s="6" t="s">
        <v>51</v>
      </c>
      <c r="E5" s="6" t="s">
        <v>2</v>
      </c>
      <c r="F5" s="6" t="s">
        <v>3</v>
      </c>
      <c r="G5" s="6" t="s">
        <v>4</v>
      </c>
      <c r="H5" s="6" t="s">
        <v>5</v>
      </c>
      <c r="I5" s="6" t="s">
        <v>6</v>
      </c>
      <c r="J5" s="6" t="s">
        <v>7</v>
      </c>
      <c r="K5" s="6" t="s">
        <v>8</v>
      </c>
      <c r="L5" s="6" t="s">
        <v>9</v>
      </c>
      <c r="M5" s="6" t="s">
        <v>10</v>
      </c>
      <c r="N5" s="6" t="s">
        <v>11</v>
      </c>
      <c r="O5" s="6" t="s">
        <v>12</v>
      </c>
      <c r="P5" s="6" t="s">
        <v>13</v>
      </c>
      <c r="Q5" s="6" t="s">
        <v>14</v>
      </c>
      <c r="R5" s="6" t="s">
        <v>15</v>
      </c>
      <c r="S5" s="6" t="s">
        <v>16</v>
      </c>
      <c r="T5" s="6" t="s">
        <v>17</v>
      </c>
      <c r="U5" s="6" t="s">
        <v>18</v>
      </c>
      <c r="V5" s="6" t="s">
        <v>19</v>
      </c>
      <c r="W5" s="6" t="s">
        <v>20</v>
      </c>
      <c r="X5" s="6" t="s">
        <v>21</v>
      </c>
      <c r="Y5" s="6" t="s">
        <v>22</v>
      </c>
      <c r="Z5" s="6" t="s">
        <v>23</v>
      </c>
      <c r="AA5" s="6" t="s">
        <v>24</v>
      </c>
      <c r="AB5" s="6" t="s">
        <v>48</v>
      </c>
      <c r="AC5" s="6" t="s">
        <v>47</v>
      </c>
    </row>
    <row r="6" spans="1:30" x14ac:dyDescent="0.25">
      <c r="A6" s="3">
        <v>2027</v>
      </c>
      <c r="B6" s="5" t="s">
        <v>57</v>
      </c>
      <c r="C6" s="7" t="s">
        <v>45</v>
      </c>
      <c r="D6" s="1">
        <v>1790.7215768433066</v>
      </c>
      <c r="E6" s="1">
        <v>1744.1413659978421</v>
      </c>
      <c r="F6" s="1">
        <v>1698.8634791798186</v>
      </c>
      <c r="G6" s="1">
        <v>1678.7829336877635</v>
      </c>
      <c r="H6" s="1">
        <v>1694.4450937019565</v>
      </c>
      <c r="I6" s="1">
        <v>1715.0660005176073</v>
      </c>
      <c r="J6" s="1">
        <v>1754.7170090453897</v>
      </c>
      <c r="K6" s="1">
        <v>1859.3744164593809</v>
      </c>
      <c r="L6" s="1">
        <v>1854.7763541867262</v>
      </c>
      <c r="M6" s="1">
        <v>1466.4552051989604</v>
      </c>
      <c r="N6" s="1">
        <v>1222.265124501811</v>
      </c>
      <c r="O6" s="1">
        <v>1093.5942461986469</v>
      </c>
      <c r="P6" s="1">
        <v>895.99502386072629</v>
      </c>
      <c r="Q6" s="1">
        <v>967.00162948857928</v>
      </c>
      <c r="R6" s="1">
        <v>1334.9803706926218</v>
      </c>
      <c r="S6" s="1">
        <v>1660.755361943613</v>
      </c>
      <c r="T6" s="1">
        <v>2008.2898785135503</v>
      </c>
      <c r="U6" s="1">
        <v>2247.3541795370425</v>
      </c>
      <c r="V6" s="1">
        <v>2081.0373526420553</v>
      </c>
      <c r="W6" s="1">
        <v>2018.5740458717669</v>
      </c>
      <c r="X6" s="1">
        <v>2010.5192017081936</v>
      </c>
      <c r="Y6" s="1">
        <v>1997.3019770423962</v>
      </c>
      <c r="Z6" s="1">
        <v>1909.0563811586453</v>
      </c>
      <c r="AA6" s="1">
        <v>1834.2120122879542</v>
      </c>
      <c r="AB6" s="8">
        <v>19</v>
      </c>
      <c r="AC6" s="8">
        <f t="shared" ref="AC6:AC41" si="0">AB6*SUM(D6:AA6)</f>
        <v>770227.3241850608</v>
      </c>
      <c r="AD6" s="9"/>
    </row>
    <row r="7" spans="1:30" x14ac:dyDescent="0.25">
      <c r="A7" s="3">
        <v>2027</v>
      </c>
      <c r="B7" s="5" t="s">
        <v>57</v>
      </c>
      <c r="C7" s="7" t="s">
        <v>46</v>
      </c>
      <c r="D7" s="1">
        <v>1809.661814743924</v>
      </c>
      <c r="E7" s="1">
        <v>1758.4066808936859</v>
      </c>
      <c r="F7" s="1">
        <v>1702.0568792755864</v>
      </c>
      <c r="G7" s="1">
        <v>1690.8393565011413</v>
      </c>
      <c r="H7" s="1">
        <v>1702.2239597018786</v>
      </c>
      <c r="I7" s="1">
        <v>1662.3894156057336</v>
      </c>
      <c r="J7" s="1">
        <v>1473.5705406189268</v>
      </c>
      <c r="K7" s="1">
        <v>1374.9134045955584</v>
      </c>
      <c r="L7" s="1">
        <v>1407.0391148693934</v>
      </c>
      <c r="M7" s="1">
        <v>1024.9493141521193</v>
      </c>
      <c r="N7" s="1">
        <v>696.37151827407558</v>
      </c>
      <c r="O7" s="1">
        <v>735.28583479156555</v>
      </c>
      <c r="P7" s="1">
        <v>0</v>
      </c>
      <c r="Q7" s="1">
        <v>0</v>
      </c>
      <c r="R7" s="1">
        <v>568.49587139435482</v>
      </c>
      <c r="S7" s="1">
        <v>735.94387462434668</v>
      </c>
      <c r="T7" s="1">
        <v>1179.9922383469432</v>
      </c>
      <c r="U7" s="1">
        <v>1612.8539249122566</v>
      </c>
      <c r="V7" s="1">
        <v>1893.5027726573246</v>
      </c>
      <c r="W7" s="1">
        <v>1904.2601816424421</v>
      </c>
      <c r="X7" s="1">
        <v>1905.5762613080051</v>
      </c>
      <c r="Y7" s="1">
        <v>1897.3044949724947</v>
      </c>
      <c r="Z7" s="1">
        <v>1851.7583707652552</v>
      </c>
      <c r="AA7" s="1">
        <v>1774.8294015641563</v>
      </c>
      <c r="AB7" s="8">
        <v>5</v>
      </c>
      <c r="AC7" s="8">
        <f t="shared" si="0"/>
        <v>161811.12613105582</v>
      </c>
      <c r="AD7" s="9"/>
    </row>
    <row r="8" spans="1:30" x14ac:dyDescent="0.25">
      <c r="A8" s="3">
        <v>2027</v>
      </c>
      <c r="B8" s="5" t="s">
        <v>57</v>
      </c>
      <c r="C8" s="7" t="s">
        <v>52</v>
      </c>
      <c r="D8" s="1">
        <v>1576.2759841222055</v>
      </c>
      <c r="E8" s="1">
        <v>1511.7053564297494</v>
      </c>
      <c r="F8" s="1">
        <v>1434.9717356582646</v>
      </c>
      <c r="G8" s="1">
        <v>1411.5621194643008</v>
      </c>
      <c r="H8" s="1">
        <v>1424.2894800767758</v>
      </c>
      <c r="I8" s="1">
        <v>1369.702921326495</v>
      </c>
      <c r="J8" s="1">
        <v>1059.4956883687728</v>
      </c>
      <c r="K8" s="1">
        <v>511.61990516694215</v>
      </c>
      <c r="L8" s="1">
        <v>233.47398450866797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449.31547494125658</v>
      </c>
      <c r="U8" s="1">
        <v>1045.4243184756206</v>
      </c>
      <c r="V8" s="1">
        <v>1570.6352178987568</v>
      </c>
      <c r="W8" s="1">
        <v>1644.9775494305959</v>
      </c>
      <c r="X8" s="1">
        <v>1660.6751123711465</v>
      </c>
      <c r="Y8" s="1">
        <v>1685.5014656207154</v>
      </c>
      <c r="Z8" s="1">
        <v>1605.7278238572212</v>
      </c>
      <c r="AA8" s="1">
        <v>1519.9934136605925</v>
      </c>
      <c r="AB8" s="8">
        <v>7</v>
      </c>
      <c r="AC8" s="8">
        <f t="shared" si="0"/>
        <v>152007.43285964659</v>
      </c>
      <c r="AD8" s="9"/>
    </row>
    <row r="9" spans="1:30" x14ac:dyDescent="0.25">
      <c r="A9" s="3">
        <v>2027</v>
      </c>
      <c r="B9" s="5" t="s">
        <v>58</v>
      </c>
      <c r="C9" s="7" t="s">
        <v>45</v>
      </c>
      <c r="D9" s="1">
        <v>1814.8414896167233</v>
      </c>
      <c r="E9" s="1">
        <v>1768.9483950938229</v>
      </c>
      <c r="F9" s="1">
        <v>1724.3384136914078</v>
      </c>
      <c r="G9" s="1">
        <v>1704.5540813405801</v>
      </c>
      <c r="H9" s="1">
        <v>1719.985204921124</v>
      </c>
      <c r="I9" s="1">
        <v>1740.3019275907195</v>
      </c>
      <c r="J9" s="1">
        <v>1779.368034189742</v>
      </c>
      <c r="K9" s="1">
        <v>1882.4816140510852</v>
      </c>
      <c r="L9" s="1">
        <v>1877.951378943279</v>
      </c>
      <c r="M9" s="1">
        <v>1495.3584521988928</v>
      </c>
      <c r="N9" s="1">
        <v>1254.7704803632059</v>
      </c>
      <c r="O9" s="1">
        <v>1127.9976583186121</v>
      </c>
      <c r="P9" s="1">
        <v>933.31327145545515</v>
      </c>
      <c r="Q9" s="1">
        <v>1003.2724409113546</v>
      </c>
      <c r="R9" s="1">
        <v>1365.8230358093037</v>
      </c>
      <c r="S9" s="1">
        <v>1686.7924388092169</v>
      </c>
      <c r="T9" s="1">
        <v>2029.2003869361342</v>
      </c>
      <c r="U9" s="1">
        <v>2264.7381907541803</v>
      </c>
      <c r="V9" s="1">
        <v>2100.8747449066886</v>
      </c>
      <c r="W9" s="1">
        <v>2039.3328499734052</v>
      </c>
      <c r="X9" s="1">
        <v>2031.3968248276087</v>
      </c>
      <c r="Y9" s="1">
        <v>2018.3745707435673</v>
      </c>
      <c r="Z9" s="1">
        <v>1931.4307076820933</v>
      </c>
      <c r="AA9" s="1">
        <v>1857.6903867873475</v>
      </c>
      <c r="AB9" s="8">
        <v>20</v>
      </c>
      <c r="AC9" s="8">
        <f t="shared" si="0"/>
        <v>823062.73959831079</v>
      </c>
    </row>
    <row r="10" spans="1:30" x14ac:dyDescent="0.25">
      <c r="A10" s="3">
        <v>2027</v>
      </c>
      <c r="B10" s="5" t="s">
        <v>58</v>
      </c>
      <c r="C10" s="7" t="s">
        <v>46</v>
      </c>
      <c r="D10" s="1">
        <v>1837.6384743659878</v>
      </c>
      <c r="E10" s="1">
        <v>1786.3041263786076</v>
      </c>
      <c r="F10" s="1">
        <v>1729.8672368811485</v>
      </c>
      <c r="G10" s="1">
        <v>1718.6323775723761</v>
      </c>
      <c r="H10" s="1">
        <v>1730.0345755280482</v>
      </c>
      <c r="I10" s="1">
        <v>1690.1384676664422</v>
      </c>
      <c r="J10" s="1">
        <v>1501.0277755847483</v>
      </c>
      <c r="K10" s="1">
        <v>1402.2181662515677</v>
      </c>
      <c r="L10" s="1">
        <v>1434.3935263892945</v>
      </c>
      <c r="M10" s="1">
        <v>1051.7132108962114</v>
      </c>
      <c r="N10" s="1">
        <v>722.6276023440148</v>
      </c>
      <c r="O10" s="1">
        <v>761.60206042731193</v>
      </c>
      <c r="P10" s="1">
        <v>0</v>
      </c>
      <c r="Q10" s="1">
        <v>0</v>
      </c>
      <c r="R10" s="1">
        <v>594.5543253291612</v>
      </c>
      <c r="S10" s="1">
        <v>762.26111725202429</v>
      </c>
      <c r="T10" s="1">
        <v>1206.9957518969532</v>
      </c>
      <c r="U10" s="1">
        <v>1640.5264205217684</v>
      </c>
      <c r="V10" s="1">
        <v>1921.6090073802493</v>
      </c>
      <c r="W10" s="1">
        <v>1932.3830417998674</v>
      </c>
      <c r="X10" s="1">
        <v>1933.7011554492929</v>
      </c>
      <c r="Y10" s="1">
        <v>1925.416605207397</v>
      </c>
      <c r="Z10" s="1">
        <v>1879.8000900625436</v>
      </c>
      <c r="AA10" s="1">
        <v>1802.7522281484864</v>
      </c>
      <c r="AB10" s="8">
        <v>4</v>
      </c>
      <c r="AC10" s="8">
        <f t="shared" si="0"/>
        <v>131864.789373334</v>
      </c>
    </row>
    <row r="11" spans="1:30" x14ac:dyDescent="0.25">
      <c r="A11" s="3">
        <v>2027</v>
      </c>
      <c r="B11" s="5" t="s">
        <v>58</v>
      </c>
      <c r="C11" s="7" t="s">
        <v>52</v>
      </c>
      <c r="D11" s="1">
        <v>1596.7532556911801</v>
      </c>
      <c r="E11" s="1">
        <v>1531.6366595273648</v>
      </c>
      <c r="F11" s="1">
        <v>1454.2542276922186</v>
      </c>
      <c r="G11" s="1">
        <v>1430.6466745596608</v>
      </c>
      <c r="H11" s="1">
        <v>1443.4816497000775</v>
      </c>
      <c r="I11" s="1">
        <v>1388.433541463557</v>
      </c>
      <c r="J11" s="1">
        <v>1075.6033919440024</v>
      </c>
      <c r="K11" s="1">
        <v>523.0951169337593</v>
      </c>
      <c r="L11" s="1">
        <v>242.59736993364061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460.26387977208998</v>
      </c>
      <c r="U11" s="1">
        <v>1061.4130434287576</v>
      </c>
      <c r="V11" s="1">
        <v>1591.0647947089478</v>
      </c>
      <c r="W11" s="1">
        <v>1666.0357180719989</v>
      </c>
      <c r="X11" s="1">
        <v>1681.8660096966119</v>
      </c>
      <c r="Y11" s="1">
        <v>1706.9022789190849</v>
      </c>
      <c r="Z11" s="1">
        <v>1626.454121593255</v>
      </c>
      <c r="AA11" s="1">
        <v>1539.9947953388037</v>
      </c>
      <c r="AB11" s="8">
        <v>4</v>
      </c>
      <c r="AC11" s="8">
        <f t="shared" si="0"/>
        <v>88081.986115900043</v>
      </c>
    </row>
    <row r="12" spans="1:30" x14ac:dyDescent="0.25">
      <c r="A12" s="3">
        <v>2027</v>
      </c>
      <c r="B12" s="5" t="s">
        <v>59</v>
      </c>
      <c r="C12" s="7" t="s">
        <v>45</v>
      </c>
      <c r="D12" s="1">
        <v>1838.6056035334018</v>
      </c>
      <c r="E12" s="1">
        <v>1793.3894895085991</v>
      </c>
      <c r="F12" s="1">
        <v>1749.4375610822121</v>
      </c>
      <c r="G12" s="1">
        <v>1729.9450723585933</v>
      </c>
      <c r="H12" s="1">
        <v>1745.148567581617</v>
      </c>
      <c r="I12" s="1">
        <v>1765.1655932014592</v>
      </c>
      <c r="J12" s="1">
        <v>1803.655425906139</v>
      </c>
      <c r="K12" s="1">
        <v>1905.2479516006001</v>
      </c>
      <c r="L12" s="1">
        <v>1900.7845431221958</v>
      </c>
      <c r="M12" s="1">
        <v>1523.8353401843797</v>
      </c>
      <c r="N12" s="1">
        <v>1286.7963416027919</v>
      </c>
      <c r="O12" s="1">
        <v>1161.8935771149004</v>
      </c>
      <c r="P12" s="1">
        <v>970.0810282605031</v>
      </c>
      <c r="Q12" s="1">
        <v>1039.0082125369954</v>
      </c>
      <c r="R12" s="1">
        <v>1396.2107330705726</v>
      </c>
      <c r="S12" s="1">
        <v>1712.4454362517895</v>
      </c>
      <c r="T12" s="1">
        <v>2049.8024392270372</v>
      </c>
      <c r="U12" s="1">
        <v>2281.8657660805802</v>
      </c>
      <c r="V12" s="1">
        <v>2120.419510844074</v>
      </c>
      <c r="W12" s="1">
        <v>2059.7854357716856</v>
      </c>
      <c r="X12" s="1">
        <v>2051.9664769146625</v>
      </c>
      <c r="Y12" s="1">
        <v>2039.1363173526361</v>
      </c>
      <c r="Z12" s="1">
        <v>1953.4749849274981</v>
      </c>
      <c r="AA12" s="1">
        <v>1880.822425921293</v>
      </c>
      <c r="AB12" s="8">
        <v>20</v>
      </c>
      <c r="AC12" s="8">
        <f t="shared" si="0"/>
        <v>835178.47667912429</v>
      </c>
    </row>
    <row r="13" spans="1:30" x14ac:dyDescent="0.25">
      <c r="A13" s="3">
        <v>2027</v>
      </c>
      <c r="B13" s="5" t="s">
        <v>59</v>
      </c>
      <c r="C13" s="7" t="s">
        <v>46</v>
      </c>
      <c r="D13" s="1">
        <v>1865.658371548577</v>
      </c>
      <c r="E13" s="1">
        <v>1814.2446869996447</v>
      </c>
      <c r="F13" s="1">
        <v>1757.7205750296505</v>
      </c>
      <c r="G13" s="1">
        <v>1746.4683523931642</v>
      </c>
      <c r="H13" s="1">
        <v>1757.8881722962344</v>
      </c>
      <c r="I13" s="1">
        <v>1717.9304055231753</v>
      </c>
      <c r="J13" s="1">
        <v>1528.5274453471011</v>
      </c>
      <c r="K13" s="1">
        <v>1429.5651270586079</v>
      </c>
      <c r="L13" s="1">
        <v>1461.79021379344</v>
      </c>
      <c r="M13" s="1">
        <v>1078.5184708917066</v>
      </c>
      <c r="N13" s="1">
        <v>748.92426484752923</v>
      </c>
      <c r="O13" s="1">
        <v>787.95895744463473</v>
      </c>
      <c r="P13" s="1">
        <v>0</v>
      </c>
      <c r="Q13" s="1">
        <v>0</v>
      </c>
      <c r="R13" s="1">
        <v>620.65305226276098</v>
      </c>
      <c r="S13" s="1">
        <v>788.61903283302604</v>
      </c>
      <c r="T13" s="1">
        <v>1234.0409990229971</v>
      </c>
      <c r="U13" s="1">
        <v>1668.2416836103132</v>
      </c>
      <c r="V13" s="1">
        <v>1949.7586799203184</v>
      </c>
      <c r="W13" s="1">
        <v>1960.549365468828</v>
      </c>
      <c r="X13" s="1">
        <v>1961.8695162456113</v>
      </c>
      <c r="Y13" s="1">
        <v>1953.5721623399704</v>
      </c>
      <c r="Z13" s="1">
        <v>1907.8851474692322</v>
      </c>
      <c r="AA13" s="1">
        <v>1830.718209095088</v>
      </c>
      <c r="AB13" s="8">
        <v>4</v>
      </c>
      <c r="AC13" s="8">
        <f t="shared" si="0"/>
        <v>134284.41156576644</v>
      </c>
    </row>
    <row r="14" spans="1:30" x14ac:dyDescent="0.25">
      <c r="A14" s="3">
        <v>2027</v>
      </c>
      <c r="B14" s="5" t="s">
        <v>59</v>
      </c>
      <c r="C14" s="7" t="s">
        <v>52</v>
      </c>
      <c r="D14" s="1">
        <v>1617.4036701434698</v>
      </c>
      <c r="E14" s="1">
        <v>1551.7364891435118</v>
      </c>
      <c r="F14" s="1">
        <v>1473.6997603078735</v>
      </c>
      <c r="G14" s="1">
        <v>1449.892596606905</v>
      </c>
      <c r="H14" s="1">
        <v>1462.8360961957865</v>
      </c>
      <c r="I14" s="1">
        <v>1407.3225359018966</v>
      </c>
      <c r="J14" s="1">
        <v>1091.8472920936242</v>
      </c>
      <c r="K14" s="1">
        <v>534.6673558482247</v>
      </c>
      <c r="L14" s="1">
        <v>251.79789694716672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471.30485740363673</v>
      </c>
      <c r="U14" s="1">
        <v>1077.536958948157</v>
      </c>
      <c r="V14" s="1">
        <v>1611.6671111256778</v>
      </c>
      <c r="W14" s="1">
        <v>1687.271941295704</v>
      </c>
      <c r="X14" s="1">
        <v>1703.2360838743548</v>
      </c>
      <c r="Y14" s="1">
        <v>1728.4840439867016</v>
      </c>
      <c r="Z14" s="1">
        <v>1647.3556678206887</v>
      </c>
      <c r="AA14" s="1">
        <v>1560.165296075791</v>
      </c>
      <c r="AB14" s="8">
        <v>7</v>
      </c>
      <c r="AC14" s="8">
        <f t="shared" si="0"/>
        <v>156297.57957603416</v>
      </c>
    </row>
    <row r="15" spans="1:30" x14ac:dyDescent="0.25">
      <c r="A15" s="3">
        <v>2027</v>
      </c>
      <c r="B15" s="5" t="s">
        <v>56</v>
      </c>
      <c r="C15" s="7" t="s">
        <v>45</v>
      </c>
      <c r="D15" s="1">
        <v>1862.0191670711311</v>
      </c>
      <c r="E15" s="1">
        <v>1817.4700472360378</v>
      </c>
      <c r="F15" s="1">
        <v>1774.1664646818949</v>
      </c>
      <c r="G15" s="1">
        <v>1754.9615145272583</v>
      </c>
      <c r="H15" s="1">
        <v>1769.9407391955092</v>
      </c>
      <c r="I15" s="1">
        <v>1789.6624886716213</v>
      </c>
      <c r="J15" s="1">
        <v>1827.5845482420859</v>
      </c>
      <c r="K15" s="1">
        <v>1927.6784572195302</v>
      </c>
      <c r="L15" s="1">
        <v>1923.2808895942289</v>
      </c>
      <c r="M15" s="1">
        <v>1551.8921584837162</v>
      </c>
      <c r="N15" s="1">
        <v>1318.349781365479</v>
      </c>
      <c r="O15" s="1">
        <v>1195.2894887482648</v>
      </c>
      <c r="P15" s="1">
        <v>1006.3064147029817</v>
      </c>
      <c r="Q15" s="1">
        <v>1074.2168368711641</v>
      </c>
      <c r="R15" s="1">
        <v>1426.1501738208822</v>
      </c>
      <c r="S15" s="1">
        <v>1737.720019922815</v>
      </c>
      <c r="T15" s="1">
        <v>2070.1005854996879</v>
      </c>
      <c r="U15" s="1">
        <v>2298.7406882661053</v>
      </c>
      <c r="V15" s="1">
        <v>2139.6759670582419</v>
      </c>
      <c r="W15" s="1">
        <v>2079.9363203692724</v>
      </c>
      <c r="X15" s="1">
        <v>2072.232700926962</v>
      </c>
      <c r="Y15" s="1">
        <v>2059.5918022526853</v>
      </c>
      <c r="Z15" s="1">
        <v>1975.1940815341832</v>
      </c>
      <c r="AA15" s="1">
        <v>1903.6132385692563</v>
      </c>
      <c r="AB15" s="8">
        <v>22</v>
      </c>
      <c r="AC15" s="8">
        <f t="shared" si="0"/>
        <v>931827.04064628179</v>
      </c>
    </row>
    <row r="16" spans="1:30" x14ac:dyDescent="0.25">
      <c r="A16" s="3">
        <v>2027</v>
      </c>
      <c r="B16" s="5" t="s">
        <v>56</v>
      </c>
      <c r="C16" s="7" t="s">
        <v>46</v>
      </c>
      <c r="D16" s="1">
        <v>1893.7215731147742</v>
      </c>
      <c r="E16" s="1">
        <v>1842.2284293906744</v>
      </c>
      <c r="F16" s="1">
        <v>1785.6169601469578</v>
      </c>
      <c r="G16" s="1">
        <v>1774.3473473479623</v>
      </c>
      <c r="H16" s="1">
        <v>1785.7848164329191</v>
      </c>
      <c r="I16" s="1">
        <v>1745.765295455368</v>
      </c>
      <c r="J16" s="1">
        <v>1556.069615488407</v>
      </c>
      <c r="K16" s="1">
        <v>1456.9543522349134</v>
      </c>
      <c r="L16" s="1">
        <v>1489.2292424186544</v>
      </c>
      <c r="M16" s="1">
        <v>1105.3651580649673</v>
      </c>
      <c r="N16" s="1">
        <v>775.26156849805579</v>
      </c>
      <c r="O16" s="1">
        <v>814.35658870062082</v>
      </c>
      <c r="P16" s="1">
        <v>0</v>
      </c>
      <c r="Q16" s="1">
        <v>0</v>
      </c>
      <c r="R16" s="1">
        <v>646.7921144365456</v>
      </c>
      <c r="S16" s="1">
        <v>815.0176842268678</v>
      </c>
      <c r="T16" s="1">
        <v>1261.1280442237694</v>
      </c>
      <c r="U16" s="1">
        <v>1695.999780274469</v>
      </c>
      <c r="V16" s="1">
        <v>1977.9518574101085</v>
      </c>
      <c r="W16" s="1">
        <v>1988.7592198216107</v>
      </c>
      <c r="X16" s="1">
        <v>1990.0814108741056</v>
      </c>
      <c r="Y16" s="1">
        <v>1981.7712335168253</v>
      </c>
      <c r="Z16" s="1">
        <v>1936.0136099638005</v>
      </c>
      <c r="AA16" s="1">
        <v>1858.727411098462</v>
      </c>
      <c r="AB16" s="8">
        <v>4</v>
      </c>
      <c r="AC16" s="8">
        <f t="shared" si="0"/>
        <v>136707.77325256338</v>
      </c>
    </row>
    <row r="17" spans="1:29" x14ac:dyDescent="0.25">
      <c r="A17" s="3">
        <v>2027</v>
      </c>
      <c r="B17" s="5" t="s">
        <v>56</v>
      </c>
      <c r="C17" s="7" t="s">
        <v>52</v>
      </c>
      <c r="D17" s="1">
        <v>1638.228691466009</v>
      </c>
      <c r="E17" s="1">
        <v>1572.0062702320583</v>
      </c>
      <c r="F17" s="1">
        <v>1493.3097120734783</v>
      </c>
      <c r="G17" s="1">
        <v>1469.3012500231252</v>
      </c>
      <c r="H17" s="1">
        <v>1482.3541916747081</v>
      </c>
      <c r="I17" s="1">
        <v>1426.3712437546405</v>
      </c>
      <c r="J17" s="1">
        <v>1108.2285404099052</v>
      </c>
      <c r="K17" s="1">
        <v>546.33744231065612</v>
      </c>
      <c r="L17" s="1">
        <v>261.07621780982805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482.43919057306852</v>
      </c>
      <c r="U17" s="1">
        <v>1093.7972081199159</v>
      </c>
      <c r="V17" s="1">
        <v>1632.4436277260279</v>
      </c>
      <c r="W17" s="1">
        <v>1708.6877246188728</v>
      </c>
      <c r="X17" s="1">
        <v>1724.7868499107431</v>
      </c>
      <c r="Y17" s="1">
        <v>1750.2482908375109</v>
      </c>
      <c r="Z17" s="1">
        <v>1668.433944330151</v>
      </c>
      <c r="AA17" s="1">
        <v>1580.5063458355689</v>
      </c>
      <c r="AB17" s="8">
        <v>4</v>
      </c>
      <c r="AC17" s="8">
        <f t="shared" si="0"/>
        <v>90554.226966825066</v>
      </c>
    </row>
    <row r="18" spans="1:29" x14ac:dyDescent="0.25">
      <c r="A18" s="3">
        <v>2027</v>
      </c>
      <c r="B18" s="5" t="s">
        <v>25</v>
      </c>
      <c r="C18" s="7" t="s">
        <v>45</v>
      </c>
      <c r="D18" s="1">
        <v>1885.0873512860931</v>
      </c>
      <c r="E18" s="1">
        <v>1841.1953866428494</v>
      </c>
      <c r="F18" s="1">
        <v>1798.5305860490794</v>
      </c>
      <c r="G18" s="1">
        <v>1779.6089329101874</v>
      </c>
      <c r="H18" s="1">
        <v>1794.3671952946256</v>
      </c>
      <c r="I18" s="1">
        <v>1813.7980243191423</v>
      </c>
      <c r="J18" s="1">
        <v>1851.1606861186833</v>
      </c>
      <c r="K18" s="1">
        <v>1949.7780848485504</v>
      </c>
      <c r="L18" s="1">
        <v>1945.4453868414857</v>
      </c>
      <c r="M18" s="1">
        <v>1579.5351036497464</v>
      </c>
      <c r="N18" s="1">
        <v>1349.4377684584492</v>
      </c>
      <c r="O18" s="1">
        <v>1228.1927689492318</v>
      </c>
      <c r="P18" s="1">
        <v>1041.9974314235542</v>
      </c>
      <c r="Q18" s="1">
        <v>1108.9060899952005</v>
      </c>
      <c r="R18" s="1">
        <v>1455.6479704039675</v>
      </c>
      <c r="S18" s="1">
        <v>1762.6217718983385</v>
      </c>
      <c r="T18" s="1">
        <v>2090.0993087476554</v>
      </c>
      <c r="U18" s="1">
        <v>2315.3666842603311</v>
      </c>
      <c r="V18" s="1">
        <v>2158.6483664779184</v>
      </c>
      <c r="W18" s="1">
        <v>2099.78995423592</v>
      </c>
      <c r="X18" s="1">
        <v>2092.1999728078126</v>
      </c>
      <c r="Y18" s="1">
        <v>2079.7455431866665</v>
      </c>
      <c r="Z18" s="1">
        <v>1996.5927943229563</v>
      </c>
      <c r="AA18" s="1">
        <v>1926.0678582483456</v>
      </c>
      <c r="AB18" s="8">
        <v>19</v>
      </c>
      <c r="AC18" s="8">
        <f t="shared" si="0"/>
        <v>815932.59940615913</v>
      </c>
    </row>
    <row r="19" spans="1:29" x14ac:dyDescent="0.25">
      <c r="A19" s="3">
        <v>2027</v>
      </c>
      <c r="B19" s="5" t="s">
        <v>25</v>
      </c>
      <c r="C19" s="7" t="s">
        <v>46</v>
      </c>
      <c r="D19" s="1">
        <v>1921.8281459909363</v>
      </c>
      <c r="E19" s="1">
        <v>1870.2554202885558</v>
      </c>
      <c r="F19" s="1">
        <v>1813.5564587615961</v>
      </c>
      <c r="G19" s="1">
        <v>1802.2694289238234</v>
      </c>
      <c r="H19" s="1">
        <v>1813.7245744672459</v>
      </c>
      <c r="I19" s="1">
        <v>1773.6432038448897</v>
      </c>
      <c r="J19" s="1">
        <v>1583.6543516924439</v>
      </c>
      <c r="K19" s="1">
        <v>1484.3859070995127</v>
      </c>
      <c r="L19" s="1">
        <v>1516.7106777027398</v>
      </c>
      <c r="M19" s="1">
        <v>1132.2533364411536</v>
      </c>
      <c r="N19" s="1">
        <v>801.63957610595423</v>
      </c>
      <c r="O19" s="1">
        <v>840.79501714950175</v>
      </c>
      <c r="P19" s="1">
        <v>0</v>
      </c>
      <c r="Q19" s="1">
        <v>0</v>
      </c>
      <c r="R19" s="1">
        <v>672.97157418809968</v>
      </c>
      <c r="S19" s="1">
        <v>841.45713439021415</v>
      </c>
      <c r="T19" s="1">
        <v>1288.2569520976465</v>
      </c>
      <c r="U19" s="1">
        <v>1723.8007767129652</v>
      </c>
      <c r="V19" s="1">
        <v>2006.1886070859487</v>
      </c>
      <c r="W19" s="1">
        <v>2017.0126721343167</v>
      </c>
      <c r="X19" s="1">
        <v>2018.3369066157425</v>
      </c>
      <c r="Y19" s="1">
        <v>2010.0138859883464</v>
      </c>
      <c r="Z19" s="1">
        <v>1964.1855446282425</v>
      </c>
      <c r="AA19" s="1">
        <v>1886.7799009561847</v>
      </c>
      <c r="AB19" s="8">
        <v>4</v>
      </c>
      <c r="AC19" s="8">
        <f t="shared" si="0"/>
        <v>139134.88021306426</v>
      </c>
    </row>
    <row r="20" spans="1:29" x14ac:dyDescent="0.25">
      <c r="A20" s="3">
        <v>2027</v>
      </c>
      <c r="B20" s="5" t="s">
        <v>25</v>
      </c>
      <c r="C20" s="7" t="s">
        <v>52</v>
      </c>
      <c r="D20" s="1">
        <v>1659.2297960242827</v>
      </c>
      <c r="E20" s="1">
        <v>1592.4474397953836</v>
      </c>
      <c r="F20" s="1">
        <v>1513.0854732135849</v>
      </c>
      <c r="G20" s="1">
        <v>1488.8740107620629</v>
      </c>
      <c r="H20" s="1">
        <v>1502.0373198493503</v>
      </c>
      <c r="I20" s="1">
        <v>1445.5810154576116</v>
      </c>
      <c r="J20" s="1">
        <v>1124.74829822225</v>
      </c>
      <c r="K20" s="1">
        <v>558.10620365815862</v>
      </c>
      <c r="L20" s="1">
        <v>270.43299029731008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493.66766863588856</v>
      </c>
      <c r="U20" s="1">
        <v>1110.194943695346</v>
      </c>
      <c r="V20" s="1">
        <v>1653.3958174367972</v>
      </c>
      <c r="W20" s="1">
        <v>1730.2845862883696</v>
      </c>
      <c r="X20" s="1">
        <v>1746.5198356220826</v>
      </c>
      <c r="Y20" s="1">
        <v>1772.1965624222908</v>
      </c>
      <c r="Z20" s="1">
        <v>1689.6904454413557</v>
      </c>
      <c r="AA20" s="1">
        <v>1601.0193866730251</v>
      </c>
      <c r="AB20" s="8">
        <v>8</v>
      </c>
      <c r="AC20" s="8">
        <f t="shared" si="0"/>
        <v>183612.09434796122</v>
      </c>
    </row>
    <row r="21" spans="1:29" x14ac:dyDescent="0.25">
      <c r="A21" s="3">
        <v>2027</v>
      </c>
      <c r="B21" s="5" t="s">
        <v>26</v>
      </c>
      <c r="C21" s="7" t="s">
        <v>45</v>
      </c>
      <c r="D21" s="1">
        <v>1907.8152509549286</v>
      </c>
      <c r="E21" s="1">
        <v>1864.5707476431899</v>
      </c>
      <c r="F21" s="1">
        <v>1822.5353061775736</v>
      </c>
      <c r="G21" s="1">
        <v>1803.8927710693997</v>
      </c>
      <c r="H21" s="1">
        <v>1818.4333306398539</v>
      </c>
      <c r="I21" s="1">
        <v>1837.5775306530081</v>
      </c>
      <c r="J21" s="1">
        <v>1874.3890464978417</v>
      </c>
      <c r="K21" s="1">
        <v>1971.5517153515193</v>
      </c>
      <c r="L21" s="1">
        <v>1967.2829300547528</v>
      </c>
      <c r="M21" s="1">
        <v>1606.7702808284153</v>
      </c>
      <c r="N21" s="1">
        <v>1380.0671688902708</v>
      </c>
      <c r="O21" s="1">
        <v>1260.6106846470839</v>
      </c>
      <c r="P21" s="1">
        <v>1077.1619610434354</v>
      </c>
      <c r="Q21" s="1">
        <v>1143.0836332835265</v>
      </c>
      <c r="R21" s="1">
        <v>1484.71063762323</v>
      </c>
      <c r="S21" s="1">
        <v>1787.1561919118062</v>
      </c>
      <c r="T21" s="1">
        <v>2109.8030258347508</v>
      </c>
      <c r="U21" s="1">
        <v>2331.7474260356698</v>
      </c>
      <c r="V21" s="1">
        <v>2177.3408992958161</v>
      </c>
      <c r="W21" s="1">
        <v>2119.3507221913928</v>
      </c>
      <c r="X21" s="1">
        <v>2111.8727024747623</v>
      </c>
      <c r="Y21" s="1">
        <v>2099.6019912551774</v>
      </c>
      <c r="Z21" s="1">
        <v>2017.6758493555249</v>
      </c>
      <c r="AA21" s="1">
        <v>1948.1912442250014</v>
      </c>
      <c r="AB21" s="8">
        <v>21</v>
      </c>
      <c r="AC21" s="8">
        <f t="shared" si="0"/>
        <v>913987.05400669656</v>
      </c>
    </row>
    <row r="22" spans="1:29" x14ac:dyDescent="0.25">
      <c r="A22" s="3">
        <v>2027</v>
      </c>
      <c r="B22" s="5" t="s">
        <v>26</v>
      </c>
      <c r="C22" s="7" t="s">
        <v>46</v>
      </c>
      <c r="D22" s="1">
        <v>1949.9781572068541</v>
      </c>
      <c r="E22" s="1">
        <v>1898.3257265332893</v>
      </c>
      <c r="F22" s="1">
        <v>1841.5391375049101</v>
      </c>
      <c r="G22" s="1">
        <v>1830.2346637105552</v>
      </c>
      <c r="H22" s="1">
        <v>1841.7075130311782</v>
      </c>
      <c r="I22" s="1">
        <v>1801.564197176202</v>
      </c>
      <c r="J22" s="1">
        <v>1611.2817197445038</v>
      </c>
      <c r="K22" s="1">
        <v>1511.8598570723836</v>
      </c>
      <c r="L22" s="1">
        <v>1544.234585184631</v>
      </c>
      <c r="M22" s="1">
        <v>1159.1830701443753</v>
      </c>
      <c r="N22" s="1">
        <v>828.05835057865681</v>
      </c>
      <c r="O22" s="1">
        <v>867.2743058428041</v>
      </c>
      <c r="P22" s="1">
        <v>0</v>
      </c>
      <c r="Q22" s="1">
        <v>0</v>
      </c>
      <c r="R22" s="1">
        <v>699.19149395134991</v>
      </c>
      <c r="S22" s="1">
        <v>867.93744637702821</v>
      </c>
      <c r="T22" s="1">
        <v>1315.4277873428405</v>
      </c>
      <c r="U22" s="1">
        <v>1751.6447392268403</v>
      </c>
      <c r="V22" s="1">
        <v>2034.4689962880811</v>
      </c>
      <c r="W22" s="1">
        <v>2045.3097897870211</v>
      </c>
      <c r="X22" s="1">
        <v>2046.6360708554703</v>
      </c>
      <c r="Y22" s="1">
        <v>2038.3001871088529</v>
      </c>
      <c r="Z22" s="1">
        <v>1992.4010186482269</v>
      </c>
      <c r="AA22" s="1">
        <v>1914.8757455690675</v>
      </c>
      <c r="AB22" s="8">
        <v>4</v>
      </c>
      <c r="AC22" s="8">
        <f t="shared" si="0"/>
        <v>141565.73823554048</v>
      </c>
    </row>
    <row r="23" spans="1:29" x14ac:dyDescent="0.25">
      <c r="A23" s="3">
        <v>2027</v>
      </c>
      <c r="B23" s="5" t="s">
        <v>26</v>
      </c>
      <c r="C23" s="7" t="s">
        <v>52</v>
      </c>
      <c r="D23" s="1">
        <v>1680.4084726669898</v>
      </c>
      <c r="E23" s="1">
        <v>1613.0614469862512</v>
      </c>
      <c r="F23" s="1">
        <v>1533.0284457076073</v>
      </c>
      <c r="G23" s="1">
        <v>1508.6122664116556</v>
      </c>
      <c r="H23" s="1">
        <v>1521.8868761320214</v>
      </c>
      <c r="I23" s="1">
        <v>1464.9532128650653</v>
      </c>
      <c r="J23" s="1">
        <v>1141.4077366795314</v>
      </c>
      <c r="K23" s="1">
        <v>569.97447422327764</v>
      </c>
      <c r="L23" s="1">
        <v>279.86887774703433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504.99108762189189</v>
      </c>
      <c r="U23" s="1">
        <v>1126.7313281726961</v>
      </c>
      <c r="V23" s="1">
        <v>1674.5251656389241</v>
      </c>
      <c r="W23" s="1">
        <v>1752.0640573883957</v>
      </c>
      <c r="X23" s="1">
        <v>1768.4365817429289</v>
      </c>
      <c r="Y23" s="1">
        <v>1794.3304147380372</v>
      </c>
      <c r="Z23" s="1">
        <v>1711.1266781090417</v>
      </c>
      <c r="AA23" s="1">
        <v>1621.705872836153</v>
      </c>
      <c r="AB23" s="8">
        <v>5</v>
      </c>
      <c r="AC23" s="8">
        <f t="shared" si="0"/>
        <v>116335.5649783375</v>
      </c>
    </row>
    <row r="24" spans="1:29" x14ac:dyDescent="0.25">
      <c r="A24" s="3">
        <v>2027</v>
      </c>
      <c r="B24" s="5" t="s">
        <v>27</v>
      </c>
      <c r="C24" s="7" t="s">
        <v>45</v>
      </c>
      <c r="D24" s="1">
        <v>1930.2078856999565</v>
      </c>
      <c r="E24" s="1">
        <v>1887.6012928559321</v>
      </c>
      <c r="F24" s="1">
        <v>1846.1859266848019</v>
      </c>
      <c r="G24" s="1">
        <v>1827.8183922675712</v>
      </c>
      <c r="H24" s="1">
        <v>1842.1444604126173</v>
      </c>
      <c r="I24" s="1">
        <v>1861.0062595505347</v>
      </c>
      <c r="J24" s="1">
        <v>1897.2747595322753</v>
      </c>
      <c r="K24" s="1">
        <v>1993.0041575934538</v>
      </c>
      <c r="L24" s="1">
        <v>1988.7983422146353</v>
      </c>
      <c r="M24" s="1">
        <v>1633.6037051071357</v>
      </c>
      <c r="N24" s="1">
        <v>1410.2447473873035</v>
      </c>
      <c r="O24" s="1">
        <v>1292.5503955748159</v>
      </c>
      <c r="P24" s="1">
        <v>1111.8077699053265</v>
      </c>
      <c r="Q24" s="1">
        <v>1176.7570150957172</v>
      </c>
      <c r="R24" s="1">
        <v>1513.3445941805799</v>
      </c>
      <c r="S24" s="1">
        <v>1811.3286985687241</v>
      </c>
      <c r="T24" s="1">
        <v>2129.2160884705249</v>
      </c>
      <c r="U24" s="1">
        <v>2347.8865313983506</v>
      </c>
      <c r="V24" s="1">
        <v>2195.7576938940683</v>
      </c>
      <c r="W24" s="1">
        <v>2138.622944373883</v>
      </c>
      <c r="X24" s="1">
        <v>2131.2552347935634</v>
      </c>
      <c r="Y24" s="1">
        <v>2119.1655318995186</v>
      </c>
      <c r="Z24" s="1">
        <v>2038.4479029782788</v>
      </c>
      <c r="AA24" s="1">
        <v>1969.9882826102867</v>
      </c>
      <c r="AB24" s="8">
        <v>20</v>
      </c>
      <c r="AC24" s="8">
        <f t="shared" si="0"/>
        <v>881880.37226099707</v>
      </c>
    </row>
    <row r="25" spans="1:29" x14ac:dyDescent="0.25">
      <c r="A25" s="3">
        <v>2027</v>
      </c>
      <c r="B25" s="5" t="s">
        <v>27</v>
      </c>
      <c r="C25" s="7" t="s">
        <v>46</v>
      </c>
      <c r="D25" s="1">
        <v>1978.1716738959119</v>
      </c>
      <c r="E25" s="1">
        <v>1926.4394150681751</v>
      </c>
      <c r="F25" s="1">
        <v>1869.5650631112223</v>
      </c>
      <c r="G25" s="1">
        <v>1858.2431184008792</v>
      </c>
      <c r="H25" s="1">
        <v>1869.733698859658</v>
      </c>
      <c r="I25" s="1">
        <v>1829.5283420365172</v>
      </c>
      <c r="J25" s="1">
        <v>1638.9517855315487</v>
      </c>
      <c r="K25" s="1">
        <v>1539.3762676746103</v>
      </c>
      <c r="L25" s="1">
        <v>1571.8010305045527</v>
      </c>
      <c r="M25" s="1">
        <v>1186.1544233978454</v>
      </c>
      <c r="N25" s="1">
        <v>854.5179549208184</v>
      </c>
      <c r="O25" s="1">
        <v>893.79451792949976</v>
      </c>
      <c r="P25" s="1">
        <v>0</v>
      </c>
      <c r="Q25" s="1">
        <v>0</v>
      </c>
      <c r="R25" s="1">
        <v>725.45193625671368</v>
      </c>
      <c r="S25" s="1">
        <v>894.45868333872227</v>
      </c>
      <c r="T25" s="1">
        <v>1342.640614757554</v>
      </c>
      <c r="U25" s="1">
        <v>1779.5317342196004</v>
      </c>
      <c r="V25" s="1">
        <v>2062.7930924608213</v>
      </c>
      <c r="W25" s="1">
        <v>2073.6506402639343</v>
      </c>
      <c r="X25" s="1">
        <v>2074.9789710823802</v>
      </c>
      <c r="Y25" s="1">
        <v>2066.6302043367596</v>
      </c>
      <c r="Z25" s="1">
        <v>2020.6600993132563</v>
      </c>
      <c r="AA25" s="1">
        <v>1943.0150119413156</v>
      </c>
      <c r="AB25" s="8">
        <v>5</v>
      </c>
      <c r="AC25" s="8">
        <f t="shared" si="0"/>
        <v>180000.44139651148</v>
      </c>
    </row>
    <row r="26" spans="1:29" x14ac:dyDescent="0.25">
      <c r="A26" s="3">
        <v>2027</v>
      </c>
      <c r="B26" s="5" t="s">
        <v>27</v>
      </c>
      <c r="C26" s="7" t="s">
        <v>52</v>
      </c>
      <c r="D26" s="1">
        <v>1701.7662228315949</v>
      </c>
      <c r="E26" s="1">
        <v>1633.8497532105457</v>
      </c>
      <c r="F26" s="1">
        <v>1553.1400433892113</v>
      </c>
      <c r="G26" s="1">
        <v>1528.5174162924091</v>
      </c>
      <c r="H26" s="1">
        <v>1541.9042677337543</v>
      </c>
      <c r="I26" s="1">
        <v>1484.4892093462367</v>
      </c>
      <c r="J26" s="1">
        <v>1158.2080368331171</v>
      </c>
      <c r="K26" s="1">
        <v>581.94309539314804</v>
      </c>
      <c r="L26" s="1">
        <v>289.38454910518487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516.41025029159914</v>
      </c>
      <c r="U26" s="1">
        <v>1143.4075338795674</v>
      </c>
      <c r="V26" s="1">
        <v>1695.833170272791</v>
      </c>
      <c r="W26" s="1">
        <v>1774.0276819490341</v>
      </c>
      <c r="X26" s="1">
        <v>1790.538642035317</v>
      </c>
      <c r="Y26" s="1">
        <v>1816.651416938274</v>
      </c>
      <c r="Z26" s="1">
        <v>1732.7441620298055</v>
      </c>
      <c r="AA26" s="1">
        <v>1642.5672708691495</v>
      </c>
      <c r="AB26" s="8">
        <v>6</v>
      </c>
      <c r="AC26" s="8">
        <f t="shared" si="0"/>
        <v>141512.29633440447</v>
      </c>
    </row>
    <row r="27" spans="1:29" x14ac:dyDescent="0.25">
      <c r="A27" s="3">
        <v>2027</v>
      </c>
      <c r="B27" s="5" t="s">
        <v>28</v>
      </c>
      <c r="C27" s="7" t="s">
        <v>45</v>
      </c>
      <c r="D27" s="1">
        <v>1952.2702010977928</v>
      </c>
      <c r="E27" s="1">
        <v>1910.2921087448694</v>
      </c>
      <c r="F27" s="1">
        <v>1869.4876709827058</v>
      </c>
      <c r="G27" s="1">
        <v>1851.3910806525514</v>
      </c>
      <c r="H27" s="1">
        <v>1865.5058213887696</v>
      </c>
      <c r="I27" s="1">
        <v>1884.0893854172841</v>
      </c>
      <c r="J27" s="1">
        <v>1919.8228796985345</v>
      </c>
      <c r="K27" s="1">
        <v>2014.1401495026021</v>
      </c>
      <c r="L27" s="1">
        <v>2009.9963751567466</v>
      </c>
      <c r="M27" s="1">
        <v>1660.0413028432636</v>
      </c>
      <c r="N27" s="1">
        <v>1439.9771688877404</v>
      </c>
      <c r="O27" s="1">
        <v>1324.018955850413</v>
      </c>
      <c r="P27" s="1">
        <v>1145.9425097886674</v>
      </c>
      <c r="Q27" s="1">
        <v>1209.9336724436102</v>
      </c>
      <c r="R27" s="1">
        <v>1541.5561640940514</v>
      </c>
      <c r="S27" s="1">
        <v>1835.1446305433942</v>
      </c>
      <c r="T27" s="1">
        <v>2148.3427841713733</v>
      </c>
      <c r="U27" s="1">
        <v>2363.7875647874403</v>
      </c>
      <c r="V27" s="1">
        <v>2213.9028177560126</v>
      </c>
      <c r="W27" s="1">
        <v>2157.6108771941458</v>
      </c>
      <c r="X27" s="1">
        <v>2150.3518505377688</v>
      </c>
      <c r="Y27" s="1">
        <v>2138.4404858702515</v>
      </c>
      <c r="Z27" s="1">
        <v>2058.9135428506802</v>
      </c>
      <c r="AA27" s="1">
        <v>1991.4637874390201</v>
      </c>
      <c r="AB27" s="8">
        <v>21</v>
      </c>
      <c r="AC27" s="8">
        <f t="shared" si="0"/>
        <v>937784.89954169327</v>
      </c>
    </row>
    <row r="28" spans="1:29" x14ac:dyDescent="0.25">
      <c r="A28" s="3">
        <v>2027</v>
      </c>
      <c r="B28" s="5" t="s">
        <v>28</v>
      </c>
      <c r="C28" s="7" t="s">
        <v>46</v>
      </c>
      <c r="D28" s="1">
        <v>2006.408763295248</v>
      </c>
      <c r="E28" s="1">
        <v>1954.5965529399739</v>
      </c>
      <c r="F28" s="1">
        <v>1897.6343024179923</v>
      </c>
      <c r="G28" s="1">
        <v>1886.2948597905895</v>
      </c>
      <c r="H28" s="1">
        <v>1897.8031987907657</v>
      </c>
      <c r="I28" s="1">
        <v>1857.5357051159576</v>
      </c>
      <c r="J28" s="1">
        <v>1666.6646150423678</v>
      </c>
      <c r="K28" s="1">
        <v>1566.9352045285384</v>
      </c>
      <c r="L28" s="1">
        <v>1599.410079404176</v>
      </c>
      <c r="M28" s="1">
        <v>1213.167460524033</v>
      </c>
      <c r="N28" s="1">
        <v>881.01845223446674</v>
      </c>
      <c r="O28" s="1">
        <v>920.35571665615646</v>
      </c>
      <c r="P28" s="1">
        <v>0</v>
      </c>
      <c r="Q28" s="1">
        <v>0</v>
      </c>
      <c r="R28" s="1">
        <v>751.75296373124843</v>
      </c>
      <c r="S28" s="1">
        <v>921.0209085243082</v>
      </c>
      <c r="T28" s="1">
        <v>1369.8954992401341</v>
      </c>
      <c r="U28" s="1">
        <v>1807.4618281973771</v>
      </c>
      <c r="V28" s="1">
        <v>2091.1609631527194</v>
      </c>
      <c r="W28" s="1">
        <v>2102.0352911535624</v>
      </c>
      <c r="X28" s="1">
        <v>2103.365674889867</v>
      </c>
      <c r="Y28" s="1">
        <v>2095.0040052347372</v>
      </c>
      <c r="Z28" s="1">
        <v>2048.9628540168287</v>
      </c>
      <c r="AA28" s="1">
        <v>1971.197767180689</v>
      </c>
      <c r="AB28" s="8">
        <v>3</v>
      </c>
      <c r="AC28" s="8">
        <f t="shared" si="0"/>
        <v>109829.04799818521</v>
      </c>
    </row>
    <row r="29" spans="1:29" x14ac:dyDescent="0.25">
      <c r="A29" s="3">
        <v>2027</v>
      </c>
      <c r="B29" s="5" t="s">
        <v>28</v>
      </c>
      <c r="C29" s="7" t="s">
        <v>52</v>
      </c>
      <c r="D29" s="1">
        <v>1723.304560650769</v>
      </c>
      <c r="E29" s="1">
        <v>1654.8138322308782</v>
      </c>
      <c r="F29" s="1">
        <v>1573.4216920465487</v>
      </c>
      <c r="G29" s="1">
        <v>1548.5908715566002</v>
      </c>
      <c r="H29" s="1">
        <v>1562.090913764071</v>
      </c>
      <c r="I29" s="1">
        <v>1504.1903898827054</v>
      </c>
      <c r="J29" s="1">
        <v>1175.1503897206012</v>
      </c>
      <c r="K29" s="1">
        <v>594.01291566914313</v>
      </c>
      <c r="L29" s="1">
        <v>298.98067897413245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527.92596619316703</v>
      </c>
      <c r="U29" s="1">
        <v>1160.2247430560224</v>
      </c>
      <c r="V29" s="1">
        <v>1717.3213419444178</v>
      </c>
      <c r="W29" s="1">
        <v>1796.177017055712</v>
      </c>
      <c r="X29" s="1">
        <v>1812.8275833989128</v>
      </c>
      <c r="Y29" s="1">
        <v>1839.161151444297</v>
      </c>
      <c r="Z29" s="1">
        <v>1754.5444297498389</v>
      </c>
      <c r="AA29" s="1">
        <v>1663.6050597163835</v>
      </c>
      <c r="AB29" s="8">
        <v>7</v>
      </c>
      <c r="AC29" s="8">
        <f t="shared" si="0"/>
        <v>167344.40475937942</v>
      </c>
    </row>
    <row r="30" spans="1:29" x14ac:dyDescent="0.25">
      <c r="A30" s="3">
        <v>2027</v>
      </c>
      <c r="B30" s="5" t="s">
        <v>29</v>
      </c>
      <c r="C30" s="7" t="s">
        <v>45</v>
      </c>
      <c r="D30" s="1">
        <v>1974.0070697716178</v>
      </c>
      <c r="E30" s="1">
        <v>1932.6482067420975</v>
      </c>
      <c r="F30" s="1">
        <v>1892.4456854313735</v>
      </c>
      <c r="G30" s="1">
        <v>1874.6160424244044</v>
      </c>
      <c r="H30" s="1">
        <v>1888.522573095177</v>
      </c>
      <c r="I30" s="1">
        <v>1906.8320063298706</v>
      </c>
      <c r="J30" s="1">
        <v>1942.0383869133248</v>
      </c>
      <c r="K30" s="1">
        <v>2034.9643591168497</v>
      </c>
      <c r="L30" s="1">
        <v>2030.8817106211864</v>
      </c>
      <c r="M30" s="1">
        <v>1686.0889129729776</v>
      </c>
      <c r="N30" s="1">
        <v>1469.2710000136067</v>
      </c>
      <c r="O30" s="1">
        <v>1355.0233155348046</v>
      </c>
      <c r="P30" s="1">
        <v>1179.5737195995894</v>
      </c>
      <c r="Q30" s="1">
        <v>1242.6209326338244</v>
      </c>
      <c r="R30" s="1">
        <v>1569.3515780945108</v>
      </c>
      <c r="S30" s="1">
        <v>1858.6092477580009</v>
      </c>
      <c r="T30" s="1">
        <v>2167.1873372074674</v>
      </c>
      <c r="U30" s="1">
        <v>2379.4540380620742</v>
      </c>
      <c r="V30" s="1">
        <v>2231.7802783645238</v>
      </c>
      <c r="W30" s="1">
        <v>2176.3187142755587</v>
      </c>
      <c r="X30" s="1">
        <v>2169.1667673341722</v>
      </c>
      <c r="Y30" s="1">
        <v>2157.4311101814665</v>
      </c>
      <c r="Z30" s="1">
        <v>2079.0772889584809</v>
      </c>
      <c r="AA30" s="1">
        <v>2012.6225017329903</v>
      </c>
      <c r="AB30" s="8">
        <v>22</v>
      </c>
      <c r="AC30" s="8">
        <f t="shared" si="0"/>
        <v>994631.72122973879</v>
      </c>
    </row>
    <row r="31" spans="1:29" x14ac:dyDescent="0.25">
      <c r="A31" s="3">
        <v>2027</v>
      </c>
      <c r="B31" s="5" t="s">
        <v>29</v>
      </c>
      <c r="C31" s="7" t="s">
        <v>46</v>
      </c>
      <c r="D31" s="1">
        <v>2034.6894927459145</v>
      </c>
      <c r="E31" s="1">
        <v>1982.797207299066</v>
      </c>
      <c r="F31" s="1">
        <v>1925.7469223659762</v>
      </c>
      <c r="G31" s="1">
        <v>1914.3899547787123</v>
      </c>
      <c r="H31" s="1">
        <v>1925.9160797658785</v>
      </c>
      <c r="I31" s="1">
        <v>1885.586353207714</v>
      </c>
      <c r="J31" s="1">
        <v>1694.4202743677356</v>
      </c>
      <c r="K31" s="1">
        <v>1594.5367333579322</v>
      </c>
      <c r="L31" s="1">
        <v>1627.0617977267743</v>
      </c>
      <c r="M31" s="1">
        <v>1240.2222459448167</v>
      </c>
      <c r="N31" s="1">
        <v>907.55990571915288</v>
      </c>
      <c r="O31" s="1">
        <v>946.95796536708872</v>
      </c>
      <c r="P31" s="1">
        <v>0</v>
      </c>
      <c r="Q31" s="1">
        <v>0</v>
      </c>
      <c r="R31" s="1">
        <v>778.09463909880071</v>
      </c>
      <c r="S31" s="1">
        <v>947.62418528054843</v>
      </c>
      <c r="T31" s="1">
        <v>1397.1925057892277</v>
      </c>
      <c r="U31" s="1">
        <v>1835.4350877690867</v>
      </c>
      <c r="V31" s="1">
        <v>2119.5726760167204</v>
      </c>
      <c r="W31" s="1">
        <v>2130.463810148869</v>
      </c>
      <c r="X31" s="1">
        <v>2131.79624997579</v>
      </c>
      <c r="Y31" s="1">
        <v>2123.4216574698735</v>
      </c>
      <c r="Z31" s="1">
        <v>2077.3093502565985</v>
      </c>
      <c r="AA31" s="1">
        <v>1999.4240784986612</v>
      </c>
      <c r="AB31" s="8">
        <v>4</v>
      </c>
      <c r="AC31" s="8">
        <f t="shared" si="0"/>
        <v>148880.87669180377</v>
      </c>
    </row>
    <row r="32" spans="1:29" x14ac:dyDescent="0.25">
      <c r="A32" s="3">
        <v>2027</v>
      </c>
      <c r="B32" s="5" t="s">
        <v>29</v>
      </c>
      <c r="C32" s="7" t="s">
        <v>52</v>
      </c>
      <c r="D32" s="1">
        <v>1745.0250130597337</v>
      </c>
      <c r="E32" s="1">
        <v>1675.9551702710655</v>
      </c>
      <c r="F32" s="1">
        <v>1593.8748295233354</v>
      </c>
      <c r="G32" s="1">
        <v>1568.8340552883178</v>
      </c>
      <c r="H32" s="1">
        <v>1582.4482453315882</v>
      </c>
      <c r="I32" s="1">
        <v>1524.0581511665796</v>
      </c>
      <c r="J32" s="1">
        <v>1192.2359964502389</v>
      </c>
      <c r="K32" s="1">
        <v>606.18479072702837</v>
      </c>
      <c r="L32" s="1">
        <v>308.65794766025965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539.53905171978067</v>
      </c>
      <c r="U32" s="1">
        <v>1177.1841479384002</v>
      </c>
      <c r="V32" s="1">
        <v>1738.9912040325562</v>
      </c>
      <c r="W32" s="1">
        <v>1818.513632959588</v>
      </c>
      <c r="X32" s="1">
        <v>1835.3049859820967</v>
      </c>
      <c r="Y32" s="1">
        <v>1861.8612140573578</v>
      </c>
      <c r="Z32" s="1">
        <v>1776.5290267735768</v>
      </c>
      <c r="AA32" s="1">
        <v>1684.8207308272436</v>
      </c>
      <c r="AB32" s="8">
        <v>4</v>
      </c>
      <c r="AC32" s="8">
        <f t="shared" si="0"/>
        <v>96920.072775074979</v>
      </c>
    </row>
    <row r="33" spans="1:29" x14ac:dyDescent="0.25">
      <c r="A33" s="3">
        <v>2027</v>
      </c>
      <c r="B33" s="5" t="s">
        <v>30</v>
      </c>
      <c r="C33" s="7" t="s">
        <v>45</v>
      </c>
      <c r="D33" s="1">
        <v>1995.4232924673306</v>
      </c>
      <c r="E33" s="1">
        <v>1954.6745243548248</v>
      </c>
      <c r="F33" s="1">
        <v>1915.0650404756502</v>
      </c>
      <c r="G33" s="1">
        <v>1897.498406985238</v>
      </c>
      <c r="H33" s="1">
        <v>1911.1997989492361</v>
      </c>
      <c r="I33" s="1">
        <v>1929.2391451619064</v>
      </c>
      <c r="J33" s="1">
        <v>1963.9261876333553</v>
      </c>
      <c r="K33" s="1">
        <v>2055.4813856146898</v>
      </c>
      <c r="L33" s="1">
        <v>2051.4589612865375</v>
      </c>
      <c r="M33" s="1">
        <v>1711.7522883008505</v>
      </c>
      <c r="N33" s="1">
        <v>1498.1327105210457</v>
      </c>
      <c r="O33" s="1">
        <v>1385.5703221668355</v>
      </c>
      <c r="P33" s="1">
        <v>1212.7088270359359</v>
      </c>
      <c r="Q33" s="1">
        <v>1274.8260148860491</v>
      </c>
      <c r="R33" s="1">
        <v>1596.7369750017565</v>
      </c>
      <c r="S33" s="1">
        <v>1881.7277325443033</v>
      </c>
      <c r="T33" s="1">
        <v>2185.7539095357138</v>
      </c>
      <c r="U33" s="1">
        <v>2394.8894112770772</v>
      </c>
      <c r="V33" s="1">
        <v>2249.3940240870966</v>
      </c>
      <c r="W33" s="1">
        <v>2194.7505873803129</v>
      </c>
      <c r="X33" s="1">
        <v>2187.7041405943</v>
      </c>
      <c r="Y33" s="1">
        <v>2176.1415990509763</v>
      </c>
      <c r="Z33" s="1">
        <v>2098.9435946119934</v>
      </c>
      <c r="AA33" s="1">
        <v>2033.4690985484867</v>
      </c>
      <c r="AB33" s="8">
        <v>20</v>
      </c>
      <c r="AC33" s="8">
        <f t="shared" si="0"/>
        <v>915129.35956942989</v>
      </c>
    </row>
    <row r="34" spans="1:29" x14ac:dyDescent="0.25">
      <c r="A34" s="3">
        <v>2027</v>
      </c>
      <c r="B34" s="5" t="s">
        <v>30</v>
      </c>
      <c r="C34" s="7" t="s">
        <v>46</v>
      </c>
      <c r="D34" s="1">
        <v>2063.0139296930383</v>
      </c>
      <c r="E34" s="1">
        <v>2011.0414453996116</v>
      </c>
      <c r="F34" s="1">
        <v>1953.9029899993859</v>
      </c>
      <c r="G34" s="1">
        <v>1942.5284703676652</v>
      </c>
      <c r="H34" s="1">
        <v>1954.0724088298314</v>
      </c>
      <c r="I34" s="1">
        <v>1913.6803532082051</v>
      </c>
      <c r="J34" s="1">
        <v>1722.2188297005687</v>
      </c>
      <c r="K34" s="1">
        <v>1622.1809199881311</v>
      </c>
      <c r="L34" s="1">
        <v>1654.7562514173812</v>
      </c>
      <c r="M34" s="1">
        <v>1267.3188441816383</v>
      </c>
      <c r="N34" s="1">
        <v>934.14237867210204</v>
      </c>
      <c r="O34" s="1">
        <v>973.60132750450884</v>
      </c>
      <c r="P34" s="1">
        <v>0</v>
      </c>
      <c r="Q34" s="1">
        <v>0</v>
      </c>
      <c r="R34" s="1">
        <v>804.47702518015615</v>
      </c>
      <c r="S34" s="1">
        <v>974.26857705210716</v>
      </c>
      <c r="T34" s="1">
        <v>1424.5316995039361</v>
      </c>
      <c r="U34" s="1">
        <v>1863.4515796465885</v>
      </c>
      <c r="V34" s="1">
        <v>2148.0282988103259</v>
      </c>
      <c r="W34" s="1">
        <v>2158.9362650474359</v>
      </c>
      <c r="X34" s="1">
        <v>2160.2707641426346</v>
      </c>
      <c r="Y34" s="1">
        <v>2151.8832288138346</v>
      </c>
      <c r="Z34" s="1">
        <v>2105.6996556345357</v>
      </c>
      <c r="AA34" s="1">
        <v>2027.6940132105804</v>
      </c>
      <c r="AB34" s="8">
        <v>5</v>
      </c>
      <c r="AC34" s="8">
        <f t="shared" si="0"/>
        <v>189158.49628002098</v>
      </c>
    </row>
    <row r="35" spans="1:29" x14ac:dyDescent="0.25">
      <c r="A35" s="3">
        <v>2027</v>
      </c>
      <c r="B35" s="5" t="s">
        <v>30</v>
      </c>
      <c r="C35" s="7" t="s">
        <v>52</v>
      </c>
      <c r="D35" s="1">
        <v>1766.9291199045115</v>
      </c>
      <c r="E35" s="1">
        <v>1697.2752661214954</v>
      </c>
      <c r="F35" s="1">
        <v>1614.5009058207866</v>
      </c>
      <c r="G35" s="1">
        <v>1589.2484026043526</v>
      </c>
      <c r="H35" s="1">
        <v>1602.9777056454727</v>
      </c>
      <c r="I35" s="1">
        <v>1544.0939016995153</v>
      </c>
      <c r="J35" s="1">
        <v>1209.4660682860986</v>
      </c>
      <c r="K35" s="1">
        <v>618.45958347762337</v>
      </c>
      <c r="L35" s="1">
        <v>318.41704122219045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551.25033016753059</v>
      </c>
      <c r="U35" s="1">
        <v>1194.2869508438371</v>
      </c>
      <c r="V35" s="1">
        <v>1760.8442927966871</v>
      </c>
      <c r="W35" s="1">
        <v>1841.0391131888728</v>
      </c>
      <c r="X35" s="1">
        <v>1857.9724432939865</v>
      </c>
      <c r="Y35" s="1">
        <v>1884.7532140717963</v>
      </c>
      <c r="Z35" s="1">
        <v>1798.6995116732646</v>
      </c>
      <c r="AA35" s="1">
        <v>1706.2157882618731</v>
      </c>
      <c r="AB35" s="8">
        <v>6</v>
      </c>
      <c r="AC35" s="8">
        <f t="shared" si="0"/>
        <v>147338.57783447937</v>
      </c>
    </row>
    <row r="36" spans="1:29" x14ac:dyDescent="0.25">
      <c r="A36" s="3">
        <v>2027</v>
      </c>
      <c r="B36" s="5" t="s">
        <v>31</v>
      </c>
      <c r="C36" s="7" t="s">
        <v>45</v>
      </c>
      <c r="D36" s="1">
        <v>2016.5235991138288</v>
      </c>
      <c r="E36" s="1">
        <v>1976.3759262558588</v>
      </c>
      <c r="F36" s="1">
        <v>1937.3507317649828</v>
      </c>
      <c r="G36" s="1">
        <v>1920.0432280720674</v>
      </c>
      <c r="H36" s="1">
        <v>1933.5425073815836</v>
      </c>
      <c r="I36" s="1">
        <v>1951.3157506933412</v>
      </c>
      <c r="J36" s="1">
        <v>1985.4911159389681</v>
      </c>
      <c r="K36" s="1">
        <v>2075.6957603309843</v>
      </c>
      <c r="L36" s="1">
        <v>2071.7326717886085</v>
      </c>
      <c r="M36" s="1">
        <v>1737.0370967703989</v>
      </c>
      <c r="N36" s="1">
        <v>1526.5686747292125</v>
      </c>
      <c r="O36" s="1">
        <v>1415.6667222755946</v>
      </c>
      <c r="P36" s="1">
        <v>1245.3551502277251</v>
      </c>
      <c r="Q36" s="1">
        <v>1306.5560319274605</v>
      </c>
      <c r="R36" s="1">
        <v>1623.7184030803232</v>
      </c>
      <c r="S36" s="1">
        <v>1904.5051907881902</v>
      </c>
      <c r="T36" s="1">
        <v>2204.0466017189533</v>
      </c>
      <c r="U36" s="1">
        <v>2410.0970934471407</v>
      </c>
      <c r="V36" s="1">
        <v>2266.7479450478704</v>
      </c>
      <c r="W36" s="1">
        <v>2212.9105673219442</v>
      </c>
      <c r="X36" s="1">
        <v>2205.968064432167</v>
      </c>
      <c r="Y36" s="1">
        <v>2194.5760848266391</v>
      </c>
      <c r="Z36" s="1">
        <v>2118.5168474296383</v>
      </c>
      <c r="AA36" s="1">
        <v>2054.0081820083792</v>
      </c>
      <c r="AB36" s="8">
        <v>20</v>
      </c>
      <c r="AC36" s="8">
        <f t="shared" si="0"/>
        <v>925886.99894743727</v>
      </c>
    </row>
    <row r="37" spans="1:29" x14ac:dyDescent="0.25">
      <c r="A37" s="3">
        <v>2027</v>
      </c>
      <c r="B37" s="5" t="s">
        <v>31</v>
      </c>
      <c r="C37" s="7" t="s">
        <v>46</v>
      </c>
      <c r="D37" s="1">
        <v>2091.3821416859823</v>
      </c>
      <c r="E37" s="1">
        <v>2039.3293345997117</v>
      </c>
      <c r="F37" s="1">
        <v>1982.1025724660494</v>
      </c>
      <c r="G37" s="1">
        <v>1970.7104736634176</v>
      </c>
      <c r="H37" s="1">
        <v>1982.2722531310756</v>
      </c>
      <c r="I37" s="1">
        <v>1941.8177721172374</v>
      </c>
      <c r="J37" s="1">
        <v>1750.0603473360839</v>
      </c>
      <c r="K37" s="1">
        <v>1649.8678303462068</v>
      </c>
      <c r="L37" s="1">
        <v>1682.4935065229477</v>
      </c>
      <c r="M37" s="1">
        <v>1294.4573198556564</v>
      </c>
      <c r="N37" s="1">
        <v>960.76593448836445</v>
      </c>
      <c r="O37" s="1">
        <v>1000.2858666086782</v>
      </c>
      <c r="P37" s="1">
        <v>0</v>
      </c>
      <c r="Q37" s="1">
        <v>0</v>
      </c>
      <c r="R37" s="1">
        <v>830.90018489318902</v>
      </c>
      <c r="S37" s="1">
        <v>1000.9541473817012</v>
      </c>
      <c r="T37" s="1">
        <v>1451.9131455839706</v>
      </c>
      <c r="U37" s="1">
        <v>1891.5113706448437</v>
      </c>
      <c r="V37" s="1">
        <v>2176.5278993957568</v>
      </c>
      <c r="W37" s="1">
        <v>2187.4527237516254</v>
      </c>
      <c r="X37" s="1">
        <v>2188.7892852976738</v>
      </c>
      <c r="Y37" s="1">
        <v>2180.3887871430275</v>
      </c>
      <c r="Z37" s="1">
        <v>2134.1338378570886</v>
      </c>
      <c r="AA37" s="1">
        <v>2056.0076387358299</v>
      </c>
      <c r="AB37" s="8">
        <v>4</v>
      </c>
      <c r="AC37" s="8">
        <f t="shared" si="0"/>
        <v>153776.49749402449</v>
      </c>
    </row>
    <row r="38" spans="1:29" x14ac:dyDescent="0.25">
      <c r="A38" s="3">
        <v>2027</v>
      </c>
      <c r="B38" s="5" t="s">
        <v>31</v>
      </c>
      <c r="C38" s="7" t="s">
        <v>52</v>
      </c>
      <c r="D38" s="1">
        <v>1789.0184340510905</v>
      </c>
      <c r="E38" s="1">
        <v>1718.7756312453807</v>
      </c>
      <c r="F38" s="1">
        <v>1635.3013832004126</v>
      </c>
      <c r="G38" s="1">
        <v>1609.8353607559366</v>
      </c>
      <c r="H38" s="1">
        <v>1623.6807501177582</v>
      </c>
      <c r="I38" s="1">
        <v>1564.2990618925692</v>
      </c>
      <c r="J38" s="1">
        <v>1226.8418267339334</v>
      </c>
      <c r="K38" s="1">
        <v>630.83816412797694</v>
      </c>
      <c r="L38" s="1">
        <v>328.25865151942747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563.06063179377952</v>
      </c>
      <c r="U38" s="1">
        <v>1211.5343642555049</v>
      </c>
      <c r="V38" s="1">
        <v>1782.8821574859312</v>
      </c>
      <c r="W38" s="1">
        <v>1863.7550546610928</v>
      </c>
      <c r="X38" s="1">
        <v>1880.8315623174076</v>
      </c>
      <c r="Y38" s="1">
        <v>1907.838774389129</v>
      </c>
      <c r="Z38" s="1">
        <v>1821.0574561994504</v>
      </c>
      <c r="AA38" s="1">
        <v>1727.7917487977993</v>
      </c>
      <c r="AB38" s="8">
        <v>6</v>
      </c>
      <c r="AC38" s="8">
        <f t="shared" si="0"/>
        <v>149313.60608126747</v>
      </c>
    </row>
    <row r="39" spans="1:29" x14ac:dyDescent="0.25">
      <c r="A39" s="3">
        <v>2027</v>
      </c>
      <c r="B39" s="5" t="s">
        <v>32</v>
      </c>
      <c r="C39" s="7" t="s">
        <v>45</v>
      </c>
      <c r="D39" s="1">
        <v>2037.3126498676475</v>
      </c>
      <c r="E39" s="1">
        <v>1997.7572053580029</v>
      </c>
      <c r="F39" s="1">
        <v>1959.3076812567451</v>
      </c>
      <c r="G39" s="1">
        <v>1942.2554848729724</v>
      </c>
      <c r="H39" s="1">
        <v>1955.5556329422461</v>
      </c>
      <c r="I39" s="1">
        <v>1973.0666987034356</v>
      </c>
      <c r="J39" s="1">
        <v>2006.7379346017788</v>
      </c>
      <c r="K39" s="1">
        <v>2095.6119477577436</v>
      </c>
      <c r="L39" s="1">
        <v>2091.7073197241502</v>
      </c>
      <c r="M39" s="1">
        <v>1761.9489227158883</v>
      </c>
      <c r="N39" s="1">
        <v>1554.585172928088</v>
      </c>
      <c r="O39" s="1">
        <v>1445.3191628704358</v>
      </c>
      <c r="P39" s="1">
        <v>1277.5198993534113</v>
      </c>
      <c r="Q39" s="1">
        <v>1337.8179915636206</v>
      </c>
      <c r="R39" s="1">
        <v>1650.3018213752853</v>
      </c>
      <c r="S39" s="1">
        <v>1926.9466530573523</v>
      </c>
      <c r="T39" s="1">
        <v>2222.0694538316006</v>
      </c>
      <c r="U39" s="1">
        <v>2425.0804432997297</v>
      </c>
      <c r="V39" s="1">
        <v>2283.845873986792</v>
      </c>
      <c r="W39" s="1">
        <v>2230.8026648644013</v>
      </c>
      <c r="X39" s="1">
        <v>2223.9625725684887</v>
      </c>
      <c r="Y39" s="1">
        <v>2212.738638899018</v>
      </c>
      <c r="Z39" s="1">
        <v>2137.801370306981</v>
      </c>
      <c r="AA39" s="1">
        <v>2074.2442883189706</v>
      </c>
      <c r="AB39" s="8">
        <v>22</v>
      </c>
      <c r="AC39" s="8">
        <f t="shared" si="0"/>
        <v>1030134.5446705454</v>
      </c>
    </row>
    <row r="40" spans="1:29" x14ac:dyDescent="0.25">
      <c r="A40" s="3">
        <v>2027</v>
      </c>
      <c r="B40" s="5" t="s">
        <v>32</v>
      </c>
      <c r="C40" s="7" t="s">
        <v>46</v>
      </c>
      <c r="D40" s="1">
        <v>2119.7941963785056</v>
      </c>
      <c r="E40" s="1">
        <v>2067.6609423615682</v>
      </c>
      <c r="F40" s="1">
        <v>2010.3457370175709</v>
      </c>
      <c r="G40" s="1">
        <v>1998.9360318756499</v>
      </c>
      <c r="H40" s="1">
        <v>2010.5156799218396</v>
      </c>
      <c r="I40" s="1">
        <v>1969.9986770381647</v>
      </c>
      <c r="J40" s="1">
        <v>1777.9448936719566</v>
      </c>
      <c r="K40" s="1">
        <v>1677.5975304611204</v>
      </c>
      <c r="L40" s="1">
        <v>1710.2736291924989</v>
      </c>
      <c r="M40" s="1">
        <v>1321.6377376879011</v>
      </c>
      <c r="N40" s="1">
        <v>987.43063666096657</v>
      </c>
      <c r="O40" s="1">
        <v>1027.0116463180589</v>
      </c>
      <c r="P40" s="1">
        <v>0</v>
      </c>
      <c r="Q40" s="1">
        <v>0</v>
      </c>
      <c r="R40" s="1">
        <v>857.36418125301236</v>
      </c>
      <c r="S40" s="1">
        <v>1027.6809599102521</v>
      </c>
      <c r="T40" s="1">
        <v>1479.3369093298074</v>
      </c>
      <c r="U40" s="1">
        <v>1919.614527682076</v>
      </c>
      <c r="V40" s="1">
        <v>2205.0715457401134</v>
      </c>
      <c r="W40" s="1">
        <v>2216.0132542687425</v>
      </c>
      <c r="X40" s="1">
        <v>2217.3518814531308</v>
      </c>
      <c r="Y40" s="1">
        <v>2208.9384004387612</v>
      </c>
      <c r="Z40" s="1">
        <v>2162.6119647353453</v>
      </c>
      <c r="AA40" s="1">
        <v>2084.3650225979886</v>
      </c>
      <c r="AB40" s="8">
        <v>3</v>
      </c>
      <c r="AC40" s="8">
        <f t="shared" si="0"/>
        <v>117172.4879579851</v>
      </c>
    </row>
    <row r="41" spans="1:29" x14ac:dyDescent="0.25">
      <c r="A41" s="3">
        <v>2027</v>
      </c>
      <c r="B41" s="5" t="s">
        <v>32</v>
      </c>
      <c r="C41" s="7" t="s">
        <v>52</v>
      </c>
      <c r="D41" s="1">
        <v>1811.2945214955134</v>
      </c>
      <c r="E41" s="1">
        <v>1740.4577898859138</v>
      </c>
      <c r="F41" s="1">
        <v>1656.2777362876836</v>
      </c>
      <c r="G41" s="1">
        <v>1630.5963892313448</v>
      </c>
      <c r="H41" s="1">
        <v>1644.5588464665229</v>
      </c>
      <c r="I41" s="1">
        <v>1584.6750641668973</v>
      </c>
      <c r="J41" s="1">
        <v>1244.3645036277785</v>
      </c>
      <c r="K41" s="1">
        <v>643.3214102430594</v>
      </c>
      <c r="L41" s="1">
        <v>338.1834762614007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574.97079387602219</v>
      </c>
      <c r="U41" s="1">
        <v>1228.9276109085672</v>
      </c>
      <c r="V41" s="1">
        <v>1805.1063604488827</v>
      </c>
      <c r="W41" s="1">
        <v>1886.6630677963008</v>
      </c>
      <c r="X41" s="1">
        <v>1903.8839636228172</v>
      </c>
      <c r="Y41" s="1">
        <v>1931.1195316331041</v>
      </c>
      <c r="Z41" s="1">
        <v>1843.6044453924128</v>
      </c>
      <c r="AA41" s="1">
        <v>1749.5501420374621</v>
      </c>
      <c r="AB41" s="8">
        <v>6</v>
      </c>
      <c r="AC41" s="8">
        <f t="shared" si="0"/>
        <v>151305.33392029005</v>
      </c>
    </row>
    <row r="42" spans="1:29" x14ac:dyDescent="0.25">
      <c r="B42" s="5"/>
      <c r="C42" s="7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8"/>
      <c r="AC42" s="8"/>
    </row>
    <row r="43" spans="1:29" x14ac:dyDescent="0.25">
      <c r="B43" s="5"/>
      <c r="C43" s="7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8"/>
      <c r="AC43" s="8"/>
    </row>
    <row r="44" spans="1:29" x14ac:dyDescent="0.25">
      <c r="B44" s="5"/>
      <c r="C44" s="7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8"/>
      <c r="AC44" s="8"/>
    </row>
    <row r="45" spans="1:29" x14ac:dyDescent="0.25">
      <c r="B45" s="5"/>
      <c r="C45" s="7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8"/>
      <c r="AC45" s="8"/>
    </row>
    <row r="46" spans="1:29" x14ac:dyDescent="0.25">
      <c r="B46" s="5"/>
      <c r="C46" s="7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8"/>
      <c r="AC46" s="8"/>
    </row>
    <row r="47" spans="1:29" x14ac:dyDescent="0.25">
      <c r="B47" s="5"/>
      <c r="C47" s="7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8"/>
      <c r="AC47" s="8"/>
    </row>
    <row r="48" spans="1:29" x14ac:dyDescent="0.25">
      <c r="B48" s="5"/>
      <c r="C48" s="7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8"/>
      <c r="AC48" s="8"/>
    </row>
    <row r="49" spans="2:29" x14ac:dyDescent="0.25">
      <c r="B49" s="5"/>
      <c r="C49" s="7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8"/>
      <c r="AC49" s="8"/>
    </row>
    <row r="50" spans="2:29" x14ac:dyDescent="0.25">
      <c r="B50" s="5"/>
      <c r="C50" s="7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8"/>
      <c r="AC50" s="8"/>
    </row>
    <row r="51" spans="2:29" x14ac:dyDescent="0.25">
      <c r="B51" s="5"/>
      <c r="C51" s="7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8"/>
      <c r="AC51" s="8"/>
    </row>
    <row r="52" spans="2:29" x14ac:dyDescent="0.25">
      <c r="B52" s="5"/>
      <c r="C52" s="7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8"/>
      <c r="AC52" s="8"/>
    </row>
    <row r="53" spans="2:29" x14ac:dyDescent="0.25">
      <c r="B53" s="5"/>
      <c r="C53" s="7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8"/>
      <c r="AC53" s="8"/>
    </row>
    <row r="54" spans="2:29" x14ac:dyDescent="0.25">
      <c r="B54" s="5"/>
      <c r="C54" s="7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8"/>
      <c r="AC54" s="8"/>
    </row>
    <row r="55" spans="2:29" x14ac:dyDescent="0.25">
      <c r="B55" s="5"/>
      <c r="C55" s="7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8"/>
      <c r="AC55" s="8"/>
    </row>
    <row r="56" spans="2:29" x14ac:dyDescent="0.25">
      <c r="B56" s="5"/>
      <c r="C56" s="7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8"/>
      <c r="AC56" s="8"/>
    </row>
    <row r="57" spans="2:29" x14ac:dyDescent="0.25">
      <c r="B57" s="5"/>
      <c r="C57" s="7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8"/>
      <c r="AC57" s="8"/>
    </row>
    <row r="58" spans="2:29" x14ac:dyDescent="0.25">
      <c r="B58" s="5"/>
      <c r="C58" s="7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8"/>
      <c r="AC58" s="8"/>
    </row>
    <row r="59" spans="2:29" x14ac:dyDescent="0.25">
      <c r="B59" s="5"/>
      <c r="C59" s="7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8"/>
      <c r="AC59" s="8"/>
    </row>
    <row r="60" spans="2:29" x14ac:dyDescent="0.25">
      <c r="B60" s="5"/>
      <c r="C60" s="7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8"/>
      <c r="AC60" s="8"/>
    </row>
    <row r="61" spans="2:29" x14ac:dyDescent="0.25">
      <c r="B61" s="5"/>
      <c r="C61" s="7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8"/>
      <c r="AC61" s="8"/>
    </row>
    <row r="62" spans="2:29" x14ac:dyDescent="0.25">
      <c r="B62" s="5"/>
      <c r="C62" s="7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8"/>
      <c r="AC62" s="8"/>
    </row>
    <row r="63" spans="2:29" x14ac:dyDescent="0.25">
      <c r="B63" s="5"/>
      <c r="C63" s="7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8"/>
      <c r="AC63" s="8"/>
    </row>
    <row r="64" spans="2:29" x14ac:dyDescent="0.25">
      <c r="B64" s="5"/>
      <c r="C64" s="7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8"/>
      <c r="AC64" s="8"/>
    </row>
    <row r="65" spans="2:29" x14ac:dyDescent="0.25">
      <c r="B65" s="5"/>
      <c r="C65" s="7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8"/>
      <c r="AC65" s="8"/>
    </row>
    <row r="66" spans="2:29" x14ac:dyDescent="0.25">
      <c r="B66" s="5"/>
      <c r="C66" s="7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8"/>
      <c r="AC66" s="8"/>
    </row>
    <row r="67" spans="2:29" x14ac:dyDescent="0.25">
      <c r="B67" s="5"/>
      <c r="C67" s="7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8"/>
      <c r="AC67" s="8"/>
    </row>
    <row r="68" spans="2:29" x14ac:dyDescent="0.25">
      <c r="B68" s="5"/>
      <c r="C68" s="7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8"/>
      <c r="AC68" s="8"/>
    </row>
    <row r="69" spans="2:29" x14ac:dyDescent="0.25">
      <c r="B69" s="5"/>
      <c r="C69" s="7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8"/>
      <c r="AC69" s="8"/>
    </row>
    <row r="70" spans="2:29" x14ac:dyDescent="0.25">
      <c r="B70" s="5"/>
      <c r="C70" s="7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8"/>
      <c r="AC70" s="8"/>
    </row>
    <row r="71" spans="2:29" x14ac:dyDescent="0.25">
      <c r="B71" s="5"/>
      <c r="C71" s="7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8"/>
      <c r="AC71" s="8"/>
    </row>
    <row r="72" spans="2:29" x14ac:dyDescent="0.25">
      <c r="B72" s="5"/>
      <c r="C72" s="7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8"/>
      <c r="AC72" s="8"/>
    </row>
    <row r="73" spans="2:29" x14ac:dyDescent="0.25">
      <c r="B73" s="5"/>
      <c r="C73" s="7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8"/>
      <c r="AC73" s="8"/>
    </row>
    <row r="74" spans="2:29" x14ac:dyDescent="0.25">
      <c r="B74" s="5"/>
      <c r="C74" s="7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8"/>
      <c r="AC74" s="8"/>
    </row>
    <row r="75" spans="2:29" x14ac:dyDescent="0.25">
      <c r="B75" s="5"/>
      <c r="C75" s="7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8"/>
      <c r="AC75" s="8"/>
    </row>
    <row r="76" spans="2:29" x14ac:dyDescent="0.25">
      <c r="B76" s="5"/>
      <c r="C76" s="7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8"/>
      <c r="AC76" s="8"/>
    </row>
    <row r="77" spans="2:29" x14ac:dyDescent="0.25">
      <c r="B77" s="5"/>
      <c r="C77" s="7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8"/>
      <c r="AC77" s="8"/>
    </row>
    <row r="78" spans="2:29" x14ac:dyDescent="0.25">
      <c r="B78" s="5"/>
      <c r="C78" s="7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8"/>
      <c r="AC78" s="8"/>
    </row>
    <row r="79" spans="2:29" x14ac:dyDescent="0.25">
      <c r="B79" s="5"/>
      <c r="C79" s="7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8"/>
      <c r="AC79" s="8"/>
    </row>
    <row r="80" spans="2:29" x14ac:dyDescent="0.25">
      <c r="B80" s="5"/>
      <c r="C80" s="7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8"/>
      <c r="AC80" s="8"/>
    </row>
    <row r="81" spans="2:29" x14ac:dyDescent="0.25">
      <c r="B81" s="5"/>
      <c r="C81" s="7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8"/>
      <c r="AC81" s="8"/>
    </row>
    <row r="82" spans="2:29" x14ac:dyDescent="0.25">
      <c r="B82" s="5"/>
      <c r="C82" s="7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8"/>
      <c r="AC82" s="8"/>
    </row>
    <row r="83" spans="2:29" x14ac:dyDescent="0.25">
      <c r="B83" s="5"/>
      <c r="C83" s="7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8"/>
      <c r="AC83" s="8"/>
    </row>
    <row r="84" spans="2:29" x14ac:dyDescent="0.25">
      <c r="B84" s="5"/>
      <c r="C84" s="7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8"/>
      <c r="AC84" s="8"/>
    </row>
    <row r="85" spans="2:29" x14ac:dyDescent="0.25">
      <c r="B85" s="5"/>
      <c r="C85" s="7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8"/>
      <c r="AC85" s="8"/>
    </row>
    <row r="86" spans="2:29" x14ac:dyDescent="0.25">
      <c r="B86" s="5"/>
      <c r="C86" s="7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8"/>
      <c r="AC86" s="8"/>
    </row>
    <row r="87" spans="2:29" x14ac:dyDescent="0.25">
      <c r="B87" s="5"/>
      <c r="C87" s="7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8"/>
      <c r="AC87" s="8"/>
    </row>
    <row r="88" spans="2:29" x14ac:dyDescent="0.25">
      <c r="B88" s="5"/>
      <c r="C88" s="7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8"/>
      <c r="AC88" s="8"/>
    </row>
    <row r="89" spans="2:29" x14ac:dyDescent="0.25">
      <c r="B89" s="5"/>
      <c r="C89" s="7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8"/>
      <c r="AC89" s="8"/>
    </row>
    <row r="90" spans="2:29" x14ac:dyDescent="0.25">
      <c r="B90" s="5"/>
      <c r="C90" s="7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8"/>
      <c r="AC90" s="8"/>
    </row>
    <row r="91" spans="2:29" x14ac:dyDescent="0.25">
      <c r="B91" s="5"/>
      <c r="C91" s="7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8"/>
      <c r="AC91" s="8"/>
    </row>
    <row r="92" spans="2:29" x14ac:dyDescent="0.25">
      <c r="B92" s="5"/>
      <c r="C92" s="7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8"/>
      <c r="AC92" s="8"/>
    </row>
    <row r="93" spans="2:29" x14ac:dyDescent="0.25">
      <c r="B93" s="5"/>
      <c r="C93" s="7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8"/>
      <c r="AC93" s="8"/>
    </row>
  </sheetData>
  <mergeCells count="3">
    <mergeCell ref="B1:AB1"/>
    <mergeCell ref="B2:AB2"/>
    <mergeCell ref="B3:AB3"/>
  </mergeCells>
  <printOptions horizontalCentered="1"/>
  <pageMargins left="0" right="0" top="0" bottom="0" header="0" footer="0"/>
  <pageSetup scale="85" orientation="landscape" r:id="rId1"/>
  <headerFooter alignWithMargins="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9B719-F088-48D3-9AF8-8478ADD8215B}">
  <dimension ref="A2:U146"/>
  <sheetViews>
    <sheetView showGridLines="0" tabSelected="1" zoomScaleNormal="100" workbookViewId="0">
      <selection activeCell="K14" sqref="K14"/>
    </sheetView>
  </sheetViews>
  <sheetFormatPr baseColWidth="10" defaultColWidth="11.42578125" defaultRowHeight="15" customHeight="1" x14ac:dyDescent="0.25"/>
  <cols>
    <col min="1" max="1" width="4.140625" style="3" customWidth="1"/>
    <col min="2" max="2" width="10" style="3" customWidth="1"/>
    <col min="3" max="3" width="18.28515625" style="3" bestFit="1" customWidth="1"/>
    <col min="4" max="7" width="16.85546875" style="3" customWidth="1"/>
    <col min="8" max="8" width="8.140625" style="3" bestFit="1" customWidth="1"/>
    <col min="9" max="9" width="8.42578125" style="3" customWidth="1"/>
    <col min="10" max="16" width="14.5703125" style="3" customWidth="1"/>
    <col min="17" max="20" width="17" style="3" customWidth="1"/>
    <col min="21" max="16384" width="11.42578125" style="3"/>
  </cols>
  <sheetData>
    <row r="2" spans="2:21" ht="15" customHeight="1" x14ac:dyDescent="0.25">
      <c r="B2" s="34" t="s">
        <v>67</v>
      </c>
      <c r="C2" s="34"/>
      <c r="D2" s="34"/>
      <c r="E2" s="34"/>
      <c r="F2" s="34"/>
      <c r="G2" s="34"/>
      <c r="H2" s="11"/>
    </row>
    <row r="3" spans="2:21" ht="15" customHeight="1" x14ac:dyDescent="0.25">
      <c r="B3" s="35" t="s">
        <v>34</v>
      </c>
      <c r="C3" s="35"/>
      <c r="D3" s="35"/>
      <c r="E3" s="35"/>
      <c r="F3" s="35"/>
      <c r="G3" s="35"/>
      <c r="H3" s="11"/>
    </row>
    <row r="4" spans="2:21" ht="15" customHeight="1" x14ac:dyDescent="0.25">
      <c r="B4" s="34" t="s">
        <v>42</v>
      </c>
      <c r="C4" s="34"/>
      <c r="D4" s="34"/>
      <c r="E4" s="34"/>
      <c r="F4" s="34"/>
      <c r="G4" s="34"/>
      <c r="H4" s="11"/>
    </row>
    <row r="5" spans="2:21" ht="15" customHeight="1" x14ac:dyDescent="0.25">
      <c r="B5" s="34"/>
      <c r="C5" s="34"/>
      <c r="D5" s="34"/>
      <c r="E5" s="34"/>
      <c r="F5" s="34"/>
      <c r="G5" s="34"/>
      <c r="H5" s="11"/>
    </row>
    <row r="6" spans="2:21" ht="15" customHeight="1" thickBot="1" x14ac:dyDescent="0.3">
      <c r="B6" s="10"/>
      <c r="C6" s="10"/>
      <c r="D6" s="10"/>
      <c r="E6" s="10"/>
      <c r="F6" s="10"/>
      <c r="G6" s="10"/>
      <c r="H6" s="10"/>
      <c r="U6" s="10"/>
    </row>
    <row r="7" spans="2:21" ht="15" customHeight="1" thickBot="1" x14ac:dyDescent="0.3">
      <c r="B7" s="36" t="s">
        <v>69</v>
      </c>
      <c r="C7" s="37"/>
      <c r="D7" s="37"/>
      <c r="E7" s="37"/>
      <c r="F7" s="37"/>
      <c r="G7" s="38"/>
      <c r="H7" s="10"/>
      <c r="U7" s="10"/>
    </row>
    <row r="8" spans="2:21" ht="15" customHeight="1" thickBot="1" x14ac:dyDescent="0.3">
      <c r="B8" s="43" t="s">
        <v>37</v>
      </c>
      <c r="C8" s="43" t="s">
        <v>33</v>
      </c>
      <c r="D8" s="45" t="s">
        <v>68</v>
      </c>
      <c r="E8" s="46"/>
      <c r="F8" s="46"/>
      <c r="G8" s="47"/>
      <c r="H8" s="10"/>
      <c r="U8" s="10"/>
    </row>
    <row r="9" spans="2:21" ht="30.75" thickBot="1" x14ac:dyDescent="0.3">
      <c r="B9" s="44"/>
      <c r="C9" s="44"/>
      <c r="D9" s="12" t="s">
        <v>39</v>
      </c>
      <c r="E9" s="13" t="s">
        <v>35</v>
      </c>
      <c r="F9" s="13" t="s">
        <v>40</v>
      </c>
      <c r="G9" s="14" t="s">
        <v>36</v>
      </c>
      <c r="H9" s="15"/>
      <c r="U9" s="10"/>
    </row>
    <row r="10" spans="2:21" ht="15" customHeight="1" x14ac:dyDescent="0.25">
      <c r="B10" s="16">
        <v>2028</v>
      </c>
      <c r="C10" s="17" t="s">
        <v>57</v>
      </c>
      <c r="D10" s="18">
        <f>SUMIFS('Producto 3'!$AC:$AC,'Producto 3'!$A:$A,'R-Producto 3'!$B10,'Producto 3'!$B:$B,'R-Producto 3'!$C10)</f>
        <v>1284482.0345540924</v>
      </c>
      <c r="E10" s="39"/>
      <c r="F10" s="19">
        <f>D10*$E$10</f>
        <v>0</v>
      </c>
      <c r="G10" s="41"/>
      <c r="H10" s="15"/>
      <c r="U10" s="10"/>
    </row>
    <row r="11" spans="2:21" ht="15" customHeight="1" x14ac:dyDescent="0.25">
      <c r="B11" s="20">
        <v>2028</v>
      </c>
      <c r="C11" s="17" t="s">
        <v>58</v>
      </c>
      <c r="D11" s="18">
        <f>SUMIFS('Producto 3'!$AC:$AC,'Producto 3'!$A:$A,'R-Producto 3'!$B11,'Producto 3'!$B:$B,'R-Producto 3'!$C11)</f>
        <v>1269785.9443812352</v>
      </c>
      <c r="E11" s="40"/>
      <c r="F11" s="19">
        <f t="shared" ref="F11:F22" si="0">D11*$E$10</f>
        <v>0</v>
      </c>
      <c r="G11" s="42"/>
      <c r="H11" s="15"/>
      <c r="U11" s="10"/>
    </row>
    <row r="12" spans="2:21" ht="15" customHeight="1" x14ac:dyDescent="0.25">
      <c r="B12" s="20">
        <v>2028</v>
      </c>
      <c r="C12" s="17" t="s">
        <v>59</v>
      </c>
      <c r="D12" s="18">
        <f>SUMIFS('Producto 3'!$AC:$AC,'Producto 3'!$A:$A,'R-Producto 3'!$B12,'Producto 3'!$B:$B,'R-Producto 3'!$C12)</f>
        <v>1358854.2925001949</v>
      </c>
      <c r="E12" s="40"/>
      <c r="F12" s="19">
        <f t="shared" si="0"/>
        <v>0</v>
      </c>
      <c r="G12" s="42"/>
      <c r="H12" s="15"/>
      <c r="U12" s="10"/>
    </row>
    <row r="13" spans="2:21" ht="15" customHeight="1" x14ac:dyDescent="0.25">
      <c r="B13" s="20">
        <v>2028</v>
      </c>
      <c r="C13" s="17" t="s">
        <v>56</v>
      </c>
      <c r="D13" s="18">
        <f>SUMIFS('Producto 3'!$AC:$AC,'Producto 3'!$A:$A,'R-Producto 3'!$B13,'Producto 3'!$B:$B,'R-Producto 3'!$C13)</f>
        <v>1273225.1989006279</v>
      </c>
      <c r="E13" s="40"/>
      <c r="F13" s="19">
        <f t="shared" si="0"/>
        <v>0</v>
      </c>
      <c r="G13" s="42"/>
      <c r="H13" s="15"/>
      <c r="U13" s="10"/>
    </row>
    <row r="14" spans="2:21" ht="15" customHeight="1" x14ac:dyDescent="0.25">
      <c r="B14" s="20">
        <v>2028</v>
      </c>
      <c r="C14" s="17" t="s">
        <v>25</v>
      </c>
      <c r="D14" s="18">
        <f>SUMIFS('Producto 3'!$AC:$AC,'Producto 3'!$A:$A,'R-Producto 3'!$B14,'Producto 3'!$B:$B,'R-Producto 3'!$C14)</f>
        <v>1366614.0234578811</v>
      </c>
      <c r="E14" s="40"/>
      <c r="F14" s="19">
        <f t="shared" si="0"/>
        <v>0</v>
      </c>
      <c r="G14" s="42"/>
      <c r="H14" s="15"/>
      <c r="U14" s="10"/>
    </row>
    <row r="15" spans="2:21" ht="15" customHeight="1" x14ac:dyDescent="0.25">
      <c r="B15" s="20">
        <v>2028</v>
      </c>
      <c r="C15" s="17" t="s">
        <v>26</v>
      </c>
      <c r="D15" s="18">
        <f>SUMIFS('Producto 3'!$AC:$AC,'Producto 3'!$A:$A,'R-Producto 3'!$B15,'Producto 3'!$B:$B,'R-Producto 3'!$C15)</f>
        <v>1331521.0125050414</v>
      </c>
      <c r="E15" s="40"/>
      <c r="F15" s="19">
        <f t="shared" si="0"/>
        <v>0</v>
      </c>
      <c r="G15" s="42"/>
      <c r="H15" s="15"/>
      <c r="U15" s="10"/>
    </row>
    <row r="16" spans="2:21" ht="15" customHeight="1" x14ac:dyDescent="0.25">
      <c r="B16" s="20">
        <v>2028</v>
      </c>
      <c r="C16" s="17" t="s">
        <v>27</v>
      </c>
      <c r="D16" s="18">
        <f>SUMIFS('Producto 3'!$AC:$AC,'Producto 3'!$A:$A,'R-Producto 3'!$B16,'Producto 3'!$B:$B,'R-Producto 3'!$C16)</f>
        <v>1366343.0977609782</v>
      </c>
      <c r="E16" s="40"/>
      <c r="F16" s="19">
        <f t="shared" si="0"/>
        <v>0</v>
      </c>
      <c r="G16" s="42"/>
      <c r="H16" s="15"/>
      <c r="U16" s="10"/>
    </row>
    <row r="17" spans="1:21" ht="15" customHeight="1" x14ac:dyDescent="0.25">
      <c r="B17" s="20">
        <v>2028</v>
      </c>
      <c r="C17" s="17" t="s">
        <v>28</v>
      </c>
      <c r="D17" s="18">
        <f>SUMIFS('Producto 3'!$AC:$AC,'Producto 3'!$A:$A,'R-Producto 3'!$B17,'Producto 3'!$B:$B,'R-Producto 3'!$C17)</f>
        <v>1410482.8846837305</v>
      </c>
      <c r="E17" s="40"/>
      <c r="F17" s="19">
        <f t="shared" si="0"/>
        <v>0</v>
      </c>
      <c r="G17" s="42"/>
      <c r="H17" s="15"/>
      <c r="U17" s="10"/>
    </row>
    <row r="18" spans="1:21" ht="15" customHeight="1" x14ac:dyDescent="0.25">
      <c r="B18" s="20">
        <v>2028</v>
      </c>
      <c r="C18" s="17" t="s">
        <v>29</v>
      </c>
      <c r="D18" s="18">
        <f>SUMIFS('Producto 3'!$AC:$AC,'Producto 3'!$A:$A,'R-Producto 3'!$B18,'Producto 3'!$B:$B,'R-Producto 3'!$C18)</f>
        <v>1412806.8759010229</v>
      </c>
      <c r="E18" s="40"/>
      <c r="F18" s="19">
        <f t="shared" si="0"/>
        <v>0</v>
      </c>
      <c r="G18" s="42"/>
      <c r="H18" s="15"/>
      <c r="U18" s="10"/>
    </row>
    <row r="19" spans="1:21" ht="15" customHeight="1" x14ac:dyDescent="0.25">
      <c r="B19" s="20">
        <v>2028</v>
      </c>
      <c r="C19" s="17" t="s">
        <v>30</v>
      </c>
      <c r="D19" s="18">
        <f>SUMIFS('Producto 3'!$AC:$AC,'Producto 3'!$A:$A,'R-Producto 3'!$B19,'Producto 3'!$B:$B,'R-Producto 3'!$C19)</f>
        <v>1439105.2910697241</v>
      </c>
      <c r="E19" s="40"/>
      <c r="F19" s="19">
        <f t="shared" si="0"/>
        <v>0</v>
      </c>
      <c r="G19" s="42"/>
      <c r="H19" s="15"/>
      <c r="U19" s="10"/>
    </row>
    <row r="20" spans="1:21" ht="15" customHeight="1" x14ac:dyDescent="0.25">
      <c r="A20" s="21"/>
      <c r="B20" s="20">
        <v>2028</v>
      </c>
      <c r="C20" s="17" t="s">
        <v>31</v>
      </c>
      <c r="D20" s="18">
        <f>SUMIFS('Producto 3'!$AC:$AC,'Producto 3'!$A:$A,'R-Producto 3'!$B20,'Producto 3'!$B:$B,'R-Producto 3'!$C20)</f>
        <v>1401074.0499929448</v>
      </c>
      <c r="E20" s="40"/>
      <c r="F20" s="19">
        <f t="shared" si="0"/>
        <v>0</v>
      </c>
      <c r="G20" s="42"/>
      <c r="H20" s="15"/>
    </row>
    <row r="21" spans="1:21" ht="15" customHeight="1" thickBot="1" x14ac:dyDescent="0.3">
      <c r="A21" s="21"/>
      <c r="B21" s="24">
        <v>2028</v>
      </c>
      <c r="C21" s="25" t="s">
        <v>32</v>
      </c>
      <c r="D21" s="26">
        <f>SUMIFS('Producto 3'!$AC:$AC,'Producto 3'!$A:$A,'R-Producto 3'!$B21,'Producto 3'!$B:$B,'R-Producto 3'!$C21)</f>
        <v>1437958.14959331</v>
      </c>
      <c r="E21" s="40"/>
      <c r="F21" s="27">
        <f t="shared" si="0"/>
        <v>0</v>
      </c>
      <c r="G21" s="42"/>
      <c r="H21" s="15"/>
    </row>
    <row r="22" spans="1:21" ht="15" customHeight="1" thickBot="1" x14ac:dyDescent="0.3">
      <c r="A22" s="21"/>
      <c r="B22" s="28"/>
      <c r="C22" s="29" t="s">
        <v>49</v>
      </c>
      <c r="D22" s="30">
        <f>SUM(D10:D21)</f>
        <v>16352252.855300782</v>
      </c>
      <c r="E22" s="32"/>
      <c r="F22" s="31">
        <f t="shared" si="0"/>
        <v>0</v>
      </c>
      <c r="G22" s="33"/>
      <c r="H22" s="15"/>
    </row>
    <row r="23" spans="1:21" ht="15" customHeight="1" x14ac:dyDescent="0.25">
      <c r="A23" s="21"/>
      <c r="H23" s="15"/>
    </row>
    <row r="24" spans="1:21" ht="15" customHeight="1" x14ac:dyDescent="0.25">
      <c r="A24" s="21"/>
      <c r="B24" s="22" t="s">
        <v>62</v>
      </c>
      <c r="H24" s="15"/>
    </row>
    <row r="25" spans="1:21" ht="15" customHeight="1" x14ac:dyDescent="0.25">
      <c r="A25" s="21"/>
      <c r="B25" s="3" t="s">
        <v>44</v>
      </c>
      <c r="H25" s="15"/>
    </row>
    <row r="26" spans="1:21" ht="15" customHeight="1" x14ac:dyDescent="0.25">
      <c r="A26" s="21"/>
      <c r="B26" s="3" t="s">
        <v>41</v>
      </c>
      <c r="E26" s="23"/>
      <c r="H26" s="15"/>
    </row>
    <row r="27" spans="1:21" ht="15" customHeight="1" x14ac:dyDescent="0.25">
      <c r="A27" s="21"/>
      <c r="E27" s="23"/>
      <c r="H27" s="15"/>
    </row>
    <row r="28" spans="1:21" ht="15" customHeight="1" x14ac:dyDescent="0.25">
      <c r="A28" s="21"/>
      <c r="H28" s="15"/>
    </row>
    <row r="29" spans="1:21" ht="15" customHeight="1" x14ac:dyDescent="0.25">
      <c r="A29" s="21"/>
      <c r="H29" s="15"/>
    </row>
    <row r="30" spans="1:21" ht="15" customHeight="1" x14ac:dyDescent="0.25">
      <c r="A30" s="21"/>
      <c r="H30" s="15"/>
    </row>
    <row r="31" spans="1:21" ht="15" customHeight="1" x14ac:dyDescent="0.25">
      <c r="A31" s="21"/>
      <c r="H31" s="15"/>
    </row>
    <row r="32" spans="1:21" ht="15" customHeight="1" x14ac:dyDescent="0.25">
      <c r="A32" s="21"/>
      <c r="H32" s="15"/>
    </row>
    <row r="33" spans="1:8" ht="15" customHeight="1" x14ac:dyDescent="0.25">
      <c r="A33" s="21"/>
      <c r="H33" s="15"/>
    </row>
    <row r="34" spans="1:8" ht="15" customHeight="1" x14ac:dyDescent="0.25">
      <c r="A34" s="21"/>
      <c r="H34" s="15"/>
    </row>
    <row r="35" spans="1:8" ht="15" customHeight="1" x14ac:dyDescent="0.25">
      <c r="A35" s="21"/>
      <c r="H35" s="15"/>
    </row>
    <row r="36" spans="1:8" ht="15" customHeight="1" x14ac:dyDescent="0.25">
      <c r="A36" s="21"/>
      <c r="H36" s="15"/>
    </row>
    <row r="37" spans="1:8" ht="15" customHeight="1" x14ac:dyDescent="0.25">
      <c r="A37" s="21"/>
      <c r="H37" s="15"/>
    </row>
    <row r="38" spans="1:8" ht="15" customHeight="1" x14ac:dyDescent="0.25">
      <c r="A38" s="21"/>
      <c r="H38" s="15"/>
    </row>
    <row r="39" spans="1:8" ht="15" customHeight="1" x14ac:dyDescent="0.25">
      <c r="A39" s="21"/>
      <c r="H39" s="15"/>
    </row>
    <row r="40" spans="1:8" ht="15" customHeight="1" x14ac:dyDescent="0.25">
      <c r="A40" s="21"/>
      <c r="H40" s="15"/>
    </row>
    <row r="41" spans="1:8" ht="15" customHeight="1" x14ac:dyDescent="0.25">
      <c r="A41" s="21"/>
      <c r="H41" s="15"/>
    </row>
    <row r="42" spans="1:8" ht="15" customHeight="1" x14ac:dyDescent="0.25">
      <c r="A42" s="21"/>
      <c r="H42" s="15"/>
    </row>
    <row r="43" spans="1:8" ht="15" customHeight="1" x14ac:dyDescent="0.25">
      <c r="A43" s="21"/>
      <c r="H43" s="15"/>
    </row>
    <row r="44" spans="1:8" ht="15" customHeight="1" x14ac:dyDescent="0.25">
      <c r="A44" s="21"/>
      <c r="H44" s="15"/>
    </row>
    <row r="45" spans="1:8" ht="15" customHeight="1" x14ac:dyDescent="0.25">
      <c r="A45" s="21"/>
      <c r="H45" s="15"/>
    </row>
    <row r="46" spans="1:8" ht="15" customHeight="1" x14ac:dyDescent="0.25">
      <c r="A46" s="21"/>
      <c r="H46" s="15"/>
    </row>
    <row r="47" spans="1:8" ht="15" customHeight="1" x14ac:dyDescent="0.25">
      <c r="A47" s="21"/>
      <c r="H47" s="15"/>
    </row>
    <row r="48" spans="1:8" ht="15" customHeight="1" x14ac:dyDescent="0.25">
      <c r="A48" s="21"/>
      <c r="H48" s="15"/>
    </row>
    <row r="49" spans="1:8" ht="15" customHeight="1" x14ac:dyDescent="0.25">
      <c r="A49" s="21"/>
      <c r="H49" s="15"/>
    </row>
    <row r="50" spans="1:8" ht="15" customHeight="1" x14ac:dyDescent="0.25">
      <c r="A50" s="21"/>
      <c r="H50" s="15"/>
    </row>
    <row r="51" spans="1:8" ht="15" customHeight="1" x14ac:dyDescent="0.25">
      <c r="A51" s="21"/>
      <c r="H51" s="15"/>
    </row>
    <row r="52" spans="1:8" ht="15" customHeight="1" x14ac:dyDescent="0.25">
      <c r="A52" s="21"/>
      <c r="H52" s="15"/>
    </row>
    <row r="53" spans="1:8" ht="15" customHeight="1" x14ac:dyDescent="0.25">
      <c r="A53" s="21"/>
      <c r="H53" s="15"/>
    </row>
    <row r="54" spans="1:8" ht="15" customHeight="1" x14ac:dyDescent="0.25">
      <c r="A54" s="21"/>
      <c r="H54" s="15"/>
    </row>
    <row r="55" spans="1:8" ht="15" customHeight="1" x14ac:dyDescent="0.25">
      <c r="A55" s="21"/>
      <c r="H55" s="15"/>
    </row>
    <row r="56" spans="1:8" ht="15" customHeight="1" x14ac:dyDescent="0.25">
      <c r="A56" s="21"/>
      <c r="H56" s="15"/>
    </row>
    <row r="57" spans="1:8" ht="15" customHeight="1" x14ac:dyDescent="0.25">
      <c r="A57" s="21"/>
      <c r="H57" s="15"/>
    </row>
    <row r="58" spans="1:8" ht="15" customHeight="1" x14ac:dyDescent="0.25">
      <c r="A58" s="21"/>
      <c r="H58" s="15"/>
    </row>
    <row r="59" spans="1:8" ht="15" customHeight="1" x14ac:dyDescent="0.25">
      <c r="A59" s="21"/>
      <c r="H59" s="15"/>
    </row>
    <row r="60" spans="1:8" ht="15" customHeight="1" x14ac:dyDescent="0.25">
      <c r="A60" s="21"/>
      <c r="H60" s="15"/>
    </row>
    <row r="61" spans="1:8" ht="15" customHeight="1" x14ac:dyDescent="0.25">
      <c r="A61" s="21"/>
      <c r="H61" s="15"/>
    </row>
    <row r="62" spans="1:8" ht="15" customHeight="1" x14ac:dyDescent="0.25">
      <c r="A62" s="21"/>
      <c r="H62" s="15"/>
    </row>
    <row r="63" spans="1:8" ht="15" customHeight="1" x14ac:dyDescent="0.25">
      <c r="A63" s="21"/>
      <c r="H63" s="15"/>
    </row>
    <row r="64" spans="1:8" ht="15" customHeight="1" x14ac:dyDescent="0.25">
      <c r="A64" s="21"/>
      <c r="H64" s="15"/>
    </row>
    <row r="65" spans="1:8" ht="15" customHeight="1" x14ac:dyDescent="0.25">
      <c r="A65" s="21"/>
      <c r="H65" s="15"/>
    </row>
    <row r="66" spans="1:8" ht="15" customHeight="1" x14ac:dyDescent="0.25">
      <c r="A66" s="21"/>
      <c r="H66" s="15"/>
    </row>
    <row r="67" spans="1:8" ht="15" customHeight="1" x14ac:dyDescent="0.25">
      <c r="A67" s="21"/>
      <c r="H67" s="15"/>
    </row>
    <row r="68" spans="1:8" ht="15" customHeight="1" x14ac:dyDescent="0.25">
      <c r="A68" s="21"/>
      <c r="H68" s="15"/>
    </row>
    <row r="69" spans="1:8" ht="15" customHeight="1" x14ac:dyDescent="0.25">
      <c r="A69" s="21"/>
      <c r="H69" s="15"/>
    </row>
    <row r="70" spans="1:8" ht="15" customHeight="1" x14ac:dyDescent="0.25">
      <c r="A70" s="21"/>
      <c r="H70" s="15"/>
    </row>
    <row r="71" spans="1:8" ht="15" customHeight="1" x14ac:dyDescent="0.25">
      <c r="A71" s="21"/>
      <c r="H71" s="15"/>
    </row>
    <row r="72" spans="1:8" ht="15" customHeight="1" x14ac:dyDescent="0.25">
      <c r="A72" s="21"/>
      <c r="H72" s="15"/>
    </row>
    <row r="73" spans="1:8" ht="15" customHeight="1" x14ac:dyDescent="0.25">
      <c r="A73" s="21"/>
      <c r="H73" s="15"/>
    </row>
    <row r="74" spans="1:8" ht="15" customHeight="1" x14ac:dyDescent="0.25">
      <c r="A74" s="21"/>
      <c r="H74" s="15"/>
    </row>
    <row r="75" spans="1:8" ht="15" customHeight="1" x14ac:dyDescent="0.25">
      <c r="A75" s="21"/>
      <c r="H75" s="15"/>
    </row>
    <row r="76" spans="1:8" ht="15" customHeight="1" x14ac:dyDescent="0.25">
      <c r="A76" s="21"/>
      <c r="H76" s="15"/>
    </row>
    <row r="77" spans="1:8" ht="15" customHeight="1" x14ac:dyDescent="0.25">
      <c r="A77" s="21"/>
      <c r="H77" s="15"/>
    </row>
    <row r="78" spans="1:8" ht="15" customHeight="1" x14ac:dyDescent="0.25">
      <c r="A78" s="21"/>
      <c r="H78" s="15"/>
    </row>
    <row r="79" spans="1:8" ht="15" customHeight="1" x14ac:dyDescent="0.25">
      <c r="A79" s="21"/>
      <c r="H79" s="15"/>
    </row>
    <row r="80" spans="1:8" ht="15" customHeight="1" x14ac:dyDescent="0.25">
      <c r="A80" s="21"/>
      <c r="H80" s="15"/>
    </row>
    <row r="81" spans="1:8" ht="15" customHeight="1" x14ac:dyDescent="0.25">
      <c r="A81" s="21"/>
      <c r="H81" s="15"/>
    </row>
    <row r="82" spans="1:8" ht="15" customHeight="1" x14ac:dyDescent="0.25">
      <c r="A82" s="21"/>
      <c r="H82" s="15"/>
    </row>
    <row r="83" spans="1:8" ht="15" customHeight="1" x14ac:dyDescent="0.25">
      <c r="A83" s="21"/>
      <c r="H83" s="15"/>
    </row>
    <row r="84" spans="1:8" ht="15" customHeight="1" x14ac:dyDescent="0.25">
      <c r="A84" s="21"/>
      <c r="H84" s="15"/>
    </row>
    <row r="85" spans="1:8" ht="15" customHeight="1" x14ac:dyDescent="0.25">
      <c r="A85" s="21"/>
      <c r="H85" s="15"/>
    </row>
    <row r="86" spans="1:8" ht="15" customHeight="1" x14ac:dyDescent="0.25">
      <c r="A86" s="21"/>
      <c r="H86" s="15"/>
    </row>
    <row r="87" spans="1:8" ht="15" customHeight="1" x14ac:dyDescent="0.25">
      <c r="A87" s="21"/>
      <c r="H87" s="15"/>
    </row>
    <row r="88" spans="1:8" ht="15" customHeight="1" x14ac:dyDescent="0.25">
      <c r="A88" s="21"/>
      <c r="H88" s="15"/>
    </row>
    <row r="89" spans="1:8" ht="15" customHeight="1" x14ac:dyDescent="0.25">
      <c r="A89" s="21"/>
      <c r="H89" s="15"/>
    </row>
    <row r="90" spans="1:8" ht="15" customHeight="1" x14ac:dyDescent="0.25">
      <c r="A90" s="21"/>
      <c r="H90" s="15"/>
    </row>
    <row r="91" spans="1:8" ht="15" customHeight="1" x14ac:dyDescent="0.25">
      <c r="A91" s="21"/>
      <c r="H91" s="15"/>
    </row>
    <row r="92" spans="1:8" ht="15" customHeight="1" x14ac:dyDescent="0.25">
      <c r="A92" s="21"/>
      <c r="H92" s="15"/>
    </row>
    <row r="93" spans="1:8" ht="15" customHeight="1" x14ac:dyDescent="0.25">
      <c r="A93" s="21"/>
      <c r="H93" s="15"/>
    </row>
    <row r="94" spans="1:8" ht="15" customHeight="1" x14ac:dyDescent="0.25">
      <c r="A94" s="21"/>
      <c r="H94" s="15"/>
    </row>
    <row r="95" spans="1:8" ht="15" customHeight="1" x14ac:dyDescent="0.25">
      <c r="A95" s="21"/>
      <c r="H95" s="15"/>
    </row>
    <row r="96" spans="1:8" ht="15" customHeight="1" x14ac:dyDescent="0.25">
      <c r="A96" s="21"/>
      <c r="H96" s="15"/>
    </row>
    <row r="97" spans="1:8" ht="15" customHeight="1" x14ac:dyDescent="0.25">
      <c r="A97" s="21"/>
      <c r="H97" s="15"/>
    </row>
    <row r="98" spans="1:8" ht="15" customHeight="1" x14ac:dyDescent="0.25">
      <c r="A98" s="21"/>
      <c r="H98" s="15"/>
    </row>
    <row r="99" spans="1:8" ht="15" customHeight="1" x14ac:dyDescent="0.25">
      <c r="A99" s="21"/>
      <c r="H99" s="15"/>
    </row>
    <row r="100" spans="1:8" ht="15" customHeight="1" x14ac:dyDescent="0.25">
      <c r="A100" s="21"/>
      <c r="H100" s="15"/>
    </row>
    <row r="101" spans="1:8" ht="15" customHeight="1" x14ac:dyDescent="0.25">
      <c r="A101" s="21"/>
      <c r="H101" s="15"/>
    </row>
    <row r="102" spans="1:8" ht="15" customHeight="1" x14ac:dyDescent="0.25">
      <c r="A102" s="21"/>
      <c r="H102" s="15"/>
    </row>
    <row r="103" spans="1:8" ht="15" customHeight="1" x14ac:dyDescent="0.25">
      <c r="A103" s="21"/>
      <c r="H103" s="15"/>
    </row>
    <row r="104" spans="1:8" ht="15" customHeight="1" x14ac:dyDescent="0.25">
      <c r="A104" s="21"/>
      <c r="H104" s="15"/>
    </row>
    <row r="105" spans="1:8" ht="15" customHeight="1" x14ac:dyDescent="0.25">
      <c r="A105" s="21"/>
      <c r="H105" s="15"/>
    </row>
    <row r="106" spans="1:8" ht="15" customHeight="1" x14ac:dyDescent="0.25">
      <c r="A106" s="21"/>
      <c r="H106" s="15"/>
    </row>
    <row r="107" spans="1:8" ht="15" customHeight="1" x14ac:dyDescent="0.25">
      <c r="A107" s="21"/>
      <c r="H107" s="15"/>
    </row>
    <row r="108" spans="1:8" ht="15" customHeight="1" x14ac:dyDescent="0.25">
      <c r="A108" s="21"/>
      <c r="H108" s="15"/>
    </row>
    <row r="109" spans="1:8" ht="15" customHeight="1" x14ac:dyDescent="0.25">
      <c r="A109" s="21"/>
      <c r="H109" s="15"/>
    </row>
    <row r="110" spans="1:8" ht="15" customHeight="1" x14ac:dyDescent="0.25">
      <c r="A110" s="21"/>
      <c r="H110" s="15"/>
    </row>
    <row r="111" spans="1:8" ht="15" customHeight="1" x14ac:dyDescent="0.25">
      <c r="A111" s="21"/>
      <c r="H111" s="15"/>
    </row>
    <row r="112" spans="1:8" ht="15" customHeight="1" x14ac:dyDescent="0.25">
      <c r="A112" s="21"/>
      <c r="H112" s="15"/>
    </row>
    <row r="113" spans="1:8" ht="15" customHeight="1" x14ac:dyDescent="0.25">
      <c r="A113" s="21"/>
      <c r="H113" s="15"/>
    </row>
    <row r="114" spans="1:8" ht="15" customHeight="1" x14ac:dyDescent="0.25">
      <c r="A114" s="21"/>
      <c r="H114" s="15"/>
    </row>
    <row r="115" spans="1:8" ht="15" customHeight="1" x14ac:dyDescent="0.25">
      <c r="A115" s="21"/>
      <c r="H115" s="15"/>
    </row>
    <row r="116" spans="1:8" ht="15" customHeight="1" x14ac:dyDescent="0.25">
      <c r="A116" s="21"/>
      <c r="H116" s="15"/>
    </row>
    <row r="117" spans="1:8" ht="15" customHeight="1" x14ac:dyDescent="0.25">
      <c r="A117" s="21"/>
      <c r="H117" s="15"/>
    </row>
    <row r="118" spans="1:8" ht="15" customHeight="1" x14ac:dyDescent="0.25">
      <c r="A118" s="21"/>
      <c r="H118" s="15"/>
    </row>
    <row r="119" spans="1:8" ht="15" customHeight="1" x14ac:dyDescent="0.25">
      <c r="A119" s="21"/>
      <c r="H119" s="15"/>
    </row>
    <row r="120" spans="1:8" ht="15" customHeight="1" x14ac:dyDescent="0.25">
      <c r="A120" s="21"/>
      <c r="H120" s="15"/>
    </row>
    <row r="121" spans="1:8" ht="15" customHeight="1" x14ac:dyDescent="0.25">
      <c r="A121" s="21"/>
      <c r="H121" s="15"/>
    </row>
    <row r="122" spans="1:8" ht="15" customHeight="1" x14ac:dyDescent="0.25">
      <c r="A122" s="21"/>
      <c r="H122" s="15"/>
    </row>
    <row r="123" spans="1:8" ht="15" customHeight="1" x14ac:dyDescent="0.25">
      <c r="A123" s="21"/>
      <c r="H123" s="15"/>
    </row>
    <row r="124" spans="1:8" ht="15" customHeight="1" x14ac:dyDescent="0.25">
      <c r="A124" s="21"/>
      <c r="H124" s="15"/>
    </row>
    <row r="125" spans="1:8" ht="15" customHeight="1" x14ac:dyDescent="0.25">
      <c r="A125" s="21"/>
      <c r="H125" s="15"/>
    </row>
    <row r="126" spans="1:8" ht="15" customHeight="1" x14ac:dyDescent="0.25">
      <c r="A126" s="21"/>
      <c r="H126" s="15"/>
    </row>
    <row r="127" spans="1:8" ht="15" customHeight="1" x14ac:dyDescent="0.25">
      <c r="A127" s="21"/>
      <c r="H127" s="15"/>
    </row>
    <row r="128" spans="1:8" ht="15" customHeight="1" x14ac:dyDescent="0.25">
      <c r="A128" s="21"/>
      <c r="H128" s="15"/>
    </row>
    <row r="129" spans="1:8" ht="15" customHeight="1" x14ac:dyDescent="0.25">
      <c r="A129" s="21"/>
      <c r="H129" s="15"/>
    </row>
    <row r="130" spans="1:8" ht="15" customHeight="1" x14ac:dyDescent="0.25">
      <c r="A130" s="21"/>
      <c r="H130" s="15"/>
    </row>
    <row r="131" spans="1:8" ht="15" customHeight="1" x14ac:dyDescent="0.25">
      <c r="A131" s="21"/>
      <c r="H131" s="15"/>
    </row>
    <row r="132" spans="1:8" ht="15" customHeight="1" x14ac:dyDescent="0.25">
      <c r="A132" s="21"/>
      <c r="H132" s="15"/>
    </row>
    <row r="133" spans="1:8" ht="15" customHeight="1" x14ac:dyDescent="0.25">
      <c r="A133" s="21"/>
      <c r="H133" s="15"/>
    </row>
    <row r="134" spans="1:8" ht="15" customHeight="1" x14ac:dyDescent="0.25">
      <c r="A134" s="21"/>
      <c r="H134" s="15"/>
    </row>
    <row r="135" spans="1:8" ht="15" customHeight="1" x14ac:dyDescent="0.25">
      <c r="A135" s="21"/>
      <c r="H135" s="15"/>
    </row>
    <row r="136" spans="1:8" ht="15" customHeight="1" x14ac:dyDescent="0.25">
      <c r="A136" s="21"/>
      <c r="H136" s="15"/>
    </row>
    <row r="137" spans="1:8" ht="15" customHeight="1" x14ac:dyDescent="0.25">
      <c r="A137" s="21"/>
      <c r="H137" s="15"/>
    </row>
    <row r="138" spans="1:8" ht="15" customHeight="1" x14ac:dyDescent="0.25">
      <c r="A138" s="21"/>
      <c r="H138" s="15"/>
    </row>
    <row r="139" spans="1:8" ht="15" customHeight="1" x14ac:dyDescent="0.25">
      <c r="A139" s="21"/>
      <c r="H139" s="15"/>
    </row>
    <row r="140" spans="1:8" ht="15" customHeight="1" x14ac:dyDescent="0.25">
      <c r="A140" s="21"/>
      <c r="H140" s="15"/>
    </row>
    <row r="141" spans="1:8" ht="15" customHeight="1" x14ac:dyDescent="0.25">
      <c r="A141" s="21"/>
      <c r="H141" s="15"/>
    </row>
    <row r="142" spans="1:8" ht="15" customHeight="1" x14ac:dyDescent="0.25">
      <c r="A142" s="21"/>
      <c r="H142" s="15"/>
    </row>
    <row r="143" spans="1:8" ht="15" customHeight="1" x14ac:dyDescent="0.25">
      <c r="A143" s="21"/>
      <c r="H143" s="15"/>
    </row>
    <row r="144" spans="1:8" ht="15" customHeight="1" x14ac:dyDescent="0.25">
      <c r="A144" s="21"/>
      <c r="H144" s="15"/>
    </row>
    <row r="145" spans="1:8" ht="15" customHeight="1" x14ac:dyDescent="0.25">
      <c r="A145" s="21"/>
      <c r="H145" s="15"/>
    </row>
    <row r="146" spans="1:8" ht="15" customHeight="1" x14ac:dyDescent="0.25">
      <c r="A146" s="21"/>
      <c r="H146" s="15"/>
    </row>
  </sheetData>
  <mergeCells count="10">
    <mergeCell ref="E10:E21"/>
    <mergeCell ref="G10:G21"/>
    <mergeCell ref="B2:G2"/>
    <mergeCell ref="B3:G3"/>
    <mergeCell ref="B4:G4"/>
    <mergeCell ref="B5:G5"/>
    <mergeCell ref="B7:G7"/>
    <mergeCell ref="B8:B9"/>
    <mergeCell ref="C8:C9"/>
    <mergeCell ref="D8:G8"/>
  </mergeCells>
  <printOptions horizontalCentered="1"/>
  <pageMargins left="0.35433070866141736" right="0.35433070866141736" top="1.5748031496062993" bottom="0.19685039370078741" header="0" footer="0"/>
  <pageSetup scale="87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6C9D1-606B-4D1B-AE13-FAA477D63DCC}">
  <dimension ref="A1:BD93"/>
  <sheetViews>
    <sheetView showGridLines="0" zoomScale="80" zoomScaleNormal="80" workbookViewId="0">
      <pane xSplit="3" ySplit="5" topLeftCell="D6" activePane="bottomRight" state="frozen"/>
      <selection activeCell="A32" sqref="A32"/>
      <selection pane="topRight" activeCell="A32" sqref="A32"/>
      <selection pane="bottomLeft" activeCell="A32" sqref="A32"/>
      <selection pane="bottomRight" activeCell="D6" sqref="D6:AA41"/>
    </sheetView>
  </sheetViews>
  <sheetFormatPr baseColWidth="10" defaultColWidth="11.42578125" defaultRowHeight="15" x14ac:dyDescent="0.25"/>
  <cols>
    <col min="1" max="1" width="10.85546875" style="2" customWidth="1"/>
    <col min="2" max="2" width="12.42578125" style="2" bestFit="1" customWidth="1"/>
    <col min="3" max="3" width="19.140625" style="2" bestFit="1" customWidth="1"/>
    <col min="4" max="27" width="11" style="4" customWidth="1"/>
    <col min="28" max="28" width="10.5703125" style="2" customWidth="1"/>
    <col min="29" max="30" width="12.5703125" style="2" customWidth="1"/>
    <col min="31" max="31" width="12.5703125" style="3" customWidth="1"/>
    <col min="32" max="34" width="11.42578125" style="3" customWidth="1"/>
    <col min="35" max="36" width="11.42578125" style="3"/>
    <col min="37" max="37" width="12.140625" style="3" bestFit="1" customWidth="1"/>
    <col min="38" max="56" width="11.42578125" style="3"/>
    <col min="57" max="16384" width="11.42578125" style="2"/>
  </cols>
  <sheetData>
    <row r="1" spans="1:30" ht="18.75" x14ac:dyDescent="0.3">
      <c r="B1" s="48" t="s">
        <v>54</v>
      </c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</row>
    <row r="2" spans="1:30" ht="18.75" x14ac:dyDescent="0.3">
      <c r="B2" s="48" t="s">
        <v>50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</row>
    <row r="3" spans="1:30" ht="18.75" x14ac:dyDescent="0.3">
      <c r="B3" s="48" t="s">
        <v>66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</row>
    <row r="5" spans="1:30" x14ac:dyDescent="0.25">
      <c r="A5" s="5" t="s">
        <v>43</v>
      </c>
      <c r="B5" s="5" t="s">
        <v>0</v>
      </c>
      <c r="C5" s="3" t="s">
        <v>1</v>
      </c>
      <c r="D5" s="6" t="s">
        <v>51</v>
      </c>
      <c r="E5" s="6" t="s">
        <v>2</v>
      </c>
      <c r="F5" s="6" t="s">
        <v>3</v>
      </c>
      <c r="G5" s="6" t="s">
        <v>4</v>
      </c>
      <c r="H5" s="6" t="s">
        <v>5</v>
      </c>
      <c r="I5" s="6" t="s">
        <v>6</v>
      </c>
      <c r="J5" s="6" t="s">
        <v>7</v>
      </c>
      <c r="K5" s="6" t="s">
        <v>8</v>
      </c>
      <c r="L5" s="6" t="s">
        <v>9</v>
      </c>
      <c r="M5" s="6" t="s">
        <v>10</v>
      </c>
      <c r="N5" s="6" t="s">
        <v>11</v>
      </c>
      <c r="O5" s="6" t="s">
        <v>12</v>
      </c>
      <c r="P5" s="6" t="s">
        <v>13</v>
      </c>
      <c r="Q5" s="6" t="s">
        <v>14</v>
      </c>
      <c r="R5" s="6" t="s">
        <v>15</v>
      </c>
      <c r="S5" s="6" t="s">
        <v>16</v>
      </c>
      <c r="T5" s="6" t="s">
        <v>17</v>
      </c>
      <c r="U5" s="6" t="s">
        <v>18</v>
      </c>
      <c r="V5" s="6" t="s">
        <v>19</v>
      </c>
      <c r="W5" s="6" t="s">
        <v>20</v>
      </c>
      <c r="X5" s="6" t="s">
        <v>21</v>
      </c>
      <c r="Y5" s="6" t="s">
        <v>22</v>
      </c>
      <c r="Z5" s="6" t="s">
        <v>23</v>
      </c>
      <c r="AA5" s="6" t="s">
        <v>24</v>
      </c>
      <c r="AB5" s="6" t="s">
        <v>48</v>
      </c>
      <c r="AC5" s="6" t="s">
        <v>47</v>
      </c>
    </row>
    <row r="6" spans="1:30" x14ac:dyDescent="0.25">
      <c r="A6" s="3">
        <v>2028</v>
      </c>
      <c r="B6" s="5" t="s">
        <v>57</v>
      </c>
      <c r="C6" s="7" t="s">
        <v>45</v>
      </c>
      <c r="D6" s="1">
        <v>2057.7950361421886</v>
      </c>
      <c r="E6" s="1">
        <v>2018.8230838726076</v>
      </c>
      <c r="F6" s="1">
        <v>1980.9407383032899</v>
      </c>
      <c r="G6" s="1">
        <v>1964.1400831267847</v>
      </c>
      <c r="H6" s="1">
        <v>1977.2440373904692</v>
      </c>
      <c r="I6" s="1">
        <v>1994.4967930476123</v>
      </c>
      <c r="J6" s="1">
        <v>2027.6713361365687</v>
      </c>
      <c r="K6" s="1">
        <v>2115.234346530141</v>
      </c>
      <c r="L6" s="1">
        <v>2111.3873166397661</v>
      </c>
      <c r="M6" s="1">
        <v>1786.4932680956758</v>
      </c>
      <c r="N6" s="1">
        <v>1582.1883927655281</v>
      </c>
      <c r="O6" s="1">
        <v>1474.5341929090177</v>
      </c>
      <c r="P6" s="1">
        <v>1309.2101782323061</v>
      </c>
      <c r="Q6" s="1">
        <v>1368.6187982262013</v>
      </c>
      <c r="R6" s="1">
        <v>1676.4931010283544</v>
      </c>
      <c r="S6" s="1">
        <v>1949.0570757123205</v>
      </c>
      <c r="T6" s="1">
        <v>2239.8264463519236</v>
      </c>
      <c r="U6" s="1">
        <v>2439.8427700168813</v>
      </c>
      <c r="V6" s="1">
        <v>2300.6915871061042</v>
      </c>
      <c r="W6" s="1">
        <v>2248.4308316078518</v>
      </c>
      <c r="X6" s="1">
        <v>2241.6916392215589</v>
      </c>
      <c r="Y6" s="1">
        <v>2230.6332726005771</v>
      </c>
      <c r="Z6" s="1">
        <v>2156.8014223714749</v>
      </c>
      <c r="AA6" s="1">
        <v>2094.1818867718521</v>
      </c>
      <c r="AB6" s="8">
        <v>20</v>
      </c>
      <c r="AC6" s="8">
        <f t="shared" ref="AC6:AC41" si="0">AB6*SUM(D6:AA6)</f>
        <v>946928.55268414132</v>
      </c>
      <c r="AD6" s="9"/>
    </row>
    <row r="7" spans="1:30" x14ac:dyDescent="0.25">
      <c r="A7" s="3">
        <v>2028</v>
      </c>
      <c r="B7" s="5" t="s">
        <v>57</v>
      </c>
      <c r="C7" s="7" t="s">
        <v>46</v>
      </c>
      <c r="D7" s="1">
        <v>2148.2501615289252</v>
      </c>
      <c r="E7" s="1">
        <v>2096.0363362516446</v>
      </c>
      <c r="F7" s="1">
        <v>2038.632551009491</v>
      </c>
      <c r="G7" s="1">
        <v>2027.2052123179142</v>
      </c>
      <c r="H7" s="1">
        <v>2038.8027565582893</v>
      </c>
      <c r="I7" s="1">
        <v>1998.2231351780479</v>
      </c>
      <c r="J7" s="1">
        <v>1805.8725352084789</v>
      </c>
      <c r="K7" s="1">
        <v>1705.3700864638799</v>
      </c>
      <c r="L7" s="1">
        <v>1738.096685677293</v>
      </c>
      <c r="M7" s="1">
        <v>1348.8601624994278</v>
      </c>
      <c r="N7" s="1">
        <v>1014.1365487810625</v>
      </c>
      <c r="O7" s="1">
        <v>1053.7787303694654</v>
      </c>
      <c r="P7" s="1">
        <v>0</v>
      </c>
      <c r="Q7" s="1">
        <v>0</v>
      </c>
      <c r="R7" s="1">
        <v>883.86907737212812</v>
      </c>
      <c r="S7" s="1">
        <v>1054.4490783770373</v>
      </c>
      <c r="T7" s="1">
        <v>1506.8030561428443</v>
      </c>
      <c r="U7" s="1">
        <v>1947.7611177799295</v>
      </c>
      <c r="V7" s="1">
        <v>2233.6593059155384</v>
      </c>
      <c r="W7" s="1">
        <v>2244.6179247111954</v>
      </c>
      <c r="X7" s="1">
        <v>2245.9586207263405</v>
      </c>
      <c r="Y7" s="1">
        <v>2237.532136787408</v>
      </c>
      <c r="Z7" s="1">
        <v>2191.1341041851952</v>
      </c>
      <c r="AA7" s="1">
        <v>2112.7662324249923</v>
      </c>
      <c r="AB7" s="8">
        <v>4</v>
      </c>
      <c r="AC7" s="8">
        <f t="shared" si="0"/>
        <v>158687.26222506608</v>
      </c>
      <c r="AD7" s="9"/>
    </row>
    <row r="8" spans="1:30" x14ac:dyDescent="0.25">
      <c r="A8" s="3">
        <v>2028</v>
      </c>
      <c r="B8" s="5" t="s">
        <v>57</v>
      </c>
      <c r="C8" s="7" t="s">
        <v>52</v>
      </c>
      <c r="D8" s="1">
        <v>1833.7589614748972</v>
      </c>
      <c r="E8" s="1">
        <v>1762.3232791743249</v>
      </c>
      <c r="F8" s="1">
        <v>1677.4314521765723</v>
      </c>
      <c r="G8" s="1">
        <v>1651.5329598593639</v>
      </c>
      <c r="H8" s="1">
        <v>1665.6134748199433</v>
      </c>
      <c r="I8" s="1">
        <v>1605.2233530553049</v>
      </c>
      <c r="J8" s="1">
        <v>1262.0353412172794</v>
      </c>
      <c r="K8" s="1">
        <v>655.91020680797658</v>
      </c>
      <c r="L8" s="1">
        <v>348.19221905693058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586.98166077124347</v>
      </c>
      <c r="U8" s="1">
        <v>1246.4679238768645</v>
      </c>
      <c r="V8" s="1">
        <v>1827.518477244369</v>
      </c>
      <c r="W8" s="1">
        <v>1909.7647766312452</v>
      </c>
      <c r="X8" s="1">
        <v>1927.1312814831936</v>
      </c>
      <c r="Y8" s="1">
        <v>1954.5971362657265</v>
      </c>
      <c r="Z8" s="1">
        <v>1866.3420776945313</v>
      </c>
      <c r="AA8" s="1">
        <v>1771.4925105166544</v>
      </c>
      <c r="AB8" s="8">
        <v>7</v>
      </c>
      <c r="AC8" s="8">
        <f t="shared" si="0"/>
        <v>178866.21964488496</v>
      </c>
      <c r="AD8" s="9"/>
    </row>
    <row r="9" spans="1:30" x14ac:dyDescent="0.25">
      <c r="A9" s="3">
        <v>2028</v>
      </c>
      <c r="B9" s="5" t="s">
        <v>58</v>
      </c>
      <c r="C9" s="7" t="s">
        <v>45</v>
      </c>
      <c r="D9" s="1">
        <v>2077.9752816217688</v>
      </c>
      <c r="E9" s="1">
        <v>2039.5782143525034</v>
      </c>
      <c r="F9" s="1">
        <v>2002.254680722961</v>
      </c>
      <c r="G9" s="1">
        <v>1985.7018562065582</v>
      </c>
      <c r="H9" s="1">
        <v>1998.6125107684752</v>
      </c>
      <c r="I9" s="1">
        <v>2015.6107667184237</v>
      </c>
      <c r="J9" s="1">
        <v>2048.2959438376629</v>
      </c>
      <c r="K9" s="1">
        <v>2134.5672903979844</v>
      </c>
      <c r="L9" s="1">
        <v>2130.7770090062336</v>
      </c>
      <c r="M9" s="1">
        <v>1810.6755537073559</v>
      </c>
      <c r="N9" s="1">
        <v>1609.3844306138494</v>
      </c>
      <c r="O9" s="1">
        <v>1503.3182647436897</v>
      </c>
      <c r="P9" s="1">
        <v>1340.4329858935089</v>
      </c>
      <c r="Q9" s="1">
        <v>1398.9652544978785</v>
      </c>
      <c r="R9" s="1">
        <v>1702.2980265745655</v>
      </c>
      <c r="S9" s="1">
        <v>1970.8413420011143</v>
      </c>
      <c r="T9" s="1">
        <v>2257.3215010411609</v>
      </c>
      <c r="U9" s="1">
        <v>2454.3873339660618</v>
      </c>
      <c r="V9" s="1">
        <v>2317.2888049043472</v>
      </c>
      <c r="W9" s="1">
        <v>2265.798960861423</v>
      </c>
      <c r="X9" s="1">
        <v>2259.1591799849857</v>
      </c>
      <c r="Y9" s="1">
        <v>2248.2639380916135</v>
      </c>
      <c r="Z9" s="1">
        <v>2175.5211999231205</v>
      </c>
      <c r="AA9" s="1">
        <v>2113.8253807309788</v>
      </c>
      <c r="AB9" s="8">
        <v>21</v>
      </c>
      <c r="AC9" s="8">
        <f t="shared" si="0"/>
        <v>1005077.9699345327</v>
      </c>
    </row>
    <row r="10" spans="1:30" x14ac:dyDescent="0.25">
      <c r="A10" s="3">
        <v>2028</v>
      </c>
      <c r="B10" s="5" t="s">
        <v>58</v>
      </c>
      <c r="C10" s="7" t="s">
        <v>46</v>
      </c>
      <c r="D10" s="1">
        <v>2176.7501050002779</v>
      </c>
      <c r="E10" s="1">
        <v>2124.4555839408281</v>
      </c>
      <c r="F10" s="1">
        <v>2066.9630819014474</v>
      </c>
      <c r="G10" s="1">
        <v>2055.5180824077947</v>
      </c>
      <c r="H10" s="1">
        <v>2067.1335505006891</v>
      </c>
      <c r="I10" s="1">
        <v>2026.4912138478157</v>
      </c>
      <c r="J10" s="1">
        <v>1833.8433385487181</v>
      </c>
      <c r="K10" s="1">
        <v>1733.1855645876981</v>
      </c>
      <c r="L10" s="1">
        <v>1765.9627423309782</v>
      </c>
      <c r="M10" s="1">
        <v>1376.1246592114721</v>
      </c>
      <c r="N10" s="1">
        <v>1040.8837345380857</v>
      </c>
      <c r="O10" s="1">
        <v>1080.5871825982167</v>
      </c>
      <c r="P10" s="1">
        <v>0</v>
      </c>
      <c r="Q10" s="1">
        <v>0</v>
      </c>
      <c r="R10" s="1">
        <v>910.41493646057791</v>
      </c>
      <c r="S10" s="1">
        <v>1081.2585666198424</v>
      </c>
      <c r="T10" s="1">
        <v>1534.3116515255556</v>
      </c>
      <c r="U10" s="1">
        <v>1975.95120806363</v>
      </c>
      <c r="V10" s="1">
        <v>2262.2912480993791</v>
      </c>
      <c r="W10" s="1">
        <v>2273.2668032966599</v>
      </c>
      <c r="X10" s="1">
        <v>2274.6095713399131</v>
      </c>
      <c r="Y10" s="1">
        <v>2266.170064380568</v>
      </c>
      <c r="Z10" s="1">
        <v>2219.70032422749</v>
      </c>
      <c r="AA10" s="1">
        <v>2141.2113359492951</v>
      </c>
      <c r="AB10" s="8">
        <v>4</v>
      </c>
      <c r="AC10" s="8">
        <f t="shared" si="0"/>
        <v>161148.33819750775</v>
      </c>
    </row>
    <row r="11" spans="1:30" x14ac:dyDescent="0.25">
      <c r="A11" s="3">
        <v>2028</v>
      </c>
      <c r="B11" s="5" t="s">
        <v>58</v>
      </c>
      <c r="C11" s="7" t="s">
        <v>52</v>
      </c>
      <c r="D11" s="1">
        <v>1856.4133465793911</v>
      </c>
      <c r="E11" s="1">
        <v>1784.3736492388553</v>
      </c>
      <c r="F11" s="1">
        <v>1698.7640305349792</v>
      </c>
      <c r="G11" s="1">
        <v>1672.6465569136353</v>
      </c>
      <c r="H11" s="1">
        <v>1686.8461278212253</v>
      </c>
      <c r="I11" s="1">
        <v>1625.9453853046548</v>
      </c>
      <c r="J11" s="1">
        <v>1279.8555922557607</v>
      </c>
      <c r="K11" s="1">
        <v>668.60544629070978</v>
      </c>
      <c r="L11" s="1">
        <v>358.28558946410965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599.09408397577795</v>
      </c>
      <c r="U11" s="1">
        <v>1264.1565466603315</v>
      </c>
      <c r="V11" s="1">
        <v>1850.1200967531481</v>
      </c>
      <c r="W11" s="1">
        <v>1933.0618189345041</v>
      </c>
      <c r="X11" s="1">
        <v>1950.5751639898963</v>
      </c>
      <c r="Y11" s="1">
        <v>1978.2732527042663</v>
      </c>
      <c r="Z11" s="1">
        <v>1889.2719650636041</v>
      </c>
      <c r="AA11" s="1">
        <v>1793.6204098138778</v>
      </c>
      <c r="AB11" s="8">
        <v>4</v>
      </c>
      <c r="AC11" s="8">
        <f t="shared" si="0"/>
        <v>103559.6362491949</v>
      </c>
    </row>
    <row r="12" spans="1:30" x14ac:dyDescent="0.25">
      <c r="A12" s="3">
        <v>2028</v>
      </c>
      <c r="B12" s="5" t="s">
        <v>59</v>
      </c>
      <c r="C12" s="7" t="s">
        <v>45</v>
      </c>
      <c r="D12" s="1">
        <v>2097.8578432607073</v>
      </c>
      <c r="E12" s="1">
        <v>2060.0271807195536</v>
      </c>
      <c r="F12" s="1">
        <v>2023.2542158553115</v>
      </c>
      <c r="G12" s="1">
        <v>2006.9455661870538</v>
      </c>
      <c r="H12" s="1">
        <v>2019.6657724593761</v>
      </c>
      <c r="I12" s="1">
        <v>2036.4132828908664</v>
      </c>
      <c r="J12" s="1">
        <v>2068.6163128000162</v>
      </c>
      <c r="K12" s="1">
        <v>2153.6150491828562</v>
      </c>
      <c r="L12" s="1">
        <v>2149.8806791784546</v>
      </c>
      <c r="M12" s="1">
        <v>1834.5011203849845</v>
      </c>
      <c r="N12" s="1">
        <v>1636.1792929162584</v>
      </c>
      <c r="O12" s="1">
        <v>1531.6777355465401</v>
      </c>
      <c r="P12" s="1">
        <v>1371.1952181216921</v>
      </c>
      <c r="Q12" s="1">
        <v>1428.8640626147326</v>
      </c>
      <c r="R12" s="1">
        <v>1727.7222972198319</v>
      </c>
      <c r="S12" s="1">
        <v>1992.3042631377407</v>
      </c>
      <c r="T12" s="1">
        <v>2274.5584818096727</v>
      </c>
      <c r="U12" s="1">
        <v>2468.7173474202432</v>
      </c>
      <c r="V12" s="1">
        <v>2333.6411929980586</v>
      </c>
      <c r="W12" s="1">
        <v>2282.9108885030669</v>
      </c>
      <c r="X12" s="1">
        <v>2276.369052692477</v>
      </c>
      <c r="Y12" s="1">
        <v>2265.6345292331207</v>
      </c>
      <c r="Z12" s="1">
        <v>2193.9648373612495</v>
      </c>
      <c r="AA12" s="1">
        <v>2133.179108605184</v>
      </c>
      <c r="AB12" s="8">
        <v>22</v>
      </c>
      <c r="AC12" s="8">
        <f t="shared" si="0"/>
        <v>1064089.2972841789</v>
      </c>
    </row>
    <row r="13" spans="1:30" x14ac:dyDescent="0.25">
      <c r="A13" s="3">
        <v>2028</v>
      </c>
      <c r="B13" s="5" t="s">
        <v>59</v>
      </c>
      <c r="C13" s="7" t="s">
        <v>46</v>
      </c>
      <c r="D13" s="1">
        <v>2205.294094760482</v>
      </c>
      <c r="E13" s="1">
        <v>2152.9187532045898</v>
      </c>
      <c r="F13" s="1">
        <v>2095.3373972573354</v>
      </c>
      <c r="G13" s="1">
        <v>2083.8747096670691</v>
      </c>
      <c r="H13" s="1">
        <v>2095.5081293135613</v>
      </c>
      <c r="I13" s="1">
        <v>2054.8029804624248</v>
      </c>
      <c r="J13" s="1">
        <v>1861.8573703986758</v>
      </c>
      <c r="K13" s="1">
        <v>1761.04403116815</v>
      </c>
      <c r="L13" s="1">
        <v>1793.8718656097517</v>
      </c>
      <c r="M13" s="1">
        <v>1403.4312928456045</v>
      </c>
      <c r="N13" s="1">
        <v>1067.6722577199005</v>
      </c>
      <c r="O13" s="1">
        <v>1107.4370669382881</v>
      </c>
      <c r="P13" s="1">
        <v>0</v>
      </c>
      <c r="Q13" s="1">
        <v>0</v>
      </c>
      <c r="R13" s="1">
        <v>937.00182182609353</v>
      </c>
      <c r="S13" s="1">
        <v>1108.109488575114</v>
      </c>
      <c r="T13" s="1">
        <v>1561.8627610816491</v>
      </c>
      <c r="U13" s="1">
        <v>2004.1848657621442</v>
      </c>
      <c r="V13" s="1">
        <v>2290.9674405743503</v>
      </c>
      <c r="W13" s="1">
        <v>2301.9599583482413</v>
      </c>
      <c r="X13" s="1">
        <v>2303.3048016218945</v>
      </c>
      <c r="Y13" s="1">
        <v>2294.8522515152299</v>
      </c>
      <c r="Z13" s="1">
        <v>2248.3106929882074</v>
      </c>
      <c r="AA13" s="1">
        <v>2169.7004010080304</v>
      </c>
      <c r="AB13" s="8">
        <v>4</v>
      </c>
      <c r="AC13" s="8">
        <f t="shared" si="0"/>
        <v>163613.21773058712</v>
      </c>
    </row>
    <row r="14" spans="1:30" x14ac:dyDescent="0.25">
      <c r="A14" s="3">
        <v>2028</v>
      </c>
      <c r="B14" s="5" t="s">
        <v>59</v>
      </c>
      <c r="C14" s="7" t="s">
        <v>52</v>
      </c>
      <c r="D14" s="1">
        <v>1879.2592828650818</v>
      </c>
      <c r="E14" s="1">
        <v>1806.6104633146529</v>
      </c>
      <c r="F14" s="1">
        <v>1720.27698371105</v>
      </c>
      <c r="G14" s="1">
        <v>1693.9386772178823</v>
      </c>
      <c r="H14" s="1">
        <v>1708.2583107344235</v>
      </c>
      <c r="I14" s="1">
        <v>1646.8426299791422</v>
      </c>
      <c r="J14" s="1">
        <v>1297.8265200890391</v>
      </c>
      <c r="K14" s="1">
        <v>681.4080287053863</v>
      </c>
      <c r="L14" s="1">
        <v>368.46430304060578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611.30892218567567</v>
      </c>
      <c r="U14" s="1">
        <v>1281.9947332731535</v>
      </c>
      <c r="V14" s="1">
        <v>1872.9128212905516</v>
      </c>
      <c r="W14" s="1">
        <v>1956.5558463225925</v>
      </c>
      <c r="X14" s="1">
        <v>1974.2172731695046</v>
      </c>
      <c r="Y14" s="1">
        <v>2002.149559439255</v>
      </c>
      <c r="Z14" s="1">
        <v>1912.3957330871281</v>
      </c>
      <c r="AA14" s="1">
        <v>1815.9354086606245</v>
      </c>
      <c r="AB14" s="8">
        <v>5</v>
      </c>
      <c r="AC14" s="8">
        <f t="shared" si="0"/>
        <v>131151.77748542876</v>
      </c>
    </row>
    <row r="15" spans="1:30" x14ac:dyDescent="0.25">
      <c r="A15" s="3">
        <v>2028</v>
      </c>
      <c r="B15" s="5" t="s">
        <v>56</v>
      </c>
      <c r="C15" s="7" t="s">
        <v>45</v>
      </c>
      <c r="D15" s="1">
        <v>2117.4471122676778</v>
      </c>
      <c r="E15" s="1">
        <v>2080.1744992770441</v>
      </c>
      <c r="F15" s="1">
        <v>2043.943981600753</v>
      </c>
      <c r="G15" s="1">
        <v>2027.875904896478</v>
      </c>
      <c r="H15" s="1">
        <v>2040.4084722294856</v>
      </c>
      <c r="I15" s="1">
        <v>2056.9089359522791</v>
      </c>
      <c r="J15" s="1">
        <v>2088.6369309252409</v>
      </c>
      <c r="K15" s="1">
        <v>2172.3818297211337</v>
      </c>
      <c r="L15" s="1">
        <v>2168.7025463412438</v>
      </c>
      <c r="M15" s="1">
        <v>1857.9752301786402</v>
      </c>
      <c r="N15" s="1">
        <v>1662.5788975134174</v>
      </c>
      <c r="O15" s="1">
        <v>1559.618868713424</v>
      </c>
      <c r="P15" s="1">
        <v>1401.5036689800868</v>
      </c>
      <c r="Q15" s="1">
        <v>1458.3218259464857</v>
      </c>
      <c r="R15" s="1">
        <v>1752.7715280996581</v>
      </c>
      <c r="S15" s="1">
        <v>2013.4505793647886</v>
      </c>
      <c r="T15" s="1">
        <v>2291.5411955703112</v>
      </c>
      <c r="U15" s="1">
        <v>2482.8359752673564</v>
      </c>
      <c r="V15" s="1">
        <v>2349.7523629313505</v>
      </c>
      <c r="W15" s="1">
        <v>2299.7703938267414</v>
      </c>
      <c r="X15" s="1">
        <v>2293.3250582698734</v>
      </c>
      <c r="Y15" s="1">
        <v>2282.7488824467769</v>
      </c>
      <c r="Z15" s="1">
        <v>2212.1364080976359</v>
      </c>
      <c r="AA15" s="1">
        <v>2152.2473448063492</v>
      </c>
      <c r="AB15" s="8">
        <v>18</v>
      </c>
      <c r="AC15" s="8">
        <f t="shared" si="0"/>
        <v>879607.05179803621</v>
      </c>
    </row>
    <row r="16" spans="1:30" x14ac:dyDescent="0.25">
      <c r="A16" s="3">
        <v>2028</v>
      </c>
      <c r="B16" s="5" t="s">
        <v>56</v>
      </c>
      <c r="C16" s="7" t="s">
        <v>46</v>
      </c>
      <c r="D16" s="1">
        <v>2233.8821988824993</v>
      </c>
      <c r="E16" s="1">
        <v>2181.4259119231474</v>
      </c>
      <c r="F16" s="1">
        <v>2123.7555647454701</v>
      </c>
      <c r="G16" s="1">
        <v>2112.2751617218687</v>
      </c>
      <c r="H16" s="1">
        <v>2123.9265606658496</v>
      </c>
      <c r="I16" s="1">
        <v>2083.1585025410213</v>
      </c>
      <c r="J16" s="1">
        <v>1889.9146975674469</v>
      </c>
      <c r="K16" s="1">
        <v>1788.9455526433314</v>
      </c>
      <c r="L16" s="1">
        <v>1821.8241220725176</v>
      </c>
      <c r="M16" s="1">
        <v>1430.7801285238854</v>
      </c>
      <c r="N16" s="1">
        <v>1094.5021822129549</v>
      </c>
      <c r="O16" s="1">
        <v>1134.3284474224645</v>
      </c>
      <c r="P16" s="1">
        <v>0</v>
      </c>
      <c r="Q16" s="1">
        <v>0</v>
      </c>
      <c r="R16" s="1">
        <v>963.6297968742482</v>
      </c>
      <c r="S16" s="1">
        <v>1135.0019082781112</v>
      </c>
      <c r="T16" s="1">
        <v>1589.456450516222</v>
      </c>
      <c r="U16" s="1">
        <v>2032.4621582083403</v>
      </c>
      <c r="V16" s="1">
        <v>2319.6879517286966</v>
      </c>
      <c r="W16" s="1">
        <v>2330.6974582946373</v>
      </c>
      <c r="X16" s="1">
        <v>2332.044380005932</v>
      </c>
      <c r="Y16" s="1">
        <v>2323.5787665939347</v>
      </c>
      <c r="Z16" s="1">
        <v>2276.9652786986126</v>
      </c>
      <c r="AA16" s="1">
        <v>2198.2334955431729</v>
      </c>
      <c r="AB16" s="8">
        <v>5</v>
      </c>
      <c r="AC16" s="8">
        <f t="shared" si="0"/>
        <v>207602.38337832186</v>
      </c>
    </row>
    <row r="17" spans="1:29" x14ac:dyDescent="0.25">
      <c r="A17" s="3">
        <v>2028</v>
      </c>
      <c r="B17" s="5" t="s">
        <v>56</v>
      </c>
      <c r="C17" s="7" t="s">
        <v>52</v>
      </c>
      <c r="D17" s="1">
        <v>1902.2983899678516</v>
      </c>
      <c r="E17" s="1">
        <v>1829.0352978545957</v>
      </c>
      <c r="F17" s="1">
        <v>1741.9718368403924</v>
      </c>
      <c r="G17" s="1">
        <v>1715.410830252024</v>
      </c>
      <c r="H17" s="1">
        <v>1729.8515415511556</v>
      </c>
      <c r="I17" s="1">
        <v>1667.9165685644411</v>
      </c>
      <c r="J17" s="1">
        <v>1315.949398744985</v>
      </c>
      <c r="K17" s="1">
        <v>694.31886167608468</v>
      </c>
      <c r="L17" s="1">
        <v>378.7290813943909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623.62704135757861</v>
      </c>
      <c r="U17" s="1">
        <v>1299.9837483326678</v>
      </c>
      <c r="V17" s="1">
        <v>1895.8982667200771</v>
      </c>
      <c r="W17" s="1">
        <v>1980.2485243770525</v>
      </c>
      <c r="X17" s="1">
        <v>1998.0592851016459</v>
      </c>
      <c r="Y17" s="1">
        <v>2026.2277491534815</v>
      </c>
      <c r="Z17" s="1">
        <v>1935.7150210975415</v>
      </c>
      <c r="AA17" s="1">
        <v>1838.4390890525897</v>
      </c>
      <c r="AB17" s="8">
        <v>7</v>
      </c>
      <c r="AC17" s="8">
        <f t="shared" si="0"/>
        <v>186015.76372426987</v>
      </c>
    </row>
    <row r="18" spans="1:29" x14ac:dyDescent="0.25">
      <c r="A18" s="3">
        <v>2028</v>
      </c>
      <c r="B18" s="5" t="s">
        <v>25</v>
      </c>
      <c r="C18" s="7" t="s">
        <v>45</v>
      </c>
      <c r="D18" s="1">
        <v>2136.7474150755374</v>
      </c>
      <c r="E18" s="1">
        <v>2100.0246197071433</v>
      </c>
      <c r="F18" s="1">
        <v>2064.3285474448699</v>
      </c>
      <c r="G18" s="1">
        <v>2048.4974949527082</v>
      </c>
      <c r="H18" s="1">
        <v>2060.8451912552537</v>
      </c>
      <c r="I18" s="1">
        <v>2077.1022525170447</v>
      </c>
      <c r="J18" s="1">
        <v>2108.3622199127917</v>
      </c>
      <c r="K18" s="1">
        <v>2190.8717767931007</v>
      </c>
      <c r="L18" s="1">
        <v>2187.2467674411673</v>
      </c>
      <c r="M18" s="1">
        <v>1881.1030675165875</v>
      </c>
      <c r="N18" s="1">
        <v>1688.5890749504433</v>
      </c>
      <c r="O18" s="1">
        <v>1587.14783524728</v>
      </c>
      <c r="P18" s="1">
        <v>1431.3650323110005</v>
      </c>
      <c r="Q18" s="1">
        <v>1487.3450504549041</v>
      </c>
      <c r="R18" s="1">
        <v>1777.4512515192819</v>
      </c>
      <c r="S18" s="1">
        <v>2034.2849610003441</v>
      </c>
      <c r="T18" s="1">
        <v>2308.2733930792078</v>
      </c>
      <c r="U18" s="1">
        <v>2496.7463357092802</v>
      </c>
      <c r="V18" s="1">
        <v>2365.6258729735464</v>
      </c>
      <c r="W18" s="1">
        <v>2316.3812003770959</v>
      </c>
      <c r="X18" s="1">
        <v>2310.0309415746083</v>
      </c>
      <c r="Y18" s="1">
        <v>2299.6107775622454</v>
      </c>
      <c r="Z18" s="1">
        <v>2230.0399254561398</v>
      </c>
      <c r="AA18" s="1">
        <v>2171.0343006934386</v>
      </c>
      <c r="AB18" s="8">
        <v>21</v>
      </c>
      <c r="AC18" s="8">
        <f t="shared" si="0"/>
        <v>1036540.1614160254</v>
      </c>
    </row>
    <row r="19" spans="1:29" x14ac:dyDescent="0.25">
      <c r="A19" s="3">
        <v>2028</v>
      </c>
      <c r="B19" s="5" t="s">
        <v>25</v>
      </c>
      <c r="C19" s="7" t="s">
        <v>46</v>
      </c>
      <c r="D19" s="1">
        <v>2262.5144855444973</v>
      </c>
      <c r="E19" s="1">
        <v>2209.9771280816262</v>
      </c>
      <c r="F19" s="1">
        <v>2152.2176521387464</v>
      </c>
      <c r="G19" s="1">
        <v>2140.7195063028403</v>
      </c>
      <c r="H19" s="1">
        <v>2152.3889123310782</v>
      </c>
      <c r="I19" s="1">
        <v>2111.5578477071008</v>
      </c>
      <c r="J19" s="1">
        <v>1918.0153869673786</v>
      </c>
      <c r="K19" s="1">
        <v>1816.8901955540177</v>
      </c>
      <c r="L19" s="1">
        <v>1849.8195783810463</v>
      </c>
      <c r="M19" s="1">
        <v>1458.1712314690205</v>
      </c>
      <c r="N19" s="1">
        <v>1121.3735720024324</v>
      </c>
      <c r="O19" s="1">
        <v>1161.2613881824923</v>
      </c>
      <c r="P19" s="1">
        <v>0</v>
      </c>
      <c r="Q19" s="1">
        <v>0</v>
      </c>
      <c r="R19" s="1">
        <v>990.29892510860748</v>
      </c>
      <c r="S19" s="1">
        <v>1161.9358898630587</v>
      </c>
      <c r="T19" s="1">
        <v>1617.0927856359183</v>
      </c>
      <c r="U19" s="1">
        <v>2060.7831528391484</v>
      </c>
      <c r="V19" s="1">
        <v>2348.4528500563551</v>
      </c>
      <c r="W19" s="1">
        <v>2359.4793716703011</v>
      </c>
      <c r="X19" s="1">
        <v>2360.8283750314358</v>
      </c>
      <c r="Y19" s="1">
        <v>2352.3496781249387</v>
      </c>
      <c r="Z19" s="1">
        <v>2305.6641496954212</v>
      </c>
      <c r="AA19" s="1">
        <v>2226.8106876017014</v>
      </c>
      <c r="AB19" s="8">
        <v>4</v>
      </c>
      <c r="AC19" s="8">
        <f t="shared" si="0"/>
        <v>168554.41100115664</v>
      </c>
    </row>
    <row r="20" spans="1:29" x14ac:dyDescent="0.25">
      <c r="A20" s="3">
        <v>2028</v>
      </c>
      <c r="B20" s="5" t="s">
        <v>25</v>
      </c>
      <c r="C20" s="7" t="s">
        <v>52</v>
      </c>
      <c r="D20" s="1">
        <v>1925.5323012182016</v>
      </c>
      <c r="E20" s="1">
        <v>1851.649742641051</v>
      </c>
      <c r="F20" s="1">
        <v>1763.8501279541974</v>
      </c>
      <c r="G20" s="1">
        <v>1737.0645382591897</v>
      </c>
      <c r="H20" s="1">
        <v>1751.6273510982178</v>
      </c>
      <c r="I20" s="1">
        <v>1689.168695072734</v>
      </c>
      <c r="J20" s="1">
        <v>1334.225513023845</v>
      </c>
      <c r="K20" s="1">
        <v>707.33886050117985</v>
      </c>
      <c r="L20" s="1">
        <v>389.08065223489848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636.04931477011144</v>
      </c>
      <c r="U20" s="1">
        <v>1318.1248671490184</v>
      </c>
      <c r="V20" s="1">
        <v>1919.0780625679454</v>
      </c>
      <c r="W20" s="1">
        <v>2004.1415327625323</v>
      </c>
      <c r="X20" s="1">
        <v>2022.1028900378187</v>
      </c>
      <c r="Y20" s="1">
        <v>2050.5095288419916</v>
      </c>
      <c r="Z20" s="1">
        <v>1959.2314822884427</v>
      </c>
      <c r="AA20" s="1">
        <v>1861.1330463618256</v>
      </c>
      <c r="AB20" s="8">
        <v>6</v>
      </c>
      <c r="AC20" s="8">
        <f t="shared" si="0"/>
        <v>161519.4510406992</v>
      </c>
    </row>
    <row r="21" spans="1:29" x14ac:dyDescent="0.25">
      <c r="A21" s="3">
        <v>2028</v>
      </c>
      <c r="B21" s="5" t="s">
        <v>26</v>
      </c>
      <c r="C21" s="7" t="s">
        <v>45</v>
      </c>
      <c r="D21" s="1">
        <v>2155.7630142968524</v>
      </c>
      <c r="E21" s="1">
        <v>2119.5819260536473</v>
      </c>
      <c r="F21" s="1">
        <v>2084.4124154676233</v>
      </c>
      <c r="G21" s="1">
        <v>2068.8148907842306</v>
      </c>
      <c r="H21" s="1">
        <v>2080.9804431350517</v>
      </c>
      <c r="I21" s="1">
        <v>2096.9976924263269</v>
      </c>
      <c r="J21" s="1">
        <v>2127.7965362365303</v>
      </c>
      <c r="K21" s="1">
        <v>2209.0889740383518</v>
      </c>
      <c r="L21" s="1">
        <v>2205.5174381046349</v>
      </c>
      <c r="M21" s="1">
        <v>1903.8897403502942</v>
      </c>
      <c r="N21" s="1">
        <v>1714.2155697646263</v>
      </c>
      <c r="O21" s="1">
        <v>1614.2707151210416</v>
      </c>
      <c r="P21" s="1">
        <v>1460.7859032142019</v>
      </c>
      <c r="Q21" s="1">
        <v>1515.940146130687</v>
      </c>
      <c r="R21" s="1">
        <v>1801.766918175525</v>
      </c>
      <c r="S21" s="1">
        <v>2054.8120094694655</v>
      </c>
      <c r="T21" s="1">
        <v>2324.7587697641525</v>
      </c>
      <c r="U21" s="1">
        <v>2510.4515009505189</v>
      </c>
      <c r="V21" s="1">
        <v>2381.2652289050498</v>
      </c>
      <c r="W21" s="1">
        <v>2332.746976771843</v>
      </c>
      <c r="X21" s="1">
        <v>2326.4903922227882</v>
      </c>
      <c r="Y21" s="1">
        <v>2316.2239386519782</v>
      </c>
      <c r="Z21" s="1">
        <v>2247.6793435590794</v>
      </c>
      <c r="AA21" s="1">
        <v>2189.5441255026089</v>
      </c>
      <c r="AB21" s="8">
        <v>20</v>
      </c>
      <c r="AC21" s="8">
        <f t="shared" si="0"/>
        <v>996875.89218194236</v>
      </c>
    </row>
    <row r="22" spans="1:29" x14ac:dyDescent="0.25">
      <c r="A22" s="3">
        <v>2028</v>
      </c>
      <c r="B22" s="5" t="s">
        <v>26</v>
      </c>
      <c r="C22" s="7" t="s">
        <v>46</v>
      </c>
      <c r="D22" s="1">
        <v>2291.1910230300123</v>
      </c>
      <c r="E22" s="1">
        <v>2238.5724697702221</v>
      </c>
      <c r="F22" s="1">
        <v>2180.7237273148021</v>
      </c>
      <c r="G22" s="1">
        <v>2169.2078112453073</v>
      </c>
      <c r="H22" s="1">
        <v>2180.8952521875149</v>
      </c>
      <c r="I22" s="1">
        <v>2140.0010836886704</v>
      </c>
      <c r="J22" s="1">
        <v>1946.1595056142307</v>
      </c>
      <c r="K22" s="1">
        <v>1844.8780265438218</v>
      </c>
      <c r="L22" s="1">
        <v>1877.8583013001328</v>
      </c>
      <c r="M22" s="1">
        <v>1485.6046670045164</v>
      </c>
      <c r="N22" s="1">
        <v>1148.2864911724048</v>
      </c>
      <c r="O22" s="1">
        <v>1188.2359534492327</v>
      </c>
      <c r="P22" s="1">
        <v>0</v>
      </c>
      <c r="Q22" s="1">
        <v>0</v>
      </c>
      <c r="R22" s="1">
        <v>1017.009270130881</v>
      </c>
      <c r="S22" s="1">
        <v>1188.9114975633001</v>
      </c>
      <c r="T22" s="1">
        <v>1644.7718323490849</v>
      </c>
      <c r="U22" s="1">
        <v>2089.1479171957217</v>
      </c>
      <c r="V22" s="1">
        <v>2377.2622041571208</v>
      </c>
      <c r="W22" s="1">
        <v>2388.3057671156057</v>
      </c>
      <c r="X22" s="1">
        <v>2389.6568553437423</v>
      </c>
      <c r="Y22" s="1">
        <v>2381.1650547223762</v>
      </c>
      <c r="Z22" s="1">
        <v>2334.4073744209632</v>
      </c>
      <c r="AA22" s="1">
        <v>2255.4320453357595</v>
      </c>
      <c r="AB22" s="8">
        <v>4</v>
      </c>
      <c r="AC22" s="8">
        <f t="shared" si="0"/>
        <v>171030.73652262168</v>
      </c>
    </row>
    <row r="23" spans="1:29" x14ac:dyDescent="0.25">
      <c r="A23" s="3">
        <v>2028</v>
      </c>
      <c r="B23" s="5" t="s">
        <v>26</v>
      </c>
      <c r="C23" s="7" t="s">
        <v>52</v>
      </c>
      <c r="D23" s="1">
        <v>1948.9626637570459</v>
      </c>
      <c r="E23" s="1">
        <v>1874.4554008985833</v>
      </c>
      <c r="F23" s="1">
        <v>1785.9134080882773</v>
      </c>
      <c r="G23" s="1">
        <v>1758.9013363536355</v>
      </c>
      <c r="H23" s="1">
        <v>1773.587283146112</v>
      </c>
      <c r="I23" s="1">
        <v>1710.6005161486269</v>
      </c>
      <c r="J23" s="1">
        <v>1352.6561585893255</v>
      </c>
      <c r="K23" s="1">
        <v>720.46894821823207</v>
      </c>
      <c r="L23" s="1">
        <v>399.51974942461351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648.57662308579165</v>
      </c>
      <c r="U23" s="1">
        <v>1336.4193758155666</v>
      </c>
      <c r="V23" s="1">
        <v>1942.4538521386212</v>
      </c>
      <c r="W23" s="1">
        <v>2028.2365653458646</v>
      </c>
      <c r="X23" s="1">
        <v>2046.3497925212214</v>
      </c>
      <c r="Y23" s="1">
        <v>2074.9966199331034</v>
      </c>
      <c r="Z23" s="1">
        <v>1982.9467838317923</v>
      </c>
      <c r="AA23" s="1">
        <v>1884.0188894498438</v>
      </c>
      <c r="AB23" s="8">
        <v>6</v>
      </c>
      <c r="AC23" s="8">
        <f t="shared" si="0"/>
        <v>163614.38380047752</v>
      </c>
    </row>
    <row r="24" spans="1:29" x14ac:dyDescent="0.25">
      <c r="A24" s="3">
        <v>2028</v>
      </c>
      <c r="B24" s="5" t="s">
        <v>27</v>
      </c>
      <c r="C24" s="7" t="s">
        <v>45</v>
      </c>
      <c r="D24" s="1">
        <v>2174.4981096653264</v>
      </c>
      <c r="E24" s="1">
        <v>2138.8507376902271</v>
      </c>
      <c r="F24" s="1">
        <v>2104.2000213376691</v>
      </c>
      <c r="G24" s="1">
        <v>2088.8325796360195</v>
      </c>
      <c r="H24" s="1">
        <v>2100.8186748860348</v>
      </c>
      <c r="I24" s="1">
        <v>2116.5996497330589</v>
      </c>
      <c r="J24" s="1">
        <v>2146.9441721068843</v>
      </c>
      <c r="K24" s="1">
        <v>2227.037444857694</v>
      </c>
      <c r="L24" s="1">
        <v>2223.5185935424479</v>
      </c>
      <c r="M24" s="1">
        <v>1926.3402812825611</v>
      </c>
      <c r="N24" s="1">
        <v>1739.4640417541523</v>
      </c>
      <c r="O24" s="1">
        <v>1640.993498620443</v>
      </c>
      <c r="P24" s="1">
        <v>1489.7727795034948</v>
      </c>
      <c r="Q24" s="1">
        <v>1544.1134284091609</v>
      </c>
      <c r="R24" s="1">
        <v>1825.7238983606194</v>
      </c>
      <c r="S24" s="1">
        <v>2075.0362583204401</v>
      </c>
      <c r="T24" s="1">
        <v>2341.0009665407574</v>
      </c>
      <c r="U24" s="1">
        <v>2523.9544978767208</v>
      </c>
      <c r="V24" s="1">
        <v>2396.6738847916226</v>
      </c>
      <c r="W24" s="1">
        <v>2348.8713375119987</v>
      </c>
      <c r="X24" s="1">
        <v>2342.7070454040713</v>
      </c>
      <c r="Y24" s="1">
        <v>2332.5920348537052</v>
      </c>
      <c r="Z24" s="1">
        <v>2265.0585582005256</v>
      </c>
      <c r="AA24" s="1">
        <v>2207.7809072635978</v>
      </c>
      <c r="AB24" s="8">
        <v>19</v>
      </c>
      <c r="AC24" s="8">
        <f t="shared" si="0"/>
        <v>956106.28464083548</v>
      </c>
    </row>
    <row r="25" spans="1:29" x14ac:dyDescent="0.25">
      <c r="A25" s="3">
        <v>2028</v>
      </c>
      <c r="B25" s="5" t="s">
        <v>27</v>
      </c>
      <c r="C25" s="7" t="s">
        <v>46</v>
      </c>
      <c r="D25" s="1">
        <v>2319.9118797281112</v>
      </c>
      <c r="E25" s="1">
        <v>2267.2120051843631</v>
      </c>
      <c r="F25" s="1">
        <v>2209.2738582561783</v>
      </c>
      <c r="G25" s="1">
        <v>2197.7401444894322</v>
      </c>
      <c r="H25" s="1">
        <v>2209.4456482183323</v>
      </c>
      <c r="I25" s="1">
        <v>2168.4882783184098</v>
      </c>
      <c r="J25" s="1">
        <v>1974.3471206273348</v>
      </c>
      <c r="K25" s="1">
        <v>1872.9091123593535</v>
      </c>
      <c r="L25" s="1">
        <v>1905.9403576977561</v>
      </c>
      <c r="M25" s="1">
        <v>1513.0805005548364</v>
      </c>
      <c r="N25" s="1">
        <v>1175.2410039059851</v>
      </c>
      <c r="O25" s="1">
        <v>1215.252207552815</v>
      </c>
      <c r="P25" s="1">
        <v>0</v>
      </c>
      <c r="Q25" s="1">
        <v>0</v>
      </c>
      <c r="R25" s="1">
        <v>1043.7608956410738</v>
      </c>
      <c r="S25" s="1">
        <v>1215.9287957114509</v>
      </c>
      <c r="T25" s="1">
        <v>1672.4936566659292</v>
      </c>
      <c r="U25" s="1">
        <v>2117.5565189235977</v>
      </c>
      <c r="V25" s="1">
        <v>2406.1160827368076</v>
      </c>
      <c r="W25" s="1">
        <v>2417.1767133770059</v>
      </c>
      <c r="X25" s="1">
        <v>2418.5298896942791</v>
      </c>
      <c r="Y25" s="1">
        <v>2410.0249651064246</v>
      </c>
      <c r="Z25" s="1">
        <v>2363.1950214233439</v>
      </c>
      <c r="AA25" s="1">
        <v>2284.0976370028197</v>
      </c>
      <c r="AB25" s="8">
        <v>5</v>
      </c>
      <c r="AC25" s="8">
        <f t="shared" si="0"/>
        <v>216888.6114658782</v>
      </c>
    </row>
    <row r="26" spans="1:29" x14ac:dyDescent="0.25">
      <c r="A26" s="3">
        <v>2028</v>
      </c>
      <c r="B26" s="5" t="s">
        <v>27</v>
      </c>
      <c r="C26" s="7" t="s">
        <v>52</v>
      </c>
      <c r="D26" s="1">
        <v>1972.5911386524813</v>
      </c>
      <c r="E26" s="1">
        <v>1897.4538894076118</v>
      </c>
      <c r="F26" s="1">
        <v>1808.1632413930238</v>
      </c>
      <c r="G26" s="1">
        <v>1780.9227726295744</v>
      </c>
      <c r="H26" s="1">
        <v>1795.7328945184881</v>
      </c>
      <c r="I26" s="1">
        <v>1732.213551175962</v>
      </c>
      <c r="J26" s="1">
        <v>1371.2426420604475</v>
      </c>
      <c r="K26" s="1">
        <v>733.71005566942461</v>
      </c>
      <c r="L26" s="1">
        <v>410.04711303109912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661.20985441346318</v>
      </c>
      <c r="U26" s="1">
        <v>1354.8685713000673</v>
      </c>
      <c r="V26" s="1">
        <v>1966.0272926313155</v>
      </c>
      <c r="W26" s="1">
        <v>2052.5353303161505</v>
      </c>
      <c r="X26" s="1">
        <v>2070.8017115075932</v>
      </c>
      <c r="Y26" s="1">
        <v>2099.6907584104465</v>
      </c>
      <c r="Z26" s="1">
        <v>2006.8626069961042</v>
      </c>
      <c r="AA26" s="1">
        <v>1907.0982407816728</v>
      </c>
      <c r="AB26" s="8">
        <v>7</v>
      </c>
      <c r="AC26" s="8">
        <f t="shared" si="0"/>
        <v>193348.20165426444</v>
      </c>
    </row>
    <row r="27" spans="1:29" x14ac:dyDescent="0.25">
      <c r="A27" s="3">
        <v>2028</v>
      </c>
      <c r="B27" s="5" t="s">
        <v>28</v>
      </c>
      <c r="C27" s="7" t="s">
        <v>45</v>
      </c>
      <c r="D27" s="1">
        <v>2192.9568389633423</v>
      </c>
      <c r="E27" s="1">
        <v>2157.835310274394</v>
      </c>
      <c r="F27" s="1">
        <v>2123.6957352920067</v>
      </c>
      <c r="G27" s="1">
        <v>2108.5549825605785</v>
      </c>
      <c r="H27" s="1">
        <v>2120.3642679262975</v>
      </c>
      <c r="I27" s="1">
        <v>2135.9124536724016</v>
      </c>
      <c r="J27" s="1">
        <v>2165.8093564188143</v>
      </c>
      <c r="K27" s="1">
        <v>2244.7211533017444</v>
      </c>
      <c r="L27" s="1">
        <v>2241.2542094410051</v>
      </c>
      <c r="M27" s="1">
        <v>1948.4596486790074</v>
      </c>
      <c r="N27" s="1">
        <v>1764.3400672281105</v>
      </c>
      <c r="O27" s="1">
        <v>1667.3220876670175</v>
      </c>
      <c r="P27" s="1">
        <v>1518.3320631418101</v>
      </c>
      <c r="Q27" s="1">
        <v>1571.8711195650876</v>
      </c>
      <c r="R27" s="1">
        <v>1849.3274831482745</v>
      </c>
      <c r="S27" s="1">
        <v>2094.9621742260529</v>
      </c>
      <c r="T27" s="1">
        <v>2357.0035706165795</v>
      </c>
      <c r="U27" s="1">
        <v>2537.2583087231878</v>
      </c>
      <c r="V27" s="1">
        <v>2411.8552437472399</v>
      </c>
      <c r="W27" s="1">
        <v>2364.7578437801722</v>
      </c>
      <c r="X27" s="1">
        <v>2358.6844826845249</v>
      </c>
      <c r="Y27" s="1">
        <v>2348.7186811807887</v>
      </c>
      <c r="Z27" s="1">
        <v>2282.1814077067197</v>
      </c>
      <c r="AA27" s="1">
        <v>2225.7486737025952</v>
      </c>
      <c r="AB27" s="8">
        <v>21</v>
      </c>
      <c r="AC27" s="8">
        <f t="shared" si="0"/>
        <v>1066630.4704366028</v>
      </c>
    </row>
    <row r="28" spans="1:29" x14ac:dyDescent="0.25">
      <c r="A28" s="3">
        <v>2028</v>
      </c>
      <c r="B28" s="5" t="s">
        <v>28</v>
      </c>
      <c r="C28" s="7" t="s">
        <v>46</v>
      </c>
      <c r="D28" s="1">
        <v>2348.6771241335559</v>
      </c>
      <c r="E28" s="1">
        <v>2295.895802624872</v>
      </c>
      <c r="F28" s="1">
        <v>2237.8681130504824</v>
      </c>
      <c r="G28" s="1">
        <v>2226.3165740803774</v>
      </c>
      <c r="H28" s="1">
        <v>2238.0401685117699</v>
      </c>
      <c r="I28" s="1">
        <v>2197.0194995338329</v>
      </c>
      <c r="J28" s="1">
        <v>2002.5782992297543</v>
      </c>
      <c r="K28" s="1">
        <v>1900.9835198503786</v>
      </c>
      <c r="L28" s="1">
        <v>1934.0658145452389</v>
      </c>
      <c r="M28" s="1">
        <v>1540.5987976455563</v>
      </c>
      <c r="N28" s="1">
        <v>1202.2371744854802</v>
      </c>
      <c r="O28" s="1">
        <v>1242.3102149227898</v>
      </c>
      <c r="P28" s="1">
        <v>0</v>
      </c>
      <c r="Q28" s="1">
        <v>0</v>
      </c>
      <c r="R28" s="1">
        <v>1070.5538654376387</v>
      </c>
      <c r="S28" s="1">
        <v>1242.9878487395513</v>
      </c>
      <c r="T28" s="1">
        <v>1700.2583246986769</v>
      </c>
      <c r="U28" s="1">
        <v>2146.0090257728584</v>
      </c>
      <c r="V28" s="1">
        <v>2435.0145546074136</v>
      </c>
      <c r="W28" s="1">
        <v>2446.0922793072036</v>
      </c>
      <c r="X28" s="1">
        <v>2447.447546940728</v>
      </c>
      <c r="Y28" s="1">
        <v>2438.9294781034669</v>
      </c>
      <c r="Z28" s="1">
        <v>2392.0271593566099</v>
      </c>
      <c r="AA28" s="1">
        <v>2312.8075309658452</v>
      </c>
      <c r="AB28" s="8">
        <v>4</v>
      </c>
      <c r="AC28" s="8">
        <f t="shared" si="0"/>
        <v>175994.87486617631</v>
      </c>
    </row>
    <row r="29" spans="1:29" x14ac:dyDescent="0.25">
      <c r="A29" s="3">
        <v>2028</v>
      </c>
      <c r="B29" s="5" t="s">
        <v>28</v>
      </c>
      <c r="C29" s="7" t="s">
        <v>52</v>
      </c>
      <c r="D29" s="1">
        <v>1996.4194010175484</v>
      </c>
      <c r="E29" s="1">
        <v>1920.6468386190304</v>
      </c>
      <c r="F29" s="1">
        <v>1830.6012052442975</v>
      </c>
      <c r="G29" s="1">
        <v>1803.1304082709271</v>
      </c>
      <c r="H29" s="1">
        <v>1818.0657552025154</v>
      </c>
      <c r="I29" s="1">
        <v>1754.0093323855322</v>
      </c>
      <c r="J29" s="1">
        <v>1389.9862811041776</v>
      </c>
      <c r="K29" s="1">
        <v>747.06312156755473</v>
      </c>
      <c r="L29" s="1">
        <v>420.66348937946248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673.94990437125784</v>
      </c>
      <c r="U29" s="1">
        <v>1373.4737615366162</v>
      </c>
      <c r="V29" s="1">
        <v>1989.800055257469</v>
      </c>
      <c r="W29" s="1">
        <v>2077.0395503058598</v>
      </c>
      <c r="X29" s="1">
        <v>2095.460380487079</v>
      </c>
      <c r="Y29" s="1">
        <v>2124.5936949360325</v>
      </c>
      <c r="Z29" s="1">
        <v>2030.9806472656378</v>
      </c>
      <c r="AA29" s="1">
        <v>1930.3727365408813</v>
      </c>
      <c r="AB29" s="8">
        <v>6</v>
      </c>
      <c r="AC29" s="8">
        <f t="shared" si="0"/>
        <v>167857.53938095126</v>
      </c>
    </row>
    <row r="30" spans="1:29" x14ac:dyDescent="0.25">
      <c r="A30" s="3">
        <v>2028</v>
      </c>
      <c r="B30" s="5" t="s">
        <v>29</v>
      </c>
      <c r="C30" s="7" t="s">
        <v>45</v>
      </c>
      <c r="D30" s="1">
        <v>2211.1432789358219</v>
      </c>
      <c r="E30" s="1">
        <v>2176.5398366873928</v>
      </c>
      <c r="F30" s="1">
        <v>2142.9038631011781</v>
      </c>
      <c r="G30" s="1">
        <v>2127.9864553943612</v>
      </c>
      <c r="H30" s="1">
        <v>2139.6215390425414</v>
      </c>
      <c r="I30" s="1">
        <v>2154.9403696178874</v>
      </c>
      <c r="J30" s="1">
        <v>2184.3962556857941</v>
      </c>
      <c r="K30" s="1">
        <v>2262.1440049464195</v>
      </c>
      <c r="L30" s="1">
        <v>2258.7282028403629</v>
      </c>
      <c r="M30" s="1">
        <v>1970.2527277631634</v>
      </c>
      <c r="N30" s="1">
        <v>1788.8491402380623</v>
      </c>
      <c r="O30" s="1">
        <v>1693.2622971215806</v>
      </c>
      <c r="P30" s="1">
        <v>1546.470061655124</v>
      </c>
      <c r="Q30" s="1">
        <v>1599.2193500869007</v>
      </c>
      <c r="R30" s="1">
        <v>1872.5828855622512</v>
      </c>
      <c r="S30" s="1">
        <v>2114.594157970083</v>
      </c>
      <c r="T30" s="1">
        <v>2372.770116283381</v>
      </c>
      <c r="U30" s="1">
        <v>2550.3658717335247</v>
      </c>
      <c r="V30" s="1">
        <v>2426.8126586856929</v>
      </c>
      <c r="W30" s="1">
        <v>2380.4100042270784</v>
      </c>
      <c r="X30" s="1">
        <v>2374.4262327976412</v>
      </c>
      <c r="Y30" s="1">
        <v>2364.6074393206263</v>
      </c>
      <c r="Z30" s="1">
        <v>2299.0516737837929</v>
      </c>
      <c r="AA30" s="1">
        <v>2243.4513931317965</v>
      </c>
      <c r="AB30" s="8">
        <v>21</v>
      </c>
      <c r="AC30" s="8">
        <f t="shared" si="0"/>
        <v>1076366.1261488618</v>
      </c>
    </row>
    <row r="31" spans="1:29" x14ac:dyDescent="0.25">
      <c r="A31" s="3">
        <v>2028</v>
      </c>
      <c r="B31" s="5" t="s">
        <v>29</v>
      </c>
      <c r="C31" s="7" t="s">
        <v>46</v>
      </c>
      <c r="D31" s="1">
        <v>2377.4868248469666</v>
      </c>
      <c r="E31" s="1">
        <v>2324.6239304981304</v>
      </c>
      <c r="F31" s="1">
        <v>2266.5065598905508</v>
      </c>
      <c r="G31" s="1">
        <v>2254.9371681684688</v>
      </c>
      <c r="H31" s="1">
        <v>2266.6788812612972</v>
      </c>
      <c r="I31" s="1">
        <v>2225.5948153774507</v>
      </c>
      <c r="J31" s="1">
        <v>2030.853108748445</v>
      </c>
      <c r="K31" s="1">
        <v>1929.1013159699785</v>
      </c>
      <c r="L31" s="1">
        <v>1962.2347389174074</v>
      </c>
      <c r="M31" s="1">
        <v>1568.1596239035207</v>
      </c>
      <c r="N31" s="1">
        <v>1229.2750672925447</v>
      </c>
      <c r="O31" s="1">
        <v>1269.4100400882826</v>
      </c>
      <c r="P31" s="1">
        <v>0</v>
      </c>
      <c r="Q31" s="1">
        <v>0</v>
      </c>
      <c r="R31" s="1">
        <v>1097.388243417628</v>
      </c>
      <c r="S31" s="1">
        <v>1270.0887211792206</v>
      </c>
      <c r="T31" s="1">
        <v>1728.0659026617288</v>
      </c>
      <c r="U31" s="1">
        <v>2174.505505598293</v>
      </c>
      <c r="V31" s="1">
        <v>2463.9576886872851</v>
      </c>
      <c r="W31" s="1">
        <v>2475.0525338653119</v>
      </c>
      <c r="X31" s="1">
        <v>2476.4098960471892</v>
      </c>
      <c r="Y31" s="1">
        <v>2467.8786626462565</v>
      </c>
      <c r="Z31" s="1">
        <v>2420.9038569809113</v>
      </c>
      <c r="AA31" s="1">
        <v>2341.5617956934534</v>
      </c>
      <c r="AB31" s="8">
        <v>5</v>
      </c>
      <c r="AC31" s="8">
        <f t="shared" si="0"/>
        <v>223103.37440870155</v>
      </c>
    </row>
    <row r="32" spans="1:29" x14ac:dyDescent="0.25">
      <c r="A32" s="3">
        <v>2028</v>
      </c>
      <c r="B32" s="5" t="s">
        <v>29</v>
      </c>
      <c r="C32" s="7" t="s">
        <v>52</v>
      </c>
      <c r="D32" s="1">
        <v>2020.4491401289861</v>
      </c>
      <c r="E32" s="1">
        <v>1944.0358927697966</v>
      </c>
      <c r="F32" s="1">
        <v>1853.2288903552535</v>
      </c>
      <c r="G32" s="1">
        <v>1825.525817662</v>
      </c>
      <c r="H32" s="1">
        <v>1840.5874484601832</v>
      </c>
      <c r="I32" s="1">
        <v>1775.989404963706</v>
      </c>
      <c r="J32" s="1">
        <v>1408.8884045288423</v>
      </c>
      <c r="K32" s="1">
        <v>760.52909256258249</v>
      </c>
      <c r="L32" s="1">
        <v>431.36963110526489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686.79767615008882</v>
      </c>
      <c r="U32" s="1">
        <v>1392.2362655183738</v>
      </c>
      <c r="V32" s="1">
        <v>2013.773825359232</v>
      </c>
      <c r="W32" s="1">
        <v>2101.7509625129555</v>
      </c>
      <c r="X32" s="1">
        <v>2120.3275476071221</v>
      </c>
      <c r="Y32" s="1">
        <v>2149.7071949743658</v>
      </c>
      <c r="Z32" s="1">
        <v>2055.3026144605969</v>
      </c>
      <c r="AA32" s="1">
        <v>1953.844026745574</v>
      </c>
      <c r="AB32" s="8">
        <v>4</v>
      </c>
      <c r="AC32" s="8">
        <f t="shared" si="0"/>
        <v>113337.3753434597</v>
      </c>
    </row>
    <row r="33" spans="1:29" x14ac:dyDescent="0.25">
      <c r="A33" s="3">
        <v>2028</v>
      </c>
      <c r="B33" s="5" t="s">
        <v>30</v>
      </c>
      <c r="C33" s="7" t="s">
        <v>45</v>
      </c>
      <c r="D33" s="1">
        <v>2229.0614461906039</v>
      </c>
      <c r="E33" s="1">
        <v>2194.9684479602297</v>
      </c>
      <c r="F33" s="1">
        <v>2161.8286470202293</v>
      </c>
      <c r="G33" s="1">
        <v>2147.1312897197899</v>
      </c>
      <c r="H33" s="1">
        <v>2158.5947413434697</v>
      </c>
      <c r="I33" s="1">
        <v>2173.6876000234583</v>
      </c>
      <c r="J33" s="1">
        <v>2202.7089749600177</v>
      </c>
      <c r="K33" s="1">
        <v>2279.3098477555104</v>
      </c>
      <c r="L33" s="1">
        <v>2275.9444329993416</v>
      </c>
      <c r="M33" s="1">
        <v>1991.7243316954073</v>
      </c>
      <c r="N33" s="1">
        <v>1812.9966737914428</v>
      </c>
      <c r="O33" s="1">
        <v>1718.8198560684827</v>
      </c>
      <c r="P33" s="1">
        <v>1574.1929895255221</v>
      </c>
      <c r="Q33" s="1">
        <v>1626.164160030668</v>
      </c>
      <c r="R33" s="1">
        <v>1895.4952417276945</v>
      </c>
      <c r="S33" s="1">
        <v>2133.9365454192489</v>
      </c>
      <c r="T33" s="1">
        <v>2388.3040856977036</v>
      </c>
      <c r="U33" s="1">
        <v>2563.2800818085707</v>
      </c>
      <c r="V33" s="1">
        <v>2441.5494330611036</v>
      </c>
      <c r="W33" s="1">
        <v>2395.8312757464496</v>
      </c>
      <c r="X33" s="1">
        <v>2389.9357724236834</v>
      </c>
      <c r="Y33" s="1">
        <v>2380.2618184212756</v>
      </c>
      <c r="Z33" s="1">
        <v>2315.6730823529856</v>
      </c>
      <c r="AA33" s="1">
        <v>2260.8929753258335</v>
      </c>
      <c r="AB33" s="8">
        <v>21</v>
      </c>
      <c r="AC33" s="8">
        <f t="shared" si="0"/>
        <v>1085958.1687724432</v>
      </c>
    </row>
    <row r="34" spans="1:29" x14ac:dyDescent="0.25">
      <c r="A34" s="3">
        <v>2028</v>
      </c>
      <c r="B34" s="5" t="s">
        <v>30</v>
      </c>
      <c r="C34" s="7" t="s">
        <v>46</v>
      </c>
      <c r="D34" s="1">
        <v>2406.3410505749835</v>
      </c>
      <c r="E34" s="1">
        <v>2353.3964573162407</v>
      </c>
      <c r="F34" s="1">
        <v>2295.1892670746101</v>
      </c>
      <c r="G34" s="1">
        <v>2283.6019950093573</v>
      </c>
      <c r="H34" s="1">
        <v>2295.3618547657752</v>
      </c>
      <c r="I34" s="1">
        <v>2254.2142939969326</v>
      </c>
      <c r="J34" s="1">
        <v>2059.1716166144161</v>
      </c>
      <c r="K34" s="1">
        <v>1957.2625677747096</v>
      </c>
      <c r="L34" s="1">
        <v>1990.4471979927509</v>
      </c>
      <c r="M34" s="1">
        <v>1595.763045057</v>
      </c>
      <c r="N34" s="1">
        <v>1256.3547468083341</v>
      </c>
      <c r="O34" s="1">
        <v>1296.5517476781479</v>
      </c>
      <c r="P34" s="1">
        <v>0</v>
      </c>
      <c r="Q34" s="1">
        <v>0</v>
      </c>
      <c r="R34" s="1">
        <v>1124.2640935768459</v>
      </c>
      <c r="S34" s="1">
        <v>1297.2314776618109</v>
      </c>
      <c r="T34" s="1">
        <v>1755.9164568718197</v>
      </c>
      <c r="U34" s="1">
        <v>2203.0460263595596</v>
      </c>
      <c r="V34" s="1">
        <v>2492.9455540012809</v>
      </c>
      <c r="W34" s="1">
        <v>2504.0575461170188</v>
      </c>
      <c r="X34" s="1">
        <v>2505.4170060843462</v>
      </c>
      <c r="Y34" s="1">
        <v>2496.8725877740817</v>
      </c>
      <c r="Z34" s="1">
        <v>2449.8251831626662</v>
      </c>
      <c r="AA34" s="1">
        <v>2370.3604997600787</v>
      </c>
      <c r="AB34" s="8">
        <v>4</v>
      </c>
      <c r="AC34" s="8">
        <f t="shared" si="0"/>
        <v>180974.36908813106</v>
      </c>
    </row>
    <row r="35" spans="1:29" x14ac:dyDescent="0.25">
      <c r="A35" s="3">
        <v>2028</v>
      </c>
      <c r="B35" s="5" t="s">
        <v>30</v>
      </c>
      <c r="C35" s="7" t="s">
        <v>52</v>
      </c>
      <c r="D35" s="1">
        <v>2044.6820595469917</v>
      </c>
      <c r="E35" s="1">
        <v>1967.6227099994981</v>
      </c>
      <c r="F35" s="1">
        <v>1876.0479008891134</v>
      </c>
      <c r="G35" s="1">
        <v>1848.1105884990998</v>
      </c>
      <c r="H35" s="1">
        <v>1863.2995709405445</v>
      </c>
      <c r="I35" s="1">
        <v>1798.1553271619737</v>
      </c>
      <c r="J35" s="1">
        <v>1427.9503523783333</v>
      </c>
      <c r="K35" s="1">
        <v>774.10892330874253</v>
      </c>
      <c r="L35" s="1">
        <v>442.16629720787881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699.75408057768186</v>
      </c>
      <c r="U35" s="1">
        <v>1411.1574133910749</v>
      </c>
      <c r="V35" s="1">
        <v>2037.9503025289441</v>
      </c>
      <c r="W35" s="1">
        <v>2126.6713188240496</v>
      </c>
      <c r="X35" s="1">
        <v>2145.4049757963967</v>
      </c>
      <c r="Y35" s="1">
        <v>2175.0330389176042</v>
      </c>
      <c r="Z35" s="1">
        <v>2079.8302328583463</v>
      </c>
      <c r="AA35" s="1">
        <v>1977.5137753653671</v>
      </c>
      <c r="AB35" s="8">
        <v>6</v>
      </c>
      <c r="AC35" s="8">
        <f t="shared" si="0"/>
        <v>172172.75320914981</v>
      </c>
    </row>
    <row r="36" spans="1:29" x14ac:dyDescent="0.25">
      <c r="A36" s="3">
        <v>2028</v>
      </c>
      <c r="B36" s="5" t="s">
        <v>31</v>
      </c>
      <c r="C36" s="7" t="s">
        <v>45</v>
      </c>
      <c r="D36" s="1">
        <v>2246.7152980855426</v>
      </c>
      <c r="E36" s="1">
        <v>2213.1252141860409</v>
      </c>
      <c r="F36" s="1">
        <v>2180.4742667256423</v>
      </c>
      <c r="G36" s="1">
        <v>2165.9937138130836</v>
      </c>
      <c r="H36" s="1">
        <v>2177.2880651991172</v>
      </c>
      <c r="I36" s="1">
        <v>2192.1582853516084</v>
      </c>
      <c r="J36" s="1">
        <v>2220.751558739029</v>
      </c>
      <c r="K36" s="1">
        <v>2296.2224729305331</v>
      </c>
      <c r="L36" s="1">
        <v>2292.9067022478707</v>
      </c>
      <c r="M36" s="1">
        <v>2012.8792026359861</v>
      </c>
      <c r="N36" s="1">
        <v>1836.7880010470622</v>
      </c>
      <c r="O36" s="1">
        <v>1744.0004090809211</v>
      </c>
      <c r="P36" s="1">
        <v>1601.506969563713</v>
      </c>
      <c r="Q36" s="1">
        <v>1652.7115003540812</v>
      </c>
      <c r="R36" s="1">
        <v>1918.0696120054845</v>
      </c>
      <c r="S36" s="1">
        <v>2152.9936084808164</v>
      </c>
      <c r="T36" s="1">
        <v>2403.6089096499286</v>
      </c>
      <c r="U36" s="1">
        <v>2576.0037911457598</v>
      </c>
      <c r="V36" s="1">
        <v>2456.0688215975174</v>
      </c>
      <c r="W36" s="1">
        <v>2411.0250642385154</v>
      </c>
      <c r="X36" s="1">
        <v>2405.2165269575357</v>
      </c>
      <c r="Y36" s="1">
        <v>2395.6852758664745</v>
      </c>
      <c r="Z36" s="1">
        <v>2332.0493043735432</v>
      </c>
      <c r="AA36" s="1">
        <v>2278.0772723852747</v>
      </c>
      <c r="AB36" s="8">
        <v>20</v>
      </c>
      <c r="AC36" s="8">
        <f t="shared" si="0"/>
        <v>1043246.3969332215</v>
      </c>
    </row>
    <row r="37" spans="1:29" x14ac:dyDescent="0.25">
      <c r="A37" s="3">
        <v>2028</v>
      </c>
      <c r="B37" s="5" t="s">
        <v>31</v>
      </c>
      <c r="C37" s="7" t="s">
        <v>46</v>
      </c>
      <c r="D37" s="1">
        <v>2435.2398701304328</v>
      </c>
      <c r="E37" s="1">
        <v>2382.2134516971896</v>
      </c>
      <c r="F37" s="1">
        <v>2323.9163030064419</v>
      </c>
      <c r="G37" s="1">
        <v>2312.3111229641822</v>
      </c>
      <c r="H37" s="1">
        <v>2324.0891574296202</v>
      </c>
      <c r="I37" s="1">
        <v>2282.8780036452695</v>
      </c>
      <c r="J37" s="1">
        <v>2087.5338903628899</v>
      </c>
      <c r="K37" s="1">
        <v>1985.4673424247633</v>
      </c>
      <c r="L37" s="1">
        <v>2018.7032590535823</v>
      </c>
      <c r="M37" s="1">
        <v>1623.4091269358464</v>
      </c>
      <c r="N37" s="1">
        <v>1283.4762776136586</v>
      </c>
      <c r="O37" s="1">
        <v>1323.7354024211234</v>
      </c>
      <c r="P37" s="1">
        <v>0</v>
      </c>
      <c r="Q37" s="1">
        <v>0</v>
      </c>
      <c r="R37" s="1">
        <v>1151.1814800100017</v>
      </c>
      <c r="S37" s="1">
        <v>1324.4161829185614</v>
      </c>
      <c r="T37" s="1">
        <v>1783.8100537481755</v>
      </c>
      <c r="U37" s="1">
        <v>2231.6306561213473</v>
      </c>
      <c r="V37" s="1">
        <v>2521.9782196809369</v>
      </c>
      <c r="W37" s="1">
        <v>2533.1073852347531</v>
      </c>
      <c r="X37" s="1">
        <v>2534.4689462296305</v>
      </c>
      <c r="Y37" s="1">
        <v>2525.9113226329296</v>
      </c>
      <c r="Z37" s="1">
        <v>2478.791206874725</v>
      </c>
      <c r="AA37" s="1">
        <v>2399.2037118461371</v>
      </c>
      <c r="AB37" s="8">
        <v>4</v>
      </c>
      <c r="AC37" s="8">
        <f t="shared" si="0"/>
        <v>183469.8894919288</v>
      </c>
    </row>
    <row r="38" spans="1:29" x14ac:dyDescent="0.25">
      <c r="A38" s="3">
        <v>2028</v>
      </c>
      <c r="B38" s="5" t="s">
        <v>31</v>
      </c>
      <c r="C38" s="7" t="s">
        <v>52</v>
      </c>
      <c r="D38" s="1">
        <v>2069.1198772359917</v>
      </c>
      <c r="E38" s="1">
        <v>1991.4089624679036</v>
      </c>
      <c r="F38" s="1">
        <v>1899.0598545728899</v>
      </c>
      <c r="G38" s="1">
        <v>1870.8863219030904</v>
      </c>
      <c r="H38" s="1">
        <v>1886.2037327929092</v>
      </c>
      <c r="I38" s="1">
        <v>1820.5086704074165</v>
      </c>
      <c r="J38" s="1">
        <v>1447.173476027107</v>
      </c>
      <c r="K38" s="1">
        <v>787.80357653222325</v>
      </c>
      <c r="L38" s="1">
        <v>453.05425310429644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712.82003618314695</v>
      </c>
      <c r="U38" s="1">
        <v>1430.2385465473267</v>
      </c>
      <c r="V38" s="1">
        <v>2062.3312007296249</v>
      </c>
      <c r="W38" s="1">
        <v>2151.8023859386021</v>
      </c>
      <c r="X38" s="1">
        <v>2170.6944428897891</v>
      </c>
      <c r="Y38" s="1">
        <v>2200.5730222117786</v>
      </c>
      <c r="Z38" s="1">
        <v>2104.5652413156513</v>
      </c>
      <c r="AA38" s="1">
        <v>2001.3836604393537</v>
      </c>
      <c r="AB38" s="8">
        <v>6</v>
      </c>
      <c r="AC38" s="8">
        <f t="shared" si="0"/>
        <v>174357.76356779458</v>
      </c>
    </row>
    <row r="39" spans="1:29" x14ac:dyDescent="0.25">
      <c r="A39" s="3">
        <v>2028</v>
      </c>
      <c r="B39" s="5" t="s">
        <v>32</v>
      </c>
      <c r="C39" s="7" t="s">
        <v>45</v>
      </c>
      <c r="D39" s="1">
        <v>2264.1087336025184</v>
      </c>
      <c r="E39" s="1">
        <v>2231.0141454190025</v>
      </c>
      <c r="F39" s="1">
        <v>2198.8448402384479</v>
      </c>
      <c r="G39" s="1">
        <v>2184.5778935781013</v>
      </c>
      <c r="H39" s="1">
        <v>2195.7056391663241</v>
      </c>
      <c r="I39" s="1">
        <v>2210.3565049878357</v>
      </c>
      <c r="J39" s="1">
        <v>2238.5279918589777</v>
      </c>
      <c r="K39" s="1">
        <v>2312.8856157480427</v>
      </c>
      <c r="L39" s="1">
        <v>2309.6187568267615</v>
      </c>
      <c r="M39" s="1">
        <v>2033.722012792357</v>
      </c>
      <c r="N39" s="1">
        <v>1860.2283764929734</v>
      </c>
      <c r="O39" s="1">
        <v>1768.8095174675841</v>
      </c>
      <c r="P39" s="1">
        <v>1628.4180342612949</v>
      </c>
      <c r="Q39" s="1">
        <v>1678.86723423077</v>
      </c>
      <c r="R39" s="1">
        <v>1940.3109821098546</v>
      </c>
      <c r="S39" s="1">
        <v>2171.7695560460807</v>
      </c>
      <c r="T39" s="1">
        <v>2418.6879683219913</v>
      </c>
      <c r="U39" s="1">
        <v>2588.5398098690498</v>
      </c>
      <c r="V39" s="1">
        <v>2470.3740310077328</v>
      </c>
      <c r="W39" s="1">
        <v>2425.9947253622204</v>
      </c>
      <c r="X39" s="1">
        <v>2420.2718712652268</v>
      </c>
      <c r="Y39" s="1">
        <v>2410.8812180392301</v>
      </c>
      <c r="Z39" s="1">
        <v>2348.1839566534745</v>
      </c>
      <c r="AA39" s="1">
        <v>2295.0080795873923</v>
      </c>
      <c r="AB39" s="8">
        <v>19</v>
      </c>
      <c r="AC39" s="8">
        <f t="shared" si="0"/>
        <v>999508.44240373163</v>
      </c>
    </row>
    <row r="40" spans="1:29" x14ac:dyDescent="0.25">
      <c r="A40" s="3">
        <v>2028</v>
      </c>
      <c r="B40" s="5" t="s">
        <v>32</v>
      </c>
      <c r="C40" s="7" t="s">
        <v>46</v>
      </c>
      <c r="D40" s="1">
        <v>2464.1833524324902</v>
      </c>
      <c r="E40" s="1">
        <v>2411.0749823650126</v>
      </c>
      <c r="F40" s="1">
        <v>2352.6877361955444</v>
      </c>
      <c r="G40" s="1">
        <v>2341.0646204997342</v>
      </c>
      <c r="H40" s="1">
        <v>2352.8608577629666</v>
      </c>
      <c r="I40" s="1">
        <v>2311.5860126809366</v>
      </c>
      <c r="J40" s="1">
        <v>2115.9399976334639</v>
      </c>
      <c r="K40" s="1">
        <v>2013.7157071841261</v>
      </c>
      <c r="L40" s="1">
        <v>2047.002989486198</v>
      </c>
      <c r="M40" s="1">
        <v>1651.0979354716517</v>
      </c>
      <c r="N40" s="1">
        <v>1310.6397243891372</v>
      </c>
      <c r="O40" s="1">
        <v>1350.9610691459839</v>
      </c>
      <c r="P40" s="1">
        <v>0</v>
      </c>
      <c r="Q40" s="1">
        <v>0</v>
      </c>
      <c r="R40" s="1">
        <v>1178.140466910862</v>
      </c>
      <c r="S40" s="1">
        <v>1351.642901780752</v>
      </c>
      <c r="T40" s="1">
        <v>1811.7467598126725</v>
      </c>
      <c r="U40" s="1">
        <v>2260.2594630535373</v>
      </c>
      <c r="V40" s="1">
        <v>2551.0557549646305</v>
      </c>
      <c r="W40" s="1">
        <v>2562.2021204978482</v>
      </c>
      <c r="X40" s="1">
        <v>2563.5657857673859</v>
      </c>
      <c r="Y40" s="1">
        <v>2554.9949364756517</v>
      </c>
      <c r="Z40" s="1">
        <v>2507.8019971965346</v>
      </c>
      <c r="AA40" s="1">
        <v>2428.0915007381891</v>
      </c>
      <c r="AB40" s="8">
        <v>5</v>
      </c>
      <c r="AC40" s="8">
        <f t="shared" si="0"/>
        <v>232461.58336222661</v>
      </c>
    </row>
    <row r="41" spans="1:29" x14ac:dyDescent="0.25">
      <c r="A41" s="3">
        <v>2028</v>
      </c>
      <c r="B41" s="5" t="s">
        <v>32</v>
      </c>
      <c r="C41" s="7" t="s">
        <v>52</v>
      </c>
      <c r="D41" s="1">
        <v>2093.7643256864358</v>
      </c>
      <c r="E41" s="1">
        <v>2015.39633647351</v>
      </c>
      <c r="F41" s="1">
        <v>1922.2663828120753</v>
      </c>
      <c r="G41" s="1">
        <v>1893.8546325329044</v>
      </c>
      <c r="H41" s="1">
        <v>1909.3015577809933</v>
      </c>
      <c r="I41" s="1">
        <v>1843.0510194141102</v>
      </c>
      <c r="J41" s="1">
        <v>1466.5591382759894</v>
      </c>
      <c r="K41" s="1">
        <v>801.61402309941786</v>
      </c>
      <c r="L41" s="1">
        <v>464.03427068339283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725.9964692620963</v>
      </c>
      <c r="U41" s="1">
        <v>1449.4810177217055</v>
      </c>
      <c r="V41" s="1">
        <v>2086.9182484164839</v>
      </c>
      <c r="W41" s="1">
        <v>2177.1459454941682</v>
      </c>
      <c r="X41" s="1">
        <v>2196.1977417544354</v>
      </c>
      <c r="Y41" s="1">
        <v>2226.3289554840771</v>
      </c>
      <c r="Z41" s="1">
        <v>2129.5093933919534</v>
      </c>
      <c r="AA41" s="1">
        <v>2025.4553741950658</v>
      </c>
      <c r="AB41" s="8">
        <v>7</v>
      </c>
      <c r="AC41" s="8">
        <f t="shared" si="0"/>
        <v>205988.12382735169</v>
      </c>
    </row>
    <row r="42" spans="1:29" x14ac:dyDescent="0.25">
      <c r="B42" s="5"/>
      <c r="C42" s="7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8"/>
      <c r="AC42" s="8"/>
    </row>
    <row r="43" spans="1:29" x14ac:dyDescent="0.25">
      <c r="B43" s="5"/>
      <c r="C43" s="7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8"/>
      <c r="AC43" s="8"/>
    </row>
    <row r="44" spans="1:29" x14ac:dyDescent="0.25">
      <c r="B44" s="5"/>
      <c r="C44" s="7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8"/>
      <c r="AC44" s="8"/>
    </row>
    <row r="45" spans="1:29" x14ac:dyDescent="0.25">
      <c r="B45" s="5"/>
      <c r="C45" s="7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8"/>
      <c r="AC45" s="8"/>
    </row>
    <row r="46" spans="1:29" x14ac:dyDescent="0.25">
      <c r="B46" s="5"/>
      <c r="C46" s="7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8"/>
      <c r="AC46" s="8"/>
    </row>
    <row r="47" spans="1:29" x14ac:dyDescent="0.25">
      <c r="B47" s="5"/>
      <c r="C47" s="7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8"/>
      <c r="AC47" s="8"/>
    </row>
    <row r="48" spans="1:29" x14ac:dyDescent="0.25">
      <c r="B48" s="5"/>
      <c r="C48" s="7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8"/>
      <c r="AC48" s="8"/>
    </row>
    <row r="49" spans="2:29" x14ac:dyDescent="0.25">
      <c r="B49" s="5"/>
      <c r="C49" s="7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8"/>
      <c r="AC49" s="8"/>
    </row>
    <row r="50" spans="2:29" x14ac:dyDescent="0.25">
      <c r="B50" s="5"/>
      <c r="C50" s="7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8"/>
      <c r="AC50" s="8"/>
    </row>
    <row r="51" spans="2:29" x14ac:dyDescent="0.25">
      <c r="B51" s="5"/>
      <c r="C51" s="7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8"/>
      <c r="AC51" s="8"/>
    </row>
    <row r="52" spans="2:29" x14ac:dyDescent="0.25">
      <c r="B52" s="5"/>
      <c r="C52" s="7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8"/>
      <c r="AC52" s="8"/>
    </row>
    <row r="53" spans="2:29" x14ac:dyDescent="0.25">
      <c r="B53" s="5"/>
      <c r="C53" s="7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8"/>
      <c r="AC53" s="8"/>
    </row>
    <row r="54" spans="2:29" x14ac:dyDescent="0.25">
      <c r="B54" s="5"/>
      <c r="C54" s="7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8"/>
      <c r="AC54" s="8"/>
    </row>
    <row r="55" spans="2:29" x14ac:dyDescent="0.25">
      <c r="B55" s="5"/>
      <c r="C55" s="7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8"/>
      <c r="AC55" s="8"/>
    </row>
    <row r="56" spans="2:29" x14ac:dyDescent="0.25">
      <c r="B56" s="5"/>
      <c r="C56" s="7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8"/>
      <c r="AC56" s="8"/>
    </row>
    <row r="57" spans="2:29" x14ac:dyDescent="0.25">
      <c r="B57" s="5"/>
      <c r="C57" s="7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8"/>
      <c r="AC57" s="8"/>
    </row>
    <row r="58" spans="2:29" x14ac:dyDescent="0.25">
      <c r="B58" s="5"/>
      <c r="C58" s="7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8"/>
      <c r="AC58" s="8"/>
    </row>
    <row r="59" spans="2:29" x14ac:dyDescent="0.25">
      <c r="B59" s="5"/>
      <c r="C59" s="7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8"/>
      <c r="AC59" s="8"/>
    </row>
    <row r="60" spans="2:29" x14ac:dyDescent="0.25">
      <c r="B60" s="5"/>
      <c r="C60" s="7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8"/>
      <c r="AC60" s="8"/>
    </row>
    <row r="61" spans="2:29" x14ac:dyDescent="0.25">
      <c r="B61" s="5"/>
      <c r="C61" s="7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8"/>
      <c r="AC61" s="8"/>
    </row>
    <row r="62" spans="2:29" x14ac:dyDescent="0.25">
      <c r="B62" s="5"/>
      <c r="C62" s="7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8"/>
      <c r="AC62" s="8"/>
    </row>
    <row r="63" spans="2:29" x14ac:dyDescent="0.25">
      <c r="B63" s="5"/>
      <c r="C63" s="7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8"/>
      <c r="AC63" s="8"/>
    </row>
    <row r="64" spans="2:29" x14ac:dyDescent="0.25">
      <c r="B64" s="5"/>
      <c r="C64" s="7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8"/>
      <c r="AC64" s="8"/>
    </row>
    <row r="65" spans="2:29" x14ac:dyDescent="0.25">
      <c r="B65" s="5"/>
      <c r="C65" s="7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8"/>
      <c r="AC65" s="8"/>
    </row>
    <row r="66" spans="2:29" x14ac:dyDescent="0.25">
      <c r="B66" s="5"/>
      <c r="C66" s="7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8"/>
      <c r="AC66" s="8"/>
    </row>
    <row r="67" spans="2:29" x14ac:dyDescent="0.25">
      <c r="B67" s="5"/>
      <c r="C67" s="7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8"/>
      <c r="AC67" s="8"/>
    </row>
    <row r="68" spans="2:29" x14ac:dyDescent="0.25">
      <c r="B68" s="5"/>
      <c r="C68" s="7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8"/>
      <c r="AC68" s="8"/>
    </row>
    <row r="69" spans="2:29" x14ac:dyDescent="0.25">
      <c r="B69" s="5"/>
      <c r="C69" s="7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8"/>
      <c r="AC69" s="8"/>
    </row>
    <row r="70" spans="2:29" x14ac:dyDescent="0.25">
      <c r="B70" s="5"/>
      <c r="C70" s="7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8"/>
      <c r="AC70" s="8"/>
    </row>
    <row r="71" spans="2:29" x14ac:dyDescent="0.25">
      <c r="B71" s="5"/>
      <c r="C71" s="7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8"/>
      <c r="AC71" s="8"/>
    </row>
    <row r="72" spans="2:29" x14ac:dyDescent="0.25">
      <c r="B72" s="5"/>
      <c r="C72" s="7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8"/>
      <c r="AC72" s="8"/>
    </row>
    <row r="73" spans="2:29" x14ac:dyDescent="0.25">
      <c r="B73" s="5"/>
      <c r="C73" s="7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8"/>
      <c r="AC73" s="8"/>
    </row>
    <row r="74" spans="2:29" x14ac:dyDescent="0.25">
      <c r="B74" s="5"/>
      <c r="C74" s="7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8"/>
      <c r="AC74" s="8"/>
    </row>
    <row r="75" spans="2:29" x14ac:dyDescent="0.25">
      <c r="B75" s="5"/>
      <c r="C75" s="7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8"/>
      <c r="AC75" s="8"/>
    </row>
    <row r="76" spans="2:29" x14ac:dyDescent="0.25">
      <c r="B76" s="5"/>
      <c r="C76" s="7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8"/>
      <c r="AC76" s="8"/>
    </row>
    <row r="77" spans="2:29" x14ac:dyDescent="0.25">
      <c r="B77" s="5"/>
      <c r="C77" s="7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8"/>
      <c r="AC77" s="8"/>
    </row>
    <row r="78" spans="2:29" x14ac:dyDescent="0.25">
      <c r="B78" s="5"/>
      <c r="C78" s="7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8"/>
      <c r="AC78" s="8"/>
    </row>
    <row r="79" spans="2:29" x14ac:dyDescent="0.25">
      <c r="B79" s="5"/>
      <c r="C79" s="7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8"/>
      <c r="AC79" s="8"/>
    </row>
    <row r="80" spans="2:29" x14ac:dyDescent="0.25">
      <c r="B80" s="5"/>
      <c r="C80" s="7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8"/>
      <c r="AC80" s="8"/>
    </row>
    <row r="81" spans="2:29" x14ac:dyDescent="0.25">
      <c r="B81" s="5"/>
      <c r="C81" s="7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8"/>
      <c r="AC81" s="8"/>
    </row>
    <row r="82" spans="2:29" x14ac:dyDescent="0.25">
      <c r="B82" s="5"/>
      <c r="C82" s="7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8"/>
      <c r="AC82" s="8"/>
    </row>
    <row r="83" spans="2:29" x14ac:dyDescent="0.25">
      <c r="B83" s="5"/>
      <c r="C83" s="7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8"/>
      <c r="AC83" s="8"/>
    </row>
    <row r="84" spans="2:29" x14ac:dyDescent="0.25">
      <c r="B84" s="5"/>
      <c r="C84" s="7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8"/>
      <c r="AC84" s="8"/>
    </row>
    <row r="85" spans="2:29" x14ac:dyDescent="0.25">
      <c r="B85" s="5"/>
      <c r="C85" s="7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8"/>
      <c r="AC85" s="8"/>
    </row>
    <row r="86" spans="2:29" x14ac:dyDescent="0.25">
      <c r="B86" s="5"/>
      <c r="C86" s="7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8"/>
      <c r="AC86" s="8"/>
    </row>
    <row r="87" spans="2:29" x14ac:dyDescent="0.25">
      <c r="B87" s="5"/>
      <c r="C87" s="7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8"/>
      <c r="AC87" s="8"/>
    </row>
    <row r="88" spans="2:29" x14ac:dyDescent="0.25">
      <c r="B88" s="5"/>
      <c r="C88" s="7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8"/>
      <c r="AC88" s="8"/>
    </row>
    <row r="89" spans="2:29" x14ac:dyDescent="0.25">
      <c r="B89" s="5"/>
      <c r="C89" s="7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8"/>
      <c r="AC89" s="8"/>
    </row>
    <row r="90" spans="2:29" x14ac:dyDescent="0.25">
      <c r="B90" s="5"/>
      <c r="C90" s="7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8"/>
      <c r="AC90" s="8"/>
    </row>
    <row r="91" spans="2:29" x14ac:dyDescent="0.25">
      <c r="B91" s="5"/>
      <c r="C91" s="7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8"/>
      <c r="AC91" s="8"/>
    </row>
    <row r="92" spans="2:29" x14ac:dyDescent="0.25">
      <c r="B92" s="5"/>
      <c r="C92" s="7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8"/>
      <c r="AC92" s="8"/>
    </row>
    <row r="93" spans="2:29" x14ac:dyDescent="0.25">
      <c r="B93" s="5"/>
      <c r="C93" s="7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8"/>
      <c r="AC93" s="8"/>
    </row>
  </sheetData>
  <mergeCells count="3">
    <mergeCell ref="B1:AB1"/>
    <mergeCell ref="B2:AB2"/>
    <mergeCell ref="B3:AB3"/>
  </mergeCells>
  <printOptions horizontalCentered="1"/>
  <pageMargins left="0" right="0" top="0" bottom="0" header="0" footer="0"/>
  <pageSetup scale="85" orientation="landscape" r:id="rId1"/>
  <headerFooter alignWithMargins="0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6AC2BEAA0673E4F96E3E812374ED63B" ma:contentTypeVersion="13" ma:contentTypeDescription="Crear nuevo documento." ma:contentTypeScope="" ma:versionID="6319f4532de6641ac6714d5a67f368fe">
  <xsd:schema xmlns:xsd="http://www.w3.org/2001/XMLSchema" xmlns:xs="http://www.w3.org/2001/XMLSchema" xmlns:p="http://schemas.microsoft.com/office/2006/metadata/properties" xmlns:ns3="17d7484c-5d63-455e-a643-8ffc912959b2" xmlns:ns4="f2ea09fb-d89d-450e-9152-1201866d5bdf" targetNamespace="http://schemas.microsoft.com/office/2006/metadata/properties" ma:root="true" ma:fieldsID="cd67d8f73cf7af585497377d416b8844" ns3:_="" ns4:_="">
    <xsd:import namespace="17d7484c-5d63-455e-a643-8ffc912959b2"/>
    <xsd:import namespace="f2ea09fb-d89d-450e-9152-1201866d5bdf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Location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d7484c-5d63-455e-a643-8ffc912959b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ea09fb-d89d-450e-9152-1201866d5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ABA4F86-A06D-48A5-B02F-2693D503C5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d7484c-5d63-455e-a643-8ffc912959b2"/>
    <ds:schemaRef ds:uri="f2ea09fb-d89d-450e-9152-1201866d5b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6B836D-6621-493F-A2DB-AA779A11A46E}">
  <ds:schemaRefs>
    <ds:schemaRef ds:uri="http://www.w3.org/XML/1998/namespace"/>
    <ds:schemaRef ds:uri="http://purl.org/dc/dcmitype/"/>
    <ds:schemaRef ds:uri="http://purl.org/dc/terms/"/>
    <ds:schemaRef ds:uri="17d7484c-5d63-455e-a643-8ffc912959b2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f2ea09fb-d89d-450e-9152-1201866d5bdf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1CAA727-A1DF-4EA8-8DD1-F543E8F9D6C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6</vt:i4>
      </vt:variant>
    </vt:vector>
  </HeadingPairs>
  <TitlesOfParts>
    <vt:vector size="12" baseType="lpstr">
      <vt:lpstr>R-Producto 1</vt:lpstr>
      <vt:lpstr>Producto 1</vt:lpstr>
      <vt:lpstr>R-Producto 2</vt:lpstr>
      <vt:lpstr>Producto 2</vt:lpstr>
      <vt:lpstr>R-Producto 3</vt:lpstr>
      <vt:lpstr>Producto 3</vt:lpstr>
      <vt:lpstr>'Producto 1'!Área_de_impresión</vt:lpstr>
      <vt:lpstr>'Producto 2'!Área_de_impresión</vt:lpstr>
      <vt:lpstr>'Producto 3'!Área_de_impresión</vt:lpstr>
      <vt:lpstr>'R-Producto 1'!Área_de_impresión</vt:lpstr>
      <vt:lpstr>'R-Producto 2'!Área_de_impresión</vt:lpstr>
      <vt:lpstr>'R-Producto 3'!Área_de_impresión</vt:lpstr>
    </vt:vector>
  </TitlesOfParts>
  <Company>ECO-ECA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Jackeline Vega</dc:creator>
  <cp:lastModifiedBy>Sol Cielo Energía</cp:lastModifiedBy>
  <cp:lastPrinted>2025-07-18T19:15:32Z</cp:lastPrinted>
  <dcterms:created xsi:type="dcterms:W3CDTF">2010-11-25T21:03:36Z</dcterms:created>
  <dcterms:modified xsi:type="dcterms:W3CDTF">2025-08-22T19:49:43Z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0x010100D6AC2BEAA0673E4F96E3E812374ED63B</vt:lpwstr>
  </property>
</Properties>
</file>