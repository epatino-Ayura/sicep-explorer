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itoqueesp1-my.sharepoint.com/personal/dsolano_ruitoqueenergia_com/Documents/Mercado Mayorista - One Drive/10.SICEP-CONVOCATORIAS/Convocatorias 2025/CP-RTQC2025-005/Pliegos definitivos/"/>
    </mc:Choice>
  </mc:AlternateContent>
  <xr:revisionPtr revIDLastSave="1798" documentId="13_ncr:1_{11F35ADC-379E-4BD7-8991-7E8EB018DC3C}" xr6:coauthVersionLast="47" xr6:coauthVersionMax="47" xr10:uidLastSave="{AA1949DB-6F2F-4C8B-B311-55B323CCA688}"/>
  <bookViews>
    <workbookView xWindow="28690" yWindow="-110" windowWidth="29020" windowHeight="15700" xr2:uid="{117BC80B-6DD0-4D14-894B-3D9BEC6851BA}"/>
  </bookViews>
  <sheets>
    <sheet name="Producto 1 Plano Ene 26" sheetId="30" r:id="rId1"/>
    <sheet name="Anexo 2 Producto 1" sheetId="21" r:id="rId2"/>
  </sheets>
  <definedNames>
    <definedName name="_xlnm._FilterDatabase" localSheetId="0" hidden="1">'Producto 1 Plano Ene 26'!$B$2:$B$5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21" l="1"/>
  <c r="AE26" i="30"/>
  <c r="AF26" i="30" s="1"/>
  <c r="D17" i="21" l="1"/>
  <c r="D18" i="21"/>
  <c r="D20" i="21"/>
  <c r="D21" i="21"/>
  <c r="D22" i="21"/>
  <c r="AB53" i="30" l="1"/>
  <c r="AB52" i="30"/>
  <c r="AB51" i="30"/>
  <c r="AB50" i="30"/>
  <c r="AB49" i="30"/>
  <c r="AB48" i="30"/>
  <c r="AB47" i="30"/>
  <c r="AB46" i="30"/>
  <c r="AB45" i="30"/>
  <c r="AB44" i="30"/>
  <c r="AB43" i="30"/>
  <c r="AB42" i="30"/>
  <c r="AB41" i="30"/>
  <c r="AB40" i="30"/>
  <c r="AB39" i="30"/>
  <c r="AB38" i="30"/>
  <c r="AB37" i="30"/>
  <c r="AB36" i="30"/>
  <c r="AB35" i="30"/>
  <c r="AB34" i="30"/>
  <c r="AB33" i="30"/>
  <c r="AB32" i="30"/>
  <c r="AB31" i="30"/>
  <c r="AB30" i="30"/>
  <c r="AB29" i="30"/>
  <c r="AB28" i="30"/>
  <c r="AB27" i="30"/>
  <c r="AB26" i="30"/>
  <c r="AB25" i="30"/>
  <c r="AB24" i="30"/>
  <c r="AB23" i="30"/>
  <c r="AB22" i="30"/>
  <c r="AB21" i="30"/>
  <c r="AB20" i="30"/>
  <c r="AB19" i="30"/>
  <c r="AB17" i="30"/>
  <c r="AB16" i="30"/>
  <c r="AB15" i="30"/>
  <c r="AB14" i="30"/>
  <c r="AB13" i="30"/>
  <c r="AB12" i="30"/>
  <c r="AB11" i="30"/>
  <c r="AB10" i="30"/>
  <c r="AD50" i="30" l="1"/>
  <c r="AD26" i="30"/>
  <c r="AD22" i="30"/>
  <c r="AE22" i="30" s="1"/>
  <c r="AD42" i="30"/>
  <c r="AD38" i="30"/>
  <c r="AD30" i="30"/>
  <c r="AD10" i="30"/>
  <c r="AE10" i="30" s="1"/>
  <c r="D12" i="21" s="1"/>
  <c r="AD14" i="30"/>
  <c r="AE14" i="30" s="1"/>
  <c r="D13" i="21" s="1"/>
  <c r="AD46" i="30"/>
  <c r="AD34" i="30"/>
  <c r="AB6" i="30"/>
  <c r="AB7" i="30"/>
  <c r="AB9" i="30"/>
  <c r="AB8" i="30"/>
  <c r="D15" i="21" l="1"/>
  <c r="F15" i="21" s="1"/>
  <c r="AF22" i="30"/>
  <c r="AD6" i="30"/>
  <c r="AE6" i="30" s="1"/>
  <c r="D11" i="21" s="1"/>
  <c r="F19" i="21"/>
  <c r="AF14" i="30"/>
  <c r="AF10" i="30"/>
  <c r="F22" i="21"/>
  <c r="F16" i="21"/>
  <c r="F17" i="21"/>
  <c r="F13" i="21"/>
  <c r="F20" i="21"/>
  <c r="F12" i="21"/>
  <c r="F18" i="21"/>
  <c r="F21" i="21"/>
  <c r="F11" i="21" l="1"/>
  <c r="AB18" i="30"/>
  <c r="AD18" i="30" l="1"/>
  <c r="AD54" i="30"/>
  <c r="AE18" i="30"/>
  <c r="AF18" i="30" l="1"/>
  <c r="D14" i="21"/>
  <c r="F14" i="21" l="1"/>
  <c r="D23" i="21"/>
  <c r="I23" i="21" s="1"/>
  <c r="H22" i="21"/>
  <c r="I22" i="21" s="1"/>
</calcChain>
</file>

<file path=xl/sharedStrings.xml><?xml version="1.0" encoding="utf-8"?>
<sst xmlns="http://schemas.openxmlformats.org/spreadsheetml/2006/main" count="84" uniqueCount="40">
  <si>
    <t>ANEXO 1 - CANTIDADES DE  ENERGÍA SOLICITADA EN kWh</t>
  </si>
  <si>
    <t>DIA</t>
  </si>
  <si>
    <t>Total</t>
  </si>
  <si>
    <t>No. DÍAS</t>
  </si>
  <si>
    <t>domingo</t>
  </si>
  <si>
    <t>Hábil</t>
  </si>
  <si>
    <t>Sábado</t>
  </si>
  <si>
    <t>Domingo</t>
  </si>
  <si>
    <t>Festivo</t>
  </si>
  <si>
    <t>NOMBRE DEL OFERENTE</t>
  </si>
  <si>
    <t xml:space="preserve"> PRECIOS Y CANTIDADES DE ENERGIA OFERTADA</t>
  </si>
  <si>
    <t>PRODUCTO  1</t>
  </si>
  <si>
    <t>AÑO</t>
  </si>
  <si>
    <t>MES</t>
  </si>
  <si>
    <t>E. Solicitada
[kWh]</t>
  </si>
  <si>
    <t>% E. Ofertado</t>
  </si>
  <si>
    <t>E. Ofertada
[kWh]</t>
  </si>
  <si>
    <t>$/kWh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</si>
  <si>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</si>
  <si>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</si>
  <si>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</si>
  <si>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</si>
  <si>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</si>
  <si>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</si>
  <si>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</si>
  <si>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</si>
  <si>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</si>
  <si>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</si>
  <si>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</si>
  <si>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</si>
  <si>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E. Solicitada = Energía solicitada por RUITOQUE para el producto.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</si>
  <si>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</si>
  <si>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</si>
  <si>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mes.</t>
  </si>
  <si>
    <t>PRODUCTO 1</t>
  </si>
  <si>
    <t>Total Producto 1</t>
  </si>
  <si>
    <t>ANEXO 2 - OFERTA PRODUCTO 1</t>
  </si>
  <si>
    <t>PERIODO 2026</t>
  </si>
  <si>
    <t>EN PESOS DE NOVIEMBRE 2025</t>
  </si>
  <si>
    <t>PERIODO  01 DE FEBRERO DEL 2026 A JUNIO 30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</si>
</sst>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#,##0_ ;\-#,##0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DIN-Regular"/>
      <family val="2"/>
    </font>
    <font>
      <b/>
      <sz val="10"/>
      <color theme="0"/>
      <name val="DIN-Regular"/>
    </font>
    <font>
      <sz val="10"/>
      <name val="DIN-Regular"/>
      <family val="2"/>
    </font>
    <font>
      <b/>
      <sz val="10"/>
      <color theme="1"/>
      <name val="DIN-Regula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6">
    <xf numFmtId="0" fontId="0" fillId="0" borderId="0" xfId="0"/>
    <xf numFmtId="17" fontId="5" fillId="0" borderId="1" xfId="0" applyNumberFormat="1" applyFont="1" applyBorder="1" applyAlignment="1">
      <alignment horizontal="center" vertical="center"/>
    </xf>
    <xf numFmtId="41" fontId="0" fillId="0" borderId="1" xfId="1" applyFont="1" applyBorder="1"/>
    <xf numFmtId="3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3" fontId="7" fillId="0" borderId="4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41" fontId="0" fillId="0" borderId="4" xfId="1" applyFont="1" applyBorder="1"/>
    <xf numFmtId="17" fontId="5" fillId="0" borderId="4" xfId="0" applyNumberFormat="1" applyFont="1" applyBorder="1" applyAlignment="1">
      <alignment horizontal="center" vertical="center"/>
    </xf>
    <xf numFmtId="17" fontId="5" fillId="0" borderId="11" xfId="0" applyNumberFormat="1" applyFont="1" applyBorder="1" applyAlignment="1">
      <alignment horizontal="center" vertical="center"/>
    </xf>
    <xf numFmtId="41" fontId="0" fillId="0" borderId="11" xfId="1" applyFont="1" applyBorder="1"/>
    <xf numFmtId="41" fontId="0" fillId="0" borderId="3" xfId="1" applyFont="1" applyBorder="1"/>
    <xf numFmtId="41" fontId="0" fillId="0" borderId="7" xfId="1" applyFont="1" applyBorder="1"/>
    <xf numFmtId="41" fontId="0" fillId="0" borderId="10" xfId="1" applyFont="1" applyBorder="1"/>
    <xf numFmtId="3" fontId="5" fillId="6" borderId="1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8" borderId="0" xfId="0" applyFill="1"/>
    <xf numFmtId="0" fontId="12" fillId="0" borderId="2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" fontId="4" fillId="2" borderId="14" xfId="0" applyNumberFormat="1" applyFont="1" applyFill="1" applyBorder="1" applyAlignment="1">
      <alignment horizontal="center" vertical="center"/>
    </xf>
    <xf numFmtId="4" fontId="5" fillId="2" borderId="15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3" fontId="6" fillId="5" borderId="15" xfId="0" applyNumberFormat="1" applyFont="1" applyFill="1" applyBorder="1" applyAlignment="1">
      <alignment horizontal="center" vertical="center"/>
    </xf>
    <xf numFmtId="3" fontId="5" fillId="3" borderId="37" xfId="0" applyNumberFormat="1" applyFont="1" applyFill="1" applyBorder="1" applyAlignment="1">
      <alignment horizontal="center" vertical="center"/>
    </xf>
    <xf numFmtId="164" fontId="0" fillId="8" borderId="0" xfId="9" applyNumberFormat="1" applyFont="1" applyFill="1"/>
    <xf numFmtId="41" fontId="0" fillId="0" borderId="0" xfId="0" applyNumberFormat="1"/>
    <xf numFmtId="0" fontId="16" fillId="0" borderId="0" xfId="0" applyFont="1"/>
    <xf numFmtId="3" fontId="16" fillId="0" borderId="0" xfId="0" applyNumberFormat="1" applyFont="1"/>
    <xf numFmtId="164" fontId="16" fillId="0" borderId="0" xfId="9" applyNumberFormat="1" applyFont="1"/>
    <xf numFmtId="0" fontId="16" fillId="8" borderId="0" xfId="0" applyFont="1" applyFill="1"/>
    <xf numFmtId="164" fontId="16" fillId="8" borderId="0" xfId="9" applyNumberFormat="1" applyFont="1" applyFill="1"/>
    <xf numFmtId="3" fontId="0" fillId="0" borderId="0" xfId="0" applyNumberFormat="1"/>
    <xf numFmtId="3" fontId="14" fillId="0" borderId="34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/>
    </xf>
    <xf numFmtId="166" fontId="14" fillId="0" borderId="34" xfId="9" applyNumberFormat="1" applyFont="1" applyBorder="1" applyAlignment="1">
      <alignment horizontal="center" vertical="center"/>
    </xf>
    <xf numFmtId="166" fontId="14" fillId="0" borderId="38" xfId="9" applyNumberFormat="1" applyFont="1" applyBorder="1" applyAlignment="1">
      <alignment horizontal="center" vertical="center"/>
    </xf>
    <xf numFmtId="166" fontId="2" fillId="0" borderId="13" xfId="9" applyNumberFormat="1" applyFont="1" applyBorder="1" applyAlignment="1">
      <alignment horizontal="center"/>
    </xf>
    <xf numFmtId="0" fontId="0" fillId="8" borderId="39" xfId="0" applyFill="1" applyBorder="1"/>
    <xf numFmtId="17" fontId="4" fillId="0" borderId="2" xfId="0" applyNumberFormat="1" applyFont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17" fontId="4" fillId="0" borderId="9" xfId="0" applyNumberFormat="1" applyFont="1" applyBorder="1" applyAlignment="1">
      <alignment horizontal="center" vertical="center" wrapText="1"/>
    </xf>
    <xf numFmtId="3" fontId="5" fillId="7" borderId="5" xfId="0" applyNumberFormat="1" applyFont="1" applyFill="1" applyBorder="1" applyAlignment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3" fontId="5" fillId="7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" fontId="12" fillId="0" borderId="21" xfId="0" applyNumberFormat="1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2" fillId="9" borderId="20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8" borderId="22" xfId="0" applyFont="1" applyFill="1" applyBorder="1" applyAlignment="1">
      <alignment horizontal="center"/>
    </xf>
    <xf numFmtId="0" fontId="12" fillId="8" borderId="23" xfId="0" applyFont="1" applyFill="1" applyBorder="1" applyAlignment="1">
      <alignment horizontal="center"/>
    </xf>
    <xf numFmtId="0" fontId="13" fillId="11" borderId="24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0" fontId="13" fillId="11" borderId="26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9" fontId="15" fillId="10" borderId="27" xfId="8" applyFont="1" applyFill="1" applyBorder="1" applyAlignment="1">
      <alignment horizontal="center" vertical="center"/>
    </xf>
    <xf numFmtId="9" fontId="15" fillId="10" borderId="33" xfId="8" applyFont="1" applyFill="1" applyBorder="1" applyAlignment="1">
      <alignment horizontal="center" vertical="center"/>
    </xf>
    <xf numFmtId="43" fontId="16" fillId="0" borderId="0" xfId="9" applyFont="1"/>
    <xf numFmtId="165" fontId="16" fillId="0" borderId="0" xfId="0" applyNumberFormat="1" applyFont="1"/>
  </cellXfs>
  <cellStyles count="11">
    <cellStyle name="Millares" xfId="9" builtinId="3"/>
    <cellStyle name="Millares [0]" xfId="1" builtinId="6"/>
    <cellStyle name="Millares [0] 2" xfId="2" xr:uid="{93D7F860-1C75-4263-816A-682942E58CDA}"/>
    <cellStyle name="Millares [0] 7" xfId="6" xr:uid="{BE9FF9FF-1DFD-4DF0-A618-BAF44101473C}"/>
    <cellStyle name="Millares 2" xfId="4" xr:uid="{35D2CDD0-437D-4DCC-A7AB-A40A1DEC75AF}"/>
    <cellStyle name="Moneda 2" xfId="10" xr:uid="{2AA553C9-4FC6-45EB-AA21-F42F23335B5E}"/>
    <cellStyle name="Normal" xfId="0" builtinId="0"/>
    <cellStyle name="Normal 2" xfId="3" xr:uid="{A42F6DA4-C1E6-4FB1-818D-8A2216579E1C}"/>
    <cellStyle name="Normal 2 2" xfId="7" xr:uid="{3AD0BB55-2400-427C-878A-EDFD953A55F8}"/>
    <cellStyle name="Normal 8" xfId="5" xr:uid="{A206338F-67B4-40FF-B862-7F1FD294666E}"/>
    <cellStyle name="Porcentaje" xfId="8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8CCD243-25BF-BAFF-19FC-9E9D975E8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23655" cy="62194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F768-2200-4C28-BEDF-7D15DCDCB244}">
  <dimension ref="B2:BH54"/>
  <sheetViews>
    <sheetView showGridLines="0" tabSelected="1" zoomScale="75" zoomScaleNormal="59" workbookViewId="0">
      <pane ySplit="5" topLeftCell="A10" activePane="bottomLeft" state="frozen"/>
      <selection activeCell="M103" sqref="M103"/>
      <selection pane="bottomLeft" activeCell="M67" sqref="M67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40" customWidth="1"/>
    <col min="32" max="32" width="17.453125" style="40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60" ht="15.5"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 spans="2:60" ht="15.5">
      <c r="B3" s="58" t="s">
        <v>34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2:60" ht="16" thickBot="1">
      <c r="B4" s="59" t="s">
        <v>39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 spans="2:60" ht="25.5" customHeight="1" thickBot="1">
      <c r="B5" s="32"/>
      <c r="C5" s="33" t="s">
        <v>1</v>
      </c>
      <c r="D5" s="34">
        <v>1</v>
      </c>
      <c r="E5" s="34">
        <v>2</v>
      </c>
      <c r="F5" s="34">
        <v>3</v>
      </c>
      <c r="G5" s="34">
        <v>4</v>
      </c>
      <c r="H5" s="34">
        <v>5</v>
      </c>
      <c r="I5" s="34">
        <v>6</v>
      </c>
      <c r="J5" s="35">
        <v>7</v>
      </c>
      <c r="K5" s="35">
        <v>8</v>
      </c>
      <c r="L5" s="35">
        <v>9</v>
      </c>
      <c r="M5" s="35">
        <v>10</v>
      </c>
      <c r="N5" s="35">
        <v>11</v>
      </c>
      <c r="O5" s="35">
        <v>12</v>
      </c>
      <c r="P5" s="35">
        <v>13</v>
      </c>
      <c r="Q5" s="35">
        <v>14</v>
      </c>
      <c r="R5" s="35">
        <v>15</v>
      </c>
      <c r="S5" s="35">
        <v>16</v>
      </c>
      <c r="T5" s="35">
        <v>17</v>
      </c>
      <c r="U5" s="35">
        <v>18</v>
      </c>
      <c r="V5" s="36">
        <v>19</v>
      </c>
      <c r="W5" s="36">
        <v>20</v>
      </c>
      <c r="X5" s="36">
        <v>21</v>
      </c>
      <c r="Y5" s="34">
        <v>22</v>
      </c>
      <c r="Z5" s="34">
        <v>23</v>
      </c>
      <c r="AA5" s="37">
        <v>24</v>
      </c>
      <c r="AB5" s="14" t="s">
        <v>2</v>
      </c>
      <c r="AC5" s="15" t="s">
        <v>3</v>
      </c>
      <c r="AD5" s="16" t="s">
        <v>2</v>
      </c>
    </row>
    <row r="6" spans="2:60" hidden="1">
      <c r="B6" s="52">
        <v>46023</v>
      </c>
      <c r="C6" s="8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11"/>
      <c r="AB6" s="5">
        <f t="shared" ref="AB6:AB53" si="0">(SUM(D6:AA6))</f>
        <v>0</v>
      </c>
      <c r="AC6" s="5">
        <v>20</v>
      </c>
      <c r="AD6" s="55">
        <f>(AB6*AC6)+(AB7*AC7)+(AB8*AC8)+(AB9*AC9)</f>
        <v>0</v>
      </c>
      <c r="AE6" s="41">
        <f>+AD6</f>
        <v>0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</row>
    <row r="7" spans="2:60" hidden="1">
      <c r="B7" s="53"/>
      <c r="C7" s="1" t="s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2"/>
      <c r="AB7" s="3">
        <f t="shared" si="0"/>
        <v>0</v>
      </c>
      <c r="AC7" s="3">
        <v>5</v>
      </c>
      <c r="AD7" s="56"/>
      <c r="AE7" s="41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</row>
    <row r="8" spans="2:60" hidden="1">
      <c r="B8" s="53"/>
      <c r="C8" s="1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2"/>
      <c r="AB8" s="3">
        <f t="shared" si="0"/>
        <v>0</v>
      </c>
      <c r="AC8" s="3">
        <v>4</v>
      </c>
      <c r="AD8" s="56"/>
      <c r="AE8" s="41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</row>
    <row r="9" spans="2:60" ht="15" hidden="1" thickBot="1">
      <c r="B9" s="54"/>
      <c r="C9" s="9" t="s">
        <v>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3"/>
      <c r="AB9" s="6">
        <f t="shared" si="0"/>
        <v>0</v>
      </c>
      <c r="AC9" s="6">
        <v>2</v>
      </c>
      <c r="AD9" s="57"/>
      <c r="AE9" s="41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</row>
    <row r="10" spans="2:60">
      <c r="B10" s="52">
        <v>46054</v>
      </c>
      <c r="C10" s="8" t="s">
        <v>5</v>
      </c>
      <c r="D10" s="7">
        <v>5311.76</v>
      </c>
      <c r="E10" s="7">
        <v>5795.32</v>
      </c>
      <c r="F10" s="7">
        <v>6101.99</v>
      </c>
      <c r="G10" s="7">
        <v>6456.12</v>
      </c>
      <c r="H10" s="7">
        <v>6076.18</v>
      </c>
      <c r="I10" s="7">
        <v>4547.59</v>
      </c>
      <c r="J10" s="7">
        <v>3394.91</v>
      </c>
      <c r="K10" s="7">
        <v>3394.91</v>
      </c>
      <c r="L10" s="7">
        <v>3394.91</v>
      </c>
      <c r="M10" s="7">
        <v>3394.91</v>
      </c>
      <c r="N10" s="7">
        <v>3394.91</v>
      </c>
      <c r="O10" s="7">
        <v>3394.91</v>
      </c>
      <c r="P10" s="7">
        <v>3394.91</v>
      </c>
      <c r="Q10" s="7">
        <v>3394.91</v>
      </c>
      <c r="R10" s="7">
        <v>3394.91</v>
      </c>
      <c r="S10" s="7">
        <v>3394.91</v>
      </c>
      <c r="T10" s="7">
        <v>3394.91</v>
      </c>
      <c r="U10" s="7">
        <v>3394.91</v>
      </c>
      <c r="V10" s="7">
        <v>3394.91</v>
      </c>
      <c r="W10" s="7">
        <v>3394.91</v>
      </c>
      <c r="X10" s="7">
        <v>3394.91</v>
      </c>
      <c r="Y10" s="7">
        <v>3394.91</v>
      </c>
      <c r="Z10" s="7">
        <v>3394.91</v>
      </c>
      <c r="AA10" s="11">
        <v>3394.91</v>
      </c>
      <c r="AB10" s="5">
        <f t="shared" si="0"/>
        <v>95397.340000000055</v>
      </c>
      <c r="AC10" s="5">
        <v>20</v>
      </c>
      <c r="AD10" s="55">
        <f>(AB10*AC10)+(AB11*AC11)+(AB12*AC12)+(AB13*AC13)</f>
        <v>2975103.080000001</v>
      </c>
      <c r="AE10" s="41">
        <f>+AD10</f>
        <v>2975103.080000001</v>
      </c>
      <c r="AF10" s="84">
        <f>+AE10/1000000</f>
        <v>2.9751030800000011</v>
      </c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</row>
    <row r="11" spans="2:60">
      <c r="B11" s="53"/>
      <c r="C11" s="1" t="s">
        <v>6</v>
      </c>
      <c r="D11" s="2">
        <v>6912.7999999999993</v>
      </c>
      <c r="E11" s="2">
        <v>7377.1</v>
      </c>
      <c r="F11" s="2">
        <v>7671.54</v>
      </c>
      <c r="G11" s="2">
        <v>8006.95</v>
      </c>
      <c r="H11" s="2">
        <v>7671.47</v>
      </c>
      <c r="I11" s="2">
        <v>6252.8899999999994</v>
      </c>
      <c r="J11" s="2">
        <v>3394.91</v>
      </c>
      <c r="K11" s="2">
        <v>3394.91</v>
      </c>
      <c r="L11" s="2">
        <v>3394.91</v>
      </c>
      <c r="M11" s="2">
        <v>3394.91</v>
      </c>
      <c r="N11" s="2">
        <v>3394.91</v>
      </c>
      <c r="O11" s="2">
        <v>3394.91</v>
      </c>
      <c r="P11" s="2">
        <v>3394.91</v>
      </c>
      <c r="Q11" s="2">
        <v>3394.91</v>
      </c>
      <c r="R11" s="2">
        <v>3394.91</v>
      </c>
      <c r="S11" s="2">
        <v>3394.91</v>
      </c>
      <c r="T11" s="2">
        <v>3394.91</v>
      </c>
      <c r="U11" s="2">
        <v>3394.91</v>
      </c>
      <c r="V11" s="2">
        <v>3394.91</v>
      </c>
      <c r="W11" s="2">
        <v>3394.91</v>
      </c>
      <c r="X11" s="2">
        <v>3394.91</v>
      </c>
      <c r="Y11" s="2">
        <v>3394.91</v>
      </c>
      <c r="Z11" s="2">
        <v>3394.91</v>
      </c>
      <c r="AA11" s="12">
        <v>3624.16</v>
      </c>
      <c r="AB11" s="3">
        <f t="shared" si="0"/>
        <v>105230.38000000006</v>
      </c>
      <c r="AC11" s="3">
        <v>4</v>
      </c>
      <c r="AD11" s="56"/>
      <c r="AE11" s="41"/>
      <c r="AF11" s="84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</row>
    <row r="12" spans="2:60">
      <c r="B12" s="53"/>
      <c r="C12" s="1" t="s">
        <v>7</v>
      </c>
      <c r="D12" s="2">
        <v>9604.0400000000009</v>
      </c>
      <c r="E12" s="2">
        <v>9331.81</v>
      </c>
      <c r="F12" s="2">
        <v>9059.59</v>
      </c>
      <c r="G12" s="2">
        <v>9059.59</v>
      </c>
      <c r="H12" s="2">
        <v>9059.59</v>
      </c>
      <c r="I12" s="2">
        <v>8787.369999999999</v>
      </c>
      <c r="J12" s="2">
        <v>8585</v>
      </c>
      <c r="K12" s="2">
        <v>7099.61</v>
      </c>
      <c r="L12" s="2">
        <v>6374.0499999999993</v>
      </c>
      <c r="M12" s="2">
        <v>6005.76</v>
      </c>
      <c r="N12" s="2">
        <v>5651.57</v>
      </c>
      <c r="O12" s="2">
        <v>5552.28</v>
      </c>
      <c r="P12" s="2">
        <v>6078.59</v>
      </c>
      <c r="Q12" s="2">
        <v>5499.3799999999992</v>
      </c>
      <c r="R12" s="2">
        <v>4862.67</v>
      </c>
      <c r="S12" s="2">
        <v>4347.71</v>
      </c>
      <c r="T12" s="2">
        <v>4158.53</v>
      </c>
      <c r="U12" s="2">
        <v>3394.91</v>
      </c>
      <c r="V12" s="2">
        <v>4025.67</v>
      </c>
      <c r="W12" s="2">
        <v>5042.07</v>
      </c>
      <c r="X12" s="2">
        <v>6025.16</v>
      </c>
      <c r="Y12" s="2">
        <v>7266.91</v>
      </c>
      <c r="Z12" s="2">
        <v>8125.3499999999995</v>
      </c>
      <c r="AA12" s="12">
        <v>8561.48</v>
      </c>
      <c r="AB12" s="3">
        <f t="shared" si="0"/>
        <v>161558.69</v>
      </c>
      <c r="AC12" s="3">
        <v>4</v>
      </c>
      <c r="AD12" s="56"/>
      <c r="AE12" s="41"/>
      <c r="AF12" s="84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</row>
    <row r="13" spans="2:60" ht="15" thickBot="1">
      <c r="B13" s="54"/>
      <c r="C13" s="9" t="s">
        <v>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3">
        <v>0</v>
      </c>
      <c r="AB13" s="6">
        <f t="shared" si="0"/>
        <v>0</v>
      </c>
      <c r="AC13" s="6">
        <v>0</v>
      </c>
      <c r="AD13" s="57"/>
      <c r="AE13" s="41"/>
      <c r="AF13" s="84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</row>
    <row r="14" spans="2:60">
      <c r="B14" s="52">
        <v>46082</v>
      </c>
      <c r="C14" s="8" t="s">
        <v>5</v>
      </c>
      <c r="D14" s="7">
        <v>1882.1077990759968</v>
      </c>
      <c r="E14" s="7">
        <v>2355.587078545127</v>
      </c>
      <c r="F14" s="7">
        <v>2655.7898830453487</v>
      </c>
      <c r="G14" s="7">
        <v>3002.9724089450679</v>
      </c>
      <c r="H14" s="7">
        <v>2631.3413498581581</v>
      </c>
      <c r="I14" s="7">
        <v>1134.2669466338004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11">
        <v>0</v>
      </c>
      <c r="AB14" s="5">
        <f t="shared" si="0"/>
        <v>13662.065466103499</v>
      </c>
      <c r="AC14" s="5">
        <v>21</v>
      </c>
      <c r="AD14" s="55">
        <f>(AB14*AC14)+(AB15*AC15)+(AB16*AC16)+(AB17*AC17)</f>
        <v>870004.84999999974</v>
      </c>
      <c r="AE14" s="41">
        <f>+AD14</f>
        <v>870004.84999999974</v>
      </c>
      <c r="AF14" s="84">
        <f>+AE14/1000000</f>
        <v>0.87000484999999972</v>
      </c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</row>
    <row r="15" spans="2:60">
      <c r="B15" s="53"/>
      <c r="C15" s="1" t="s">
        <v>6</v>
      </c>
      <c r="D15" s="2">
        <v>3464.0700278301269</v>
      </c>
      <c r="E15" s="2">
        <v>3918.1659988964598</v>
      </c>
      <c r="F15" s="2">
        <v>4205.9966818423363</v>
      </c>
      <c r="G15" s="2">
        <v>4534.4540923903369</v>
      </c>
      <c r="H15" s="2">
        <v>4205.9966818423363</v>
      </c>
      <c r="I15" s="2">
        <v>2817.2856563029109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12">
        <v>291.53182647948171</v>
      </c>
      <c r="AB15" s="3">
        <f t="shared" si="0"/>
        <v>23437.500965583986</v>
      </c>
      <c r="AC15" s="3">
        <v>4</v>
      </c>
      <c r="AD15" s="56"/>
      <c r="AE15" s="41"/>
      <c r="AF15" s="84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</row>
    <row r="16" spans="2:60">
      <c r="B16" s="53"/>
      <c r="C16" s="1" t="s">
        <v>7</v>
      </c>
      <c r="D16" s="2">
        <v>6462.3587731798334</v>
      </c>
      <c r="E16" s="2">
        <v>6188.3310662471704</v>
      </c>
      <c r="F16" s="2">
        <v>5914.3033593145055</v>
      </c>
      <c r="G16" s="2">
        <v>5914.3033593145055</v>
      </c>
      <c r="H16" s="2">
        <v>5914.3033593145055</v>
      </c>
      <c r="I16" s="2">
        <v>5640.2851914115681</v>
      </c>
      <c r="J16" s="2">
        <v>5140.2587922155744</v>
      </c>
      <c r="K16" s="2">
        <v>3664.0462470015118</v>
      </c>
      <c r="L16" s="2">
        <v>2947.2453972870239</v>
      </c>
      <c r="M16" s="2">
        <v>2583.665279288678</v>
      </c>
      <c r="N16" s="2">
        <v>2234.842040276124</v>
      </c>
      <c r="O16" s="2">
        <v>2132.3928610211788</v>
      </c>
      <c r="P16" s="2">
        <v>2642.3589291914413</v>
      </c>
      <c r="Q16" s="2">
        <v>2082.5705087633964</v>
      </c>
      <c r="R16" s="2">
        <v>1466.0725566155522</v>
      </c>
      <c r="S16" s="2">
        <v>973.25766389225305</v>
      </c>
      <c r="T16" s="2">
        <v>792.87461177763373</v>
      </c>
      <c r="U16" s="2">
        <v>0</v>
      </c>
      <c r="V16" s="2">
        <v>729.31605671471937</v>
      </c>
      <c r="W16" s="2">
        <v>1722.5675269122205</v>
      </c>
      <c r="X16" s="2">
        <v>2682.7948761990497</v>
      </c>
      <c r="Y16" s="2">
        <v>3895.9972938137321</v>
      </c>
      <c r="Z16" s="2">
        <v>4736.452585863588</v>
      </c>
      <c r="AA16" s="12">
        <v>5163.0761513196558</v>
      </c>
      <c r="AB16" s="3">
        <f t="shared" si="0"/>
        <v>81623.67448693543</v>
      </c>
      <c r="AC16" s="3">
        <v>5</v>
      </c>
      <c r="AD16" s="56"/>
      <c r="AE16" s="41"/>
      <c r="AF16" s="84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</row>
    <row r="17" spans="2:60" ht="15" thickBot="1">
      <c r="B17" s="54"/>
      <c r="C17" s="9" t="s">
        <v>8</v>
      </c>
      <c r="D17" s="10">
        <v>6546.3880860342852</v>
      </c>
      <c r="E17" s="10">
        <v>6270.1568632349645</v>
      </c>
      <c r="F17" s="10">
        <v>5993.9161014059182</v>
      </c>
      <c r="G17" s="10">
        <v>5717.6848786065984</v>
      </c>
      <c r="H17" s="10">
        <v>5717.6848786065984</v>
      </c>
      <c r="I17" s="10">
        <v>5717.6848786065984</v>
      </c>
      <c r="J17" s="10">
        <v>5119.5018635322631</v>
      </c>
      <c r="K17" s="10">
        <v>3659.4579737034087</v>
      </c>
      <c r="L17" s="10">
        <v>2903.7855778563417</v>
      </c>
      <c r="M17" s="10">
        <v>2635.0997275701179</v>
      </c>
      <c r="N17" s="10">
        <v>2345.2372312926491</v>
      </c>
      <c r="O17" s="10">
        <v>2145.976439350698</v>
      </c>
      <c r="P17" s="10">
        <v>2664.9950467307326</v>
      </c>
      <c r="Q17" s="10">
        <v>2106.5802465832007</v>
      </c>
      <c r="R17" s="10">
        <v>1497.4082692647601</v>
      </c>
      <c r="S17" s="10">
        <v>979.36264291675639</v>
      </c>
      <c r="T17" s="10">
        <v>812.67763748836614</v>
      </c>
      <c r="U17" s="10">
        <v>0</v>
      </c>
      <c r="V17" s="10">
        <v>624.18641010682825</v>
      </c>
      <c r="W17" s="10">
        <v>1596.3661636400675</v>
      </c>
      <c r="X17" s="10">
        <v>2559.2549022203907</v>
      </c>
      <c r="Y17" s="10">
        <v>3778.1521205813679</v>
      </c>
      <c r="Z17" s="10">
        <v>4680.3058568976094</v>
      </c>
      <c r="AA17" s="13">
        <v>5161.2351185825783</v>
      </c>
      <c r="AB17" s="6">
        <f t="shared" si="0"/>
        <v>81233.09891481309</v>
      </c>
      <c r="AC17" s="6">
        <v>1</v>
      </c>
      <c r="AD17" s="57"/>
      <c r="AE17" s="41"/>
      <c r="AF17" s="84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</row>
    <row r="18" spans="2:60">
      <c r="B18" s="52">
        <v>46113</v>
      </c>
      <c r="C18" s="8" t="s">
        <v>5</v>
      </c>
      <c r="D18" s="7">
        <v>5641.38</v>
      </c>
      <c r="E18" s="7">
        <v>6143.21</v>
      </c>
      <c r="F18" s="7">
        <v>6461.37</v>
      </c>
      <c r="G18" s="7">
        <v>6829.5</v>
      </c>
      <c r="H18" s="7">
        <v>6435.76</v>
      </c>
      <c r="I18" s="7">
        <v>4848.84</v>
      </c>
      <c r="J18" s="7">
        <v>4174.67</v>
      </c>
      <c r="K18" s="7">
        <v>4174.67</v>
      </c>
      <c r="L18" s="7">
        <v>4174.67</v>
      </c>
      <c r="M18" s="7">
        <v>4174.67</v>
      </c>
      <c r="N18" s="7">
        <v>4174.67</v>
      </c>
      <c r="O18" s="7">
        <v>4174.67</v>
      </c>
      <c r="P18" s="7">
        <v>4174.67</v>
      </c>
      <c r="Q18" s="7">
        <v>4174.67</v>
      </c>
      <c r="R18" s="7">
        <v>4174.67</v>
      </c>
      <c r="S18" s="7">
        <v>4174.67</v>
      </c>
      <c r="T18" s="7">
        <v>4174.67</v>
      </c>
      <c r="U18" s="7">
        <v>4174.67</v>
      </c>
      <c r="V18" s="7">
        <v>4174.67</v>
      </c>
      <c r="W18" s="7">
        <v>4174.67</v>
      </c>
      <c r="X18" s="7">
        <v>4174.67</v>
      </c>
      <c r="Y18" s="7">
        <v>4174.67</v>
      </c>
      <c r="Z18" s="7">
        <v>4174.67</v>
      </c>
      <c r="AA18" s="11">
        <v>4174.67</v>
      </c>
      <c r="AB18" s="5">
        <f t="shared" si="0"/>
        <v>111504.11999999997</v>
      </c>
      <c r="AC18" s="5">
        <v>20</v>
      </c>
      <c r="AD18" s="55">
        <f>(AB18*AC18)+(AB19*AC19)+(AB20*AC20)+(AB21*AC21)</f>
        <v>3637637.5599999991</v>
      </c>
      <c r="AE18" s="41">
        <f>+AD18</f>
        <v>3637637.5599999991</v>
      </c>
      <c r="AF18" s="84">
        <f>+AE18/1000000</f>
        <v>3.637637559999999</v>
      </c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39"/>
      <c r="BF18" s="39"/>
      <c r="BG18" s="39"/>
      <c r="BH18" s="39"/>
    </row>
    <row r="19" spans="2:60">
      <c r="B19" s="53"/>
      <c r="C19" s="1" t="s">
        <v>6</v>
      </c>
      <c r="D19" s="2">
        <v>7317.07</v>
      </c>
      <c r="E19" s="2">
        <v>7798.24</v>
      </c>
      <c r="F19" s="2">
        <v>7734.54</v>
      </c>
      <c r="G19" s="2">
        <v>7414.6100000000006</v>
      </c>
      <c r="H19" s="2">
        <v>7734.54</v>
      </c>
      <c r="I19" s="2">
        <v>6631</v>
      </c>
      <c r="J19" s="2">
        <v>4174.67</v>
      </c>
      <c r="K19" s="2">
        <v>4174.67</v>
      </c>
      <c r="L19" s="2">
        <v>4174.67</v>
      </c>
      <c r="M19" s="2">
        <v>4174.67</v>
      </c>
      <c r="N19" s="2">
        <v>4174.67</v>
      </c>
      <c r="O19" s="2">
        <v>4174.67</v>
      </c>
      <c r="P19" s="2">
        <v>4174.67</v>
      </c>
      <c r="Q19" s="2">
        <v>4174.67</v>
      </c>
      <c r="R19" s="2">
        <v>4174.67</v>
      </c>
      <c r="S19" s="2">
        <v>4174.67</v>
      </c>
      <c r="T19" s="2">
        <v>4174.67</v>
      </c>
      <c r="U19" s="2">
        <v>4174.67</v>
      </c>
      <c r="V19" s="2">
        <v>4174.67</v>
      </c>
      <c r="W19" s="2">
        <v>4174.67</v>
      </c>
      <c r="X19" s="2">
        <v>4174.67</v>
      </c>
      <c r="Y19" s="2">
        <v>4174.67</v>
      </c>
      <c r="Z19" s="2">
        <v>4174.67</v>
      </c>
      <c r="AA19" s="12">
        <v>4174.67</v>
      </c>
      <c r="AB19" s="3">
        <f t="shared" si="0"/>
        <v>119774.05999999997</v>
      </c>
      <c r="AC19" s="3">
        <v>4</v>
      </c>
      <c r="AD19" s="56"/>
      <c r="AE19" s="41"/>
      <c r="AF19" s="84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39"/>
      <c r="BF19" s="39"/>
      <c r="BG19" s="39"/>
      <c r="BH19" s="39"/>
    </row>
    <row r="20" spans="2:60">
      <c r="B20" s="53"/>
      <c r="C20" s="1" t="s">
        <v>7</v>
      </c>
      <c r="D20" s="2">
        <v>7783.3600000000006</v>
      </c>
      <c r="E20" s="2">
        <v>7504.24</v>
      </c>
      <c r="F20" s="2">
        <v>7225.12</v>
      </c>
      <c r="G20" s="2">
        <v>7225.12</v>
      </c>
      <c r="H20" s="2">
        <v>7225.12</v>
      </c>
      <c r="I20" s="2">
        <v>6946.01</v>
      </c>
      <c r="J20" s="2">
        <v>7225.12</v>
      </c>
      <c r="K20" s="2">
        <v>7506.88</v>
      </c>
      <c r="L20" s="2">
        <v>6742.79</v>
      </c>
      <c r="M20" s="2">
        <v>6355.25</v>
      </c>
      <c r="N20" s="2">
        <v>5984.04</v>
      </c>
      <c r="O20" s="2">
        <v>5872.74</v>
      </c>
      <c r="P20" s="2">
        <v>6411.5300000000007</v>
      </c>
      <c r="Q20" s="2">
        <v>5820.8600000000006</v>
      </c>
      <c r="R20" s="2">
        <v>5169.83</v>
      </c>
      <c r="S20" s="2">
        <v>4652.38</v>
      </c>
      <c r="T20" s="2">
        <v>4463.26</v>
      </c>
      <c r="U20" s="2">
        <v>4174.67</v>
      </c>
      <c r="V20" s="2">
        <v>4429.07</v>
      </c>
      <c r="W20" s="2">
        <v>5482.54</v>
      </c>
      <c r="X20" s="2">
        <v>6500.82</v>
      </c>
      <c r="Y20" s="2">
        <v>7787.5</v>
      </c>
      <c r="Z20" s="2">
        <v>8620.7099999999991</v>
      </c>
      <c r="AA20" s="12">
        <v>7847.25</v>
      </c>
      <c r="AB20" s="3">
        <f t="shared" si="0"/>
        <v>154956.21</v>
      </c>
      <c r="AC20" s="3">
        <v>4</v>
      </c>
      <c r="AD20" s="56"/>
      <c r="AE20" s="41"/>
      <c r="AF20" s="84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39"/>
      <c r="BF20" s="39"/>
      <c r="BG20" s="39"/>
      <c r="BH20" s="39"/>
    </row>
    <row r="21" spans="2:60" ht="15" thickBot="1">
      <c r="B21" s="54"/>
      <c r="C21" s="9" t="s">
        <v>8</v>
      </c>
      <c r="D21" s="10">
        <v>7867.49</v>
      </c>
      <c r="E21" s="10">
        <v>7586.16</v>
      </c>
      <c r="F21" s="10">
        <v>7304.83</v>
      </c>
      <c r="G21" s="10">
        <v>7023.5</v>
      </c>
      <c r="H21" s="10">
        <v>7023.5</v>
      </c>
      <c r="I21" s="10">
        <v>7023.5</v>
      </c>
      <c r="J21" s="10">
        <v>7304.83</v>
      </c>
      <c r="K21" s="10">
        <v>7502.07</v>
      </c>
      <c r="L21" s="10">
        <v>6697.22</v>
      </c>
      <c r="M21" s="10">
        <v>6409.1900000000005</v>
      </c>
      <c r="N21" s="10">
        <v>6099.76</v>
      </c>
      <c r="O21" s="10">
        <v>5886.9400000000005</v>
      </c>
      <c r="P21" s="10">
        <v>6435.24</v>
      </c>
      <c r="Q21" s="10">
        <v>5846</v>
      </c>
      <c r="R21" s="10">
        <v>5202.66</v>
      </c>
      <c r="S21" s="10">
        <v>4658.76</v>
      </c>
      <c r="T21" s="10">
        <v>4484.0200000000004</v>
      </c>
      <c r="U21" s="10">
        <v>4174.67</v>
      </c>
      <c r="V21" s="10">
        <v>4318.8599999999997</v>
      </c>
      <c r="W21" s="10">
        <v>5350.22</v>
      </c>
      <c r="X21" s="10">
        <v>6371.2800000000007</v>
      </c>
      <c r="Y21" s="10">
        <v>7663.92</v>
      </c>
      <c r="Z21" s="10">
        <v>8430.15</v>
      </c>
      <c r="AA21" s="13">
        <v>7652.27</v>
      </c>
      <c r="AB21" s="6">
        <f t="shared" si="0"/>
        <v>154317.03999999998</v>
      </c>
      <c r="AC21" s="6">
        <v>2</v>
      </c>
      <c r="AD21" s="57"/>
      <c r="AE21" s="41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39"/>
      <c r="BF21" s="39"/>
      <c r="BG21" s="39"/>
      <c r="BH21" s="39"/>
    </row>
    <row r="22" spans="2:60">
      <c r="B22" s="52">
        <v>46143</v>
      </c>
      <c r="C22" s="8" t="s">
        <v>5</v>
      </c>
      <c r="D22" s="7">
        <v>9308.02</v>
      </c>
      <c r="E22" s="7">
        <v>8816.380000000001</v>
      </c>
      <c r="F22" s="7">
        <v>8816.380000000001</v>
      </c>
      <c r="G22" s="7">
        <v>8816.380000000001</v>
      </c>
      <c r="H22" s="7">
        <v>9308.02</v>
      </c>
      <c r="I22" s="7">
        <v>10782.93</v>
      </c>
      <c r="J22" s="7">
        <v>8602.83</v>
      </c>
      <c r="K22" s="7">
        <v>6290.8200000000006</v>
      </c>
      <c r="L22" s="7">
        <v>5167.83</v>
      </c>
      <c r="M22" s="7">
        <v>4795.6400000000003</v>
      </c>
      <c r="N22" s="7">
        <v>4795.6400000000003</v>
      </c>
      <c r="O22" s="7">
        <v>4795.6400000000003</v>
      </c>
      <c r="P22" s="7">
        <v>4795.6400000000003</v>
      </c>
      <c r="Q22" s="7">
        <v>4795.6400000000003</v>
      </c>
      <c r="R22" s="7">
        <v>4795.6400000000003</v>
      </c>
      <c r="S22" s="7">
        <v>4795.6400000000003</v>
      </c>
      <c r="T22" s="7">
        <v>4795.6400000000003</v>
      </c>
      <c r="U22" s="7">
        <v>4795.6400000000003</v>
      </c>
      <c r="V22" s="7">
        <v>4795.6400000000003</v>
      </c>
      <c r="W22" s="7">
        <v>4795.6400000000003</v>
      </c>
      <c r="X22" s="7">
        <v>5780.1100000000006</v>
      </c>
      <c r="Y22" s="7">
        <v>7436.13</v>
      </c>
      <c r="Z22" s="7">
        <v>8644.33</v>
      </c>
      <c r="AA22" s="11">
        <v>9280</v>
      </c>
      <c r="AB22" s="5">
        <f t="shared" si="0"/>
        <v>159802.19999999998</v>
      </c>
      <c r="AC22" s="5">
        <v>19</v>
      </c>
      <c r="AD22" s="55">
        <f>(AB22*AC22)+(AB23*AC23)+(AB24*AC24)+(AB25*AC25)</f>
        <v>6060646.8200000003</v>
      </c>
      <c r="AE22" s="41">
        <f>+AD22</f>
        <v>6060646.8200000003</v>
      </c>
      <c r="AF22" s="84">
        <f>+AE22/1000000</f>
        <v>6.0606468200000005</v>
      </c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39"/>
      <c r="BF22" s="39"/>
      <c r="BG22" s="39"/>
      <c r="BH22" s="39"/>
    </row>
    <row r="23" spans="2:60">
      <c r="B23" s="53"/>
      <c r="C23" s="1" t="s">
        <v>6</v>
      </c>
      <c r="D23" s="2">
        <v>10788.810000000001</v>
      </c>
      <c r="E23" s="2">
        <v>10626.869999999999</v>
      </c>
      <c r="F23" s="2">
        <v>10168.75</v>
      </c>
      <c r="G23" s="2">
        <v>9710.619999999999</v>
      </c>
      <c r="H23" s="2">
        <v>10168.75</v>
      </c>
      <c r="I23" s="2">
        <v>10626.869999999999</v>
      </c>
      <c r="J23" s="2">
        <v>9463.619999999999</v>
      </c>
      <c r="K23" s="2">
        <v>8339.9600000000009</v>
      </c>
      <c r="L23" s="2">
        <v>8021.33</v>
      </c>
      <c r="M23" s="2">
        <v>7599.2300000000005</v>
      </c>
      <c r="N23" s="2">
        <v>6898.6900000000005</v>
      </c>
      <c r="O23" s="2">
        <v>7280.56</v>
      </c>
      <c r="P23" s="2">
        <v>8263.67</v>
      </c>
      <c r="Q23" s="2">
        <v>8455.5600000000013</v>
      </c>
      <c r="R23" s="2">
        <v>8749.68</v>
      </c>
      <c r="S23" s="2">
        <v>8502.9500000000007</v>
      </c>
      <c r="T23" s="2">
        <v>8242.5400000000009</v>
      </c>
      <c r="U23" s="2">
        <v>5341.77</v>
      </c>
      <c r="V23" s="2">
        <v>5584.04</v>
      </c>
      <c r="W23" s="2">
        <v>6724.09</v>
      </c>
      <c r="X23" s="2">
        <v>8320.61</v>
      </c>
      <c r="Y23" s="2">
        <v>9565.36</v>
      </c>
      <c r="Z23" s="2">
        <v>10760.900000000001</v>
      </c>
      <c r="AA23" s="12">
        <v>10626.869999999999</v>
      </c>
      <c r="AB23" s="3">
        <f t="shared" si="0"/>
        <v>208832.1</v>
      </c>
      <c r="AC23" s="3">
        <v>5</v>
      </c>
      <c r="AD23" s="56"/>
      <c r="AE23" s="41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39"/>
      <c r="BF23" s="39"/>
      <c r="BG23" s="39"/>
      <c r="BH23" s="39"/>
    </row>
    <row r="24" spans="2:60">
      <c r="B24" s="53"/>
      <c r="C24" s="1" t="s">
        <v>7</v>
      </c>
      <c r="D24" s="2">
        <v>10821.67</v>
      </c>
      <c r="E24" s="2">
        <v>10406.64</v>
      </c>
      <c r="F24" s="2">
        <v>9991.61</v>
      </c>
      <c r="G24" s="2">
        <v>9991.61</v>
      </c>
      <c r="H24" s="2">
        <v>9991.61</v>
      </c>
      <c r="I24" s="2">
        <v>9576.58</v>
      </c>
      <c r="J24" s="2">
        <v>9991.61</v>
      </c>
      <c r="K24" s="2">
        <v>10801.52</v>
      </c>
      <c r="L24" s="2">
        <v>11216.54</v>
      </c>
      <c r="M24" s="2">
        <v>12046.6</v>
      </c>
      <c r="N24" s="2">
        <v>12023.03</v>
      </c>
      <c r="O24" s="2">
        <v>12326.08</v>
      </c>
      <c r="P24" s="2">
        <v>12835.36</v>
      </c>
      <c r="Q24" s="2">
        <v>12936.76</v>
      </c>
      <c r="R24" s="2">
        <v>13228.11</v>
      </c>
      <c r="S24" s="2">
        <v>14138.09</v>
      </c>
      <c r="T24" s="2">
        <v>14228.490000000002</v>
      </c>
      <c r="U24" s="2">
        <v>11903.43</v>
      </c>
      <c r="V24" s="2">
        <v>12051.619999999999</v>
      </c>
      <c r="W24" s="2">
        <v>12526.61</v>
      </c>
      <c r="X24" s="2">
        <v>13145.93</v>
      </c>
      <c r="Y24" s="2">
        <v>12896.82</v>
      </c>
      <c r="Z24" s="2">
        <v>12066.76</v>
      </c>
      <c r="AA24" s="12">
        <v>11236.7</v>
      </c>
      <c r="AB24" s="3">
        <f t="shared" si="0"/>
        <v>282379.78000000003</v>
      </c>
      <c r="AC24" s="3">
        <v>5</v>
      </c>
      <c r="AD24" s="56"/>
      <c r="AE24" s="41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39"/>
      <c r="BF24" s="39"/>
      <c r="BG24" s="39"/>
      <c r="BH24" s="39"/>
    </row>
    <row r="25" spans="2:60" ht="15" thickBot="1">
      <c r="B25" s="54"/>
      <c r="C25" s="9" t="s">
        <v>8</v>
      </c>
      <c r="D25" s="10">
        <v>10923.94</v>
      </c>
      <c r="E25" s="10">
        <v>10506.220000000001</v>
      </c>
      <c r="F25" s="10">
        <v>10088.5</v>
      </c>
      <c r="G25" s="10">
        <v>9670.7800000000007</v>
      </c>
      <c r="H25" s="10">
        <v>9670.7800000000007</v>
      </c>
      <c r="I25" s="10">
        <v>9670.7800000000007</v>
      </c>
      <c r="J25" s="10">
        <v>10088.5</v>
      </c>
      <c r="K25" s="10">
        <v>10486.07</v>
      </c>
      <c r="L25" s="10">
        <v>11321.51</v>
      </c>
      <c r="M25" s="10">
        <v>12156.95</v>
      </c>
      <c r="N25" s="10">
        <v>12992.39</v>
      </c>
      <c r="O25" s="10">
        <v>13410.11</v>
      </c>
      <c r="P25" s="10">
        <v>13410.11</v>
      </c>
      <c r="Q25" s="10">
        <v>13827.830000000002</v>
      </c>
      <c r="R25" s="10">
        <v>13827.830000000002</v>
      </c>
      <c r="S25" s="10">
        <v>14245.55</v>
      </c>
      <c r="T25" s="10">
        <v>14245.55</v>
      </c>
      <c r="U25" s="10">
        <v>11627.57</v>
      </c>
      <c r="V25" s="10">
        <v>11376.46</v>
      </c>
      <c r="W25" s="10">
        <v>12210.64</v>
      </c>
      <c r="X25" s="10">
        <v>12718.869999999999</v>
      </c>
      <c r="Y25" s="10">
        <v>13012.55</v>
      </c>
      <c r="Z25" s="10">
        <v>11759.380000000001</v>
      </c>
      <c r="AA25" s="13">
        <v>10923.94</v>
      </c>
      <c r="AB25" s="6">
        <f t="shared" si="0"/>
        <v>284172.81</v>
      </c>
      <c r="AC25" s="6">
        <v>2</v>
      </c>
      <c r="AD25" s="57"/>
      <c r="AE25" s="41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39"/>
      <c r="BF25" s="39"/>
      <c r="BG25" s="39"/>
      <c r="BH25" s="39"/>
    </row>
    <row r="26" spans="2:60">
      <c r="B26" s="52">
        <v>46174</v>
      </c>
      <c r="C26" s="8" t="s">
        <v>5</v>
      </c>
      <c r="D26" s="7">
        <v>7024.58</v>
      </c>
      <c r="E26" s="7">
        <v>6549.99</v>
      </c>
      <c r="F26" s="7">
        <v>6549.99</v>
      </c>
      <c r="G26" s="7">
        <v>6549.99</v>
      </c>
      <c r="H26" s="7">
        <v>7024.58</v>
      </c>
      <c r="I26" s="7">
        <v>8448.34</v>
      </c>
      <c r="J26" s="7">
        <v>6891.27</v>
      </c>
      <c r="K26" s="7">
        <v>4543.6000000000004</v>
      </c>
      <c r="L26" s="7">
        <v>3406.11</v>
      </c>
      <c r="M26" s="7">
        <v>3026.54</v>
      </c>
      <c r="N26" s="7">
        <v>3026.54</v>
      </c>
      <c r="O26" s="7">
        <v>3026.54</v>
      </c>
      <c r="P26" s="7">
        <v>3026.54</v>
      </c>
      <c r="Q26" s="7">
        <v>3026.54</v>
      </c>
      <c r="R26" s="7">
        <v>3026.54</v>
      </c>
      <c r="S26" s="7">
        <v>3026.54</v>
      </c>
      <c r="T26" s="7">
        <v>3026.54</v>
      </c>
      <c r="U26" s="7">
        <v>3026.54</v>
      </c>
      <c r="V26" s="7">
        <v>3026.54</v>
      </c>
      <c r="W26" s="7">
        <v>3026.54</v>
      </c>
      <c r="X26" s="7">
        <v>4062.6499999999996</v>
      </c>
      <c r="Y26" s="7">
        <v>5735.16</v>
      </c>
      <c r="Z26" s="7">
        <v>6955.5599999999995</v>
      </c>
      <c r="AA26" s="11">
        <v>7597.35</v>
      </c>
      <c r="AB26" s="5">
        <f t="shared" si="0"/>
        <v>114631.10999999996</v>
      </c>
      <c r="AC26" s="5">
        <v>19</v>
      </c>
      <c r="AD26" s="55">
        <f>(AB26*AC26)+(AB27*AC27)+(AB28*AC28)+(AB29*AC29)</f>
        <v>4456601.9899999993</v>
      </c>
      <c r="AE26" s="41">
        <f>+AD26</f>
        <v>4456601.9899999993</v>
      </c>
      <c r="AF26" s="84">
        <f>+AE26/1000000</f>
        <v>4.4566019899999993</v>
      </c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</row>
    <row r="27" spans="2:60">
      <c r="B27" s="53"/>
      <c r="C27" s="1" t="s">
        <v>6</v>
      </c>
      <c r="D27" s="2">
        <v>8803.34</v>
      </c>
      <c r="E27" s="2">
        <v>8359.2799999999988</v>
      </c>
      <c r="F27" s="2">
        <v>7915.23</v>
      </c>
      <c r="G27" s="2">
        <v>7471.18</v>
      </c>
      <c r="H27" s="2">
        <v>7915.23</v>
      </c>
      <c r="I27" s="2">
        <v>8359.2799999999988</v>
      </c>
      <c r="J27" s="2">
        <v>7758.58</v>
      </c>
      <c r="K27" s="2">
        <v>6611.48</v>
      </c>
      <c r="L27" s="2">
        <v>6286.63</v>
      </c>
      <c r="M27" s="2">
        <v>5857.8</v>
      </c>
      <c r="N27" s="2">
        <v>5149</v>
      </c>
      <c r="O27" s="2">
        <v>5532.17</v>
      </c>
      <c r="P27" s="2">
        <v>6523.02</v>
      </c>
      <c r="Q27" s="2">
        <v>6719.84</v>
      </c>
      <c r="R27" s="2">
        <v>7019.87</v>
      </c>
      <c r="S27" s="2">
        <v>6774.51</v>
      </c>
      <c r="T27" s="2">
        <v>6514.49</v>
      </c>
      <c r="U27" s="2">
        <v>3617.7</v>
      </c>
      <c r="V27" s="2">
        <v>3863.39</v>
      </c>
      <c r="W27" s="2">
        <v>5014.99</v>
      </c>
      <c r="X27" s="2">
        <v>6626.13</v>
      </c>
      <c r="Y27" s="2">
        <v>7883.35</v>
      </c>
      <c r="Z27" s="2">
        <v>8803.34</v>
      </c>
      <c r="AA27" s="12">
        <v>8359.2799999999988</v>
      </c>
      <c r="AB27" s="3">
        <f t="shared" si="0"/>
        <v>163739.10999999999</v>
      </c>
      <c r="AC27" s="3">
        <v>4</v>
      </c>
      <c r="AD27" s="56"/>
      <c r="AE27" s="41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</row>
    <row r="28" spans="2:60">
      <c r="B28" s="53"/>
      <c r="C28" s="1" t="s">
        <v>7</v>
      </c>
      <c r="D28" s="2">
        <v>8637.42</v>
      </c>
      <c r="E28" s="2">
        <v>8232.7900000000009</v>
      </c>
      <c r="F28" s="2">
        <v>7828.16</v>
      </c>
      <c r="G28" s="2">
        <v>7828.16</v>
      </c>
      <c r="H28" s="2">
        <v>7828.16</v>
      </c>
      <c r="I28" s="2">
        <v>7423.53</v>
      </c>
      <c r="J28" s="2">
        <v>7828.16</v>
      </c>
      <c r="K28" s="2">
        <v>8617.2999999999993</v>
      </c>
      <c r="L28" s="2">
        <v>9021.93</v>
      </c>
      <c r="M28" s="2">
        <v>9831.1899999999987</v>
      </c>
      <c r="N28" s="2">
        <v>9721.7900000000009</v>
      </c>
      <c r="O28" s="2">
        <v>10014.61</v>
      </c>
      <c r="P28" s="2">
        <v>10523.119999999999</v>
      </c>
      <c r="Q28" s="2">
        <v>10614.6</v>
      </c>
      <c r="R28" s="2">
        <v>10895.74</v>
      </c>
      <c r="S28" s="2">
        <v>11784.8</v>
      </c>
      <c r="T28" s="2">
        <v>11875.060000000001</v>
      </c>
      <c r="U28" s="2">
        <v>10237.02</v>
      </c>
      <c r="V28" s="2">
        <v>10386.15</v>
      </c>
      <c r="W28" s="2">
        <v>10866.060000000001</v>
      </c>
      <c r="X28" s="2">
        <v>11491.66</v>
      </c>
      <c r="Y28" s="2">
        <v>10591.1</v>
      </c>
      <c r="Z28" s="2">
        <v>9851.3100000000013</v>
      </c>
      <c r="AA28" s="12">
        <v>9042.0499999999993</v>
      </c>
      <c r="AB28" s="3">
        <f t="shared" si="0"/>
        <v>230971.87</v>
      </c>
      <c r="AC28" s="3">
        <v>4</v>
      </c>
      <c r="AD28" s="56"/>
      <c r="AE28" s="41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</row>
    <row r="29" spans="2:60" ht="15" thickBot="1">
      <c r="B29" s="54"/>
      <c r="C29" s="9" t="s">
        <v>8</v>
      </c>
      <c r="D29" s="10">
        <v>8733.76</v>
      </c>
      <c r="E29" s="10">
        <v>8326.6</v>
      </c>
      <c r="F29" s="10">
        <v>7919.43</v>
      </c>
      <c r="G29" s="10">
        <v>7512.2699999999995</v>
      </c>
      <c r="H29" s="10">
        <v>7512.2699999999995</v>
      </c>
      <c r="I29" s="10">
        <v>7512.2699999999995</v>
      </c>
      <c r="J29" s="10">
        <v>7919.43</v>
      </c>
      <c r="K29" s="10">
        <v>8306.4700000000012</v>
      </c>
      <c r="L29" s="10">
        <v>9120.7999999999993</v>
      </c>
      <c r="M29" s="10">
        <v>9935.130000000001</v>
      </c>
      <c r="N29" s="10">
        <v>10749.46</v>
      </c>
      <c r="O29" s="10">
        <v>11156.630000000001</v>
      </c>
      <c r="P29" s="10">
        <v>11156.630000000001</v>
      </c>
      <c r="Q29" s="10">
        <v>11563.79</v>
      </c>
      <c r="R29" s="10">
        <v>11563.79</v>
      </c>
      <c r="S29" s="10">
        <v>11970.96</v>
      </c>
      <c r="T29" s="10">
        <v>11970.96</v>
      </c>
      <c r="U29" s="10">
        <v>9958.33</v>
      </c>
      <c r="V29" s="10">
        <v>9705.25</v>
      </c>
      <c r="W29" s="10">
        <v>10548.34</v>
      </c>
      <c r="X29" s="10">
        <v>11061.65</v>
      </c>
      <c r="Y29" s="10">
        <v>10769.59</v>
      </c>
      <c r="Z29" s="10">
        <v>9548.09</v>
      </c>
      <c r="AA29" s="13">
        <v>8733.76</v>
      </c>
      <c r="AB29" s="6">
        <f t="shared" si="0"/>
        <v>233255.66</v>
      </c>
      <c r="AC29" s="6">
        <v>3</v>
      </c>
      <c r="AD29" s="57"/>
      <c r="AE29" s="41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</row>
    <row r="30" spans="2:60" hidden="1">
      <c r="B30" s="52">
        <v>46204</v>
      </c>
      <c r="C30" s="8" t="s">
        <v>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11"/>
      <c r="AB30" s="5">
        <f t="shared" si="0"/>
        <v>0</v>
      </c>
      <c r="AC30" s="5">
        <v>22</v>
      </c>
      <c r="AD30" s="55">
        <f>(AB30*AC30)+(AB31*AC31)+(AB32*AC32)+(AB33*AC33)</f>
        <v>0</v>
      </c>
      <c r="AE30" s="41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</row>
    <row r="31" spans="2:60" hidden="1">
      <c r="B31" s="53"/>
      <c r="C31" s="1" t="s">
        <v>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12"/>
      <c r="AB31" s="3">
        <f t="shared" si="0"/>
        <v>0</v>
      </c>
      <c r="AC31" s="3">
        <v>4</v>
      </c>
      <c r="AD31" s="56"/>
      <c r="AE31" s="41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</row>
    <row r="32" spans="2:60" hidden="1">
      <c r="B32" s="53"/>
      <c r="C32" s="1" t="s">
        <v>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2"/>
      <c r="AB32" s="3">
        <f t="shared" si="0"/>
        <v>0</v>
      </c>
      <c r="AC32" s="3">
        <v>4</v>
      </c>
      <c r="AD32" s="56"/>
      <c r="AE32" s="41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</row>
    <row r="33" spans="2:60" ht="15" hidden="1" thickBot="1">
      <c r="B33" s="54"/>
      <c r="C33" s="9" t="s">
        <v>8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3"/>
      <c r="AB33" s="6">
        <f t="shared" si="0"/>
        <v>0</v>
      </c>
      <c r="AC33" s="6">
        <v>1</v>
      </c>
      <c r="AD33" s="57"/>
      <c r="AE33" s="41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</row>
    <row r="34" spans="2:60" hidden="1">
      <c r="B34" s="52">
        <v>46235</v>
      </c>
      <c r="C34" s="8" t="s">
        <v>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11"/>
      <c r="AB34" s="5">
        <f t="shared" si="0"/>
        <v>0</v>
      </c>
      <c r="AC34" s="5">
        <v>19</v>
      </c>
      <c r="AD34" s="55">
        <f>(AB34*AC34)+(AB35*AC35)+(AB36*AC36)+(AB37*AC37)</f>
        <v>0</v>
      </c>
      <c r="AE34" s="41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</row>
    <row r="35" spans="2:60" hidden="1">
      <c r="B35" s="53"/>
      <c r="C35" s="1" t="s">
        <v>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2"/>
      <c r="AB35" s="3">
        <f t="shared" si="0"/>
        <v>0</v>
      </c>
      <c r="AC35" s="3">
        <v>5</v>
      </c>
      <c r="AD35" s="56"/>
      <c r="AE35" s="41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</row>
    <row r="36" spans="2:60" hidden="1">
      <c r="B36" s="53"/>
      <c r="C36" s="1" t="s">
        <v>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2"/>
      <c r="AB36" s="3">
        <f t="shared" si="0"/>
        <v>0</v>
      </c>
      <c r="AC36" s="3">
        <v>5</v>
      </c>
      <c r="AD36" s="56"/>
      <c r="AE36" s="41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</row>
    <row r="37" spans="2:60" ht="15" hidden="1" thickBot="1">
      <c r="B37" s="54"/>
      <c r="C37" s="9" t="s">
        <v>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3"/>
      <c r="AB37" s="6">
        <f t="shared" si="0"/>
        <v>0</v>
      </c>
      <c r="AC37" s="6">
        <v>2</v>
      </c>
      <c r="AD37" s="57"/>
      <c r="AE37" s="41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</row>
    <row r="38" spans="2:60" hidden="1">
      <c r="B38" s="52">
        <v>46266</v>
      </c>
      <c r="C38" s="8" t="s">
        <v>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11"/>
      <c r="AB38" s="5">
        <f t="shared" si="0"/>
        <v>0</v>
      </c>
      <c r="AC38" s="5">
        <v>22</v>
      </c>
      <c r="AD38" s="55">
        <f>(AB38*AC38)+(AB39*AC39)+(AB40*AC40)+(AB41*AC41)</f>
        <v>0</v>
      </c>
      <c r="AE38" s="41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</row>
    <row r="39" spans="2:60" hidden="1">
      <c r="B39" s="53"/>
      <c r="C39" s="1" t="s">
        <v>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2"/>
      <c r="AB39" s="3">
        <f t="shared" si="0"/>
        <v>0</v>
      </c>
      <c r="AC39" s="3">
        <v>4</v>
      </c>
      <c r="AD39" s="56"/>
      <c r="AE39" s="41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</row>
    <row r="40" spans="2:60" hidden="1">
      <c r="B40" s="53"/>
      <c r="C40" s="1" t="s">
        <v>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2"/>
      <c r="AB40" s="3">
        <f t="shared" si="0"/>
        <v>0</v>
      </c>
      <c r="AC40" s="3">
        <v>4</v>
      </c>
      <c r="AD40" s="56"/>
      <c r="AE40" s="41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</row>
    <row r="41" spans="2:60" ht="15" hidden="1" thickBot="1">
      <c r="B41" s="54"/>
      <c r="C41" s="9" t="s">
        <v>8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3"/>
      <c r="AB41" s="6">
        <f t="shared" si="0"/>
        <v>0</v>
      </c>
      <c r="AC41" s="6">
        <v>0</v>
      </c>
      <c r="AD41" s="57"/>
      <c r="AE41" s="41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</row>
    <row r="42" spans="2:60" hidden="1">
      <c r="B42" s="52">
        <v>46296</v>
      </c>
      <c r="C42" s="8" t="s">
        <v>5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1"/>
      <c r="AB42" s="5">
        <f t="shared" si="0"/>
        <v>0</v>
      </c>
      <c r="AC42" s="5">
        <v>21</v>
      </c>
      <c r="AD42" s="55">
        <f>(AB42*AC42)+(AB43*AC43)+(AB44*AC44)+(AB45*AC45)</f>
        <v>0</v>
      </c>
      <c r="AE42" s="41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</row>
    <row r="43" spans="2:60" hidden="1">
      <c r="B43" s="53"/>
      <c r="C43" s="1" t="s">
        <v>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2"/>
      <c r="AB43" s="3">
        <f t="shared" si="0"/>
        <v>0</v>
      </c>
      <c r="AC43" s="3">
        <v>5</v>
      </c>
      <c r="AD43" s="56"/>
      <c r="AE43" s="41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</row>
    <row r="44" spans="2:60" hidden="1">
      <c r="B44" s="53"/>
      <c r="C44" s="1" t="s">
        <v>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2"/>
      <c r="AB44" s="3">
        <f t="shared" si="0"/>
        <v>0</v>
      </c>
      <c r="AC44" s="3">
        <v>4</v>
      </c>
      <c r="AD44" s="56"/>
      <c r="AE44" s="41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</row>
    <row r="45" spans="2:60" ht="15" hidden="1" thickBot="1">
      <c r="B45" s="54"/>
      <c r="C45" s="9" t="s">
        <v>8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3"/>
      <c r="AB45" s="6">
        <f t="shared" si="0"/>
        <v>0</v>
      </c>
      <c r="AC45" s="6">
        <v>1</v>
      </c>
      <c r="AD45" s="57"/>
      <c r="AE45" s="41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</row>
    <row r="46" spans="2:60" hidden="1">
      <c r="B46" s="52">
        <v>46327</v>
      </c>
      <c r="C46" s="8" t="s">
        <v>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11"/>
      <c r="AB46" s="5">
        <f t="shared" si="0"/>
        <v>0</v>
      </c>
      <c r="AC46" s="5">
        <v>19</v>
      </c>
      <c r="AD46" s="55">
        <f>(AB46*AC46)+(AB47*AC47)+(AB48*AC48)+(AB49*AC49)</f>
        <v>0</v>
      </c>
      <c r="AE46" s="41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</row>
    <row r="47" spans="2:60" hidden="1">
      <c r="B47" s="53"/>
      <c r="C47" s="1" t="s">
        <v>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2"/>
      <c r="AB47" s="3">
        <f t="shared" si="0"/>
        <v>0</v>
      </c>
      <c r="AC47" s="3">
        <v>4</v>
      </c>
      <c r="AD47" s="56"/>
      <c r="AE47" s="41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</row>
    <row r="48" spans="2:60" hidden="1">
      <c r="B48" s="53"/>
      <c r="C48" s="1" t="s">
        <v>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2"/>
      <c r="AB48" s="3">
        <f t="shared" si="0"/>
        <v>0</v>
      </c>
      <c r="AC48" s="3">
        <v>5</v>
      </c>
      <c r="AD48" s="56"/>
      <c r="AE48" s="41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</row>
    <row r="49" spans="2:60" ht="15" hidden="1" thickBot="1">
      <c r="B49" s="54"/>
      <c r="C49" s="9" t="s">
        <v>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3"/>
      <c r="AB49" s="6">
        <f t="shared" si="0"/>
        <v>0</v>
      </c>
      <c r="AC49" s="6">
        <v>2</v>
      </c>
      <c r="AD49" s="57"/>
      <c r="AE49" s="41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</row>
    <row r="50" spans="2:60" hidden="1">
      <c r="B50" s="52">
        <v>46357</v>
      </c>
      <c r="C50" s="8" t="s">
        <v>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11"/>
      <c r="AB50" s="5">
        <f t="shared" si="0"/>
        <v>0</v>
      </c>
      <c r="AC50" s="5">
        <v>21</v>
      </c>
      <c r="AD50" s="55">
        <f>(AB50*AC50)+(AB51*AC51)+(AB52*AC52)+(AB53*AC53)</f>
        <v>0</v>
      </c>
      <c r="AE50" s="41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</row>
    <row r="51" spans="2:60" hidden="1">
      <c r="B51" s="53"/>
      <c r="C51" s="1" t="s">
        <v>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2"/>
      <c r="AB51" s="3">
        <f t="shared" si="0"/>
        <v>0</v>
      </c>
      <c r="AC51" s="3">
        <v>4</v>
      </c>
      <c r="AD51" s="56"/>
      <c r="AE51" s="41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</row>
    <row r="52" spans="2:60" hidden="1">
      <c r="B52" s="53"/>
      <c r="C52" s="1" t="s">
        <v>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2"/>
      <c r="AB52" s="3">
        <f t="shared" si="0"/>
        <v>0</v>
      </c>
      <c r="AC52" s="3">
        <v>4</v>
      </c>
      <c r="AD52" s="56"/>
      <c r="AE52" s="41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</row>
    <row r="53" spans="2:60" ht="15" hidden="1" thickBot="1">
      <c r="B53" s="54"/>
      <c r="C53" s="9" t="s">
        <v>8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3"/>
      <c r="AB53" s="6">
        <f t="shared" si="0"/>
        <v>0</v>
      </c>
      <c r="AC53" s="6">
        <v>2</v>
      </c>
      <c r="AD53" s="57"/>
      <c r="AE53" s="41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</row>
    <row r="54" spans="2:60" ht="15" thickBot="1">
      <c r="AD54" s="47">
        <f>SUM(AD6:AD53)</f>
        <v>17999994.300000001</v>
      </c>
      <c r="AF54" s="85"/>
    </row>
  </sheetData>
  <mergeCells count="27">
    <mergeCell ref="B10:B13"/>
    <mergeCell ref="AD10:AD13"/>
    <mergeCell ref="B2:AB2"/>
    <mergeCell ref="B3:AB3"/>
    <mergeCell ref="B4:AB4"/>
    <mergeCell ref="B6:B9"/>
    <mergeCell ref="AD6:AD9"/>
    <mergeCell ref="B14:B17"/>
    <mergeCell ref="AD14:AD17"/>
    <mergeCell ref="B18:B21"/>
    <mergeCell ref="AD18:AD21"/>
    <mergeCell ref="B22:B25"/>
    <mergeCell ref="AD22:AD25"/>
    <mergeCell ref="B26:B29"/>
    <mergeCell ref="AD26:AD29"/>
    <mergeCell ref="B30:B33"/>
    <mergeCell ref="AD30:AD33"/>
    <mergeCell ref="B34:B37"/>
    <mergeCell ref="AD34:AD37"/>
    <mergeCell ref="B50:B53"/>
    <mergeCell ref="AD50:AD53"/>
    <mergeCell ref="B38:B41"/>
    <mergeCell ref="AD38:AD41"/>
    <mergeCell ref="B42:B45"/>
    <mergeCell ref="AD42:AD45"/>
    <mergeCell ref="B46:B49"/>
    <mergeCell ref="AD46:AD49"/>
  </mergeCells>
  <conditionalFormatting sqref="D6:AA5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DF29-3962-48C6-91B0-432C77D06C94}">
  <dimension ref="B3:J30"/>
  <sheetViews>
    <sheetView showGridLines="0" zoomScale="90" zoomScaleNormal="90" workbookViewId="0">
      <selection activeCell="B28" sqref="B28"/>
    </sheetView>
  </sheetViews>
  <sheetFormatPr baseColWidth="10" defaultColWidth="11.453125" defaultRowHeight="14.5"/>
  <cols>
    <col min="1" max="3" width="11.453125" style="17"/>
    <col min="4" max="4" width="15.26953125" style="17" customWidth="1"/>
    <col min="5" max="5" width="11.453125" style="17"/>
    <col min="6" max="6" width="12.7265625" style="17" bestFit="1" customWidth="1"/>
    <col min="7" max="7" width="11.453125" style="17"/>
    <col min="8" max="8" width="14.1796875" style="42" bestFit="1" customWidth="1"/>
    <col min="9" max="9" width="11.453125" style="43"/>
    <col min="10" max="16384" width="11.453125" style="17"/>
  </cols>
  <sheetData>
    <row r="3" spans="2:10" ht="15" thickBot="1"/>
    <row r="4" spans="2:10">
      <c r="B4" s="62" t="s">
        <v>36</v>
      </c>
      <c r="C4" s="63"/>
      <c r="D4" s="63"/>
      <c r="E4" s="63"/>
      <c r="F4" s="63"/>
      <c r="G4" s="64"/>
    </row>
    <row r="5" spans="2:10">
      <c r="B5" s="65" t="s">
        <v>9</v>
      </c>
      <c r="C5" s="66"/>
      <c r="D5" s="66"/>
      <c r="E5" s="66"/>
      <c r="F5" s="66"/>
      <c r="G5" s="67"/>
    </row>
    <row r="6" spans="2:10">
      <c r="B6" s="68" t="s">
        <v>10</v>
      </c>
      <c r="C6" s="69"/>
      <c r="D6" s="69"/>
      <c r="E6" s="69"/>
      <c r="F6" s="69"/>
      <c r="G6" s="70"/>
    </row>
    <row r="7" spans="2:10" ht="15" thickBot="1">
      <c r="B7" s="71" t="s">
        <v>38</v>
      </c>
      <c r="C7" s="72"/>
      <c r="D7" s="72"/>
      <c r="E7" s="72"/>
      <c r="F7" s="72"/>
      <c r="G7" s="73"/>
    </row>
    <row r="8" spans="2:10" ht="15" thickBot="1">
      <c r="B8" s="74" t="s">
        <v>11</v>
      </c>
      <c r="C8" s="75"/>
      <c r="D8" s="75"/>
      <c r="E8" s="75"/>
      <c r="F8" s="75"/>
      <c r="G8" s="76"/>
    </row>
    <row r="9" spans="2:10" ht="15.75" customHeight="1" thickBot="1">
      <c r="B9" s="77" t="s">
        <v>12</v>
      </c>
      <c r="C9" s="77" t="s">
        <v>13</v>
      </c>
      <c r="D9" s="80" t="s">
        <v>37</v>
      </c>
      <c r="E9" s="80"/>
      <c r="F9" s="80"/>
      <c r="G9" s="81"/>
    </row>
    <row r="10" spans="2:10" ht="26.5" thickBot="1">
      <c r="B10" s="78"/>
      <c r="C10" s="79"/>
      <c r="D10" s="18" t="s">
        <v>14</v>
      </c>
      <c r="E10" s="20" t="s">
        <v>15</v>
      </c>
      <c r="F10" s="19" t="s">
        <v>16</v>
      </c>
      <c r="G10" s="21" t="s">
        <v>17</v>
      </c>
    </row>
    <row r="11" spans="2:10" hidden="1">
      <c r="B11" s="30">
        <v>2026</v>
      </c>
      <c r="C11" s="31" t="s">
        <v>25</v>
      </c>
      <c r="D11" s="46">
        <f>+'Producto 1 Plano Ene 26'!AE6</f>
        <v>0</v>
      </c>
      <c r="E11" s="82"/>
      <c r="F11" s="24">
        <f t="shared" ref="F11:F22" si="0">+E11*D11</f>
        <v>0</v>
      </c>
      <c r="G11" s="25"/>
    </row>
    <row r="12" spans="2:10">
      <c r="B12" s="22">
        <v>2026</v>
      </c>
      <c r="C12" s="23" t="s">
        <v>26</v>
      </c>
      <c r="D12" s="48">
        <f>+'Producto 1 Plano Ene 26'!AE10</f>
        <v>2975103.080000001</v>
      </c>
      <c r="E12" s="83"/>
      <c r="F12" s="24">
        <f t="shared" si="0"/>
        <v>0</v>
      </c>
      <c r="G12" s="25"/>
    </row>
    <row r="13" spans="2:10">
      <c r="B13" s="22">
        <v>2026</v>
      </c>
      <c r="C13" s="23" t="s">
        <v>27</v>
      </c>
      <c r="D13" s="48">
        <f>+'Producto 1 Plano Ene 26'!AE14</f>
        <v>870004.84999999974</v>
      </c>
      <c r="E13" s="83"/>
      <c r="F13" s="24">
        <f t="shared" si="0"/>
        <v>0</v>
      </c>
      <c r="G13" s="25"/>
      <c r="J13" s="38"/>
    </row>
    <row r="14" spans="2:10">
      <c r="B14" s="22">
        <v>2026</v>
      </c>
      <c r="C14" s="23" t="s">
        <v>28</v>
      </c>
      <c r="D14" s="48">
        <f>+'Producto 1 Plano Ene 26'!AE18</f>
        <v>3637637.5599999991</v>
      </c>
      <c r="E14" s="83"/>
      <c r="F14" s="24">
        <f t="shared" si="0"/>
        <v>0</v>
      </c>
      <c r="G14" s="25"/>
    </row>
    <row r="15" spans="2:10">
      <c r="B15" s="22">
        <v>2026</v>
      </c>
      <c r="C15" s="23" t="s">
        <v>29</v>
      </c>
      <c r="D15" s="48">
        <f>+'Producto 1 Plano Ene 26'!AE22</f>
        <v>6060646.8200000003</v>
      </c>
      <c r="E15" s="83"/>
      <c r="F15" s="24">
        <f t="shared" si="0"/>
        <v>0</v>
      </c>
      <c r="G15" s="25"/>
    </row>
    <row r="16" spans="2:10" ht="15" thickBot="1">
      <c r="B16" s="22">
        <v>2026</v>
      </c>
      <c r="C16" s="23" t="s">
        <v>18</v>
      </c>
      <c r="D16" s="48">
        <f>+'Producto 1 Plano Ene 26'!AE26</f>
        <v>4456601.9899999993</v>
      </c>
      <c r="E16" s="83"/>
      <c r="F16" s="24">
        <f t="shared" si="0"/>
        <v>0</v>
      </c>
      <c r="G16" s="25"/>
    </row>
    <row r="17" spans="2:9" hidden="1">
      <c r="B17" s="22">
        <v>2026</v>
      </c>
      <c r="C17" s="23" t="s">
        <v>19</v>
      </c>
      <c r="D17" s="48">
        <f>+'Producto 1 Plano Ene 26'!AE12</f>
        <v>0</v>
      </c>
      <c r="E17" s="83"/>
      <c r="F17" s="24">
        <f t="shared" si="0"/>
        <v>0</v>
      </c>
      <c r="G17" s="25"/>
    </row>
    <row r="18" spans="2:9" hidden="1">
      <c r="B18" s="22">
        <v>2026</v>
      </c>
      <c r="C18" s="23" t="s">
        <v>20</v>
      </c>
      <c r="D18" s="48">
        <f>+'Producto 1 Plano Ene 26'!AE13</f>
        <v>0</v>
      </c>
      <c r="E18" s="83"/>
      <c r="F18" s="24">
        <f t="shared" si="0"/>
        <v>0</v>
      </c>
      <c r="G18" s="25"/>
    </row>
    <row r="19" spans="2:9" hidden="1">
      <c r="B19" s="22">
        <v>2026</v>
      </c>
      <c r="C19" s="23" t="s">
        <v>21</v>
      </c>
      <c r="D19" s="48">
        <v>0</v>
      </c>
      <c r="E19" s="83"/>
      <c r="F19" s="24">
        <f t="shared" si="0"/>
        <v>0</v>
      </c>
      <c r="G19" s="25"/>
    </row>
    <row r="20" spans="2:9" hidden="1">
      <c r="B20" s="22">
        <v>2026</v>
      </c>
      <c r="C20" s="23" t="s">
        <v>22</v>
      </c>
      <c r="D20" s="48">
        <f>+'Producto 1 Plano Ene 26'!AE15</f>
        <v>0</v>
      </c>
      <c r="E20" s="83"/>
      <c r="F20" s="24">
        <f t="shared" si="0"/>
        <v>0</v>
      </c>
      <c r="G20" s="25"/>
    </row>
    <row r="21" spans="2:9" hidden="1">
      <c r="B21" s="22">
        <v>2026</v>
      </c>
      <c r="C21" s="23" t="s">
        <v>23</v>
      </c>
      <c r="D21" s="48">
        <f>+'Producto 1 Plano Ene 26'!AE16</f>
        <v>0</v>
      </c>
      <c r="E21" s="83"/>
      <c r="F21" s="24">
        <f t="shared" si="0"/>
        <v>0</v>
      </c>
      <c r="G21" s="25"/>
    </row>
    <row r="22" spans="2:9" ht="15" hidden="1" thickBot="1">
      <c r="B22" s="26">
        <v>2026</v>
      </c>
      <c r="C22" s="27" t="s">
        <v>24</v>
      </c>
      <c r="D22" s="49">
        <f>+'Producto 1 Plano Ene 26'!AE17</f>
        <v>0</v>
      </c>
      <c r="E22" s="83"/>
      <c r="F22" s="28">
        <f t="shared" si="0"/>
        <v>0</v>
      </c>
      <c r="G22" s="29"/>
      <c r="H22" s="42">
        <f>SUM(D11:D22)</f>
        <v>17999994.300000001</v>
      </c>
      <c r="I22" s="44">
        <f>+H22/1000</f>
        <v>17999.994300000002</v>
      </c>
    </row>
    <row r="23" spans="2:9" ht="15" thickBot="1">
      <c r="B23" s="60" t="s">
        <v>35</v>
      </c>
      <c r="C23" s="61"/>
      <c r="D23" s="50">
        <f>+SUM(D11:D22)</f>
        <v>17999994.300000001</v>
      </c>
      <c r="E23" s="51"/>
      <c r="I23" s="44">
        <f>+D23/1000</f>
        <v>17999.994300000002</v>
      </c>
    </row>
    <row r="25" spans="2:9">
      <c r="B25" s="17" t="s">
        <v>30</v>
      </c>
    </row>
    <row r="26" spans="2:9">
      <c r="B26" s="17" t="s">
        <v>31</v>
      </c>
    </row>
    <row r="27" spans="2:9">
      <c r="B27" s="17" t="s">
        <v>32</v>
      </c>
    </row>
    <row r="28" spans="2:9">
      <c r="B28" s="17" t="s">
        <v>33</v>
      </c>
    </row>
    <row r="30" spans="2:9">
      <c r="D30" s="38"/>
    </row>
  </sheetData>
  <mergeCells count="10">
    <mergeCell ref="B23:C23"/>
    <mergeCell ref="B4:G4"/>
    <mergeCell ref="B5:G5"/>
    <mergeCell ref="B6:G6"/>
    <mergeCell ref="B7:G7"/>
    <mergeCell ref="B8:G8"/>
    <mergeCell ref="B9:B10"/>
    <mergeCell ref="C9:C10"/>
    <mergeCell ref="D9:G9"/>
    <mergeCell ref="E11:E22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 1 Plano Ene 26</vt:lpstr>
      <vt:lpstr>Anexo 2 Producto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Gonzalez Parra</dc:creator>
  <cp:lastModifiedBy>Diana Solano</cp:lastModifiedBy>
  <dcterms:created xsi:type="dcterms:W3CDTF">2021-03-30T14:28:44Z</dcterms:created>
  <dcterms:modified xsi:type="dcterms:W3CDTF">2025-12-10T22:46:42Z</dcterms:modified>
</cp:coreProperties>
</file>