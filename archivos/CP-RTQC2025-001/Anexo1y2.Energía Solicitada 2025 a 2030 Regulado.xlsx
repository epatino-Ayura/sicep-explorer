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uitoqueesp1-my.sharepoint.com/personal/dsolano_ruitoqueesp_com/Documents/Mercado Mayorista - One Drive/10.SICEP-CONVOCATORIAS/Convocatorias 2025/CP-RTQC2025-001/Pliego de condiciones de definitivo/"/>
    </mc:Choice>
  </mc:AlternateContent>
  <xr:revisionPtr revIDLastSave="1083" documentId="13_ncr:1_{11F35ADC-379E-4BD7-8991-7E8EB018DC3C}" xr6:coauthVersionLast="47" xr6:coauthVersionMax="47" xr10:uidLastSave="{D79168E4-4B87-4E21-9DE3-DE5206156ABF}"/>
  <bookViews>
    <workbookView xWindow="-110" yWindow="-110" windowWidth="19420" windowHeight="11500" firstSheet="1" activeTab="3" xr2:uid="{117BC80B-6DD0-4D14-894B-3D9BEC6851BA}"/>
  </bookViews>
  <sheets>
    <sheet name="Producto 1 Plano 26-30" sheetId="18" r:id="rId1"/>
    <sheet name="Anexo 2 Producto 1" sheetId="21" r:id="rId2"/>
    <sheet name="Producto 2 Curvo 26-30" sheetId="22" r:id="rId3"/>
    <sheet name="Anexo 2 Producto 2" sheetId="23" r:id="rId4"/>
  </sheets>
  <definedNames>
    <definedName name="_xlnm._FilterDatabase" localSheetId="0" hidden="1">'Producto 1 Plano 26-30'!$B$2:$B$5</definedName>
    <definedName name="_xlnm._FilterDatabase" localSheetId="2" hidden="1">'Producto 2 Curvo 26-30'!$B$2:$B$5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E65" i="22" l="1"/>
  <c r="AE64" i="22"/>
  <c r="AE63" i="22"/>
  <c r="AE62" i="22"/>
  <c r="AE61" i="22"/>
  <c r="AE60" i="22"/>
  <c r="AE59" i="22"/>
  <c r="AE58" i="22"/>
  <c r="AE57" i="22"/>
  <c r="AE56" i="22"/>
  <c r="AE55" i="22"/>
  <c r="AE54" i="22"/>
  <c r="AE53" i="22"/>
  <c r="AE52" i="22"/>
  <c r="AE51" i="22"/>
  <c r="AE50" i="22"/>
  <c r="AE49" i="22"/>
  <c r="AE48" i="22"/>
  <c r="AE47" i="22"/>
  <c r="AE46" i="22"/>
  <c r="AE45" i="22"/>
  <c r="AE44" i="22"/>
  <c r="AE43" i="22"/>
  <c r="AE42" i="22"/>
  <c r="AE41" i="22"/>
  <c r="AE40" i="22"/>
  <c r="AE39" i="22"/>
  <c r="AE38" i="22"/>
  <c r="AE37" i="22"/>
  <c r="AE36" i="22"/>
  <c r="AE35" i="22"/>
  <c r="AE34" i="22"/>
  <c r="AE33" i="22"/>
  <c r="AE32" i="22"/>
  <c r="AE31" i="22"/>
  <c r="AE30" i="22"/>
  <c r="AE29" i="22"/>
  <c r="AE28" i="22"/>
  <c r="AE27" i="22"/>
  <c r="AE26" i="22"/>
  <c r="AE25" i="22"/>
  <c r="AE24" i="22"/>
  <c r="AE23" i="22"/>
  <c r="AE22" i="22"/>
  <c r="AE21" i="22"/>
  <c r="AE20" i="22"/>
  <c r="AE19" i="22"/>
  <c r="AE18" i="22"/>
  <c r="AE17" i="22"/>
  <c r="AE16" i="22"/>
  <c r="AE15" i="22"/>
  <c r="AE14" i="22"/>
  <c r="AE13" i="22"/>
  <c r="AE12" i="22"/>
  <c r="AE11" i="22"/>
  <c r="AE10" i="22"/>
  <c r="AE9" i="22"/>
  <c r="AE8" i="22"/>
  <c r="AE7" i="22"/>
  <c r="AE6" i="22"/>
  <c r="AA246" i="22" l="1"/>
  <c r="Z246" i="22"/>
  <c r="Y246" i="22"/>
  <c r="X246" i="22"/>
  <c r="W246" i="22"/>
  <c r="V246" i="22"/>
  <c r="U246" i="22"/>
  <c r="T246" i="22"/>
  <c r="S246" i="22"/>
  <c r="R246" i="22"/>
  <c r="Q246" i="22"/>
  <c r="P246" i="22"/>
  <c r="O246" i="22"/>
  <c r="N246" i="22"/>
  <c r="M246" i="22"/>
  <c r="L246" i="22"/>
  <c r="K246" i="22"/>
  <c r="J246" i="22"/>
  <c r="I246" i="22"/>
  <c r="H246" i="22"/>
  <c r="G246" i="22"/>
  <c r="F246" i="22"/>
  <c r="E246" i="22"/>
  <c r="D246" i="22"/>
  <c r="AB245" i="22" l="1"/>
  <c r="AB244" i="22"/>
  <c r="AB243" i="22"/>
  <c r="AB242" i="22"/>
  <c r="AB241" i="22"/>
  <c r="AB240" i="22"/>
  <c r="AB239" i="22"/>
  <c r="AB238" i="22"/>
  <c r="AB237" i="22"/>
  <c r="AB236" i="22"/>
  <c r="AB235" i="22"/>
  <c r="AB234" i="22"/>
  <c r="AB233" i="22"/>
  <c r="AB232" i="22"/>
  <c r="AB231" i="22"/>
  <c r="AB230" i="22"/>
  <c r="AB229" i="22"/>
  <c r="AB228" i="22"/>
  <c r="AB227" i="22"/>
  <c r="AB226" i="22"/>
  <c r="AB225" i="22"/>
  <c r="AB224" i="22"/>
  <c r="AB223" i="22"/>
  <c r="AB222" i="22"/>
  <c r="AB221" i="22"/>
  <c r="AB220" i="22"/>
  <c r="AB219" i="22"/>
  <c r="AB218" i="22"/>
  <c r="AB217" i="22"/>
  <c r="AB216" i="22"/>
  <c r="AB215" i="22"/>
  <c r="AB214" i="22"/>
  <c r="AB213" i="22"/>
  <c r="AB212" i="22"/>
  <c r="AB211" i="22"/>
  <c r="AB210" i="22"/>
  <c r="AB209" i="22"/>
  <c r="AB208" i="22"/>
  <c r="AB207" i="22"/>
  <c r="AB206" i="22"/>
  <c r="AB205" i="22"/>
  <c r="AB204" i="22"/>
  <c r="AB203" i="22"/>
  <c r="AB202" i="22"/>
  <c r="AB201" i="22"/>
  <c r="AB200" i="22"/>
  <c r="AB199" i="22"/>
  <c r="AB198" i="22"/>
  <c r="AB197" i="22"/>
  <c r="AB196" i="22"/>
  <c r="AB195" i="22"/>
  <c r="AB194" i="22"/>
  <c r="AB193" i="22"/>
  <c r="AB192" i="22"/>
  <c r="AB191" i="22"/>
  <c r="AB190" i="22"/>
  <c r="AB189" i="22"/>
  <c r="AB188" i="22"/>
  <c r="AB187" i="22"/>
  <c r="AB186" i="22"/>
  <c r="AB185" i="22"/>
  <c r="AB184" i="22"/>
  <c r="AB183" i="22"/>
  <c r="AB182" i="22"/>
  <c r="AB181" i="22"/>
  <c r="AB180" i="22"/>
  <c r="AB179" i="22"/>
  <c r="AB178" i="22"/>
  <c r="AB177" i="22"/>
  <c r="AB176" i="22"/>
  <c r="AB175" i="22"/>
  <c r="AB174" i="22"/>
  <c r="AB173" i="22"/>
  <c r="AB172" i="22"/>
  <c r="AB171" i="22"/>
  <c r="AB170" i="22"/>
  <c r="AB169" i="22"/>
  <c r="AB168" i="22"/>
  <c r="AB167" i="22"/>
  <c r="AB166" i="22"/>
  <c r="AB165" i="22"/>
  <c r="AB164" i="22"/>
  <c r="AB163" i="22"/>
  <c r="AB162" i="22"/>
  <c r="AB161" i="22"/>
  <c r="AB160" i="22"/>
  <c r="AB159" i="22"/>
  <c r="AB158" i="22"/>
  <c r="AB157" i="22"/>
  <c r="AB156" i="22"/>
  <c r="AB155" i="22"/>
  <c r="AB154" i="22"/>
  <c r="AB153" i="22"/>
  <c r="AB152" i="22"/>
  <c r="AB151" i="22"/>
  <c r="AB150" i="22"/>
  <c r="AB149" i="22"/>
  <c r="AB148" i="22"/>
  <c r="AB147" i="22"/>
  <c r="AB146" i="22"/>
  <c r="AB145" i="22"/>
  <c r="AB144" i="22"/>
  <c r="AB143" i="22"/>
  <c r="AB142" i="22"/>
  <c r="AB141" i="22"/>
  <c r="AB140" i="22"/>
  <c r="AB139" i="22"/>
  <c r="AB138" i="22"/>
  <c r="AB137" i="22"/>
  <c r="AB136" i="22"/>
  <c r="AB135" i="22"/>
  <c r="AB134" i="22"/>
  <c r="AB133" i="22"/>
  <c r="AB132" i="22"/>
  <c r="AB131" i="22"/>
  <c r="AB130" i="22"/>
  <c r="AB129" i="22"/>
  <c r="AB128" i="22"/>
  <c r="AB127" i="22"/>
  <c r="AB126" i="22"/>
  <c r="AB125" i="22"/>
  <c r="AB124" i="22"/>
  <c r="AB123" i="22"/>
  <c r="AB122" i="22"/>
  <c r="AB121" i="22"/>
  <c r="AB120" i="22"/>
  <c r="AB119" i="22"/>
  <c r="AB118" i="22"/>
  <c r="AB117" i="22"/>
  <c r="AB116" i="22"/>
  <c r="AB115" i="22"/>
  <c r="AB114" i="22"/>
  <c r="AB113" i="22"/>
  <c r="AB112" i="22"/>
  <c r="AB111" i="22"/>
  <c r="AB110" i="22"/>
  <c r="AB109" i="22"/>
  <c r="AB108" i="22"/>
  <c r="AB107" i="22"/>
  <c r="AB106" i="22"/>
  <c r="AB105" i="22"/>
  <c r="AB104" i="22"/>
  <c r="AB103" i="22"/>
  <c r="AB102" i="22"/>
  <c r="AB101" i="22"/>
  <c r="AB100" i="22"/>
  <c r="AB99" i="22"/>
  <c r="AB98" i="22"/>
  <c r="AB97" i="22"/>
  <c r="AB96" i="22"/>
  <c r="AB95" i="22"/>
  <c r="AB94" i="22"/>
  <c r="AB93" i="22"/>
  <c r="AB92" i="22"/>
  <c r="AB91" i="22"/>
  <c r="AB90" i="22"/>
  <c r="AB89" i="22"/>
  <c r="AB88" i="22"/>
  <c r="AB87" i="22"/>
  <c r="AB86" i="22"/>
  <c r="AD86" i="22" s="1"/>
  <c r="D31" i="23" s="1"/>
  <c r="AB85" i="22"/>
  <c r="AB84" i="22"/>
  <c r="AB83" i="22"/>
  <c r="AB82" i="22"/>
  <c r="AB81" i="22"/>
  <c r="AB80" i="22"/>
  <c r="AB79" i="22"/>
  <c r="AB78" i="22"/>
  <c r="AB77" i="22"/>
  <c r="AB76" i="22"/>
  <c r="AB75" i="22"/>
  <c r="AB74" i="22"/>
  <c r="AB73" i="22"/>
  <c r="AB72" i="22"/>
  <c r="AB71" i="22"/>
  <c r="AB70" i="22"/>
  <c r="AD70" i="22" s="1"/>
  <c r="D27" i="23" s="1"/>
  <c r="AB69" i="22"/>
  <c r="AB68" i="22"/>
  <c r="AB67" i="22"/>
  <c r="AB66" i="22"/>
  <c r="AB65" i="22"/>
  <c r="AB64" i="22"/>
  <c r="AB63" i="22"/>
  <c r="AB62" i="22"/>
  <c r="AD62" i="22" s="1"/>
  <c r="D25" i="23" s="1"/>
  <c r="AB61" i="22"/>
  <c r="AB60" i="22"/>
  <c r="AB59" i="22"/>
  <c r="AB58" i="22"/>
  <c r="AB57" i="22"/>
  <c r="AB56" i="22"/>
  <c r="AB55" i="22"/>
  <c r="AB54" i="22"/>
  <c r="AD54" i="22" s="1"/>
  <c r="D23" i="23" s="1"/>
  <c r="AB53" i="22"/>
  <c r="AB52" i="22"/>
  <c r="AB51" i="22"/>
  <c r="AB50" i="22"/>
  <c r="AB49" i="22"/>
  <c r="AB48" i="22"/>
  <c r="AB47" i="22"/>
  <c r="AB46" i="22"/>
  <c r="AD46" i="22" s="1"/>
  <c r="D21" i="23" s="1"/>
  <c r="AB45" i="22"/>
  <c r="AB44" i="22"/>
  <c r="AB43" i="22"/>
  <c r="AB42" i="22"/>
  <c r="AB41" i="22"/>
  <c r="AB40" i="22"/>
  <c r="AB39" i="22"/>
  <c r="AB38" i="22"/>
  <c r="AD38" i="22" s="1"/>
  <c r="D19" i="23" s="1"/>
  <c r="AB37" i="22"/>
  <c r="AB36" i="22"/>
  <c r="AB35" i="22"/>
  <c r="AB34" i="22"/>
  <c r="AB33" i="22"/>
  <c r="AB32" i="22"/>
  <c r="AB31" i="22"/>
  <c r="AB30" i="22"/>
  <c r="AD30" i="22" s="1"/>
  <c r="D17" i="23" s="1"/>
  <c r="AB29" i="22"/>
  <c r="AB28" i="22"/>
  <c r="AB27" i="22"/>
  <c r="AB26" i="22"/>
  <c r="AB25" i="22"/>
  <c r="AB24" i="22"/>
  <c r="AB23" i="22"/>
  <c r="AD22" i="22"/>
  <c r="D15" i="23" s="1"/>
  <c r="AB22" i="22"/>
  <c r="AB21" i="22"/>
  <c r="AB20" i="22"/>
  <c r="AB19" i="22"/>
  <c r="AB18" i="22"/>
  <c r="AB17" i="22"/>
  <c r="AB16" i="22"/>
  <c r="AB15" i="22"/>
  <c r="AB14" i="22"/>
  <c r="AB13" i="22"/>
  <c r="AB12" i="22"/>
  <c r="AB11" i="22"/>
  <c r="AB10" i="22"/>
  <c r="AB9" i="22"/>
  <c r="AB8" i="22"/>
  <c r="AB7" i="22"/>
  <c r="AB6" i="22"/>
  <c r="F21" i="23" l="1"/>
  <c r="F19" i="23"/>
  <c r="F31" i="23"/>
  <c r="F27" i="23"/>
  <c r="F15" i="23"/>
  <c r="F17" i="23"/>
  <c r="F23" i="23"/>
  <c r="F25" i="23"/>
  <c r="AD26" i="22"/>
  <c r="D16" i="23" s="1"/>
  <c r="AD34" i="22"/>
  <c r="D18" i="23" s="1"/>
  <c r="AD42" i="22"/>
  <c r="D20" i="23" s="1"/>
  <c r="AD50" i="22"/>
  <c r="D22" i="23" s="1"/>
  <c r="AD82" i="22"/>
  <c r="D30" i="23" s="1"/>
  <c r="AD106" i="22"/>
  <c r="D36" i="23" s="1"/>
  <c r="AD114" i="22"/>
  <c r="D38" i="23" s="1"/>
  <c r="AD122" i="22"/>
  <c r="D40" i="23" s="1"/>
  <c r="AD130" i="22"/>
  <c r="D42" i="23" s="1"/>
  <c r="AD138" i="22"/>
  <c r="D44" i="23" s="1"/>
  <c r="AD146" i="22"/>
  <c r="D46" i="23" s="1"/>
  <c r="AD154" i="22"/>
  <c r="D48" i="23" s="1"/>
  <c r="AD162" i="22"/>
  <c r="D50" i="23" s="1"/>
  <c r="AD170" i="22"/>
  <c r="D52" i="23" s="1"/>
  <c r="AD178" i="22"/>
  <c r="D54" i="23" s="1"/>
  <c r="AD186" i="22"/>
  <c r="D56" i="23" s="1"/>
  <c r="AD194" i="22"/>
  <c r="D58" i="23" s="1"/>
  <c r="AD94" i="22"/>
  <c r="D33" i="23" s="1"/>
  <c r="AD214" i="22"/>
  <c r="D63" i="23" s="1"/>
  <c r="AD182" i="22"/>
  <c r="D55" i="23" s="1"/>
  <c r="AD6" i="22"/>
  <c r="AD10" i="22"/>
  <c r="D12" i="23" s="1"/>
  <c r="AD18" i="22"/>
  <c r="D14" i="23" s="1"/>
  <c r="AD150" i="22"/>
  <c r="D47" i="23" s="1"/>
  <c r="AD174" i="22"/>
  <c r="D53" i="23" s="1"/>
  <c r="AD222" i="22"/>
  <c r="D65" i="23" s="1"/>
  <c r="AD230" i="22"/>
  <c r="D67" i="23" s="1"/>
  <c r="AD202" i="22"/>
  <c r="D60" i="23" s="1"/>
  <c r="AD210" i="22"/>
  <c r="D62" i="23" s="1"/>
  <c r="AD226" i="22"/>
  <c r="D66" i="23" s="1"/>
  <c r="AD242" i="22"/>
  <c r="D70" i="23" s="1"/>
  <c r="AD218" i="22"/>
  <c r="D64" i="23" s="1"/>
  <c r="AD234" i="22"/>
  <c r="D68" i="23" s="1"/>
  <c r="AD238" i="22"/>
  <c r="D69" i="23" s="1"/>
  <c r="AD206" i="22"/>
  <c r="D61" i="23" s="1"/>
  <c r="AD198" i="22"/>
  <c r="D59" i="23" s="1"/>
  <c r="AD158" i="22"/>
  <c r="D49" i="23" s="1"/>
  <c r="AD166" i="22"/>
  <c r="D51" i="23" s="1"/>
  <c r="AD190" i="22"/>
  <c r="D57" i="23" s="1"/>
  <c r="AD118" i="22"/>
  <c r="D39" i="23" s="1"/>
  <c r="AD102" i="22"/>
  <c r="D35" i="23" s="1"/>
  <c r="AD110" i="22"/>
  <c r="D37" i="23" s="1"/>
  <c r="AD126" i="22"/>
  <c r="D41" i="23" s="1"/>
  <c r="AD134" i="22"/>
  <c r="D43" i="23" s="1"/>
  <c r="AD142" i="22"/>
  <c r="D45" i="23" s="1"/>
  <c r="AD78" i="22"/>
  <c r="D29" i="23" s="1"/>
  <c r="AD58" i="22"/>
  <c r="D24" i="23" s="1"/>
  <c r="AD66" i="22"/>
  <c r="D26" i="23" s="1"/>
  <c r="AD74" i="22"/>
  <c r="D28" i="23" s="1"/>
  <c r="AD90" i="22"/>
  <c r="D32" i="23" s="1"/>
  <c r="AD98" i="22"/>
  <c r="D34" i="23" s="1"/>
  <c r="AD14" i="22"/>
  <c r="D13" i="23" s="1"/>
  <c r="F60" i="23" l="1"/>
  <c r="F65" i="23"/>
  <c r="F53" i="23"/>
  <c r="F33" i="23"/>
  <c r="F50" i="23"/>
  <c r="F36" i="23"/>
  <c r="F26" i="23"/>
  <c r="F45" i="23"/>
  <c r="F16" i="23"/>
  <c r="F12" i="23"/>
  <c r="F41" i="23"/>
  <c r="F37" i="23"/>
  <c r="F61" i="23"/>
  <c r="F48" i="23"/>
  <c r="F68" i="23"/>
  <c r="F70" i="23"/>
  <c r="F32" i="23"/>
  <c r="F67" i="23"/>
  <c r="F30" i="23"/>
  <c r="F24" i="23"/>
  <c r="F20" i="23"/>
  <c r="F18" i="23"/>
  <c r="F39" i="23"/>
  <c r="F57" i="23"/>
  <c r="F51" i="23"/>
  <c r="F49" i="23"/>
  <c r="F52" i="23"/>
  <c r="F69" i="23"/>
  <c r="F64" i="23"/>
  <c r="F44" i="23"/>
  <c r="F42" i="23"/>
  <c r="F13" i="23"/>
  <c r="F66" i="23"/>
  <c r="F40" i="23"/>
  <c r="F28" i="23"/>
  <c r="F22" i="23"/>
  <c r="F29" i="23"/>
  <c r="F14" i="23"/>
  <c r="F43" i="23"/>
  <c r="F55" i="23"/>
  <c r="F63" i="23"/>
  <c r="F58" i="23"/>
  <c r="F56" i="23"/>
  <c r="F54" i="23"/>
  <c r="F46" i="23"/>
  <c r="F34" i="23"/>
  <c r="F62" i="23"/>
  <c r="F38" i="23"/>
  <c r="D11" i="23"/>
  <c r="AD246" i="22"/>
  <c r="F59" i="23"/>
  <c r="H70" i="23"/>
  <c r="H34" i="23"/>
  <c r="H46" i="23"/>
  <c r="F35" i="23"/>
  <c r="F47" i="23"/>
  <c r="H58" i="23"/>
  <c r="AB245" i="18"/>
  <c r="AB244" i="18"/>
  <c r="AB243" i="18"/>
  <c r="AB242" i="18"/>
  <c r="AD242" i="18" s="1"/>
  <c r="AE65" i="18" s="1"/>
  <c r="D70" i="21" s="1"/>
  <c r="F70" i="21" s="1"/>
  <c r="AB241" i="18"/>
  <c r="AB240" i="18"/>
  <c r="AB239" i="18"/>
  <c r="AB238" i="18"/>
  <c r="AB237" i="18"/>
  <c r="AB236" i="18"/>
  <c r="AB235" i="18"/>
  <c r="AB234" i="18"/>
  <c r="AD234" i="18" s="1"/>
  <c r="AE63" i="18" s="1"/>
  <c r="D68" i="21" s="1"/>
  <c r="F68" i="21" s="1"/>
  <c r="AB233" i="18"/>
  <c r="AB232" i="18"/>
  <c r="AB231" i="18"/>
  <c r="AB230" i="18"/>
  <c r="AB229" i="18"/>
  <c r="AB228" i="18"/>
  <c r="AB227" i="18"/>
  <c r="AD226" i="18"/>
  <c r="AE61" i="18" s="1"/>
  <c r="D66" i="21" s="1"/>
  <c r="F66" i="21" s="1"/>
  <c r="AB226" i="18"/>
  <c r="AB225" i="18"/>
  <c r="AB224" i="18"/>
  <c r="AB223" i="18"/>
  <c r="AB222" i="18"/>
  <c r="AB221" i="18"/>
  <c r="AB220" i="18"/>
  <c r="AB219" i="18"/>
  <c r="AB218" i="18"/>
  <c r="AB217" i="18"/>
  <c r="AB216" i="18"/>
  <c r="AB215" i="18"/>
  <c r="AB214" i="18"/>
  <c r="AB213" i="18"/>
  <c r="AB212" i="18"/>
  <c r="AB211" i="18"/>
  <c r="AB210" i="18"/>
  <c r="AB209" i="18"/>
  <c r="AB208" i="18"/>
  <c r="AB207" i="18"/>
  <c r="AB206" i="18"/>
  <c r="AB205" i="18"/>
  <c r="AB204" i="18"/>
  <c r="AB203" i="18"/>
  <c r="AB202" i="18"/>
  <c r="AB201" i="18"/>
  <c r="AB200" i="18"/>
  <c r="AB199" i="18"/>
  <c r="AB198" i="18"/>
  <c r="AB197" i="18"/>
  <c r="AB196" i="18"/>
  <c r="AB195" i="18"/>
  <c r="AB194" i="18"/>
  <c r="AD194" i="18" s="1"/>
  <c r="AE53" i="18" s="1"/>
  <c r="D58" i="21" s="1"/>
  <c r="F58" i="21" s="1"/>
  <c r="AB193" i="18"/>
  <c r="AB192" i="18"/>
  <c r="AB191" i="18"/>
  <c r="AB190" i="18"/>
  <c r="AB189" i="18"/>
  <c r="AB188" i="18"/>
  <c r="AB187" i="18"/>
  <c r="AB186" i="18"/>
  <c r="AD186" i="18" s="1"/>
  <c r="AE51" i="18" s="1"/>
  <c r="D56" i="21" s="1"/>
  <c r="F56" i="21" s="1"/>
  <c r="AB185" i="18"/>
  <c r="AB184" i="18"/>
  <c r="AB183" i="18"/>
  <c r="AB182" i="18"/>
  <c r="AB181" i="18"/>
  <c r="AB180" i="18"/>
  <c r="AB179" i="18"/>
  <c r="AB178" i="18"/>
  <c r="AD178" i="18" s="1"/>
  <c r="AE49" i="18" s="1"/>
  <c r="D54" i="21" s="1"/>
  <c r="F54" i="21" s="1"/>
  <c r="AB177" i="18"/>
  <c r="AB176" i="18"/>
  <c r="AB175" i="18"/>
  <c r="AB174" i="18"/>
  <c r="AB173" i="18"/>
  <c r="AB172" i="18"/>
  <c r="AB171" i="18"/>
  <c r="AB170" i="18"/>
  <c r="AD170" i="18" s="1"/>
  <c r="AE47" i="18" s="1"/>
  <c r="D52" i="21" s="1"/>
  <c r="F52" i="21" s="1"/>
  <c r="AB169" i="18"/>
  <c r="AB168" i="18"/>
  <c r="AB167" i="18"/>
  <c r="AB166" i="18"/>
  <c r="AB165" i="18"/>
  <c r="AB164" i="18"/>
  <c r="AB163" i="18"/>
  <c r="AB162" i="18"/>
  <c r="AD162" i="18" s="1"/>
  <c r="AE45" i="18" s="1"/>
  <c r="D50" i="21" s="1"/>
  <c r="F50" i="21" s="1"/>
  <c r="AB161" i="18"/>
  <c r="AB160" i="18"/>
  <c r="AB159" i="18"/>
  <c r="AB158" i="18"/>
  <c r="AB157" i="18"/>
  <c r="AB156" i="18"/>
  <c r="AB155" i="18"/>
  <c r="AB154" i="18"/>
  <c r="AD154" i="18" s="1"/>
  <c r="AE43" i="18" s="1"/>
  <c r="D48" i="21" s="1"/>
  <c r="F48" i="21" s="1"/>
  <c r="AB153" i="18"/>
  <c r="AB152" i="18"/>
  <c r="AB151" i="18"/>
  <c r="AB150" i="18"/>
  <c r="AB149" i="18"/>
  <c r="AB148" i="18"/>
  <c r="AB147" i="18"/>
  <c r="AB146" i="18"/>
  <c r="AD146" i="18" s="1"/>
  <c r="AE41" i="18" s="1"/>
  <c r="D46" i="21" s="1"/>
  <c r="F46" i="21" s="1"/>
  <c r="AB145" i="18"/>
  <c r="AB144" i="18"/>
  <c r="AB143" i="18"/>
  <c r="AB142" i="18"/>
  <c r="AB141" i="18"/>
  <c r="AB140" i="18"/>
  <c r="AB139" i="18"/>
  <c r="AB138" i="18"/>
  <c r="AD138" i="18" s="1"/>
  <c r="AE39" i="18" s="1"/>
  <c r="D44" i="21" s="1"/>
  <c r="F44" i="21" s="1"/>
  <c r="AB137" i="18"/>
  <c r="AB136" i="18"/>
  <c r="AB135" i="18"/>
  <c r="AB134" i="18"/>
  <c r="AB133" i="18"/>
  <c r="AB132" i="18"/>
  <c r="AB131" i="18"/>
  <c r="AB130" i="18"/>
  <c r="AB129" i="18"/>
  <c r="AB128" i="18"/>
  <c r="AB127" i="18"/>
  <c r="AB126" i="18"/>
  <c r="AB125" i="18"/>
  <c r="AB124" i="18"/>
  <c r="AB123" i="18"/>
  <c r="AB122" i="18"/>
  <c r="AB121" i="18"/>
  <c r="AB120" i="18"/>
  <c r="AB119" i="18"/>
  <c r="AB118" i="18"/>
  <c r="AB117" i="18"/>
  <c r="AB116" i="18"/>
  <c r="AB115" i="18"/>
  <c r="AB114" i="18"/>
  <c r="AB113" i="18"/>
  <c r="AB112" i="18"/>
  <c r="AB111" i="18"/>
  <c r="AB110" i="18"/>
  <c r="AB109" i="18"/>
  <c r="AB108" i="18"/>
  <c r="AB107" i="18"/>
  <c r="AB106" i="18"/>
  <c r="AD106" i="18" s="1"/>
  <c r="AE31" i="18" s="1"/>
  <c r="D36" i="21" s="1"/>
  <c r="F36" i="21" s="1"/>
  <c r="AB105" i="18"/>
  <c r="AB104" i="18"/>
  <c r="AB103" i="18"/>
  <c r="AB102" i="18"/>
  <c r="AB101" i="18"/>
  <c r="AB100" i="18"/>
  <c r="AB99" i="18"/>
  <c r="AB98" i="18"/>
  <c r="AD98" i="18" s="1"/>
  <c r="AE29" i="18" s="1"/>
  <c r="D34" i="21" s="1"/>
  <c r="F34" i="21" s="1"/>
  <c r="AB97" i="18"/>
  <c r="AB96" i="18"/>
  <c r="AB95" i="18"/>
  <c r="AB94" i="18"/>
  <c r="AB93" i="18"/>
  <c r="AB92" i="18"/>
  <c r="AB91" i="18"/>
  <c r="AB90" i="18"/>
  <c r="AD90" i="18" s="1"/>
  <c r="AE27" i="18" s="1"/>
  <c r="D32" i="21" s="1"/>
  <c r="F32" i="21" s="1"/>
  <c r="AB89" i="18"/>
  <c r="AB88" i="18"/>
  <c r="AB87" i="18"/>
  <c r="AB86" i="18"/>
  <c r="AB85" i="18"/>
  <c r="AB84" i="18"/>
  <c r="AB83" i="18"/>
  <c r="AB82" i="18"/>
  <c r="AD82" i="18" s="1"/>
  <c r="AE25" i="18" s="1"/>
  <c r="D30" i="21" s="1"/>
  <c r="F30" i="21" s="1"/>
  <c r="AB81" i="18"/>
  <c r="AB80" i="18"/>
  <c r="AB79" i="18"/>
  <c r="AB78" i="18"/>
  <c r="AB77" i="18"/>
  <c r="AB76" i="18"/>
  <c r="AB75" i="18"/>
  <c r="AB74" i="18"/>
  <c r="AD74" i="18" s="1"/>
  <c r="AE23" i="18" s="1"/>
  <c r="D28" i="21" s="1"/>
  <c r="F28" i="21" s="1"/>
  <c r="AB73" i="18"/>
  <c r="AB72" i="18"/>
  <c r="AB71" i="18"/>
  <c r="AB70" i="18"/>
  <c r="AB69" i="18"/>
  <c r="AB68" i="18"/>
  <c r="AB67" i="18"/>
  <c r="AB66" i="18"/>
  <c r="AD66" i="18" s="1"/>
  <c r="AE21" i="18" s="1"/>
  <c r="D26" i="21" s="1"/>
  <c r="F26" i="21" s="1"/>
  <c r="AB65" i="18"/>
  <c r="AB64" i="18"/>
  <c r="AB63" i="18"/>
  <c r="AB62" i="18"/>
  <c r="AB61" i="18"/>
  <c r="AB60" i="18"/>
  <c r="AB59" i="18"/>
  <c r="AB58" i="18"/>
  <c r="AD58" i="18" s="1"/>
  <c r="AE19" i="18" s="1"/>
  <c r="D24" i="21" s="1"/>
  <c r="F24" i="21" s="1"/>
  <c r="AB57" i="18"/>
  <c r="AB56" i="18"/>
  <c r="AB55" i="18"/>
  <c r="AB54" i="18"/>
  <c r="AB53" i="18"/>
  <c r="AB52" i="18"/>
  <c r="AB51" i="18"/>
  <c r="AB50" i="18"/>
  <c r="AB49" i="18"/>
  <c r="AB48" i="18"/>
  <c r="AB47" i="18"/>
  <c r="AB46" i="18"/>
  <c r="AB45" i="18"/>
  <c r="AB44" i="18"/>
  <c r="AB43" i="18"/>
  <c r="AB42" i="18"/>
  <c r="AB41" i="18"/>
  <c r="AB40" i="18"/>
  <c r="AB39" i="18"/>
  <c r="AB38" i="18"/>
  <c r="AB37" i="18"/>
  <c r="AB36" i="18"/>
  <c r="AB35" i="18"/>
  <c r="AB34" i="18"/>
  <c r="AB33" i="18"/>
  <c r="AB32" i="18"/>
  <c r="AB31" i="18"/>
  <c r="AB30" i="18"/>
  <c r="AB29" i="18"/>
  <c r="AB28" i="18"/>
  <c r="AB27" i="18"/>
  <c r="AB26" i="18"/>
  <c r="AB25" i="18"/>
  <c r="AB24" i="18"/>
  <c r="AB23" i="18"/>
  <c r="AB22" i="18"/>
  <c r="AB21" i="18"/>
  <c r="AB20" i="18"/>
  <c r="AB19" i="18"/>
  <c r="AB18" i="18"/>
  <c r="AB17" i="18"/>
  <c r="AB16" i="18"/>
  <c r="AB15" i="18"/>
  <c r="AB14" i="18"/>
  <c r="AB13" i="18"/>
  <c r="AB12" i="18"/>
  <c r="AB11" i="18"/>
  <c r="AB10" i="18"/>
  <c r="AB9" i="18"/>
  <c r="AB8" i="18"/>
  <c r="AB7" i="18"/>
  <c r="AB6" i="18"/>
  <c r="D71" i="23" l="1"/>
  <c r="H22" i="23"/>
  <c r="F11" i="23"/>
  <c r="AD202" i="18"/>
  <c r="AE55" i="18" s="1"/>
  <c r="D60" i="21" s="1"/>
  <c r="F60" i="21" s="1"/>
  <c r="AD230" i="18"/>
  <c r="AE62" i="18" s="1"/>
  <c r="D67" i="21" s="1"/>
  <c r="F67" i="21" s="1"/>
  <c r="AD210" i="18"/>
  <c r="AE57" i="18" s="1"/>
  <c r="D62" i="21" s="1"/>
  <c r="F62" i="21" s="1"/>
  <c r="AD218" i="18"/>
  <c r="AE59" i="18" s="1"/>
  <c r="D64" i="21" s="1"/>
  <c r="F64" i="21" s="1"/>
  <c r="AD238" i="18"/>
  <c r="AE64" i="18" s="1"/>
  <c r="D69" i="21" s="1"/>
  <c r="F69" i="21" s="1"/>
  <c r="AD198" i="18"/>
  <c r="AE54" i="18" s="1"/>
  <c r="D59" i="21" s="1"/>
  <c r="AD206" i="18"/>
  <c r="AE56" i="18" s="1"/>
  <c r="D61" i="21" s="1"/>
  <c r="F61" i="21" s="1"/>
  <c r="AD214" i="18"/>
  <c r="AE58" i="18" s="1"/>
  <c r="D63" i="21" s="1"/>
  <c r="F63" i="21" s="1"/>
  <c r="AD222" i="18"/>
  <c r="AE60" i="18" s="1"/>
  <c r="D65" i="21" s="1"/>
  <c r="F65" i="21" s="1"/>
  <c r="AD182" i="18"/>
  <c r="AE50" i="18" s="1"/>
  <c r="D55" i="21" s="1"/>
  <c r="F55" i="21" s="1"/>
  <c r="AD190" i="18"/>
  <c r="AE52" i="18" s="1"/>
  <c r="D57" i="21" s="1"/>
  <c r="F57" i="21" s="1"/>
  <c r="AD142" i="18"/>
  <c r="AE40" i="18" s="1"/>
  <c r="D45" i="21" s="1"/>
  <c r="F45" i="21" s="1"/>
  <c r="AD150" i="18"/>
  <c r="AE42" i="18" s="1"/>
  <c r="D47" i="21" s="1"/>
  <c r="AD158" i="18"/>
  <c r="AE44" i="18" s="1"/>
  <c r="D49" i="21" s="1"/>
  <c r="F49" i="21" s="1"/>
  <c r="AD166" i="18"/>
  <c r="AE46" i="18" s="1"/>
  <c r="D51" i="21" s="1"/>
  <c r="F51" i="21" s="1"/>
  <c r="AD174" i="18"/>
  <c r="AE48" i="18" s="1"/>
  <c r="D53" i="21" s="1"/>
  <c r="F53" i="21" s="1"/>
  <c r="AD114" i="18"/>
  <c r="AE33" i="18" s="1"/>
  <c r="D38" i="21" s="1"/>
  <c r="F38" i="21" s="1"/>
  <c r="AD122" i="18"/>
  <c r="AE35" i="18" s="1"/>
  <c r="D40" i="21" s="1"/>
  <c r="F40" i="21" s="1"/>
  <c r="AD130" i="18"/>
  <c r="AE37" i="18" s="1"/>
  <c r="D42" i="21" s="1"/>
  <c r="F42" i="21" s="1"/>
  <c r="AD86" i="18"/>
  <c r="AE26" i="18" s="1"/>
  <c r="D31" i="21" s="1"/>
  <c r="F31" i="21" s="1"/>
  <c r="AD94" i="18"/>
  <c r="AE28" i="18" s="1"/>
  <c r="D33" i="21" s="1"/>
  <c r="F33" i="21" s="1"/>
  <c r="AD102" i="18"/>
  <c r="AE30" i="18" s="1"/>
  <c r="D35" i="21" s="1"/>
  <c r="AD110" i="18"/>
  <c r="AE32" i="18" s="1"/>
  <c r="D37" i="21" s="1"/>
  <c r="F37" i="21" s="1"/>
  <c r="AD118" i="18"/>
  <c r="AE34" i="18" s="1"/>
  <c r="D39" i="21" s="1"/>
  <c r="F39" i="21" s="1"/>
  <c r="AD126" i="18"/>
  <c r="AE36" i="18" s="1"/>
  <c r="D41" i="21" s="1"/>
  <c r="F41" i="21" s="1"/>
  <c r="AD134" i="18"/>
  <c r="AE38" i="18" s="1"/>
  <c r="D43" i="21" s="1"/>
  <c r="F43" i="21" s="1"/>
  <c r="AD54" i="18"/>
  <c r="AE18" i="18" s="1"/>
  <c r="D23" i="21" s="1"/>
  <c r="AD62" i="18"/>
  <c r="AE20" i="18" s="1"/>
  <c r="D25" i="21" s="1"/>
  <c r="F25" i="21" s="1"/>
  <c r="AD70" i="18"/>
  <c r="AE22" i="18" s="1"/>
  <c r="D27" i="21" s="1"/>
  <c r="F27" i="21" s="1"/>
  <c r="AD78" i="18"/>
  <c r="AE24" i="18" s="1"/>
  <c r="D29" i="21" s="1"/>
  <c r="F29" i="21" s="1"/>
  <c r="AD38" i="18"/>
  <c r="AE14" i="18" s="1"/>
  <c r="AD34" i="18"/>
  <c r="AE13" i="18" s="1"/>
  <c r="AD6" i="18"/>
  <c r="AD30" i="18"/>
  <c r="AE12" i="18" s="1"/>
  <c r="AD14" i="18"/>
  <c r="AE8" i="18" s="1"/>
  <c r="AD22" i="18"/>
  <c r="AE10" i="18" s="1"/>
  <c r="AD46" i="18"/>
  <c r="AE16" i="18" s="1"/>
  <c r="AD10" i="18"/>
  <c r="AE7" i="18" s="1"/>
  <c r="AD18" i="18"/>
  <c r="AE9" i="18" s="1"/>
  <c r="AD26" i="18"/>
  <c r="AE11" i="18" s="1"/>
  <c r="AD42" i="18"/>
  <c r="AE15" i="18" s="1"/>
  <c r="AD50" i="18"/>
  <c r="AE17" i="18" s="1"/>
  <c r="H70" i="21" l="1"/>
  <c r="F59" i="21"/>
  <c r="H58" i="21"/>
  <c r="F47" i="21"/>
  <c r="H46" i="21"/>
  <c r="F35" i="21"/>
  <c r="F23" i="21"/>
  <c r="H34" i="21"/>
  <c r="AE6" i="18"/>
  <c r="AD246" i="18"/>
  <c r="D21" i="21"/>
  <c r="D12" i="21"/>
  <c r="D15" i="21"/>
  <c r="D13" i="21"/>
  <c r="D22" i="21"/>
  <c r="D17" i="21"/>
  <c r="D11" i="21"/>
  <c r="D16" i="21"/>
  <c r="D18" i="21"/>
  <c r="D20" i="21"/>
  <c r="D14" i="21"/>
  <c r="D19" i="21"/>
  <c r="D71" i="21" l="1"/>
  <c r="F22" i="21"/>
  <c r="F16" i="21"/>
  <c r="F17" i="21"/>
  <c r="F13" i="21"/>
  <c r="F15" i="21"/>
  <c r="F19" i="21"/>
  <c r="F20" i="21"/>
  <c r="F12" i="21"/>
  <c r="F14" i="21"/>
  <c r="F18" i="21"/>
  <c r="F21" i="21"/>
  <c r="H22" i="21"/>
  <c r="F11" i="21"/>
</calcChain>
</file>

<file path=xl/sharedStrings.xml><?xml version="1.0" encoding="utf-8"?>
<sst xmlns="http://schemas.openxmlformats.org/spreadsheetml/2006/main" count="648" uniqueCount="43">
  <si>
    <t>ANEXO 1 - CANTIDADES DE  ENERGÍA SOLICITADA EN kWh</t>
  </si>
  <si>
    <t>DIA</t>
  </si>
  <si>
    <t>Total</t>
  </si>
  <si>
    <t>No. DÍAS</t>
  </si>
  <si>
    <t>domingo</t>
  </si>
  <si>
    <t>Hábil</t>
  </si>
  <si>
    <t>Sábado</t>
  </si>
  <si>
    <t>Domingo</t>
  </si>
  <si>
    <t>Festivo</t>
  </si>
  <si>
    <t>NOMBRE DEL OFERENTE</t>
  </si>
  <si>
    <t xml:space="preserve"> PRECIOS Y CANTIDADES DE ENERGIA OFERTADA</t>
  </si>
  <si>
    <t>PRODUCTO  1</t>
  </si>
  <si>
    <t>AÑO</t>
  </si>
  <si>
    <t>MES</t>
  </si>
  <si>
    <t>E. Solicitada
[kWh]</t>
  </si>
  <si>
    <t>% E. Ofertado</t>
  </si>
  <si>
    <t>E. Ofertada
[kWh]</t>
  </si>
  <si>
    <t>$/kWh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</si>
  <si>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</si>
  <si>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</si>
  <si>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</si>
  <si>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</si>
  <si>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</si>
  <si>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</si>
  <si>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</si>
  <si>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</si>
  <si>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</si>
  <si>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</si>
  <si>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</si>
  <si>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</si>
  <si>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E. Solicitada = Energía solicitada por RUITOQUE para el producto.</t>
  </si>
  <si>
    <t>% E. Ofertado = Porcentaje de energía ofertado por el agente respecto a la E. Solicitada.</t>
  </si>
  <si>
    <t>E. Ofertada = Energía ofertada por el agente, producto de la E. Solicitada y el % E. Ofertado.</t>
  </si>
  <si>
    <t>$/kWh = Tarifa de la oferta para todas las horas del mes.</t>
  </si>
  <si>
    <t>PRODUCTO 1</t>
  </si>
  <si>
    <t>Total Producto 1</t>
  </si>
  <si>
    <t>ANEXO 2 - OFERTA PRODUCTO 1</t>
  </si>
  <si>
    <t>PERIODO  01 DE ENERO DEL 2026 A DICIEMBRE 31 DE 2030</t>
  </si>
  <si>
    <t>EN PESOS DE MARZO 2025</t>
  </si>
  <si>
    <t>PERIODO 2026 - 2030</t>
  </si>
  <si>
    <t>ANEXO 2 - OFERTA PRODUCTO 2</t>
  </si>
  <si>
    <t>PRODUCTO  2</t>
  </si>
  <si>
    <t>PRODUCTO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</si>
</sst>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8"/>
      <color indexed="9"/>
      <name val="Arial"/>
      <family val="2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2"/>
      <color theme="1"/>
      <name val="Arial"/>
      <family val="2"/>
    </font>
    <font>
      <b/>
      <sz val="10"/>
      <name val="DIN-Regular"/>
      <family val="2"/>
    </font>
    <font>
      <b/>
      <sz val="10"/>
      <color theme="0"/>
      <name val="DIN-Regular"/>
    </font>
    <font>
      <sz val="10"/>
      <name val="DIN-Regular"/>
      <family val="2"/>
    </font>
    <font>
      <b/>
      <sz val="10"/>
      <color theme="1"/>
      <name val="DIN-Regular"/>
    </font>
    <font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1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0" fontId="1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0">
    <xf numFmtId="0" fontId="0" fillId="0" borderId="0" xfId="0"/>
    <xf numFmtId="17" fontId="5" fillId="0" borderId="1" xfId="0" applyNumberFormat="1" applyFont="1" applyBorder="1" applyAlignment="1">
      <alignment horizontal="center" vertical="center"/>
    </xf>
    <xf numFmtId="41" fontId="0" fillId="0" borderId="1" xfId="1" applyFont="1" applyBorder="1"/>
    <xf numFmtId="3" fontId="7" fillId="0" borderId="1" xfId="0" applyNumberFormat="1" applyFont="1" applyBorder="1" applyAlignment="1">
      <alignment horizontal="center" vertical="center"/>
    </xf>
    <xf numFmtId="0" fontId="8" fillId="0" borderId="0" xfId="0" applyFont="1"/>
    <xf numFmtId="3" fontId="7" fillId="0" borderId="4" xfId="0" applyNumberFormat="1" applyFont="1" applyBorder="1" applyAlignment="1">
      <alignment horizontal="center" vertical="center"/>
    </xf>
    <xf numFmtId="3" fontId="7" fillId="0" borderId="11" xfId="0" applyNumberFormat="1" applyFont="1" applyBorder="1" applyAlignment="1">
      <alignment horizontal="center" vertical="center"/>
    </xf>
    <xf numFmtId="41" fontId="0" fillId="0" borderId="4" xfId="1" applyFont="1" applyBorder="1"/>
    <xf numFmtId="17" fontId="5" fillId="0" borderId="4" xfId="0" applyNumberFormat="1" applyFont="1" applyBorder="1" applyAlignment="1">
      <alignment horizontal="center" vertical="center"/>
    </xf>
    <xf numFmtId="17" fontId="5" fillId="0" borderId="11" xfId="0" applyNumberFormat="1" applyFont="1" applyBorder="1" applyAlignment="1">
      <alignment horizontal="center" vertical="center"/>
    </xf>
    <xf numFmtId="41" fontId="0" fillId="0" borderId="11" xfId="1" applyFont="1" applyBorder="1"/>
    <xf numFmtId="41" fontId="0" fillId="0" borderId="3" xfId="1" applyFont="1" applyBorder="1"/>
    <xf numFmtId="41" fontId="0" fillId="0" borderId="7" xfId="1" applyFont="1" applyBorder="1"/>
    <xf numFmtId="41" fontId="0" fillId="0" borderId="10" xfId="1" applyFont="1" applyBorder="1"/>
    <xf numFmtId="3" fontId="5" fillId="6" borderId="14" xfId="0" applyNumberFormat="1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3" fontId="2" fillId="0" borderId="13" xfId="0" applyNumberFormat="1" applyFont="1" applyBorder="1"/>
    <xf numFmtId="0" fontId="0" fillId="8" borderId="0" xfId="0" applyFill="1"/>
    <xf numFmtId="0" fontId="12" fillId="0" borderId="24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41" fontId="14" fillId="0" borderId="32" xfId="1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41" fontId="14" fillId="0" borderId="35" xfId="1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41" fontId="14" fillId="0" borderId="37" xfId="1" applyFont="1" applyBorder="1" applyAlignment="1">
      <alignment horizontal="center" vertical="center"/>
    </xf>
    <xf numFmtId="41" fontId="2" fillId="0" borderId="28" xfId="1" applyFont="1" applyBorder="1"/>
    <xf numFmtId="4" fontId="4" fillId="2" borderId="14" xfId="0" applyNumberFormat="1" applyFont="1" applyFill="1" applyBorder="1" applyAlignment="1">
      <alignment horizontal="center" vertical="center"/>
    </xf>
    <xf numFmtId="4" fontId="5" fillId="2" borderId="15" xfId="0" applyNumberFormat="1" applyFont="1" applyFill="1" applyBorder="1" applyAlignment="1">
      <alignment horizontal="center" vertical="center"/>
    </xf>
    <xf numFmtId="3" fontId="5" fillId="3" borderId="15" xfId="0" applyNumberFormat="1" applyFont="1" applyFill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 vertical="center"/>
    </xf>
    <xf numFmtId="3" fontId="6" fillId="5" borderId="15" xfId="0" applyNumberFormat="1" applyFont="1" applyFill="1" applyBorder="1" applyAlignment="1">
      <alignment horizontal="center" vertical="center"/>
    </xf>
    <xf numFmtId="3" fontId="5" fillId="3" borderId="38" xfId="0" applyNumberFormat="1" applyFont="1" applyFill="1" applyBorder="1" applyAlignment="1">
      <alignment horizontal="center" vertical="center"/>
    </xf>
    <xf numFmtId="164" fontId="0" fillId="8" borderId="0" xfId="9" applyNumberFormat="1" applyFont="1" applyFill="1"/>
    <xf numFmtId="3" fontId="0" fillId="0" borderId="0" xfId="0" applyNumberFormat="1"/>
    <xf numFmtId="41" fontId="0" fillId="0" borderId="0" xfId="0" applyNumberFormat="1"/>
    <xf numFmtId="0" fontId="16" fillId="0" borderId="0" xfId="0" applyFont="1"/>
    <xf numFmtId="3" fontId="16" fillId="0" borderId="0" xfId="0" applyNumberFormat="1" applyFont="1"/>
    <xf numFmtId="17" fontId="4" fillId="0" borderId="2" xfId="0" applyNumberFormat="1" applyFont="1" applyBorder="1" applyAlignment="1">
      <alignment horizontal="center" vertical="center" wrapText="1"/>
    </xf>
    <xf numFmtId="17" fontId="4" fillId="0" borderId="6" xfId="0" applyNumberFormat="1" applyFont="1" applyBorder="1" applyAlignment="1">
      <alignment horizontal="center" vertical="center" wrapText="1"/>
    </xf>
    <xf numFmtId="17" fontId="4" fillId="0" borderId="9" xfId="0" applyNumberFormat="1" applyFont="1" applyBorder="1" applyAlignment="1">
      <alignment horizontal="center" vertical="center" wrapText="1"/>
    </xf>
    <xf numFmtId="3" fontId="5" fillId="7" borderId="5" xfId="0" applyNumberFormat="1" applyFont="1" applyFill="1" applyBorder="1" applyAlignment="1">
      <alignment horizontal="center" vertical="center"/>
    </xf>
    <xf numFmtId="3" fontId="5" fillId="7" borderId="8" xfId="0" applyNumberFormat="1" applyFont="1" applyFill="1" applyBorder="1" applyAlignment="1">
      <alignment horizontal="center" vertical="center"/>
    </xf>
    <xf numFmtId="3" fontId="5" fillId="7" borderId="1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17" fontId="12" fillId="0" borderId="21" xfId="0" applyNumberFormat="1" applyFont="1" applyBorder="1" applyAlignment="1">
      <alignment horizontal="center" vertical="center"/>
    </xf>
    <xf numFmtId="17" fontId="12" fillId="0" borderId="22" xfId="0" applyNumberFormat="1" applyFont="1" applyBorder="1" applyAlignment="1">
      <alignment horizontal="center" vertical="center"/>
    </xf>
    <xf numFmtId="0" fontId="12" fillId="0" borderId="1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9" borderId="19" xfId="0" applyFont="1" applyFill="1" applyBorder="1" applyAlignment="1">
      <alignment horizontal="center"/>
    </xf>
    <xf numFmtId="0" fontId="12" fillId="9" borderId="0" xfId="0" applyFont="1" applyFill="1" applyAlignment="1">
      <alignment horizontal="center"/>
    </xf>
    <xf numFmtId="0" fontId="12" fillId="9" borderId="20" xfId="0" applyFont="1" applyFill="1" applyBorder="1" applyAlignment="1">
      <alignment horizontal="center"/>
    </xf>
    <xf numFmtId="0" fontId="12" fillId="8" borderId="19" xfId="0" applyFont="1" applyFill="1" applyBorder="1" applyAlignment="1">
      <alignment horizontal="center"/>
    </xf>
    <xf numFmtId="0" fontId="12" fillId="8" borderId="0" xfId="0" applyFont="1" applyFill="1" applyAlignment="1">
      <alignment horizontal="center"/>
    </xf>
    <xf numFmtId="0" fontId="12" fillId="8" borderId="20" xfId="0" applyFont="1" applyFill="1" applyBorder="1" applyAlignment="1">
      <alignment horizontal="center"/>
    </xf>
    <xf numFmtId="0" fontId="12" fillId="8" borderId="21" xfId="0" applyFont="1" applyFill="1" applyBorder="1" applyAlignment="1">
      <alignment horizontal="center"/>
    </xf>
    <xf numFmtId="0" fontId="12" fillId="8" borderId="22" xfId="0" applyFont="1" applyFill="1" applyBorder="1" applyAlignment="1">
      <alignment horizontal="center"/>
    </xf>
    <xf numFmtId="0" fontId="12" fillId="8" borderId="23" xfId="0" applyFont="1" applyFill="1" applyBorder="1" applyAlignment="1">
      <alignment horizontal="center"/>
    </xf>
    <xf numFmtId="0" fontId="13" fillId="11" borderId="24" xfId="0" applyFont="1" applyFill="1" applyBorder="1" applyAlignment="1">
      <alignment horizontal="center" vertical="center"/>
    </xf>
    <xf numFmtId="0" fontId="13" fillId="11" borderId="25" xfId="0" applyFont="1" applyFill="1" applyBorder="1" applyAlignment="1">
      <alignment horizontal="center" vertical="center"/>
    </xf>
    <xf numFmtId="0" fontId="13" fillId="11" borderId="26" xfId="0" applyFont="1" applyFill="1" applyBorder="1" applyAlignment="1">
      <alignment horizontal="center" vertical="center"/>
    </xf>
    <xf numFmtId="0" fontId="12" fillId="0" borderId="27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9" fontId="15" fillId="10" borderId="33" xfId="8" applyFont="1" applyFill="1" applyBorder="1" applyAlignment="1">
      <alignment horizontal="center" vertical="center"/>
    </xf>
    <xf numFmtId="9" fontId="15" fillId="10" borderId="28" xfId="8" applyFont="1" applyFill="1" applyBorder="1" applyAlignment="1">
      <alignment horizontal="center" vertical="center"/>
    </xf>
  </cellXfs>
  <cellStyles count="11">
    <cellStyle name="Millares" xfId="9" builtinId="3"/>
    <cellStyle name="Millares [0]" xfId="1" builtinId="6"/>
    <cellStyle name="Millares [0] 2" xfId="2" xr:uid="{93D7F860-1C75-4263-816A-682942E58CDA}"/>
    <cellStyle name="Millares [0] 7" xfId="6" xr:uid="{BE9FF9FF-1DFD-4DF0-A618-BAF44101473C}"/>
    <cellStyle name="Millares 2" xfId="4" xr:uid="{35D2CDD0-437D-4DCC-A7AB-A40A1DEC75AF}"/>
    <cellStyle name="Moneda 2" xfId="10" xr:uid="{2AA553C9-4FC6-45EB-AA21-F42F23335B5E}"/>
    <cellStyle name="Normal" xfId="0" builtinId="0"/>
    <cellStyle name="Normal 2" xfId="3" xr:uid="{A42F6DA4-C1E6-4FB1-818D-8A2216579E1C}"/>
    <cellStyle name="Normal 2 2" xfId="7" xr:uid="{3AD0BB55-2400-427C-878A-EDFD953A55F8}"/>
    <cellStyle name="Normal 8" xfId="5" xr:uid="{A206338F-67B4-40FF-B862-7F1FD294666E}"/>
    <cellStyle name="Porcentaje" xfId="8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687917</xdr:colOff>
      <xdr:row>0</xdr:row>
      <xdr:rowOff>0</xdr:rowOff>
    </xdr:from>
    <xdr:to>
      <xdr:col>3</xdr:col>
      <xdr:colOff>19739</xdr:colOff>
      <xdr:row>3</xdr:row>
      <xdr:rowOff>61382</xdr:rowOff>
    </xdr:to>
    <xdr:pic>
      <xdr:nvPicPr>
        <xdr:cNvPr id="4" name="Imagen 2" descr="Interfaz de usuario gráfica&#10;&#10;El contenido generado por IA puede ser incorrecto.">
          <a:extLst>
            <a:ext uri="{FF2B5EF4-FFF2-40B4-BE49-F238E27FC236}">
              <a16:creationId xmlns:a16="http://schemas.microsoft.com/office/drawing/2014/main" id="{B8CCD243-25BF-BAFF-19FC-9E9D975E84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992" t="36452" r="30436" b="37892"/>
        <a:stretch/>
      </xdr:blipFill>
      <xdr:spPr bwMode="auto">
        <a:xfrm>
          <a:off x="687917" y="0"/>
          <a:ext cx="1728947" cy="61700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666749</xdr:colOff>
      <xdr:row>0</xdr:row>
      <xdr:rowOff>0</xdr:rowOff>
    </xdr:from>
    <xdr:to>
      <xdr:col>3</xdr:col>
      <xdr:colOff>1746</xdr:colOff>
      <xdr:row>3</xdr:row>
      <xdr:rowOff>58207</xdr:rowOff>
    </xdr:to>
    <xdr:pic>
      <xdr:nvPicPr>
        <xdr:cNvPr id="4" name="Imagen 2" descr="Interfaz de usuario gráfica&#10;&#10;El contenido generado por IA puede ser incorrecto.">
          <a:extLst>
            <a:ext uri="{FF2B5EF4-FFF2-40B4-BE49-F238E27FC236}">
              <a16:creationId xmlns:a16="http://schemas.microsoft.com/office/drawing/2014/main" id="{B5B6D86A-5392-4A60-B5EE-F93CC328B2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992" t="36452" r="30436" b="37892"/>
        <a:stretch/>
      </xdr:blipFill>
      <xdr:spPr bwMode="auto">
        <a:xfrm>
          <a:off x="666749" y="0"/>
          <a:ext cx="1732122" cy="62018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32768-C87A-4B8F-8A46-5C28EF066F4A}">
  <dimension ref="B2:AE246"/>
  <sheetViews>
    <sheetView showGridLines="0" zoomScale="50" zoomScaleNormal="50" workbookViewId="0">
      <pane ySplit="5" topLeftCell="A55" activePane="bottomLeft" state="frozen"/>
      <selection activeCell="M103" sqref="M103"/>
      <selection pane="bottomLeft" activeCell="AE6" sqref="AE6:AE65"/>
    </sheetView>
  </sheetViews>
  <sheetFormatPr baseColWidth="10" defaultRowHeight="14.5"/>
  <cols>
    <col min="1" max="1" width="1.81640625" customWidth="1"/>
    <col min="2" max="2" width="10" style="4" customWidth="1"/>
    <col min="3" max="27" width="8.81640625" bestFit="1" customWidth="1"/>
    <col min="28" max="28" width="8.453125" bestFit="1" customWidth="1"/>
    <col min="29" max="29" width="7.453125" customWidth="1"/>
    <col min="30" max="30" width="19.1796875" customWidth="1"/>
    <col min="31" max="31" width="14.90625" style="46" customWidth="1"/>
    <col min="32" max="32" width="17.453125" bestFit="1" customWidth="1"/>
    <col min="250" max="250" width="1.81640625" customWidth="1"/>
    <col min="251" max="251" width="8" customWidth="1"/>
    <col min="252" max="252" width="8" bestFit="1" customWidth="1"/>
    <col min="253" max="253" width="9" bestFit="1" customWidth="1"/>
    <col min="254" max="254" width="12" bestFit="1" customWidth="1"/>
    <col min="255" max="276" width="9" bestFit="1" customWidth="1"/>
    <col min="277" max="277" width="7.81640625" bestFit="1" customWidth="1"/>
    <col min="278" max="278" width="4.54296875" bestFit="1" customWidth="1"/>
    <col min="279" max="279" width="14.1796875" bestFit="1" customWidth="1"/>
    <col min="506" max="506" width="1.81640625" customWidth="1"/>
    <col min="507" max="507" width="8" customWidth="1"/>
    <col min="508" max="508" width="8" bestFit="1" customWidth="1"/>
    <col min="509" max="509" width="9" bestFit="1" customWidth="1"/>
    <col min="510" max="510" width="12" bestFit="1" customWidth="1"/>
    <col min="511" max="532" width="9" bestFit="1" customWidth="1"/>
    <col min="533" max="533" width="7.81640625" bestFit="1" customWidth="1"/>
    <col min="534" max="534" width="4.54296875" bestFit="1" customWidth="1"/>
    <col min="535" max="535" width="14.1796875" bestFit="1" customWidth="1"/>
    <col min="762" max="762" width="1.81640625" customWidth="1"/>
    <col min="763" max="763" width="8" customWidth="1"/>
    <col min="764" max="764" width="8" bestFit="1" customWidth="1"/>
    <col min="765" max="765" width="9" bestFit="1" customWidth="1"/>
    <col min="766" max="766" width="12" bestFit="1" customWidth="1"/>
    <col min="767" max="788" width="9" bestFit="1" customWidth="1"/>
    <col min="789" max="789" width="7.81640625" bestFit="1" customWidth="1"/>
    <col min="790" max="790" width="4.54296875" bestFit="1" customWidth="1"/>
    <col min="791" max="791" width="14.1796875" bestFit="1" customWidth="1"/>
    <col min="1018" max="1018" width="1.81640625" customWidth="1"/>
    <col min="1019" max="1019" width="8" customWidth="1"/>
    <col min="1020" max="1020" width="8" bestFit="1" customWidth="1"/>
    <col min="1021" max="1021" width="9" bestFit="1" customWidth="1"/>
    <col min="1022" max="1022" width="12" bestFit="1" customWidth="1"/>
    <col min="1023" max="1044" width="9" bestFit="1" customWidth="1"/>
    <col min="1045" max="1045" width="7.81640625" bestFit="1" customWidth="1"/>
    <col min="1046" max="1046" width="4.54296875" bestFit="1" customWidth="1"/>
    <col min="1047" max="1047" width="14.1796875" bestFit="1" customWidth="1"/>
    <col min="1274" max="1274" width="1.81640625" customWidth="1"/>
    <col min="1275" max="1275" width="8" customWidth="1"/>
    <col min="1276" max="1276" width="8" bestFit="1" customWidth="1"/>
    <col min="1277" max="1277" width="9" bestFit="1" customWidth="1"/>
    <col min="1278" max="1278" width="12" bestFit="1" customWidth="1"/>
    <col min="1279" max="1300" width="9" bestFit="1" customWidth="1"/>
    <col min="1301" max="1301" width="7.81640625" bestFit="1" customWidth="1"/>
    <col min="1302" max="1302" width="4.54296875" bestFit="1" customWidth="1"/>
    <col min="1303" max="1303" width="14.1796875" bestFit="1" customWidth="1"/>
    <col min="1530" max="1530" width="1.81640625" customWidth="1"/>
    <col min="1531" max="1531" width="8" customWidth="1"/>
    <col min="1532" max="1532" width="8" bestFit="1" customWidth="1"/>
    <col min="1533" max="1533" width="9" bestFit="1" customWidth="1"/>
    <col min="1534" max="1534" width="12" bestFit="1" customWidth="1"/>
    <col min="1535" max="1556" width="9" bestFit="1" customWidth="1"/>
    <col min="1557" max="1557" width="7.81640625" bestFit="1" customWidth="1"/>
    <col min="1558" max="1558" width="4.54296875" bestFit="1" customWidth="1"/>
    <col min="1559" max="1559" width="14.1796875" bestFit="1" customWidth="1"/>
    <col min="1786" max="1786" width="1.81640625" customWidth="1"/>
    <col min="1787" max="1787" width="8" customWidth="1"/>
    <col min="1788" max="1788" width="8" bestFit="1" customWidth="1"/>
    <col min="1789" max="1789" width="9" bestFit="1" customWidth="1"/>
    <col min="1790" max="1790" width="12" bestFit="1" customWidth="1"/>
    <col min="1791" max="1812" width="9" bestFit="1" customWidth="1"/>
    <col min="1813" max="1813" width="7.81640625" bestFit="1" customWidth="1"/>
    <col min="1814" max="1814" width="4.54296875" bestFit="1" customWidth="1"/>
    <col min="1815" max="1815" width="14.1796875" bestFit="1" customWidth="1"/>
    <col min="2042" max="2042" width="1.81640625" customWidth="1"/>
    <col min="2043" max="2043" width="8" customWidth="1"/>
    <col min="2044" max="2044" width="8" bestFit="1" customWidth="1"/>
    <col min="2045" max="2045" width="9" bestFit="1" customWidth="1"/>
    <col min="2046" max="2046" width="12" bestFit="1" customWidth="1"/>
    <col min="2047" max="2068" width="9" bestFit="1" customWidth="1"/>
    <col min="2069" max="2069" width="7.81640625" bestFit="1" customWidth="1"/>
    <col min="2070" max="2070" width="4.54296875" bestFit="1" customWidth="1"/>
    <col min="2071" max="2071" width="14.1796875" bestFit="1" customWidth="1"/>
    <col min="2298" max="2298" width="1.81640625" customWidth="1"/>
    <col min="2299" max="2299" width="8" customWidth="1"/>
    <col min="2300" max="2300" width="8" bestFit="1" customWidth="1"/>
    <col min="2301" max="2301" width="9" bestFit="1" customWidth="1"/>
    <col min="2302" max="2302" width="12" bestFit="1" customWidth="1"/>
    <col min="2303" max="2324" width="9" bestFit="1" customWidth="1"/>
    <col min="2325" max="2325" width="7.81640625" bestFit="1" customWidth="1"/>
    <col min="2326" max="2326" width="4.54296875" bestFit="1" customWidth="1"/>
    <col min="2327" max="2327" width="14.1796875" bestFit="1" customWidth="1"/>
    <col min="2554" max="2554" width="1.81640625" customWidth="1"/>
    <col min="2555" max="2555" width="8" customWidth="1"/>
    <col min="2556" max="2556" width="8" bestFit="1" customWidth="1"/>
    <col min="2557" max="2557" width="9" bestFit="1" customWidth="1"/>
    <col min="2558" max="2558" width="12" bestFit="1" customWidth="1"/>
    <col min="2559" max="2580" width="9" bestFit="1" customWidth="1"/>
    <col min="2581" max="2581" width="7.81640625" bestFit="1" customWidth="1"/>
    <col min="2582" max="2582" width="4.54296875" bestFit="1" customWidth="1"/>
    <col min="2583" max="2583" width="14.1796875" bestFit="1" customWidth="1"/>
    <col min="2810" max="2810" width="1.81640625" customWidth="1"/>
    <col min="2811" max="2811" width="8" customWidth="1"/>
    <col min="2812" max="2812" width="8" bestFit="1" customWidth="1"/>
    <col min="2813" max="2813" width="9" bestFit="1" customWidth="1"/>
    <col min="2814" max="2814" width="12" bestFit="1" customWidth="1"/>
    <col min="2815" max="2836" width="9" bestFit="1" customWidth="1"/>
    <col min="2837" max="2837" width="7.81640625" bestFit="1" customWidth="1"/>
    <col min="2838" max="2838" width="4.54296875" bestFit="1" customWidth="1"/>
    <col min="2839" max="2839" width="14.1796875" bestFit="1" customWidth="1"/>
    <col min="3066" max="3066" width="1.81640625" customWidth="1"/>
    <col min="3067" max="3067" width="8" customWidth="1"/>
    <col min="3068" max="3068" width="8" bestFit="1" customWidth="1"/>
    <col min="3069" max="3069" width="9" bestFit="1" customWidth="1"/>
    <col min="3070" max="3070" width="12" bestFit="1" customWidth="1"/>
    <col min="3071" max="3092" width="9" bestFit="1" customWidth="1"/>
    <col min="3093" max="3093" width="7.81640625" bestFit="1" customWidth="1"/>
    <col min="3094" max="3094" width="4.54296875" bestFit="1" customWidth="1"/>
    <col min="3095" max="3095" width="14.1796875" bestFit="1" customWidth="1"/>
    <col min="3322" max="3322" width="1.81640625" customWidth="1"/>
    <col min="3323" max="3323" width="8" customWidth="1"/>
    <col min="3324" max="3324" width="8" bestFit="1" customWidth="1"/>
    <col min="3325" max="3325" width="9" bestFit="1" customWidth="1"/>
    <col min="3326" max="3326" width="12" bestFit="1" customWidth="1"/>
    <col min="3327" max="3348" width="9" bestFit="1" customWidth="1"/>
    <col min="3349" max="3349" width="7.81640625" bestFit="1" customWidth="1"/>
    <col min="3350" max="3350" width="4.54296875" bestFit="1" customWidth="1"/>
    <col min="3351" max="3351" width="14.1796875" bestFit="1" customWidth="1"/>
    <col min="3578" max="3578" width="1.81640625" customWidth="1"/>
    <col min="3579" max="3579" width="8" customWidth="1"/>
    <col min="3580" max="3580" width="8" bestFit="1" customWidth="1"/>
    <col min="3581" max="3581" width="9" bestFit="1" customWidth="1"/>
    <col min="3582" max="3582" width="12" bestFit="1" customWidth="1"/>
    <col min="3583" max="3604" width="9" bestFit="1" customWidth="1"/>
    <col min="3605" max="3605" width="7.81640625" bestFit="1" customWidth="1"/>
    <col min="3606" max="3606" width="4.54296875" bestFit="1" customWidth="1"/>
    <col min="3607" max="3607" width="14.1796875" bestFit="1" customWidth="1"/>
    <col min="3834" max="3834" width="1.81640625" customWidth="1"/>
    <col min="3835" max="3835" width="8" customWidth="1"/>
    <col min="3836" max="3836" width="8" bestFit="1" customWidth="1"/>
    <col min="3837" max="3837" width="9" bestFit="1" customWidth="1"/>
    <col min="3838" max="3838" width="12" bestFit="1" customWidth="1"/>
    <col min="3839" max="3860" width="9" bestFit="1" customWidth="1"/>
    <col min="3861" max="3861" width="7.81640625" bestFit="1" customWidth="1"/>
    <col min="3862" max="3862" width="4.54296875" bestFit="1" customWidth="1"/>
    <col min="3863" max="3863" width="14.1796875" bestFit="1" customWidth="1"/>
    <col min="4090" max="4090" width="1.81640625" customWidth="1"/>
    <col min="4091" max="4091" width="8" customWidth="1"/>
    <col min="4092" max="4092" width="8" bestFit="1" customWidth="1"/>
    <col min="4093" max="4093" width="9" bestFit="1" customWidth="1"/>
    <col min="4094" max="4094" width="12" bestFit="1" customWidth="1"/>
    <col min="4095" max="4116" width="9" bestFit="1" customWidth="1"/>
    <col min="4117" max="4117" width="7.81640625" bestFit="1" customWidth="1"/>
    <col min="4118" max="4118" width="4.54296875" bestFit="1" customWidth="1"/>
    <col min="4119" max="4119" width="14.1796875" bestFit="1" customWidth="1"/>
    <col min="4346" max="4346" width="1.81640625" customWidth="1"/>
    <col min="4347" max="4347" width="8" customWidth="1"/>
    <col min="4348" max="4348" width="8" bestFit="1" customWidth="1"/>
    <col min="4349" max="4349" width="9" bestFit="1" customWidth="1"/>
    <col min="4350" max="4350" width="12" bestFit="1" customWidth="1"/>
    <col min="4351" max="4372" width="9" bestFit="1" customWidth="1"/>
    <col min="4373" max="4373" width="7.81640625" bestFit="1" customWidth="1"/>
    <col min="4374" max="4374" width="4.54296875" bestFit="1" customWidth="1"/>
    <col min="4375" max="4375" width="14.1796875" bestFit="1" customWidth="1"/>
    <col min="4602" max="4602" width="1.81640625" customWidth="1"/>
    <col min="4603" max="4603" width="8" customWidth="1"/>
    <col min="4604" max="4604" width="8" bestFit="1" customWidth="1"/>
    <col min="4605" max="4605" width="9" bestFit="1" customWidth="1"/>
    <col min="4606" max="4606" width="12" bestFit="1" customWidth="1"/>
    <col min="4607" max="4628" width="9" bestFit="1" customWidth="1"/>
    <col min="4629" max="4629" width="7.81640625" bestFit="1" customWidth="1"/>
    <col min="4630" max="4630" width="4.54296875" bestFit="1" customWidth="1"/>
    <col min="4631" max="4631" width="14.1796875" bestFit="1" customWidth="1"/>
    <col min="4858" max="4858" width="1.81640625" customWidth="1"/>
    <col min="4859" max="4859" width="8" customWidth="1"/>
    <col min="4860" max="4860" width="8" bestFit="1" customWidth="1"/>
    <col min="4861" max="4861" width="9" bestFit="1" customWidth="1"/>
    <col min="4862" max="4862" width="12" bestFit="1" customWidth="1"/>
    <col min="4863" max="4884" width="9" bestFit="1" customWidth="1"/>
    <col min="4885" max="4885" width="7.81640625" bestFit="1" customWidth="1"/>
    <col min="4886" max="4886" width="4.54296875" bestFit="1" customWidth="1"/>
    <col min="4887" max="4887" width="14.1796875" bestFit="1" customWidth="1"/>
    <col min="5114" max="5114" width="1.81640625" customWidth="1"/>
    <col min="5115" max="5115" width="8" customWidth="1"/>
    <col min="5116" max="5116" width="8" bestFit="1" customWidth="1"/>
    <col min="5117" max="5117" width="9" bestFit="1" customWidth="1"/>
    <col min="5118" max="5118" width="12" bestFit="1" customWidth="1"/>
    <col min="5119" max="5140" width="9" bestFit="1" customWidth="1"/>
    <col min="5141" max="5141" width="7.81640625" bestFit="1" customWidth="1"/>
    <col min="5142" max="5142" width="4.54296875" bestFit="1" customWidth="1"/>
    <col min="5143" max="5143" width="14.1796875" bestFit="1" customWidth="1"/>
    <col min="5370" max="5370" width="1.81640625" customWidth="1"/>
    <col min="5371" max="5371" width="8" customWidth="1"/>
    <col min="5372" max="5372" width="8" bestFit="1" customWidth="1"/>
    <col min="5373" max="5373" width="9" bestFit="1" customWidth="1"/>
    <col min="5374" max="5374" width="12" bestFit="1" customWidth="1"/>
    <col min="5375" max="5396" width="9" bestFit="1" customWidth="1"/>
    <col min="5397" max="5397" width="7.81640625" bestFit="1" customWidth="1"/>
    <col min="5398" max="5398" width="4.54296875" bestFit="1" customWidth="1"/>
    <col min="5399" max="5399" width="14.1796875" bestFit="1" customWidth="1"/>
    <col min="5626" max="5626" width="1.81640625" customWidth="1"/>
    <col min="5627" max="5627" width="8" customWidth="1"/>
    <col min="5628" max="5628" width="8" bestFit="1" customWidth="1"/>
    <col min="5629" max="5629" width="9" bestFit="1" customWidth="1"/>
    <col min="5630" max="5630" width="12" bestFit="1" customWidth="1"/>
    <col min="5631" max="5652" width="9" bestFit="1" customWidth="1"/>
    <col min="5653" max="5653" width="7.81640625" bestFit="1" customWidth="1"/>
    <col min="5654" max="5654" width="4.54296875" bestFit="1" customWidth="1"/>
    <col min="5655" max="5655" width="14.1796875" bestFit="1" customWidth="1"/>
    <col min="5882" max="5882" width="1.81640625" customWidth="1"/>
    <col min="5883" max="5883" width="8" customWidth="1"/>
    <col min="5884" max="5884" width="8" bestFit="1" customWidth="1"/>
    <col min="5885" max="5885" width="9" bestFit="1" customWidth="1"/>
    <col min="5886" max="5886" width="12" bestFit="1" customWidth="1"/>
    <col min="5887" max="5908" width="9" bestFit="1" customWidth="1"/>
    <col min="5909" max="5909" width="7.81640625" bestFit="1" customWidth="1"/>
    <col min="5910" max="5910" width="4.54296875" bestFit="1" customWidth="1"/>
    <col min="5911" max="5911" width="14.1796875" bestFit="1" customWidth="1"/>
    <col min="6138" max="6138" width="1.81640625" customWidth="1"/>
    <col min="6139" max="6139" width="8" customWidth="1"/>
    <col min="6140" max="6140" width="8" bestFit="1" customWidth="1"/>
    <col min="6141" max="6141" width="9" bestFit="1" customWidth="1"/>
    <col min="6142" max="6142" width="12" bestFit="1" customWidth="1"/>
    <col min="6143" max="6164" width="9" bestFit="1" customWidth="1"/>
    <col min="6165" max="6165" width="7.81640625" bestFit="1" customWidth="1"/>
    <col min="6166" max="6166" width="4.54296875" bestFit="1" customWidth="1"/>
    <col min="6167" max="6167" width="14.1796875" bestFit="1" customWidth="1"/>
    <col min="6394" max="6394" width="1.81640625" customWidth="1"/>
    <col min="6395" max="6395" width="8" customWidth="1"/>
    <col min="6396" max="6396" width="8" bestFit="1" customWidth="1"/>
    <col min="6397" max="6397" width="9" bestFit="1" customWidth="1"/>
    <col min="6398" max="6398" width="12" bestFit="1" customWidth="1"/>
    <col min="6399" max="6420" width="9" bestFit="1" customWidth="1"/>
    <col min="6421" max="6421" width="7.81640625" bestFit="1" customWidth="1"/>
    <col min="6422" max="6422" width="4.54296875" bestFit="1" customWidth="1"/>
    <col min="6423" max="6423" width="14.1796875" bestFit="1" customWidth="1"/>
    <col min="6650" max="6650" width="1.81640625" customWidth="1"/>
    <col min="6651" max="6651" width="8" customWidth="1"/>
    <col min="6652" max="6652" width="8" bestFit="1" customWidth="1"/>
    <col min="6653" max="6653" width="9" bestFit="1" customWidth="1"/>
    <col min="6654" max="6654" width="12" bestFit="1" customWidth="1"/>
    <col min="6655" max="6676" width="9" bestFit="1" customWidth="1"/>
    <col min="6677" max="6677" width="7.81640625" bestFit="1" customWidth="1"/>
    <col min="6678" max="6678" width="4.54296875" bestFit="1" customWidth="1"/>
    <col min="6679" max="6679" width="14.1796875" bestFit="1" customWidth="1"/>
    <col min="6906" max="6906" width="1.81640625" customWidth="1"/>
    <col min="6907" max="6907" width="8" customWidth="1"/>
    <col min="6908" max="6908" width="8" bestFit="1" customWidth="1"/>
    <col min="6909" max="6909" width="9" bestFit="1" customWidth="1"/>
    <col min="6910" max="6910" width="12" bestFit="1" customWidth="1"/>
    <col min="6911" max="6932" width="9" bestFit="1" customWidth="1"/>
    <col min="6933" max="6933" width="7.81640625" bestFit="1" customWidth="1"/>
    <col min="6934" max="6934" width="4.54296875" bestFit="1" customWidth="1"/>
    <col min="6935" max="6935" width="14.1796875" bestFit="1" customWidth="1"/>
    <col min="7162" max="7162" width="1.81640625" customWidth="1"/>
    <col min="7163" max="7163" width="8" customWidth="1"/>
    <col min="7164" max="7164" width="8" bestFit="1" customWidth="1"/>
    <col min="7165" max="7165" width="9" bestFit="1" customWidth="1"/>
    <col min="7166" max="7166" width="12" bestFit="1" customWidth="1"/>
    <col min="7167" max="7188" width="9" bestFit="1" customWidth="1"/>
    <col min="7189" max="7189" width="7.81640625" bestFit="1" customWidth="1"/>
    <col min="7190" max="7190" width="4.54296875" bestFit="1" customWidth="1"/>
    <col min="7191" max="7191" width="14.1796875" bestFit="1" customWidth="1"/>
    <col min="7418" max="7418" width="1.81640625" customWidth="1"/>
    <col min="7419" max="7419" width="8" customWidth="1"/>
    <col min="7420" max="7420" width="8" bestFit="1" customWidth="1"/>
    <col min="7421" max="7421" width="9" bestFit="1" customWidth="1"/>
    <col min="7422" max="7422" width="12" bestFit="1" customWidth="1"/>
    <col min="7423" max="7444" width="9" bestFit="1" customWidth="1"/>
    <col min="7445" max="7445" width="7.81640625" bestFit="1" customWidth="1"/>
    <col min="7446" max="7446" width="4.54296875" bestFit="1" customWidth="1"/>
    <col min="7447" max="7447" width="14.1796875" bestFit="1" customWidth="1"/>
    <col min="7674" max="7674" width="1.81640625" customWidth="1"/>
    <col min="7675" max="7675" width="8" customWidth="1"/>
    <col min="7676" max="7676" width="8" bestFit="1" customWidth="1"/>
    <col min="7677" max="7677" width="9" bestFit="1" customWidth="1"/>
    <col min="7678" max="7678" width="12" bestFit="1" customWidth="1"/>
    <col min="7679" max="7700" width="9" bestFit="1" customWidth="1"/>
    <col min="7701" max="7701" width="7.81640625" bestFit="1" customWidth="1"/>
    <col min="7702" max="7702" width="4.54296875" bestFit="1" customWidth="1"/>
    <col min="7703" max="7703" width="14.1796875" bestFit="1" customWidth="1"/>
    <col min="7930" max="7930" width="1.81640625" customWidth="1"/>
    <col min="7931" max="7931" width="8" customWidth="1"/>
    <col min="7932" max="7932" width="8" bestFit="1" customWidth="1"/>
    <col min="7933" max="7933" width="9" bestFit="1" customWidth="1"/>
    <col min="7934" max="7934" width="12" bestFit="1" customWidth="1"/>
    <col min="7935" max="7956" width="9" bestFit="1" customWidth="1"/>
    <col min="7957" max="7957" width="7.81640625" bestFit="1" customWidth="1"/>
    <col min="7958" max="7958" width="4.54296875" bestFit="1" customWidth="1"/>
    <col min="7959" max="7959" width="14.1796875" bestFit="1" customWidth="1"/>
    <col min="8186" max="8186" width="1.81640625" customWidth="1"/>
    <col min="8187" max="8187" width="8" customWidth="1"/>
    <col min="8188" max="8188" width="8" bestFit="1" customWidth="1"/>
    <col min="8189" max="8189" width="9" bestFit="1" customWidth="1"/>
    <col min="8190" max="8190" width="12" bestFit="1" customWidth="1"/>
    <col min="8191" max="8212" width="9" bestFit="1" customWidth="1"/>
    <col min="8213" max="8213" width="7.81640625" bestFit="1" customWidth="1"/>
    <col min="8214" max="8214" width="4.54296875" bestFit="1" customWidth="1"/>
    <col min="8215" max="8215" width="14.1796875" bestFit="1" customWidth="1"/>
    <col min="8442" max="8442" width="1.81640625" customWidth="1"/>
    <col min="8443" max="8443" width="8" customWidth="1"/>
    <col min="8444" max="8444" width="8" bestFit="1" customWidth="1"/>
    <col min="8445" max="8445" width="9" bestFit="1" customWidth="1"/>
    <col min="8446" max="8446" width="12" bestFit="1" customWidth="1"/>
    <col min="8447" max="8468" width="9" bestFit="1" customWidth="1"/>
    <col min="8469" max="8469" width="7.81640625" bestFit="1" customWidth="1"/>
    <col min="8470" max="8470" width="4.54296875" bestFit="1" customWidth="1"/>
    <col min="8471" max="8471" width="14.1796875" bestFit="1" customWidth="1"/>
    <col min="8698" max="8698" width="1.81640625" customWidth="1"/>
    <col min="8699" max="8699" width="8" customWidth="1"/>
    <col min="8700" max="8700" width="8" bestFit="1" customWidth="1"/>
    <col min="8701" max="8701" width="9" bestFit="1" customWidth="1"/>
    <col min="8702" max="8702" width="12" bestFit="1" customWidth="1"/>
    <col min="8703" max="8724" width="9" bestFit="1" customWidth="1"/>
    <col min="8725" max="8725" width="7.81640625" bestFit="1" customWidth="1"/>
    <col min="8726" max="8726" width="4.54296875" bestFit="1" customWidth="1"/>
    <col min="8727" max="8727" width="14.1796875" bestFit="1" customWidth="1"/>
    <col min="8954" max="8954" width="1.81640625" customWidth="1"/>
    <col min="8955" max="8955" width="8" customWidth="1"/>
    <col min="8956" max="8956" width="8" bestFit="1" customWidth="1"/>
    <col min="8957" max="8957" width="9" bestFit="1" customWidth="1"/>
    <col min="8958" max="8958" width="12" bestFit="1" customWidth="1"/>
    <col min="8959" max="8980" width="9" bestFit="1" customWidth="1"/>
    <col min="8981" max="8981" width="7.81640625" bestFit="1" customWidth="1"/>
    <col min="8982" max="8982" width="4.54296875" bestFit="1" customWidth="1"/>
    <col min="8983" max="8983" width="14.1796875" bestFit="1" customWidth="1"/>
    <col min="9210" max="9210" width="1.81640625" customWidth="1"/>
    <col min="9211" max="9211" width="8" customWidth="1"/>
    <col min="9212" max="9212" width="8" bestFit="1" customWidth="1"/>
    <col min="9213" max="9213" width="9" bestFit="1" customWidth="1"/>
    <col min="9214" max="9214" width="12" bestFit="1" customWidth="1"/>
    <col min="9215" max="9236" width="9" bestFit="1" customWidth="1"/>
    <col min="9237" max="9237" width="7.81640625" bestFit="1" customWidth="1"/>
    <col min="9238" max="9238" width="4.54296875" bestFit="1" customWidth="1"/>
    <col min="9239" max="9239" width="14.1796875" bestFit="1" customWidth="1"/>
    <col min="9466" max="9466" width="1.81640625" customWidth="1"/>
    <col min="9467" max="9467" width="8" customWidth="1"/>
    <col min="9468" max="9468" width="8" bestFit="1" customWidth="1"/>
    <col min="9469" max="9469" width="9" bestFit="1" customWidth="1"/>
    <col min="9470" max="9470" width="12" bestFit="1" customWidth="1"/>
    <col min="9471" max="9492" width="9" bestFit="1" customWidth="1"/>
    <col min="9493" max="9493" width="7.81640625" bestFit="1" customWidth="1"/>
    <col min="9494" max="9494" width="4.54296875" bestFit="1" customWidth="1"/>
    <col min="9495" max="9495" width="14.1796875" bestFit="1" customWidth="1"/>
    <col min="9722" max="9722" width="1.81640625" customWidth="1"/>
    <col min="9723" max="9723" width="8" customWidth="1"/>
    <col min="9724" max="9724" width="8" bestFit="1" customWidth="1"/>
    <col min="9725" max="9725" width="9" bestFit="1" customWidth="1"/>
    <col min="9726" max="9726" width="12" bestFit="1" customWidth="1"/>
    <col min="9727" max="9748" width="9" bestFit="1" customWidth="1"/>
    <col min="9749" max="9749" width="7.81640625" bestFit="1" customWidth="1"/>
    <col min="9750" max="9750" width="4.54296875" bestFit="1" customWidth="1"/>
    <col min="9751" max="9751" width="14.1796875" bestFit="1" customWidth="1"/>
    <col min="9978" max="9978" width="1.81640625" customWidth="1"/>
    <col min="9979" max="9979" width="8" customWidth="1"/>
    <col min="9980" max="9980" width="8" bestFit="1" customWidth="1"/>
    <col min="9981" max="9981" width="9" bestFit="1" customWidth="1"/>
    <col min="9982" max="9982" width="12" bestFit="1" customWidth="1"/>
    <col min="9983" max="10004" width="9" bestFit="1" customWidth="1"/>
    <col min="10005" max="10005" width="7.81640625" bestFit="1" customWidth="1"/>
    <col min="10006" max="10006" width="4.54296875" bestFit="1" customWidth="1"/>
    <col min="10007" max="10007" width="14.1796875" bestFit="1" customWidth="1"/>
    <col min="10234" max="10234" width="1.81640625" customWidth="1"/>
    <col min="10235" max="10235" width="8" customWidth="1"/>
    <col min="10236" max="10236" width="8" bestFit="1" customWidth="1"/>
    <col min="10237" max="10237" width="9" bestFit="1" customWidth="1"/>
    <col min="10238" max="10238" width="12" bestFit="1" customWidth="1"/>
    <col min="10239" max="10260" width="9" bestFit="1" customWidth="1"/>
    <col min="10261" max="10261" width="7.81640625" bestFit="1" customWidth="1"/>
    <col min="10262" max="10262" width="4.54296875" bestFit="1" customWidth="1"/>
    <col min="10263" max="10263" width="14.1796875" bestFit="1" customWidth="1"/>
    <col min="10490" max="10490" width="1.81640625" customWidth="1"/>
    <col min="10491" max="10491" width="8" customWidth="1"/>
    <col min="10492" max="10492" width="8" bestFit="1" customWidth="1"/>
    <col min="10493" max="10493" width="9" bestFit="1" customWidth="1"/>
    <col min="10494" max="10494" width="12" bestFit="1" customWidth="1"/>
    <col min="10495" max="10516" width="9" bestFit="1" customWidth="1"/>
    <col min="10517" max="10517" width="7.81640625" bestFit="1" customWidth="1"/>
    <col min="10518" max="10518" width="4.54296875" bestFit="1" customWidth="1"/>
    <col min="10519" max="10519" width="14.1796875" bestFit="1" customWidth="1"/>
    <col min="10746" max="10746" width="1.81640625" customWidth="1"/>
    <col min="10747" max="10747" width="8" customWidth="1"/>
    <col min="10748" max="10748" width="8" bestFit="1" customWidth="1"/>
    <col min="10749" max="10749" width="9" bestFit="1" customWidth="1"/>
    <col min="10750" max="10750" width="12" bestFit="1" customWidth="1"/>
    <col min="10751" max="10772" width="9" bestFit="1" customWidth="1"/>
    <col min="10773" max="10773" width="7.81640625" bestFit="1" customWidth="1"/>
    <col min="10774" max="10774" width="4.54296875" bestFit="1" customWidth="1"/>
    <col min="10775" max="10775" width="14.1796875" bestFit="1" customWidth="1"/>
    <col min="11002" max="11002" width="1.81640625" customWidth="1"/>
    <col min="11003" max="11003" width="8" customWidth="1"/>
    <col min="11004" max="11004" width="8" bestFit="1" customWidth="1"/>
    <col min="11005" max="11005" width="9" bestFit="1" customWidth="1"/>
    <col min="11006" max="11006" width="12" bestFit="1" customWidth="1"/>
    <col min="11007" max="11028" width="9" bestFit="1" customWidth="1"/>
    <col min="11029" max="11029" width="7.81640625" bestFit="1" customWidth="1"/>
    <col min="11030" max="11030" width="4.54296875" bestFit="1" customWidth="1"/>
    <col min="11031" max="11031" width="14.1796875" bestFit="1" customWidth="1"/>
    <col min="11258" max="11258" width="1.81640625" customWidth="1"/>
    <col min="11259" max="11259" width="8" customWidth="1"/>
    <col min="11260" max="11260" width="8" bestFit="1" customWidth="1"/>
    <col min="11261" max="11261" width="9" bestFit="1" customWidth="1"/>
    <col min="11262" max="11262" width="12" bestFit="1" customWidth="1"/>
    <col min="11263" max="11284" width="9" bestFit="1" customWidth="1"/>
    <col min="11285" max="11285" width="7.81640625" bestFit="1" customWidth="1"/>
    <col min="11286" max="11286" width="4.54296875" bestFit="1" customWidth="1"/>
    <col min="11287" max="11287" width="14.1796875" bestFit="1" customWidth="1"/>
    <col min="11514" max="11514" width="1.81640625" customWidth="1"/>
    <col min="11515" max="11515" width="8" customWidth="1"/>
    <col min="11516" max="11516" width="8" bestFit="1" customWidth="1"/>
    <col min="11517" max="11517" width="9" bestFit="1" customWidth="1"/>
    <col min="11518" max="11518" width="12" bestFit="1" customWidth="1"/>
    <col min="11519" max="11540" width="9" bestFit="1" customWidth="1"/>
    <col min="11541" max="11541" width="7.81640625" bestFit="1" customWidth="1"/>
    <col min="11542" max="11542" width="4.54296875" bestFit="1" customWidth="1"/>
    <col min="11543" max="11543" width="14.1796875" bestFit="1" customWidth="1"/>
    <col min="11770" max="11770" width="1.81640625" customWidth="1"/>
    <col min="11771" max="11771" width="8" customWidth="1"/>
    <col min="11772" max="11772" width="8" bestFit="1" customWidth="1"/>
    <col min="11773" max="11773" width="9" bestFit="1" customWidth="1"/>
    <col min="11774" max="11774" width="12" bestFit="1" customWidth="1"/>
    <col min="11775" max="11796" width="9" bestFit="1" customWidth="1"/>
    <col min="11797" max="11797" width="7.81640625" bestFit="1" customWidth="1"/>
    <col min="11798" max="11798" width="4.54296875" bestFit="1" customWidth="1"/>
    <col min="11799" max="11799" width="14.1796875" bestFit="1" customWidth="1"/>
    <col min="12026" max="12026" width="1.81640625" customWidth="1"/>
    <col min="12027" max="12027" width="8" customWidth="1"/>
    <col min="12028" max="12028" width="8" bestFit="1" customWidth="1"/>
    <col min="12029" max="12029" width="9" bestFit="1" customWidth="1"/>
    <col min="12030" max="12030" width="12" bestFit="1" customWidth="1"/>
    <col min="12031" max="12052" width="9" bestFit="1" customWidth="1"/>
    <col min="12053" max="12053" width="7.81640625" bestFit="1" customWidth="1"/>
    <col min="12054" max="12054" width="4.54296875" bestFit="1" customWidth="1"/>
    <col min="12055" max="12055" width="14.1796875" bestFit="1" customWidth="1"/>
    <col min="12282" max="12282" width="1.81640625" customWidth="1"/>
    <col min="12283" max="12283" width="8" customWidth="1"/>
    <col min="12284" max="12284" width="8" bestFit="1" customWidth="1"/>
    <col min="12285" max="12285" width="9" bestFit="1" customWidth="1"/>
    <col min="12286" max="12286" width="12" bestFit="1" customWidth="1"/>
    <col min="12287" max="12308" width="9" bestFit="1" customWidth="1"/>
    <col min="12309" max="12309" width="7.81640625" bestFit="1" customWidth="1"/>
    <col min="12310" max="12310" width="4.54296875" bestFit="1" customWidth="1"/>
    <col min="12311" max="12311" width="14.1796875" bestFit="1" customWidth="1"/>
    <col min="12538" max="12538" width="1.81640625" customWidth="1"/>
    <col min="12539" max="12539" width="8" customWidth="1"/>
    <col min="12540" max="12540" width="8" bestFit="1" customWidth="1"/>
    <col min="12541" max="12541" width="9" bestFit="1" customWidth="1"/>
    <col min="12542" max="12542" width="12" bestFit="1" customWidth="1"/>
    <col min="12543" max="12564" width="9" bestFit="1" customWidth="1"/>
    <col min="12565" max="12565" width="7.81640625" bestFit="1" customWidth="1"/>
    <col min="12566" max="12566" width="4.54296875" bestFit="1" customWidth="1"/>
    <col min="12567" max="12567" width="14.1796875" bestFit="1" customWidth="1"/>
    <col min="12794" max="12794" width="1.81640625" customWidth="1"/>
    <col min="12795" max="12795" width="8" customWidth="1"/>
    <col min="12796" max="12796" width="8" bestFit="1" customWidth="1"/>
    <col min="12797" max="12797" width="9" bestFit="1" customWidth="1"/>
    <col min="12798" max="12798" width="12" bestFit="1" customWidth="1"/>
    <col min="12799" max="12820" width="9" bestFit="1" customWidth="1"/>
    <col min="12821" max="12821" width="7.81640625" bestFit="1" customWidth="1"/>
    <col min="12822" max="12822" width="4.54296875" bestFit="1" customWidth="1"/>
    <col min="12823" max="12823" width="14.1796875" bestFit="1" customWidth="1"/>
    <col min="13050" max="13050" width="1.81640625" customWidth="1"/>
    <col min="13051" max="13051" width="8" customWidth="1"/>
    <col min="13052" max="13052" width="8" bestFit="1" customWidth="1"/>
    <col min="13053" max="13053" width="9" bestFit="1" customWidth="1"/>
    <col min="13054" max="13054" width="12" bestFit="1" customWidth="1"/>
    <col min="13055" max="13076" width="9" bestFit="1" customWidth="1"/>
    <col min="13077" max="13077" width="7.81640625" bestFit="1" customWidth="1"/>
    <col min="13078" max="13078" width="4.54296875" bestFit="1" customWidth="1"/>
    <col min="13079" max="13079" width="14.1796875" bestFit="1" customWidth="1"/>
    <col min="13306" max="13306" width="1.81640625" customWidth="1"/>
    <col min="13307" max="13307" width="8" customWidth="1"/>
    <col min="13308" max="13308" width="8" bestFit="1" customWidth="1"/>
    <col min="13309" max="13309" width="9" bestFit="1" customWidth="1"/>
    <col min="13310" max="13310" width="12" bestFit="1" customWidth="1"/>
    <col min="13311" max="13332" width="9" bestFit="1" customWidth="1"/>
    <col min="13333" max="13333" width="7.81640625" bestFit="1" customWidth="1"/>
    <col min="13334" max="13334" width="4.54296875" bestFit="1" customWidth="1"/>
    <col min="13335" max="13335" width="14.1796875" bestFit="1" customWidth="1"/>
    <col min="13562" max="13562" width="1.81640625" customWidth="1"/>
    <col min="13563" max="13563" width="8" customWidth="1"/>
    <col min="13564" max="13564" width="8" bestFit="1" customWidth="1"/>
    <col min="13565" max="13565" width="9" bestFit="1" customWidth="1"/>
    <col min="13566" max="13566" width="12" bestFit="1" customWidth="1"/>
    <col min="13567" max="13588" width="9" bestFit="1" customWidth="1"/>
    <col min="13589" max="13589" width="7.81640625" bestFit="1" customWidth="1"/>
    <col min="13590" max="13590" width="4.54296875" bestFit="1" customWidth="1"/>
    <col min="13591" max="13591" width="14.1796875" bestFit="1" customWidth="1"/>
    <col min="13818" max="13818" width="1.81640625" customWidth="1"/>
    <col min="13819" max="13819" width="8" customWidth="1"/>
    <col min="13820" max="13820" width="8" bestFit="1" customWidth="1"/>
    <col min="13821" max="13821" width="9" bestFit="1" customWidth="1"/>
    <col min="13822" max="13822" width="12" bestFit="1" customWidth="1"/>
    <col min="13823" max="13844" width="9" bestFit="1" customWidth="1"/>
    <col min="13845" max="13845" width="7.81640625" bestFit="1" customWidth="1"/>
    <col min="13846" max="13846" width="4.54296875" bestFit="1" customWidth="1"/>
    <col min="13847" max="13847" width="14.1796875" bestFit="1" customWidth="1"/>
    <col min="14074" max="14074" width="1.81640625" customWidth="1"/>
    <col min="14075" max="14075" width="8" customWidth="1"/>
    <col min="14076" max="14076" width="8" bestFit="1" customWidth="1"/>
    <col min="14077" max="14077" width="9" bestFit="1" customWidth="1"/>
    <col min="14078" max="14078" width="12" bestFit="1" customWidth="1"/>
    <col min="14079" max="14100" width="9" bestFit="1" customWidth="1"/>
    <col min="14101" max="14101" width="7.81640625" bestFit="1" customWidth="1"/>
    <col min="14102" max="14102" width="4.54296875" bestFit="1" customWidth="1"/>
    <col min="14103" max="14103" width="14.1796875" bestFit="1" customWidth="1"/>
    <col min="14330" max="14330" width="1.81640625" customWidth="1"/>
    <col min="14331" max="14331" width="8" customWidth="1"/>
    <col min="14332" max="14332" width="8" bestFit="1" customWidth="1"/>
    <col min="14333" max="14333" width="9" bestFit="1" customWidth="1"/>
    <col min="14334" max="14334" width="12" bestFit="1" customWidth="1"/>
    <col min="14335" max="14356" width="9" bestFit="1" customWidth="1"/>
    <col min="14357" max="14357" width="7.81640625" bestFit="1" customWidth="1"/>
    <col min="14358" max="14358" width="4.54296875" bestFit="1" customWidth="1"/>
    <col min="14359" max="14359" width="14.1796875" bestFit="1" customWidth="1"/>
    <col min="14586" max="14586" width="1.81640625" customWidth="1"/>
    <col min="14587" max="14587" width="8" customWidth="1"/>
    <col min="14588" max="14588" width="8" bestFit="1" customWidth="1"/>
    <col min="14589" max="14589" width="9" bestFit="1" customWidth="1"/>
    <col min="14590" max="14590" width="12" bestFit="1" customWidth="1"/>
    <col min="14591" max="14612" width="9" bestFit="1" customWidth="1"/>
    <col min="14613" max="14613" width="7.81640625" bestFit="1" customWidth="1"/>
    <col min="14614" max="14614" width="4.54296875" bestFit="1" customWidth="1"/>
    <col min="14615" max="14615" width="14.1796875" bestFit="1" customWidth="1"/>
    <col min="14842" max="14842" width="1.81640625" customWidth="1"/>
    <col min="14843" max="14843" width="8" customWidth="1"/>
    <col min="14844" max="14844" width="8" bestFit="1" customWidth="1"/>
    <col min="14845" max="14845" width="9" bestFit="1" customWidth="1"/>
    <col min="14846" max="14846" width="12" bestFit="1" customWidth="1"/>
    <col min="14847" max="14868" width="9" bestFit="1" customWidth="1"/>
    <col min="14869" max="14869" width="7.81640625" bestFit="1" customWidth="1"/>
    <col min="14870" max="14870" width="4.54296875" bestFit="1" customWidth="1"/>
    <col min="14871" max="14871" width="14.1796875" bestFit="1" customWidth="1"/>
    <col min="15098" max="15098" width="1.81640625" customWidth="1"/>
    <col min="15099" max="15099" width="8" customWidth="1"/>
    <col min="15100" max="15100" width="8" bestFit="1" customWidth="1"/>
    <col min="15101" max="15101" width="9" bestFit="1" customWidth="1"/>
    <col min="15102" max="15102" width="12" bestFit="1" customWidth="1"/>
    <col min="15103" max="15124" width="9" bestFit="1" customWidth="1"/>
    <col min="15125" max="15125" width="7.81640625" bestFit="1" customWidth="1"/>
    <col min="15126" max="15126" width="4.54296875" bestFit="1" customWidth="1"/>
    <col min="15127" max="15127" width="14.1796875" bestFit="1" customWidth="1"/>
    <col min="15354" max="15354" width="1.81640625" customWidth="1"/>
    <col min="15355" max="15355" width="8" customWidth="1"/>
    <col min="15356" max="15356" width="8" bestFit="1" customWidth="1"/>
    <col min="15357" max="15357" width="9" bestFit="1" customWidth="1"/>
    <col min="15358" max="15358" width="12" bestFit="1" customWidth="1"/>
    <col min="15359" max="15380" width="9" bestFit="1" customWidth="1"/>
    <col min="15381" max="15381" width="7.81640625" bestFit="1" customWidth="1"/>
    <col min="15382" max="15382" width="4.54296875" bestFit="1" customWidth="1"/>
    <col min="15383" max="15383" width="14.1796875" bestFit="1" customWidth="1"/>
    <col min="15610" max="15610" width="1.81640625" customWidth="1"/>
    <col min="15611" max="15611" width="8" customWidth="1"/>
    <col min="15612" max="15612" width="8" bestFit="1" customWidth="1"/>
    <col min="15613" max="15613" width="9" bestFit="1" customWidth="1"/>
    <col min="15614" max="15614" width="12" bestFit="1" customWidth="1"/>
    <col min="15615" max="15636" width="9" bestFit="1" customWidth="1"/>
    <col min="15637" max="15637" width="7.81640625" bestFit="1" customWidth="1"/>
    <col min="15638" max="15638" width="4.54296875" bestFit="1" customWidth="1"/>
    <col min="15639" max="15639" width="14.1796875" bestFit="1" customWidth="1"/>
    <col min="15866" max="15866" width="1.81640625" customWidth="1"/>
    <col min="15867" max="15867" width="8" customWidth="1"/>
    <col min="15868" max="15868" width="8" bestFit="1" customWidth="1"/>
    <col min="15869" max="15869" width="9" bestFit="1" customWidth="1"/>
    <col min="15870" max="15870" width="12" bestFit="1" customWidth="1"/>
    <col min="15871" max="15892" width="9" bestFit="1" customWidth="1"/>
    <col min="15893" max="15893" width="7.81640625" bestFit="1" customWidth="1"/>
    <col min="15894" max="15894" width="4.54296875" bestFit="1" customWidth="1"/>
    <col min="15895" max="15895" width="14.1796875" bestFit="1" customWidth="1"/>
    <col min="16122" max="16122" width="1.81640625" customWidth="1"/>
    <col min="16123" max="16123" width="8" customWidth="1"/>
    <col min="16124" max="16124" width="8" bestFit="1" customWidth="1"/>
    <col min="16125" max="16125" width="9" bestFit="1" customWidth="1"/>
    <col min="16126" max="16126" width="12" bestFit="1" customWidth="1"/>
    <col min="16127" max="16148" width="9" bestFit="1" customWidth="1"/>
    <col min="16149" max="16149" width="7.81640625" bestFit="1" customWidth="1"/>
    <col min="16150" max="16150" width="4.54296875" bestFit="1" customWidth="1"/>
    <col min="16151" max="16151" width="14.1796875" bestFit="1" customWidth="1"/>
  </cols>
  <sheetData>
    <row r="2" spans="2:31" ht="15.5">
      <c r="B2" s="54" t="s">
        <v>0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</row>
    <row r="3" spans="2:31" ht="15.5">
      <c r="B3" s="54" t="s">
        <v>34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</row>
    <row r="4" spans="2:31" ht="16" thickBot="1">
      <c r="B4" s="55" t="s">
        <v>37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</row>
    <row r="5" spans="2:31" ht="25.5" customHeight="1" thickBot="1">
      <c r="B5" s="37"/>
      <c r="C5" s="38" t="s">
        <v>1</v>
      </c>
      <c r="D5" s="39">
        <v>1</v>
      </c>
      <c r="E5" s="39">
        <v>2</v>
      </c>
      <c r="F5" s="39">
        <v>3</v>
      </c>
      <c r="G5" s="39">
        <v>4</v>
      </c>
      <c r="H5" s="39">
        <v>5</v>
      </c>
      <c r="I5" s="39">
        <v>6</v>
      </c>
      <c r="J5" s="40">
        <v>7</v>
      </c>
      <c r="K5" s="40">
        <v>8</v>
      </c>
      <c r="L5" s="40">
        <v>9</v>
      </c>
      <c r="M5" s="40">
        <v>10</v>
      </c>
      <c r="N5" s="40">
        <v>11</v>
      </c>
      <c r="O5" s="40">
        <v>12</v>
      </c>
      <c r="P5" s="40">
        <v>13</v>
      </c>
      <c r="Q5" s="40">
        <v>14</v>
      </c>
      <c r="R5" s="40">
        <v>15</v>
      </c>
      <c r="S5" s="40">
        <v>16</v>
      </c>
      <c r="T5" s="40">
        <v>17</v>
      </c>
      <c r="U5" s="40">
        <v>18</v>
      </c>
      <c r="V5" s="41">
        <v>19</v>
      </c>
      <c r="W5" s="41">
        <v>20</v>
      </c>
      <c r="X5" s="41">
        <v>21</v>
      </c>
      <c r="Y5" s="39">
        <v>22</v>
      </c>
      <c r="Z5" s="39">
        <v>23</v>
      </c>
      <c r="AA5" s="42">
        <v>24</v>
      </c>
      <c r="AB5" s="14" t="s">
        <v>2</v>
      </c>
      <c r="AC5" s="15" t="s">
        <v>3</v>
      </c>
      <c r="AD5" s="16" t="s">
        <v>2</v>
      </c>
    </row>
    <row r="6" spans="2:31">
      <c r="B6" s="48">
        <v>46023</v>
      </c>
      <c r="C6" s="8" t="s">
        <v>5</v>
      </c>
      <c r="D6" s="7">
        <v>3000</v>
      </c>
      <c r="E6" s="7">
        <v>3000</v>
      </c>
      <c r="F6" s="7">
        <v>3000</v>
      </c>
      <c r="G6" s="7">
        <v>3000</v>
      </c>
      <c r="H6" s="7">
        <v>3000</v>
      </c>
      <c r="I6" s="7">
        <v>3000</v>
      </c>
      <c r="J6" s="7">
        <v>3000</v>
      </c>
      <c r="K6" s="7">
        <v>3000</v>
      </c>
      <c r="L6" s="7">
        <v>3000</v>
      </c>
      <c r="M6" s="7">
        <v>3000</v>
      </c>
      <c r="N6" s="7">
        <v>3000</v>
      </c>
      <c r="O6" s="7">
        <v>3000</v>
      </c>
      <c r="P6" s="7">
        <v>3000</v>
      </c>
      <c r="Q6" s="7">
        <v>3000</v>
      </c>
      <c r="R6" s="7">
        <v>3000</v>
      </c>
      <c r="S6" s="7">
        <v>3000</v>
      </c>
      <c r="T6" s="7">
        <v>3000</v>
      </c>
      <c r="U6" s="7">
        <v>3000</v>
      </c>
      <c r="V6" s="7">
        <v>3000</v>
      </c>
      <c r="W6" s="7">
        <v>3000</v>
      </c>
      <c r="X6" s="7">
        <v>3000</v>
      </c>
      <c r="Y6" s="7">
        <v>3000</v>
      </c>
      <c r="Z6" s="7">
        <v>3000</v>
      </c>
      <c r="AA6" s="11">
        <v>3000</v>
      </c>
      <c r="AB6" s="5">
        <f t="shared" ref="AB6:AB53" si="0">(SUM(D6:AA6))</f>
        <v>72000</v>
      </c>
      <c r="AC6" s="5">
        <v>20</v>
      </c>
      <c r="AD6" s="51">
        <f>(AB6*AC6)+(AB7*AC7)+(AB8*AC8)+(AB9*AC9)</f>
        <v>2232000</v>
      </c>
      <c r="AE6" s="47">
        <f>+AD6</f>
        <v>2232000</v>
      </c>
    </row>
    <row r="7" spans="2:31">
      <c r="B7" s="49"/>
      <c r="C7" s="1" t="s">
        <v>6</v>
      </c>
      <c r="D7" s="2">
        <v>3000</v>
      </c>
      <c r="E7" s="2">
        <v>3000</v>
      </c>
      <c r="F7" s="2">
        <v>3000</v>
      </c>
      <c r="G7" s="2">
        <v>3000</v>
      </c>
      <c r="H7" s="2">
        <v>3000</v>
      </c>
      <c r="I7" s="2">
        <v>3000</v>
      </c>
      <c r="J7" s="2">
        <v>3000</v>
      </c>
      <c r="K7" s="2">
        <v>3000</v>
      </c>
      <c r="L7" s="2">
        <v>3000</v>
      </c>
      <c r="M7" s="2">
        <v>3000</v>
      </c>
      <c r="N7" s="2">
        <v>3000</v>
      </c>
      <c r="O7" s="2">
        <v>3000</v>
      </c>
      <c r="P7" s="2">
        <v>3000</v>
      </c>
      <c r="Q7" s="2">
        <v>3000</v>
      </c>
      <c r="R7" s="2">
        <v>3000</v>
      </c>
      <c r="S7" s="2">
        <v>3000</v>
      </c>
      <c r="T7" s="2">
        <v>3000</v>
      </c>
      <c r="U7" s="2">
        <v>3000</v>
      </c>
      <c r="V7" s="2">
        <v>3000</v>
      </c>
      <c r="W7" s="2">
        <v>3000</v>
      </c>
      <c r="X7" s="2">
        <v>3000</v>
      </c>
      <c r="Y7" s="2">
        <v>3000</v>
      </c>
      <c r="Z7" s="2">
        <v>3000</v>
      </c>
      <c r="AA7" s="12">
        <v>3000</v>
      </c>
      <c r="AB7" s="3">
        <f t="shared" si="0"/>
        <v>72000</v>
      </c>
      <c r="AC7" s="3">
        <v>5</v>
      </c>
      <c r="AD7" s="52"/>
      <c r="AE7" s="47">
        <f>+AD10</f>
        <v>2016000</v>
      </c>
    </row>
    <row r="8" spans="2:31">
      <c r="B8" s="49"/>
      <c r="C8" s="1" t="s">
        <v>7</v>
      </c>
      <c r="D8" s="2">
        <v>3000</v>
      </c>
      <c r="E8" s="2">
        <v>3000</v>
      </c>
      <c r="F8" s="2">
        <v>3000</v>
      </c>
      <c r="G8" s="2">
        <v>3000</v>
      </c>
      <c r="H8" s="2">
        <v>3000</v>
      </c>
      <c r="I8" s="2">
        <v>3000</v>
      </c>
      <c r="J8" s="2">
        <v>3000</v>
      </c>
      <c r="K8" s="2">
        <v>3000</v>
      </c>
      <c r="L8" s="2">
        <v>3000</v>
      </c>
      <c r="M8" s="2">
        <v>3000</v>
      </c>
      <c r="N8" s="2">
        <v>3000</v>
      </c>
      <c r="O8" s="2">
        <v>3000</v>
      </c>
      <c r="P8" s="2">
        <v>3000</v>
      </c>
      <c r="Q8" s="2">
        <v>3000</v>
      </c>
      <c r="R8" s="2">
        <v>3000</v>
      </c>
      <c r="S8" s="2">
        <v>3000</v>
      </c>
      <c r="T8" s="2">
        <v>3000</v>
      </c>
      <c r="U8" s="2">
        <v>3000</v>
      </c>
      <c r="V8" s="2">
        <v>3000</v>
      </c>
      <c r="W8" s="2">
        <v>3000</v>
      </c>
      <c r="X8" s="2">
        <v>3000</v>
      </c>
      <c r="Y8" s="2">
        <v>3000</v>
      </c>
      <c r="Z8" s="2">
        <v>3000</v>
      </c>
      <c r="AA8" s="12">
        <v>3000</v>
      </c>
      <c r="AB8" s="3">
        <f t="shared" si="0"/>
        <v>72000</v>
      </c>
      <c r="AC8" s="3">
        <v>4</v>
      </c>
      <c r="AD8" s="52"/>
      <c r="AE8" s="47">
        <f>+AD14</f>
        <v>2232000</v>
      </c>
    </row>
    <row r="9" spans="2:31" ht="15" thickBot="1">
      <c r="B9" s="50"/>
      <c r="C9" s="9" t="s">
        <v>8</v>
      </c>
      <c r="D9" s="10">
        <v>3000</v>
      </c>
      <c r="E9" s="10">
        <v>3000</v>
      </c>
      <c r="F9" s="10">
        <v>3000</v>
      </c>
      <c r="G9" s="10">
        <v>3000</v>
      </c>
      <c r="H9" s="10">
        <v>3000</v>
      </c>
      <c r="I9" s="10">
        <v>3000</v>
      </c>
      <c r="J9" s="10">
        <v>3000</v>
      </c>
      <c r="K9" s="10">
        <v>3000</v>
      </c>
      <c r="L9" s="10">
        <v>3000</v>
      </c>
      <c r="M9" s="10">
        <v>3000</v>
      </c>
      <c r="N9" s="10">
        <v>3000</v>
      </c>
      <c r="O9" s="10">
        <v>3000</v>
      </c>
      <c r="P9" s="10">
        <v>3000</v>
      </c>
      <c r="Q9" s="10">
        <v>3000</v>
      </c>
      <c r="R9" s="10">
        <v>3000</v>
      </c>
      <c r="S9" s="10">
        <v>3000</v>
      </c>
      <c r="T9" s="10">
        <v>3000</v>
      </c>
      <c r="U9" s="10">
        <v>3000</v>
      </c>
      <c r="V9" s="10">
        <v>3000</v>
      </c>
      <c r="W9" s="10">
        <v>3000</v>
      </c>
      <c r="X9" s="10">
        <v>3000</v>
      </c>
      <c r="Y9" s="10">
        <v>3000</v>
      </c>
      <c r="Z9" s="10">
        <v>3000</v>
      </c>
      <c r="AA9" s="13">
        <v>3000</v>
      </c>
      <c r="AB9" s="6">
        <f t="shared" si="0"/>
        <v>72000</v>
      </c>
      <c r="AC9" s="6">
        <v>2</v>
      </c>
      <c r="AD9" s="53"/>
      <c r="AE9" s="47">
        <f>+AD18</f>
        <v>2160000</v>
      </c>
    </row>
    <row r="10" spans="2:31">
      <c r="B10" s="48">
        <v>46054</v>
      </c>
      <c r="C10" s="8" t="s">
        <v>5</v>
      </c>
      <c r="D10" s="7">
        <v>3000</v>
      </c>
      <c r="E10" s="7">
        <v>3000</v>
      </c>
      <c r="F10" s="7">
        <v>3000</v>
      </c>
      <c r="G10" s="7">
        <v>3000</v>
      </c>
      <c r="H10" s="7">
        <v>3000</v>
      </c>
      <c r="I10" s="7">
        <v>3000</v>
      </c>
      <c r="J10" s="7">
        <v>3000</v>
      </c>
      <c r="K10" s="7">
        <v>3000</v>
      </c>
      <c r="L10" s="7">
        <v>3000</v>
      </c>
      <c r="M10" s="7">
        <v>3000</v>
      </c>
      <c r="N10" s="7">
        <v>3000</v>
      </c>
      <c r="O10" s="7">
        <v>3000</v>
      </c>
      <c r="P10" s="7">
        <v>3000</v>
      </c>
      <c r="Q10" s="7">
        <v>3000</v>
      </c>
      <c r="R10" s="7">
        <v>3000</v>
      </c>
      <c r="S10" s="7">
        <v>3000</v>
      </c>
      <c r="T10" s="7">
        <v>3000</v>
      </c>
      <c r="U10" s="7">
        <v>3000</v>
      </c>
      <c r="V10" s="7">
        <v>3000</v>
      </c>
      <c r="W10" s="7">
        <v>3000</v>
      </c>
      <c r="X10" s="7">
        <v>3000</v>
      </c>
      <c r="Y10" s="7">
        <v>3000</v>
      </c>
      <c r="Z10" s="7">
        <v>3000</v>
      </c>
      <c r="AA10" s="11">
        <v>3000</v>
      </c>
      <c r="AB10" s="5">
        <f t="shared" si="0"/>
        <v>72000</v>
      </c>
      <c r="AC10" s="5">
        <v>20</v>
      </c>
      <c r="AD10" s="51">
        <f>(AB10*AC10)+(AB11*AC11)+(AB12*AC12)+(AB13*AC13)</f>
        <v>2016000</v>
      </c>
      <c r="AE10" s="47">
        <f>+AD22</f>
        <v>2232000</v>
      </c>
    </row>
    <row r="11" spans="2:31">
      <c r="B11" s="49"/>
      <c r="C11" s="1" t="s">
        <v>6</v>
      </c>
      <c r="D11" s="2">
        <v>3000</v>
      </c>
      <c r="E11" s="2">
        <v>3000</v>
      </c>
      <c r="F11" s="2">
        <v>3000</v>
      </c>
      <c r="G11" s="2">
        <v>3000</v>
      </c>
      <c r="H11" s="2">
        <v>3000</v>
      </c>
      <c r="I11" s="2">
        <v>3000</v>
      </c>
      <c r="J11" s="2">
        <v>3000</v>
      </c>
      <c r="K11" s="2">
        <v>3000</v>
      </c>
      <c r="L11" s="2">
        <v>3000</v>
      </c>
      <c r="M11" s="2">
        <v>3000</v>
      </c>
      <c r="N11" s="2">
        <v>3000</v>
      </c>
      <c r="O11" s="2">
        <v>3000</v>
      </c>
      <c r="P11" s="2">
        <v>3000</v>
      </c>
      <c r="Q11" s="2">
        <v>3000</v>
      </c>
      <c r="R11" s="2">
        <v>3000</v>
      </c>
      <c r="S11" s="2">
        <v>3000</v>
      </c>
      <c r="T11" s="2">
        <v>3000</v>
      </c>
      <c r="U11" s="2">
        <v>3000</v>
      </c>
      <c r="V11" s="2">
        <v>3000</v>
      </c>
      <c r="W11" s="2">
        <v>3000</v>
      </c>
      <c r="X11" s="2">
        <v>3000</v>
      </c>
      <c r="Y11" s="2">
        <v>3000</v>
      </c>
      <c r="Z11" s="2">
        <v>3000</v>
      </c>
      <c r="AA11" s="12">
        <v>3000</v>
      </c>
      <c r="AB11" s="3">
        <f t="shared" si="0"/>
        <v>72000</v>
      </c>
      <c r="AC11" s="3">
        <v>4</v>
      </c>
      <c r="AD11" s="52"/>
      <c r="AE11" s="47">
        <f>+AD26</f>
        <v>2160000</v>
      </c>
    </row>
    <row r="12" spans="2:31">
      <c r="B12" s="49"/>
      <c r="C12" s="1" t="s">
        <v>7</v>
      </c>
      <c r="D12" s="2">
        <v>3000</v>
      </c>
      <c r="E12" s="2">
        <v>3000</v>
      </c>
      <c r="F12" s="2">
        <v>3000</v>
      </c>
      <c r="G12" s="2">
        <v>3000</v>
      </c>
      <c r="H12" s="2">
        <v>3000</v>
      </c>
      <c r="I12" s="2">
        <v>3000</v>
      </c>
      <c r="J12" s="2">
        <v>3000</v>
      </c>
      <c r="K12" s="2">
        <v>3000</v>
      </c>
      <c r="L12" s="2">
        <v>3000</v>
      </c>
      <c r="M12" s="2">
        <v>3000</v>
      </c>
      <c r="N12" s="2">
        <v>3000</v>
      </c>
      <c r="O12" s="2">
        <v>3000</v>
      </c>
      <c r="P12" s="2">
        <v>3000</v>
      </c>
      <c r="Q12" s="2">
        <v>3000</v>
      </c>
      <c r="R12" s="2">
        <v>3000</v>
      </c>
      <c r="S12" s="2">
        <v>3000</v>
      </c>
      <c r="T12" s="2">
        <v>3000</v>
      </c>
      <c r="U12" s="2">
        <v>3000</v>
      </c>
      <c r="V12" s="2">
        <v>3000</v>
      </c>
      <c r="W12" s="2">
        <v>3000</v>
      </c>
      <c r="X12" s="2">
        <v>3000</v>
      </c>
      <c r="Y12" s="2">
        <v>3000</v>
      </c>
      <c r="Z12" s="2">
        <v>3000</v>
      </c>
      <c r="AA12" s="12">
        <v>3000</v>
      </c>
      <c r="AB12" s="3">
        <f t="shared" si="0"/>
        <v>72000</v>
      </c>
      <c r="AC12" s="3">
        <v>4</v>
      </c>
      <c r="AD12" s="52"/>
      <c r="AE12" s="47">
        <f>+AD30</f>
        <v>2232000</v>
      </c>
    </row>
    <row r="13" spans="2:31" ht="15" thickBot="1">
      <c r="B13" s="50"/>
      <c r="C13" s="9" t="s">
        <v>8</v>
      </c>
      <c r="D13" s="10">
        <v>3000</v>
      </c>
      <c r="E13" s="10">
        <v>3000</v>
      </c>
      <c r="F13" s="10">
        <v>3000</v>
      </c>
      <c r="G13" s="10">
        <v>3000</v>
      </c>
      <c r="H13" s="10">
        <v>3000</v>
      </c>
      <c r="I13" s="10">
        <v>3000</v>
      </c>
      <c r="J13" s="10">
        <v>3000</v>
      </c>
      <c r="K13" s="10">
        <v>3000</v>
      </c>
      <c r="L13" s="10">
        <v>3000</v>
      </c>
      <c r="M13" s="10">
        <v>3000</v>
      </c>
      <c r="N13" s="10">
        <v>3000</v>
      </c>
      <c r="O13" s="10">
        <v>3000</v>
      </c>
      <c r="P13" s="10">
        <v>3000</v>
      </c>
      <c r="Q13" s="10">
        <v>3000</v>
      </c>
      <c r="R13" s="10">
        <v>3000</v>
      </c>
      <c r="S13" s="10">
        <v>3000</v>
      </c>
      <c r="T13" s="10">
        <v>3000</v>
      </c>
      <c r="U13" s="10">
        <v>3000</v>
      </c>
      <c r="V13" s="10">
        <v>3000</v>
      </c>
      <c r="W13" s="10">
        <v>3000</v>
      </c>
      <c r="X13" s="10">
        <v>3000</v>
      </c>
      <c r="Y13" s="10">
        <v>3000</v>
      </c>
      <c r="Z13" s="10">
        <v>3000</v>
      </c>
      <c r="AA13" s="13">
        <v>3000</v>
      </c>
      <c r="AB13" s="6">
        <f t="shared" si="0"/>
        <v>72000</v>
      </c>
      <c r="AC13" s="6">
        <v>0</v>
      </c>
      <c r="AD13" s="53"/>
      <c r="AE13" s="47">
        <f>+AD34</f>
        <v>2232000</v>
      </c>
    </row>
    <row r="14" spans="2:31">
      <c r="B14" s="48">
        <v>46082</v>
      </c>
      <c r="C14" s="8" t="s">
        <v>5</v>
      </c>
      <c r="D14" s="7">
        <v>3000</v>
      </c>
      <c r="E14" s="7">
        <v>3000</v>
      </c>
      <c r="F14" s="7">
        <v>3000</v>
      </c>
      <c r="G14" s="7">
        <v>3000</v>
      </c>
      <c r="H14" s="7">
        <v>3000</v>
      </c>
      <c r="I14" s="7">
        <v>3000</v>
      </c>
      <c r="J14" s="7">
        <v>3000</v>
      </c>
      <c r="K14" s="7">
        <v>3000</v>
      </c>
      <c r="L14" s="7">
        <v>3000</v>
      </c>
      <c r="M14" s="7">
        <v>3000</v>
      </c>
      <c r="N14" s="7">
        <v>3000</v>
      </c>
      <c r="O14" s="7">
        <v>3000</v>
      </c>
      <c r="P14" s="7">
        <v>3000</v>
      </c>
      <c r="Q14" s="7">
        <v>3000</v>
      </c>
      <c r="R14" s="7">
        <v>3000</v>
      </c>
      <c r="S14" s="7">
        <v>3000</v>
      </c>
      <c r="T14" s="7">
        <v>3000</v>
      </c>
      <c r="U14" s="7">
        <v>3000</v>
      </c>
      <c r="V14" s="7">
        <v>3000</v>
      </c>
      <c r="W14" s="7">
        <v>3000</v>
      </c>
      <c r="X14" s="7">
        <v>3000</v>
      </c>
      <c r="Y14" s="7">
        <v>3000</v>
      </c>
      <c r="Z14" s="7">
        <v>3000</v>
      </c>
      <c r="AA14" s="11">
        <v>3000</v>
      </c>
      <c r="AB14" s="5">
        <f t="shared" si="0"/>
        <v>72000</v>
      </c>
      <c r="AC14" s="5">
        <v>21</v>
      </c>
      <c r="AD14" s="51">
        <f>(AB14*AC14)+(AB15*AC15)+(AB16*AC16)+(AB17*AC17)</f>
        <v>2232000</v>
      </c>
      <c r="AE14" s="47">
        <f>+AD38</f>
        <v>2160000</v>
      </c>
    </row>
    <row r="15" spans="2:31">
      <c r="B15" s="49"/>
      <c r="C15" s="1" t="s">
        <v>6</v>
      </c>
      <c r="D15" s="2">
        <v>3000</v>
      </c>
      <c r="E15" s="2">
        <v>3000</v>
      </c>
      <c r="F15" s="2">
        <v>3000</v>
      </c>
      <c r="G15" s="2">
        <v>3000</v>
      </c>
      <c r="H15" s="2">
        <v>3000</v>
      </c>
      <c r="I15" s="2">
        <v>3000</v>
      </c>
      <c r="J15" s="2">
        <v>3000</v>
      </c>
      <c r="K15" s="2">
        <v>3000</v>
      </c>
      <c r="L15" s="2">
        <v>3000</v>
      </c>
      <c r="M15" s="2">
        <v>3000</v>
      </c>
      <c r="N15" s="2">
        <v>3000</v>
      </c>
      <c r="O15" s="2">
        <v>3000</v>
      </c>
      <c r="P15" s="2">
        <v>3000</v>
      </c>
      <c r="Q15" s="2">
        <v>3000</v>
      </c>
      <c r="R15" s="2">
        <v>3000</v>
      </c>
      <c r="S15" s="2">
        <v>3000</v>
      </c>
      <c r="T15" s="2">
        <v>3000</v>
      </c>
      <c r="U15" s="2">
        <v>3000</v>
      </c>
      <c r="V15" s="2">
        <v>3000</v>
      </c>
      <c r="W15" s="2">
        <v>3000</v>
      </c>
      <c r="X15" s="2">
        <v>3000</v>
      </c>
      <c r="Y15" s="2">
        <v>3000</v>
      </c>
      <c r="Z15" s="2">
        <v>3000</v>
      </c>
      <c r="AA15" s="12">
        <v>3000</v>
      </c>
      <c r="AB15" s="3">
        <f t="shared" si="0"/>
        <v>72000</v>
      </c>
      <c r="AC15" s="3">
        <v>4</v>
      </c>
      <c r="AD15" s="52"/>
      <c r="AE15" s="47">
        <f>+AD42</f>
        <v>2232000</v>
      </c>
    </row>
    <row r="16" spans="2:31">
      <c r="B16" s="49"/>
      <c r="C16" s="1" t="s">
        <v>7</v>
      </c>
      <c r="D16" s="2">
        <v>3000</v>
      </c>
      <c r="E16" s="2">
        <v>3000</v>
      </c>
      <c r="F16" s="2">
        <v>3000</v>
      </c>
      <c r="G16" s="2">
        <v>3000</v>
      </c>
      <c r="H16" s="2">
        <v>3000</v>
      </c>
      <c r="I16" s="2">
        <v>3000</v>
      </c>
      <c r="J16" s="2">
        <v>3000</v>
      </c>
      <c r="K16" s="2">
        <v>3000</v>
      </c>
      <c r="L16" s="2">
        <v>3000</v>
      </c>
      <c r="M16" s="2">
        <v>3000</v>
      </c>
      <c r="N16" s="2">
        <v>3000</v>
      </c>
      <c r="O16" s="2">
        <v>3000</v>
      </c>
      <c r="P16" s="2">
        <v>3000</v>
      </c>
      <c r="Q16" s="2">
        <v>3000</v>
      </c>
      <c r="R16" s="2">
        <v>3000</v>
      </c>
      <c r="S16" s="2">
        <v>3000</v>
      </c>
      <c r="T16" s="2">
        <v>3000</v>
      </c>
      <c r="U16" s="2">
        <v>3000</v>
      </c>
      <c r="V16" s="2">
        <v>3000</v>
      </c>
      <c r="W16" s="2">
        <v>3000</v>
      </c>
      <c r="X16" s="2">
        <v>3000</v>
      </c>
      <c r="Y16" s="2">
        <v>3000</v>
      </c>
      <c r="Z16" s="2">
        <v>3000</v>
      </c>
      <c r="AA16" s="12">
        <v>3000</v>
      </c>
      <c r="AB16" s="3">
        <f t="shared" si="0"/>
        <v>72000</v>
      </c>
      <c r="AC16" s="3">
        <v>5</v>
      </c>
      <c r="AD16" s="52"/>
      <c r="AE16" s="47">
        <f>+AD46</f>
        <v>2160000</v>
      </c>
    </row>
    <row r="17" spans="2:31" ht="15" thickBot="1">
      <c r="B17" s="50"/>
      <c r="C17" s="9" t="s">
        <v>8</v>
      </c>
      <c r="D17" s="10">
        <v>3000</v>
      </c>
      <c r="E17" s="10">
        <v>3000</v>
      </c>
      <c r="F17" s="10">
        <v>3000</v>
      </c>
      <c r="G17" s="10">
        <v>3000</v>
      </c>
      <c r="H17" s="10">
        <v>3000</v>
      </c>
      <c r="I17" s="10">
        <v>3000</v>
      </c>
      <c r="J17" s="10">
        <v>3000</v>
      </c>
      <c r="K17" s="10">
        <v>3000</v>
      </c>
      <c r="L17" s="10">
        <v>3000</v>
      </c>
      <c r="M17" s="10">
        <v>3000</v>
      </c>
      <c r="N17" s="10">
        <v>3000</v>
      </c>
      <c r="O17" s="10">
        <v>3000</v>
      </c>
      <c r="P17" s="10">
        <v>3000</v>
      </c>
      <c r="Q17" s="10">
        <v>3000</v>
      </c>
      <c r="R17" s="10">
        <v>3000</v>
      </c>
      <c r="S17" s="10">
        <v>3000</v>
      </c>
      <c r="T17" s="10">
        <v>3000</v>
      </c>
      <c r="U17" s="10">
        <v>3000</v>
      </c>
      <c r="V17" s="10">
        <v>3000</v>
      </c>
      <c r="W17" s="10">
        <v>3000</v>
      </c>
      <c r="X17" s="10">
        <v>3000</v>
      </c>
      <c r="Y17" s="10">
        <v>3000</v>
      </c>
      <c r="Z17" s="10">
        <v>3000</v>
      </c>
      <c r="AA17" s="13">
        <v>3000</v>
      </c>
      <c r="AB17" s="6">
        <f t="shared" si="0"/>
        <v>72000</v>
      </c>
      <c r="AC17" s="6">
        <v>1</v>
      </c>
      <c r="AD17" s="53"/>
      <c r="AE17" s="47">
        <f>+AD50</f>
        <v>2232000</v>
      </c>
    </row>
    <row r="18" spans="2:31">
      <c r="B18" s="48">
        <v>46113</v>
      </c>
      <c r="C18" s="8" t="s">
        <v>5</v>
      </c>
      <c r="D18" s="7">
        <v>3000</v>
      </c>
      <c r="E18" s="7">
        <v>3000</v>
      </c>
      <c r="F18" s="7">
        <v>3000</v>
      </c>
      <c r="G18" s="7">
        <v>3000</v>
      </c>
      <c r="H18" s="7">
        <v>3000</v>
      </c>
      <c r="I18" s="7">
        <v>3000</v>
      </c>
      <c r="J18" s="7">
        <v>3000</v>
      </c>
      <c r="K18" s="7">
        <v>3000</v>
      </c>
      <c r="L18" s="7">
        <v>3000</v>
      </c>
      <c r="M18" s="7">
        <v>3000</v>
      </c>
      <c r="N18" s="7">
        <v>3000</v>
      </c>
      <c r="O18" s="7">
        <v>3000</v>
      </c>
      <c r="P18" s="7">
        <v>3000</v>
      </c>
      <c r="Q18" s="7">
        <v>3000</v>
      </c>
      <c r="R18" s="7">
        <v>3000</v>
      </c>
      <c r="S18" s="7">
        <v>3000</v>
      </c>
      <c r="T18" s="7">
        <v>3000</v>
      </c>
      <c r="U18" s="7">
        <v>3000</v>
      </c>
      <c r="V18" s="7">
        <v>3000</v>
      </c>
      <c r="W18" s="7">
        <v>3000</v>
      </c>
      <c r="X18" s="7">
        <v>3000</v>
      </c>
      <c r="Y18" s="7">
        <v>3000</v>
      </c>
      <c r="Z18" s="7">
        <v>3000</v>
      </c>
      <c r="AA18" s="11">
        <v>3000</v>
      </c>
      <c r="AB18" s="5">
        <f t="shared" si="0"/>
        <v>72000</v>
      </c>
      <c r="AC18" s="5">
        <v>20</v>
      </c>
      <c r="AD18" s="51">
        <f>(AB18*AC18)+(AB19*AC19)+(AB20*AC20)+(AB21*AC21)</f>
        <v>2160000</v>
      </c>
      <c r="AE18" s="47">
        <f>+AD54</f>
        <v>0</v>
      </c>
    </row>
    <row r="19" spans="2:31">
      <c r="B19" s="49"/>
      <c r="C19" s="1" t="s">
        <v>6</v>
      </c>
      <c r="D19" s="2">
        <v>3000</v>
      </c>
      <c r="E19" s="2">
        <v>3000</v>
      </c>
      <c r="F19" s="2">
        <v>3000</v>
      </c>
      <c r="G19" s="2">
        <v>3000</v>
      </c>
      <c r="H19" s="2">
        <v>3000</v>
      </c>
      <c r="I19" s="2">
        <v>3000</v>
      </c>
      <c r="J19" s="2">
        <v>3000</v>
      </c>
      <c r="K19" s="2">
        <v>3000</v>
      </c>
      <c r="L19" s="2">
        <v>3000</v>
      </c>
      <c r="M19" s="2">
        <v>3000</v>
      </c>
      <c r="N19" s="2">
        <v>3000</v>
      </c>
      <c r="O19" s="2">
        <v>3000</v>
      </c>
      <c r="P19" s="2">
        <v>3000</v>
      </c>
      <c r="Q19" s="2">
        <v>3000</v>
      </c>
      <c r="R19" s="2">
        <v>3000</v>
      </c>
      <c r="S19" s="2">
        <v>3000</v>
      </c>
      <c r="T19" s="2">
        <v>3000</v>
      </c>
      <c r="U19" s="2">
        <v>3000</v>
      </c>
      <c r="V19" s="2">
        <v>3000</v>
      </c>
      <c r="W19" s="2">
        <v>3000</v>
      </c>
      <c r="X19" s="2">
        <v>3000</v>
      </c>
      <c r="Y19" s="2">
        <v>3000</v>
      </c>
      <c r="Z19" s="2">
        <v>3000</v>
      </c>
      <c r="AA19" s="12">
        <v>3000</v>
      </c>
      <c r="AB19" s="3">
        <f t="shared" si="0"/>
        <v>72000</v>
      </c>
      <c r="AC19" s="3">
        <v>4</v>
      </c>
      <c r="AD19" s="52"/>
      <c r="AE19" s="47">
        <f>+AD58</f>
        <v>0</v>
      </c>
    </row>
    <row r="20" spans="2:31">
      <c r="B20" s="49"/>
      <c r="C20" s="1" t="s">
        <v>7</v>
      </c>
      <c r="D20" s="2">
        <v>3000</v>
      </c>
      <c r="E20" s="2">
        <v>3000</v>
      </c>
      <c r="F20" s="2">
        <v>3000</v>
      </c>
      <c r="G20" s="2">
        <v>3000</v>
      </c>
      <c r="H20" s="2">
        <v>3000</v>
      </c>
      <c r="I20" s="2">
        <v>3000</v>
      </c>
      <c r="J20" s="2">
        <v>3000</v>
      </c>
      <c r="K20" s="2">
        <v>3000</v>
      </c>
      <c r="L20" s="2">
        <v>3000</v>
      </c>
      <c r="M20" s="2">
        <v>3000</v>
      </c>
      <c r="N20" s="2">
        <v>3000</v>
      </c>
      <c r="O20" s="2">
        <v>3000</v>
      </c>
      <c r="P20" s="2">
        <v>3000</v>
      </c>
      <c r="Q20" s="2">
        <v>3000</v>
      </c>
      <c r="R20" s="2">
        <v>3000</v>
      </c>
      <c r="S20" s="2">
        <v>3000</v>
      </c>
      <c r="T20" s="2">
        <v>3000</v>
      </c>
      <c r="U20" s="2">
        <v>3000</v>
      </c>
      <c r="V20" s="2">
        <v>3000</v>
      </c>
      <c r="W20" s="2">
        <v>3000</v>
      </c>
      <c r="X20" s="2">
        <v>3000</v>
      </c>
      <c r="Y20" s="2">
        <v>3000</v>
      </c>
      <c r="Z20" s="2">
        <v>3000</v>
      </c>
      <c r="AA20" s="12">
        <v>3000</v>
      </c>
      <c r="AB20" s="3">
        <f t="shared" si="0"/>
        <v>72000</v>
      </c>
      <c r="AC20" s="3">
        <v>4</v>
      </c>
      <c r="AD20" s="52"/>
      <c r="AE20" s="47">
        <f>+AD62</f>
        <v>0</v>
      </c>
    </row>
    <row r="21" spans="2:31" ht="15" thickBot="1">
      <c r="B21" s="50"/>
      <c r="C21" s="9" t="s">
        <v>8</v>
      </c>
      <c r="D21" s="10">
        <v>3000</v>
      </c>
      <c r="E21" s="10">
        <v>3000</v>
      </c>
      <c r="F21" s="10">
        <v>3000</v>
      </c>
      <c r="G21" s="10">
        <v>3000</v>
      </c>
      <c r="H21" s="10">
        <v>3000</v>
      </c>
      <c r="I21" s="10">
        <v>3000</v>
      </c>
      <c r="J21" s="10">
        <v>3000</v>
      </c>
      <c r="K21" s="10">
        <v>3000</v>
      </c>
      <c r="L21" s="10">
        <v>3000</v>
      </c>
      <c r="M21" s="10">
        <v>3000</v>
      </c>
      <c r="N21" s="10">
        <v>3000</v>
      </c>
      <c r="O21" s="10">
        <v>3000</v>
      </c>
      <c r="P21" s="10">
        <v>3000</v>
      </c>
      <c r="Q21" s="10">
        <v>3000</v>
      </c>
      <c r="R21" s="10">
        <v>3000</v>
      </c>
      <c r="S21" s="10">
        <v>3000</v>
      </c>
      <c r="T21" s="10">
        <v>3000</v>
      </c>
      <c r="U21" s="10">
        <v>3000</v>
      </c>
      <c r="V21" s="10">
        <v>3000</v>
      </c>
      <c r="W21" s="10">
        <v>3000</v>
      </c>
      <c r="X21" s="10">
        <v>3000</v>
      </c>
      <c r="Y21" s="10">
        <v>3000</v>
      </c>
      <c r="Z21" s="10">
        <v>3000</v>
      </c>
      <c r="AA21" s="13">
        <v>3000</v>
      </c>
      <c r="AB21" s="6">
        <f t="shared" si="0"/>
        <v>72000</v>
      </c>
      <c r="AC21" s="6">
        <v>2</v>
      </c>
      <c r="AD21" s="53"/>
      <c r="AE21" s="47">
        <f>+AD66</f>
        <v>0</v>
      </c>
    </row>
    <row r="22" spans="2:31">
      <c r="B22" s="48">
        <v>46143</v>
      </c>
      <c r="C22" s="8" t="s">
        <v>5</v>
      </c>
      <c r="D22" s="7">
        <v>3000</v>
      </c>
      <c r="E22" s="7">
        <v>3000</v>
      </c>
      <c r="F22" s="7">
        <v>3000</v>
      </c>
      <c r="G22" s="7">
        <v>3000</v>
      </c>
      <c r="H22" s="7">
        <v>3000</v>
      </c>
      <c r="I22" s="7">
        <v>3000</v>
      </c>
      <c r="J22" s="7">
        <v>3000</v>
      </c>
      <c r="K22" s="7">
        <v>3000</v>
      </c>
      <c r="L22" s="7">
        <v>3000</v>
      </c>
      <c r="M22" s="7">
        <v>3000</v>
      </c>
      <c r="N22" s="7">
        <v>3000</v>
      </c>
      <c r="O22" s="7">
        <v>3000</v>
      </c>
      <c r="P22" s="7">
        <v>3000</v>
      </c>
      <c r="Q22" s="7">
        <v>3000</v>
      </c>
      <c r="R22" s="7">
        <v>3000</v>
      </c>
      <c r="S22" s="7">
        <v>3000</v>
      </c>
      <c r="T22" s="7">
        <v>3000</v>
      </c>
      <c r="U22" s="7">
        <v>3000</v>
      </c>
      <c r="V22" s="7">
        <v>3000</v>
      </c>
      <c r="W22" s="7">
        <v>3000</v>
      </c>
      <c r="X22" s="7">
        <v>3000</v>
      </c>
      <c r="Y22" s="7">
        <v>3000</v>
      </c>
      <c r="Z22" s="7">
        <v>3000</v>
      </c>
      <c r="AA22" s="11">
        <v>3000</v>
      </c>
      <c r="AB22" s="5">
        <f t="shared" si="0"/>
        <v>72000</v>
      </c>
      <c r="AC22" s="5">
        <v>19</v>
      </c>
      <c r="AD22" s="51">
        <f>(AB22*AC22)+(AB23*AC23)+(AB24*AC24)+(AB25*AC25)</f>
        <v>2232000</v>
      </c>
      <c r="AE22" s="47">
        <f>+AD70</f>
        <v>0</v>
      </c>
    </row>
    <row r="23" spans="2:31">
      <c r="B23" s="49"/>
      <c r="C23" s="1" t="s">
        <v>6</v>
      </c>
      <c r="D23" s="2">
        <v>3000</v>
      </c>
      <c r="E23" s="2">
        <v>3000</v>
      </c>
      <c r="F23" s="2">
        <v>3000</v>
      </c>
      <c r="G23" s="2">
        <v>3000</v>
      </c>
      <c r="H23" s="2">
        <v>3000</v>
      </c>
      <c r="I23" s="2">
        <v>3000</v>
      </c>
      <c r="J23" s="2">
        <v>3000</v>
      </c>
      <c r="K23" s="2">
        <v>3000</v>
      </c>
      <c r="L23" s="2">
        <v>3000</v>
      </c>
      <c r="M23" s="2">
        <v>3000</v>
      </c>
      <c r="N23" s="2">
        <v>3000</v>
      </c>
      <c r="O23" s="2">
        <v>3000</v>
      </c>
      <c r="P23" s="2">
        <v>3000</v>
      </c>
      <c r="Q23" s="2">
        <v>3000</v>
      </c>
      <c r="R23" s="2">
        <v>3000</v>
      </c>
      <c r="S23" s="2">
        <v>3000</v>
      </c>
      <c r="T23" s="2">
        <v>3000</v>
      </c>
      <c r="U23" s="2">
        <v>3000</v>
      </c>
      <c r="V23" s="2">
        <v>3000</v>
      </c>
      <c r="W23" s="2">
        <v>3000</v>
      </c>
      <c r="X23" s="2">
        <v>3000</v>
      </c>
      <c r="Y23" s="2">
        <v>3000</v>
      </c>
      <c r="Z23" s="2">
        <v>3000</v>
      </c>
      <c r="AA23" s="12">
        <v>3000</v>
      </c>
      <c r="AB23" s="3">
        <f t="shared" si="0"/>
        <v>72000</v>
      </c>
      <c r="AC23" s="3">
        <v>5</v>
      </c>
      <c r="AD23" s="52"/>
      <c r="AE23" s="47">
        <f>+AD74</f>
        <v>0</v>
      </c>
    </row>
    <row r="24" spans="2:31">
      <c r="B24" s="49"/>
      <c r="C24" s="1" t="s">
        <v>7</v>
      </c>
      <c r="D24" s="2">
        <v>3000</v>
      </c>
      <c r="E24" s="2">
        <v>3000</v>
      </c>
      <c r="F24" s="2">
        <v>3000</v>
      </c>
      <c r="G24" s="2">
        <v>3000</v>
      </c>
      <c r="H24" s="2">
        <v>3000</v>
      </c>
      <c r="I24" s="2">
        <v>3000</v>
      </c>
      <c r="J24" s="2">
        <v>3000</v>
      </c>
      <c r="K24" s="2">
        <v>3000</v>
      </c>
      <c r="L24" s="2">
        <v>3000</v>
      </c>
      <c r="M24" s="2">
        <v>3000</v>
      </c>
      <c r="N24" s="2">
        <v>3000</v>
      </c>
      <c r="O24" s="2">
        <v>3000</v>
      </c>
      <c r="P24" s="2">
        <v>3000</v>
      </c>
      <c r="Q24" s="2">
        <v>3000</v>
      </c>
      <c r="R24" s="2">
        <v>3000</v>
      </c>
      <c r="S24" s="2">
        <v>3000</v>
      </c>
      <c r="T24" s="2">
        <v>3000</v>
      </c>
      <c r="U24" s="2">
        <v>3000</v>
      </c>
      <c r="V24" s="2">
        <v>3000</v>
      </c>
      <c r="W24" s="2">
        <v>3000</v>
      </c>
      <c r="X24" s="2">
        <v>3000</v>
      </c>
      <c r="Y24" s="2">
        <v>3000</v>
      </c>
      <c r="Z24" s="2">
        <v>3000</v>
      </c>
      <c r="AA24" s="12">
        <v>3000</v>
      </c>
      <c r="AB24" s="3">
        <f t="shared" si="0"/>
        <v>72000</v>
      </c>
      <c r="AC24" s="3">
        <v>5</v>
      </c>
      <c r="AD24" s="52"/>
      <c r="AE24" s="47">
        <f>+AD78</f>
        <v>0</v>
      </c>
    </row>
    <row r="25" spans="2:31" ht="15" thickBot="1">
      <c r="B25" s="50"/>
      <c r="C25" s="9" t="s">
        <v>8</v>
      </c>
      <c r="D25" s="10">
        <v>3000</v>
      </c>
      <c r="E25" s="10">
        <v>3000</v>
      </c>
      <c r="F25" s="10">
        <v>3000</v>
      </c>
      <c r="G25" s="10">
        <v>3000</v>
      </c>
      <c r="H25" s="10">
        <v>3000</v>
      </c>
      <c r="I25" s="10">
        <v>3000</v>
      </c>
      <c r="J25" s="10">
        <v>3000</v>
      </c>
      <c r="K25" s="10">
        <v>3000</v>
      </c>
      <c r="L25" s="10">
        <v>3000</v>
      </c>
      <c r="M25" s="10">
        <v>3000</v>
      </c>
      <c r="N25" s="10">
        <v>3000</v>
      </c>
      <c r="O25" s="10">
        <v>3000</v>
      </c>
      <c r="P25" s="10">
        <v>3000</v>
      </c>
      <c r="Q25" s="10">
        <v>3000</v>
      </c>
      <c r="R25" s="10">
        <v>3000</v>
      </c>
      <c r="S25" s="10">
        <v>3000</v>
      </c>
      <c r="T25" s="10">
        <v>3000</v>
      </c>
      <c r="U25" s="10">
        <v>3000</v>
      </c>
      <c r="V25" s="10">
        <v>3000</v>
      </c>
      <c r="W25" s="10">
        <v>3000</v>
      </c>
      <c r="X25" s="10">
        <v>3000</v>
      </c>
      <c r="Y25" s="10">
        <v>3000</v>
      </c>
      <c r="Z25" s="10">
        <v>3000</v>
      </c>
      <c r="AA25" s="13">
        <v>3000</v>
      </c>
      <c r="AB25" s="6">
        <f t="shared" si="0"/>
        <v>72000</v>
      </c>
      <c r="AC25" s="6">
        <v>2</v>
      </c>
      <c r="AD25" s="53"/>
      <c r="AE25" s="47">
        <f>+AD82</f>
        <v>0</v>
      </c>
    </row>
    <row r="26" spans="2:31">
      <c r="B26" s="48">
        <v>46174</v>
      </c>
      <c r="C26" s="8" t="s">
        <v>5</v>
      </c>
      <c r="D26" s="7">
        <v>3000</v>
      </c>
      <c r="E26" s="7">
        <v>3000</v>
      </c>
      <c r="F26" s="7">
        <v>3000</v>
      </c>
      <c r="G26" s="7">
        <v>3000</v>
      </c>
      <c r="H26" s="7">
        <v>3000</v>
      </c>
      <c r="I26" s="7">
        <v>3000</v>
      </c>
      <c r="J26" s="7">
        <v>3000</v>
      </c>
      <c r="K26" s="7">
        <v>3000</v>
      </c>
      <c r="L26" s="7">
        <v>3000</v>
      </c>
      <c r="M26" s="7">
        <v>3000</v>
      </c>
      <c r="N26" s="7">
        <v>3000</v>
      </c>
      <c r="O26" s="7">
        <v>3000</v>
      </c>
      <c r="P26" s="7">
        <v>3000</v>
      </c>
      <c r="Q26" s="7">
        <v>3000</v>
      </c>
      <c r="R26" s="7">
        <v>3000</v>
      </c>
      <c r="S26" s="7">
        <v>3000</v>
      </c>
      <c r="T26" s="7">
        <v>3000</v>
      </c>
      <c r="U26" s="7">
        <v>3000</v>
      </c>
      <c r="V26" s="7">
        <v>3000</v>
      </c>
      <c r="W26" s="7">
        <v>3000</v>
      </c>
      <c r="X26" s="7">
        <v>3000</v>
      </c>
      <c r="Y26" s="7">
        <v>3000</v>
      </c>
      <c r="Z26" s="7">
        <v>3000</v>
      </c>
      <c r="AA26" s="11">
        <v>3000</v>
      </c>
      <c r="AB26" s="5">
        <f t="shared" si="0"/>
        <v>72000</v>
      </c>
      <c r="AC26" s="5">
        <v>19</v>
      </c>
      <c r="AD26" s="51">
        <f>(AB26*AC26)+(AB27*AC27)+(AB28*AC28)+(AB29*AC29)</f>
        <v>2160000</v>
      </c>
      <c r="AE26" s="47">
        <f>+AD86</f>
        <v>0</v>
      </c>
    </row>
    <row r="27" spans="2:31">
      <c r="B27" s="49"/>
      <c r="C27" s="1" t="s">
        <v>6</v>
      </c>
      <c r="D27" s="2">
        <v>3000</v>
      </c>
      <c r="E27" s="2">
        <v>3000</v>
      </c>
      <c r="F27" s="2">
        <v>3000</v>
      </c>
      <c r="G27" s="2">
        <v>3000</v>
      </c>
      <c r="H27" s="2">
        <v>3000</v>
      </c>
      <c r="I27" s="2">
        <v>3000</v>
      </c>
      <c r="J27" s="2">
        <v>3000</v>
      </c>
      <c r="K27" s="2">
        <v>3000</v>
      </c>
      <c r="L27" s="2">
        <v>3000</v>
      </c>
      <c r="M27" s="2">
        <v>3000</v>
      </c>
      <c r="N27" s="2">
        <v>3000</v>
      </c>
      <c r="O27" s="2">
        <v>3000</v>
      </c>
      <c r="P27" s="2">
        <v>3000</v>
      </c>
      <c r="Q27" s="2">
        <v>3000</v>
      </c>
      <c r="R27" s="2">
        <v>3000</v>
      </c>
      <c r="S27" s="2">
        <v>3000</v>
      </c>
      <c r="T27" s="2">
        <v>3000</v>
      </c>
      <c r="U27" s="2">
        <v>3000</v>
      </c>
      <c r="V27" s="2">
        <v>3000</v>
      </c>
      <c r="W27" s="2">
        <v>3000</v>
      </c>
      <c r="X27" s="2">
        <v>3000</v>
      </c>
      <c r="Y27" s="2">
        <v>3000</v>
      </c>
      <c r="Z27" s="2">
        <v>3000</v>
      </c>
      <c r="AA27" s="12">
        <v>3000</v>
      </c>
      <c r="AB27" s="3">
        <f t="shared" si="0"/>
        <v>72000</v>
      </c>
      <c r="AC27" s="3">
        <v>4</v>
      </c>
      <c r="AD27" s="52"/>
      <c r="AE27" s="47">
        <f>+AD90</f>
        <v>0</v>
      </c>
    </row>
    <row r="28" spans="2:31">
      <c r="B28" s="49"/>
      <c r="C28" s="1" t="s">
        <v>7</v>
      </c>
      <c r="D28" s="2">
        <v>3000</v>
      </c>
      <c r="E28" s="2">
        <v>3000</v>
      </c>
      <c r="F28" s="2">
        <v>3000</v>
      </c>
      <c r="G28" s="2">
        <v>3000</v>
      </c>
      <c r="H28" s="2">
        <v>3000</v>
      </c>
      <c r="I28" s="2">
        <v>3000</v>
      </c>
      <c r="J28" s="2">
        <v>3000</v>
      </c>
      <c r="K28" s="2">
        <v>3000</v>
      </c>
      <c r="L28" s="2">
        <v>3000</v>
      </c>
      <c r="M28" s="2">
        <v>3000</v>
      </c>
      <c r="N28" s="2">
        <v>3000</v>
      </c>
      <c r="O28" s="2">
        <v>3000</v>
      </c>
      <c r="P28" s="2">
        <v>3000</v>
      </c>
      <c r="Q28" s="2">
        <v>3000</v>
      </c>
      <c r="R28" s="2">
        <v>3000</v>
      </c>
      <c r="S28" s="2">
        <v>3000</v>
      </c>
      <c r="T28" s="2">
        <v>3000</v>
      </c>
      <c r="U28" s="2">
        <v>3000</v>
      </c>
      <c r="V28" s="2">
        <v>3000</v>
      </c>
      <c r="W28" s="2">
        <v>3000</v>
      </c>
      <c r="X28" s="2">
        <v>3000</v>
      </c>
      <c r="Y28" s="2">
        <v>3000</v>
      </c>
      <c r="Z28" s="2">
        <v>3000</v>
      </c>
      <c r="AA28" s="12">
        <v>3000</v>
      </c>
      <c r="AB28" s="3">
        <f t="shared" si="0"/>
        <v>72000</v>
      </c>
      <c r="AC28" s="3">
        <v>4</v>
      </c>
      <c r="AD28" s="52"/>
      <c r="AE28" s="47">
        <f>+AD94</f>
        <v>0</v>
      </c>
    </row>
    <row r="29" spans="2:31" ht="15" thickBot="1">
      <c r="B29" s="50"/>
      <c r="C29" s="9" t="s">
        <v>8</v>
      </c>
      <c r="D29" s="10">
        <v>3000</v>
      </c>
      <c r="E29" s="10">
        <v>3000</v>
      </c>
      <c r="F29" s="10">
        <v>3000</v>
      </c>
      <c r="G29" s="10">
        <v>3000</v>
      </c>
      <c r="H29" s="10">
        <v>3000</v>
      </c>
      <c r="I29" s="10">
        <v>3000</v>
      </c>
      <c r="J29" s="10">
        <v>3000</v>
      </c>
      <c r="K29" s="10">
        <v>3000</v>
      </c>
      <c r="L29" s="10">
        <v>3000</v>
      </c>
      <c r="M29" s="10">
        <v>3000</v>
      </c>
      <c r="N29" s="10">
        <v>3000</v>
      </c>
      <c r="O29" s="10">
        <v>3000</v>
      </c>
      <c r="P29" s="10">
        <v>3000</v>
      </c>
      <c r="Q29" s="10">
        <v>3000</v>
      </c>
      <c r="R29" s="10">
        <v>3000</v>
      </c>
      <c r="S29" s="10">
        <v>3000</v>
      </c>
      <c r="T29" s="10">
        <v>3000</v>
      </c>
      <c r="U29" s="10">
        <v>3000</v>
      </c>
      <c r="V29" s="10">
        <v>3000</v>
      </c>
      <c r="W29" s="10">
        <v>3000</v>
      </c>
      <c r="X29" s="10">
        <v>3000</v>
      </c>
      <c r="Y29" s="10">
        <v>3000</v>
      </c>
      <c r="Z29" s="10">
        <v>3000</v>
      </c>
      <c r="AA29" s="13">
        <v>3000</v>
      </c>
      <c r="AB29" s="6">
        <f t="shared" si="0"/>
        <v>72000</v>
      </c>
      <c r="AC29" s="6">
        <v>3</v>
      </c>
      <c r="AD29" s="53"/>
      <c r="AE29" s="47">
        <f>+AD98</f>
        <v>0</v>
      </c>
    </row>
    <row r="30" spans="2:31">
      <c r="B30" s="48">
        <v>46204</v>
      </c>
      <c r="C30" s="8" t="s">
        <v>5</v>
      </c>
      <c r="D30" s="7">
        <v>3000</v>
      </c>
      <c r="E30" s="7">
        <v>3000</v>
      </c>
      <c r="F30" s="7">
        <v>3000</v>
      </c>
      <c r="G30" s="7">
        <v>3000</v>
      </c>
      <c r="H30" s="7">
        <v>3000</v>
      </c>
      <c r="I30" s="7">
        <v>3000</v>
      </c>
      <c r="J30" s="7">
        <v>3000</v>
      </c>
      <c r="K30" s="7">
        <v>3000</v>
      </c>
      <c r="L30" s="7">
        <v>3000</v>
      </c>
      <c r="M30" s="7">
        <v>3000</v>
      </c>
      <c r="N30" s="7">
        <v>3000</v>
      </c>
      <c r="O30" s="7">
        <v>3000</v>
      </c>
      <c r="P30" s="7">
        <v>3000</v>
      </c>
      <c r="Q30" s="7">
        <v>3000</v>
      </c>
      <c r="R30" s="7">
        <v>3000</v>
      </c>
      <c r="S30" s="7">
        <v>3000</v>
      </c>
      <c r="T30" s="7">
        <v>3000</v>
      </c>
      <c r="U30" s="7">
        <v>3000</v>
      </c>
      <c r="V30" s="7">
        <v>3000</v>
      </c>
      <c r="W30" s="7">
        <v>3000</v>
      </c>
      <c r="X30" s="7">
        <v>3000</v>
      </c>
      <c r="Y30" s="7">
        <v>3000</v>
      </c>
      <c r="Z30" s="7">
        <v>3000</v>
      </c>
      <c r="AA30" s="11">
        <v>3000</v>
      </c>
      <c r="AB30" s="5">
        <f t="shared" si="0"/>
        <v>72000</v>
      </c>
      <c r="AC30" s="5">
        <v>22</v>
      </c>
      <c r="AD30" s="51">
        <f>(AB30*AC30)+(AB31*AC31)+(AB32*AC32)+(AB33*AC33)</f>
        <v>2232000</v>
      </c>
      <c r="AE30" s="47">
        <f>+AD102</f>
        <v>1860000</v>
      </c>
    </row>
    <row r="31" spans="2:31">
      <c r="B31" s="49"/>
      <c r="C31" s="1" t="s">
        <v>6</v>
      </c>
      <c r="D31" s="2">
        <v>3000</v>
      </c>
      <c r="E31" s="2">
        <v>3000</v>
      </c>
      <c r="F31" s="2">
        <v>3000</v>
      </c>
      <c r="G31" s="2">
        <v>3000</v>
      </c>
      <c r="H31" s="2">
        <v>3000</v>
      </c>
      <c r="I31" s="2">
        <v>3000</v>
      </c>
      <c r="J31" s="2">
        <v>3000</v>
      </c>
      <c r="K31" s="2">
        <v>3000</v>
      </c>
      <c r="L31" s="2">
        <v>3000</v>
      </c>
      <c r="M31" s="2">
        <v>3000</v>
      </c>
      <c r="N31" s="2">
        <v>3000</v>
      </c>
      <c r="O31" s="2">
        <v>3000</v>
      </c>
      <c r="P31" s="2">
        <v>3000</v>
      </c>
      <c r="Q31" s="2">
        <v>3000</v>
      </c>
      <c r="R31" s="2">
        <v>3000</v>
      </c>
      <c r="S31" s="2">
        <v>3000</v>
      </c>
      <c r="T31" s="2">
        <v>3000</v>
      </c>
      <c r="U31" s="2">
        <v>3000</v>
      </c>
      <c r="V31" s="2">
        <v>3000</v>
      </c>
      <c r="W31" s="2">
        <v>3000</v>
      </c>
      <c r="X31" s="2">
        <v>3000</v>
      </c>
      <c r="Y31" s="2">
        <v>3000</v>
      </c>
      <c r="Z31" s="2">
        <v>3000</v>
      </c>
      <c r="AA31" s="12">
        <v>3000</v>
      </c>
      <c r="AB31" s="3">
        <f t="shared" si="0"/>
        <v>72000</v>
      </c>
      <c r="AC31" s="3">
        <v>4</v>
      </c>
      <c r="AD31" s="52"/>
      <c r="AE31" s="47">
        <f>+AD106</f>
        <v>1740000</v>
      </c>
    </row>
    <row r="32" spans="2:31">
      <c r="B32" s="49"/>
      <c r="C32" s="1" t="s">
        <v>4</v>
      </c>
      <c r="D32" s="2">
        <v>3000</v>
      </c>
      <c r="E32" s="2">
        <v>3000</v>
      </c>
      <c r="F32" s="2">
        <v>3000</v>
      </c>
      <c r="G32" s="2">
        <v>3000</v>
      </c>
      <c r="H32" s="2">
        <v>3000</v>
      </c>
      <c r="I32" s="2">
        <v>3000</v>
      </c>
      <c r="J32" s="2">
        <v>3000</v>
      </c>
      <c r="K32" s="2">
        <v>3000</v>
      </c>
      <c r="L32" s="2">
        <v>3000</v>
      </c>
      <c r="M32" s="2">
        <v>3000</v>
      </c>
      <c r="N32" s="2">
        <v>3000</v>
      </c>
      <c r="O32" s="2">
        <v>3000</v>
      </c>
      <c r="P32" s="2">
        <v>3000</v>
      </c>
      <c r="Q32" s="2">
        <v>3000</v>
      </c>
      <c r="R32" s="2">
        <v>3000</v>
      </c>
      <c r="S32" s="2">
        <v>3000</v>
      </c>
      <c r="T32" s="2">
        <v>3000</v>
      </c>
      <c r="U32" s="2">
        <v>3000</v>
      </c>
      <c r="V32" s="2">
        <v>3000</v>
      </c>
      <c r="W32" s="2">
        <v>3000</v>
      </c>
      <c r="X32" s="2">
        <v>3000</v>
      </c>
      <c r="Y32" s="2">
        <v>3000</v>
      </c>
      <c r="Z32" s="2">
        <v>3000</v>
      </c>
      <c r="AA32" s="12">
        <v>3000</v>
      </c>
      <c r="AB32" s="3">
        <f t="shared" si="0"/>
        <v>72000</v>
      </c>
      <c r="AC32" s="3">
        <v>4</v>
      </c>
      <c r="AD32" s="52"/>
      <c r="AE32" s="47">
        <f>+AD110</f>
        <v>1860000</v>
      </c>
    </row>
    <row r="33" spans="2:31" ht="15" thickBot="1">
      <c r="B33" s="50"/>
      <c r="C33" s="9" t="s">
        <v>8</v>
      </c>
      <c r="D33" s="10">
        <v>3000</v>
      </c>
      <c r="E33" s="10">
        <v>3000</v>
      </c>
      <c r="F33" s="10">
        <v>3000</v>
      </c>
      <c r="G33" s="10">
        <v>3000</v>
      </c>
      <c r="H33" s="10">
        <v>3000</v>
      </c>
      <c r="I33" s="10">
        <v>3000</v>
      </c>
      <c r="J33" s="10">
        <v>3000</v>
      </c>
      <c r="K33" s="10">
        <v>3000</v>
      </c>
      <c r="L33" s="10">
        <v>3000</v>
      </c>
      <c r="M33" s="10">
        <v>3000</v>
      </c>
      <c r="N33" s="10">
        <v>3000</v>
      </c>
      <c r="O33" s="10">
        <v>3000</v>
      </c>
      <c r="P33" s="10">
        <v>3000</v>
      </c>
      <c r="Q33" s="10">
        <v>3000</v>
      </c>
      <c r="R33" s="10">
        <v>3000</v>
      </c>
      <c r="S33" s="10">
        <v>3000</v>
      </c>
      <c r="T33" s="10">
        <v>3000</v>
      </c>
      <c r="U33" s="10">
        <v>3000</v>
      </c>
      <c r="V33" s="10">
        <v>3000</v>
      </c>
      <c r="W33" s="10">
        <v>3000</v>
      </c>
      <c r="X33" s="10">
        <v>3000</v>
      </c>
      <c r="Y33" s="10">
        <v>3000</v>
      </c>
      <c r="Z33" s="10">
        <v>3000</v>
      </c>
      <c r="AA33" s="13">
        <v>3000</v>
      </c>
      <c r="AB33" s="6">
        <f t="shared" si="0"/>
        <v>72000</v>
      </c>
      <c r="AC33" s="6">
        <v>1</v>
      </c>
      <c r="AD33" s="53"/>
      <c r="AE33" s="47">
        <f>+AD114</f>
        <v>1800000</v>
      </c>
    </row>
    <row r="34" spans="2:31">
      <c r="B34" s="48">
        <v>46235</v>
      </c>
      <c r="C34" s="8" t="s">
        <v>5</v>
      </c>
      <c r="D34" s="7">
        <v>3000</v>
      </c>
      <c r="E34" s="7">
        <v>3000</v>
      </c>
      <c r="F34" s="7">
        <v>3000</v>
      </c>
      <c r="G34" s="7">
        <v>3000</v>
      </c>
      <c r="H34" s="7">
        <v>3000</v>
      </c>
      <c r="I34" s="7">
        <v>3000</v>
      </c>
      <c r="J34" s="7">
        <v>3000</v>
      </c>
      <c r="K34" s="7">
        <v>3000</v>
      </c>
      <c r="L34" s="7">
        <v>3000</v>
      </c>
      <c r="M34" s="7">
        <v>3000</v>
      </c>
      <c r="N34" s="7">
        <v>3000</v>
      </c>
      <c r="O34" s="7">
        <v>3000</v>
      </c>
      <c r="P34" s="7">
        <v>3000</v>
      </c>
      <c r="Q34" s="7">
        <v>3000</v>
      </c>
      <c r="R34" s="7">
        <v>3000</v>
      </c>
      <c r="S34" s="7">
        <v>3000</v>
      </c>
      <c r="T34" s="7">
        <v>3000</v>
      </c>
      <c r="U34" s="7">
        <v>3000</v>
      </c>
      <c r="V34" s="7">
        <v>3000</v>
      </c>
      <c r="W34" s="7">
        <v>3000</v>
      </c>
      <c r="X34" s="7">
        <v>3000</v>
      </c>
      <c r="Y34" s="7">
        <v>3000</v>
      </c>
      <c r="Z34" s="7">
        <v>3000</v>
      </c>
      <c r="AA34" s="11">
        <v>3000</v>
      </c>
      <c r="AB34" s="5">
        <f t="shared" si="0"/>
        <v>72000</v>
      </c>
      <c r="AC34" s="5">
        <v>19</v>
      </c>
      <c r="AD34" s="51">
        <f>(AB34*AC34)+(AB35*AC35)+(AB36*AC36)+(AB37*AC37)</f>
        <v>2232000</v>
      </c>
      <c r="AE34" s="47">
        <f>+AD118</f>
        <v>1860000</v>
      </c>
    </row>
    <row r="35" spans="2:31">
      <c r="B35" s="49"/>
      <c r="C35" s="1" t="s">
        <v>6</v>
      </c>
      <c r="D35" s="2">
        <v>3000</v>
      </c>
      <c r="E35" s="2">
        <v>3000</v>
      </c>
      <c r="F35" s="2">
        <v>3000</v>
      </c>
      <c r="G35" s="2">
        <v>3000</v>
      </c>
      <c r="H35" s="2">
        <v>3000</v>
      </c>
      <c r="I35" s="2">
        <v>3000</v>
      </c>
      <c r="J35" s="2">
        <v>3000</v>
      </c>
      <c r="K35" s="2">
        <v>3000</v>
      </c>
      <c r="L35" s="2">
        <v>3000</v>
      </c>
      <c r="M35" s="2">
        <v>3000</v>
      </c>
      <c r="N35" s="2">
        <v>3000</v>
      </c>
      <c r="O35" s="2">
        <v>3000</v>
      </c>
      <c r="P35" s="2">
        <v>3000</v>
      </c>
      <c r="Q35" s="2">
        <v>3000</v>
      </c>
      <c r="R35" s="2">
        <v>3000</v>
      </c>
      <c r="S35" s="2">
        <v>3000</v>
      </c>
      <c r="T35" s="2">
        <v>3000</v>
      </c>
      <c r="U35" s="2">
        <v>3000</v>
      </c>
      <c r="V35" s="2">
        <v>3000</v>
      </c>
      <c r="W35" s="2">
        <v>3000</v>
      </c>
      <c r="X35" s="2">
        <v>3000</v>
      </c>
      <c r="Y35" s="2">
        <v>3000</v>
      </c>
      <c r="Z35" s="2">
        <v>3000</v>
      </c>
      <c r="AA35" s="12">
        <v>3000</v>
      </c>
      <c r="AB35" s="3">
        <f t="shared" si="0"/>
        <v>72000</v>
      </c>
      <c r="AC35" s="3">
        <v>5</v>
      </c>
      <c r="AD35" s="52"/>
      <c r="AE35" s="47">
        <f>+AD122</f>
        <v>1800000</v>
      </c>
    </row>
    <row r="36" spans="2:31">
      <c r="B36" s="49"/>
      <c r="C36" s="1" t="s">
        <v>7</v>
      </c>
      <c r="D36" s="2">
        <v>3000</v>
      </c>
      <c r="E36" s="2">
        <v>3000</v>
      </c>
      <c r="F36" s="2">
        <v>3000</v>
      </c>
      <c r="G36" s="2">
        <v>3000</v>
      </c>
      <c r="H36" s="2">
        <v>3000</v>
      </c>
      <c r="I36" s="2">
        <v>3000</v>
      </c>
      <c r="J36" s="2">
        <v>3000</v>
      </c>
      <c r="K36" s="2">
        <v>3000</v>
      </c>
      <c r="L36" s="2">
        <v>3000</v>
      </c>
      <c r="M36" s="2">
        <v>3000</v>
      </c>
      <c r="N36" s="2">
        <v>3000</v>
      </c>
      <c r="O36" s="2">
        <v>3000</v>
      </c>
      <c r="P36" s="2">
        <v>3000</v>
      </c>
      <c r="Q36" s="2">
        <v>3000</v>
      </c>
      <c r="R36" s="2">
        <v>3000</v>
      </c>
      <c r="S36" s="2">
        <v>3000</v>
      </c>
      <c r="T36" s="2">
        <v>3000</v>
      </c>
      <c r="U36" s="2">
        <v>3000</v>
      </c>
      <c r="V36" s="2">
        <v>3000</v>
      </c>
      <c r="W36" s="2">
        <v>3000</v>
      </c>
      <c r="X36" s="2">
        <v>3000</v>
      </c>
      <c r="Y36" s="2">
        <v>3000</v>
      </c>
      <c r="Z36" s="2">
        <v>3000</v>
      </c>
      <c r="AA36" s="12">
        <v>3000</v>
      </c>
      <c r="AB36" s="3">
        <f t="shared" si="0"/>
        <v>72000</v>
      </c>
      <c r="AC36" s="3">
        <v>5</v>
      </c>
      <c r="AD36" s="52"/>
      <c r="AE36" s="47">
        <f>+AD126</f>
        <v>1860000</v>
      </c>
    </row>
    <row r="37" spans="2:31" ht="15" thickBot="1">
      <c r="B37" s="50"/>
      <c r="C37" s="9" t="s">
        <v>8</v>
      </c>
      <c r="D37" s="10">
        <v>3000</v>
      </c>
      <c r="E37" s="10">
        <v>3000</v>
      </c>
      <c r="F37" s="10">
        <v>3000</v>
      </c>
      <c r="G37" s="10">
        <v>3000</v>
      </c>
      <c r="H37" s="10">
        <v>3000</v>
      </c>
      <c r="I37" s="10">
        <v>3000</v>
      </c>
      <c r="J37" s="10">
        <v>3000</v>
      </c>
      <c r="K37" s="10">
        <v>3000</v>
      </c>
      <c r="L37" s="10">
        <v>3000</v>
      </c>
      <c r="M37" s="10">
        <v>3000</v>
      </c>
      <c r="N37" s="10">
        <v>3000</v>
      </c>
      <c r="O37" s="10">
        <v>3000</v>
      </c>
      <c r="P37" s="10">
        <v>3000</v>
      </c>
      <c r="Q37" s="10">
        <v>3000</v>
      </c>
      <c r="R37" s="10">
        <v>3000</v>
      </c>
      <c r="S37" s="10">
        <v>3000</v>
      </c>
      <c r="T37" s="10">
        <v>3000</v>
      </c>
      <c r="U37" s="10">
        <v>3000</v>
      </c>
      <c r="V37" s="10">
        <v>3000</v>
      </c>
      <c r="W37" s="10">
        <v>3000</v>
      </c>
      <c r="X37" s="10">
        <v>3000</v>
      </c>
      <c r="Y37" s="10">
        <v>3000</v>
      </c>
      <c r="Z37" s="10">
        <v>3000</v>
      </c>
      <c r="AA37" s="13">
        <v>3000</v>
      </c>
      <c r="AB37" s="6">
        <f t="shared" si="0"/>
        <v>72000</v>
      </c>
      <c r="AC37" s="6">
        <v>2</v>
      </c>
      <c r="AD37" s="53"/>
      <c r="AE37" s="47">
        <f>+AD130</f>
        <v>1860000</v>
      </c>
    </row>
    <row r="38" spans="2:31">
      <c r="B38" s="48">
        <v>46266</v>
      </c>
      <c r="C38" s="8" t="s">
        <v>5</v>
      </c>
      <c r="D38" s="7">
        <v>3000</v>
      </c>
      <c r="E38" s="7">
        <v>3000</v>
      </c>
      <c r="F38" s="7">
        <v>3000</v>
      </c>
      <c r="G38" s="7">
        <v>3000</v>
      </c>
      <c r="H38" s="7">
        <v>3000</v>
      </c>
      <c r="I38" s="7">
        <v>3000</v>
      </c>
      <c r="J38" s="7">
        <v>3000</v>
      </c>
      <c r="K38" s="7">
        <v>3000</v>
      </c>
      <c r="L38" s="7">
        <v>3000</v>
      </c>
      <c r="M38" s="7">
        <v>3000</v>
      </c>
      <c r="N38" s="7">
        <v>3000</v>
      </c>
      <c r="O38" s="7">
        <v>3000</v>
      </c>
      <c r="P38" s="7">
        <v>3000</v>
      </c>
      <c r="Q38" s="7">
        <v>3000</v>
      </c>
      <c r="R38" s="7">
        <v>3000</v>
      </c>
      <c r="S38" s="7">
        <v>3000</v>
      </c>
      <c r="T38" s="7">
        <v>3000</v>
      </c>
      <c r="U38" s="7">
        <v>3000</v>
      </c>
      <c r="V38" s="7">
        <v>3000</v>
      </c>
      <c r="W38" s="7">
        <v>3000</v>
      </c>
      <c r="X38" s="7">
        <v>3000</v>
      </c>
      <c r="Y38" s="7">
        <v>3000</v>
      </c>
      <c r="Z38" s="7">
        <v>3000</v>
      </c>
      <c r="AA38" s="11">
        <v>3000</v>
      </c>
      <c r="AB38" s="5">
        <f t="shared" si="0"/>
        <v>72000</v>
      </c>
      <c r="AC38" s="5">
        <v>22</v>
      </c>
      <c r="AD38" s="51">
        <f>(AB38*AC38)+(AB39*AC39)+(AB40*AC40)+(AB41*AC41)</f>
        <v>2160000</v>
      </c>
      <c r="AE38" s="47">
        <f>+AD134</f>
        <v>1800000</v>
      </c>
    </row>
    <row r="39" spans="2:31">
      <c r="B39" s="49"/>
      <c r="C39" s="1" t="s">
        <v>6</v>
      </c>
      <c r="D39" s="2">
        <v>3000</v>
      </c>
      <c r="E39" s="2">
        <v>3000</v>
      </c>
      <c r="F39" s="2">
        <v>3000</v>
      </c>
      <c r="G39" s="2">
        <v>3000</v>
      </c>
      <c r="H39" s="2">
        <v>3000</v>
      </c>
      <c r="I39" s="2">
        <v>3000</v>
      </c>
      <c r="J39" s="2">
        <v>3000</v>
      </c>
      <c r="K39" s="2">
        <v>3000</v>
      </c>
      <c r="L39" s="2">
        <v>3000</v>
      </c>
      <c r="M39" s="2">
        <v>3000</v>
      </c>
      <c r="N39" s="2">
        <v>3000</v>
      </c>
      <c r="O39" s="2">
        <v>3000</v>
      </c>
      <c r="P39" s="2">
        <v>3000</v>
      </c>
      <c r="Q39" s="2">
        <v>3000</v>
      </c>
      <c r="R39" s="2">
        <v>3000</v>
      </c>
      <c r="S39" s="2">
        <v>3000</v>
      </c>
      <c r="T39" s="2">
        <v>3000</v>
      </c>
      <c r="U39" s="2">
        <v>3000</v>
      </c>
      <c r="V39" s="2">
        <v>3000</v>
      </c>
      <c r="W39" s="2">
        <v>3000</v>
      </c>
      <c r="X39" s="2">
        <v>3000</v>
      </c>
      <c r="Y39" s="2">
        <v>3000</v>
      </c>
      <c r="Z39" s="2">
        <v>3000</v>
      </c>
      <c r="AA39" s="12">
        <v>3000</v>
      </c>
      <c r="AB39" s="3">
        <f t="shared" si="0"/>
        <v>72000</v>
      </c>
      <c r="AC39" s="3">
        <v>4</v>
      </c>
      <c r="AD39" s="52"/>
      <c r="AE39" s="47">
        <f>+AD138</f>
        <v>1860000</v>
      </c>
    </row>
    <row r="40" spans="2:31">
      <c r="B40" s="49"/>
      <c r="C40" s="1" t="s">
        <v>7</v>
      </c>
      <c r="D40" s="2">
        <v>3000</v>
      </c>
      <c r="E40" s="2">
        <v>3000</v>
      </c>
      <c r="F40" s="2">
        <v>3000</v>
      </c>
      <c r="G40" s="2">
        <v>3000</v>
      </c>
      <c r="H40" s="2">
        <v>3000</v>
      </c>
      <c r="I40" s="2">
        <v>3000</v>
      </c>
      <c r="J40" s="2">
        <v>3000</v>
      </c>
      <c r="K40" s="2">
        <v>3000</v>
      </c>
      <c r="L40" s="2">
        <v>3000</v>
      </c>
      <c r="M40" s="2">
        <v>3000</v>
      </c>
      <c r="N40" s="2">
        <v>3000</v>
      </c>
      <c r="O40" s="2">
        <v>3000</v>
      </c>
      <c r="P40" s="2">
        <v>3000</v>
      </c>
      <c r="Q40" s="2">
        <v>3000</v>
      </c>
      <c r="R40" s="2">
        <v>3000</v>
      </c>
      <c r="S40" s="2">
        <v>3000</v>
      </c>
      <c r="T40" s="2">
        <v>3000</v>
      </c>
      <c r="U40" s="2">
        <v>3000</v>
      </c>
      <c r="V40" s="2">
        <v>3000</v>
      </c>
      <c r="W40" s="2">
        <v>3000</v>
      </c>
      <c r="X40" s="2">
        <v>3000</v>
      </c>
      <c r="Y40" s="2">
        <v>3000</v>
      </c>
      <c r="Z40" s="2">
        <v>3000</v>
      </c>
      <c r="AA40" s="12">
        <v>3000</v>
      </c>
      <c r="AB40" s="3">
        <f t="shared" si="0"/>
        <v>72000</v>
      </c>
      <c r="AC40" s="3">
        <v>4</v>
      </c>
      <c r="AD40" s="52"/>
      <c r="AE40" s="47">
        <f>+AD142</f>
        <v>1800000</v>
      </c>
    </row>
    <row r="41" spans="2:31" ht="15" thickBot="1">
      <c r="B41" s="50"/>
      <c r="C41" s="9" t="s">
        <v>8</v>
      </c>
      <c r="D41" s="10">
        <v>3000</v>
      </c>
      <c r="E41" s="10">
        <v>3000</v>
      </c>
      <c r="F41" s="10">
        <v>3000</v>
      </c>
      <c r="G41" s="10">
        <v>3000</v>
      </c>
      <c r="H41" s="10">
        <v>3000</v>
      </c>
      <c r="I41" s="10">
        <v>3000</v>
      </c>
      <c r="J41" s="10">
        <v>3000</v>
      </c>
      <c r="K41" s="10">
        <v>3000</v>
      </c>
      <c r="L41" s="10">
        <v>3000</v>
      </c>
      <c r="M41" s="10">
        <v>3000</v>
      </c>
      <c r="N41" s="10">
        <v>3000</v>
      </c>
      <c r="O41" s="10">
        <v>3000</v>
      </c>
      <c r="P41" s="10">
        <v>3000</v>
      </c>
      <c r="Q41" s="10">
        <v>3000</v>
      </c>
      <c r="R41" s="10">
        <v>3000</v>
      </c>
      <c r="S41" s="10">
        <v>3000</v>
      </c>
      <c r="T41" s="10">
        <v>3000</v>
      </c>
      <c r="U41" s="10">
        <v>3000</v>
      </c>
      <c r="V41" s="10">
        <v>3000</v>
      </c>
      <c r="W41" s="10">
        <v>3000</v>
      </c>
      <c r="X41" s="10">
        <v>3000</v>
      </c>
      <c r="Y41" s="10">
        <v>3000</v>
      </c>
      <c r="Z41" s="10">
        <v>3000</v>
      </c>
      <c r="AA41" s="13">
        <v>3000</v>
      </c>
      <c r="AB41" s="6">
        <f t="shared" si="0"/>
        <v>72000</v>
      </c>
      <c r="AC41" s="6">
        <v>0</v>
      </c>
      <c r="AD41" s="53"/>
      <c r="AE41" s="47">
        <f>+AD146</f>
        <v>1860000</v>
      </c>
    </row>
    <row r="42" spans="2:31">
      <c r="B42" s="48">
        <v>46296</v>
      </c>
      <c r="C42" s="8" t="s">
        <v>5</v>
      </c>
      <c r="D42" s="7">
        <v>3000</v>
      </c>
      <c r="E42" s="7">
        <v>3000</v>
      </c>
      <c r="F42" s="7">
        <v>3000</v>
      </c>
      <c r="G42" s="7">
        <v>3000</v>
      </c>
      <c r="H42" s="7">
        <v>3000</v>
      </c>
      <c r="I42" s="7">
        <v>3000</v>
      </c>
      <c r="J42" s="7">
        <v>3000</v>
      </c>
      <c r="K42" s="7">
        <v>3000</v>
      </c>
      <c r="L42" s="7">
        <v>3000</v>
      </c>
      <c r="M42" s="7">
        <v>3000</v>
      </c>
      <c r="N42" s="7">
        <v>3000</v>
      </c>
      <c r="O42" s="7">
        <v>3000</v>
      </c>
      <c r="P42" s="7">
        <v>3000</v>
      </c>
      <c r="Q42" s="7">
        <v>3000</v>
      </c>
      <c r="R42" s="7">
        <v>3000</v>
      </c>
      <c r="S42" s="7">
        <v>3000</v>
      </c>
      <c r="T42" s="7">
        <v>3000</v>
      </c>
      <c r="U42" s="7">
        <v>3000</v>
      </c>
      <c r="V42" s="7">
        <v>3000</v>
      </c>
      <c r="W42" s="7">
        <v>3000</v>
      </c>
      <c r="X42" s="7">
        <v>3000</v>
      </c>
      <c r="Y42" s="7">
        <v>3000</v>
      </c>
      <c r="Z42" s="7">
        <v>3000</v>
      </c>
      <c r="AA42" s="11">
        <v>3000</v>
      </c>
      <c r="AB42" s="5">
        <f t="shared" si="0"/>
        <v>72000</v>
      </c>
      <c r="AC42" s="5">
        <v>21</v>
      </c>
      <c r="AD42" s="51">
        <f>(AB42*AC42)+(AB43*AC43)+(AB44*AC44)+(AB45*AC45)</f>
        <v>2232000</v>
      </c>
      <c r="AE42" s="47">
        <f>+AD150</f>
        <v>3720000</v>
      </c>
    </row>
    <row r="43" spans="2:31">
      <c r="B43" s="49"/>
      <c r="C43" s="1" t="s">
        <v>6</v>
      </c>
      <c r="D43" s="2">
        <v>3000</v>
      </c>
      <c r="E43" s="2">
        <v>3000</v>
      </c>
      <c r="F43" s="2">
        <v>3000</v>
      </c>
      <c r="G43" s="2">
        <v>3000</v>
      </c>
      <c r="H43" s="2">
        <v>3000</v>
      </c>
      <c r="I43" s="2">
        <v>3000</v>
      </c>
      <c r="J43" s="2">
        <v>3000</v>
      </c>
      <c r="K43" s="2">
        <v>3000</v>
      </c>
      <c r="L43" s="2">
        <v>3000</v>
      </c>
      <c r="M43" s="2">
        <v>3000</v>
      </c>
      <c r="N43" s="2">
        <v>3000</v>
      </c>
      <c r="O43" s="2">
        <v>3000</v>
      </c>
      <c r="P43" s="2">
        <v>3000</v>
      </c>
      <c r="Q43" s="2">
        <v>3000</v>
      </c>
      <c r="R43" s="2">
        <v>3000</v>
      </c>
      <c r="S43" s="2">
        <v>3000</v>
      </c>
      <c r="T43" s="2">
        <v>3000</v>
      </c>
      <c r="U43" s="2">
        <v>3000</v>
      </c>
      <c r="V43" s="2">
        <v>3000</v>
      </c>
      <c r="W43" s="2">
        <v>3000</v>
      </c>
      <c r="X43" s="2">
        <v>3000</v>
      </c>
      <c r="Y43" s="2">
        <v>3000</v>
      </c>
      <c r="Z43" s="2">
        <v>3000</v>
      </c>
      <c r="AA43" s="12">
        <v>3000</v>
      </c>
      <c r="AB43" s="3">
        <f t="shared" si="0"/>
        <v>72000</v>
      </c>
      <c r="AC43" s="3">
        <v>5</v>
      </c>
      <c r="AD43" s="52"/>
      <c r="AE43" s="47">
        <f>+AD154</f>
        <v>3360000</v>
      </c>
    </row>
    <row r="44" spans="2:31">
      <c r="B44" s="49"/>
      <c r="C44" s="1" t="s">
        <v>7</v>
      </c>
      <c r="D44" s="2">
        <v>3000</v>
      </c>
      <c r="E44" s="2">
        <v>3000</v>
      </c>
      <c r="F44" s="2">
        <v>3000</v>
      </c>
      <c r="G44" s="2">
        <v>3000</v>
      </c>
      <c r="H44" s="2">
        <v>3000</v>
      </c>
      <c r="I44" s="2">
        <v>3000</v>
      </c>
      <c r="J44" s="2">
        <v>3000</v>
      </c>
      <c r="K44" s="2">
        <v>3000</v>
      </c>
      <c r="L44" s="2">
        <v>3000</v>
      </c>
      <c r="M44" s="2">
        <v>3000</v>
      </c>
      <c r="N44" s="2">
        <v>3000</v>
      </c>
      <c r="O44" s="2">
        <v>3000</v>
      </c>
      <c r="P44" s="2">
        <v>3000</v>
      </c>
      <c r="Q44" s="2">
        <v>3000</v>
      </c>
      <c r="R44" s="2">
        <v>3000</v>
      </c>
      <c r="S44" s="2">
        <v>3000</v>
      </c>
      <c r="T44" s="2">
        <v>3000</v>
      </c>
      <c r="U44" s="2">
        <v>3000</v>
      </c>
      <c r="V44" s="2">
        <v>3000</v>
      </c>
      <c r="W44" s="2">
        <v>3000</v>
      </c>
      <c r="X44" s="2">
        <v>3000</v>
      </c>
      <c r="Y44" s="2">
        <v>3000</v>
      </c>
      <c r="Z44" s="2">
        <v>3000</v>
      </c>
      <c r="AA44" s="12">
        <v>3000</v>
      </c>
      <c r="AB44" s="3">
        <f t="shared" si="0"/>
        <v>72000</v>
      </c>
      <c r="AC44" s="3">
        <v>4</v>
      </c>
      <c r="AD44" s="52"/>
      <c r="AE44" s="47">
        <f>+AD158</f>
        <v>3720000</v>
      </c>
    </row>
    <row r="45" spans="2:31" ht="15" thickBot="1">
      <c r="B45" s="50"/>
      <c r="C45" s="9" t="s">
        <v>8</v>
      </c>
      <c r="D45" s="10">
        <v>3000</v>
      </c>
      <c r="E45" s="10">
        <v>3000</v>
      </c>
      <c r="F45" s="10">
        <v>3000</v>
      </c>
      <c r="G45" s="10">
        <v>3000</v>
      </c>
      <c r="H45" s="10">
        <v>3000</v>
      </c>
      <c r="I45" s="10">
        <v>3000</v>
      </c>
      <c r="J45" s="10">
        <v>3000</v>
      </c>
      <c r="K45" s="10">
        <v>3000</v>
      </c>
      <c r="L45" s="10">
        <v>3000</v>
      </c>
      <c r="M45" s="10">
        <v>3000</v>
      </c>
      <c r="N45" s="10">
        <v>3000</v>
      </c>
      <c r="O45" s="10">
        <v>3000</v>
      </c>
      <c r="P45" s="10">
        <v>3000</v>
      </c>
      <c r="Q45" s="10">
        <v>3000</v>
      </c>
      <c r="R45" s="10">
        <v>3000</v>
      </c>
      <c r="S45" s="10">
        <v>3000</v>
      </c>
      <c r="T45" s="10">
        <v>3000</v>
      </c>
      <c r="U45" s="10">
        <v>3000</v>
      </c>
      <c r="V45" s="10">
        <v>3000</v>
      </c>
      <c r="W45" s="10">
        <v>3000</v>
      </c>
      <c r="X45" s="10">
        <v>3000</v>
      </c>
      <c r="Y45" s="10">
        <v>3000</v>
      </c>
      <c r="Z45" s="10">
        <v>3000</v>
      </c>
      <c r="AA45" s="13">
        <v>3000</v>
      </c>
      <c r="AB45" s="6">
        <f t="shared" si="0"/>
        <v>72000</v>
      </c>
      <c r="AC45" s="6">
        <v>1</v>
      </c>
      <c r="AD45" s="53"/>
      <c r="AE45" s="47">
        <f>+AD162</f>
        <v>3600000</v>
      </c>
    </row>
    <row r="46" spans="2:31">
      <c r="B46" s="48">
        <v>46327</v>
      </c>
      <c r="C46" s="8" t="s">
        <v>5</v>
      </c>
      <c r="D46" s="7">
        <v>3000</v>
      </c>
      <c r="E46" s="7">
        <v>3000</v>
      </c>
      <c r="F46" s="7">
        <v>3000</v>
      </c>
      <c r="G46" s="7">
        <v>3000</v>
      </c>
      <c r="H46" s="7">
        <v>3000</v>
      </c>
      <c r="I46" s="7">
        <v>3000</v>
      </c>
      <c r="J46" s="7">
        <v>3000</v>
      </c>
      <c r="K46" s="7">
        <v>3000</v>
      </c>
      <c r="L46" s="7">
        <v>3000</v>
      </c>
      <c r="M46" s="7">
        <v>3000</v>
      </c>
      <c r="N46" s="7">
        <v>3000</v>
      </c>
      <c r="O46" s="7">
        <v>3000</v>
      </c>
      <c r="P46" s="7">
        <v>3000</v>
      </c>
      <c r="Q46" s="7">
        <v>3000</v>
      </c>
      <c r="R46" s="7">
        <v>3000</v>
      </c>
      <c r="S46" s="7">
        <v>3000</v>
      </c>
      <c r="T46" s="7">
        <v>3000</v>
      </c>
      <c r="U46" s="7">
        <v>3000</v>
      </c>
      <c r="V46" s="7">
        <v>3000</v>
      </c>
      <c r="W46" s="7">
        <v>3000</v>
      </c>
      <c r="X46" s="7">
        <v>3000</v>
      </c>
      <c r="Y46" s="7">
        <v>3000</v>
      </c>
      <c r="Z46" s="7">
        <v>3000</v>
      </c>
      <c r="AA46" s="11">
        <v>3000</v>
      </c>
      <c r="AB46" s="5">
        <f t="shared" si="0"/>
        <v>72000</v>
      </c>
      <c r="AC46" s="5">
        <v>19</v>
      </c>
      <c r="AD46" s="51">
        <f>(AB46*AC46)+(AB47*AC47)+(AB48*AC48)+(AB49*AC49)</f>
        <v>2160000</v>
      </c>
      <c r="AE46" s="47">
        <f>+AD166</f>
        <v>3720000</v>
      </c>
    </row>
    <row r="47" spans="2:31">
      <c r="B47" s="49"/>
      <c r="C47" s="1" t="s">
        <v>6</v>
      </c>
      <c r="D47" s="2">
        <v>3000</v>
      </c>
      <c r="E47" s="2">
        <v>3000</v>
      </c>
      <c r="F47" s="2">
        <v>3000</v>
      </c>
      <c r="G47" s="2">
        <v>3000</v>
      </c>
      <c r="H47" s="2">
        <v>3000</v>
      </c>
      <c r="I47" s="2">
        <v>3000</v>
      </c>
      <c r="J47" s="2">
        <v>3000</v>
      </c>
      <c r="K47" s="2">
        <v>3000</v>
      </c>
      <c r="L47" s="2">
        <v>3000</v>
      </c>
      <c r="M47" s="2">
        <v>3000</v>
      </c>
      <c r="N47" s="2">
        <v>3000</v>
      </c>
      <c r="O47" s="2">
        <v>3000</v>
      </c>
      <c r="P47" s="2">
        <v>3000</v>
      </c>
      <c r="Q47" s="2">
        <v>3000</v>
      </c>
      <c r="R47" s="2">
        <v>3000</v>
      </c>
      <c r="S47" s="2">
        <v>3000</v>
      </c>
      <c r="T47" s="2">
        <v>3000</v>
      </c>
      <c r="U47" s="2">
        <v>3000</v>
      </c>
      <c r="V47" s="2">
        <v>3000</v>
      </c>
      <c r="W47" s="2">
        <v>3000</v>
      </c>
      <c r="X47" s="2">
        <v>3000</v>
      </c>
      <c r="Y47" s="2">
        <v>3000</v>
      </c>
      <c r="Z47" s="2">
        <v>3000</v>
      </c>
      <c r="AA47" s="12">
        <v>3000</v>
      </c>
      <c r="AB47" s="3">
        <f t="shared" si="0"/>
        <v>72000</v>
      </c>
      <c r="AC47" s="3">
        <v>4</v>
      </c>
      <c r="AD47" s="52"/>
      <c r="AE47" s="47">
        <f>+AD170</f>
        <v>3600000</v>
      </c>
    </row>
    <row r="48" spans="2:31">
      <c r="B48" s="49"/>
      <c r="C48" s="1" t="s">
        <v>7</v>
      </c>
      <c r="D48" s="2">
        <v>3000</v>
      </c>
      <c r="E48" s="2">
        <v>3000</v>
      </c>
      <c r="F48" s="2">
        <v>3000</v>
      </c>
      <c r="G48" s="2">
        <v>3000</v>
      </c>
      <c r="H48" s="2">
        <v>3000</v>
      </c>
      <c r="I48" s="2">
        <v>3000</v>
      </c>
      <c r="J48" s="2">
        <v>3000</v>
      </c>
      <c r="K48" s="2">
        <v>3000</v>
      </c>
      <c r="L48" s="2">
        <v>3000</v>
      </c>
      <c r="M48" s="2">
        <v>3000</v>
      </c>
      <c r="N48" s="2">
        <v>3000</v>
      </c>
      <c r="O48" s="2">
        <v>3000</v>
      </c>
      <c r="P48" s="2">
        <v>3000</v>
      </c>
      <c r="Q48" s="2">
        <v>3000</v>
      </c>
      <c r="R48" s="2">
        <v>3000</v>
      </c>
      <c r="S48" s="2">
        <v>3000</v>
      </c>
      <c r="T48" s="2">
        <v>3000</v>
      </c>
      <c r="U48" s="2">
        <v>3000</v>
      </c>
      <c r="V48" s="2">
        <v>3000</v>
      </c>
      <c r="W48" s="2">
        <v>3000</v>
      </c>
      <c r="X48" s="2">
        <v>3000</v>
      </c>
      <c r="Y48" s="2">
        <v>3000</v>
      </c>
      <c r="Z48" s="2">
        <v>3000</v>
      </c>
      <c r="AA48" s="12">
        <v>3000</v>
      </c>
      <c r="AB48" s="3">
        <f t="shared" si="0"/>
        <v>72000</v>
      </c>
      <c r="AC48" s="3">
        <v>5</v>
      </c>
      <c r="AD48" s="52"/>
      <c r="AE48" s="47">
        <f>+AD174</f>
        <v>3720000</v>
      </c>
    </row>
    <row r="49" spans="2:31" ht="15" thickBot="1">
      <c r="B49" s="50"/>
      <c r="C49" s="9" t="s">
        <v>8</v>
      </c>
      <c r="D49" s="10">
        <v>3000</v>
      </c>
      <c r="E49" s="10">
        <v>3000</v>
      </c>
      <c r="F49" s="10">
        <v>3000</v>
      </c>
      <c r="G49" s="10">
        <v>3000</v>
      </c>
      <c r="H49" s="10">
        <v>3000</v>
      </c>
      <c r="I49" s="10">
        <v>3000</v>
      </c>
      <c r="J49" s="10">
        <v>3000</v>
      </c>
      <c r="K49" s="10">
        <v>3000</v>
      </c>
      <c r="L49" s="10">
        <v>3000</v>
      </c>
      <c r="M49" s="10">
        <v>3000</v>
      </c>
      <c r="N49" s="10">
        <v>3000</v>
      </c>
      <c r="O49" s="10">
        <v>3000</v>
      </c>
      <c r="P49" s="10">
        <v>3000</v>
      </c>
      <c r="Q49" s="10">
        <v>3000</v>
      </c>
      <c r="R49" s="10">
        <v>3000</v>
      </c>
      <c r="S49" s="10">
        <v>3000</v>
      </c>
      <c r="T49" s="10">
        <v>3000</v>
      </c>
      <c r="U49" s="10">
        <v>3000</v>
      </c>
      <c r="V49" s="10">
        <v>3000</v>
      </c>
      <c r="W49" s="10">
        <v>3000</v>
      </c>
      <c r="X49" s="10">
        <v>3000</v>
      </c>
      <c r="Y49" s="10">
        <v>3000</v>
      </c>
      <c r="Z49" s="10">
        <v>3000</v>
      </c>
      <c r="AA49" s="13">
        <v>3000</v>
      </c>
      <c r="AB49" s="6">
        <f t="shared" si="0"/>
        <v>72000</v>
      </c>
      <c r="AC49" s="6">
        <v>2</v>
      </c>
      <c r="AD49" s="53"/>
      <c r="AE49" s="47">
        <f>+AD178</f>
        <v>3720000</v>
      </c>
    </row>
    <row r="50" spans="2:31">
      <c r="B50" s="48">
        <v>46357</v>
      </c>
      <c r="C50" s="8" t="s">
        <v>5</v>
      </c>
      <c r="D50" s="7">
        <v>3000</v>
      </c>
      <c r="E50" s="7">
        <v>3000</v>
      </c>
      <c r="F50" s="7">
        <v>3000</v>
      </c>
      <c r="G50" s="7">
        <v>3000</v>
      </c>
      <c r="H50" s="7">
        <v>3000</v>
      </c>
      <c r="I50" s="7">
        <v>3000</v>
      </c>
      <c r="J50" s="7">
        <v>3000</v>
      </c>
      <c r="K50" s="7">
        <v>3000</v>
      </c>
      <c r="L50" s="7">
        <v>3000</v>
      </c>
      <c r="M50" s="7">
        <v>3000</v>
      </c>
      <c r="N50" s="7">
        <v>3000</v>
      </c>
      <c r="O50" s="7">
        <v>3000</v>
      </c>
      <c r="P50" s="7">
        <v>3000</v>
      </c>
      <c r="Q50" s="7">
        <v>3000</v>
      </c>
      <c r="R50" s="7">
        <v>3000</v>
      </c>
      <c r="S50" s="7">
        <v>3000</v>
      </c>
      <c r="T50" s="7">
        <v>3000</v>
      </c>
      <c r="U50" s="7">
        <v>3000</v>
      </c>
      <c r="V50" s="7">
        <v>3000</v>
      </c>
      <c r="W50" s="7">
        <v>3000</v>
      </c>
      <c r="X50" s="7">
        <v>3000</v>
      </c>
      <c r="Y50" s="7">
        <v>3000</v>
      </c>
      <c r="Z50" s="7">
        <v>3000</v>
      </c>
      <c r="AA50" s="11">
        <v>3000</v>
      </c>
      <c r="AB50" s="5">
        <f t="shared" si="0"/>
        <v>72000</v>
      </c>
      <c r="AC50" s="5">
        <v>21</v>
      </c>
      <c r="AD50" s="51">
        <f>(AB50*AC50)+(AB51*AC51)+(AB52*AC52)+(AB53*AC53)</f>
        <v>2232000</v>
      </c>
      <c r="AE50" s="47">
        <f>+AD182</f>
        <v>3600000</v>
      </c>
    </row>
    <row r="51" spans="2:31">
      <c r="B51" s="49"/>
      <c r="C51" s="1" t="s">
        <v>6</v>
      </c>
      <c r="D51" s="2">
        <v>3000</v>
      </c>
      <c r="E51" s="2">
        <v>3000</v>
      </c>
      <c r="F51" s="2">
        <v>3000</v>
      </c>
      <c r="G51" s="2">
        <v>3000</v>
      </c>
      <c r="H51" s="2">
        <v>3000</v>
      </c>
      <c r="I51" s="2">
        <v>3000</v>
      </c>
      <c r="J51" s="2">
        <v>3000</v>
      </c>
      <c r="K51" s="2">
        <v>3000</v>
      </c>
      <c r="L51" s="2">
        <v>3000</v>
      </c>
      <c r="M51" s="2">
        <v>3000</v>
      </c>
      <c r="N51" s="2">
        <v>3000</v>
      </c>
      <c r="O51" s="2">
        <v>3000</v>
      </c>
      <c r="P51" s="2">
        <v>3000</v>
      </c>
      <c r="Q51" s="2">
        <v>3000</v>
      </c>
      <c r="R51" s="2">
        <v>3000</v>
      </c>
      <c r="S51" s="2">
        <v>3000</v>
      </c>
      <c r="T51" s="2">
        <v>3000</v>
      </c>
      <c r="U51" s="2">
        <v>3000</v>
      </c>
      <c r="V51" s="2">
        <v>3000</v>
      </c>
      <c r="W51" s="2">
        <v>3000</v>
      </c>
      <c r="X51" s="2">
        <v>3000</v>
      </c>
      <c r="Y51" s="2">
        <v>3000</v>
      </c>
      <c r="Z51" s="2">
        <v>3000</v>
      </c>
      <c r="AA51" s="12">
        <v>3000</v>
      </c>
      <c r="AB51" s="3">
        <f t="shared" si="0"/>
        <v>72000</v>
      </c>
      <c r="AC51" s="3">
        <v>4</v>
      </c>
      <c r="AD51" s="52"/>
      <c r="AE51" s="47">
        <f>+AD186</f>
        <v>3720000</v>
      </c>
    </row>
    <row r="52" spans="2:31">
      <c r="B52" s="49"/>
      <c r="C52" s="1" t="s">
        <v>7</v>
      </c>
      <c r="D52" s="2">
        <v>3000</v>
      </c>
      <c r="E52" s="2">
        <v>3000</v>
      </c>
      <c r="F52" s="2">
        <v>3000</v>
      </c>
      <c r="G52" s="2">
        <v>3000</v>
      </c>
      <c r="H52" s="2">
        <v>3000</v>
      </c>
      <c r="I52" s="2">
        <v>3000</v>
      </c>
      <c r="J52" s="2">
        <v>3000</v>
      </c>
      <c r="K52" s="2">
        <v>3000</v>
      </c>
      <c r="L52" s="2">
        <v>3000</v>
      </c>
      <c r="M52" s="2">
        <v>3000</v>
      </c>
      <c r="N52" s="2">
        <v>3000</v>
      </c>
      <c r="O52" s="2">
        <v>3000</v>
      </c>
      <c r="P52" s="2">
        <v>3000</v>
      </c>
      <c r="Q52" s="2">
        <v>3000</v>
      </c>
      <c r="R52" s="2">
        <v>3000</v>
      </c>
      <c r="S52" s="2">
        <v>3000</v>
      </c>
      <c r="T52" s="2">
        <v>3000</v>
      </c>
      <c r="U52" s="2">
        <v>3000</v>
      </c>
      <c r="V52" s="2">
        <v>3000</v>
      </c>
      <c r="W52" s="2">
        <v>3000</v>
      </c>
      <c r="X52" s="2">
        <v>3000</v>
      </c>
      <c r="Y52" s="2">
        <v>3000</v>
      </c>
      <c r="Z52" s="2">
        <v>3000</v>
      </c>
      <c r="AA52" s="12">
        <v>3000</v>
      </c>
      <c r="AB52" s="3">
        <f t="shared" si="0"/>
        <v>72000</v>
      </c>
      <c r="AC52" s="3">
        <v>4</v>
      </c>
      <c r="AD52" s="52"/>
      <c r="AE52" s="47">
        <f>+AD190</f>
        <v>3600000</v>
      </c>
    </row>
    <row r="53" spans="2:31" ht="15" thickBot="1">
      <c r="B53" s="50"/>
      <c r="C53" s="9" t="s">
        <v>8</v>
      </c>
      <c r="D53" s="10">
        <v>3000</v>
      </c>
      <c r="E53" s="10">
        <v>3000</v>
      </c>
      <c r="F53" s="10">
        <v>3000</v>
      </c>
      <c r="G53" s="10">
        <v>3000</v>
      </c>
      <c r="H53" s="10">
        <v>3000</v>
      </c>
      <c r="I53" s="10">
        <v>3000</v>
      </c>
      <c r="J53" s="10">
        <v>3000</v>
      </c>
      <c r="K53" s="10">
        <v>3000</v>
      </c>
      <c r="L53" s="10">
        <v>3000</v>
      </c>
      <c r="M53" s="10">
        <v>3000</v>
      </c>
      <c r="N53" s="10">
        <v>3000</v>
      </c>
      <c r="O53" s="10">
        <v>3000</v>
      </c>
      <c r="P53" s="10">
        <v>3000</v>
      </c>
      <c r="Q53" s="10">
        <v>3000</v>
      </c>
      <c r="R53" s="10">
        <v>3000</v>
      </c>
      <c r="S53" s="10">
        <v>3000</v>
      </c>
      <c r="T53" s="10">
        <v>3000</v>
      </c>
      <c r="U53" s="10">
        <v>3000</v>
      </c>
      <c r="V53" s="10">
        <v>3000</v>
      </c>
      <c r="W53" s="10">
        <v>3000</v>
      </c>
      <c r="X53" s="10">
        <v>3000</v>
      </c>
      <c r="Y53" s="10">
        <v>3000</v>
      </c>
      <c r="Z53" s="10">
        <v>3000</v>
      </c>
      <c r="AA53" s="13">
        <v>3000</v>
      </c>
      <c r="AB53" s="6">
        <f t="shared" si="0"/>
        <v>72000</v>
      </c>
      <c r="AC53" s="6">
        <v>2</v>
      </c>
      <c r="AD53" s="53"/>
      <c r="AE53" s="47">
        <f>+AD194</f>
        <v>3720000</v>
      </c>
    </row>
    <row r="54" spans="2:31">
      <c r="B54" s="48">
        <v>46388</v>
      </c>
      <c r="C54" s="8" t="s">
        <v>5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11">
        <v>0</v>
      </c>
      <c r="AB54" s="5">
        <f t="shared" ref="AB54:AB101" si="1">(SUM(D54:AA54))</f>
        <v>0</v>
      </c>
      <c r="AC54" s="5">
        <v>19</v>
      </c>
      <c r="AD54" s="51">
        <f>(AB54*AC54)+(AB55*AC55)+(AB56*AC56)+(AB57*AC57)</f>
        <v>0</v>
      </c>
      <c r="AE54" s="47">
        <f>+AD198</f>
        <v>3868800</v>
      </c>
    </row>
    <row r="55" spans="2:31">
      <c r="B55" s="49"/>
      <c r="C55" s="1" t="s">
        <v>6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12">
        <v>0</v>
      </c>
      <c r="AB55" s="3">
        <f t="shared" si="1"/>
        <v>0</v>
      </c>
      <c r="AC55" s="3">
        <v>5</v>
      </c>
      <c r="AD55" s="52"/>
      <c r="AE55" s="47">
        <f>+AD202</f>
        <v>3494400</v>
      </c>
    </row>
    <row r="56" spans="2:31">
      <c r="B56" s="49"/>
      <c r="C56" s="1" t="s">
        <v>7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12">
        <v>0</v>
      </c>
      <c r="AB56" s="3">
        <f t="shared" si="1"/>
        <v>0</v>
      </c>
      <c r="AC56" s="3">
        <v>5</v>
      </c>
      <c r="AD56" s="52"/>
      <c r="AE56" s="47">
        <f>+AD206</f>
        <v>3868800</v>
      </c>
    </row>
    <row r="57" spans="2:31" ht="15" thickBot="1">
      <c r="B57" s="50"/>
      <c r="C57" s="9" t="s">
        <v>8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3">
        <v>0</v>
      </c>
      <c r="AB57" s="6">
        <f t="shared" si="1"/>
        <v>0</v>
      </c>
      <c r="AC57" s="6">
        <v>2</v>
      </c>
      <c r="AD57" s="53"/>
      <c r="AE57" s="47">
        <f>+AD210</f>
        <v>3744000</v>
      </c>
    </row>
    <row r="58" spans="2:31">
      <c r="B58" s="48">
        <v>46419</v>
      </c>
      <c r="C58" s="8" t="s">
        <v>5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11">
        <v>0</v>
      </c>
      <c r="AB58" s="5">
        <f t="shared" si="1"/>
        <v>0</v>
      </c>
      <c r="AC58" s="5">
        <v>20</v>
      </c>
      <c r="AD58" s="51">
        <f>(AB58*AC58)+(AB59*AC59)+(AB60*AC60)+(AB61*AC61)</f>
        <v>0</v>
      </c>
      <c r="AE58" s="47">
        <f>+AD214</f>
        <v>3868800</v>
      </c>
    </row>
    <row r="59" spans="2:31">
      <c r="B59" s="49"/>
      <c r="C59" s="1" t="s">
        <v>6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12">
        <v>0</v>
      </c>
      <c r="AB59" s="3">
        <f t="shared" si="1"/>
        <v>0</v>
      </c>
      <c r="AC59" s="3">
        <v>4</v>
      </c>
      <c r="AD59" s="52"/>
      <c r="AE59" s="47">
        <f>+AD218</f>
        <v>3744000</v>
      </c>
    </row>
    <row r="60" spans="2:31">
      <c r="B60" s="49"/>
      <c r="C60" s="1" t="s">
        <v>7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12">
        <v>0</v>
      </c>
      <c r="AB60" s="3">
        <f t="shared" si="1"/>
        <v>0</v>
      </c>
      <c r="AC60" s="3">
        <v>4</v>
      </c>
      <c r="AD60" s="52"/>
      <c r="AE60" s="47">
        <f>+AD222</f>
        <v>3868800</v>
      </c>
    </row>
    <row r="61" spans="2:31" ht="15" thickBot="1">
      <c r="B61" s="50"/>
      <c r="C61" s="9" t="s">
        <v>8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3">
        <v>0</v>
      </c>
      <c r="AB61" s="6">
        <f t="shared" si="1"/>
        <v>0</v>
      </c>
      <c r="AC61" s="6">
        <v>0</v>
      </c>
      <c r="AD61" s="53"/>
      <c r="AE61" s="47">
        <f>+AD226</f>
        <v>3868800</v>
      </c>
    </row>
    <row r="62" spans="2:31">
      <c r="B62" s="48">
        <v>46447</v>
      </c>
      <c r="C62" s="8" t="s">
        <v>5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11">
        <v>0</v>
      </c>
      <c r="AB62" s="5">
        <f t="shared" si="1"/>
        <v>0</v>
      </c>
      <c r="AC62" s="5">
        <v>20</v>
      </c>
      <c r="AD62" s="51">
        <f>(AB62*AC62)+(AB63*AC63)+(AB64*AC64)+(AB65*AC65)</f>
        <v>0</v>
      </c>
      <c r="AE62" s="47">
        <f>+AD230</f>
        <v>3744000</v>
      </c>
    </row>
    <row r="63" spans="2:31">
      <c r="B63" s="49"/>
      <c r="C63" s="1" t="s">
        <v>6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12">
        <v>0</v>
      </c>
      <c r="AB63" s="3">
        <f t="shared" si="1"/>
        <v>0</v>
      </c>
      <c r="AC63" s="3">
        <v>4</v>
      </c>
      <c r="AD63" s="52"/>
      <c r="AE63" s="47">
        <f>+AD234</f>
        <v>3868800</v>
      </c>
    </row>
    <row r="64" spans="2:31">
      <c r="B64" s="49"/>
      <c r="C64" s="1" t="s">
        <v>7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12">
        <v>0</v>
      </c>
      <c r="AB64" s="3">
        <f t="shared" si="1"/>
        <v>0</v>
      </c>
      <c r="AC64" s="3">
        <v>4</v>
      </c>
      <c r="AD64" s="52"/>
      <c r="AE64" s="47">
        <f>+AD238</f>
        <v>3744000</v>
      </c>
    </row>
    <row r="65" spans="2:31" ht="15" thickBot="1">
      <c r="B65" s="50"/>
      <c r="C65" s="9" t="s">
        <v>8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3">
        <v>0</v>
      </c>
      <c r="AB65" s="6">
        <f t="shared" si="1"/>
        <v>0</v>
      </c>
      <c r="AC65" s="6">
        <v>3</v>
      </c>
      <c r="AD65" s="53"/>
      <c r="AE65" s="47">
        <f>+AD242</f>
        <v>3868800</v>
      </c>
    </row>
    <row r="66" spans="2:31">
      <c r="B66" s="48">
        <v>46478</v>
      </c>
      <c r="C66" s="8" t="s">
        <v>5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11">
        <v>0</v>
      </c>
      <c r="AB66" s="5">
        <f t="shared" si="1"/>
        <v>0</v>
      </c>
      <c r="AC66" s="5">
        <v>22</v>
      </c>
      <c r="AD66" s="51">
        <f>(AB66*AC66)+(AB67*AC67)+(AB68*AC68)+(AB69*AC69)</f>
        <v>0</v>
      </c>
    </row>
    <row r="67" spans="2:31">
      <c r="B67" s="49"/>
      <c r="C67" s="1" t="s">
        <v>6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12">
        <v>0</v>
      </c>
      <c r="AB67" s="3">
        <f t="shared" si="1"/>
        <v>0</v>
      </c>
      <c r="AC67" s="3">
        <v>4</v>
      </c>
      <c r="AD67" s="52"/>
    </row>
    <row r="68" spans="2:31">
      <c r="B68" s="49"/>
      <c r="C68" s="1" t="s">
        <v>7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12">
        <v>0</v>
      </c>
      <c r="AB68" s="3">
        <f t="shared" si="1"/>
        <v>0</v>
      </c>
      <c r="AC68" s="3">
        <v>4</v>
      </c>
      <c r="AD68" s="52"/>
    </row>
    <row r="69" spans="2:31" ht="15" thickBot="1">
      <c r="B69" s="50"/>
      <c r="C69" s="9" t="s">
        <v>8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3">
        <v>0</v>
      </c>
      <c r="AB69" s="6">
        <f t="shared" si="1"/>
        <v>0</v>
      </c>
      <c r="AC69" s="6">
        <v>0</v>
      </c>
      <c r="AD69" s="53"/>
    </row>
    <row r="70" spans="2:31">
      <c r="B70" s="48">
        <v>46508</v>
      </c>
      <c r="C70" s="8" t="s">
        <v>5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11">
        <v>0</v>
      </c>
      <c r="AB70" s="5">
        <f t="shared" si="1"/>
        <v>0</v>
      </c>
      <c r="AC70" s="5">
        <v>19</v>
      </c>
      <c r="AD70" s="51">
        <f>(AB70*AC70)+(AB71*AC71)+(AB72*AC72)+(AB73*AC73)</f>
        <v>0</v>
      </c>
    </row>
    <row r="71" spans="2:31">
      <c r="B71" s="49"/>
      <c r="C71" s="1" t="s">
        <v>6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12">
        <v>0</v>
      </c>
      <c r="AB71" s="3">
        <f t="shared" si="1"/>
        <v>0</v>
      </c>
      <c r="AC71" s="3">
        <v>4</v>
      </c>
      <c r="AD71" s="52"/>
    </row>
    <row r="72" spans="2:31">
      <c r="B72" s="49"/>
      <c r="C72" s="1" t="s">
        <v>7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12">
        <v>0</v>
      </c>
      <c r="AB72" s="3">
        <f t="shared" si="1"/>
        <v>0</v>
      </c>
      <c r="AC72" s="3">
        <v>5</v>
      </c>
      <c r="AD72" s="52"/>
    </row>
    <row r="73" spans="2:31" ht="15" thickBot="1">
      <c r="B73" s="50"/>
      <c r="C73" s="9" t="s">
        <v>8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3">
        <v>0</v>
      </c>
      <c r="AB73" s="6">
        <f t="shared" si="1"/>
        <v>0</v>
      </c>
      <c r="AC73" s="6">
        <v>3</v>
      </c>
      <c r="AD73" s="53"/>
    </row>
    <row r="74" spans="2:31">
      <c r="B74" s="48">
        <v>46539</v>
      </c>
      <c r="C74" s="8" t="s">
        <v>5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11">
        <v>0</v>
      </c>
      <c r="AB74" s="5">
        <f t="shared" si="1"/>
        <v>0</v>
      </c>
      <c r="AC74" s="5">
        <v>21</v>
      </c>
      <c r="AD74" s="51">
        <f>(AB74*AC74)+(AB75*AC75)+(AB76*AC76)+(AB77*AC77)</f>
        <v>0</v>
      </c>
    </row>
    <row r="75" spans="2:31">
      <c r="B75" s="49"/>
      <c r="C75" s="1" t="s">
        <v>6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12">
        <v>0</v>
      </c>
      <c r="AB75" s="3">
        <f t="shared" si="1"/>
        <v>0</v>
      </c>
      <c r="AC75" s="3">
        <v>4</v>
      </c>
      <c r="AD75" s="52"/>
    </row>
    <row r="76" spans="2:31">
      <c r="B76" s="49"/>
      <c r="C76" s="1" t="s">
        <v>7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12">
        <v>0</v>
      </c>
      <c r="AB76" s="3">
        <f t="shared" si="1"/>
        <v>0</v>
      </c>
      <c r="AC76" s="3">
        <v>4</v>
      </c>
      <c r="AD76" s="52"/>
    </row>
    <row r="77" spans="2:31" ht="15" thickBot="1">
      <c r="B77" s="50"/>
      <c r="C77" s="9" t="s">
        <v>8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3">
        <v>0</v>
      </c>
      <c r="AB77" s="6">
        <f t="shared" si="1"/>
        <v>0</v>
      </c>
      <c r="AC77" s="6">
        <v>1</v>
      </c>
      <c r="AD77" s="53"/>
    </row>
    <row r="78" spans="2:31">
      <c r="B78" s="48">
        <v>46569</v>
      </c>
      <c r="C78" s="8" t="s">
        <v>5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11">
        <v>0</v>
      </c>
      <c r="AB78" s="5">
        <f t="shared" si="1"/>
        <v>0</v>
      </c>
      <c r="AC78" s="5">
        <v>20</v>
      </c>
      <c r="AD78" s="51">
        <f>(AB78*AC78)+(AB79*AC79)+(AB80*AC80)+(AB81*AC81)</f>
        <v>0</v>
      </c>
    </row>
    <row r="79" spans="2:31">
      <c r="B79" s="49"/>
      <c r="C79" s="1" t="s">
        <v>6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12">
        <v>0</v>
      </c>
      <c r="AB79" s="3">
        <f t="shared" si="1"/>
        <v>0</v>
      </c>
      <c r="AC79" s="3">
        <v>5</v>
      </c>
      <c r="AD79" s="52"/>
    </row>
    <row r="80" spans="2:31">
      <c r="B80" s="49"/>
      <c r="C80" s="1" t="s">
        <v>4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12">
        <v>0</v>
      </c>
      <c r="AB80" s="3">
        <f t="shared" si="1"/>
        <v>0</v>
      </c>
      <c r="AC80" s="3">
        <v>4</v>
      </c>
      <c r="AD80" s="52"/>
    </row>
    <row r="81" spans="2:30" ht="15" thickBot="1">
      <c r="B81" s="50"/>
      <c r="C81" s="9" t="s">
        <v>8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3">
        <v>0</v>
      </c>
      <c r="AB81" s="6">
        <f t="shared" si="1"/>
        <v>0</v>
      </c>
      <c r="AC81" s="6">
        <v>2</v>
      </c>
      <c r="AD81" s="53"/>
    </row>
    <row r="82" spans="2:30">
      <c r="B82" s="48">
        <v>46600</v>
      </c>
      <c r="C82" s="8" t="s">
        <v>5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11">
        <v>0</v>
      </c>
      <c r="AB82" s="5">
        <f t="shared" si="1"/>
        <v>0</v>
      </c>
      <c r="AC82" s="5">
        <v>21</v>
      </c>
      <c r="AD82" s="51">
        <f>(AB82*AC82)+(AB83*AC83)+(AB84*AC84)+(AB85*AC85)</f>
        <v>0</v>
      </c>
    </row>
    <row r="83" spans="2:30">
      <c r="B83" s="49"/>
      <c r="C83" s="1" t="s">
        <v>6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12">
        <v>0</v>
      </c>
      <c r="AB83" s="3">
        <f t="shared" si="1"/>
        <v>0</v>
      </c>
      <c r="AC83" s="3">
        <v>3</v>
      </c>
      <c r="AD83" s="52"/>
    </row>
    <row r="84" spans="2:30">
      <c r="B84" s="49"/>
      <c r="C84" s="1" t="s">
        <v>7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12">
        <v>0</v>
      </c>
      <c r="AB84" s="3">
        <f t="shared" si="1"/>
        <v>0</v>
      </c>
      <c r="AC84" s="3">
        <v>5</v>
      </c>
      <c r="AD84" s="52"/>
    </row>
    <row r="85" spans="2:30" ht="15" thickBot="1">
      <c r="B85" s="50"/>
      <c r="C85" s="9" t="s">
        <v>8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3">
        <v>0</v>
      </c>
      <c r="AB85" s="6">
        <f t="shared" si="1"/>
        <v>0</v>
      </c>
      <c r="AC85" s="6">
        <v>2</v>
      </c>
      <c r="AD85" s="53"/>
    </row>
    <row r="86" spans="2:30">
      <c r="B86" s="48">
        <v>46631</v>
      </c>
      <c r="C86" s="8" t="s">
        <v>5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11">
        <v>0</v>
      </c>
      <c r="AB86" s="5">
        <f t="shared" si="1"/>
        <v>0</v>
      </c>
      <c r="AC86" s="5">
        <v>22</v>
      </c>
      <c r="AD86" s="51">
        <f>(AB86*AC86)+(AB87*AC87)+(AB88*AC88)+(AB89*AC89)</f>
        <v>0</v>
      </c>
    </row>
    <row r="87" spans="2:30">
      <c r="B87" s="49"/>
      <c r="C87" s="1" t="s">
        <v>6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12">
        <v>0</v>
      </c>
      <c r="AB87" s="3">
        <f t="shared" si="1"/>
        <v>0</v>
      </c>
      <c r="AC87" s="3">
        <v>4</v>
      </c>
      <c r="AD87" s="52"/>
    </row>
    <row r="88" spans="2:30">
      <c r="B88" s="49"/>
      <c r="C88" s="1" t="s">
        <v>7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12">
        <v>0</v>
      </c>
      <c r="AB88" s="3">
        <f t="shared" si="1"/>
        <v>0</v>
      </c>
      <c r="AC88" s="3">
        <v>4</v>
      </c>
      <c r="AD88" s="52"/>
    </row>
    <row r="89" spans="2:30" ht="15" thickBot="1">
      <c r="B89" s="50"/>
      <c r="C89" s="9" t="s">
        <v>8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3">
        <v>0</v>
      </c>
      <c r="AB89" s="6">
        <f t="shared" si="1"/>
        <v>0</v>
      </c>
      <c r="AC89" s="6">
        <v>0</v>
      </c>
      <c r="AD89" s="53"/>
    </row>
    <row r="90" spans="2:30">
      <c r="B90" s="48">
        <v>46661</v>
      </c>
      <c r="C90" s="8" t="s">
        <v>5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11">
        <v>0</v>
      </c>
      <c r="AB90" s="5">
        <f t="shared" si="1"/>
        <v>0</v>
      </c>
      <c r="AC90" s="5">
        <v>20</v>
      </c>
      <c r="AD90" s="51">
        <f>(AB90*AC90)+(AB91*AC91)+(AB92*AC92)+(AB93*AC93)</f>
        <v>0</v>
      </c>
    </row>
    <row r="91" spans="2:30">
      <c r="B91" s="49"/>
      <c r="C91" s="1" t="s">
        <v>6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12">
        <v>0</v>
      </c>
      <c r="AB91" s="3">
        <f t="shared" si="1"/>
        <v>0</v>
      </c>
      <c r="AC91" s="3">
        <v>5</v>
      </c>
      <c r="AD91" s="52"/>
    </row>
    <row r="92" spans="2:30">
      <c r="B92" s="49"/>
      <c r="C92" s="1" t="s">
        <v>7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12">
        <v>0</v>
      </c>
      <c r="AB92" s="3">
        <f t="shared" si="1"/>
        <v>0</v>
      </c>
      <c r="AC92" s="3">
        <v>5</v>
      </c>
      <c r="AD92" s="52"/>
    </row>
    <row r="93" spans="2:30" ht="15" thickBot="1">
      <c r="B93" s="50"/>
      <c r="C93" s="9" t="s">
        <v>8</v>
      </c>
      <c r="D93" s="10">
        <v>0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3">
        <v>0</v>
      </c>
      <c r="AB93" s="6">
        <f t="shared" si="1"/>
        <v>0</v>
      </c>
      <c r="AC93" s="6">
        <v>1</v>
      </c>
      <c r="AD93" s="53"/>
    </row>
    <row r="94" spans="2:30">
      <c r="B94" s="48">
        <v>46692</v>
      </c>
      <c r="C94" s="8" t="s">
        <v>5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11">
        <v>0</v>
      </c>
      <c r="AB94" s="5">
        <f t="shared" si="1"/>
        <v>0</v>
      </c>
      <c r="AC94" s="5">
        <v>20</v>
      </c>
      <c r="AD94" s="51">
        <f>(AB94*AC94)+(AB95*AC95)+(AB96*AC96)+(AB97*AC97)</f>
        <v>0</v>
      </c>
    </row>
    <row r="95" spans="2:30">
      <c r="B95" s="49"/>
      <c r="C95" s="1" t="s">
        <v>6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12">
        <v>0</v>
      </c>
      <c r="AB95" s="3">
        <f t="shared" si="1"/>
        <v>0</v>
      </c>
      <c r="AC95" s="3">
        <v>4</v>
      </c>
      <c r="AD95" s="52"/>
    </row>
    <row r="96" spans="2:30">
      <c r="B96" s="49"/>
      <c r="C96" s="1" t="s">
        <v>7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12">
        <v>0</v>
      </c>
      <c r="AB96" s="3">
        <f t="shared" si="1"/>
        <v>0</v>
      </c>
      <c r="AC96" s="3">
        <v>4</v>
      </c>
      <c r="AD96" s="52"/>
    </row>
    <row r="97" spans="2:30" ht="15" thickBot="1">
      <c r="B97" s="50"/>
      <c r="C97" s="9" t="s">
        <v>8</v>
      </c>
      <c r="D97" s="10">
        <v>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3">
        <v>0</v>
      </c>
      <c r="AB97" s="6">
        <f t="shared" si="1"/>
        <v>0</v>
      </c>
      <c r="AC97" s="6">
        <v>2</v>
      </c>
      <c r="AD97" s="53"/>
    </row>
    <row r="98" spans="2:30">
      <c r="B98" s="48">
        <v>46722</v>
      </c>
      <c r="C98" s="8" t="s">
        <v>5</v>
      </c>
      <c r="D98" s="7">
        <v>0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11">
        <v>0</v>
      </c>
      <c r="AB98" s="5">
        <f t="shared" si="1"/>
        <v>0</v>
      </c>
      <c r="AC98" s="5">
        <v>22</v>
      </c>
      <c r="AD98" s="51">
        <f>(AB98*AC98)+(AB99*AC99)+(AB100*AC100)+(AB101*AC101)</f>
        <v>0</v>
      </c>
    </row>
    <row r="99" spans="2:30">
      <c r="B99" s="49"/>
      <c r="C99" s="1" t="s">
        <v>6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12">
        <v>0</v>
      </c>
      <c r="AB99" s="3">
        <f t="shared" si="1"/>
        <v>0</v>
      </c>
      <c r="AC99" s="3">
        <v>3</v>
      </c>
      <c r="AD99" s="52"/>
    </row>
    <row r="100" spans="2:30">
      <c r="B100" s="49"/>
      <c r="C100" s="1" t="s">
        <v>7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12">
        <v>0</v>
      </c>
      <c r="AB100" s="3">
        <f t="shared" si="1"/>
        <v>0</v>
      </c>
      <c r="AC100" s="3">
        <v>4</v>
      </c>
      <c r="AD100" s="52"/>
    </row>
    <row r="101" spans="2:30" ht="15" thickBot="1">
      <c r="B101" s="50"/>
      <c r="C101" s="9" t="s">
        <v>8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3">
        <v>0</v>
      </c>
      <c r="AB101" s="6">
        <f t="shared" si="1"/>
        <v>0</v>
      </c>
      <c r="AC101" s="6">
        <v>2</v>
      </c>
      <c r="AD101" s="53"/>
    </row>
    <row r="102" spans="2:30">
      <c r="B102" s="48">
        <v>46753</v>
      </c>
      <c r="C102" s="8" t="s">
        <v>5</v>
      </c>
      <c r="D102" s="7">
        <v>2500</v>
      </c>
      <c r="E102" s="7">
        <v>2500</v>
      </c>
      <c r="F102" s="7">
        <v>2500</v>
      </c>
      <c r="G102" s="7">
        <v>2500</v>
      </c>
      <c r="H102" s="7">
        <v>2500</v>
      </c>
      <c r="I102" s="7">
        <v>2500</v>
      </c>
      <c r="J102" s="7">
        <v>2500</v>
      </c>
      <c r="K102" s="7">
        <v>2500</v>
      </c>
      <c r="L102" s="7">
        <v>2500</v>
      </c>
      <c r="M102" s="7">
        <v>2500</v>
      </c>
      <c r="N102" s="7">
        <v>2500</v>
      </c>
      <c r="O102" s="7">
        <v>2500</v>
      </c>
      <c r="P102" s="7">
        <v>2500</v>
      </c>
      <c r="Q102" s="7">
        <v>2500</v>
      </c>
      <c r="R102" s="7">
        <v>2500</v>
      </c>
      <c r="S102" s="7">
        <v>2500</v>
      </c>
      <c r="T102" s="7">
        <v>2500</v>
      </c>
      <c r="U102" s="7">
        <v>2500</v>
      </c>
      <c r="V102" s="7">
        <v>2500</v>
      </c>
      <c r="W102" s="7">
        <v>2500</v>
      </c>
      <c r="X102" s="7">
        <v>2500</v>
      </c>
      <c r="Y102" s="7">
        <v>2500</v>
      </c>
      <c r="Z102" s="7">
        <v>2500</v>
      </c>
      <c r="AA102" s="11">
        <v>2500</v>
      </c>
      <c r="AB102" s="5">
        <f t="shared" ref="AB102:AB149" si="2">(SUM(D102:AA102))</f>
        <v>60000</v>
      </c>
      <c r="AC102" s="5">
        <v>20</v>
      </c>
      <c r="AD102" s="51">
        <f>(AB102*AC102)+(AB103*AC103)+(AB104*AC104)+(AB105*AC105)</f>
        <v>1860000</v>
      </c>
    </row>
    <row r="103" spans="2:30">
      <c r="B103" s="49"/>
      <c r="C103" s="1" t="s">
        <v>6</v>
      </c>
      <c r="D103" s="2">
        <v>2500</v>
      </c>
      <c r="E103" s="2">
        <v>2500</v>
      </c>
      <c r="F103" s="2">
        <v>2500</v>
      </c>
      <c r="G103" s="2">
        <v>2500</v>
      </c>
      <c r="H103" s="2">
        <v>2500</v>
      </c>
      <c r="I103" s="2">
        <v>2500</v>
      </c>
      <c r="J103" s="2">
        <v>2500</v>
      </c>
      <c r="K103" s="2">
        <v>2500</v>
      </c>
      <c r="L103" s="2">
        <v>2500</v>
      </c>
      <c r="M103" s="2">
        <v>2500</v>
      </c>
      <c r="N103" s="2">
        <v>2500</v>
      </c>
      <c r="O103" s="2">
        <v>2500</v>
      </c>
      <c r="P103" s="2">
        <v>2500</v>
      </c>
      <c r="Q103" s="2">
        <v>2500</v>
      </c>
      <c r="R103" s="2">
        <v>2500</v>
      </c>
      <c r="S103" s="2">
        <v>2500</v>
      </c>
      <c r="T103" s="2">
        <v>2500</v>
      </c>
      <c r="U103" s="2">
        <v>2500</v>
      </c>
      <c r="V103" s="2">
        <v>2500</v>
      </c>
      <c r="W103" s="2">
        <v>2500</v>
      </c>
      <c r="X103" s="2">
        <v>2500</v>
      </c>
      <c r="Y103" s="2">
        <v>2500</v>
      </c>
      <c r="Z103" s="2">
        <v>2500</v>
      </c>
      <c r="AA103" s="12">
        <v>2500</v>
      </c>
      <c r="AB103" s="3">
        <f t="shared" si="2"/>
        <v>60000</v>
      </c>
      <c r="AC103" s="3">
        <v>4</v>
      </c>
      <c r="AD103" s="52"/>
    </row>
    <row r="104" spans="2:30">
      <c r="B104" s="49"/>
      <c r="C104" s="1" t="s">
        <v>7</v>
      </c>
      <c r="D104" s="2">
        <v>2500</v>
      </c>
      <c r="E104" s="2">
        <v>2500</v>
      </c>
      <c r="F104" s="2">
        <v>2500</v>
      </c>
      <c r="G104" s="2">
        <v>2500</v>
      </c>
      <c r="H104" s="2">
        <v>2500</v>
      </c>
      <c r="I104" s="2">
        <v>2500</v>
      </c>
      <c r="J104" s="2">
        <v>2500</v>
      </c>
      <c r="K104" s="2">
        <v>2500</v>
      </c>
      <c r="L104" s="2">
        <v>2500</v>
      </c>
      <c r="M104" s="2">
        <v>2500</v>
      </c>
      <c r="N104" s="2">
        <v>2500</v>
      </c>
      <c r="O104" s="2">
        <v>2500</v>
      </c>
      <c r="P104" s="2">
        <v>2500</v>
      </c>
      <c r="Q104" s="2">
        <v>2500</v>
      </c>
      <c r="R104" s="2">
        <v>2500</v>
      </c>
      <c r="S104" s="2">
        <v>2500</v>
      </c>
      <c r="T104" s="2">
        <v>2500</v>
      </c>
      <c r="U104" s="2">
        <v>2500</v>
      </c>
      <c r="V104" s="2">
        <v>2500</v>
      </c>
      <c r="W104" s="2">
        <v>2500</v>
      </c>
      <c r="X104" s="2">
        <v>2500</v>
      </c>
      <c r="Y104" s="2">
        <v>2500</v>
      </c>
      <c r="Z104" s="2">
        <v>2500</v>
      </c>
      <c r="AA104" s="12">
        <v>2500</v>
      </c>
      <c r="AB104" s="3">
        <f t="shared" si="2"/>
        <v>60000</v>
      </c>
      <c r="AC104" s="3">
        <v>5</v>
      </c>
      <c r="AD104" s="52"/>
    </row>
    <row r="105" spans="2:30" ht="15" thickBot="1">
      <c r="B105" s="50"/>
      <c r="C105" s="9" t="s">
        <v>8</v>
      </c>
      <c r="D105" s="10">
        <v>2500</v>
      </c>
      <c r="E105" s="10">
        <v>2500</v>
      </c>
      <c r="F105" s="10">
        <v>2500</v>
      </c>
      <c r="G105" s="10">
        <v>2500</v>
      </c>
      <c r="H105" s="10">
        <v>2500</v>
      </c>
      <c r="I105" s="10">
        <v>2500</v>
      </c>
      <c r="J105" s="10">
        <v>2500</v>
      </c>
      <c r="K105" s="10">
        <v>2500</v>
      </c>
      <c r="L105" s="10">
        <v>2500</v>
      </c>
      <c r="M105" s="10">
        <v>2500</v>
      </c>
      <c r="N105" s="10">
        <v>2500</v>
      </c>
      <c r="O105" s="10">
        <v>2500</v>
      </c>
      <c r="P105" s="10">
        <v>2500</v>
      </c>
      <c r="Q105" s="10">
        <v>2500</v>
      </c>
      <c r="R105" s="10">
        <v>2500</v>
      </c>
      <c r="S105" s="10">
        <v>2500</v>
      </c>
      <c r="T105" s="10">
        <v>2500</v>
      </c>
      <c r="U105" s="10">
        <v>2500</v>
      </c>
      <c r="V105" s="10">
        <v>2500</v>
      </c>
      <c r="W105" s="10">
        <v>2500</v>
      </c>
      <c r="X105" s="10">
        <v>2500</v>
      </c>
      <c r="Y105" s="10">
        <v>2500</v>
      </c>
      <c r="Z105" s="10">
        <v>2500</v>
      </c>
      <c r="AA105" s="13">
        <v>2500</v>
      </c>
      <c r="AB105" s="6">
        <f t="shared" si="2"/>
        <v>60000</v>
      </c>
      <c r="AC105" s="6">
        <v>2</v>
      </c>
      <c r="AD105" s="53"/>
    </row>
    <row r="106" spans="2:30">
      <c r="B106" s="48">
        <v>46784</v>
      </c>
      <c r="C106" s="8" t="s">
        <v>5</v>
      </c>
      <c r="D106" s="7">
        <v>2500</v>
      </c>
      <c r="E106" s="7">
        <v>2500</v>
      </c>
      <c r="F106" s="7">
        <v>2500</v>
      </c>
      <c r="G106" s="7">
        <v>2500</v>
      </c>
      <c r="H106" s="7">
        <v>2500</v>
      </c>
      <c r="I106" s="7">
        <v>2500</v>
      </c>
      <c r="J106" s="7">
        <v>2500</v>
      </c>
      <c r="K106" s="7">
        <v>2500</v>
      </c>
      <c r="L106" s="7">
        <v>2500</v>
      </c>
      <c r="M106" s="7">
        <v>2500</v>
      </c>
      <c r="N106" s="7">
        <v>2500</v>
      </c>
      <c r="O106" s="7">
        <v>2500</v>
      </c>
      <c r="P106" s="7">
        <v>2500</v>
      </c>
      <c r="Q106" s="7">
        <v>2500</v>
      </c>
      <c r="R106" s="7">
        <v>2500</v>
      </c>
      <c r="S106" s="7">
        <v>2500</v>
      </c>
      <c r="T106" s="7">
        <v>2500</v>
      </c>
      <c r="U106" s="7">
        <v>2500</v>
      </c>
      <c r="V106" s="7">
        <v>2500</v>
      </c>
      <c r="W106" s="7">
        <v>2500</v>
      </c>
      <c r="X106" s="7">
        <v>2500</v>
      </c>
      <c r="Y106" s="7">
        <v>2500</v>
      </c>
      <c r="Z106" s="7">
        <v>2500</v>
      </c>
      <c r="AA106" s="11">
        <v>2500</v>
      </c>
      <c r="AB106" s="5">
        <f t="shared" si="2"/>
        <v>60000</v>
      </c>
      <c r="AC106" s="5">
        <v>21</v>
      </c>
      <c r="AD106" s="51">
        <f>(AB106*AC106)+(AB107*AC107)+(AB108*AC108)+(AB109*AC109)</f>
        <v>1740000</v>
      </c>
    </row>
    <row r="107" spans="2:30">
      <c r="B107" s="49"/>
      <c r="C107" s="1" t="s">
        <v>6</v>
      </c>
      <c r="D107" s="2">
        <v>2500</v>
      </c>
      <c r="E107" s="2">
        <v>2500</v>
      </c>
      <c r="F107" s="2">
        <v>2500</v>
      </c>
      <c r="G107" s="2">
        <v>2500</v>
      </c>
      <c r="H107" s="2">
        <v>2500</v>
      </c>
      <c r="I107" s="2">
        <v>2500</v>
      </c>
      <c r="J107" s="2">
        <v>2500</v>
      </c>
      <c r="K107" s="2">
        <v>2500</v>
      </c>
      <c r="L107" s="2">
        <v>2500</v>
      </c>
      <c r="M107" s="2">
        <v>2500</v>
      </c>
      <c r="N107" s="2">
        <v>2500</v>
      </c>
      <c r="O107" s="2">
        <v>2500</v>
      </c>
      <c r="P107" s="2">
        <v>2500</v>
      </c>
      <c r="Q107" s="2">
        <v>2500</v>
      </c>
      <c r="R107" s="2">
        <v>2500</v>
      </c>
      <c r="S107" s="2">
        <v>2500</v>
      </c>
      <c r="T107" s="2">
        <v>2500</v>
      </c>
      <c r="U107" s="2">
        <v>2500</v>
      </c>
      <c r="V107" s="2">
        <v>2500</v>
      </c>
      <c r="W107" s="2">
        <v>2500</v>
      </c>
      <c r="X107" s="2">
        <v>2500</v>
      </c>
      <c r="Y107" s="2">
        <v>2500</v>
      </c>
      <c r="Z107" s="2">
        <v>2500</v>
      </c>
      <c r="AA107" s="12">
        <v>2500</v>
      </c>
      <c r="AB107" s="3">
        <f t="shared" si="2"/>
        <v>60000</v>
      </c>
      <c r="AC107" s="3">
        <v>4</v>
      </c>
      <c r="AD107" s="52"/>
    </row>
    <row r="108" spans="2:30">
      <c r="B108" s="49"/>
      <c r="C108" s="1" t="s">
        <v>7</v>
      </c>
      <c r="D108" s="2">
        <v>2500</v>
      </c>
      <c r="E108" s="2">
        <v>2500</v>
      </c>
      <c r="F108" s="2">
        <v>2500</v>
      </c>
      <c r="G108" s="2">
        <v>2500</v>
      </c>
      <c r="H108" s="2">
        <v>2500</v>
      </c>
      <c r="I108" s="2">
        <v>2500</v>
      </c>
      <c r="J108" s="2">
        <v>2500</v>
      </c>
      <c r="K108" s="2">
        <v>2500</v>
      </c>
      <c r="L108" s="2">
        <v>2500</v>
      </c>
      <c r="M108" s="2">
        <v>2500</v>
      </c>
      <c r="N108" s="2">
        <v>2500</v>
      </c>
      <c r="O108" s="2">
        <v>2500</v>
      </c>
      <c r="P108" s="2">
        <v>2500</v>
      </c>
      <c r="Q108" s="2">
        <v>2500</v>
      </c>
      <c r="R108" s="2">
        <v>2500</v>
      </c>
      <c r="S108" s="2">
        <v>2500</v>
      </c>
      <c r="T108" s="2">
        <v>2500</v>
      </c>
      <c r="U108" s="2">
        <v>2500</v>
      </c>
      <c r="V108" s="2">
        <v>2500</v>
      </c>
      <c r="W108" s="2">
        <v>2500</v>
      </c>
      <c r="X108" s="2">
        <v>2500</v>
      </c>
      <c r="Y108" s="2">
        <v>2500</v>
      </c>
      <c r="Z108" s="2">
        <v>2500</v>
      </c>
      <c r="AA108" s="12">
        <v>2500</v>
      </c>
      <c r="AB108" s="3">
        <f t="shared" si="2"/>
        <v>60000</v>
      </c>
      <c r="AC108" s="3">
        <v>4</v>
      </c>
      <c r="AD108" s="52"/>
    </row>
    <row r="109" spans="2:30" ht="15" thickBot="1">
      <c r="B109" s="50"/>
      <c r="C109" s="9" t="s">
        <v>8</v>
      </c>
      <c r="D109" s="10">
        <v>2500</v>
      </c>
      <c r="E109" s="10">
        <v>2500</v>
      </c>
      <c r="F109" s="10">
        <v>2500</v>
      </c>
      <c r="G109" s="10">
        <v>2500</v>
      </c>
      <c r="H109" s="10">
        <v>2500</v>
      </c>
      <c r="I109" s="10">
        <v>2500</v>
      </c>
      <c r="J109" s="10">
        <v>2500</v>
      </c>
      <c r="K109" s="10">
        <v>2500</v>
      </c>
      <c r="L109" s="10">
        <v>2500</v>
      </c>
      <c r="M109" s="10">
        <v>2500</v>
      </c>
      <c r="N109" s="10">
        <v>2500</v>
      </c>
      <c r="O109" s="10">
        <v>2500</v>
      </c>
      <c r="P109" s="10">
        <v>2500</v>
      </c>
      <c r="Q109" s="10">
        <v>2500</v>
      </c>
      <c r="R109" s="10">
        <v>2500</v>
      </c>
      <c r="S109" s="10">
        <v>2500</v>
      </c>
      <c r="T109" s="10">
        <v>2500</v>
      </c>
      <c r="U109" s="10">
        <v>2500</v>
      </c>
      <c r="V109" s="10">
        <v>2500</v>
      </c>
      <c r="W109" s="10">
        <v>2500</v>
      </c>
      <c r="X109" s="10">
        <v>2500</v>
      </c>
      <c r="Y109" s="10">
        <v>2500</v>
      </c>
      <c r="Z109" s="10">
        <v>2500</v>
      </c>
      <c r="AA109" s="13">
        <v>2500</v>
      </c>
      <c r="AB109" s="6">
        <f t="shared" si="2"/>
        <v>60000</v>
      </c>
      <c r="AC109" s="6">
        <v>0</v>
      </c>
      <c r="AD109" s="53"/>
    </row>
    <row r="110" spans="2:30">
      <c r="B110" s="48">
        <v>46813</v>
      </c>
      <c r="C110" s="8" t="s">
        <v>5</v>
      </c>
      <c r="D110" s="7">
        <v>2500</v>
      </c>
      <c r="E110" s="7">
        <v>2500</v>
      </c>
      <c r="F110" s="7">
        <v>2500</v>
      </c>
      <c r="G110" s="7">
        <v>2500</v>
      </c>
      <c r="H110" s="7">
        <v>2500</v>
      </c>
      <c r="I110" s="7">
        <v>2500</v>
      </c>
      <c r="J110" s="7">
        <v>2500</v>
      </c>
      <c r="K110" s="7">
        <v>2500</v>
      </c>
      <c r="L110" s="7">
        <v>2500</v>
      </c>
      <c r="M110" s="7">
        <v>2500</v>
      </c>
      <c r="N110" s="7">
        <v>2500</v>
      </c>
      <c r="O110" s="7">
        <v>2500</v>
      </c>
      <c r="P110" s="7">
        <v>2500</v>
      </c>
      <c r="Q110" s="7">
        <v>2500</v>
      </c>
      <c r="R110" s="7">
        <v>2500</v>
      </c>
      <c r="S110" s="7">
        <v>2500</v>
      </c>
      <c r="T110" s="7">
        <v>2500</v>
      </c>
      <c r="U110" s="7">
        <v>2500</v>
      </c>
      <c r="V110" s="7">
        <v>2500</v>
      </c>
      <c r="W110" s="7">
        <v>2500</v>
      </c>
      <c r="X110" s="7">
        <v>2500</v>
      </c>
      <c r="Y110" s="7">
        <v>2500</v>
      </c>
      <c r="Z110" s="7">
        <v>2500</v>
      </c>
      <c r="AA110" s="11">
        <v>2500</v>
      </c>
      <c r="AB110" s="5">
        <f t="shared" si="2"/>
        <v>60000</v>
      </c>
      <c r="AC110" s="5">
        <v>22</v>
      </c>
      <c r="AD110" s="51">
        <f>(AB110*AC110)+(AB111*AC111)+(AB112*AC112)+(AB113*AC113)</f>
        <v>1860000</v>
      </c>
    </row>
    <row r="111" spans="2:30">
      <c r="B111" s="49"/>
      <c r="C111" s="1" t="s">
        <v>6</v>
      </c>
      <c r="D111" s="2">
        <v>2500</v>
      </c>
      <c r="E111" s="2">
        <v>2500</v>
      </c>
      <c r="F111" s="2">
        <v>2500</v>
      </c>
      <c r="G111" s="2">
        <v>2500</v>
      </c>
      <c r="H111" s="2">
        <v>2500</v>
      </c>
      <c r="I111" s="2">
        <v>2500</v>
      </c>
      <c r="J111" s="2">
        <v>2500</v>
      </c>
      <c r="K111" s="2">
        <v>2500</v>
      </c>
      <c r="L111" s="2">
        <v>2500</v>
      </c>
      <c r="M111" s="2">
        <v>2500</v>
      </c>
      <c r="N111" s="2">
        <v>2500</v>
      </c>
      <c r="O111" s="2">
        <v>2500</v>
      </c>
      <c r="P111" s="2">
        <v>2500</v>
      </c>
      <c r="Q111" s="2">
        <v>2500</v>
      </c>
      <c r="R111" s="2">
        <v>2500</v>
      </c>
      <c r="S111" s="2">
        <v>2500</v>
      </c>
      <c r="T111" s="2">
        <v>2500</v>
      </c>
      <c r="U111" s="2">
        <v>2500</v>
      </c>
      <c r="V111" s="2">
        <v>2500</v>
      </c>
      <c r="W111" s="2">
        <v>2500</v>
      </c>
      <c r="X111" s="2">
        <v>2500</v>
      </c>
      <c r="Y111" s="2">
        <v>2500</v>
      </c>
      <c r="Z111" s="2">
        <v>2500</v>
      </c>
      <c r="AA111" s="12">
        <v>2500</v>
      </c>
      <c r="AB111" s="3">
        <f t="shared" si="2"/>
        <v>60000</v>
      </c>
      <c r="AC111" s="3">
        <v>4</v>
      </c>
      <c r="AD111" s="52"/>
    </row>
    <row r="112" spans="2:30">
      <c r="B112" s="49"/>
      <c r="C112" s="1" t="s">
        <v>7</v>
      </c>
      <c r="D112" s="2">
        <v>2500</v>
      </c>
      <c r="E112" s="2">
        <v>2500</v>
      </c>
      <c r="F112" s="2">
        <v>2500</v>
      </c>
      <c r="G112" s="2">
        <v>2500</v>
      </c>
      <c r="H112" s="2">
        <v>2500</v>
      </c>
      <c r="I112" s="2">
        <v>2500</v>
      </c>
      <c r="J112" s="2">
        <v>2500</v>
      </c>
      <c r="K112" s="2">
        <v>2500</v>
      </c>
      <c r="L112" s="2">
        <v>2500</v>
      </c>
      <c r="M112" s="2">
        <v>2500</v>
      </c>
      <c r="N112" s="2">
        <v>2500</v>
      </c>
      <c r="O112" s="2">
        <v>2500</v>
      </c>
      <c r="P112" s="2">
        <v>2500</v>
      </c>
      <c r="Q112" s="2">
        <v>2500</v>
      </c>
      <c r="R112" s="2">
        <v>2500</v>
      </c>
      <c r="S112" s="2">
        <v>2500</v>
      </c>
      <c r="T112" s="2">
        <v>2500</v>
      </c>
      <c r="U112" s="2">
        <v>2500</v>
      </c>
      <c r="V112" s="2">
        <v>2500</v>
      </c>
      <c r="W112" s="2">
        <v>2500</v>
      </c>
      <c r="X112" s="2">
        <v>2500</v>
      </c>
      <c r="Y112" s="2">
        <v>2500</v>
      </c>
      <c r="Z112" s="2">
        <v>2500</v>
      </c>
      <c r="AA112" s="12">
        <v>2500</v>
      </c>
      <c r="AB112" s="3">
        <f t="shared" si="2"/>
        <v>60000</v>
      </c>
      <c r="AC112" s="3">
        <v>4</v>
      </c>
      <c r="AD112" s="52"/>
    </row>
    <row r="113" spans="2:30" ht="15" thickBot="1">
      <c r="B113" s="50"/>
      <c r="C113" s="9" t="s">
        <v>8</v>
      </c>
      <c r="D113" s="10">
        <v>2500</v>
      </c>
      <c r="E113" s="10">
        <v>2500</v>
      </c>
      <c r="F113" s="10">
        <v>2500</v>
      </c>
      <c r="G113" s="10">
        <v>2500</v>
      </c>
      <c r="H113" s="10">
        <v>2500</v>
      </c>
      <c r="I113" s="10">
        <v>2500</v>
      </c>
      <c r="J113" s="10">
        <v>2500</v>
      </c>
      <c r="K113" s="10">
        <v>2500</v>
      </c>
      <c r="L113" s="10">
        <v>2500</v>
      </c>
      <c r="M113" s="10">
        <v>2500</v>
      </c>
      <c r="N113" s="10">
        <v>2500</v>
      </c>
      <c r="O113" s="10">
        <v>2500</v>
      </c>
      <c r="P113" s="10">
        <v>2500</v>
      </c>
      <c r="Q113" s="10">
        <v>2500</v>
      </c>
      <c r="R113" s="10">
        <v>2500</v>
      </c>
      <c r="S113" s="10">
        <v>2500</v>
      </c>
      <c r="T113" s="10">
        <v>2500</v>
      </c>
      <c r="U113" s="10">
        <v>2500</v>
      </c>
      <c r="V113" s="10">
        <v>2500</v>
      </c>
      <c r="W113" s="10">
        <v>2500</v>
      </c>
      <c r="X113" s="10">
        <v>2500</v>
      </c>
      <c r="Y113" s="10">
        <v>2500</v>
      </c>
      <c r="Z113" s="10">
        <v>2500</v>
      </c>
      <c r="AA113" s="13">
        <v>2500</v>
      </c>
      <c r="AB113" s="6">
        <f t="shared" si="2"/>
        <v>60000</v>
      </c>
      <c r="AC113" s="6">
        <v>1</v>
      </c>
      <c r="AD113" s="53"/>
    </row>
    <row r="114" spans="2:30">
      <c r="B114" s="48">
        <v>46844</v>
      </c>
      <c r="C114" s="8" t="s">
        <v>5</v>
      </c>
      <c r="D114" s="7">
        <v>2500</v>
      </c>
      <c r="E114" s="7">
        <v>2500</v>
      </c>
      <c r="F114" s="7">
        <v>2500</v>
      </c>
      <c r="G114" s="7">
        <v>2500</v>
      </c>
      <c r="H114" s="7">
        <v>2500</v>
      </c>
      <c r="I114" s="7">
        <v>2500</v>
      </c>
      <c r="J114" s="7">
        <v>2500</v>
      </c>
      <c r="K114" s="7">
        <v>2500</v>
      </c>
      <c r="L114" s="7">
        <v>2500</v>
      </c>
      <c r="M114" s="7">
        <v>2500</v>
      </c>
      <c r="N114" s="7">
        <v>2500</v>
      </c>
      <c r="O114" s="7">
        <v>2500</v>
      </c>
      <c r="P114" s="7">
        <v>2500</v>
      </c>
      <c r="Q114" s="7">
        <v>2500</v>
      </c>
      <c r="R114" s="7">
        <v>2500</v>
      </c>
      <c r="S114" s="7">
        <v>2500</v>
      </c>
      <c r="T114" s="7">
        <v>2500</v>
      </c>
      <c r="U114" s="7">
        <v>2500</v>
      </c>
      <c r="V114" s="7">
        <v>2500</v>
      </c>
      <c r="W114" s="7">
        <v>2500</v>
      </c>
      <c r="X114" s="7">
        <v>2500</v>
      </c>
      <c r="Y114" s="7">
        <v>2500</v>
      </c>
      <c r="Z114" s="7">
        <v>2500</v>
      </c>
      <c r="AA114" s="11">
        <v>2500</v>
      </c>
      <c r="AB114" s="5">
        <f t="shared" si="2"/>
        <v>60000</v>
      </c>
      <c r="AC114" s="5">
        <v>18</v>
      </c>
      <c r="AD114" s="51">
        <f>(AB114*AC114)+(AB115*AC115)+(AB116*AC116)+(AB117*AC117)</f>
        <v>1800000</v>
      </c>
    </row>
    <row r="115" spans="2:30">
      <c r="B115" s="49"/>
      <c r="C115" s="1" t="s">
        <v>6</v>
      </c>
      <c r="D115" s="2">
        <v>2500</v>
      </c>
      <c r="E115" s="2">
        <v>2500</v>
      </c>
      <c r="F115" s="2">
        <v>2500</v>
      </c>
      <c r="G115" s="2">
        <v>2500</v>
      </c>
      <c r="H115" s="2">
        <v>2500</v>
      </c>
      <c r="I115" s="2">
        <v>2500</v>
      </c>
      <c r="J115" s="2">
        <v>2500</v>
      </c>
      <c r="K115" s="2">
        <v>2500</v>
      </c>
      <c r="L115" s="2">
        <v>2500</v>
      </c>
      <c r="M115" s="2">
        <v>2500</v>
      </c>
      <c r="N115" s="2">
        <v>2500</v>
      </c>
      <c r="O115" s="2">
        <v>2500</v>
      </c>
      <c r="P115" s="2">
        <v>2500</v>
      </c>
      <c r="Q115" s="2">
        <v>2500</v>
      </c>
      <c r="R115" s="2">
        <v>2500</v>
      </c>
      <c r="S115" s="2">
        <v>2500</v>
      </c>
      <c r="T115" s="2">
        <v>2500</v>
      </c>
      <c r="U115" s="2">
        <v>2500</v>
      </c>
      <c r="V115" s="2">
        <v>2500</v>
      </c>
      <c r="W115" s="2">
        <v>2500</v>
      </c>
      <c r="X115" s="2">
        <v>2500</v>
      </c>
      <c r="Y115" s="2">
        <v>2500</v>
      </c>
      <c r="Z115" s="2">
        <v>2500</v>
      </c>
      <c r="AA115" s="12">
        <v>2500</v>
      </c>
      <c r="AB115" s="3">
        <f t="shared" si="2"/>
        <v>60000</v>
      </c>
      <c r="AC115" s="3">
        <v>5</v>
      </c>
      <c r="AD115" s="52"/>
    </row>
    <row r="116" spans="2:30">
      <c r="B116" s="49"/>
      <c r="C116" s="1" t="s">
        <v>7</v>
      </c>
      <c r="D116" s="2">
        <v>2500</v>
      </c>
      <c r="E116" s="2">
        <v>2500</v>
      </c>
      <c r="F116" s="2">
        <v>2500</v>
      </c>
      <c r="G116" s="2">
        <v>2500</v>
      </c>
      <c r="H116" s="2">
        <v>2500</v>
      </c>
      <c r="I116" s="2">
        <v>2500</v>
      </c>
      <c r="J116" s="2">
        <v>2500</v>
      </c>
      <c r="K116" s="2">
        <v>2500</v>
      </c>
      <c r="L116" s="2">
        <v>2500</v>
      </c>
      <c r="M116" s="2">
        <v>2500</v>
      </c>
      <c r="N116" s="2">
        <v>2500</v>
      </c>
      <c r="O116" s="2">
        <v>2500</v>
      </c>
      <c r="P116" s="2">
        <v>2500</v>
      </c>
      <c r="Q116" s="2">
        <v>2500</v>
      </c>
      <c r="R116" s="2">
        <v>2500</v>
      </c>
      <c r="S116" s="2">
        <v>2500</v>
      </c>
      <c r="T116" s="2">
        <v>2500</v>
      </c>
      <c r="U116" s="2">
        <v>2500</v>
      </c>
      <c r="V116" s="2">
        <v>2500</v>
      </c>
      <c r="W116" s="2">
        <v>2500</v>
      </c>
      <c r="X116" s="2">
        <v>2500</v>
      </c>
      <c r="Y116" s="2">
        <v>2500</v>
      </c>
      <c r="Z116" s="2">
        <v>2500</v>
      </c>
      <c r="AA116" s="12">
        <v>2500</v>
      </c>
      <c r="AB116" s="3">
        <f t="shared" si="2"/>
        <v>60000</v>
      </c>
      <c r="AC116" s="3">
        <v>5</v>
      </c>
      <c r="AD116" s="52"/>
    </row>
    <row r="117" spans="2:30" ht="15" thickBot="1">
      <c r="B117" s="50"/>
      <c r="C117" s="9" t="s">
        <v>8</v>
      </c>
      <c r="D117" s="10">
        <v>2500</v>
      </c>
      <c r="E117" s="10">
        <v>2500</v>
      </c>
      <c r="F117" s="10">
        <v>2500</v>
      </c>
      <c r="G117" s="10">
        <v>2500</v>
      </c>
      <c r="H117" s="10">
        <v>2500</v>
      </c>
      <c r="I117" s="10">
        <v>2500</v>
      </c>
      <c r="J117" s="10">
        <v>2500</v>
      </c>
      <c r="K117" s="10">
        <v>2500</v>
      </c>
      <c r="L117" s="10">
        <v>2500</v>
      </c>
      <c r="M117" s="10">
        <v>2500</v>
      </c>
      <c r="N117" s="10">
        <v>2500</v>
      </c>
      <c r="O117" s="10">
        <v>2500</v>
      </c>
      <c r="P117" s="10">
        <v>2500</v>
      </c>
      <c r="Q117" s="10">
        <v>2500</v>
      </c>
      <c r="R117" s="10">
        <v>2500</v>
      </c>
      <c r="S117" s="10">
        <v>2500</v>
      </c>
      <c r="T117" s="10">
        <v>2500</v>
      </c>
      <c r="U117" s="10">
        <v>2500</v>
      </c>
      <c r="V117" s="10">
        <v>2500</v>
      </c>
      <c r="W117" s="10">
        <v>2500</v>
      </c>
      <c r="X117" s="10">
        <v>2500</v>
      </c>
      <c r="Y117" s="10">
        <v>2500</v>
      </c>
      <c r="Z117" s="10">
        <v>2500</v>
      </c>
      <c r="AA117" s="13">
        <v>2500</v>
      </c>
      <c r="AB117" s="6">
        <f t="shared" si="2"/>
        <v>60000</v>
      </c>
      <c r="AC117" s="6">
        <v>2</v>
      </c>
      <c r="AD117" s="53"/>
    </row>
    <row r="118" spans="2:30">
      <c r="B118" s="48">
        <v>46874</v>
      </c>
      <c r="C118" s="8" t="s">
        <v>5</v>
      </c>
      <c r="D118" s="7">
        <v>2500</v>
      </c>
      <c r="E118" s="7">
        <v>2500</v>
      </c>
      <c r="F118" s="7">
        <v>2500</v>
      </c>
      <c r="G118" s="7">
        <v>2500</v>
      </c>
      <c r="H118" s="7">
        <v>2500</v>
      </c>
      <c r="I118" s="7">
        <v>2500</v>
      </c>
      <c r="J118" s="7">
        <v>2500</v>
      </c>
      <c r="K118" s="7">
        <v>2500</v>
      </c>
      <c r="L118" s="7">
        <v>2500</v>
      </c>
      <c r="M118" s="7">
        <v>2500</v>
      </c>
      <c r="N118" s="7">
        <v>2500</v>
      </c>
      <c r="O118" s="7">
        <v>2500</v>
      </c>
      <c r="P118" s="7">
        <v>2500</v>
      </c>
      <c r="Q118" s="7">
        <v>2500</v>
      </c>
      <c r="R118" s="7">
        <v>2500</v>
      </c>
      <c r="S118" s="7">
        <v>2500</v>
      </c>
      <c r="T118" s="7">
        <v>2500</v>
      </c>
      <c r="U118" s="7">
        <v>2500</v>
      </c>
      <c r="V118" s="7">
        <v>2500</v>
      </c>
      <c r="W118" s="7">
        <v>2500</v>
      </c>
      <c r="X118" s="7">
        <v>2500</v>
      </c>
      <c r="Y118" s="7">
        <v>2500</v>
      </c>
      <c r="Z118" s="7">
        <v>2500</v>
      </c>
      <c r="AA118" s="11">
        <v>2500</v>
      </c>
      <c r="AB118" s="5">
        <f t="shared" si="2"/>
        <v>60000</v>
      </c>
      <c r="AC118" s="5">
        <v>21</v>
      </c>
      <c r="AD118" s="51">
        <f>(AB118*AC118)+(AB119*AC119)+(AB120*AC120)+(AB121*AC121)</f>
        <v>1860000</v>
      </c>
    </row>
    <row r="119" spans="2:30">
      <c r="B119" s="49"/>
      <c r="C119" s="1" t="s">
        <v>6</v>
      </c>
      <c r="D119" s="2">
        <v>2500</v>
      </c>
      <c r="E119" s="2">
        <v>2500</v>
      </c>
      <c r="F119" s="2">
        <v>2500</v>
      </c>
      <c r="G119" s="2">
        <v>2500</v>
      </c>
      <c r="H119" s="2">
        <v>2500</v>
      </c>
      <c r="I119" s="2">
        <v>2500</v>
      </c>
      <c r="J119" s="2">
        <v>2500</v>
      </c>
      <c r="K119" s="2">
        <v>2500</v>
      </c>
      <c r="L119" s="2">
        <v>2500</v>
      </c>
      <c r="M119" s="2">
        <v>2500</v>
      </c>
      <c r="N119" s="2">
        <v>2500</v>
      </c>
      <c r="O119" s="2">
        <v>2500</v>
      </c>
      <c r="P119" s="2">
        <v>2500</v>
      </c>
      <c r="Q119" s="2">
        <v>2500</v>
      </c>
      <c r="R119" s="2">
        <v>2500</v>
      </c>
      <c r="S119" s="2">
        <v>2500</v>
      </c>
      <c r="T119" s="2">
        <v>2500</v>
      </c>
      <c r="U119" s="2">
        <v>2500</v>
      </c>
      <c r="V119" s="2">
        <v>2500</v>
      </c>
      <c r="W119" s="2">
        <v>2500</v>
      </c>
      <c r="X119" s="2">
        <v>2500</v>
      </c>
      <c r="Y119" s="2">
        <v>2500</v>
      </c>
      <c r="Z119" s="2">
        <v>2500</v>
      </c>
      <c r="AA119" s="12">
        <v>2500</v>
      </c>
      <c r="AB119" s="3">
        <f t="shared" si="2"/>
        <v>60000</v>
      </c>
      <c r="AC119" s="3">
        <v>4</v>
      </c>
      <c r="AD119" s="52"/>
    </row>
    <row r="120" spans="2:30">
      <c r="B120" s="49"/>
      <c r="C120" s="1" t="s">
        <v>7</v>
      </c>
      <c r="D120" s="2">
        <v>2500</v>
      </c>
      <c r="E120" s="2">
        <v>2500</v>
      </c>
      <c r="F120" s="2">
        <v>2500</v>
      </c>
      <c r="G120" s="2">
        <v>2500</v>
      </c>
      <c r="H120" s="2">
        <v>2500</v>
      </c>
      <c r="I120" s="2">
        <v>2500</v>
      </c>
      <c r="J120" s="2">
        <v>2500</v>
      </c>
      <c r="K120" s="2">
        <v>2500</v>
      </c>
      <c r="L120" s="2">
        <v>2500</v>
      </c>
      <c r="M120" s="2">
        <v>2500</v>
      </c>
      <c r="N120" s="2">
        <v>2500</v>
      </c>
      <c r="O120" s="2">
        <v>2500</v>
      </c>
      <c r="P120" s="2">
        <v>2500</v>
      </c>
      <c r="Q120" s="2">
        <v>2500</v>
      </c>
      <c r="R120" s="2">
        <v>2500</v>
      </c>
      <c r="S120" s="2">
        <v>2500</v>
      </c>
      <c r="T120" s="2">
        <v>2500</v>
      </c>
      <c r="U120" s="2">
        <v>2500</v>
      </c>
      <c r="V120" s="2">
        <v>2500</v>
      </c>
      <c r="W120" s="2">
        <v>2500</v>
      </c>
      <c r="X120" s="2">
        <v>2500</v>
      </c>
      <c r="Y120" s="2">
        <v>2500</v>
      </c>
      <c r="Z120" s="2">
        <v>2500</v>
      </c>
      <c r="AA120" s="12">
        <v>2500</v>
      </c>
      <c r="AB120" s="3">
        <f t="shared" si="2"/>
        <v>60000</v>
      </c>
      <c r="AC120" s="3">
        <v>4</v>
      </c>
      <c r="AD120" s="52"/>
    </row>
    <row r="121" spans="2:30" ht="15" thickBot="1">
      <c r="B121" s="50"/>
      <c r="C121" s="9" t="s">
        <v>8</v>
      </c>
      <c r="D121" s="10">
        <v>2500</v>
      </c>
      <c r="E121" s="10">
        <v>2500</v>
      </c>
      <c r="F121" s="10">
        <v>2500</v>
      </c>
      <c r="G121" s="10">
        <v>2500</v>
      </c>
      <c r="H121" s="10">
        <v>2500</v>
      </c>
      <c r="I121" s="10">
        <v>2500</v>
      </c>
      <c r="J121" s="10">
        <v>2500</v>
      </c>
      <c r="K121" s="10">
        <v>2500</v>
      </c>
      <c r="L121" s="10">
        <v>2500</v>
      </c>
      <c r="M121" s="10">
        <v>2500</v>
      </c>
      <c r="N121" s="10">
        <v>2500</v>
      </c>
      <c r="O121" s="10">
        <v>2500</v>
      </c>
      <c r="P121" s="10">
        <v>2500</v>
      </c>
      <c r="Q121" s="10">
        <v>2500</v>
      </c>
      <c r="R121" s="10">
        <v>2500</v>
      </c>
      <c r="S121" s="10">
        <v>2500</v>
      </c>
      <c r="T121" s="10">
        <v>2500</v>
      </c>
      <c r="U121" s="10">
        <v>2500</v>
      </c>
      <c r="V121" s="10">
        <v>2500</v>
      </c>
      <c r="W121" s="10">
        <v>2500</v>
      </c>
      <c r="X121" s="10">
        <v>2500</v>
      </c>
      <c r="Y121" s="10">
        <v>2500</v>
      </c>
      <c r="Z121" s="10">
        <v>2500</v>
      </c>
      <c r="AA121" s="13">
        <v>2500</v>
      </c>
      <c r="AB121" s="6">
        <f t="shared" si="2"/>
        <v>60000</v>
      </c>
      <c r="AC121" s="6">
        <v>2</v>
      </c>
      <c r="AD121" s="53"/>
    </row>
    <row r="122" spans="2:30">
      <c r="B122" s="48">
        <v>46905</v>
      </c>
      <c r="C122" s="8" t="s">
        <v>5</v>
      </c>
      <c r="D122" s="7">
        <v>2500</v>
      </c>
      <c r="E122" s="7">
        <v>2500</v>
      </c>
      <c r="F122" s="7">
        <v>2500</v>
      </c>
      <c r="G122" s="7">
        <v>2500</v>
      </c>
      <c r="H122" s="7">
        <v>2500</v>
      </c>
      <c r="I122" s="7">
        <v>2500</v>
      </c>
      <c r="J122" s="7">
        <v>2500</v>
      </c>
      <c r="K122" s="7">
        <v>2500</v>
      </c>
      <c r="L122" s="7">
        <v>2500</v>
      </c>
      <c r="M122" s="7">
        <v>2500</v>
      </c>
      <c r="N122" s="7">
        <v>2500</v>
      </c>
      <c r="O122" s="7">
        <v>2500</v>
      </c>
      <c r="P122" s="7">
        <v>2500</v>
      </c>
      <c r="Q122" s="7">
        <v>2500</v>
      </c>
      <c r="R122" s="7">
        <v>2500</v>
      </c>
      <c r="S122" s="7">
        <v>2500</v>
      </c>
      <c r="T122" s="7">
        <v>2500</v>
      </c>
      <c r="U122" s="7">
        <v>2500</v>
      </c>
      <c r="V122" s="7">
        <v>2500</v>
      </c>
      <c r="W122" s="7">
        <v>2500</v>
      </c>
      <c r="X122" s="7">
        <v>2500</v>
      </c>
      <c r="Y122" s="7">
        <v>2500</v>
      </c>
      <c r="Z122" s="7">
        <v>2500</v>
      </c>
      <c r="AA122" s="11">
        <v>2500</v>
      </c>
      <c r="AB122" s="5">
        <f t="shared" si="2"/>
        <v>60000</v>
      </c>
      <c r="AC122" s="5">
        <v>20</v>
      </c>
      <c r="AD122" s="51">
        <f>(AB122*AC122)+(AB123*AC123)+(AB124*AC124)+(AB125*AC125)</f>
        <v>1800000</v>
      </c>
    </row>
    <row r="123" spans="2:30">
      <c r="B123" s="49"/>
      <c r="C123" s="1" t="s">
        <v>6</v>
      </c>
      <c r="D123" s="2">
        <v>2500</v>
      </c>
      <c r="E123" s="2">
        <v>2500</v>
      </c>
      <c r="F123" s="2">
        <v>2500</v>
      </c>
      <c r="G123" s="2">
        <v>2500</v>
      </c>
      <c r="H123" s="2">
        <v>2500</v>
      </c>
      <c r="I123" s="2">
        <v>2500</v>
      </c>
      <c r="J123" s="2">
        <v>2500</v>
      </c>
      <c r="K123" s="2">
        <v>2500</v>
      </c>
      <c r="L123" s="2">
        <v>2500</v>
      </c>
      <c r="M123" s="2">
        <v>2500</v>
      </c>
      <c r="N123" s="2">
        <v>2500</v>
      </c>
      <c r="O123" s="2">
        <v>2500</v>
      </c>
      <c r="P123" s="2">
        <v>2500</v>
      </c>
      <c r="Q123" s="2">
        <v>2500</v>
      </c>
      <c r="R123" s="2">
        <v>2500</v>
      </c>
      <c r="S123" s="2">
        <v>2500</v>
      </c>
      <c r="T123" s="2">
        <v>2500</v>
      </c>
      <c r="U123" s="2">
        <v>2500</v>
      </c>
      <c r="V123" s="2">
        <v>2500</v>
      </c>
      <c r="W123" s="2">
        <v>2500</v>
      </c>
      <c r="X123" s="2">
        <v>2500</v>
      </c>
      <c r="Y123" s="2">
        <v>2500</v>
      </c>
      <c r="Z123" s="2">
        <v>2500</v>
      </c>
      <c r="AA123" s="12">
        <v>2500</v>
      </c>
      <c r="AB123" s="3">
        <f t="shared" si="2"/>
        <v>60000</v>
      </c>
      <c r="AC123" s="3">
        <v>4</v>
      </c>
      <c r="AD123" s="52"/>
    </row>
    <row r="124" spans="2:30">
      <c r="B124" s="49"/>
      <c r="C124" s="1" t="s">
        <v>7</v>
      </c>
      <c r="D124" s="2">
        <v>2500</v>
      </c>
      <c r="E124" s="2">
        <v>2500</v>
      </c>
      <c r="F124" s="2">
        <v>2500</v>
      </c>
      <c r="G124" s="2">
        <v>2500</v>
      </c>
      <c r="H124" s="2">
        <v>2500</v>
      </c>
      <c r="I124" s="2">
        <v>2500</v>
      </c>
      <c r="J124" s="2">
        <v>2500</v>
      </c>
      <c r="K124" s="2">
        <v>2500</v>
      </c>
      <c r="L124" s="2">
        <v>2500</v>
      </c>
      <c r="M124" s="2">
        <v>2500</v>
      </c>
      <c r="N124" s="2">
        <v>2500</v>
      </c>
      <c r="O124" s="2">
        <v>2500</v>
      </c>
      <c r="P124" s="2">
        <v>2500</v>
      </c>
      <c r="Q124" s="2">
        <v>2500</v>
      </c>
      <c r="R124" s="2">
        <v>2500</v>
      </c>
      <c r="S124" s="2">
        <v>2500</v>
      </c>
      <c r="T124" s="2">
        <v>2500</v>
      </c>
      <c r="U124" s="2">
        <v>2500</v>
      </c>
      <c r="V124" s="2">
        <v>2500</v>
      </c>
      <c r="W124" s="2">
        <v>2500</v>
      </c>
      <c r="X124" s="2">
        <v>2500</v>
      </c>
      <c r="Y124" s="2">
        <v>2500</v>
      </c>
      <c r="Z124" s="2">
        <v>2500</v>
      </c>
      <c r="AA124" s="12">
        <v>2500</v>
      </c>
      <c r="AB124" s="3">
        <f t="shared" si="2"/>
        <v>60000</v>
      </c>
      <c r="AC124" s="3">
        <v>4</v>
      </c>
      <c r="AD124" s="52"/>
    </row>
    <row r="125" spans="2:30" ht="15" thickBot="1">
      <c r="B125" s="50"/>
      <c r="C125" s="9" t="s">
        <v>8</v>
      </c>
      <c r="D125" s="10">
        <v>2500</v>
      </c>
      <c r="E125" s="10">
        <v>2500</v>
      </c>
      <c r="F125" s="10">
        <v>2500</v>
      </c>
      <c r="G125" s="10">
        <v>2500</v>
      </c>
      <c r="H125" s="10">
        <v>2500</v>
      </c>
      <c r="I125" s="10">
        <v>2500</v>
      </c>
      <c r="J125" s="10">
        <v>2500</v>
      </c>
      <c r="K125" s="10">
        <v>2500</v>
      </c>
      <c r="L125" s="10">
        <v>2500</v>
      </c>
      <c r="M125" s="10">
        <v>2500</v>
      </c>
      <c r="N125" s="10">
        <v>2500</v>
      </c>
      <c r="O125" s="10">
        <v>2500</v>
      </c>
      <c r="P125" s="10">
        <v>2500</v>
      </c>
      <c r="Q125" s="10">
        <v>2500</v>
      </c>
      <c r="R125" s="10">
        <v>2500</v>
      </c>
      <c r="S125" s="10">
        <v>2500</v>
      </c>
      <c r="T125" s="10">
        <v>2500</v>
      </c>
      <c r="U125" s="10">
        <v>2500</v>
      </c>
      <c r="V125" s="10">
        <v>2500</v>
      </c>
      <c r="W125" s="10">
        <v>2500</v>
      </c>
      <c r="X125" s="10">
        <v>2500</v>
      </c>
      <c r="Y125" s="10">
        <v>2500</v>
      </c>
      <c r="Z125" s="10">
        <v>2500</v>
      </c>
      <c r="AA125" s="13">
        <v>2500</v>
      </c>
      <c r="AB125" s="6">
        <f t="shared" si="2"/>
        <v>60000</v>
      </c>
      <c r="AC125" s="6">
        <v>2</v>
      </c>
      <c r="AD125" s="53"/>
    </row>
    <row r="126" spans="2:30">
      <c r="B126" s="48">
        <v>46935</v>
      </c>
      <c r="C126" s="8" t="s">
        <v>5</v>
      </c>
      <c r="D126" s="7">
        <v>2500</v>
      </c>
      <c r="E126" s="7">
        <v>2500</v>
      </c>
      <c r="F126" s="7">
        <v>2500</v>
      </c>
      <c r="G126" s="7">
        <v>2500</v>
      </c>
      <c r="H126" s="7">
        <v>2500</v>
      </c>
      <c r="I126" s="7">
        <v>2500</v>
      </c>
      <c r="J126" s="7">
        <v>2500</v>
      </c>
      <c r="K126" s="7">
        <v>2500</v>
      </c>
      <c r="L126" s="7">
        <v>2500</v>
      </c>
      <c r="M126" s="7">
        <v>2500</v>
      </c>
      <c r="N126" s="7">
        <v>2500</v>
      </c>
      <c r="O126" s="7">
        <v>2500</v>
      </c>
      <c r="P126" s="7">
        <v>2500</v>
      </c>
      <c r="Q126" s="7">
        <v>2500</v>
      </c>
      <c r="R126" s="7">
        <v>2500</v>
      </c>
      <c r="S126" s="7">
        <v>2500</v>
      </c>
      <c r="T126" s="7">
        <v>2500</v>
      </c>
      <c r="U126" s="7">
        <v>2500</v>
      </c>
      <c r="V126" s="7">
        <v>2500</v>
      </c>
      <c r="W126" s="7">
        <v>2500</v>
      </c>
      <c r="X126" s="7">
        <v>2500</v>
      </c>
      <c r="Y126" s="7">
        <v>2500</v>
      </c>
      <c r="Z126" s="7">
        <v>2500</v>
      </c>
      <c r="AA126" s="11">
        <v>2500</v>
      </c>
      <c r="AB126" s="5">
        <f t="shared" si="2"/>
        <v>60000</v>
      </c>
      <c r="AC126" s="5">
        <v>19</v>
      </c>
      <c r="AD126" s="51">
        <f>(AB126*AC126)+(AB127*AC127)+(AB128*AC128)+(AB129*AC129)</f>
        <v>1860000</v>
      </c>
    </row>
    <row r="127" spans="2:30">
      <c r="B127" s="49"/>
      <c r="C127" s="1" t="s">
        <v>6</v>
      </c>
      <c r="D127" s="2">
        <v>2500</v>
      </c>
      <c r="E127" s="2">
        <v>2500</v>
      </c>
      <c r="F127" s="2">
        <v>2500</v>
      </c>
      <c r="G127" s="2">
        <v>2500</v>
      </c>
      <c r="H127" s="2">
        <v>2500</v>
      </c>
      <c r="I127" s="2">
        <v>2500</v>
      </c>
      <c r="J127" s="2">
        <v>2500</v>
      </c>
      <c r="K127" s="2">
        <v>2500</v>
      </c>
      <c r="L127" s="2">
        <v>2500</v>
      </c>
      <c r="M127" s="2">
        <v>2500</v>
      </c>
      <c r="N127" s="2">
        <v>2500</v>
      </c>
      <c r="O127" s="2">
        <v>2500</v>
      </c>
      <c r="P127" s="2">
        <v>2500</v>
      </c>
      <c r="Q127" s="2">
        <v>2500</v>
      </c>
      <c r="R127" s="2">
        <v>2500</v>
      </c>
      <c r="S127" s="2">
        <v>2500</v>
      </c>
      <c r="T127" s="2">
        <v>2500</v>
      </c>
      <c r="U127" s="2">
        <v>2500</v>
      </c>
      <c r="V127" s="2">
        <v>2500</v>
      </c>
      <c r="W127" s="2">
        <v>2500</v>
      </c>
      <c r="X127" s="2">
        <v>2500</v>
      </c>
      <c r="Y127" s="2">
        <v>2500</v>
      </c>
      <c r="Z127" s="2">
        <v>2500</v>
      </c>
      <c r="AA127" s="12">
        <v>2500</v>
      </c>
      <c r="AB127" s="3">
        <f t="shared" si="2"/>
        <v>60000</v>
      </c>
      <c r="AC127" s="3">
        <v>5</v>
      </c>
      <c r="AD127" s="52"/>
    </row>
    <row r="128" spans="2:30">
      <c r="B128" s="49"/>
      <c r="C128" s="1" t="s">
        <v>4</v>
      </c>
      <c r="D128" s="2">
        <v>2500</v>
      </c>
      <c r="E128" s="2">
        <v>2500</v>
      </c>
      <c r="F128" s="2">
        <v>2500</v>
      </c>
      <c r="G128" s="2">
        <v>2500</v>
      </c>
      <c r="H128" s="2">
        <v>2500</v>
      </c>
      <c r="I128" s="2">
        <v>2500</v>
      </c>
      <c r="J128" s="2">
        <v>2500</v>
      </c>
      <c r="K128" s="2">
        <v>2500</v>
      </c>
      <c r="L128" s="2">
        <v>2500</v>
      </c>
      <c r="M128" s="2">
        <v>2500</v>
      </c>
      <c r="N128" s="2">
        <v>2500</v>
      </c>
      <c r="O128" s="2">
        <v>2500</v>
      </c>
      <c r="P128" s="2">
        <v>2500</v>
      </c>
      <c r="Q128" s="2">
        <v>2500</v>
      </c>
      <c r="R128" s="2">
        <v>2500</v>
      </c>
      <c r="S128" s="2">
        <v>2500</v>
      </c>
      <c r="T128" s="2">
        <v>2500</v>
      </c>
      <c r="U128" s="2">
        <v>2500</v>
      </c>
      <c r="V128" s="2">
        <v>2500</v>
      </c>
      <c r="W128" s="2">
        <v>2500</v>
      </c>
      <c r="X128" s="2">
        <v>2500</v>
      </c>
      <c r="Y128" s="2">
        <v>2500</v>
      </c>
      <c r="Z128" s="2">
        <v>2500</v>
      </c>
      <c r="AA128" s="12">
        <v>2500</v>
      </c>
      <c r="AB128" s="3">
        <f t="shared" si="2"/>
        <v>60000</v>
      </c>
      <c r="AC128" s="3">
        <v>5</v>
      </c>
      <c r="AD128" s="52"/>
    </row>
    <row r="129" spans="2:30" ht="15" thickBot="1">
      <c r="B129" s="50"/>
      <c r="C129" s="9" t="s">
        <v>8</v>
      </c>
      <c r="D129" s="10">
        <v>2500</v>
      </c>
      <c r="E129" s="10">
        <v>2500</v>
      </c>
      <c r="F129" s="10">
        <v>2500</v>
      </c>
      <c r="G129" s="10">
        <v>2500</v>
      </c>
      <c r="H129" s="10">
        <v>2500</v>
      </c>
      <c r="I129" s="10">
        <v>2500</v>
      </c>
      <c r="J129" s="10">
        <v>2500</v>
      </c>
      <c r="K129" s="10">
        <v>2500</v>
      </c>
      <c r="L129" s="10">
        <v>2500</v>
      </c>
      <c r="M129" s="10">
        <v>2500</v>
      </c>
      <c r="N129" s="10">
        <v>2500</v>
      </c>
      <c r="O129" s="10">
        <v>2500</v>
      </c>
      <c r="P129" s="10">
        <v>2500</v>
      </c>
      <c r="Q129" s="10">
        <v>2500</v>
      </c>
      <c r="R129" s="10">
        <v>2500</v>
      </c>
      <c r="S129" s="10">
        <v>2500</v>
      </c>
      <c r="T129" s="10">
        <v>2500</v>
      </c>
      <c r="U129" s="10">
        <v>2500</v>
      </c>
      <c r="V129" s="10">
        <v>2500</v>
      </c>
      <c r="W129" s="10">
        <v>2500</v>
      </c>
      <c r="X129" s="10">
        <v>2500</v>
      </c>
      <c r="Y129" s="10">
        <v>2500</v>
      </c>
      <c r="Z129" s="10">
        <v>2500</v>
      </c>
      <c r="AA129" s="13">
        <v>2500</v>
      </c>
      <c r="AB129" s="6">
        <f t="shared" si="2"/>
        <v>60000</v>
      </c>
      <c r="AC129" s="6">
        <v>2</v>
      </c>
      <c r="AD129" s="53"/>
    </row>
    <row r="130" spans="2:30">
      <c r="B130" s="48">
        <v>46966</v>
      </c>
      <c r="C130" s="8" t="s">
        <v>5</v>
      </c>
      <c r="D130" s="7">
        <v>2500</v>
      </c>
      <c r="E130" s="7">
        <v>2500</v>
      </c>
      <c r="F130" s="7">
        <v>2500</v>
      </c>
      <c r="G130" s="7">
        <v>2500</v>
      </c>
      <c r="H130" s="7">
        <v>2500</v>
      </c>
      <c r="I130" s="7">
        <v>2500</v>
      </c>
      <c r="J130" s="7">
        <v>2500</v>
      </c>
      <c r="K130" s="7">
        <v>2500</v>
      </c>
      <c r="L130" s="7">
        <v>2500</v>
      </c>
      <c r="M130" s="7">
        <v>2500</v>
      </c>
      <c r="N130" s="7">
        <v>2500</v>
      </c>
      <c r="O130" s="7">
        <v>2500</v>
      </c>
      <c r="P130" s="7">
        <v>2500</v>
      </c>
      <c r="Q130" s="7">
        <v>2500</v>
      </c>
      <c r="R130" s="7">
        <v>2500</v>
      </c>
      <c r="S130" s="7">
        <v>2500</v>
      </c>
      <c r="T130" s="7">
        <v>2500</v>
      </c>
      <c r="U130" s="7">
        <v>2500</v>
      </c>
      <c r="V130" s="7">
        <v>2500</v>
      </c>
      <c r="W130" s="7">
        <v>2500</v>
      </c>
      <c r="X130" s="7">
        <v>2500</v>
      </c>
      <c r="Y130" s="7">
        <v>2500</v>
      </c>
      <c r="Z130" s="7">
        <v>2500</v>
      </c>
      <c r="AA130" s="11">
        <v>2500</v>
      </c>
      <c r="AB130" s="5">
        <f t="shared" si="2"/>
        <v>60000</v>
      </c>
      <c r="AC130" s="5">
        <v>21</v>
      </c>
      <c r="AD130" s="51">
        <f>(AB130*AC130)+(AB131*AC131)+(AB132*AC132)+(AB133*AC133)</f>
        <v>1860000</v>
      </c>
    </row>
    <row r="131" spans="2:30">
      <c r="B131" s="49"/>
      <c r="C131" s="1" t="s">
        <v>6</v>
      </c>
      <c r="D131" s="2">
        <v>2500</v>
      </c>
      <c r="E131" s="2">
        <v>2500</v>
      </c>
      <c r="F131" s="2">
        <v>2500</v>
      </c>
      <c r="G131" s="2">
        <v>2500</v>
      </c>
      <c r="H131" s="2">
        <v>2500</v>
      </c>
      <c r="I131" s="2">
        <v>2500</v>
      </c>
      <c r="J131" s="2">
        <v>2500</v>
      </c>
      <c r="K131" s="2">
        <v>2500</v>
      </c>
      <c r="L131" s="2">
        <v>2500</v>
      </c>
      <c r="M131" s="2">
        <v>2500</v>
      </c>
      <c r="N131" s="2">
        <v>2500</v>
      </c>
      <c r="O131" s="2">
        <v>2500</v>
      </c>
      <c r="P131" s="2">
        <v>2500</v>
      </c>
      <c r="Q131" s="2">
        <v>2500</v>
      </c>
      <c r="R131" s="2">
        <v>2500</v>
      </c>
      <c r="S131" s="2">
        <v>2500</v>
      </c>
      <c r="T131" s="2">
        <v>2500</v>
      </c>
      <c r="U131" s="2">
        <v>2500</v>
      </c>
      <c r="V131" s="2">
        <v>2500</v>
      </c>
      <c r="W131" s="2">
        <v>2500</v>
      </c>
      <c r="X131" s="2">
        <v>2500</v>
      </c>
      <c r="Y131" s="2">
        <v>2500</v>
      </c>
      <c r="Z131" s="2">
        <v>2500</v>
      </c>
      <c r="AA131" s="12">
        <v>2500</v>
      </c>
      <c r="AB131" s="3">
        <f t="shared" si="2"/>
        <v>60000</v>
      </c>
      <c r="AC131" s="3">
        <v>4</v>
      </c>
      <c r="AD131" s="52"/>
    </row>
    <row r="132" spans="2:30">
      <c r="B132" s="49"/>
      <c r="C132" s="1" t="s">
        <v>7</v>
      </c>
      <c r="D132" s="2">
        <v>2500</v>
      </c>
      <c r="E132" s="2">
        <v>2500</v>
      </c>
      <c r="F132" s="2">
        <v>2500</v>
      </c>
      <c r="G132" s="2">
        <v>2500</v>
      </c>
      <c r="H132" s="2">
        <v>2500</v>
      </c>
      <c r="I132" s="2">
        <v>2500</v>
      </c>
      <c r="J132" s="2">
        <v>2500</v>
      </c>
      <c r="K132" s="2">
        <v>2500</v>
      </c>
      <c r="L132" s="2">
        <v>2500</v>
      </c>
      <c r="M132" s="2">
        <v>2500</v>
      </c>
      <c r="N132" s="2">
        <v>2500</v>
      </c>
      <c r="O132" s="2">
        <v>2500</v>
      </c>
      <c r="P132" s="2">
        <v>2500</v>
      </c>
      <c r="Q132" s="2">
        <v>2500</v>
      </c>
      <c r="R132" s="2">
        <v>2500</v>
      </c>
      <c r="S132" s="2">
        <v>2500</v>
      </c>
      <c r="T132" s="2">
        <v>2500</v>
      </c>
      <c r="U132" s="2">
        <v>2500</v>
      </c>
      <c r="V132" s="2">
        <v>2500</v>
      </c>
      <c r="W132" s="2">
        <v>2500</v>
      </c>
      <c r="X132" s="2">
        <v>2500</v>
      </c>
      <c r="Y132" s="2">
        <v>2500</v>
      </c>
      <c r="Z132" s="2">
        <v>2500</v>
      </c>
      <c r="AA132" s="12">
        <v>2500</v>
      </c>
      <c r="AB132" s="3">
        <f t="shared" si="2"/>
        <v>60000</v>
      </c>
      <c r="AC132" s="3">
        <v>4</v>
      </c>
      <c r="AD132" s="52"/>
    </row>
    <row r="133" spans="2:30" ht="15" thickBot="1">
      <c r="B133" s="50"/>
      <c r="C133" s="9" t="s">
        <v>8</v>
      </c>
      <c r="D133" s="10">
        <v>2500</v>
      </c>
      <c r="E133" s="10">
        <v>2500</v>
      </c>
      <c r="F133" s="10">
        <v>2500</v>
      </c>
      <c r="G133" s="10">
        <v>2500</v>
      </c>
      <c r="H133" s="10">
        <v>2500</v>
      </c>
      <c r="I133" s="10">
        <v>2500</v>
      </c>
      <c r="J133" s="10">
        <v>2500</v>
      </c>
      <c r="K133" s="10">
        <v>2500</v>
      </c>
      <c r="L133" s="10">
        <v>2500</v>
      </c>
      <c r="M133" s="10">
        <v>2500</v>
      </c>
      <c r="N133" s="10">
        <v>2500</v>
      </c>
      <c r="O133" s="10">
        <v>2500</v>
      </c>
      <c r="P133" s="10">
        <v>2500</v>
      </c>
      <c r="Q133" s="10">
        <v>2500</v>
      </c>
      <c r="R133" s="10">
        <v>2500</v>
      </c>
      <c r="S133" s="10">
        <v>2500</v>
      </c>
      <c r="T133" s="10">
        <v>2500</v>
      </c>
      <c r="U133" s="10">
        <v>2500</v>
      </c>
      <c r="V133" s="10">
        <v>2500</v>
      </c>
      <c r="W133" s="10">
        <v>2500</v>
      </c>
      <c r="X133" s="10">
        <v>2500</v>
      </c>
      <c r="Y133" s="10">
        <v>2500</v>
      </c>
      <c r="Z133" s="10">
        <v>2500</v>
      </c>
      <c r="AA133" s="13">
        <v>2500</v>
      </c>
      <c r="AB133" s="6">
        <f t="shared" si="2"/>
        <v>60000</v>
      </c>
      <c r="AC133" s="6">
        <v>2</v>
      </c>
      <c r="AD133" s="53"/>
    </row>
    <row r="134" spans="2:30">
      <c r="B134" s="48">
        <v>46997</v>
      </c>
      <c r="C134" s="8" t="s">
        <v>5</v>
      </c>
      <c r="D134" s="7">
        <v>2500</v>
      </c>
      <c r="E134" s="7">
        <v>2500</v>
      </c>
      <c r="F134" s="7">
        <v>2500</v>
      </c>
      <c r="G134" s="7">
        <v>2500</v>
      </c>
      <c r="H134" s="7">
        <v>2500</v>
      </c>
      <c r="I134" s="7">
        <v>2500</v>
      </c>
      <c r="J134" s="7">
        <v>2500</v>
      </c>
      <c r="K134" s="7">
        <v>2500</v>
      </c>
      <c r="L134" s="7">
        <v>2500</v>
      </c>
      <c r="M134" s="7">
        <v>2500</v>
      </c>
      <c r="N134" s="7">
        <v>2500</v>
      </c>
      <c r="O134" s="7">
        <v>2500</v>
      </c>
      <c r="P134" s="7">
        <v>2500</v>
      </c>
      <c r="Q134" s="7">
        <v>2500</v>
      </c>
      <c r="R134" s="7">
        <v>2500</v>
      </c>
      <c r="S134" s="7">
        <v>2500</v>
      </c>
      <c r="T134" s="7">
        <v>2500</v>
      </c>
      <c r="U134" s="7">
        <v>2500</v>
      </c>
      <c r="V134" s="7">
        <v>2500</v>
      </c>
      <c r="W134" s="7">
        <v>2500</v>
      </c>
      <c r="X134" s="7">
        <v>2500</v>
      </c>
      <c r="Y134" s="7">
        <v>2500</v>
      </c>
      <c r="Z134" s="7">
        <v>2500</v>
      </c>
      <c r="AA134" s="11">
        <v>2500</v>
      </c>
      <c r="AB134" s="5">
        <f t="shared" si="2"/>
        <v>60000</v>
      </c>
      <c r="AC134" s="5">
        <v>21</v>
      </c>
      <c r="AD134" s="51">
        <f>(AB134*AC134)+(AB135*AC135)+(AB136*AC136)+(AB137*AC137)</f>
        <v>1800000</v>
      </c>
    </row>
    <row r="135" spans="2:30">
      <c r="B135" s="49"/>
      <c r="C135" s="1" t="s">
        <v>6</v>
      </c>
      <c r="D135" s="2">
        <v>2500</v>
      </c>
      <c r="E135" s="2">
        <v>2500</v>
      </c>
      <c r="F135" s="2">
        <v>2500</v>
      </c>
      <c r="G135" s="2">
        <v>2500</v>
      </c>
      <c r="H135" s="2">
        <v>2500</v>
      </c>
      <c r="I135" s="2">
        <v>2500</v>
      </c>
      <c r="J135" s="2">
        <v>2500</v>
      </c>
      <c r="K135" s="2">
        <v>2500</v>
      </c>
      <c r="L135" s="2">
        <v>2500</v>
      </c>
      <c r="M135" s="2">
        <v>2500</v>
      </c>
      <c r="N135" s="2">
        <v>2500</v>
      </c>
      <c r="O135" s="2">
        <v>2500</v>
      </c>
      <c r="P135" s="2">
        <v>2500</v>
      </c>
      <c r="Q135" s="2">
        <v>2500</v>
      </c>
      <c r="R135" s="2">
        <v>2500</v>
      </c>
      <c r="S135" s="2">
        <v>2500</v>
      </c>
      <c r="T135" s="2">
        <v>2500</v>
      </c>
      <c r="U135" s="2">
        <v>2500</v>
      </c>
      <c r="V135" s="2">
        <v>2500</v>
      </c>
      <c r="W135" s="2">
        <v>2500</v>
      </c>
      <c r="X135" s="2">
        <v>2500</v>
      </c>
      <c r="Y135" s="2">
        <v>2500</v>
      </c>
      <c r="Z135" s="2">
        <v>2500</v>
      </c>
      <c r="AA135" s="12">
        <v>2500</v>
      </c>
      <c r="AB135" s="3">
        <f t="shared" si="2"/>
        <v>60000</v>
      </c>
      <c r="AC135" s="3">
        <v>5</v>
      </c>
      <c r="AD135" s="52"/>
    </row>
    <row r="136" spans="2:30">
      <c r="B136" s="49"/>
      <c r="C136" s="1" t="s">
        <v>7</v>
      </c>
      <c r="D136" s="2">
        <v>2500</v>
      </c>
      <c r="E136" s="2">
        <v>2500</v>
      </c>
      <c r="F136" s="2">
        <v>2500</v>
      </c>
      <c r="G136" s="2">
        <v>2500</v>
      </c>
      <c r="H136" s="2">
        <v>2500</v>
      </c>
      <c r="I136" s="2">
        <v>2500</v>
      </c>
      <c r="J136" s="2">
        <v>2500</v>
      </c>
      <c r="K136" s="2">
        <v>2500</v>
      </c>
      <c r="L136" s="2">
        <v>2500</v>
      </c>
      <c r="M136" s="2">
        <v>2500</v>
      </c>
      <c r="N136" s="2">
        <v>2500</v>
      </c>
      <c r="O136" s="2">
        <v>2500</v>
      </c>
      <c r="P136" s="2">
        <v>2500</v>
      </c>
      <c r="Q136" s="2">
        <v>2500</v>
      </c>
      <c r="R136" s="2">
        <v>2500</v>
      </c>
      <c r="S136" s="2">
        <v>2500</v>
      </c>
      <c r="T136" s="2">
        <v>2500</v>
      </c>
      <c r="U136" s="2">
        <v>2500</v>
      </c>
      <c r="V136" s="2">
        <v>2500</v>
      </c>
      <c r="W136" s="2">
        <v>2500</v>
      </c>
      <c r="X136" s="2">
        <v>2500</v>
      </c>
      <c r="Y136" s="2">
        <v>2500</v>
      </c>
      <c r="Z136" s="2">
        <v>2500</v>
      </c>
      <c r="AA136" s="12">
        <v>2500</v>
      </c>
      <c r="AB136" s="3">
        <f t="shared" si="2"/>
        <v>60000</v>
      </c>
      <c r="AC136" s="3">
        <v>4</v>
      </c>
      <c r="AD136" s="52"/>
    </row>
    <row r="137" spans="2:30" ht="15" thickBot="1">
      <c r="B137" s="50"/>
      <c r="C137" s="9" t="s">
        <v>8</v>
      </c>
      <c r="D137" s="10">
        <v>2500</v>
      </c>
      <c r="E137" s="10">
        <v>2500</v>
      </c>
      <c r="F137" s="10">
        <v>2500</v>
      </c>
      <c r="G137" s="10">
        <v>2500</v>
      </c>
      <c r="H137" s="10">
        <v>2500</v>
      </c>
      <c r="I137" s="10">
        <v>2500</v>
      </c>
      <c r="J137" s="10">
        <v>2500</v>
      </c>
      <c r="K137" s="10">
        <v>2500</v>
      </c>
      <c r="L137" s="10">
        <v>2500</v>
      </c>
      <c r="M137" s="10">
        <v>2500</v>
      </c>
      <c r="N137" s="10">
        <v>2500</v>
      </c>
      <c r="O137" s="10">
        <v>2500</v>
      </c>
      <c r="P137" s="10">
        <v>2500</v>
      </c>
      <c r="Q137" s="10">
        <v>2500</v>
      </c>
      <c r="R137" s="10">
        <v>2500</v>
      </c>
      <c r="S137" s="10">
        <v>2500</v>
      </c>
      <c r="T137" s="10">
        <v>2500</v>
      </c>
      <c r="U137" s="10">
        <v>2500</v>
      </c>
      <c r="V137" s="10">
        <v>2500</v>
      </c>
      <c r="W137" s="10">
        <v>2500</v>
      </c>
      <c r="X137" s="10">
        <v>2500</v>
      </c>
      <c r="Y137" s="10">
        <v>2500</v>
      </c>
      <c r="Z137" s="10">
        <v>2500</v>
      </c>
      <c r="AA137" s="13">
        <v>2500</v>
      </c>
      <c r="AB137" s="6">
        <f t="shared" si="2"/>
        <v>60000</v>
      </c>
      <c r="AC137" s="6">
        <v>0</v>
      </c>
      <c r="AD137" s="53"/>
    </row>
    <row r="138" spans="2:30">
      <c r="B138" s="48">
        <v>47027</v>
      </c>
      <c r="C138" s="8" t="s">
        <v>5</v>
      </c>
      <c r="D138" s="7">
        <v>2500</v>
      </c>
      <c r="E138" s="7">
        <v>2500</v>
      </c>
      <c r="F138" s="7">
        <v>2500</v>
      </c>
      <c r="G138" s="7">
        <v>2500</v>
      </c>
      <c r="H138" s="7">
        <v>2500</v>
      </c>
      <c r="I138" s="7">
        <v>2500</v>
      </c>
      <c r="J138" s="7">
        <v>2500</v>
      </c>
      <c r="K138" s="7">
        <v>2500</v>
      </c>
      <c r="L138" s="7">
        <v>2500</v>
      </c>
      <c r="M138" s="7">
        <v>2500</v>
      </c>
      <c r="N138" s="7">
        <v>2500</v>
      </c>
      <c r="O138" s="7">
        <v>2500</v>
      </c>
      <c r="P138" s="7">
        <v>2500</v>
      </c>
      <c r="Q138" s="7">
        <v>2500</v>
      </c>
      <c r="R138" s="7">
        <v>2500</v>
      </c>
      <c r="S138" s="7">
        <v>2500</v>
      </c>
      <c r="T138" s="7">
        <v>2500</v>
      </c>
      <c r="U138" s="7">
        <v>2500</v>
      </c>
      <c r="V138" s="7">
        <v>2500</v>
      </c>
      <c r="W138" s="7">
        <v>2500</v>
      </c>
      <c r="X138" s="7">
        <v>2500</v>
      </c>
      <c r="Y138" s="7">
        <v>2500</v>
      </c>
      <c r="Z138" s="7">
        <v>2500</v>
      </c>
      <c r="AA138" s="11">
        <v>2500</v>
      </c>
      <c r="AB138" s="5">
        <f t="shared" si="2"/>
        <v>60000</v>
      </c>
      <c r="AC138" s="5">
        <v>21</v>
      </c>
      <c r="AD138" s="51">
        <f>(AB138*AC138)+(AB139*AC139)+(AB140*AC140)+(AB141*AC141)</f>
        <v>1860000</v>
      </c>
    </row>
    <row r="139" spans="2:30">
      <c r="B139" s="49"/>
      <c r="C139" s="1" t="s">
        <v>6</v>
      </c>
      <c r="D139" s="2">
        <v>2500</v>
      </c>
      <c r="E139" s="2">
        <v>2500</v>
      </c>
      <c r="F139" s="2">
        <v>2500</v>
      </c>
      <c r="G139" s="2">
        <v>2500</v>
      </c>
      <c r="H139" s="2">
        <v>2500</v>
      </c>
      <c r="I139" s="2">
        <v>2500</v>
      </c>
      <c r="J139" s="2">
        <v>2500</v>
      </c>
      <c r="K139" s="2">
        <v>2500</v>
      </c>
      <c r="L139" s="2">
        <v>2500</v>
      </c>
      <c r="M139" s="2">
        <v>2500</v>
      </c>
      <c r="N139" s="2">
        <v>2500</v>
      </c>
      <c r="O139" s="2">
        <v>2500</v>
      </c>
      <c r="P139" s="2">
        <v>2500</v>
      </c>
      <c r="Q139" s="2">
        <v>2500</v>
      </c>
      <c r="R139" s="2">
        <v>2500</v>
      </c>
      <c r="S139" s="2">
        <v>2500</v>
      </c>
      <c r="T139" s="2">
        <v>2500</v>
      </c>
      <c r="U139" s="2">
        <v>2500</v>
      </c>
      <c r="V139" s="2">
        <v>2500</v>
      </c>
      <c r="W139" s="2">
        <v>2500</v>
      </c>
      <c r="X139" s="2">
        <v>2500</v>
      </c>
      <c r="Y139" s="2">
        <v>2500</v>
      </c>
      <c r="Z139" s="2">
        <v>2500</v>
      </c>
      <c r="AA139" s="12">
        <v>2500</v>
      </c>
      <c r="AB139" s="3">
        <f t="shared" si="2"/>
        <v>60000</v>
      </c>
      <c r="AC139" s="3">
        <v>4</v>
      </c>
      <c r="AD139" s="52"/>
    </row>
    <row r="140" spans="2:30">
      <c r="B140" s="49"/>
      <c r="C140" s="1" t="s">
        <v>7</v>
      </c>
      <c r="D140" s="2">
        <v>2500</v>
      </c>
      <c r="E140" s="2">
        <v>2500</v>
      </c>
      <c r="F140" s="2">
        <v>2500</v>
      </c>
      <c r="G140" s="2">
        <v>2500</v>
      </c>
      <c r="H140" s="2">
        <v>2500</v>
      </c>
      <c r="I140" s="2">
        <v>2500</v>
      </c>
      <c r="J140" s="2">
        <v>2500</v>
      </c>
      <c r="K140" s="2">
        <v>2500</v>
      </c>
      <c r="L140" s="2">
        <v>2500</v>
      </c>
      <c r="M140" s="2">
        <v>2500</v>
      </c>
      <c r="N140" s="2">
        <v>2500</v>
      </c>
      <c r="O140" s="2">
        <v>2500</v>
      </c>
      <c r="P140" s="2">
        <v>2500</v>
      </c>
      <c r="Q140" s="2">
        <v>2500</v>
      </c>
      <c r="R140" s="2">
        <v>2500</v>
      </c>
      <c r="S140" s="2">
        <v>2500</v>
      </c>
      <c r="T140" s="2">
        <v>2500</v>
      </c>
      <c r="U140" s="2">
        <v>2500</v>
      </c>
      <c r="V140" s="2">
        <v>2500</v>
      </c>
      <c r="W140" s="2">
        <v>2500</v>
      </c>
      <c r="X140" s="2">
        <v>2500</v>
      </c>
      <c r="Y140" s="2">
        <v>2500</v>
      </c>
      <c r="Z140" s="2">
        <v>2500</v>
      </c>
      <c r="AA140" s="12">
        <v>2500</v>
      </c>
      <c r="AB140" s="3">
        <f t="shared" si="2"/>
        <v>60000</v>
      </c>
      <c r="AC140" s="3">
        <v>5</v>
      </c>
      <c r="AD140" s="52"/>
    </row>
    <row r="141" spans="2:30" ht="15" thickBot="1">
      <c r="B141" s="50"/>
      <c r="C141" s="9" t="s">
        <v>8</v>
      </c>
      <c r="D141" s="10">
        <v>2500</v>
      </c>
      <c r="E141" s="10">
        <v>2500</v>
      </c>
      <c r="F141" s="10">
        <v>2500</v>
      </c>
      <c r="G141" s="10">
        <v>2500</v>
      </c>
      <c r="H141" s="10">
        <v>2500</v>
      </c>
      <c r="I141" s="10">
        <v>2500</v>
      </c>
      <c r="J141" s="10">
        <v>2500</v>
      </c>
      <c r="K141" s="10">
        <v>2500</v>
      </c>
      <c r="L141" s="10">
        <v>2500</v>
      </c>
      <c r="M141" s="10">
        <v>2500</v>
      </c>
      <c r="N141" s="10">
        <v>2500</v>
      </c>
      <c r="O141" s="10">
        <v>2500</v>
      </c>
      <c r="P141" s="10">
        <v>2500</v>
      </c>
      <c r="Q141" s="10">
        <v>2500</v>
      </c>
      <c r="R141" s="10">
        <v>2500</v>
      </c>
      <c r="S141" s="10">
        <v>2500</v>
      </c>
      <c r="T141" s="10">
        <v>2500</v>
      </c>
      <c r="U141" s="10">
        <v>2500</v>
      </c>
      <c r="V141" s="10">
        <v>2500</v>
      </c>
      <c r="W141" s="10">
        <v>2500</v>
      </c>
      <c r="X141" s="10">
        <v>2500</v>
      </c>
      <c r="Y141" s="10">
        <v>2500</v>
      </c>
      <c r="Z141" s="10">
        <v>2500</v>
      </c>
      <c r="AA141" s="13">
        <v>2500</v>
      </c>
      <c r="AB141" s="6">
        <f t="shared" si="2"/>
        <v>60000</v>
      </c>
      <c r="AC141" s="6">
        <v>1</v>
      </c>
      <c r="AD141" s="53"/>
    </row>
    <row r="142" spans="2:30">
      <c r="B142" s="48">
        <v>47058</v>
      </c>
      <c r="C142" s="8" t="s">
        <v>5</v>
      </c>
      <c r="D142" s="7">
        <v>2500</v>
      </c>
      <c r="E142" s="7">
        <v>2500</v>
      </c>
      <c r="F142" s="7">
        <v>2500</v>
      </c>
      <c r="G142" s="7">
        <v>2500</v>
      </c>
      <c r="H142" s="7">
        <v>2500</v>
      </c>
      <c r="I142" s="7">
        <v>2500</v>
      </c>
      <c r="J142" s="7">
        <v>2500</v>
      </c>
      <c r="K142" s="7">
        <v>2500</v>
      </c>
      <c r="L142" s="7">
        <v>2500</v>
      </c>
      <c r="M142" s="7">
        <v>2500</v>
      </c>
      <c r="N142" s="7">
        <v>2500</v>
      </c>
      <c r="O142" s="7">
        <v>2500</v>
      </c>
      <c r="P142" s="7">
        <v>2500</v>
      </c>
      <c r="Q142" s="7">
        <v>2500</v>
      </c>
      <c r="R142" s="7">
        <v>2500</v>
      </c>
      <c r="S142" s="7">
        <v>2500</v>
      </c>
      <c r="T142" s="7">
        <v>2500</v>
      </c>
      <c r="U142" s="7">
        <v>2500</v>
      </c>
      <c r="V142" s="7">
        <v>2500</v>
      </c>
      <c r="W142" s="7">
        <v>2500</v>
      </c>
      <c r="X142" s="7">
        <v>2500</v>
      </c>
      <c r="Y142" s="7">
        <v>2500</v>
      </c>
      <c r="Z142" s="7">
        <v>2500</v>
      </c>
      <c r="AA142" s="11">
        <v>2500</v>
      </c>
      <c r="AB142" s="5">
        <f t="shared" si="2"/>
        <v>60000</v>
      </c>
      <c r="AC142" s="5">
        <v>20</v>
      </c>
      <c r="AD142" s="51">
        <f>(AB142*AC142)+(AB143*AC143)+(AB144*AC144)+(AB145*AC145)</f>
        <v>1800000</v>
      </c>
    </row>
    <row r="143" spans="2:30">
      <c r="B143" s="49"/>
      <c r="C143" s="1" t="s">
        <v>6</v>
      </c>
      <c r="D143" s="2">
        <v>2500</v>
      </c>
      <c r="E143" s="2">
        <v>2500</v>
      </c>
      <c r="F143" s="2">
        <v>2500</v>
      </c>
      <c r="G143" s="2">
        <v>2500</v>
      </c>
      <c r="H143" s="2">
        <v>2500</v>
      </c>
      <c r="I143" s="2">
        <v>2500</v>
      </c>
      <c r="J143" s="2">
        <v>2500</v>
      </c>
      <c r="K143" s="2">
        <v>2500</v>
      </c>
      <c r="L143" s="2">
        <v>2500</v>
      </c>
      <c r="M143" s="2">
        <v>2500</v>
      </c>
      <c r="N143" s="2">
        <v>2500</v>
      </c>
      <c r="O143" s="2">
        <v>2500</v>
      </c>
      <c r="P143" s="2">
        <v>2500</v>
      </c>
      <c r="Q143" s="2">
        <v>2500</v>
      </c>
      <c r="R143" s="2">
        <v>2500</v>
      </c>
      <c r="S143" s="2">
        <v>2500</v>
      </c>
      <c r="T143" s="2">
        <v>2500</v>
      </c>
      <c r="U143" s="2">
        <v>2500</v>
      </c>
      <c r="V143" s="2">
        <v>2500</v>
      </c>
      <c r="W143" s="2">
        <v>2500</v>
      </c>
      <c r="X143" s="2">
        <v>2500</v>
      </c>
      <c r="Y143" s="2">
        <v>2500</v>
      </c>
      <c r="Z143" s="2">
        <v>2500</v>
      </c>
      <c r="AA143" s="12">
        <v>2500</v>
      </c>
      <c r="AB143" s="3">
        <f t="shared" si="2"/>
        <v>60000</v>
      </c>
      <c r="AC143" s="3">
        <v>4</v>
      </c>
      <c r="AD143" s="52"/>
    </row>
    <row r="144" spans="2:30">
      <c r="B144" s="49"/>
      <c r="C144" s="1" t="s">
        <v>7</v>
      </c>
      <c r="D144" s="2">
        <v>2500</v>
      </c>
      <c r="E144" s="2">
        <v>2500</v>
      </c>
      <c r="F144" s="2">
        <v>2500</v>
      </c>
      <c r="G144" s="2">
        <v>2500</v>
      </c>
      <c r="H144" s="2">
        <v>2500</v>
      </c>
      <c r="I144" s="2">
        <v>2500</v>
      </c>
      <c r="J144" s="2">
        <v>2500</v>
      </c>
      <c r="K144" s="2">
        <v>2500</v>
      </c>
      <c r="L144" s="2">
        <v>2500</v>
      </c>
      <c r="M144" s="2">
        <v>2500</v>
      </c>
      <c r="N144" s="2">
        <v>2500</v>
      </c>
      <c r="O144" s="2">
        <v>2500</v>
      </c>
      <c r="P144" s="2">
        <v>2500</v>
      </c>
      <c r="Q144" s="2">
        <v>2500</v>
      </c>
      <c r="R144" s="2">
        <v>2500</v>
      </c>
      <c r="S144" s="2">
        <v>2500</v>
      </c>
      <c r="T144" s="2">
        <v>2500</v>
      </c>
      <c r="U144" s="2">
        <v>2500</v>
      </c>
      <c r="V144" s="2">
        <v>2500</v>
      </c>
      <c r="W144" s="2">
        <v>2500</v>
      </c>
      <c r="X144" s="2">
        <v>2500</v>
      </c>
      <c r="Y144" s="2">
        <v>2500</v>
      </c>
      <c r="Z144" s="2">
        <v>2500</v>
      </c>
      <c r="AA144" s="12">
        <v>2500</v>
      </c>
      <c r="AB144" s="3">
        <f t="shared" si="2"/>
        <v>60000</v>
      </c>
      <c r="AC144" s="3">
        <v>4</v>
      </c>
      <c r="AD144" s="52"/>
    </row>
    <row r="145" spans="2:30" ht="15" thickBot="1">
      <c r="B145" s="50"/>
      <c r="C145" s="9" t="s">
        <v>8</v>
      </c>
      <c r="D145" s="10">
        <v>2500</v>
      </c>
      <c r="E145" s="10">
        <v>2500</v>
      </c>
      <c r="F145" s="10">
        <v>2500</v>
      </c>
      <c r="G145" s="10">
        <v>2500</v>
      </c>
      <c r="H145" s="10">
        <v>2500</v>
      </c>
      <c r="I145" s="10">
        <v>2500</v>
      </c>
      <c r="J145" s="10">
        <v>2500</v>
      </c>
      <c r="K145" s="10">
        <v>2500</v>
      </c>
      <c r="L145" s="10">
        <v>2500</v>
      </c>
      <c r="M145" s="10">
        <v>2500</v>
      </c>
      <c r="N145" s="10">
        <v>2500</v>
      </c>
      <c r="O145" s="10">
        <v>2500</v>
      </c>
      <c r="P145" s="10">
        <v>2500</v>
      </c>
      <c r="Q145" s="10">
        <v>2500</v>
      </c>
      <c r="R145" s="10">
        <v>2500</v>
      </c>
      <c r="S145" s="10">
        <v>2500</v>
      </c>
      <c r="T145" s="10">
        <v>2500</v>
      </c>
      <c r="U145" s="10">
        <v>2500</v>
      </c>
      <c r="V145" s="10">
        <v>2500</v>
      </c>
      <c r="W145" s="10">
        <v>2500</v>
      </c>
      <c r="X145" s="10">
        <v>2500</v>
      </c>
      <c r="Y145" s="10">
        <v>2500</v>
      </c>
      <c r="Z145" s="10">
        <v>2500</v>
      </c>
      <c r="AA145" s="13">
        <v>2500</v>
      </c>
      <c r="AB145" s="6">
        <f t="shared" si="2"/>
        <v>60000</v>
      </c>
      <c r="AC145" s="6">
        <v>2</v>
      </c>
      <c r="AD145" s="53"/>
    </row>
    <row r="146" spans="2:30">
      <c r="B146" s="48">
        <v>47088</v>
      </c>
      <c r="C146" s="8" t="s">
        <v>5</v>
      </c>
      <c r="D146" s="7">
        <v>2500</v>
      </c>
      <c r="E146" s="7">
        <v>2500</v>
      </c>
      <c r="F146" s="7">
        <v>2500</v>
      </c>
      <c r="G146" s="7">
        <v>2500</v>
      </c>
      <c r="H146" s="7">
        <v>2500</v>
      </c>
      <c r="I146" s="7">
        <v>2500</v>
      </c>
      <c r="J146" s="7">
        <v>2500</v>
      </c>
      <c r="K146" s="7">
        <v>2500</v>
      </c>
      <c r="L146" s="7">
        <v>2500</v>
      </c>
      <c r="M146" s="7">
        <v>2500</v>
      </c>
      <c r="N146" s="7">
        <v>2500</v>
      </c>
      <c r="O146" s="7">
        <v>2500</v>
      </c>
      <c r="P146" s="7">
        <v>2500</v>
      </c>
      <c r="Q146" s="7">
        <v>2500</v>
      </c>
      <c r="R146" s="7">
        <v>2500</v>
      </c>
      <c r="S146" s="7">
        <v>2500</v>
      </c>
      <c r="T146" s="7">
        <v>2500</v>
      </c>
      <c r="U146" s="7">
        <v>2500</v>
      </c>
      <c r="V146" s="7">
        <v>2500</v>
      </c>
      <c r="W146" s="7">
        <v>2500</v>
      </c>
      <c r="X146" s="7">
        <v>2500</v>
      </c>
      <c r="Y146" s="7">
        <v>2500</v>
      </c>
      <c r="Z146" s="7">
        <v>2500</v>
      </c>
      <c r="AA146" s="11">
        <v>2500</v>
      </c>
      <c r="AB146" s="5">
        <f t="shared" si="2"/>
        <v>60000</v>
      </c>
      <c r="AC146" s="5">
        <v>19</v>
      </c>
      <c r="AD146" s="51">
        <f>(AB146*AC146)+(AB147*AC147)+(AB148*AC148)+(AB149*AC149)</f>
        <v>1860000</v>
      </c>
    </row>
    <row r="147" spans="2:30">
      <c r="B147" s="49"/>
      <c r="C147" s="1" t="s">
        <v>6</v>
      </c>
      <c r="D147" s="2">
        <v>2500</v>
      </c>
      <c r="E147" s="2">
        <v>2500</v>
      </c>
      <c r="F147" s="2">
        <v>2500</v>
      </c>
      <c r="G147" s="2">
        <v>2500</v>
      </c>
      <c r="H147" s="2">
        <v>2500</v>
      </c>
      <c r="I147" s="2">
        <v>2500</v>
      </c>
      <c r="J147" s="2">
        <v>2500</v>
      </c>
      <c r="K147" s="2">
        <v>2500</v>
      </c>
      <c r="L147" s="2">
        <v>2500</v>
      </c>
      <c r="M147" s="2">
        <v>2500</v>
      </c>
      <c r="N147" s="2">
        <v>2500</v>
      </c>
      <c r="O147" s="2">
        <v>2500</v>
      </c>
      <c r="P147" s="2">
        <v>2500</v>
      </c>
      <c r="Q147" s="2">
        <v>2500</v>
      </c>
      <c r="R147" s="2">
        <v>2500</v>
      </c>
      <c r="S147" s="2">
        <v>2500</v>
      </c>
      <c r="T147" s="2">
        <v>2500</v>
      </c>
      <c r="U147" s="2">
        <v>2500</v>
      </c>
      <c r="V147" s="2">
        <v>2500</v>
      </c>
      <c r="W147" s="2">
        <v>2500</v>
      </c>
      <c r="X147" s="2">
        <v>2500</v>
      </c>
      <c r="Y147" s="2">
        <v>2500</v>
      </c>
      <c r="Z147" s="2">
        <v>2500</v>
      </c>
      <c r="AA147" s="12">
        <v>2500</v>
      </c>
      <c r="AB147" s="3">
        <f t="shared" si="2"/>
        <v>60000</v>
      </c>
      <c r="AC147" s="3">
        <v>5</v>
      </c>
      <c r="AD147" s="52"/>
    </row>
    <row r="148" spans="2:30">
      <c r="B148" s="49"/>
      <c r="C148" s="1" t="s">
        <v>7</v>
      </c>
      <c r="D148" s="2">
        <v>2500</v>
      </c>
      <c r="E148" s="2">
        <v>2500</v>
      </c>
      <c r="F148" s="2">
        <v>2500</v>
      </c>
      <c r="G148" s="2">
        <v>2500</v>
      </c>
      <c r="H148" s="2">
        <v>2500</v>
      </c>
      <c r="I148" s="2">
        <v>2500</v>
      </c>
      <c r="J148" s="2">
        <v>2500</v>
      </c>
      <c r="K148" s="2">
        <v>2500</v>
      </c>
      <c r="L148" s="2">
        <v>2500</v>
      </c>
      <c r="M148" s="2">
        <v>2500</v>
      </c>
      <c r="N148" s="2">
        <v>2500</v>
      </c>
      <c r="O148" s="2">
        <v>2500</v>
      </c>
      <c r="P148" s="2">
        <v>2500</v>
      </c>
      <c r="Q148" s="2">
        <v>2500</v>
      </c>
      <c r="R148" s="2">
        <v>2500</v>
      </c>
      <c r="S148" s="2">
        <v>2500</v>
      </c>
      <c r="T148" s="2">
        <v>2500</v>
      </c>
      <c r="U148" s="2">
        <v>2500</v>
      </c>
      <c r="V148" s="2">
        <v>2500</v>
      </c>
      <c r="W148" s="2">
        <v>2500</v>
      </c>
      <c r="X148" s="2">
        <v>2500</v>
      </c>
      <c r="Y148" s="2">
        <v>2500</v>
      </c>
      <c r="Z148" s="2">
        <v>2500</v>
      </c>
      <c r="AA148" s="12">
        <v>2500</v>
      </c>
      <c r="AB148" s="3">
        <f t="shared" si="2"/>
        <v>60000</v>
      </c>
      <c r="AC148" s="3">
        <v>5</v>
      </c>
      <c r="AD148" s="52"/>
    </row>
    <row r="149" spans="2:30" ht="15" thickBot="1">
      <c r="B149" s="50"/>
      <c r="C149" s="9" t="s">
        <v>8</v>
      </c>
      <c r="D149" s="10">
        <v>2500</v>
      </c>
      <c r="E149" s="10">
        <v>2500</v>
      </c>
      <c r="F149" s="10">
        <v>2500</v>
      </c>
      <c r="G149" s="10">
        <v>2500</v>
      </c>
      <c r="H149" s="10">
        <v>2500</v>
      </c>
      <c r="I149" s="10">
        <v>2500</v>
      </c>
      <c r="J149" s="10">
        <v>2500</v>
      </c>
      <c r="K149" s="10">
        <v>2500</v>
      </c>
      <c r="L149" s="10">
        <v>2500</v>
      </c>
      <c r="M149" s="10">
        <v>2500</v>
      </c>
      <c r="N149" s="10">
        <v>2500</v>
      </c>
      <c r="O149" s="10">
        <v>2500</v>
      </c>
      <c r="P149" s="10">
        <v>2500</v>
      </c>
      <c r="Q149" s="10">
        <v>2500</v>
      </c>
      <c r="R149" s="10">
        <v>2500</v>
      </c>
      <c r="S149" s="10">
        <v>2500</v>
      </c>
      <c r="T149" s="10">
        <v>2500</v>
      </c>
      <c r="U149" s="10">
        <v>2500</v>
      </c>
      <c r="V149" s="10">
        <v>2500</v>
      </c>
      <c r="W149" s="10">
        <v>2500</v>
      </c>
      <c r="X149" s="10">
        <v>2500</v>
      </c>
      <c r="Y149" s="10">
        <v>2500</v>
      </c>
      <c r="Z149" s="10">
        <v>2500</v>
      </c>
      <c r="AA149" s="13">
        <v>2500</v>
      </c>
      <c r="AB149" s="6">
        <f t="shared" si="2"/>
        <v>60000</v>
      </c>
      <c r="AC149" s="6">
        <v>2</v>
      </c>
      <c r="AD149" s="53"/>
    </row>
    <row r="150" spans="2:30">
      <c r="B150" s="48">
        <v>47119</v>
      </c>
      <c r="C150" s="8" t="s">
        <v>5</v>
      </c>
      <c r="D150" s="7">
        <v>5000</v>
      </c>
      <c r="E150" s="7">
        <v>5000</v>
      </c>
      <c r="F150" s="7">
        <v>5000</v>
      </c>
      <c r="G150" s="7">
        <v>5000</v>
      </c>
      <c r="H150" s="7">
        <v>5000</v>
      </c>
      <c r="I150" s="7">
        <v>5000</v>
      </c>
      <c r="J150" s="7">
        <v>5000</v>
      </c>
      <c r="K150" s="7">
        <v>5000</v>
      </c>
      <c r="L150" s="7">
        <v>5000</v>
      </c>
      <c r="M150" s="7">
        <v>5000</v>
      </c>
      <c r="N150" s="7">
        <v>5000</v>
      </c>
      <c r="O150" s="7">
        <v>5000</v>
      </c>
      <c r="P150" s="7">
        <v>5000</v>
      </c>
      <c r="Q150" s="7">
        <v>5000</v>
      </c>
      <c r="R150" s="7">
        <v>5000</v>
      </c>
      <c r="S150" s="7">
        <v>5000</v>
      </c>
      <c r="T150" s="7">
        <v>5000</v>
      </c>
      <c r="U150" s="7">
        <v>5000</v>
      </c>
      <c r="V150" s="7">
        <v>5000</v>
      </c>
      <c r="W150" s="7">
        <v>5000</v>
      </c>
      <c r="X150" s="7">
        <v>5000</v>
      </c>
      <c r="Y150" s="7">
        <v>5000</v>
      </c>
      <c r="Z150" s="7">
        <v>5000</v>
      </c>
      <c r="AA150" s="11">
        <v>5000</v>
      </c>
      <c r="AB150" s="5">
        <f t="shared" ref="AB150:AB197" si="3">(SUM(D150:AA150))</f>
        <v>120000</v>
      </c>
      <c r="AC150" s="5">
        <v>21</v>
      </c>
      <c r="AD150" s="51">
        <f>(AB150*AC150)+(AB151*AC151)+(AB152*AC152)+(AB153*AC153)</f>
        <v>3720000</v>
      </c>
    </row>
    <row r="151" spans="2:30">
      <c r="B151" s="49"/>
      <c r="C151" s="1" t="s">
        <v>6</v>
      </c>
      <c r="D151" s="2">
        <v>5000</v>
      </c>
      <c r="E151" s="2">
        <v>5000</v>
      </c>
      <c r="F151" s="2">
        <v>5000</v>
      </c>
      <c r="G151" s="2">
        <v>5000</v>
      </c>
      <c r="H151" s="2">
        <v>5000</v>
      </c>
      <c r="I151" s="2">
        <v>5000</v>
      </c>
      <c r="J151" s="2">
        <v>5000</v>
      </c>
      <c r="K151" s="2">
        <v>5000</v>
      </c>
      <c r="L151" s="2">
        <v>5000</v>
      </c>
      <c r="M151" s="2">
        <v>5000</v>
      </c>
      <c r="N151" s="2">
        <v>5000</v>
      </c>
      <c r="O151" s="2">
        <v>5000</v>
      </c>
      <c r="P151" s="2">
        <v>5000</v>
      </c>
      <c r="Q151" s="2">
        <v>5000</v>
      </c>
      <c r="R151" s="2">
        <v>5000</v>
      </c>
      <c r="S151" s="2">
        <v>5000</v>
      </c>
      <c r="T151" s="2">
        <v>5000</v>
      </c>
      <c r="U151" s="2">
        <v>5000</v>
      </c>
      <c r="V151" s="2">
        <v>5000</v>
      </c>
      <c r="W151" s="2">
        <v>5000</v>
      </c>
      <c r="X151" s="2">
        <v>5000</v>
      </c>
      <c r="Y151" s="2">
        <v>5000</v>
      </c>
      <c r="Z151" s="2">
        <v>5000</v>
      </c>
      <c r="AA151" s="12">
        <v>5000</v>
      </c>
      <c r="AB151" s="3">
        <f t="shared" si="3"/>
        <v>120000</v>
      </c>
      <c r="AC151" s="3">
        <v>4</v>
      </c>
      <c r="AD151" s="52"/>
    </row>
    <row r="152" spans="2:30">
      <c r="B152" s="49"/>
      <c r="C152" s="1" t="s">
        <v>7</v>
      </c>
      <c r="D152" s="2">
        <v>5000</v>
      </c>
      <c r="E152" s="2">
        <v>5000</v>
      </c>
      <c r="F152" s="2">
        <v>5000</v>
      </c>
      <c r="G152" s="2">
        <v>5000</v>
      </c>
      <c r="H152" s="2">
        <v>5000</v>
      </c>
      <c r="I152" s="2">
        <v>5000</v>
      </c>
      <c r="J152" s="2">
        <v>5000</v>
      </c>
      <c r="K152" s="2">
        <v>5000</v>
      </c>
      <c r="L152" s="2">
        <v>5000</v>
      </c>
      <c r="M152" s="2">
        <v>5000</v>
      </c>
      <c r="N152" s="2">
        <v>5000</v>
      </c>
      <c r="O152" s="2">
        <v>5000</v>
      </c>
      <c r="P152" s="2">
        <v>5000</v>
      </c>
      <c r="Q152" s="2">
        <v>5000</v>
      </c>
      <c r="R152" s="2">
        <v>5000</v>
      </c>
      <c r="S152" s="2">
        <v>5000</v>
      </c>
      <c r="T152" s="2">
        <v>5000</v>
      </c>
      <c r="U152" s="2">
        <v>5000</v>
      </c>
      <c r="V152" s="2">
        <v>5000</v>
      </c>
      <c r="W152" s="2">
        <v>5000</v>
      </c>
      <c r="X152" s="2">
        <v>5000</v>
      </c>
      <c r="Y152" s="2">
        <v>5000</v>
      </c>
      <c r="Z152" s="2">
        <v>5000</v>
      </c>
      <c r="AA152" s="12">
        <v>5000</v>
      </c>
      <c r="AB152" s="3">
        <f t="shared" si="3"/>
        <v>120000</v>
      </c>
      <c r="AC152" s="3">
        <v>4</v>
      </c>
      <c r="AD152" s="52"/>
    </row>
    <row r="153" spans="2:30" ht="15" thickBot="1">
      <c r="B153" s="50"/>
      <c r="C153" s="9" t="s">
        <v>8</v>
      </c>
      <c r="D153" s="10">
        <v>5000</v>
      </c>
      <c r="E153" s="10">
        <v>5000</v>
      </c>
      <c r="F153" s="10">
        <v>5000</v>
      </c>
      <c r="G153" s="10">
        <v>5000</v>
      </c>
      <c r="H153" s="10">
        <v>5000</v>
      </c>
      <c r="I153" s="10">
        <v>5000</v>
      </c>
      <c r="J153" s="10">
        <v>5000</v>
      </c>
      <c r="K153" s="10">
        <v>5000</v>
      </c>
      <c r="L153" s="10">
        <v>5000</v>
      </c>
      <c r="M153" s="10">
        <v>5000</v>
      </c>
      <c r="N153" s="10">
        <v>5000</v>
      </c>
      <c r="O153" s="10">
        <v>5000</v>
      </c>
      <c r="P153" s="10">
        <v>5000</v>
      </c>
      <c r="Q153" s="10">
        <v>5000</v>
      </c>
      <c r="R153" s="10">
        <v>5000</v>
      </c>
      <c r="S153" s="10">
        <v>5000</v>
      </c>
      <c r="T153" s="10">
        <v>5000</v>
      </c>
      <c r="U153" s="10">
        <v>5000</v>
      </c>
      <c r="V153" s="10">
        <v>5000</v>
      </c>
      <c r="W153" s="10">
        <v>5000</v>
      </c>
      <c r="X153" s="10">
        <v>5000</v>
      </c>
      <c r="Y153" s="10">
        <v>5000</v>
      </c>
      <c r="Z153" s="10">
        <v>5000</v>
      </c>
      <c r="AA153" s="13">
        <v>5000</v>
      </c>
      <c r="AB153" s="6">
        <f t="shared" si="3"/>
        <v>120000</v>
      </c>
      <c r="AC153" s="6">
        <v>2</v>
      </c>
      <c r="AD153" s="53"/>
    </row>
    <row r="154" spans="2:30">
      <c r="B154" s="48">
        <v>47150</v>
      </c>
      <c r="C154" s="8" t="s">
        <v>5</v>
      </c>
      <c r="D154" s="7">
        <v>5000</v>
      </c>
      <c r="E154" s="7">
        <v>5000</v>
      </c>
      <c r="F154" s="7">
        <v>5000</v>
      </c>
      <c r="G154" s="7">
        <v>5000</v>
      </c>
      <c r="H154" s="7">
        <v>5000</v>
      </c>
      <c r="I154" s="7">
        <v>5000</v>
      </c>
      <c r="J154" s="7">
        <v>5000</v>
      </c>
      <c r="K154" s="7">
        <v>5000</v>
      </c>
      <c r="L154" s="7">
        <v>5000</v>
      </c>
      <c r="M154" s="7">
        <v>5000</v>
      </c>
      <c r="N154" s="7">
        <v>5000</v>
      </c>
      <c r="O154" s="7">
        <v>5000</v>
      </c>
      <c r="P154" s="7">
        <v>5000</v>
      </c>
      <c r="Q154" s="7">
        <v>5000</v>
      </c>
      <c r="R154" s="7">
        <v>5000</v>
      </c>
      <c r="S154" s="7">
        <v>5000</v>
      </c>
      <c r="T154" s="7">
        <v>5000</v>
      </c>
      <c r="U154" s="7">
        <v>5000</v>
      </c>
      <c r="V154" s="7">
        <v>5000</v>
      </c>
      <c r="W154" s="7">
        <v>5000</v>
      </c>
      <c r="X154" s="7">
        <v>5000</v>
      </c>
      <c r="Y154" s="7">
        <v>5000</v>
      </c>
      <c r="Z154" s="7">
        <v>5000</v>
      </c>
      <c r="AA154" s="11">
        <v>5000</v>
      </c>
      <c r="AB154" s="5">
        <f t="shared" si="3"/>
        <v>120000</v>
      </c>
      <c r="AC154" s="5">
        <v>20</v>
      </c>
      <c r="AD154" s="51">
        <f>(AB154*AC154)+(AB155*AC155)+(AB156*AC156)+(AB157*AC157)</f>
        <v>3360000</v>
      </c>
    </row>
    <row r="155" spans="2:30">
      <c r="B155" s="49"/>
      <c r="C155" s="1" t="s">
        <v>6</v>
      </c>
      <c r="D155" s="2">
        <v>5000</v>
      </c>
      <c r="E155" s="2">
        <v>5000</v>
      </c>
      <c r="F155" s="2">
        <v>5000</v>
      </c>
      <c r="G155" s="2">
        <v>5000</v>
      </c>
      <c r="H155" s="2">
        <v>5000</v>
      </c>
      <c r="I155" s="2">
        <v>5000</v>
      </c>
      <c r="J155" s="2">
        <v>5000</v>
      </c>
      <c r="K155" s="2">
        <v>5000</v>
      </c>
      <c r="L155" s="2">
        <v>5000</v>
      </c>
      <c r="M155" s="2">
        <v>5000</v>
      </c>
      <c r="N155" s="2">
        <v>5000</v>
      </c>
      <c r="O155" s="2">
        <v>5000</v>
      </c>
      <c r="P155" s="2">
        <v>5000</v>
      </c>
      <c r="Q155" s="2">
        <v>5000</v>
      </c>
      <c r="R155" s="2">
        <v>5000</v>
      </c>
      <c r="S155" s="2">
        <v>5000</v>
      </c>
      <c r="T155" s="2">
        <v>5000</v>
      </c>
      <c r="U155" s="2">
        <v>5000</v>
      </c>
      <c r="V155" s="2">
        <v>5000</v>
      </c>
      <c r="W155" s="2">
        <v>5000</v>
      </c>
      <c r="X155" s="2">
        <v>5000</v>
      </c>
      <c r="Y155" s="2">
        <v>5000</v>
      </c>
      <c r="Z155" s="2">
        <v>5000</v>
      </c>
      <c r="AA155" s="12">
        <v>5000</v>
      </c>
      <c r="AB155" s="3">
        <f t="shared" si="3"/>
        <v>120000</v>
      </c>
      <c r="AC155" s="3">
        <v>4</v>
      </c>
      <c r="AD155" s="52"/>
    </row>
    <row r="156" spans="2:30">
      <c r="B156" s="49"/>
      <c r="C156" s="1" t="s">
        <v>7</v>
      </c>
      <c r="D156" s="2">
        <v>5000</v>
      </c>
      <c r="E156" s="2">
        <v>5000</v>
      </c>
      <c r="F156" s="2">
        <v>5000</v>
      </c>
      <c r="G156" s="2">
        <v>5000</v>
      </c>
      <c r="H156" s="2">
        <v>5000</v>
      </c>
      <c r="I156" s="2">
        <v>5000</v>
      </c>
      <c r="J156" s="2">
        <v>5000</v>
      </c>
      <c r="K156" s="2">
        <v>5000</v>
      </c>
      <c r="L156" s="2">
        <v>5000</v>
      </c>
      <c r="M156" s="2">
        <v>5000</v>
      </c>
      <c r="N156" s="2">
        <v>5000</v>
      </c>
      <c r="O156" s="2">
        <v>5000</v>
      </c>
      <c r="P156" s="2">
        <v>5000</v>
      </c>
      <c r="Q156" s="2">
        <v>5000</v>
      </c>
      <c r="R156" s="2">
        <v>5000</v>
      </c>
      <c r="S156" s="2">
        <v>5000</v>
      </c>
      <c r="T156" s="2">
        <v>5000</v>
      </c>
      <c r="U156" s="2">
        <v>5000</v>
      </c>
      <c r="V156" s="2">
        <v>5000</v>
      </c>
      <c r="W156" s="2">
        <v>5000</v>
      </c>
      <c r="X156" s="2">
        <v>5000</v>
      </c>
      <c r="Y156" s="2">
        <v>5000</v>
      </c>
      <c r="Z156" s="2">
        <v>5000</v>
      </c>
      <c r="AA156" s="12">
        <v>5000</v>
      </c>
      <c r="AB156" s="3">
        <f t="shared" si="3"/>
        <v>120000</v>
      </c>
      <c r="AC156" s="3">
        <v>4</v>
      </c>
      <c r="AD156" s="52"/>
    </row>
    <row r="157" spans="2:30" ht="15" thickBot="1">
      <c r="B157" s="50"/>
      <c r="C157" s="9" t="s">
        <v>8</v>
      </c>
      <c r="D157" s="10">
        <v>5000</v>
      </c>
      <c r="E157" s="10">
        <v>5000</v>
      </c>
      <c r="F157" s="10">
        <v>5000</v>
      </c>
      <c r="G157" s="10">
        <v>5000</v>
      </c>
      <c r="H157" s="10">
        <v>5000</v>
      </c>
      <c r="I157" s="10">
        <v>5000</v>
      </c>
      <c r="J157" s="10">
        <v>5000</v>
      </c>
      <c r="K157" s="10">
        <v>5000</v>
      </c>
      <c r="L157" s="10">
        <v>5000</v>
      </c>
      <c r="M157" s="10">
        <v>5000</v>
      </c>
      <c r="N157" s="10">
        <v>5000</v>
      </c>
      <c r="O157" s="10">
        <v>5000</v>
      </c>
      <c r="P157" s="10">
        <v>5000</v>
      </c>
      <c r="Q157" s="10">
        <v>5000</v>
      </c>
      <c r="R157" s="10">
        <v>5000</v>
      </c>
      <c r="S157" s="10">
        <v>5000</v>
      </c>
      <c r="T157" s="10">
        <v>5000</v>
      </c>
      <c r="U157" s="10">
        <v>5000</v>
      </c>
      <c r="V157" s="10">
        <v>5000</v>
      </c>
      <c r="W157" s="10">
        <v>5000</v>
      </c>
      <c r="X157" s="10">
        <v>5000</v>
      </c>
      <c r="Y157" s="10">
        <v>5000</v>
      </c>
      <c r="Z157" s="10">
        <v>5000</v>
      </c>
      <c r="AA157" s="13">
        <v>5000</v>
      </c>
      <c r="AB157" s="6">
        <f t="shared" si="3"/>
        <v>120000</v>
      </c>
      <c r="AC157" s="6">
        <v>0</v>
      </c>
      <c r="AD157" s="53"/>
    </row>
    <row r="158" spans="2:30">
      <c r="B158" s="48">
        <v>47178</v>
      </c>
      <c r="C158" s="8" t="s">
        <v>5</v>
      </c>
      <c r="D158" s="7">
        <v>5000</v>
      </c>
      <c r="E158" s="7">
        <v>5000</v>
      </c>
      <c r="F158" s="7">
        <v>5000</v>
      </c>
      <c r="G158" s="7">
        <v>5000</v>
      </c>
      <c r="H158" s="7">
        <v>5000</v>
      </c>
      <c r="I158" s="7">
        <v>5000</v>
      </c>
      <c r="J158" s="7">
        <v>5000</v>
      </c>
      <c r="K158" s="7">
        <v>5000</v>
      </c>
      <c r="L158" s="7">
        <v>5000</v>
      </c>
      <c r="M158" s="7">
        <v>5000</v>
      </c>
      <c r="N158" s="7">
        <v>5000</v>
      </c>
      <c r="O158" s="7">
        <v>5000</v>
      </c>
      <c r="P158" s="7">
        <v>5000</v>
      </c>
      <c r="Q158" s="7">
        <v>5000</v>
      </c>
      <c r="R158" s="7">
        <v>5000</v>
      </c>
      <c r="S158" s="7">
        <v>5000</v>
      </c>
      <c r="T158" s="7">
        <v>5000</v>
      </c>
      <c r="U158" s="7">
        <v>5000</v>
      </c>
      <c r="V158" s="7">
        <v>5000</v>
      </c>
      <c r="W158" s="7">
        <v>5000</v>
      </c>
      <c r="X158" s="7">
        <v>5000</v>
      </c>
      <c r="Y158" s="7">
        <v>5000</v>
      </c>
      <c r="Z158" s="7">
        <v>5000</v>
      </c>
      <c r="AA158" s="11">
        <v>5000</v>
      </c>
      <c r="AB158" s="5">
        <f t="shared" si="3"/>
        <v>120000</v>
      </c>
      <c r="AC158" s="5">
        <v>19</v>
      </c>
      <c r="AD158" s="51">
        <f>(AB158*AC158)+(AB159*AC159)+(AB160*AC160)+(AB161*AC161)</f>
        <v>3720000</v>
      </c>
    </row>
    <row r="159" spans="2:30">
      <c r="B159" s="49"/>
      <c r="C159" s="1" t="s">
        <v>6</v>
      </c>
      <c r="D159" s="2">
        <v>5000</v>
      </c>
      <c r="E159" s="2">
        <v>5000</v>
      </c>
      <c r="F159" s="2">
        <v>5000</v>
      </c>
      <c r="G159" s="2">
        <v>5000</v>
      </c>
      <c r="H159" s="2">
        <v>5000</v>
      </c>
      <c r="I159" s="2">
        <v>5000</v>
      </c>
      <c r="J159" s="2">
        <v>5000</v>
      </c>
      <c r="K159" s="2">
        <v>5000</v>
      </c>
      <c r="L159" s="2">
        <v>5000</v>
      </c>
      <c r="M159" s="2">
        <v>5000</v>
      </c>
      <c r="N159" s="2">
        <v>5000</v>
      </c>
      <c r="O159" s="2">
        <v>5000</v>
      </c>
      <c r="P159" s="2">
        <v>5000</v>
      </c>
      <c r="Q159" s="2">
        <v>5000</v>
      </c>
      <c r="R159" s="2">
        <v>5000</v>
      </c>
      <c r="S159" s="2">
        <v>5000</v>
      </c>
      <c r="T159" s="2">
        <v>5000</v>
      </c>
      <c r="U159" s="2">
        <v>5000</v>
      </c>
      <c r="V159" s="2">
        <v>5000</v>
      </c>
      <c r="W159" s="2">
        <v>5000</v>
      </c>
      <c r="X159" s="2">
        <v>5000</v>
      </c>
      <c r="Y159" s="2">
        <v>5000</v>
      </c>
      <c r="Z159" s="2">
        <v>5000</v>
      </c>
      <c r="AA159" s="12">
        <v>5000</v>
      </c>
      <c r="AB159" s="3">
        <f t="shared" si="3"/>
        <v>120000</v>
      </c>
      <c r="AC159" s="3">
        <v>5</v>
      </c>
      <c r="AD159" s="52"/>
    </row>
    <row r="160" spans="2:30">
      <c r="B160" s="49"/>
      <c r="C160" s="1" t="s">
        <v>7</v>
      </c>
      <c r="D160" s="2">
        <v>5000</v>
      </c>
      <c r="E160" s="2">
        <v>5000</v>
      </c>
      <c r="F160" s="2">
        <v>5000</v>
      </c>
      <c r="G160" s="2">
        <v>5000</v>
      </c>
      <c r="H160" s="2">
        <v>5000</v>
      </c>
      <c r="I160" s="2">
        <v>5000</v>
      </c>
      <c r="J160" s="2">
        <v>5000</v>
      </c>
      <c r="K160" s="2">
        <v>5000</v>
      </c>
      <c r="L160" s="2">
        <v>5000</v>
      </c>
      <c r="M160" s="2">
        <v>5000</v>
      </c>
      <c r="N160" s="2">
        <v>5000</v>
      </c>
      <c r="O160" s="2">
        <v>5000</v>
      </c>
      <c r="P160" s="2">
        <v>5000</v>
      </c>
      <c r="Q160" s="2">
        <v>5000</v>
      </c>
      <c r="R160" s="2">
        <v>5000</v>
      </c>
      <c r="S160" s="2">
        <v>5000</v>
      </c>
      <c r="T160" s="2">
        <v>5000</v>
      </c>
      <c r="U160" s="2">
        <v>5000</v>
      </c>
      <c r="V160" s="2">
        <v>5000</v>
      </c>
      <c r="W160" s="2">
        <v>5000</v>
      </c>
      <c r="X160" s="2">
        <v>5000</v>
      </c>
      <c r="Y160" s="2">
        <v>5000</v>
      </c>
      <c r="Z160" s="2">
        <v>5000</v>
      </c>
      <c r="AA160" s="12">
        <v>5000</v>
      </c>
      <c r="AB160" s="3">
        <f t="shared" si="3"/>
        <v>120000</v>
      </c>
      <c r="AC160" s="3">
        <v>4</v>
      </c>
      <c r="AD160" s="52"/>
    </row>
    <row r="161" spans="2:30" ht="15" thickBot="1">
      <c r="B161" s="50"/>
      <c r="C161" s="9" t="s">
        <v>8</v>
      </c>
      <c r="D161" s="10">
        <v>5000</v>
      </c>
      <c r="E161" s="10">
        <v>5000</v>
      </c>
      <c r="F161" s="10">
        <v>5000</v>
      </c>
      <c r="G161" s="10">
        <v>5000</v>
      </c>
      <c r="H161" s="10">
        <v>5000</v>
      </c>
      <c r="I161" s="10">
        <v>5000</v>
      </c>
      <c r="J161" s="10">
        <v>5000</v>
      </c>
      <c r="K161" s="10">
        <v>5000</v>
      </c>
      <c r="L161" s="10">
        <v>5000</v>
      </c>
      <c r="M161" s="10">
        <v>5000</v>
      </c>
      <c r="N161" s="10">
        <v>5000</v>
      </c>
      <c r="O161" s="10">
        <v>5000</v>
      </c>
      <c r="P161" s="10">
        <v>5000</v>
      </c>
      <c r="Q161" s="10">
        <v>5000</v>
      </c>
      <c r="R161" s="10">
        <v>5000</v>
      </c>
      <c r="S161" s="10">
        <v>5000</v>
      </c>
      <c r="T161" s="10">
        <v>5000</v>
      </c>
      <c r="U161" s="10">
        <v>5000</v>
      </c>
      <c r="V161" s="10">
        <v>5000</v>
      </c>
      <c r="W161" s="10">
        <v>5000</v>
      </c>
      <c r="X161" s="10">
        <v>5000</v>
      </c>
      <c r="Y161" s="10">
        <v>5000</v>
      </c>
      <c r="Z161" s="10">
        <v>5000</v>
      </c>
      <c r="AA161" s="13">
        <v>5000</v>
      </c>
      <c r="AB161" s="6">
        <f t="shared" si="3"/>
        <v>120000</v>
      </c>
      <c r="AC161" s="6">
        <v>3</v>
      </c>
      <c r="AD161" s="53"/>
    </row>
    <row r="162" spans="2:30">
      <c r="B162" s="48">
        <v>47209</v>
      </c>
      <c r="C162" s="8" t="s">
        <v>5</v>
      </c>
      <c r="D162" s="7">
        <v>5000</v>
      </c>
      <c r="E162" s="7">
        <v>5000</v>
      </c>
      <c r="F162" s="7">
        <v>5000</v>
      </c>
      <c r="G162" s="7">
        <v>5000</v>
      </c>
      <c r="H162" s="7">
        <v>5000</v>
      </c>
      <c r="I162" s="7">
        <v>5000</v>
      </c>
      <c r="J162" s="7">
        <v>5000</v>
      </c>
      <c r="K162" s="7">
        <v>5000</v>
      </c>
      <c r="L162" s="7">
        <v>5000</v>
      </c>
      <c r="M162" s="7">
        <v>5000</v>
      </c>
      <c r="N162" s="7">
        <v>5000</v>
      </c>
      <c r="O162" s="7">
        <v>5000</v>
      </c>
      <c r="P162" s="7">
        <v>5000</v>
      </c>
      <c r="Q162" s="7">
        <v>5000</v>
      </c>
      <c r="R162" s="7">
        <v>5000</v>
      </c>
      <c r="S162" s="7">
        <v>5000</v>
      </c>
      <c r="T162" s="7">
        <v>5000</v>
      </c>
      <c r="U162" s="7">
        <v>5000</v>
      </c>
      <c r="V162" s="7">
        <v>5000</v>
      </c>
      <c r="W162" s="7">
        <v>5000</v>
      </c>
      <c r="X162" s="7">
        <v>5000</v>
      </c>
      <c r="Y162" s="7">
        <v>5000</v>
      </c>
      <c r="Z162" s="7">
        <v>5000</v>
      </c>
      <c r="AA162" s="11">
        <v>5000</v>
      </c>
      <c r="AB162" s="5">
        <f t="shared" si="3"/>
        <v>120000</v>
      </c>
      <c r="AC162" s="5">
        <v>21</v>
      </c>
      <c r="AD162" s="51">
        <f>(AB162*AC162)+(AB163*AC163)+(AB164*AC164)+(AB165*AC165)</f>
        <v>3600000</v>
      </c>
    </row>
    <row r="163" spans="2:30">
      <c r="B163" s="49"/>
      <c r="C163" s="1" t="s">
        <v>6</v>
      </c>
      <c r="D163" s="2">
        <v>5000</v>
      </c>
      <c r="E163" s="2">
        <v>5000</v>
      </c>
      <c r="F163" s="2">
        <v>5000</v>
      </c>
      <c r="G163" s="2">
        <v>5000</v>
      </c>
      <c r="H163" s="2">
        <v>5000</v>
      </c>
      <c r="I163" s="2">
        <v>5000</v>
      </c>
      <c r="J163" s="2">
        <v>5000</v>
      </c>
      <c r="K163" s="2">
        <v>5000</v>
      </c>
      <c r="L163" s="2">
        <v>5000</v>
      </c>
      <c r="M163" s="2">
        <v>5000</v>
      </c>
      <c r="N163" s="2">
        <v>5000</v>
      </c>
      <c r="O163" s="2">
        <v>5000</v>
      </c>
      <c r="P163" s="2">
        <v>5000</v>
      </c>
      <c r="Q163" s="2">
        <v>5000</v>
      </c>
      <c r="R163" s="2">
        <v>5000</v>
      </c>
      <c r="S163" s="2">
        <v>5000</v>
      </c>
      <c r="T163" s="2">
        <v>5000</v>
      </c>
      <c r="U163" s="2">
        <v>5000</v>
      </c>
      <c r="V163" s="2">
        <v>5000</v>
      </c>
      <c r="W163" s="2">
        <v>5000</v>
      </c>
      <c r="X163" s="2">
        <v>5000</v>
      </c>
      <c r="Y163" s="2">
        <v>5000</v>
      </c>
      <c r="Z163" s="2">
        <v>5000</v>
      </c>
      <c r="AA163" s="12">
        <v>5000</v>
      </c>
      <c r="AB163" s="3">
        <f t="shared" si="3"/>
        <v>120000</v>
      </c>
      <c r="AC163" s="3">
        <v>4</v>
      </c>
      <c r="AD163" s="52"/>
    </row>
    <row r="164" spans="2:30">
      <c r="B164" s="49"/>
      <c r="C164" s="1" t="s">
        <v>7</v>
      </c>
      <c r="D164" s="2">
        <v>5000</v>
      </c>
      <c r="E164" s="2">
        <v>5000</v>
      </c>
      <c r="F164" s="2">
        <v>5000</v>
      </c>
      <c r="G164" s="2">
        <v>5000</v>
      </c>
      <c r="H164" s="2">
        <v>5000</v>
      </c>
      <c r="I164" s="2">
        <v>5000</v>
      </c>
      <c r="J164" s="2">
        <v>5000</v>
      </c>
      <c r="K164" s="2">
        <v>5000</v>
      </c>
      <c r="L164" s="2">
        <v>5000</v>
      </c>
      <c r="M164" s="2">
        <v>5000</v>
      </c>
      <c r="N164" s="2">
        <v>5000</v>
      </c>
      <c r="O164" s="2">
        <v>5000</v>
      </c>
      <c r="P164" s="2">
        <v>5000</v>
      </c>
      <c r="Q164" s="2">
        <v>5000</v>
      </c>
      <c r="R164" s="2">
        <v>5000</v>
      </c>
      <c r="S164" s="2">
        <v>5000</v>
      </c>
      <c r="T164" s="2">
        <v>5000</v>
      </c>
      <c r="U164" s="2">
        <v>5000</v>
      </c>
      <c r="V164" s="2">
        <v>5000</v>
      </c>
      <c r="W164" s="2">
        <v>5000</v>
      </c>
      <c r="X164" s="2">
        <v>5000</v>
      </c>
      <c r="Y164" s="2">
        <v>5000</v>
      </c>
      <c r="Z164" s="2">
        <v>5000</v>
      </c>
      <c r="AA164" s="12">
        <v>5000</v>
      </c>
      <c r="AB164" s="3">
        <f t="shared" si="3"/>
        <v>120000</v>
      </c>
      <c r="AC164" s="3">
        <v>5</v>
      </c>
      <c r="AD164" s="52"/>
    </row>
    <row r="165" spans="2:30" ht="15" thickBot="1">
      <c r="B165" s="50"/>
      <c r="C165" s="9" t="s">
        <v>8</v>
      </c>
      <c r="D165" s="10">
        <v>5000</v>
      </c>
      <c r="E165" s="10">
        <v>5000</v>
      </c>
      <c r="F165" s="10">
        <v>5000</v>
      </c>
      <c r="G165" s="10">
        <v>5000</v>
      </c>
      <c r="H165" s="10">
        <v>5000</v>
      </c>
      <c r="I165" s="10">
        <v>5000</v>
      </c>
      <c r="J165" s="10">
        <v>5000</v>
      </c>
      <c r="K165" s="10">
        <v>5000</v>
      </c>
      <c r="L165" s="10">
        <v>5000</v>
      </c>
      <c r="M165" s="10">
        <v>5000</v>
      </c>
      <c r="N165" s="10">
        <v>5000</v>
      </c>
      <c r="O165" s="10">
        <v>5000</v>
      </c>
      <c r="P165" s="10">
        <v>5000</v>
      </c>
      <c r="Q165" s="10">
        <v>5000</v>
      </c>
      <c r="R165" s="10">
        <v>5000</v>
      </c>
      <c r="S165" s="10">
        <v>5000</v>
      </c>
      <c r="T165" s="10">
        <v>5000</v>
      </c>
      <c r="U165" s="10">
        <v>5000</v>
      </c>
      <c r="V165" s="10">
        <v>5000</v>
      </c>
      <c r="W165" s="10">
        <v>5000</v>
      </c>
      <c r="X165" s="10">
        <v>5000</v>
      </c>
      <c r="Y165" s="10">
        <v>5000</v>
      </c>
      <c r="Z165" s="10">
        <v>5000</v>
      </c>
      <c r="AA165" s="13">
        <v>5000</v>
      </c>
      <c r="AB165" s="6">
        <f t="shared" si="3"/>
        <v>120000</v>
      </c>
      <c r="AC165" s="6">
        <v>0</v>
      </c>
      <c r="AD165" s="53"/>
    </row>
    <row r="166" spans="2:30">
      <c r="B166" s="48">
        <v>47239</v>
      </c>
      <c r="C166" s="8" t="s">
        <v>5</v>
      </c>
      <c r="D166" s="7">
        <v>5000</v>
      </c>
      <c r="E166" s="7">
        <v>5000</v>
      </c>
      <c r="F166" s="7">
        <v>5000</v>
      </c>
      <c r="G166" s="7">
        <v>5000</v>
      </c>
      <c r="H166" s="7">
        <v>5000</v>
      </c>
      <c r="I166" s="7">
        <v>5000</v>
      </c>
      <c r="J166" s="7">
        <v>5000</v>
      </c>
      <c r="K166" s="7">
        <v>5000</v>
      </c>
      <c r="L166" s="7">
        <v>5000</v>
      </c>
      <c r="M166" s="7">
        <v>5000</v>
      </c>
      <c r="N166" s="7">
        <v>5000</v>
      </c>
      <c r="O166" s="7">
        <v>5000</v>
      </c>
      <c r="P166" s="7">
        <v>5000</v>
      </c>
      <c r="Q166" s="7">
        <v>5000</v>
      </c>
      <c r="R166" s="7">
        <v>5000</v>
      </c>
      <c r="S166" s="7">
        <v>5000</v>
      </c>
      <c r="T166" s="7">
        <v>5000</v>
      </c>
      <c r="U166" s="7">
        <v>5000</v>
      </c>
      <c r="V166" s="7">
        <v>5000</v>
      </c>
      <c r="W166" s="7">
        <v>5000</v>
      </c>
      <c r="X166" s="7">
        <v>5000</v>
      </c>
      <c r="Y166" s="7">
        <v>5000</v>
      </c>
      <c r="Z166" s="7">
        <v>5000</v>
      </c>
      <c r="AA166" s="11">
        <v>5000</v>
      </c>
      <c r="AB166" s="5">
        <f t="shared" si="3"/>
        <v>120000</v>
      </c>
      <c r="AC166" s="5">
        <v>21</v>
      </c>
      <c r="AD166" s="51">
        <f>(AB166*AC166)+(AB167*AC167)+(AB168*AC168)+(AB169*AC169)</f>
        <v>3720000</v>
      </c>
    </row>
    <row r="167" spans="2:30">
      <c r="B167" s="49"/>
      <c r="C167" s="1" t="s">
        <v>6</v>
      </c>
      <c r="D167" s="2">
        <v>5000</v>
      </c>
      <c r="E167" s="2">
        <v>5000</v>
      </c>
      <c r="F167" s="2">
        <v>5000</v>
      </c>
      <c r="G167" s="2">
        <v>5000</v>
      </c>
      <c r="H167" s="2">
        <v>5000</v>
      </c>
      <c r="I167" s="2">
        <v>5000</v>
      </c>
      <c r="J167" s="2">
        <v>5000</v>
      </c>
      <c r="K167" s="2">
        <v>5000</v>
      </c>
      <c r="L167" s="2">
        <v>5000</v>
      </c>
      <c r="M167" s="2">
        <v>5000</v>
      </c>
      <c r="N167" s="2">
        <v>5000</v>
      </c>
      <c r="O167" s="2">
        <v>5000</v>
      </c>
      <c r="P167" s="2">
        <v>5000</v>
      </c>
      <c r="Q167" s="2">
        <v>5000</v>
      </c>
      <c r="R167" s="2">
        <v>5000</v>
      </c>
      <c r="S167" s="2">
        <v>5000</v>
      </c>
      <c r="T167" s="2">
        <v>5000</v>
      </c>
      <c r="U167" s="2">
        <v>5000</v>
      </c>
      <c r="V167" s="2">
        <v>5000</v>
      </c>
      <c r="W167" s="2">
        <v>5000</v>
      </c>
      <c r="X167" s="2">
        <v>5000</v>
      </c>
      <c r="Y167" s="2">
        <v>5000</v>
      </c>
      <c r="Z167" s="2">
        <v>5000</v>
      </c>
      <c r="AA167" s="12">
        <v>5000</v>
      </c>
      <c r="AB167" s="3">
        <f t="shared" si="3"/>
        <v>120000</v>
      </c>
      <c r="AC167" s="3">
        <v>4</v>
      </c>
      <c r="AD167" s="52"/>
    </row>
    <row r="168" spans="2:30">
      <c r="B168" s="49"/>
      <c r="C168" s="1" t="s">
        <v>7</v>
      </c>
      <c r="D168" s="2">
        <v>5000</v>
      </c>
      <c r="E168" s="2">
        <v>5000</v>
      </c>
      <c r="F168" s="2">
        <v>5000</v>
      </c>
      <c r="G168" s="2">
        <v>5000</v>
      </c>
      <c r="H168" s="2">
        <v>5000</v>
      </c>
      <c r="I168" s="2">
        <v>5000</v>
      </c>
      <c r="J168" s="2">
        <v>5000</v>
      </c>
      <c r="K168" s="2">
        <v>5000</v>
      </c>
      <c r="L168" s="2">
        <v>5000</v>
      </c>
      <c r="M168" s="2">
        <v>5000</v>
      </c>
      <c r="N168" s="2">
        <v>5000</v>
      </c>
      <c r="O168" s="2">
        <v>5000</v>
      </c>
      <c r="P168" s="2">
        <v>5000</v>
      </c>
      <c r="Q168" s="2">
        <v>5000</v>
      </c>
      <c r="R168" s="2">
        <v>5000</v>
      </c>
      <c r="S168" s="2">
        <v>5000</v>
      </c>
      <c r="T168" s="2">
        <v>5000</v>
      </c>
      <c r="U168" s="2">
        <v>5000</v>
      </c>
      <c r="V168" s="2">
        <v>5000</v>
      </c>
      <c r="W168" s="2">
        <v>5000</v>
      </c>
      <c r="X168" s="2">
        <v>5000</v>
      </c>
      <c r="Y168" s="2">
        <v>5000</v>
      </c>
      <c r="Z168" s="2">
        <v>5000</v>
      </c>
      <c r="AA168" s="12">
        <v>5000</v>
      </c>
      <c r="AB168" s="3">
        <f t="shared" si="3"/>
        <v>120000</v>
      </c>
      <c r="AC168" s="3">
        <v>4</v>
      </c>
      <c r="AD168" s="52"/>
    </row>
    <row r="169" spans="2:30" ht="15" thickBot="1">
      <c r="B169" s="50"/>
      <c r="C169" s="9" t="s">
        <v>8</v>
      </c>
      <c r="D169" s="10">
        <v>5000</v>
      </c>
      <c r="E169" s="10">
        <v>5000</v>
      </c>
      <c r="F169" s="10">
        <v>5000</v>
      </c>
      <c r="G169" s="10">
        <v>5000</v>
      </c>
      <c r="H169" s="10">
        <v>5000</v>
      </c>
      <c r="I169" s="10">
        <v>5000</v>
      </c>
      <c r="J169" s="10">
        <v>5000</v>
      </c>
      <c r="K169" s="10">
        <v>5000</v>
      </c>
      <c r="L169" s="10">
        <v>5000</v>
      </c>
      <c r="M169" s="10">
        <v>5000</v>
      </c>
      <c r="N169" s="10">
        <v>5000</v>
      </c>
      <c r="O169" s="10">
        <v>5000</v>
      </c>
      <c r="P169" s="10">
        <v>5000</v>
      </c>
      <c r="Q169" s="10">
        <v>5000</v>
      </c>
      <c r="R169" s="10">
        <v>5000</v>
      </c>
      <c r="S169" s="10">
        <v>5000</v>
      </c>
      <c r="T169" s="10">
        <v>5000</v>
      </c>
      <c r="U169" s="10">
        <v>5000</v>
      </c>
      <c r="V169" s="10">
        <v>5000</v>
      </c>
      <c r="W169" s="10">
        <v>5000</v>
      </c>
      <c r="X169" s="10">
        <v>5000</v>
      </c>
      <c r="Y169" s="10">
        <v>5000</v>
      </c>
      <c r="Z169" s="10">
        <v>5000</v>
      </c>
      <c r="AA169" s="13">
        <v>5000</v>
      </c>
      <c r="AB169" s="6">
        <f t="shared" si="3"/>
        <v>120000</v>
      </c>
      <c r="AC169" s="6">
        <v>2</v>
      </c>
      <c r="AD169" s="53"/>
    </row>
    <row r="170" spans="2:30">
      <c r="B170" s="48">
        <v>47270</v>
      </c>
      <c r="C170" s="8" t="s">
        <v>5</v>
      </c>
      <c r="D170" s="7">
        <v>5000</v>
      </c>
      <c r="E170" s="7">
        <v>5000</v>
      </c>
      <c r="F170" s="7">
        <v>5000</v>
      </c>
      <c r="G170" s="7">
        <v>5000</v>
      </c>
      <c r="H170" s="7">
        <v>5000</v>
      </c>
      <c r="I170" s="7">
        <v>5000</v>
      </c>
      <c r="J170" s="7">
        <v>5000</v>
      </c>
      <c r="K170" s="7">
        <v>5000</v>
      </c>
      <c r="L170" s="7">
        <v>5000</v>
      </c>
      <c r="M170" s="7">
        <v>5000</v>
      </c>
      <c r="N170" s="7">
        <v>5000</v>
      </c>
      <c r="O170" s="7">
        <v>5000</v>
      </c>
      <c r="P170" s="7">
        <v>5000</v>
      </c>
      <c r="Q170" s="7">
        <v>5000</v>
      </c>
      <c r="R170" s="7">
        <v>5000</v>
      </c>
      <c r="S170" s="7">
        <v>5000</v>
      </c>
      <c r="T170" s="7">
        <v>5000</v>
      </c>
      <c r="U170" s="7">
        <v>5000</v>
      </c>
      <c r="V170" s="7">
        <v>5000</v>
      </c>
      <c r="W170" s="7">
        <v>5000</v>
      </c>
      <c r="X170" s="7">
        <v>5000</v>
      </c>
      <c r="Y170" s="7">
        <v>5000</v>
      </c>
      <c r="Z170" s="7">
        <v>5000</v>
      </c>
      <c r="AA170" s="11">
        <v>5000</v>
      </c>
      <c r="AB170" s="5">
        <f t="shared" si="3"/>
        <v>120000</v>
      </c>
      <c r="AC170" s="5">
        <v>19</v>
      </c>
      <c r="AD170" s="51">
        <f>(AB170*AC170)+(AB171*AC171)+(AB172*AC172)+(AB173*AC173)</f>
        <v>3600000</v>
      </c>
    </row>
    <row r="171" spans="2:30">
      <c r="B171" s="49"/>
      <c r="C171" s="1" t="s">
        <v>6</v>
      </c>
      <c r="D171" s="2">
        <v>5000</v>
      </c>
      <c r="E171" s="2">
        <v>5000</v>
      </c>
      <c r="F171" s="2">
        <v>5000</v>
      </c>
      <c r="G171" s="2">
        <v>5000</v>
      </c>
      <c r="H171" s="2">
        <v>5000</v>
      </c>
      <c r="I171" s="2">
        <v>5000</v>
      </c>
      <c r="J171" s="2">
        <v>5000</v>
      </c>
      <c r="K171" s="2">
        <v>5000</v>
      </c>
      <c r="L171" s="2">
        <v>5000</v>
      </c>
      <c r="M171" s="2">
        <v>5000</v>
      </c>
      <c r="N171" s="2">
        <v>5000</v>
      </c>
      <c r="O171" s="2">
        <v>5000</v>
      </c>
      <c r="P171" s="2">
        <v>5000</v>
      </c>
      <c r="Q171" s="2">
        <v>5000</v>
      </c>
      <c r="R171" s="2">
        <v>5000</v>
      </c>
      <c r="S171" s="2">
        <v>5000</v>
      </c>
      <c r="T171" s="2">
        <v>5000</v>
      </c>
      <c r="U171" s="2">
        <v>5000</v>
      </c>
      <c r="V171" s="2">
        <v>5000</v>
      </c>
      <c r="W171" s="2">
        <v>5000</v>
      </c>
      <c r="X171" s="2">
        <v>5000</v>
      </c>
      <c r="Y171" s="2">
        <v>5000</v>
      </c>
      <c r="Z171" s="2">
        <v>5000</v>
      </c>
      <c r="AA171" s="12">
        <v>5000</v>
      </c>
      <c r="AB171" s="3">
        <f t="shared" si="3"/>
        <v>120000</v>
      </c>
      <c r="AC171" s="3">
        <v>5</v>
      </c>
      <c r="AD171" s="52"/>
    </row>
    <row r="172" spans="2:30">
      <c r="B172" s="49"/>
      <c r="C172" s="1" t="s">
        <v>7</v>
      </c>
      <c r="D172" s="2">
        <v>5000</v>
      </c>
      <c r="E172" s="2">
        <v>5000</v>
      </c>
      <c r="F172" s="2">
        <v>5000</v>
      </c>
      <c r="G172" s="2">
        <v>5000</v>
      </c>
      <c r="H172" s="2">
        <v>5000</v>
      </c>
      <c r="I172" s="2">
        <v>5000</v>
      </c>
      <c r="J172" s="2">
        <v>5000</v>
      </c>
      <c r="K172" s="2">
        <v>5000</v>
      </c>
      <c r="L172" s="2">
        <v>5000</v>
      </c>
      <c r="M172" s="2">
        <v>5000</v>
      </c>
      <c r="N172" s="2">
        <v>5000</v>
      </c>
      <c r="O172" s="2">
        <v>5000</v>
      </c>
      <c r="P172" s="2">
        <v>5000</v>
      </c>
      <c r="Q172" s="2">
        <v>5000</v>
      </c>
      <c r="R172" s="2">
        <v>5000</v>
      </c>
      <c r="S172" s="2">
        <v>5000</v>
      </c>
      <c r="T172" s="2">
        <v>5000</v>
      </c>
      <c r="U172" s="2">
        <v>5000</v>
      </c>
      <c r="V172" s="2">
        <v>5000</v>
      </c>
      <c r="W172" s="2">
        <v>5000</v>
      </c>
      <c r="X172" s="2">
        <v>5000</v>
      </c>
      <c r="Y172" s="2">
        <v>5000</v>
      </c>
      <c r="Z172" s="2">
        <v>5000</v>
      </c>
      <c r="AA172" s="12">
        <v>5000</v>
      </c>
      <c r="AB172" s="3">
        <f t="shared" si="3"/>
        <v>120000</v>
      </c>
      <c r="AC172" s="3">
        <v>4</v>
      </c>
      <c r="AD172" s="52"/>
    </row>
    <row r="173" spans="2:30" ht="15" thickBot="1">
      <c r="B173" s="50"/>
      <c r="C173" s="9" t="s">
        <v>8</v>
      </c>
      <c r="D173" s="10">
        <v>5000</v>
      </c>
      <c r="E173" s="10">
        <v>5000</v>
      </c>
      <c r="F173" s="10">
        <v>5000</v>
      </c>
      <c r="G173" s="10">
        <v>5000</v>
      </c>
      <c r="H173" s="10">
        <v>5000</v>
      </c>
      <c r="I173" s="10">
        <v>5000</v>
      </c>
      <c r="J173" s="10">
        <v>5000</v>
      </c>
      <c r="K173" s="10">
        <v>5000</v>
      </c>
      <c r="L173" s="10">
        <v>5000</v>
      </c>
      <c r="M173" s="10">
        <v>5000</v>
      </c>
      <c r="N173" s="10">
        <v>5000</v>
      </c>
      <c r="O173" s="10">
        <v>5000</v>
      </c>
      <c r="P173" s="10">
        <v>5000</v>
      </c>
      <c r="Q173" s="10">
        <v>5000</v>
      </c>
      <c r="R173" s="10">
        <v>5000</v>
      </c>
      <c r="S173" s="10">
        <v>5000</v>
      </c>
      <c r="T173" s="10">
        <v>5000</v>
      </c>
      <c r="U173" s="10">
        <v>5000</v>
      </c>
      <c r="V173" s="10">
        <v>5000</v>
      </c>
      <c r="W173" s="10">
        <v>5000</v>
      </c>
      <c r="X173" s="10">
        <v>5000</v>
      </c>
      <c r="Y173" s="10">
        <v>5000</v>
      </c>
      <c r="Z173" s="10">
        <v>5000</v>
      </c>
      <c r="AA173" s="13">
        <v>5000</v>
      </c>
      <c r="AB173" s="6">
        <f t="shared" si="3"/>
        <v>120000</v>
      </c>
      <c r="AC173" s="6">
        <v>2</v>
      </c>
      <c r="AD173" s="53"/>
    </row>
    <row r="174" spans="2:30">
      <c r="B174" s="48">
        <v>47300</v>
      </c>
      <c r="C174" s="8" t="s">
        <v>5</v>
      </c>
      <c r="D174" s="7">
        <v>5000</v>
      </c>
      <c r="E174" s="7">
        <v>5000</v>
      </c>
      <c r="F174" s="7">
        <v>5000</v>
      </c>
      <c r="G174" s="7">
        <v>5000</v>
      </c>
      <c r="H174" s="7">
        <v>5000</v>
      </c>
      <c r="I174" s="7">
        <v>5000</v>
      </c>
      <c r="J174" s="7">
        <v>5000</v>
      </c>
      <c r="K174" s="7">
        <v>5000</v>
      </c>
      <c r="L174" s="7">
        <v>5000</v>
      </c>
      <c r="M174" s="7">
        <v>5000</v>
      </c>
      <c r="N174" s="7">
        <v>5000</v>
      </c>
      <c r="O174" s="7">
        <v>5000</v>
      </c>
      <c r="P174" s="7">
        <v>5000</v>
      </c>
      <c r="Q174" s="7">
        <v>5000</v>
      </c>
      <c r="R174" s="7">
        <v>5000</v>
      </c>
      <c r="S174" s="7">
        <v>5000</v>
      </c>
      <c r="T174" s="7">
        <v>5000</v>
      </c>
      <c r="U174" s="7">
        <v>5000</v>
      </c>
      <c r="V174" s="7">
        <v>5000</v>
      </c>
      <c r="W174" s="7">
        <v>5000</v>
      </c>
      <c r="X174" s="7">
        <v>5000</v>
      </c>
      <c r="Y174" s="7">
        <v>5000</v>
      </c>
      <c r="Z174" s="7">
        <v>5000</v>
      </c>
      <c r="AA174" s="11">
        <v>5000</v>
      </c>
      <c r="AB174" s="5">
        <f t="shared" si="3"/>
        <v>120000</v>
      </c>
      <c r="AC174" s="5">
        <v>20</v>
      </c>
      <c r="AD174" s="51">
        <f>(AB174*AC174)+(AB175*AC175)+(AB176*AC176)+(AB177*AC177)</f>
        <v>3720000</v>
      </c>
    </row>
    <row r="175" spans="2:30">
      <c r="B175" s="49"/>
      <c r="C175" s="1" t="s">
        <v>6</v>
      </c>
      <c r="D175" s="2">
        <v>5000</v>
      </c>
      <c r="E175" s="2">
        <v>5000</v>
      </c>
      <c r="F175" s="2">
        <v>5000</v>
      </c>
      <c r="G175" s="2">
        <v>5000</v>
      </c>
      <c r="H175" s="2">
        <v>5000</v>
      </c>
      <c r="I175" s="2">
        <v>5000</v>
      </c>
      <c r="J175" s="2">
        <v>5000</v>
      </c>
      <c r="K175" s="2">
        <v>5000</v>
      </c>
      <c r="L175" s="2">
        <v>5000</v>
      </c>
      <c r="M175" s="2">
        <v>5000</v>
      </c>
      <c r="N175" s="2">
        <v>5000</v>
      </c>
      <c r="O175" s="2">
        <v>5000</v>
      </c>
      <c r="P175" s="2">
        <v>5000</v>
      </c>
      <c r="Q175" s="2">
        <v>5000</v>
      </c>
      <c r="R175" s="2">
        <v>5000</v>
      </c>
      <c r="S175" s="2">
        <v>5000</v>
      </c>
      <c r="T175" s="2">
        <v>5000</v>
      </c>
      <c r="U175" s="2">
        <v>5000</v>
      </c>
      <c r="V175" s="2">
        <v>5000</v>
      </c>
      <c r="W175" s="2">
        <v>5000</v>
      </c>
      <c r="X175" s="2">
        <v>5000</v>
      </c>
      <c r="Y175" s="2">
        <v>5000</v>
      </c>
      <c r="Z175" s="2">
        <v>5000</v>
      </c>
      <c r="AA175" s="12">
        <v>5000</v>
      </c>
      <c r="AB175" s="3">
        <f t="shared" si="3"/>
        <v>120000</v>
      </c>
      <c r="AC175" s="3">
        <v>4</v>
      </c>
      <c r="AD175" s="52"/>
    </row>
    <row r="176" spans="2:30">
      <c r="B176" s="49"/>
      <c r="C176" s="1" t="s">
        <v>4</v>
      </c>
      <c r="D176" s="2">
        <v>5000</v>
      </c>
      <c r="E176" s="2">
        <v>5000</v>
      </c>
      <c r="F176" s="2">
        <v>5000</v>
      </c>
      <c r="G176" s="2">
        <v>5000</v>
      </c>
      <c r="H176" s="2">
        <v>5000</v>
      </c>
      <c r="I176" s="2">
        <v>5000</v>
      </c>
      <c r="J176" s="2">
        <v>5000</v>
      </c>
      <c r="K176" s="2">
        <v>5000</v>
      </c>
      <c r="L176" s="2">
        <v>5000</v>
      </c>
      <c r="M176" s="2">
        <v>5000</v>
      </c>
      <c r="N176" s="2">
        <v>5000</v>
      </c>
      <c r="O176" s="2">
        <v>5000</v>
      </c>
      <c r="P176" s="2">
        <v>5000</v>
      </c>
      <c r="Q176" s="2">
        <v>5000</v>
      </c>
      <c r="R176" s="2">
        <v>5000</v>
      </c>
      <c r="S176" s="2">
        <v>5000</v>
      </c>
      <c r="T176" s="2">
        <v>5000</v>
      </c>
      <c r="U176" s="2">
        <v>5000</v>
      </c>
      <c r="V176" s="2">
        <v>5000</v>
      </c>
      <c r="W176" s="2">
        <v>5000</v>
      </c>
      <c r="X176" s="2">
        <v>5000</v>
      </c>
      <c r="Y176" s="2">
        <v>5000</v>
      </c>
      <c r="Z176" s="2">
        <v>5000</v>
      </c>
      <c r="AA176" s="12">
        <v>5000</v>
      </c>
      <c r="AB176" s="3">
        <f t="shared" si="3"/>
        <v>120000</v>
      </c>
      <c r="AC176" s="3">
        <v>5</v>
      </c>
      <c r="AD176" s="52"/>
    </row>
    <row r="177" spans="2:30" ht="15" thickBot="1">
      <c r="B177" s="50"/>
      <c r="C177" s="9" t="s">
        <v>8</v>
      </c>
      <c r="D177" s="10">
        <v>5000</v>
      </c>
      <c r="E177" s="10">
        <v>5000</v>
      </c>
      <c r="F177" s="10">
        <v>5000</v>
      </c>
      <c r="G177" s="10">
        <v>5000</v>
      </c>
      <c r="H177" s="10">
        <v>5000</v>
      </c>
      <c r="I177" s="10">
        <v>5000</v>
      </c>
      <c r="J177" s="10">
        <v>5000</v>
      </c>
      <c r="K177" s="10">
        <v>5000</v>
      </c>
      <c r="L177" s="10">
        <v>5000</v>
      </c>
      <c r="M177" s="10">
        <v>5000</v>
      </c>
      <c r="N177" s="10">
        <v>5000</v>
      </c>
      <c r="O177" s="10">
        <v>5000</v>
      </c>
      <c r="P177" s="10">
        <v>5000</v>
      </c>
      <c r="Q177" s="10">
        <v>5000</v>
      </c>
      <c r="R177" s="10">
        <v>5000</v>
      </c>
      <c r="S177" s="10">
        <v>5000</v>
      </c>
      <c r="T177" s="10">
        <v>5000</v>
      </c>
      <c r="U177" s="10">
        <v>5000</v>
      </c>
      <c r="V177" s="10">
        <v>5000</v>
      </c>
      <c r="W177" s="10">
        <v>5000</v>
      </c>
      <c r="X177" s="10">
        <v>5000</v>
      </c>
      <c r="Y177" s="10">
        <v>5000</v>
      </c>
      <c r="Z177" s="10">
        <v>5000</v>
      </c>
      <c r="AA177" s="13">
        <v>5000</v>
      </c>
      <c r="AB177" s="6">
        <f t="shared" si="3"/>
        <v>120000</v>
      </c>
      <c r="AC177" s="6">
        <v>2</v>
      </c>
      <c r="AD177" s="53"/>
    </row>
    <row r="178" spans="2:30">
      <c r="B178" s="48">
        <v>47331</v>
      </c>
      <c r="C178" s="8" t="s">
        <v>5</v>
      </c>
      <c r="D178" s="7">
        <v>5000</v>
      </c>
      <c r="E178" s="7">
        <v>5000</v>
      </c>
      <c r="F178" s="7">
        <v>5000</v>
      </c>
      <c r="G178" s="7">
        <v>5000</v>
      </c>
      <c r="H178" s="7">
        <v>5000</v>
      </c>
      <c r="I178" s="7">
        <v>5000</v>
      </c>
      <c r="J178" s="7">
        <v>5000</v>
      </c>
      <c r="K178" s="7">
        <v>5000</v>
      </c>
      <c r="L178" s="7">
        <v>5000</v>
      </c>
      <c r="M178" s="7">
        <v>5000</v>
      </c>
      <c r="N178" s="7">
        <v>5000</v>
      </c>
      <c r="O178" s="7">
        <v>5000</v>
      </c>
      <c r="P178" s="7">
        <v>5000</v>
      </c>
      <c r="Q178" s="7">
        <v>5000</v>
      </c>
      <c r="R178" s="7">
        <v>5000</v>
      </c>
      <c r="S178" s="7">
        <v>5000</v>
      </c>
      <c r="T178" s="7">
        <v>5000</v>
      </c>
      <c r="U178" s="7">
        <v>5000</v>
      </c>
      <c r="V178" s="7">
        <v>5000</v>
      </c>
      <c r="W178" s="7">
        <v>5000</v>
      </c>
      <c r="X178" s="7">
        <v>5000</v>
      </c>
      <c r="Y178" s="7">
        <v>5000</v>
      </c>
      <c r="Z178" s="7">
        <v>5000</v>
      </c>
      <c r="AA178" s="11">
        <v>5000</v>
      </c>
      <c r="AB178" s="5">
        <f t="shared" si="3"/>
        <v>120000</v>
      </c>
      <c r="AC178" s="5">
        <v>21</v>
      </c>
      <c r="AD178" s="51">
        <f>(AB178*AC178)+(AB179*AC179)+(AB180*AC180)+(AB181*AC181)</f>
        <v>3720000</v>
      </c>
    </row>
    <row r="179" spans="2:30">
      <c r="B179" s="49"/>
      <c r="C179" s="1" t="s">
        <v>6</v>
      </c>
      <c r="D179" s="2">
        <v>5000</v>
      </c>
      <c r="E179" s="2">
        <v>5000</v>
      </c>
      <c r="F179" s="2">
        <v>5000</v>
      </c>
      <c r="G179" s="2">
        <v>5000</v>
      </c>
      <c r="H179" s="2">
        <v>5000</v>
      </c>
      <c r="I179" s="2">
        <v>5000</v>
      </c>
      <c r="J179" s="2">
        <v>5000</v>
      </c>
      <c r="K179" s="2">
        <v>5000</v>
      </c>
      <c r="L179" s="2">
        <v>5000</v>
      </c>
      <c r="M179" s="2">
        <v>5000</v>
      </c>
      <c r="N179" s="2">
        <v>5000</v>
      </c>
      <c r="O179" s="2">
        <v>5000</v>
      </c>
      <c r="P179" s="2">
        <v>5000</v>
      </c>
      <c r="Q179" s="2">
        <v>5000</v>
      </c>
      <c r="R179" s="2">
        <v>5000</v>
      </c>
      <c r="S179" s="2">
        <v>5000</v>
      </c>
      <c r="T179" s="2">
        <v>5000</v>
      </c>
      <c r="U179" s="2">
        <v>5000</v>
      </c>
      <c r="V179" s="2">
        <v>5000</v>
      </c>
      <c r="W179" s="2">
        <v>5000</v>
      </c>
      <c r="X179" s="2">
        <v>5000</v>
      </c>
      <c r="Y179" s="2">
        <v>5000</v>
      </c>
      <c r="Z179" s="2">
        <v>5000</v>
      </c>
      <c r="AA179" s="12">
        <v>5000</v>
      </c>
      <c r="AB179" s="3">
        <f t="shared" si="3"/>
        <v>120000</v>
      </c>
      <c r="AC179" s="3">
        <v>4</v>
      </c>
      <c r="AD179" s="52"/>
    </row>
    <row r="180" spans="2:30">
      <c r="B180" s="49"/>
      <c r="C180" s="1" t="s">
        <v>7</v>
      </c>
      <c r="D180" s="2">
        <v>5000</v>
      </c>
      <c r="E180" s="2">
        <v>5000</v>
      </c>
      <c r="F180" s="2">
        <v>5000</v>
      </c>
      <c r="G180" s="2">
        <v>5000</v>
      </c>
      <c r="H180" s="2">
        <v>5000</v>
      </c>
      <c r="I180" s="2">
        <v>5000</v>
      </c>
      <c r="J180" s="2">
        <v>5000</v>
      </c>
      <c r="K180" s="2">
        <v>5000</v>
      </c>
      <c r="L180" s="2">
        <v>5000</v>
      </c>
      <c r="M180" s="2">
        <v>5000</v>
      </c>
      <c r="N180" s="2">
        <v>5000</v>
      </c>
      <c r="O180" s="2">
        <v>5000</v>
      </c>
      <c r="P180" s="2">
        <v>5000</v>
      </c>
      <c r="Q180" s="2">
        <v>5000</v>
      </c>
      <c r="R180" s="2">
        <v>5000</v>
      </c>
      <c r="S180" s="2">
        <v>5000</v>
      </c>
      <c r="T180" s="2">
        <v>5000</v>
      </c>
      <c r="U180" s="2">
        <v>5000</v>
      </c>
      <c r="V180" s="2">
        <v>5000</v>
      </c>
      <c r="W180" s="2">
        <v>5000</v>
      </c>
      <c r="X180" s="2">
        <v>5000</v>
      </c>
      <c r="Y180" s="2">
        <v>5000</v>
      </c>
      <c r="Z180" s="2">
        <v>5000</v>
      </c>
      <c r="AA180" s="12">
        <v>5000</v>
      </c>
      <c r="AB180" s="3">
        <f t="shared" si="3"/>
        <v>120000</v>
      </c>
      <c r="AC180" s="3">
        <v>4</v>
      </c>
      <c r="AD180" s="52"/>
    </row>
    <row r="181" spans="2:30" ht="15" thickBot="1">
      <c r="B181" s="50"/>
      <c r="C181" s="9" t="s">
        <v>8</v>
      </c>
      <c r="D181" s="10">
        <v>5000</v>
      </c>
      <c r="E181" s="10">
        <v>5000</v>
      </c>
      <c r="F181" s="10">
        <v>5000</v>
      </c>
      <c r="G181" s="10">
        <v>5000</v>
      </c>
      <c r="H181" s="10">
        <v>5000</v>
      </c>
      <c r="I181" s="10">
        <v>5000</v>
      </c>
      <c r="J181" s="10">
        <v>5000</v>
      </c>
      <c r="K181" s="10">
        <v>5000</v>
      </c>
      <c r="L181" s="10">
        <v>5000</v>
      </c>
      <c r="M181" s="10">
        <v>5000</v>
      </c>
      <c r="N181" s="10">
        <v>5000</v>
      </c>
      <c r="O181" s="10">
        <v>5000</v>
      </c>
      <c r="P181" s="10">
        <v>5000</v>
      </c>
      <c r="Q181" s="10">
        <v>5000</v>
      </c>
      <c r="R181" s="10">
        <v>5000</v>
      </c>
      <c r="S181" s="10">
        <v>5000</v>
      </c>
      <c r="T181" s="10">
        <v>5000</v>
      </c>
      <c r="U181" s="10">
        <v>5000</v>
      </c>
      <c r="V181" s="10">
        <v>5000</v>
      </c>
      <c r="W181" s="10">
        <v>5000</v>
      </c>
      <c r="X181" s="10">
        <v>5000</v>
      </c>
      <c r="Y181" s="10">
        <v>5000</v>
      </c>
      <c r="Z181" s="10">
        <v>5000</v>
      </c>
      <c r="AA181" s="13">
        <v>5000</v>
      </c>
      <c r="AB181" s="6">
        <f t="shared" si="3"/>
        <v>120000</v>
      </c>
      <c r="AC181" s="6">
        <v>2</v>
      </c>
      <c r="AD181" s="53"/>
    </row>
    <row r="182" spans="2:30">
      <c r="B182" s="48">
        <v>47362</v>
      </c>
      <c r="C182" s="8" t="s">
        <v>5</v>
      </c>
      <c r="D182" s="7">
        <v>5000</v>
      </c>
      <c r="E182" s="7">
        <v>5000</v>
      </c>
      <c r="F182" s="7">
        <v>5000</v>
      </c>
      <c r="G182" s="7">
        <v>5000</v>
      </c>
      <c r="H182" s="7">
        <v>5000</v>
      </c>
      <c r="I182" s="7">
        <v>5000</v>
      </c>
      <c r="J182" s="7">
        <v>5000</v>
      </c>
      <c r="K182" s="7">
        <v>5000</v>
      </c>
      <c r="L182" s="7">
        <v>5000</v>
      </c>
      <c r="M182" s="7">
        <v>5000</v>
      </c>
      <c r="N182" s="7">
        <v>5000</v>
      </c>
      <c r="O182" s="7">
        <v>5000</v>
      </c>
      <c r="P182" s="7">
        <v>5000</v>
      </c>
      <c r="Q182" s="7">
        <v>5000</v>
      </c>
      <c r="R182" s="7">
        <v>5000</v>
      </c>
      <c r="S182" s="7">
        <v>5000</v>
      </c>
      <c r="T182" s="7">
        <v>5000</v>
      </c>
      <c r="U182" s="7">
        <v>5000</v>
      </c>
      <c r="V182" s="7">
        <v>5000</v>
      </c>
      <c r="W182" s="7">
        <v>5000</v>
      </c>
      <c r="X182" s="7">
        <v>5000</v>
      </c>
      <c r="Y182" s="7">
        <v>5000</v>
      </c>
      <c r="Z182" s="7">
        <v>5000</v>
      </c>
      <c r="AA182" s="11">
        <v>5000</v>
      </c>
      <c r="AB182" s="5">
        <f t="shared" si="3"/>
        <v>120000</v>
      </c>
      <c r="AC182" s="5">
        <v>20</v>
      </c>
      <c r="AD182" s="51">
        <f>(AB182*AC182)+(AB183*AC183)+(AB184*AC184)+(AB185*AC185)</f>
        <v>3600000</v>
      </c>
    </row>
    <row r="183" spans="2:30">
      <c r="B183" s="49"/>
      <c r="C183" s="1" t="s">
        <v>6</v>
      </c>
      <c r="D183" s="2">
        <v>5000</v>
      </c>
      <c r="E183" s="2">
        <v>5000</v>
      </c>
      <c r="F183" s="2">
        <v>5000</v>
      </c>
      <c r="G183" s="2">
        <v>5000</v>
      </c>
      <c r="H183" s="2">
        <v>5000</v>
      </c>
      <c r="I183" s="2">
        <v>5000</v>
      </c>
      <c r="J183" s="2">
        <v>5000</v>
      </c>
      <c r="K183" s="2">
        <v>5000</v>
      </c>
      <c r="L183" s="2">
        <v>5000</v>
      </c>
      <c r="M183" s="2">
        <v>5000</v>
      </c>
      <c r="N183" s="2">
        <v>5000</v>
      </c>
      <c r="O183" s="2">
        <v>5000</v>
      </c>
      <c r="P183" s="2">
        <v>5000</v>
      </c>
      <c r="Q183" s="2">
        <v>5000</v>
      </c>
      <c r="R183" s="2">
        <v>5000</v>
      </c>
      <c r="S183" s="2">
        <v>5000</v>
      </c>
      <c r="T183" s="2">
        <v>5000</v>
      </c>
      <c r="U183" s="2">
        <v>5000</v>
      </c>
      <c r="V183" s="2">
        <v>5000</v>
      </c>
      <c r="W183" s="2">
        <v>5000</v>
      </c>
      <c r="X183" s="2">
        <v>5000</v>
      </c>
      <c r="Y183" s="2">
        <v>5000</v>
      </c>
      <c r="Z183" s="2">
        <v>5000</v>
      </c>
      <c r="AA183" s="12">
        <v>5000</v>
      </c>
      <c r="AB183" s="3">
        <f t="shared" si="3"/>
        <v>120000</v>
      </c>
      <c r="AC183" s="3">
        <v>5</v>
      </c>
      <c r="AD183" s="52"/>
    </row>
    <row r="184" spans="2:30">
      <c r="B184" s="49"/>
      <c r="C184" s="1" t="s">
        <v>7</v>
      </c>
      <c r="D184" s="2">
        <v>5000</v>
      </c>
      <c r="E184" s="2">
        <v>5000</v>
      </c>
      <c r="F184" s="2">
        <v>5000</v>
      </c>
      <c r="G184" s="2">
        <v>5000</v>
      </c>
      <c r="H184" s="2">
        <v>5000</v>
      </c>
      <c r="I184" s="2">
        <v>5000</v>
      </c>
      <c r="J184" s="2">
        <v>5000</v>
      </c>
      <c r="K184" s="2">
        <v>5000</v>
      </c>
      <c r="L184" s="2">
        <v>5000</v>
      </c>
      <c r="M184" s="2">
        <v>5000</v>
      </c>
      <c r="N184" s="2">
        <v>5000</v>
      </c>
      <c r="O184" s="2">
        <v>5000</v>
      </c>
      <c r="P184" s="2">
        <v>5000</v>
      </c>
      <c r="Q184" s="2">
        <v>5000</v>
      </c>
      <c r="R184" s="2">
        <v>5000</v>
      </c>
      <c r="S184" s="2">
        <v>5000</v>
      </c>
      <c r="T184" s="2">
        <v>5000</v>
      </c>
      <c r="U184" s="2">
        <v>5000</v>
      </c>
      <c r="V184" s="2">
        <v>5000</v>
      </c>
      <c r="W184" s="2">
        <v>5000</v>
      </c>
      <c r="X184" s="2">
        <v>5000</v>
      </c>
      <c r="Y184" s="2">
        <v>5000</v>
      </c>
      <c r="Z184" s="2">
        <v>5000</v>
      </c>
      <c r="AA184" s="12">
        <v>5000</v>
      </c>
      <c r="AB184" s="3">
        <f t="shared" si="3"/>
        <v>120000</v>
      </c>
      <c r="AC184" s="3">
        <v>5</v>
      </c>
      <c r="AD184" s="52"/>
    </row>
    <row r="185" spans="2:30" ht="15" thickBot="1">
      <c r="B185" s="50"/>
      <c r="C185" s="9" t="s">
        <v>8</v>
      </c>
      <c r="D185" s="10">
        <v>5000</v>
      </c>
      <c r="E185" s="10">
        <v>5000</v>
      </c>
      <c r="F185" s="10">
        <v>5000</v>
      </c>
      <c r="G185" s="10">
        <v>5000</v>
      </c>
      <c r="H185" s="10">
        <v>5000</v>
      </c>
      <c r="I185" s="10">
        <v>5000</v>
      </c>
      <c r="J185" s="10">
        <v>5000</v>
      </c>
      <c r="K185" s="10">
        <v>5000</v>
      </c>
      <c r="L185" s="10">
        <v>5000</v>
      </c>
      <c r="M185" s="10">
        <v>5000</v>
      </c>
      <c r="N185" s="10">
        <v>5000</v>
      </c>
      <c r="O185" s="10">
        <v>5000</v>
      </c>
      <c r="P185" s="10">
        <v>5000</v>
      </c>
      <c r="Q185" s="10">
        <v>5000</v>
      </c>
      <c r="R185" s="10">
        <v>5000</v>
      </c>
      <c r="S185" s="10">
        <v>5000</v>
      </c>
      <c r="T185" s="10">
        <v>5000</v>
      </c>
      <c r="U185" s="10">
        <v>5000</v>
      </c>
      <c r="V185" s="10">
        <v>5000</v>
      </c>
      <c r="W185" s="10">
        <v>5000</v>
      </c>
      <c r="X185" s="10">
        <v>5000</v>
      </c>
      <c r="Y185" s="10">
        <v>5000</v>
      </c>
      <c r="Z185" s="10">
        <v>5000</v>
      </c>
      <c r="AA185" s="13">
        <v>5000</v>
      </c>
      <c r="AB185" s="6">
        <f t="shared" si="3"/>
        <v>120000</v>
      </c>
      <c r="AC185" s="6">
        <v>0</v>
      </c>
      <c r="AD185" s="53"/>
    </row>
    <row r="186" spans="2:30">
      <c r="B186" s="48">
        <v>47392</v>
      </c>
      <c r="C186" s="8" t="s">
        <v>5</v>
      </c>
      <c r="D186" s="7">
        <v>5000</v>
      </c>
      <c r="E186" s="7">
        <v>5000</v>
      </c>
      <c r="F186" s="7">
        <v>5000</v>
      </c>
      <c r="G186" s="7">
        <v>5000</v>
      </c>
      <c r="H186" s="7">
        <v>5000</v>
      </c>
      <c r="I186" s="7">
        <v>5000</v>
      </c>
      <c r="J186" s="7">
        <v>5000</v>
      </c>
      <c r="K186" s="7">
        <v>5000</v>
      </c>
      <c r="L186" s="7">
        <v>5000</v>
      </c>
      <c r="M186" s="7">
        <v>5000</v>
      </c>
      <c r="N186" s="7">
        <v>5000</v>
      </c>
      <c r="O186" s="7">
        <v>5000</v>
      </c>
      <c r="P186" s="7">
        <v>5000</v>
      </c>
      <c r="Q186" s="7">
        <v>5000</v>
      </c>
      <c r="R186" s="7">
        <v>5000</v>
      </c>
      <c r="S186" s="7">
        <v>5000</v>
      </c>
      <c r="T186" s="7">
        <v>5000</v>
      </c>
      <c r="U186" s="7">
        <v>5000</v>
      </c>
      <c r="V186" s="7">
        <v>5000</v>
      </c>
      <c r="W186" s="7">
        <v>5000</v>
      </c>
      <c r="X186" s="7">
        <v>5000</v>
      </c>
      <c r="Y186" s="7">
        <v>5000</v>
      </c>
      <c r="Z186" s="7">
        <v>5000</v>
      </c>
      <c r="AA186" s="11">
        <v>5000</v>
      </c>
      <c r="AB186" s="5">
        <f t="shared" si="3"/>
        <v>120000</v>
      </c>
      <c r="AC186" s="5">
        <v>22</v>
      </c>
      <c r="AD186" s="51">
        <f>(AB186*AC186)+(AB187*AC187)+(AB188*AC188)+(AB189*AC189)</f>
        <v>3720000</v>
      </c>
    </row>
    <row r="187" spans="2:30">
      <c r="B187" s="49"/>
      <c r="C187" s="1" t="s">
        <v>6</v>
      </c>
      <c r="D187" s="2">
        <v>5000</v>
      </c>
      <c r="E187" s="2">
        <v>5000</v>
      </c>
      <c r="F187" s="2">
        <v>5000</v>
      </c>
      <c r="G187" s="2">
        <v>5000</v>
      </c>
      <c r="H187" s="2">
        <v>5000</v>
      </c>
      <c r="I187" s="2">
        <v>5000</v>
      </c>
      <c r="J187" s="2">
        <v>5000</v>
      </c>
      <c r="K187" s="2">
        <v>5000</v>
      </c>
      <c r="L187" s="2">
        <v>5000</v>
      </c>
      <c r="M187" s="2">
        <v>5000</v>
      </c>
      <c r="N187" s="2">
        <v>5000</v>
      </c>
      <c r="O187" s="2">
        <v>5000</v>
      </c>
      <c r="P187" s="2">
        <v>5000</v>
      </c>
      <c r="Q187" s="2">
        <v>5000</v>
      </c>
      <c r="R187" s="2">
        <v>5000</v>
      </c>
      <c r="S187" s="2">
        <v>5000</v>
      </c>
      <c r="T187" s="2">
        <v>5000</v>
      </c>
      <c r="U187" s="2">
        <v>5000</v>
      </c>
      <c r="V187" s="2">
        <v>5000</v>
      </c>
      <c r="W187" s="2">
        <v>5000</v>
      </c>
      <c r="X187" s="2">
        <v>5000</v>
      </c>
      <c r="Y187" s="2">
        <v>5000</v>
      </c>
      <c r="Z187" s="2">
        <v>5000</v>
      </c>
      <c r="AA187" s="12">
        <v>5000</v>
      </c>
      <c r="AB187" s="3">
        <f t="shared" si="3"/>
        <v>120000</v>
      </c>
      <c r="AC187" s="3">
        <v>4</v>
      </c>
      <c r="AD187" s="52"/>
    </row>
    <row r="188" spans="2:30">
      <c r="B188" s="49"/>
      <c r="C188" s="1" t="s">
        <v>7</v>
      </c>
      <c r="D188" s="2">
        <v>5000</v>
      </c>
      <c r="E188" s="2">
        <v>5000</v>
      </c>
      <c r="F188" s="2">
        <v>5000</v>
      </c>
      <c r="G188" s="2">
        <v>5000</v>
      </c>
      <c r="H188" s="2">
        <v>5000</v>
      </c>
      <c r="I188" s="2">
        <v>5000</v>
      </c>
      <c r="J188" s="2">
        <v>5000</v>
      </c>
      <c r="K188" s="2">
        <v>5000</v>
      </c>
      <c r="L188" s="2">
        <v>5000</v>
      </c>
      <c r="M188" s="2">
        <v>5000</v>
      </c>
      <c r="N188" s="2">
        <v>5000</v>
      </c>
      <c r="O188" s="2">
        <v>5000</v>
      </c>
      <c r="P188" s="2">
        <v>5000</v>
      </c>
      <c r="Q188" s="2">
        <v>5000</v>
      </c>
      <c r="R188" s="2">
        <v>5000</v>
      </c>
      <c r="S188" s="2">
        <v>5000</v>
      </c>
      <c r="T188" s="2">
        <v>5000</v>
      </c>
      <c r="U188" s="2">
        <v>5000</v>
      </c>
      <c r="V188" s="2">
        <v>5000</v>
      </c>
      <c r="W188" s="2">
        <v>5000</v>
      </c>
      <c r="X188" s="2">
        <v>5000</v>
      </c>
      <c r="Y188" s="2">
        <v>5000</v>
      </c>
      <c r="Z188" s="2">
        <v>5000</v>
      </c>
      <c r="AA188" s="12">
        <v>5000</v>
      </c>
      <c r="AB188" s="3">
        <f t="shared" si="3"/>
        <v>120000</v>
      </c>
      <c r="AC188" s="3">
        <v>4</v>
      </c>
      <c r="AD188" s="52"/>
    </row>
    <row r="189" spans="2:30" ht="15" thickBot="1">
      <c r="B189" s="50"/>
      <c r="C189" s="9" t="s">
        <v>8</v>
      </c>
      <c r="D189" s="10">
        <v>5000</v>
      </c>
      <c r="E189" s="10">
        <v>5000</v>
      </c>
      <c r="F189" s="10">
        <v>5000</v>
      </c>
      <c r="G189" s="10">
        <v>5000</v>
      </c>
      <c r="H189" s="10">
        <v>5000</v>
      </c>
      <c r="I189" s="10">
        <v>5000</v>
      </c>
      <c r="J189" s="10">
        <v>5000</v>
      </c>
      <c r="K189" s="10">
        <v>5000</v>
      </c>
      <c r="L189" s="10">
        <v>5000</v>
      </c>
      <c r="M189" s="10">
        <v>5000</v>
      </c>
      <c r="N189" s="10">
        <v>5000</v>
      </c>
      <c r="O189" s="10">
        <v>5000</v>
      </c>
      <c r="P189" s="10">
        <v>5000</v>
      </c>
      <c r="Q189" s="10">
        <v>5000</v>
      </c>
      <c r="R189" s="10">
        <v>5000</v>
      </c>
      <c r="S189" s="10">
        <v>5000</v>
      </c>
      <c r="T189" s="10">
        <v>5000</v>
      </c>
      <c r="U189" s="10">
        <v>5000</v>
      </c>
      <c r="V189" s="10">
        <v>5000</v>
      </c>
      <c r="W189" s="10">
        <v>5000</v>
      </c>
      <c r="X189" s="10">
        <v>5000</v>
      </c>
      <c r="Y189" s="10">
        <v>5000</v>
      </c>
      <c r="Z189" s="10">
        <v>5000</v>
      </c>
      <c r="AA189" s="13">
        <v>5000</v>
      </c>
      <c r="AB189" s="6">
        <f t="shared" si="3"/>
        <v>120000</v>
      </c>
      <c r="AC189" s="6">
        <v>1</v>
      </c>
      <c r="AD189" s="53"/>
    </row>
    <row r="190" spans="2:30">
      <c r="B190" s="48">
        <v>47423</v>
      </c>
      <c r="C190" s="8" t="s">
        <v>5</v>
      </c>
      <c r="D190" s="7">
        <v>5000</v>
      </c>
      <c r="E190" s="7">
        <v>5000</v>
      </c>
      <c r="F190" s="7">
        <v>5000</v>
      </c>
      <c r="G190" s="7">
        <v>5000</v>
      </c>
      <c r="H190" s="7">
        <v>5000</v>
      </c>
      <c r="I190" s="7">
        <v>5000</v>
      </c>
      <c r="J190" s="7">
        <v>5000</v>
      </c>
      <c r="K190" s="7">
        <v>5000</v>
      </c>
      <c r="L190" s="7">
        <v>5000</v>
      </c>
      <c r="M190" s="7">
        <v>5000</v>
      </c>
      <c r="N190" s="7">
        <v>5000</v>
      </c>
      <c r="O190" s="7">
        <v>5000</v>
      </c>
      <c r="P190" s="7">
        <v>5000</v>
      </c>
      <c r="Q190" s="7">
        <v>5000</v>
      </c>
      <c r="R190" s="7">
        <v>5000</v>
      </c>
      <c r="S190" s="7">
        <v>5000</v>
      </c>
      <c r="T190" s="7">
        <v>5000</v>
      </c>
      <c r="U190" s="7">
        <v>5000</v>
      </c>
      <c r="V190" s="7">
        <v>5000</v>
      </c>
      <c r="W190" s="7">
        <v>5000</v>
      </c>
      <c r="X190" s="7">
        <v>5000</v>
      </c>
      <c r="Y190" s="7">
        <v>5000</v>
      </c>
      <c r="Z190" s="7">
        <v>5000</v>
      </c>
      <c r="AA190" s="11">
        <v>5000</v>
      </c>
      <c r="AB190" s="5">
        <f t="shared" si="3"/>
        <v>120000</v>
      </c>
      <c r="AC190" s="5">
        <v>20</v>
      </c>
      <c r="AD190" s="51">
        <f>(AB190*AC190)+(AB191*AC191)+(AB192*AC192)+(AB193*AC193)</f>
        <v>3600000</v>
      </c>
    </row>
    <row r="191" spans="2:30">
      <c r="B191" s="49"/>
      <c r="C191" s="1" t="s">
        <v>6</v>
      </c>
      <c r="D191" s="2">
        <v>5000</v>
      </c>
      <c r="E191" s="2">
        <v>5000</v>
      </c>
      <c r="F191" s="2">
        <v>5000</v>
      </c>
      <c r="G191" s="2">
        <v>5000</v>
      </c>
      <c r="H191" s="2">
        <v>5000</v>
      </c>
      <c r="I191" s="2">
        <v>5000</v>
      </c>
      <c r="J191" s="2">
        <v>5000</v>
      </c>
      <c r="K191" s="2">
        <v>5000</v>
      </c>
      <c r="L191" s="2">
        <v>5000</v>
      </c>
      <c r="M191" s="2">
        <v>5000</v>
      </c>
      <c r="N191" s="2">
        <v>5000</v>
      </c>
      <c r="O191" s="2">
        <v>5000</v>
      </c>
      <c r="P191" s="2">
        <v>5000</v>
      </c>
      <c r="Q191" s="2">
        <v>5000</v>
      </c>
      <c r="R191" s="2">
        <v>5000</v>
      </c>
      <c r="S191" s="2">
        <v>5000</v>
      </c>
      <c r="T191" s="2">
        <v>5000</v>
      </c>
      <c r="U191" s="2">
        <v>5000</v>
      </c>
      <c r="V191" s="2">
        <v>5000</v>
      </c>
      <c r="W191" s="2">
        <v>5000</v>
      </c>
      <c r="X191" s="2">
        <v>5000</v>
      </c>
      <c r="Y191" s="2">
        <v>5000</v>
      </c>
      <c r="Z191" s="2">
        <v>5000</v>
      </c>
      <c r="AA191" s="12">
        <v>5000</v>
      </c>
      <c r="AB191" s="3">
        <f t="shared" si="3"/>
        <v>120000</v>
      </c>
      <c r="AC191" s="3">
        <v>4</v>
      </c>
      <c r="AD191" s="52"/>
    </row>
    <row r="192" spans="2:30">
      <c r="B192" s="49"/>
      <c r="C192" s="1" t="s">
        <v>7</v>
      </c>
      <c r="D192" s="2">
        <v>5000</v>
      </c>
      <c r="E192" s="2">
        <v>5000</v>
      </c>
      <c r="F192" s="2">
        <v>5000</v>
      </c>
      <c r="G192" s="2">
        <v>5000</v>
      </c>
      <c r="H192" s="2">
        <v>5000</v>
      </c>
      <c r="I192" s="2">
        <v>5000</v>
      </c>
      <c r="J192" s="2">
        <v>5000</v>
      </c>
      <c r="K192" s="2">
        <v>5000</v>
      </c>
      <c r="L192" s="2">
        <v>5000</v>
      </c>
      <c r="M192" s="2">
        <v>5000</v>
      </c>
      <c r="N192" s="2">
        <v>5000</v>
      </c>
      <c r="O192" s="2">
        <v>5000</v>
      </c>
      <c r="P192" s="2">
        <v>5000</v>
      </c>
      <c r="Q192" s="2">
        <v>5000</v>
      </c>
      <c r="R192" s="2">
        <v>5000</v>
      </c>
      <c r="S192" s="2">
        <v>5000</v>
      </c>
      <c r="T192" s="2">
        <v>5000</v>
      </c>
      <c r="U192" s="2">
        <v>5000</v>
      </c>
      <c r="V192" s="2">
        <v>5000</v>
      </c>
      <c r="W192" s="2">
        <v>5000</v>
      </c>
      <c r="X192" s="2">
        <v>5000</v>
      </c>
      <c r="Y192" s="2">
        <v>5000</v>
      </c>
      <c r="Z192" s="2">
        <v>5000</v>
      </c>
      <c r="AA192" s="12">
        <v>5000</v>
      </c>
      <c r="AB192" s="3">
        <f t="shared" si="3"/>
        <v>120000</v>
      </c>
      <c r="AC192" s="3">
        <v>4</v>
      </c>
      <c r="AD192" s="52"/>
    </row>
    <row r="193" spans="2:30" ht="15" thickBot="1">
      <c r="B193" s="50"/>
      <c r="C193" s="9" t="s">
        <v>8</v>
      </c>
      <c r="D193" s="10">
        <v>5000</v>
      </c>
      <c r="E193" s="10">
        <v>5000</v>
      </c>
      <c r="F193" s="10">
        <v>5000</v>
      </c>
      <c r="G193" s="10">
        <v>5000</v>
      </c>
      <c r="H193" s="10">
        <v>5000</v>
      </c>
      <c r="I193" s="10">
        <v>5000</v>
      </c>
      <c r="J193" s="10">
        <v>5000</v>
      </c>
      <c r="K193" s="10">
        <v>5000</v>
      </c>
      <c r="L193" s="10">
        <v>5000</v>
      </c>
      <c r="M193" s="10">
        <v>5000</v>
      </c>
      <c r="N193" s="10">
        <v>5000</v>
      </c>
      <c r="O193" s="10">
        <v>5000</v>
      </c>
      <c r="P193" s="10">
        <v>5000</v>
      </c>
      <c r="Q193" s="10">
        <v>5000</v>
      </c>
      <c r="R193" s="10">
        <v>5000</v>
      </c>
      <c r="S193" s="10">
        <v>5000</v>
      </c>
      <c r="T193" s="10">
        <v>5000</v>
      </c>
      <c r="U193" s="10">
        <v>5000</v>
      </c>
      <c r="V193" s="10">
        <v>5000</v>
      </c>
      <c r="W193" s="10">
        <v>5000</v>
      </c>
      <c r="X193" s="10">
        <v>5000</v>
      </c>
      <c r="Y193" s="10">
        <v>5000</v>
      </c>
      <c r="Z193" s="10">
        <v>5000</v>
      </c>
      <c r="AA193" s="13">
        <v>5000</v>
      </c>
      <c r="AB193" s="6">
        <f t="shared" si="3"/>
        <v>120000</v>
      </c>
      <c r="AC193" s="6">
        <v>2</v>
      </c>
      <c r="AD193" s="53"/>
    </row>
    <row r="194" spans="2:30">
      <c r="B194" s="48">
        <v>47453</v>
      </c>
      <c r="C194" s="8" t="s">
        <v>5</v>
      </c>
      <c r="D194" s="7">
        <v>5000</v>
      </c>
      <c r="E194" s="7">
        <v>5000</v>
      </c>
      <c r="F194" s="7">
        <v>5000</v>
      </c>
      <c r="G194" s="7">
        <v>5000</v>
      </c>
      <c r="H194" s="7">
        <v>5000</v>
      </c>
      <c r="I194" s="7">
        <v>5000</v>
      </c>
      <c r="J194" s="7">
        <v>5000</v>
      </c>
      <c r="K194" s="7">
        <v>5000</v>
      </c>
      <c r="L194" s="7">
        <v>5000</v>
      </c>
      <c r="M194" s="7">
        <v>5000</v>
      </c>
      <c r="N194" s="7">
        <v>5000</v>
      </c>
      <c r="O194" s="7">
        <v>5000</v>
      </c>
      <c r="P194" s="7">
        <v>5000</v>
      </c>
      <c r="Q194" s="7">
        <v>5000</v>
      </c>
      <c r="R194" s="7">
        <v>5000</v>
      </c>
      <c r="S194" s="7">
        <v>5000</v>
      </c>
      <c r="T194" s="7">
        <v>5000</v>
      </c>
      <c r="U194" s="7">
        <v>5000</v>
      </c>
      <c r="V194" s="7">
        <v>5000</v>
      </c>
      <c r="W194" s="7">
        <v>5000</v>
      </c>
      <c r="X194" s="7">
        <v>5000</v>
      </c>
      <c r="Y194" s="7">
        <v>5000</v>
      </c>
      <c r="Z194" s="7">
        <v>5000</v>
      </c>
      <c r="AA194" s="11">
        <v>5000</v>
      </c>
      <c r="AB194" s="5">
        <f t="shared" si="3"/>
        <v>120000</v>
      </c>
      <c r="AC194" s="5">
        <v>20</v>
      </c>
      <c r="AD194" s="51">
        <f>(AB194*AC194)+(AB195*AC195)+(AB196*AC196)+(AB197*AC197)</f>
        <v>3720000</v>
      </c>
    </row>
    <row r="195" spans="2:30">
      <c r="B195" s="49"/>
      <c r="C195" s="1" t="s">
        <v>6</v>
      </c>
      <c r="D195" s="2">
        <v>5000</v>
      </c>
      <c r="E195" s="2">
        <v>5000</v>
      </c>
      <c r="F195" s="2">
        <v>5000</v>
      </c>
      <c r="G195" s="2">
        <v>5000</v>
      </c>
      <c r="H195" s="2">
        <v>5000</v>
      </c>
      <c r="I195" s="2">
        <v>5000</v>
      </c>
      <c r="J195" s="2">
        <v>5000</v>
      </c>
      <c r="K195" s="2">
        <v>5000</v>
      </c>
      <c r="L195" s="2">
        <v>5000</v>
      </c>
      <c r="M195" s="2">
        <v>5000</v>
      </c>
      <c r="N195" s="2">
        <v>5000</v>
      </c>
      <c r="O195" s="2">
        <v>5000</v>
      </c>
      <c r="P195" s="2">
        <v>5000</v>
      </c>
      <c r="Q195" s="2">
        <v>5000</v>
      </c>
      <c r="R195" s="2">
        <v>5000</v>
      </c>
      <c r="S195" s="2">
        <v>5000</v>
      </c>
      <c r="T195" s="2">
        <v>5000</v>
      </c>
      <c r="U195" s="2">
        <v>5000</v>
      </c>
      <c r="V195" s="2">
        <v>5000</v>
      </c>
      <c r="W195" s="2">
        <v>5000</v>
      </c>
      <c r="X195" s="2">
        <v>5000</v>
      </c>
      <c r="Y195" s="2">
        <v>5000</v>
      </c>
      <c r="Z195" s="2">
        <v>5000</v>
      </c>
      <c r="AA195" s="12">
        <v>5000</v>
      </c>
      <c r="AB195" s="3">
        <f t="shared" si="3"/>
        <v>120000</v>
      </c>
      <c r="AC195" s="3">
        <v>4</v>
      </c>
      <c r="AD195" s="52"/>
    </row>
    <row r="196" spans="2:30">
      <c r="B196" s="49"/>
      <c r="C196" s="1" t="s">
        <v>7</v>
      </c>
      <c r="D196" s="2">
        <v>5000</v>
      </c>
      <c r="E196" s="2">
        <v>5000</v>
      </c>
      <c r="F196" s="2">
        <v>5000</v>
      </c>
      <c r="G196" s="2">
        <v>5000</v>
      </c>
      <c r="H196" s="2">
        <v>5000</v>
      </c>
      <c r="I196" s="2">
        <v>5000</v>
      </c>
      <c r="J196" s="2">
        <v>5000</v>
      </c>
      <c r="K196" s="2">
        <v>5000</v>
      </c>
      <c r="L196" s="2">
        <v>5000</v>
      </c>
      <c r="M196" s="2">
        <v>5000</v>
      </c>
      <c r="N196" s="2">
        <v>5000</v>
      </c>
      <c r="O196" s="2">
        <v>5000</v>
      </c>
      <c r="P196" s="2">
        <v>5000</v>
      </c>
      <c r="Q196" s="2">
        <v>5000</v>
      </c>
      <c r="R196" s="2">
        <v>5000</v>
      </c>
      <c r="S196" s="2">
        <v>5000</v>
      </c>
      <c r="T196" s="2">
        <v>5000</v>
      </c>
      <c r="U196" s="2">
        <v>5000</v>
      </c>
      <c r="V196" s="2">
        <v>5000</v>
      </c>
      <c r="W196" s="2">
        <v>5000</v>
      </c>
      <c r="X196" s="2">
        <v>5000</v>
      </c>
      <c r="Y196" s="2">
        <v>5000</v>
      </c>
      <c r="Z196" s="2">
        <v>5000</v>
      </c>
      <c r="AA196" s="12">
        <v>5000</v>
      </c>
      <c r="AB196" s="3">
        <f t="shared" si="3"/>
        <v>120000</v>
      </c>
      <c r="AC196" s="3">
        <v>5</v>
      </c>
      <c r="AD196" s="52"/>
    </row>
    <row r="197" spans="2:30" ht="15" thickBot="1">
      <c r="B197" s="50"/>
      <c r="C197" s="9" t="s">
        <v>8</v>
      </c>
      <c r="D197" s="10">
        <v>5000</v>
      </c>
      <c r="E197" s="10">
        <v>5000</v>
      </c>
      <c r="F197" s="10">
        <v>5000</v>
      </c>
      <c r="G197" s="10">
        <v>5000</v>
      </c>
      <c r="H197" s="10">
        <v>5000</v>
      </c>
      <c r="I197" s="10">
        <v>5000</v>
      </c>
      <c r="J197" s="10">
        <v>5000</v>
      </c>
      <c r="K197" s="10">
        <v>5000</v>
      </c>
      <c r="L197" s="10">
        <v>5000</v>
      </c>
      <c r="M197" s="10">
        <v>5000</v>
      </c>
      <c r="N197" s="10">
        <v>5000</v>
      </c>
      <c r="O197" s="10">
        <v>5000</v>
      </c>
      <c r="P197" s="10">
        <v>5000</v>
      </c>
      <c r="Q197" s="10">
        <v>5000</v>
      </c>
      <c r="R197" s="10">
        <v>5000</v>
      </c>
      <c r="S197" s="10">
        <v>5000</v>
      </c>
      <c r="T197" s="10">
        <v>5000</v>
      </c>
      <c r="U197" s="10">
        <v>5000</v>
      </c>
      <c r="V197" s="10">
        <v>5000</v>
      </c>
      <c r="W197" s="10">
        <v>5000</v>
      </c>
      <c r="X197" s="10">
        <v>5000</v>
      </c>
      <c r="Y197" s="10">
        <v>5000</v>
      </c>
      <c r="Z197" s="10">
        <v>5000</v>
      </c>
      <c r="AA197" s="13">
        <v>5000</v>
      </c>
      <c r="AB197" s="6">
        <f t="shared" si="3"/>
        <v>120000</v>
      </c>
      <c r="AC197" s="6">
        <v>2</v>
      </c>
      <c r="AD197" s="53"/>
    </row>
    <row r="198" spans="2:30">
      <c r="B198" s="48">
        <v>47484</v>
      </c>
      <c r="C198" s="8" t="s">
        <v>5</v>
      </c>
      <c r="D198" s="7">
        <v>5200</v>
      </c>
      <c r="E198" s="7">
        <v>5200</v>
      </c>
      <c r="F198" s="7">
        <v>5200</v>
      </c>
      <c r="G198" s="7">
        <v>5200</v>
      </c>
      <c r="H198" s="7">
        <v>5200</v>
      </c>
      <c r="I198" s="7">
        <v>5200</v>
      </c>
      <c r="J198" s="7">
        <v>5200</v>
      </c>
      <c r="K198" s="7">
        <v>5200</v>
      </c>
      <c r="L198" s="7">
        <v>5200</v>
      </c>
      <c r="M198" s="7">
        <v>5200</v>
      </c>
      <c r="N198" s="7">
        <v>5200</v>
      </c>
      <c r="O198" s="7">
        <v>5200</v>
      </c>
      <c r="P198" s="7">
        <v>5200</v>
      </c>
      <c r="Q198" s="7">
        <v>5200</v>
      </c>
      <c r="R198" s="7">
        <v>5200</v>
      </c>
      <c r="S198" s="7">
        <v>5200</v>
      </c>
      <c r="T198" s="7">
        <v>5200</v>
      </c>
      <c r="U198" s="7">
        <v>5200</v>
      </c>
      <c r="V198" s="7">
        <v>5200</v>
      </c>
      <c r="W198" s="7">
        <v>5200</v>
      </c>
      <c r="X198" s="7">
        <v>5200</v>
      </c>
      <c r="Y198" s="7">
        <v>5200</v>
      </c>
      <c r="Z198" s="7">
        <v>5200</v>
      </c>
      <c r="AA198" s="11">
        <v>5200</v>
      </c>
      <c r="AB198" s="5">
        <f t="shared" ref="AB198:AB245" si="4">(SUM(D198:AA198))</f>
        <v>124800</v>
      </c>
      <c r="AC198" s="5">
        <v>21</v>
      </c>
      <c r="AD198" s="51">
        <f>(AB198*AC198)+(AB199*AC199)+(AB200*AC200)+(AB201*AC201)</f>
        <v>3868800</v>
      </c>
    </row>
    <row r="199" spans="2:30">
      <c r="B199" s="49"/>
      <c r="C199" s="1" t="s">
        <v>6</v>
      </c>
      <c r="D199" s="2">
        <v>5200</v>
      </c>
      <c r="E199" s="2">
        <v>5200</v>
      </c>
      <c r="F199" s="2">
        <v>5200</v>
      </c>
      <c r="G199" s="2">
        <v>5200</v>
      </c>
      <c r="H199" s="2">
        <v>5200</v>
      </c>
      <c r="I199" s="2">
        <v>5200</v>
      </c>
      <c r="J199" s="2">
        <v>5200</v>
      </c>
      <c r="K199" s="2">
        <v>5200</v>
      </c>
      <c r="L199" s="2">
        <v>5200</v>
      </c>
      <c r="M199" s="2">
        <v>5200</v>
      </c>
      <c r="N199" s="2">
        <v>5200</v>
      </c>
      <c r="O199" s="2">
        <v>5200</v>
      </c>
      <c r="P199" s="2">
        <v>5200</v>
      </c>
      <c r="Q199" s="2">
        <v>5200</v>
      </c>
      <c r="R199" s="2">
        <v>5200</v>
      </c>
      <c r="S199" s="2">
        <v>5200</v>
      </c>
      <c r="T199" s="2">
        <v>5200</v>
      </c>
      <c r="U199" s="2">
        <v>5200</v>
      </c>
      <c r="V199" s="2">
        <v>5200</v>
      </c>
      <c r="W199" s="2">
        <v>5200</v>
      </c>
      <c r="X199" s="2">
        <v>5200</v>
      </c>
      <c r="Y199" s="2">
        <v>5200</v>
      </c>
      <c r="Z199" s="2">
        <v>5200</v>
      </c>
      <c r="AA199" s="12">
        <v>5200</v>
      </c>
      <c r="AB199" s="3">
        <f t="shared" si="4"/>
        <v>124800</v>
      </c>
      <c r="AC199" s="3">
        <v>4</v>
      </c>
      <c r="AD199" s="52"/>
    </row>
    <row r="200" spans="2:30">
      <c r="B200" s="49"/>
      <c r="C200" s="1" t="s">
        <v>7</v>
      </c>
      <c r="D200" s="2">
        <v>5200</v>
      </c>
      <c r="E200" s="2">
        <v>5200</v>
      </c>
      <c r="F200" s="2">
        <v>5200</v>
      </c>
      <c r="G200" s="2">
        <v>5200</v>
      </c>
      <c r="H200" s="2">
        <v>5200</v>
      </c>
      <c r="I200" s="2">
        <v>5200</v>
      </c>
      <c r="J200" s="2">
        <v>5200</v>
      </c>
      <c r="K200" s="2">
        <v>5200</v>
      </c>
      <c r="L200" s="2">
        <v>5200</v>
      </c>
      <c r="M200" s="2">
        <v>5200</v>
      </c>
      <c r="N200" s="2">
        <v>5200</v>
      </c>
      <c r="O200" s="2">
        <v>5200</v>
      </c>
      <c r="P200" s="2">
        <v>5200</v>
      </c>
      <c r="Q200" s="2">
        <v>5200</v>
      </c>
      <c r="R200" s="2">
        <v>5200</v>
      </c>
      <c r="S200" s="2">
        <v>5200</v>
      </c>
      <c r="T200" s="2">
        <v>5200</v>
      </c>
      <c r="U200" s="2">
        <v>5200</v>
      </c>
      <c r="V200" s="2">
        <v>5200</v>
      </c>
      <c r="W200" s="2">
        <v>5200</v>
      </c>
      <c r="X200" s="2">
        <v>5200</v>
      </c>
      <c r="Y200" s="2">
        <v>5200</v>
      </c>
      <c r="Z200" s="2">
        <v>5200</v>
      </c>
      <c r="AA200" s="12">
        <v>5200</v>
      </c>
      <c r="AB200" s="3">
        <f t="shared" si="4"/>
        <v>124800</v>
      </c>
      <c r="AC200" s="3">
        <v>4</v>
      </c>
      <c r="AD200" s="52"/>
    </row>
    <row r="201" spans="2:30" ht="15" thickBot="1">
      <c r="B201" s="50"/>
      <c r="C201" s="9" t="s">
        <v>8</v>
      </c>
      <c r="D201" s="10">
        <v>5200</v>
      </c>
      <c r="E201" s="10">
        <v>5200</v>
      </c>
      <c r="F201" s="10">
        <v>5200</v>
      </c>
      <c r="G201" s="10">
        <v>5200</v>
      </c>
      <c r="H201" s="10">
        <v>5200</v>
      </c>
      <c r="I201" s="10">
        <v>5200</v>
      </c>
      <c r="J201" s="10">
        <v>5200</v>
      </c>
      <c r="K201" s="10">
        <v>5200</v>
      </c>
      <c r="L201" s="10">
        <v>5200</v>
      </c>
      <c r="M201" s="10">
        <v>5200</v>
      </c>
      <c r="N201" s="10">
        <v>5200</v>
      </c>
      <c r="O201" s="10">
        <v>5200</v>
      </c>
      <c r="P201" s="10">
        <v>5200</v>
      </c>
      <c r="Q201" s="10">
        <v>5200</v>
      </c>
      <c r="R201" s="10">
        <v>5200</v>
      </c>
      <c r="S201" s="10">
        <v>5200</v>
      </c>
      <c r="T201" s="10">
        <v>5200</v>
      </c>
      <c r="U201" s="10">
        <v>5200</v>
      </c>
      <c r="V201" s="10">
        <v>5200</v>
      </c>
      <c r="W201" s="10">
        <v>5200</v>
      </c>
      <c r="X201" s="10">
        <v>5200</v>
      </c>
      <c r="Y201" s="10">
        <v>5200</v>
      </c>
      <c r="Z201" s="10">
        <v>5200</v>
      </c>
      <c r="AA201" s="13">
        <v>5200</v>
      </c>
      <c r="AB201" s="6">
        <f t="shared" si="4"/>
        <v>124800</v>
      </c>
      <c r="AC201" s="6">
        <v>2</v>
      </c>
      <c r="AD201" s="53"/>
    </row>
    <row r="202" spans="2:30">
      <c r="B202" s="48">
        <v>47515</v>
      </c>
      <c r="C202" s="8" t="s">
        <v>5</v>
      </c>
      <c r="D202" s="7">
        <v>5200</v>
      </c>
      <c r="E202" s="7">
        <v>5200</v>
      </c>
      <c r="F202" s="7">
        <v>5200</v>
      </c>
      <c r="G202" s="7">
        <v>5200</v>
      </c>
      <c r="H202" s="7">
        <v>5200</v>
      </c>
      <c r="I202" s="7">
        <v>5200</v>
      </c>
      <c r="J202" s="7">
        <v>5200</v>
      </c>
      <c r="K202" s="7">
        <v>5200</v>
      </c>
      <c r="L202" s="7">
        <v>5200</v>
      </c>
      <c r="M202" s="7">
        <v>5200</v>
      </c>
      <c r="N202" s="7">
        <v>5200</v>
      </c>
      <c r="O202" s="7">
        <v>5200</v>
      </c>
      <c r="P202" s="7">
        <v>5200</v>
      </c>
      <c r="Q202" s="7">
        <v>5200</v>
      </c>
      <c r="R202" s="7">
        <v>5200</v>
      </c>
      <c r="S202" s="7">
        <v>5200</v>
      </c>
      <c r="T202" s="7">
        <v>5200</v>
      </c>
      <c r="U202" s="7">
        <v>5200</v>
      </c>
      <c r="V202" s="7">
        <v>5200</v>
      </c>
      <c r="W202" s="7">
        <v>5200</v>
      </c>
      <c r="X202" s="7">
        <v>5200</v>
      </c>
      <c r="Y202" s="7">
        <v>5200</v>
      </c>
      <c r="Z202" s="7">
        <v>5200</v>
      </c>
      <c r="AA202" s="11">
        <v>5200</v>
      </c>
      <c r="AB202" s="5">
        <f t="shared" si="4"/>
        <v>124800</v>
      </c>
      <c r="AC202" s="5">
        <v>20</v>
      </c>
      <c r="AD202" s="51">
        <f>(AB202*AC202)+(AB203*AC203)+(AB204*AC204)+(AB205*AC205)</f>
        <v>3494400</v>
      </c>
    </row>
    <row r="203" spans="2:30">
      <c r="B203" s="49"/>
      <c r="C203" s="1" t="s">
        <v>6</v>
      </c>
      <c r="D203" s="2">
        <v>5200</v>
      </c>
      <c r="E203" s="2">
        <v>5200</v>
      </c>
      <c r="F203" s="2">
        <v>5200</v>
      </c>
      <c r="G203" s="2">
        <v>5200</v>
      </c>
      <c r="H203" s="2">
        <v>5200</v>
      </c>
      <c r="I203" s="2">
        <v>5200</v>
      </c>
      <c r="J203" s="2">
        <v>5200</v>
      </c>
      <c r="K203" s="2">
        <v>5200</v>
      </c>
      <c r="L203" s="2">
        <v>5200</v>
      </c>
      <c r="M203" s="2">
        <v>5200</v>
      </c>
      <c r="N203" s="2">
        <v>5200</v>
      </c>
      <c r="O203" s="2">
        <v>5200</v>
      </c>
      <c r="P203" s="2">
        <v>5200</v>
      </c>
      <c r="Q203" s="2">
        <v>5200</v>
      </c>
      <c r="R203" s="2">
        <v>5200</v>
      </c>
      <c r="S203" s="2">
        <v>5200</v>
      </c>
      <c r="T203" s="2">
        <v>5200</v>
      </c>
      <c r="U203" s="2">
        <v>5200</v>
      </c>
      <c r="V203" s="2">
        <v>5200</v>
      </c>
      <c r="W203" s="2">
        <v>5200</v>
      </c>
      <c r="X203" s="2">
        <v>5200</v>
      </c>
      <c r="Y203" s="2">
        <v>5200</v>
      </c>
      <c r="Z203" s="2">
        <v>5200</v>
      </c>
      <c r="AA203" s="12">
        <v>5200</v>
      </c>
      <c r="AB203" s="3">
        <f t="shared" si="4"/>
        <v>124800</v>
      </c>
      <c r="AC203" s="3">
        <v>4</v>
      </c>
      <c r="AD203" s="52"/>
    </row>
    <row r="204" spans="2:30">
      <c r="B204" s="49"/>
      <c r="C204" s="1" t="s">
        <v>7</v>
      </c>
      <c r="D204" s="2">
        <v>5200</v>
      </c>
      <c r="E204" s="2">
        <v>5200</v>
      </c>
      <c r="F204" s="2">
        <v>5200</v>
      </c>
      <c r="G204" s="2">
        <v>5200</v>
      </c>
      <c r="H204" s="2">
        <v>5200</v>
      </c>
      <c r="I204" s="2">
        <v>5200</v>
      </c>
      <c r="J204" s="2">
        <v>5200</v>
      </c>
      <c r="K204" s="2">
        <v>5200</v>
      </c>
      <c r="L204" s="2">
        <v>5200</v>
      </c>
      <c r="M204" s="2">
        <v>5200</v>
      </c>
      <c r="N204" s="2">
        <v>5200</v>
      </c>
      <c r="O204" s="2">
        <v>5200</v>
      </c>
      <c r="P204" s="2">
        <v>5200</v>
      </c>
      <c r="Q204" s="2">
        <v>5200</v>
      </c>
      <c r="R204" s="2">
        <v>5200</v>
      </c>
      <c r="S204" s="2">
        <v>5200</v>
      </c>
      <c r="T204" s="2">
        <v>5200</v>
      </c>
      <c r="U204" s="2">
        <v>5200</v>
      </c>
      <c r="V204" s="2">
        <v>5200</v>
      </c>
      <c r="W204" s="2">
        <v>5200</v>
      </c>
      <c r="X204" s="2">
        <v>5200</v>
      </c>
      <c r="Y204" s="2">
        <v>5200</v>
      </c>
      <c r="Z204" s="2">
        <v>5200</v>
      </c>
      <c r="AA204" s="12">
        <v>5200</v>
      </c>
      <c r="AB204" s="3">
        <f t="shared" si="4"/>
        <v>124800</v>
      </c>
      <c r="AC204" s="3">
        <v>4</v>
      </c>
      <c r="AD204" s="52"/>
    </row>
    <row r="205" spans="2:30" ht="15" thickBot="1">
      <c r="B205" s="50"/>
      <c r="C205" s="9" t="s">
        <v>8</v>
      </c>
      <c r="D205" s="10">
        <v>5200</v>
      </c>
      <c r="E205" s="10">
        <v>5200</v>
      </c>
      <c r="F205" s="10">
        <v>5200</v>
      </c>
      <c r="G205" s="10">
        <v>5200</v>
      </c>
      <c r="H205" s="10">
        <v>5200</v>
      </c>
      <c r="I205" s="10">
        <v>5200</v>
      </c>
      <c r="J205" s="10">
        <v>5200</v>
      </c>
      <c r="K205" s="10">
        <v>5200</v>
      </c>
      <c r="L205" s="10">
        <v>5200</v>
      </c>
      <c r="M205" s="10">
        <v>5200</v>
      </c>
      <c r="N205" s="10">
        <v>5200</v>
      </c>
      <c r="O205" s="10">
        <v>5200</v>
      </c>
      <c r="P205" s="10">
        <v>5200</v>
      </c>
      <c r="Q205" s="10">
        <v>5200</v>
      </c>
      <c r="R205" s="10">
        <v>5200</v>
      </c>
      <c r="S205" s="10">
        <v>5200</v>
      </c>
      <c r="T205" s="10">
        <v>5200</v>
      </c>
      <c r="U205" s="10">
        <v>5200</v>
      </c>
      <c r="V205" s="10">
        <v>5200</v>
      </c>
      <c r="W205" s="10">
        <v>5200</v>
      </c>
      <c r="X205" s="10">
        <v>5200</v>
      </c>
      <c r="Y205" s="10">
        <v>5200</v>
      </c>
      <c r="Z205" s="10">
        <v>5200</v>
      </c>
      <c r="AA205" s="13">
        <v>5200</v>
      </c>
      <c r="AB205" s="6">
        <f t="shared" si="4"/>
        <v>124800</v>
      </c>
      <c r="AC205" s="6">
        <v>0</v>
      </c>
      <c r="AD205" s="53"/>
    </row>
    <row r="206" spans="2:30">
      <c r="B206" s="48">
        <v>47543</v>
      </c>
      <c r="C206" s="8" t="s">
        <v>5</v>
      </c>
      <c r="D206" s="7">
        <v>5200</v>
      </c>
      <c r="E206" s="7">
        <v>5200</v>
      </c>
      <c r="F206" s="7">
        <v>5200</v>
      </c>
      <c r="G206" s="7">
        <v>5200</v>
      </c>
      <c r="H206" s="7">
        <v>5200</v>
      </c>
      <c r="I206" s="7">
        <v>5200</v>
      </c>
      <c r="J206" s="7">
        <v>5200</v>
      </c>
      <c r="K206" s="7">
        <v>5200</v>
      </c>
      <c r="L206" s="7">
        <v>5200</v>
      </c>
      <c r="M206" s="7">
        <v>5200</v>
      </c>
      <c r="N206" s="7">
        <v>5200</v>
      </c>
      <c r="O206" s="7">
        <v>5200</v>
      </c>
      <c r="P206" s="7">
        <v>5200</v>
      </c>
      <c r="Q206" s="7">
        <v>5200</v>
      </c>
      <c r="R206" s="7">
        <v>5200</v>
      </c>
      <c r="S206" s="7">
        <v>5200</v>
      </c>
      <c r="T206" s="7">
        <v>5200</v>
      </c>
      <c r="U206" s="7">
        <v>5200</v>
      </c>
      <c r="V206" s="7">
        <v>5200</v>
      </c>
      <c r="W206" s="7">
        <v>5200</v>
      </c>
      <c r="X206" s="7">
        <v>5200</v>
      </c>
      <c r="Y206" s="7">
        <v>5200</v>
      </c>
      <c r="Z206" s="7">
        <v>5200</v>
      </c>
      <c r="AA206" s="11">
        <v>5200</v>
      </c>
      <c r="AB206" s="5">
        <f t="shared" si="4"/>
        <v>124800</v>
      </c>
      <c r="AC206" s="5">
        <v>20</v>
      </c>
      <c r="AD206" s="51">
        <f>(AB206*AC206)+(AB207*AC207)+(AB208*AC208)+(AB209*AC209)</f>
        <v>3868800</v>
      </c>
    </row>
    <row r="207" spans="2:30">
      <c r="B207" s="49"/>
      <c r="C207" s="1" t="s">
        <v>6</v>
      </c>
      <c r="D207" s="2">
        <v>5200</v>
      </c>
      <c r="E207" s="2">
        <v>5200</v>
      </c>
      <c r="F207" s="2">
        <v>5200</v>
      </c>
      <c r="G207" s="2">
        <v>5200</v>
      </c>
      <c r="H207" s="2">
        <v>5200</v>
      </c>
      <c r="I207" s="2">
        <v>5200</v>
      </c>
      <c r="J207" s="2">
        <v>5200</v>
      </c>
      <c r="K207" s="2">
        <v>5200</v>
      </c>
      <c r="L207" s="2">
        <v>5200</v>
      </c>
      <c r="M207" s="2">
        <v>5200</v>
      </c>
      <c r="N207" s="2">
        <v>5200</v>
      </c>
      <c r="O207" s="2">
        <v>5200</v>
      </c>
      <c r="P207" s="2">
        <v>5200</v>
      </c>
      <c r="Q207" s="2">
        <v>5200</v>
      </c>
      <c r="R207" s="2">
        <v>5200</v>
      </c>
      <c r="S207" s="2">
        <v>5200</v>
      </c>
      <c r="T207" s="2">
        <v>5200</v>
      </c>
      <c r="U207" s="2">
        <v>5200</v>
      </c>
      <c r="V207" s="2">
        <v>5200</v>
      </c>
      <c r="W207" s="2">
        <v>5200</v>
      </c>
      <c r="X207" s="2">
        <v>5200</v>
      </c>
      <c r="Y207" s="2">
        <v>5200</v>
      </c>
      <c r="Z207" s="2">
        <v>5200</v>
      </c>
      <c r="AA207" s="12">
        <v>5200</v>
      </c>
      <c r="AB207" s="3">
        <f t="shared" si="4"/>
        <v>124800</v>
      </c>
      <c r="AC207" s="3">
        <v>5</v>
      </c>
      <c r="AD207" s="52"/>
    </row>
    <row r="208" spans="2:30">
      <c r="B208" s="49"/>
      <c r="C208" s="1" t="s">
        <v>7</v>
      </c>
      <c r="D208" s="2">
        <v>5200</v>
      </c>
      <c r="E208" s="2">
        <v>5200</v>
      </c>
      <c r="F208" s="2">
        <v>5200</v>
      </c>
      <c r="G208" s="2">
        <v>5200</v>
      </c>
      <c r="H208" s="2">
        <v>5200</v>
      </c>
      <c r="I208" s="2">
        <v>5200</v>
      </c>
      <c r="J208" s="2">
        <v>5200</v>
      </c>
      <c r="K208" s="2">
        <v>5200</v>
      </c>
      <c r="L208" s="2">
        <v>5200</v>
      </c>
      <c r="M208" s="2">
        <v>5200</v>
      </c>
      <c r="N208" s="2">
        <v>5200</v>
      </c>
      <c r="O208" s="2">
        <v>5200</v>
      </c>
      <c r="P208" s="2">
        <v>5200</v>
      </c>
      <c r="Q208" s="2">
        <v>5200</v>
      </c>
      <c r="R208" s="2">
        <v>5200</v>
      </c>
      <c r="S208" s="2">
        <v>5200</v>
      </c>
      <c r="T208" s="2">
        <v>5200</v>
      </c>
      <c r="U208" s="2">
        <v>5200</v>
      </c>
      <c r="V208" s="2">
        <v>5200</v>
      </c>
      <c r="W208" s="2">
        <v>5200</v>
      </c>
      <c r="X208" s="2">
        <v>5200</v>
      </c>
      <c r="Y208" s="2">
        <v>5200</v>
      </c>
      <c r="Z208" s="2">
        <v>5200</v>
      </c>
      <c r="AA208" s="12">
        <v>5200</v>
      </c>
      <c r="AB208" s="3">
        <f t="shared" si="4"/>
        <v>124800</v>
      </c>
      <c r="AC208" s="3">
        <v>5</v>
      </c>
      <c r="AD208" s="52"/>
    </row>
    <row r="209" spans="2:30" ht="15" thickBot="1">
      <c r="B209" s="50"/>
      <c r="C209" s="9" t="s">
        <v>8</v>
      </c>
      <c r="D209" s="10">
        <v>5200</v>
      </c>
      <c r="E209" s="10">
        <v>5200</v>
      </c>
      <c r="F209" s="10">
        <v>5200</v>
      </c>
      <c r="G209" s="10">
        <v>5200</v>
      </c>
      <c r="H209" s="10">
        <v>5200</v>
      </c>
      <c r="I209" s="10">
        <v>5200</v>
      </c>
      <c r="J209" s="10">
        <v>5200</v>
      </c>
      <c r="K209" s="10">
        <v>5200</v>
      </c>
      <c r="L209" s="10">
        <v>5200</v>
      </c>
      <c r="M209" s="10">
        <v>5200</v>
      </c>
      <c r="N209" s="10">
        <v>5200</v>
      </c>
      <c r="O209" s="10">
        <v>5200</v>
      </c>
      <c r="P209" s="10">
        <v>5200</v>
      </c>
      <c r="Q209" s="10">
        <v>5200</v>
      </c>
      <c r="R209" s="10">
        <v>5200</v>
      </c>
      <c r="S209" s="10">
        <v>5200</v>
      </c>
      <c r="T209" s="10">
        <v>5200</v>
      </c>
      <c r="U209" s="10">
        <v>5200</v>
      </c>
      <c r="V209" s="10">
        <v>5200</v>
      </c>
      <c r="W209" s="10">
        <v>5200</v>
      </c>
      <c r="X209" s="10">
        <v>5200</v>
      </c>
      <c r="Y209" s="10">
        <v>5200</v>
      </c>
      <c r="Z209" s="10">
        <v>5200</v>
      </c>
      <c r="AA209" s="13">
        <v>5200</v>
      </c>
      <c r="AB209" s="6">
        <f t="shared" si="4"/>
        <v>124800</v>
      </c>
      <c r="AC209" s="6">
        <v>1</v>
      </c>
      <c r="AD209" s="53"/>
    </row>
    <row r="210" spans="2:30">
      <c r="B210" s="48">
        <v>47574</v>
      </c>
      <c r="C210" s="8" t="s">
        <v>5</v>
      </c>
      <c r="D210" s="7">
        <v>5200</v>
      </c>
      <c r="E210" s="7">
        <v>5200</v>
      </c>
      <c r="F210" s="7">
        <v>5200</v>
      </c>
      <c r="G210" s="7">
        <v>5200</v>
      </c>
      <c r="H210" s="7">
        <v>5200</v>
      </c>
      <c r="I210" s="7">
        <v>5200</v>
      </c>
      <c r="J210" s="7">
        <v>5200</v>
      </c>
      <c r="K210" s="7">
        <v>5200</v>
      </c>
      <c r="L210" s="7">
        <v>5200</v>
      </c>
      <c r="M210" s="7">
        <v>5200</v>
      </c>
      <c r="N210" s="7">
        <v>5200</v>
      </c>
      <c r="O210" s="7">
        <v>5200</v>
      </c>
      <c r="P210" s="7">
        <v>5200</v>
      </c>
      <c r="Q210" s="7">
        <v>5200</v>
      </c>
      <c r="R210" s="7">
        <v>5200</v>
      </c>
      <c r="S210" s="7">
        <v>5200</v>
      </c>
      <c r="T210" s="7">
        <v>5200</v>
      </c>
      <c r="U210" s="7">
        <v>5200</v>
      </c>
      <c r="V210" s="7">
        <v>5200</v>
      </c>
      <c r="W210" s="7">
        <v>5200</v>
      </c>
      <c r="X210" s="7">
        <v>5200</v>
      </c>
      <c r="Y210" s="7">
        <v>5200</v>
      </c>
      <c r="Z210" s="7">
        <v>5200</v>
      </c>
      <c r="AA210" s="11">
        <v>5200</v>
      </c>
      <c r="AB210" s="5">
        <f t="shared" si="4"/>
        <v>124800</v>
      </c>
      <c r="AC210" s="5">
        <v>20</v>
      </c>
      <c r="AD210" s="51">
        <f>(AB210*AC210)+(AB211*AC211)+(AB212*AC212)+(AB213*AC213)</f>
        <v>3744000</v>
      </c>
    </row>
    <row r="211" spans="2:30">
      <c r="B211" s="49"/>
      <c r="C211" s="1" t="s">
        <v>6</v>
      </c>
      <c r="D211" s="2">
        <v>5200</v>
      </c>
      <c r="E211" s="2">
        <v>5200</v>
      </c>
      <c r="F211" s="2">
        <v>5200</v>
      </c>
      <c r="G211" s="2">
        <v>5200</v>
      </c>
      <c r="H211" s="2">
        <v>5200</v>
      </c>
      <c r="I211" s="2">
        <v>5200</v>
      </c>
      <c r="J211" s="2">
        <v>5200</v>
      </c>
      <c r="K211" s="2">
        <v>5200</v>
      </c>
      <c r="L211" s="2">
        <v>5200</v>
      </c>
      <c r="M211" s="2">
        <v>5200</v>
      </c>
      <c r="N211" s="2">
        <v>5200</v>
      </c>
      <c r="O211" s="2">
        <v>5200</v>
      </c>
      <c r="P211" s="2">
        <v>5200</v>
      </c>
      <c r="Q211" s="2">
        <v>5200</v>
      </c>
      <c r="R211" s="2">
        <v>5200</v>
      </c>
      <c r="S211" s="2">
        <v>5200</v>
      </c>
      <c r="T211" s="2">
        <v>5200</v>
      </c>
      <c r="U211" s="2">
        <v>5200</v>
      </c>
      <c r="V211" s="2">
        <v>5200</v>
      </c>
      <c r="W211" s="2">
        <v>5200</v>
      </c>
      <c r="X211" s="2">
        <v>5200</v>
      </c>
      <c r="Y211" s="2">
        <v>5200</v>
      </c>
      <c r="Z211" s="2">
        <v>5200</v>
      </c>
      <c r="AA211" s="12">
        <v>5200</v>
      </c>
      <c r="AB211" s="3">
        <f t="shared" si="4"/>
        <v>124800</v>
      </c>
      <c r="AC211" s="3">
        <v>4</v>
      </c>
      <c r="AD211" s="52"/>
    </row>
    <row r="212" spans="2:30">
      <c r="B212" s="49"/>
      <c r="C212" s="1" t="s">
        <v>7</v>
      </c>
      <c r="D212" s="2">
        <v>5200</v>
      </c>
      <c r="E212" s="2">
        <v>5200</v>
      </c>
      <c r="F212" s="2">
        <v>5200</v>
      </c>
      <c r="G212" s="2">
        <v>5200</v>
      </c>
      <c r="H212" s="2">
        <v>5200</v>
      </c>
      <c r="I212" s="2">
        <v>5200</v>
      </c>
      <c r="J212" s="2">
        <v>5200</v>
      </c>
      <c r="K212" s="2">
        <v>5200</v>
      </c>
      <c r="L212" s="2">
        <v>5200</v>
      </c>
      <c r="M212" s="2">
        <v>5200</v>
      </c>
      <c r="N212" s="2">
        <v>5200</v>
      </c>
      <c r="O212" s="2">
        <v>5200</v>
      </c>
      <c r="P212" s="2">
        <v>5200</v>
      </c>
      <c r="Q212" s="2">
        <v>5200</v>
      </c>
      <c r="R212" s="2">
        <v>5200</v>
      </c>
      <c r="S212" s="2">
        <v>5200</v>
      </c>
      <c r="T212" s="2">
        <v>5200</v>
      </c>
      <c r="U212" s="2">
        <v>5200</v>
      </c>
      <c r="V212" s="2">
        <v>5200</v>
      </c>
      <c r="W212" s="2">
        <v>5200</v>
      </c>
      <c r="X212" s="2">
        <v>5200</v>
      </c>
      <c r="Y212" s="2">
        <v>5200</v>
      </c>
      <c r="Z212" s="2">
        <v>5200</v>
      </c>
      <c r="AA212" s="12">
        <v>5200</v>
      </c>
      <c r="AB212" s="3">
        <f t="shared" si="4"/>
        <v>124800</v>
      </c>
      <c r="AC212" s="3">
        <v>4</v>
      </c>
      <c r="AD212" s="52"/>
    </row>
    <row r="213" spans="2:30" ht="15" thickBot="1">
      <c r="B213" s="50"/>
      <c r="C213" s="9" t="s">
        <v>8</v>
      </c>
      <c r="D213" s="10">
        <v>5200</v>
      </c>
      <c r="E213" s="10">
        <v>5200</v>
      </c>
      <c r="F213" s="10">
        <v>5200</v>
      </c>
      <c r="G213" s="10">
        <v>5200</v>
      </c>
      <c r="H213" s="10">
        <v>5200</v>
      </c>
      <c r="I213" s="10">
        <v>5200</v>
      </c>
      <c r="J213" s="10">
        <v>5200</v>
      </c>
      <c r="K213" s="10">
        <v>5200</v>
      </c>
      <c r="L213" s="10">
        <v>5200</v>
      </c>
      <c r="M213" s="10">
        <v>5200</v>
      </c>
      <c r="N213" s="10">
        <v>5200</v>
      </c>
      <c r="O213" s="10">
        <v>5200</v>
      </c>
      <c r="P213" s="10">
        <v>5200</v>
      </c>
      <c r="Q213" s="10">
        <v>5200</v>
      </c>
      <c r="R213" s="10">
        <v>5200</v>
      </c>
      <c r="S213" s="10">
        <v>5200</v>
      </c>
      <c r="T213" s="10">
        <v>5200</v>
      </c>
      <c r="U213" s="10">
        <v>5200</v>
      </c>
      <c r="V213" s="10">
        <v>5200</v>
      </c>
      <c r="W213" s="10">
        <v>5200</v>
      </c>
      <c r="X213" s="10">
        <v>5200</v>
      </c>
      <c r="Y213" s="10">
        <v>5200</v>
      </c>
      <c r="Z213" s="10">
        <v>5200</v>
      </c>
      <c r="AA213" s="13">
        <v>5200</v>
      </c>
      <c r="AB213" s="6">
        <f t="shared" si="4"/>
        <v>124800</v>
      </c>
      <c r="AC213" s="6">
        <v>2</v>
      </c>
      <c r="AD213" s="53"/>
    </row>
    <row r="214" spans="2:30">
      <c r="B214" s="48">
        <v>47604</v>
      </c>
      <c r="C214" s="8" t="s">
        <v>5</v>
      </c>
      <c r="D214" s="7">
        <v>5200</v>
      </c>
      <c r="E214" s="7">
        <v>5200</v>
      </c>
      <c r="F214" s="7">
        <v>5200</v>
      </c>
      <c r="G214" s="7">
        <v>5200</v>
      </c>
      <c r="H214" s="7">
        <v>5200</v>
      </c>
      <c r="I214" s="7">
        <v>5200</v>
      </c>
      <c r="J214" s="7">
        <v>5200</v>
      </c>
      <c r="K214" s="7">
        <v>5200</v>
      </c>
      <c r="L214" s="7">
        <v>5200</v>
      </c>
      <c r="M214" s="7">
        <v>5200</v>
      </c>
      <c r="N214" s="7">
        <v>5200</v>
      </c>
      <c r="O214" s="7">
        <v>5200</v>
      </c>
      <c r="P214" s="7">
        <v>5200</v>
      </c>
      <c r="Q214" s="7">
        <v>5200</v>
      </c>
      <c r="R214" s="7">
        <v>5200</v>
      </c>
      <c r="S214" s="7">
        <v>5200</v>
      </c>
      <c r="T214" s="7">
        <v>5200</v>
      </c>
      <c r="U214" s="7">
        <v>5200</v>
      </c>
      <c r="V214" s="7">
        <v>5200</v>
      </c>
      <c r="W214" s="7">
        <v>5200</v>
      </c>
      <c r="X214" s="7">
        <v>5200</v>
      </c>
      <c r="Y214" s="7">
        <v>5200</v>
      </c>
      <c r="Z214" s="7">
        <v>5200</v>
      </c>
      <c r="AA214" s="11">
        <v>5200</v>
      </c>
      <c r="AB214" s="5">
        <f t="shared" si="4"/>
        <v>124800</v>
      </c>
      <c r="AC214" s="5">
        <v>22</v>
      </c>
      <c r="AD214" s="51">
        <f>(AB214*AC214)+(AB215*AC215)+(AB216*AC216)+(AB217*AC217)</f>
        <v>3868800</v>
      </c>
    </row>
    <row r="215" spans="2:30">
      <c r="B215" s="49"/>
      <c r="C215" s="1" t="s">
        <v>6</v>
      </c>
      <c r="D215" s="2">
        <v>5200</v>
      </c>
      <c r="E215" s="2">
        <v>5200</v>
      </c>
      <c r="F215" s="2">
        <v>5200</v>
      </c>
      <c r="G215" s="2">
        <v>5200</v>
      </c>
      <c r="H215" s="2">
        <v>5200</v>
      </c>
      <c r="I215" s="2">
        <v>5200</v>
      </c>
      <c r="J215" s="2">
        <v>5200</v>
      </c>
      <c r="K215" s="2">
        <v>5200</v>
      </c>
      <c r="L215" s="2">
        <v>5200</v>
      </c>
      <c r="M215" s="2">
        <v>5200</v>
      </c>
      <c r="N215" s="2">
        <v>5200</v>
      </c>
      <c r="O215" s="2">
        <v>5200</v>
      </c>
      <c r="P215" s="2">
        <v>5200</v>
      </c>
      <c r="Q215" s="2">
        <v>5200</v>
      </c>
      <c r="R215" s="2">
        <v>5200</v>
      </c>
      <c r="S215" s="2">
        <v>5200</v>
      </c>
      <c r="T215" s="2">
        <v>5200</v>
      </c>
      <c r="U215" s="2">
        <v>5200</v>
      </c>
      <c r="V215" s="2">
        <v>5200</v>
      </c>
      <c r="W215" s="2">
        <v>5200</v>
      </c>
      <c r="X215" s="2">
        <v>5200</v>
      </c>
      <c r="Y215" s="2">
        <v>5200</v>
      </c>
      <c r="Z215" s="2">
        <v>5200</v>
      </c>
      <c r="AA215" s="12">
        <v>5200</v>
      </c>
      <c r="AB215" s="3">
        <f t="shared" si="4"/>
        <v>124800</v>
      </c>
      <c r="AC215" s="3">
        <v>4</v>
      </c>
      <c r="AD215" s="52"/>
    </row>
    <row r="216" spans="2:30">
      <c r="B216" s="49"/>
      <c r="C216" s="1" t="s">
        <v>7</v>
      </c>
      <c r="D216" s="2">
        <v>5200</v>
      </c>
      <c r="E216" s="2">
        <v>5200</v>
      </c>
      <c r="F216" s="2">
        <v>5200</v>
      </c>
      <c r="G216" s="2">
        <v>5200</v>
      </c>
      <c r="H216" s="2">
        <v>5200</v>
      </c>
      <c r="I216" s="2">
        <v>5200</v>
      </c>
      <c r="J216" s="2">
        <v>5200</v>
      </c>
      <c r="K216" s="2">
        <v>5200</v>
      </c>
      <c r="L216" s="2">
        <v>5200</v>
      </c>
      <c r="M216" s="2">
        <v>5200</v>
      </c>
      <c r="N216" s="2">
        <v>5200</v>
      </c>
      <c r="O216" s="2">
        <v>5200</v>
      </c>
      <c r="P216" s="2">
        <v>5200</v>
      </c>
      <c r="Q216" s="2">
        <v>5200</v>
      </c>
      <c r="R216" s="2">
        <v>5200</v>
      </c>
      <c r="S216" s="2">
        <v>5200</v>
      </c>
      <c r="T216" s="2">
        <v>5200</v>
      </c>
      <c r="U216" s="2">
        <v>5200</v>
      </c>
      <c r="V216" s="2">
        <v>5200</v>
      </c>
      <c r="W216" s="2">
        <v>5200</v>
      </c>
      <c r="X216" s="2">
        <v>5200</v>
      </c>
      <c r="Y216" s="2">
        <v>5200</v>
      </c>
      <c r="Z216" s="2">
        <v>5200</v>
      </c>
      <c r="AA216" s="12">
        <v>5200</v>
      </c>
      <c r="AB216" s="3">
        <f t="shared" si="4"/>
        <v>124800</v>
      </c>
      <c r="AC216" s="3">
        <v>4</v>
      </c>
      <c r="AD216" s="52"/>
    </row>
    <row r="217" spans="2:30" ht="15" thickBot="1">
      <c r="B217" s="50"/>
      <c r="C217" s="9" t="s">
        <v>8</v>
      </c>
      <c r="D217" s="10">
        <v>5200</v>
      </c>
      <c r="E217" s="10">
        <v>5200</v>
      </c>
      <c r="F217" s="10">
        <v>5200</v>
      </c>
      <c r="G217" s="10">
        <v>5200</v>
      </c>
      <c r="H217" s="10">
        <v>5200</v>
      </c>
      <c r="I217" s="10">
        <v>5200</v>
      </c>
      <c r="J217" s="10">
        <v>5200</v>
      </c>
      <c r="K217" s="10">
        <v>5200</v>
      </c>
      <c r="L217" s="10">
        <v>5200</v>
      </c>
      <c r="M217" s="10">
        <v>5200</v>
      </c>
      <c r="N217" s="10">
        <v>5200</v>
      </c>
      <c r="O217" s="10">
        <v>5200</v>
      </c>
      <c r="P217" s="10">
        <v>5200</v>
      </c>
      <c r="Q217" s="10">
        <v>5200</v>
      </c>
      <c r="R217" s="10">
        <v>5200</v>
      </c>
      <c r="S217" s="10">
        <v>5200</v>
      </c>
      <c r="T217" s="10">
        <v>5200</v>
      </c>
      <c r="U217" s="10">
        <v>5200</v>
      </c>
      <c r="V217" s="10">
        <v>5200</v>
      </c>
      <c r="W217" s="10">
        <v>5200</v>
      </c>
      <c r="X217" s="10">
        <v>5200</v>
      </c>
      <c r="Y217" s="10">
        <v>5200</v>
      </c>
      <c r="Z217" s="10">
        <v>5200</v>
      </c>
      <c r="AA217" s="13">
        <v>5200</v>
      </c>
      <c r="AB217" s="6">
        <f t="shared" si="4"/>
        <v>124800</v>
      </c>
      <c r="AC217" s="6">
        <v>1</v>
      </c>
      <c r="AD217" s="53"/>
    </row>
    <row r="218" spans="2:30">
      <c r="B218" s="48">
        <v>47635</v>
      </c>
      <c r="C218" s="8" t="s">
        <v>5</v>
      </c>
      <c r="D218" s="7">
        <v>5200</v>
      </c>
      <c r="E218" s="7">
        <v>5200</v>
      </c>
      <c r="F218" s="7">
        <v>5200</v>
      </c>
      <c r="G218" s="7">
        <v>5200</v>
      </c>
      <c r="H218" s="7">
        <v>5200</v>
      </c>
      <c r="I218" s="7">
        <v>5200</v>
      </c>
      <c r="J218" s="7">
        <v>5200</v>
      </c>
      <c r="K218" s="7">
        <v>5200</v>
      </c>
      <c r="L218" s="7">
        <v>5200</v>
      </c>
      <c r="M218" s="7">
        <v>5200</v>
      </c>
      <c r="N218" s="7">
        <v>5200</v>
      </c>
      <c r="O218" s="7">
        <v>5200</v>
      </c>
      <c r="P218" s="7">
        <v>5200</v>
      </c>
      <c r="Q218" s="7">
        <v>5200</v>
      </c>
      <c r="R218" s="7">
        <v>5200</v>
      </c>
      <c r="S218" s="7">
        <v>5200</v>
      </c>
      <c r="T218" s="7">
        <v>5200</v>
      </c>
      <c r="U218" s="7">
        <v>5200</v>
      </c>
      <c r="V218" s="7">
        <v>5200</v>
      </c>
      <c r="W218" s="7">
        <v>5200</v>
      </c>
      <c r="X218" s="7">
        <v>5200</v>
      </c>
      <c r="Y218" s="7">
        <v>5200</v>
      </c>
      <c r="Z218" s="7">
        <v>5200</v>
      </c>
      <c r="AA218" s="11">
        <v>5200</v>
      </c>
      <c r="AB218" s="5">
        <f t="shared" si="4"/>
        <v>124800</v>
      </c>
      <c r="AC218" s="5">
        <v>18</v>
      </c>
      <c r="AD218" s="51">
        <f>(AB218*AC218)+(AB219*AC219)+(AB220*AC220)+(AB221*AC221)</f>
        <v>3744000</v>
      </c>
    </row>
    <row r="219" spans="2:30">
      <c r="B219" s="49"/>
      <c r="C219" s="1" t="s">
        <v>6</v>
      </c>
      <c r="D219" s="2">
        <v>5200</v>
      </c>
      <c r="E219" s="2">
        <v>5200</v>
      </c>
      <c r="F219" s="2">
        <v>5200</v>
      </c>
      <c r="G219" s="2">
        <v>5200</v>
      </c>
      <c r="H219" s="2">
        <v>5200</v>
      </c>
      <c r="I219" s="2">
        <v>5200</v>
      </c>
      <c r="J219" s="2">
        <v>5200</v>
      </c>
      <c r="K219" s="2">
        <v>5200</v>
      </c>
      <c r="L219" s="2">
        <v>5200</v>
      </c>
      <c r="M219" s="2">
        <v>5200</v>
      </c>
      <c r="N219" s="2">
        <v>5200</v>
      </c>
      <c r="O219" s="2">
        <v>5200</v>
      </c>
      <c r="P219" s="2">
        <v>5200</v>
      </c>
      <c r="Q219" s="2">
        <v>5200</v>
      </c>
      <c r="R219" s="2">
        <v>5200</v>
      </c>
      <c r="S219" s="2">
        <v>5200</v>
      </c>
      <c r="T219" s="2">
        <v>5200</v>
      </c>
      <c r="U219" s="2">
        <v>5200</v>
      </c>
      <c r="V219" s="2">
        <v>5200</v>
      </c>
      <c r="W219" s="2">
        <v>5200</v>
      </c>
      <c r="X219" s="2">
        <v>5200</v>
      </c>
      <c r="Y219" s="2">
        <v>5200</v>
      </c>
      <c r="Z219" s="2">
        <v>5200</v>
      </c>
      <c r="AA219" s="12">
        <v>5200</v>
      </c>
      <c r="AB219" s="3">
        <f t="shared" si="4"/>
        <v>124800</v>
      </c>
      <c r="AC219" s="3">
        <v>5</v>
      </c>
      <c r="AD219" s="52"/>
    </row>
    <row r="220" spans="2:30">
      <c r="B220" s="49"/>
      <c r="C220" s="1" t="s">
        <v>7</v>
      </c>
      <c r="D220" s="2">
        <v>5200</v>
      </c>
      <c r="E220" s="2">
        <v>5200</v>
      </c>
      <c r="F220" s="2">
        <v>5200</v>
      </c>
      <c r="G220" s="2">
        <v>5200</v>
      </c>
      <c r="H220" s="2">
        <v>5200</v>
      </c>
      <c r="I220" s="2">
        <v>5200</v>
      </c>
      <c r="J220" s="2">
        <v>5200</v>
      </c>
      <c r="K220" s="2">
        <v>5200</v>
      </c>
      <c r="L220" s="2">
        <v>5200</v>
      </c>
      <c r="M220" s="2">
        <v>5200</v>
      </c>
      <c r="N220" s="2">
        <v>5200</v>
      </c>
      <c r="O220" s="2">
        <v>5200</v>
      </c>
      <c r="P220" s="2">
        <v>5200</v>
      </c>
      <c r="Q220" s="2">
        <v>5200</v>
      </c>
      <c r="R220" s="2">
        <v>5200</v>
      </c>
      <c r="S220" s="2">
        <v>5200</v>
      </c>
      <c r="T220" s="2">
        <v>5200</v>
      </c>
      <c r="U220" s="2">
        <v>5200</v>
      </c>
      <c r="V220" s="2">
        <v>5200</v>
      </c>
      <c r="W220" s="2">
        <v>5200</v>
      </c>
      <c r="X220" s="2">
        <v>5200</v>
      </c>
      <c r="Y220" s="2">
        <v>5200</v>
      </c>
      <c r="Z220" s="2">
        <v>5200</v>
      </c>
      <c r="AA220" s="12">
        <v>5200</v>
      </c>
      <c r="AB220" s="3">
        <f t="shared" si="4"/>
        <v>124800</v>
      </c>
      <c r="AC220" s="3">
        <v>5</v>
      </c>
      <c r="AD220" s="52"/>
    </row>
    <row r="221" spans="2:30" ht="15" thickBot="1">
      <c r="B221" s="50"/>
      <c r="C221" s="9" t="s">
        <v>8</v>
      </c>
      <c r="D221" s="10">
        <v>5200</v>
      </c>
      <c r="E221" s="10">
        <v>5200</v>
      </c>
      <c r="F221" s="10">
        <v>5200</v>
      </c>
      <c r="G221" s="10">
        <v>5200</v>
      </c>
      <c r="H221" s="10">
        <v>5200</v>
      </c>
      <c r="I221" s="10">
        <v>5200</v>
      </c>
      <c r="J221" s="10">
        <v>5200</v>
      </c>
      <c r="K221" s="10">
        <v>5200</v>
      </c>
      <c r="L221" s="10">
        <v>5200</v>
      </c>
      <c r="M221" s="10">
        <v>5200</v>
      </c>
      <c r="N221" s="10">
        <v>5200</v>
      </c>
      <c r="O221" s="10">
        <v>5200</v>
      </c>
      <c r="P221" s="10">
        <v>5200</v>
      </c>
      <c r="Q221" s="10">
        <v>5200</v>
      </c>
      <c r="R221" s="10">
        <v>5200</v>
      </c>
      <c r="S221" s="10">
        <v>5200</v>
      </c>
      <c r="T221" s="10">
        <v>5200</v>
      </c>
      <c r="U221" s="10">
        <v>5200</v>
      </c>
      <c r="V221" s="10">
        <v>5200</v>
      </c>
      <c r="W221" s="10">
        <v>5200</v>
      </c>
      <c r="X221" s="10">
        <v>5200</v>
      </c>
      <c r="Y221" s="10">
        <v>5200</v>
      </c>
      <c r="Z221" s="10">
        <v>5200</v>
      </c>
      <c r="AA221" s="13">
        <v>5200</v>
      </c>
      <c r="AB221" s="6">
        <f t="shared" si="4"/>
        <v>124800</v>
      </c>
      <c r="AC221" s="6">
        <v>2</v>
      </c>
      <c r="AD221" s="53"/>
    </row>
    <row r="222" spans="2:30">
      <c r="B222" s="48">
        <v>47665</v>
      </c>
      <c r="C222" s="8" t="s">
        <v>5</v>
      </c>
      <c r="D222" s="7">
        <v>5200</v>
      </c>
      <c r="E222" s="7">
        <v>5200</v>
      </c>
      <c r="F222" s="7">
        <v>5200</v>
      </c>
      <c r="G222" s="7">
        <v>5200</v>
      </c>
      <c r="H222" s="7">
        <v>5200</v>
      </c>
      <c r="I222" s="7">
        <v>5200</v>
      </c>
      <c r="J222" s="7">
        <v>5200</v>
      </c>
      <c r="K222" s="7">
        <v>5200</v>
      </c>
      <c r="L222" s="7">
        <v>5200</v>
      </c>
      <c r="M222" s="7">
        <v>5200</v>
      </c>
      <c r="N222" s="7">
        <v>5200</v>
      </c>
      <c r="O222" s="7">
        <v>5200</v>
      </c>
      <c r="P222" s="7">
        <v>5200</v>
      </c>
      <c r="Q222" s="7">
        <v>5200</v>
      </c>
      <c r="R222" s="7">
        <v>5200</v>
      </c>
      <c r="S222" s="7">
        <v>5200</v>
      </c>
      <c r="T222" s="7">
        <v>5200</v>
      </c>
      <c r="U222" s="7">
        <v>5200</v>
      </c>
      <c r="V222" s="7">
        <v>5200</v>
      </c>
      <c r="W222" s="7">
        <v>5200</v>
      </c>
      <c r="X222" s="7">
        <v>5200</v>
      </c>
      <c r="Y222" s="7">
        <v>5200</v>
      </c>
      <c r="Z222" s="7">
        <v>5200</v>
      </c>
      <c r="AA222" s="11">
        <v>5200</v>
      </c>
      <c r="AB222" s="5">
        <f t="shared" si="4"/>
        <v>124800</v>
      </c>
      <c r="AC222" s="5">
        <v>22</v>
      </c>
      <c r="AD222" s="51">
        <f>(AB222*AC222)+(AB223*AC223)+(AB224*AC224)+(AB225*AC225)</f>
        <v>3868800</v>
      </c>
    </row>
    <row r="223" spans="2:30">
      <c r="B223" s="49"/>
      <c r="C223" s="1" t="s">
        <v>6</v>
      </c>
      <c r="D223" s="2">
        <v>5200</v>
      </c>
      <c r="E223" s="2">
        <v>5200</v>
      </c>
      <c r="F223" s="2">
        <v>5200</v>
      </c>
      <c r="G223" s="2">
        <v>5200</v>
      </c>
      <c r="H223" s="2">
        <v>5200</v>
      </c>
      <c r="I223" s="2">
        <v>5200</v>
      </c>
      <c r="J223" s="2">
        <v>5200</v>
      </c>
      <c r="K223" s="2">
        <v>5200</v>
      </c>
      <c r="L223" s="2">
        <v>5200</v>
      </c>
      <c r="M223" s="2">
        <v>5200</v>
      </c>
      <c r="N223" s="2">
        <v>5200</v>
      </c>
      <c r="O223" s="2">
        <v>5200</v>
      </c>
      <c r="P223" s="2">
        <v>5200</v>
      </c>
      <c r="Q223" s="2">
        <v>5200</v>
      </c>
      <c r="R223" s="2">
        <v>5200</v>
      </c>
      <c r="S223" s="2">
        <v>5200</v>
      </c>
      <c r="T223" s="2">
        <v>5200</v>
      </c>
      <c r="U223" s="2">
        <v>5200</v>
      </c>
      <c r="V223" s="2">
        <v>5200</v>
      </c>
      <c r="W223" s="2">
        <v>5200</v>
      </c>
      <c r="X223" s="2">
        <v>5200</v>
      </c>
      <c r="Y223" s="2">
        <v>5200</v>
      </c>
      <c r="Z223" s="2">
        <v>5200</v>
      </c>
      <c r="AA223" s="12">
        <v>5200</v>
      </c>
      <c r="AB223" s="3">
        <f t="shared" si="4"/>
        <v>124800</v>
      </c>
      <c r="AC223" s="3">
        <v>3</v>
      </c>
      <c r="AD223" s="52"/>
    </row>
    <row r="224" spans="2:30">
      <c r="B224" s="49"/>
      <c r="C224" s="1" t="s">
        <v>4</v>
      </c>
      <c r="D224" s="2">
        <v>5200</v>
      </c>
      <c r="E224" s="2">
        <v>5200</v>
      </c>
      <c r="F224" s="2">
        <v>5200</v>
      </c>
      <c r="G224" s="2">
        <v>5200</v>
      </c>
      <c r="H224" s="2">
        <v>5200</v>
      </c>
      <c r="I224" s="2">
        <v>5200</v>
      </c>
      <c r="J224" s="2">
        <v>5200</v>
      </c>
      <c r="K224" s="2">
        <v>5200</v>
      </c>
      <c r="L224" s="2">
        <v>5200</v>
      </c>
      <c r="M224" s="2">
        <v>5200</v>
      </c>
      <c r="N224" s="2">
        <v>5200</v>
      </c>
      <c r="O224" s="2">
        <v>5200</v>
      </c>
      <c r="P224" s="2">
        <v>5200</v>
      </c>
      <c r="Q224" s="2">
        <v>5200</v>
      </c>
      <c r="R224" s="2">
        <v>5200</v>
      </c>
      <c r="S224" s="2">
        <v>5200</v>
      </c>
      <c r="T224" s="2">
        <v>5200</v>
      </c>
      <c r="U224" s="2">
        <v>5200</v>
      </c>
      <c r="V224" s="2">
        <v>5200</v>
      </c>
      <c r="W224" s="2">
        <v>5200</v>
      </c>
      <c r="X224" s="2">
        <v>5200</v>
      </c>
      <c r="Y224" s="2">
        <v>5200</v>
      </c>
      <c r="Z224" s="2">
        <v>5200</v>
      </c>
      <c r="AA224" s="12">
        <v>5200</v>
      </c>
      <c r="AB224" s="3">
        <f t="shared" si="4"/>
        <v>124800</v>
      </c>
      <c r="AC224" s="3">
        <v>4</v>
      </c>
      <c r="AD224" s="52"/>
    </row>
    <row r="225" spans="2:30" ht="15" thickBot="1">
      <c r="B225" s="50"/>
      <c r="C225" s="9" t="s">
        <v>8</v>
      </c>
      <c r="D225" s="10">
        <v>5200</v>
      </c>
      <c r="E225" s="10">
        <v>5200</v>
      </c>
      <c r="F225" s="10">
        <v>5200</v>
      </c>
      <c r="G225" s="10">
        <v>5200</v>
      </c>
      <c r="H225" s="10">
        <v>5200</v>
      </c>
      <c r="I225" s="10">
        <v>5200</v>
      </c>
      <c r="J225" s="10">
        <v>5200</v>
      </c>
      <c r="K225" s="10">
        <v>5200</v>
      </c>
      <c r="L225" s="10">
        <v>5200</v>
      </c>
      <c r="M225" s="10">
        <v>5200</v>
      </c>
      <c r="N225" s="10">
        <v>5200</v>
      </c>
      <c r="O225" s="10">
        <v>5200</v>
      </c>
      <c r="P225" s="10">
        <v>5200</v>
      </c>
      <c r="Q225" s="10">
        <v>5200</v>
      </c>
      <c r="R225" s="10">
        <v>5200</v>
      </c>
      <c r="S225" s="10">
        <v>5200</v>
      </c>
      <c r="T225" s="10">
        <v>5200</v>
      </c>
      <c r="U225" s="10">
        <v>5200</v>
      </c>
      <c r="V225" s="10">
        <v>5200</v>
      </c>
      <c r="W225" s="10">
        <v>5200</v>
      </c>
      <c r="X225" s="10">
        <v>5200</v>
      </c>
      <c r="Y225" s="10">
        <v>5200</v>
      </c>
      <c r="Z225" s="10">
        <v>5200</v>
      </c>
      <c r="AA225" s="13">
        <v>5200</v>
      </c>
      <c r="AB225" s="6">
        <f t="shared" si="4"/>
        <v>124800</v>
      </c>
      <c r="AC225" s="6">
        <v>2</v>
      </c>
      <c r="AD225" s="53"/>
    </row>
    <row r="226" spans="2:30">
      <c r="B226" s="48">
        <v>47696</v>
      </c>
      <c r="C226" s="8" t="s">
        <v>5</v>
      </c>
      <c r="D226" s="7">
        <v>5200</v>
      </c>
      <c r="E226" s="7">
        <v>5200</v>
      </c>
      <c r="F226" s="7">
        <v>5200</v>
      </c>
      <c r="G226" s="7">
        <v>5200</v>
      </c>
      <c r="H226" s="7">
        <v>5200</v>
      </c>
      <c r="I226" s="7">
        <v>5200</v>
      </c>
      <c r="J226" s="7">
        <v>5200</v>
      </c>
      <c r="K226" s="7">
        <v>5200</v>
      </c>
      <c r="L226" s="7">
        <v>5200</v>
      </c>
      <c r="M226" s="7">
        <v>5200</v>
      </c>
      <c r="N226" s="7">
        <v>5200</v>
      </c>
      <c r="O226" s="7">
        <v>5200</v>
      </c>
      <c r="P226" s="7">
        <v>5200</v>
      </c>
      <c r="Q226" s="7">
        <v>5200</v>
      </c>
      <c r="R226" s="7">
        <v>5200</v>
      </c>
      <c r="S226" s="7">
        <v>5200</v>
      </c>
      <c r="T226" s="7">
        <v>5200</v>
      </c>
      <c r="U226" s="7">
        <v>5200</v>
      </c>
      <c r="V226" s="7">
        <v>5200</v>
      </c>
      <c r="W226" s="7">
        <v>5200</v>
      </c>
      <c r="X226" s="7">
        <v>5200</v>
      </c>
      <c r="Y226" s="7">
        <v>5200</v>
      </c>
      <c r="Z226" s="7">
        <v>5200</v>
      </c>
      <c r="AA226" s="11">
        <v>5200</v>
      </c>
      <c r="AB226" s="5">
        <f t="shared" si="4"/>
        <v>124800</v>
      </c>
      <c r="AC226" s="5">
        <v>20</v>
      </c>
      <c r="AD226" s="51">
        <f>(AB226*AC226)+(AB227*AC227)+(AB228*AC228)+(AB229*AC229)</f>
        <v>3868800</v>
      </c>
    </row>
    <row r="227" spans="2:30">
      <c r="B227" s="49"/>
      <c r="C227" s="1" t="s">
        <v>6</v>
      </c>
      <c r="D227" s="2">
        <v>5200</v>
      </c>
      <c r="E227" s="2">
        <v>5200</v>
      </c>
      <c r="F227" s="2">
        <v>5200</v>
      </c>
      <c r="G227" s="2">
        <v>5200</v>
      </c>
      <c r="H227" s="2">
        <v>5200</v>
      </c>
      <c r="I227" s="2">
        <v>5200</v>
      </c>
      <c r="J227" s="2">
        <v>5200</v>
      </c>
      <c r="K227" s="2">
        <v>5200</v>
      </c>
      <c r="L227" s="2">
        <v>5200</v>
      </c>
      <c r="M227" s="2">
        <v>5200</v>
      </c>
      <c r="N227" s="2">
        <v>5200</v>
      </c>
      <c r="O227" s="2">
        <v>5200</v>
      </c>
      <c r="P227" s="2">
        <v>5200</v>
      </c>
      <c r="Q227" s="2">
        <v>5200</v>
      </c>
      <c r="R227" s="2">
        <v>5200</v>
      </c>
      <c r="S227" s="2">
        <v>5200</v>
      </c>
      <c r="T227" s="2">
        <v>5200</v>
      </c>
      <c r="U227" s="2">
        <v>5200</v>
      </c>
      <c r="V227" s="2">
        <v>5200</v>
      </c>
      <c r="W227" s="2">
        <v>5200</v>
      </c>
      <c r="X227" s="2">
        <v>5200</v>
      </c>
      <c r="Y227" s="2">
        <v>5200</v>
      </c>
      <c r="Z227" s="2">
        <v>5200</v>
      </c>
      <c r="AA227" s="12">
        <v>5200</v>
      </c>
      <c r="AB227" s="3">
        <f t="shared" si="4"/>
        <v>124800</v>
      </c>
      <c r="AC227" s="3">
        <v>5</v>
      </c>
      <c r="AD227" s="52"/>
    </row>
    <row r="228" spans="2:30">
      <c r="B228" s="49"/>
      <c r="C228" s="1" t="s">
        <v>7</v>
      </c>
      <c r="D228" s="2">
        <v>5200</v>
      </c>
      <c r="E228" s="2">
        <v>5200</v>
      </c>
      <c r="F228" s="2">
        <v>5200</v>
      </c>
      <c r="G228" s="2">
        <v>5200</v>
      </c>
      <c r="H228" s="2">
        <v>5200</v>
      </c>
      <c r="I228" s="2">
        <v>5200</v>
      </c>
      <c r="J228" s="2">
        <v>5200</v>
      </c>
      <c r="K228" s="2">
        <v>5200</v>
      </c>
      <c r="L228" s="2">
        <v>5200</v>
      </c>
      <c r="M228" s="2">
        <v>5200</v>
      </c>
      <c r="N228" s="2">
        <v>5200</v>
      </c>
      <c r="O228" s="2">
        <v>5200</v>
      </c>
      <c r="P228" s="2">
        <v>5200</v>
      </c>
      <c r="Q228" s="2">
        <v>5200</v>
      </c>
      <c r="R228" s="2">
        <v>5200</v>
      </c>
      <c r="S228" s="2">
        <v>5200</v>
      </c>
      <c r="T228" s="2">
        <v>5200</v>
      </c>
      <c r="U228" s="2">
        <v>5200</v>
      </c>
      <c r="V228" s="2">
        <v>5200</v>
      </c>
      <c r="W228" s="2">
        <v>5200</v>
      </c>
      <c r="X228" s="2">
        <v>5200</v>
      </c>
      <c r="Y228" s="2">
        <v>5200</v>
      </c>
      <c r="Z228" s="2">
        <v>5200</v>
      </c>
      <c r="AA228" s="12">
        <v>5200</v>
      </c>
      <c r="AB228" s="3">
        <f t="shared" si="4"/>
        <v>124800</v>
      </c>
      <c r="AC228" s="3">
        <v>4</v>
      </c>
      <c r="AD228" s="52"/>
    </row>
    <row r="229" spans="2:30" ht="15" thickBot="1">
      <c r="B229" s="50"/>
      <c r="C229" s="9" t="s">
        <v>8</v>
      </c>
      <c r="D229" s="10">
        <v>5200</v>
      </c>
      <c r="E229" s="10">
        <v>5200</v>
      </c>
      <c r="F229" s="10">
        <v>5200</v>
      </c>
      <c r="G229" s="10">
        <v>5200</v>
      </c>
      <c r="H229" s="10">
        <v>5200</v>
      </c>
      <c r="I229" s="10">
        <v>5200</v>
      </c>
      <c r="J229" s="10">
        <v>5200</v>
      </c>
      <c r="K229" s="10">
        <v>5200</v>
      </c>
      <c r="L229" s="10">
        <v>5200</v>
      </c>
      <c r="M229" s="10">
        <v>5200</v>
      </c>
      <c r="N229" s="10">
        <v>5200</v>
      </c>
      <c r="O229" s="10">
        <v>5200</v>
      </c>
      <c r="P229" s="10">
        <v>5200</v>
      </c>
      <c r="Q229" s="10">
        <v>5200</v>
      </c>
      <c r="R229" s="10">
        <v>5200</v>
      </c>
      <c r="S229" s="10">
        <v>5200</v>
      </c>
      <c r="T229" s="10">
        <v>5200</v>
      </c>
      <c r="U229" s="10">
        <v>5200</v>
      </c>
      <c r="V229" s="10">
        <v>5200</v>
      </c>
      <c r="W229" s="10">
        <v>5200</v>
      </c>
      <c r="X229" s="10">
        <v>5200</v>
      </c>
      <c r="Y229" s="10">
        <v>5200</v>
      </c>
      <c r="Z229" s="10">
        <v>5200</v>
      </c>
      <c r="AA229" s="13">
        <v>5200</v>
      </c>
      <c r="AB229" s="6">
        <f t="shared" si="4"/>
        <v>124800</v>
      </c>
      <c r="AC229" s="6">
        <v>2</v>
      </c>
      <c r="AD229" s="53"/>
    </row>
    <row r="230" spans="2:30">
      <c r="B230" s="48">
        <v>47727</v>
      </c>
      <c r="C230" s="8" t="s">
        <v>5</v>
      </c>
      <c r="D230" s="7">
        <v>5200</v>
      </c>
      <c r="E230" s="7">
        <v>5200</v>
      </c>
      <c r="F230" s="7">
        <v>5200</v>
      </c>
      <c r="G230" s="7">
        <v>5200</v>
      </c>
      <c r="H230" s="7">
        <v>5200</v>
      </c>
      <c r="I230" s="7">
        <v>5200</v>
      </c>
      <c r="J230" s="7">
        <v>5200</v>
      </c>
      <c r="K230" s="7">
        <v>5200</v>
      </c>
      <c r="L230" s="7">
        <v>5200</v>
      </c>
      <c r="M230" s="7">
        <v>5200</v>
      </c>
      <c r="N230" s="7">
        <v>5200</v>
      </c>
      <c r="O230" s="7">
        <v>5200</v>
      </c>
      <c r="P230" s="7">
        <v>5200</v>
      </c>
      <c r="Q230" s="7">
        <v>5200</v>
      </c>
      <c r="R230" s="7">
        <v>5200</v>
      </c>
      <c r="S230" s="7">
        <v>5200</v>
      </c>
      <c r="T230" s="7">
        <v>5200</v>
      </c>
      <c r="U230" s="7">
        <v>5200</v>
      </c>
      <c r="V230" s="7">
        <v>5200</v>
      </c>
      <c r="W230" s="7">
        <v>5200</v>
      </c>
      <c r="X230" s="7">
        <v>5200</v>
      </c>
      <c r="Y230" s="7">
        <v>5200</v>
      </c>
      <c r="Z230" s="7">
        <v>5200</v>
      </c>
      <c r="AA230" s="11">
        <v>5200</v>
      </c>
      <c r="AB230" s="5">
        <f t="shared" si="4"/>
        <v>124800</v>
      </c>
      <c r="AC230" s="5">
        <v>21</v>
      </c>
      <c r="AD230" s="51">
        <f>(AB230*AC230)+(AB231*AC231)+(AB232*AC232)+(AB233*AC233)</f>
        <v>3744000</v>
      </c>
    </row>
    <row r="231" spans="2:30">
      <c r="B231" s="49"/>
      <c r="C231" s="1" t="s">
        <v>6</v>
      </c>
      <c r="D231" s="2">
        <v>5200</v>
      </c>
      <c r="E231" s="2">
        <v>5200</v>
      </c>
      <c r="F231" s="2">
        <v>5200</v>
      </c>
      <c r="G231" s="2">
        <v>5200</v>
      </c>
      <c r="H231" s="2">
        <v>5200</v>
      </c>
      <c r="I231" s="2">
        <v>5200</v>
      </c>
      <c r="J231" s="2">
        <v>5200</v>
      </c>
      <c r="K231" s="2">
        <v>5200</v>
      </c>
      <c r="L231" s="2">
        <v>5200</v>
      </c>
      <c r="M231" s="2">
        <v>5200</v>
      </c>
      <c r="N231" s="2">
        <v>5200</v>
      </c>
      <c r="O231" s="2">
        <v>5200</v>
      </c>
      <c r="P231" s="2">
        <v>5200</v>
      </c>
      <c r="Q231" s="2">
        <v>5200</v>
      </c>
      <c r="R231" s="2">
        <v>5200</v>
      </c>
      <c r="S231" s="2">
        <v>5200</v>
      </c>
      <c r="T231" s="2">
        <v>5200</v>
      </c>
      <c r="U231" s="2">
        <v>5200</v>
      </c>
      <c r="V231" s="2">
        <v>5200</v>
      </c>
      <c r="W231" s="2">
        <v>5200</v>
      </c>
      <c r="X231" s="2">
        <v>5200</v>
      </c>
      <c r="Y231" s="2">
        <v>5200</v>
      </c>
      <c r="Z231" s="2">
        <v>5200</v>
      </c>
      <c r="AA231" s="12">
        <v>5200</v>
      </c>
      <c r="AB231" s="3">
        <f t="shared" si="4"/>
        <v>124800</v>
      </c>
      <c r="AC231" s="3">
        <v>4</v>
      </c>
      <c r="AD231" s="52"/>
    </row>
    <row r="232" spans="2:30">
      <c r="B232" s="49"/>
      <c r="C232" s="1" t="s">
        <v>7</v>
      </c>
      <c r="D232" s="2">
        <v>5200</v>
      </c>
      <c r="E232" s="2">
        <v>5200</v>
      </c>
      <c r="F232" s="2">
        <v>5200</v>
      </c>
      <c r="G232" s="2">
        <v>5200</v>
      </c>
      <c r="H232" s="2">
        <v>5200</v>
      </c>
      <c r="I232" s="2">
        <v>5200</v>
      </c>
      <c r="J232" s="2">
        <v>5200</v>
      </c>
      <c r="K232" s="2">
        <v>5200</v>
      </c>
      <c r="L232" s="2">
        <v>5200</v>
      </c>
      <c r="M232" s="2">
        <v>5200</v>
      </c>
      <c r="N232" s="2">
        <v>5200</v>
      </c>
      <c r="O232" s="2">
        <v>5200</v>
      </c>
      <c r="P232" s="2">
        <v>5200</v>
      </c>
      <c r="Q232" s="2">
        <v>5200</v>
      </c>
      <c r="R232" s="2">
        <v>5200</v>
      </c>
      <c r="S232" s="2">
        <v>5200</v>
      </c>
      <c r="T232" s="2">
        <v>5200</v>
      </c>
      <c r="U232" s="2">
        <v>5200</v>
      </c>
      <c r="V232" s="2">
        <v>5200</v>
      </c>
      <c r="W232" s="2">
        <v>5200</v>
      </c>
      <c r="X232" s="2">
        <v>5200</v>
      </c>
      <c r="Y232" s="2">
        <v>5200</v>
      </c>
      <c r="Z232" s="2">
        <v>5200</v>
      </c>
      <c r="AA232" s="12">
        <v>5200</v>
      </c>
      <c r="AB232" s="3">
        <f t="shared" si="4"/>
        <v>124800</v>
      </c>
      <c r="AC232" s="3">
        <v>5</v>
      </c>
      <c r="AD232" s="52"/>
    </row>
    <row r="233" spans="2:30" ht="15" thickBot="1">
      <c r="B233" s="50"/>
      <c r="C233" s="9" t="s">
        <v>8</v>
      </c>
      <c r="D233" s="10">
        <v>5200</v>
      </c>
      <c r="E233" s="10">
        <v>5200</v>
      </c>
      <c r="F233" s="10">
        <v>5200</v>
      </c>
      <c r="G233" s="10">
        <v>5200</v>
      </c>
      <c r="H233" s="10">
        <v>5200</v>
      </c>
      <c r="I233" s="10">
        <v>5200</v>
      </c>
      <c r="J233" s="10">
        <v>5200</v>
      </c>
      <c r="K233" s="10">
        <v>5200</v>
      </c>
      <c r="L233" s="10">
        <v>5200</v>
      </c>
      <c r="M233" s="10">
        <v>5200</v>
      </c>
      <c r="N233" s="10">
        <v>5200</v>
      </c>
      <c r="O233" s="10">
        <v>5200</v>
      </c>
      <c r="P233" s="10">
        <v>5200</v>
      </c>
      <c r="Q233" s="10">
        <v>5200</v>
      </c>
      <c r="R233" s="10">
        <v>5200</v>
      </c>
      <c r="S233" s="10">
        <v>5200</v>
      </c>
      <c r="T233" s="10">
        <v>5200</v>
      </c>
      <c r="U233" s="10">
        <v>5200</v>
      </c>
      <c r="V233" s="10">
        <v>5200</v>
      </c>
      <c r="W233" s="10">
        <v>5200</v>
      </c>
      <c r="X233" s="10">
        <v>5200</v>
      </c>
      <c r="Y233" s="10">
        <v>5200</v>
      </c>
      <c r="Z233" s="10">
        <v>5200</v>
      </c>
      <c r="AA233" s="13">
        <v>5200</v>
      </c>
      <c r="AB233" s="6">
        <f t="shared" si="4"/>
        <v>124800</v>
      </c>
      <c r="AC233" s="6">
        <v>0</v>
      </c>
      <c r="AD233" s="53"/>
    </row>
    <row r="234" spans="2:30">
      <c r="B234" s="48">
        <v>47757</v>
      </c>
      <c r="C234" s="8" t="s">
        <v>5</v>
      </c>
      <c r="D234" s="7">
        <v>5200</v>
      </c>
      <c r="E234" s="7">
        <v>5200</v>
      </c>
      <c r="F234" s="7">
        <v>5200</v>
      </c>
      <c r="G234" s="7">
        <v>5200</v>
      </c>
      <c r="H234" s="7">
        <v>5200</v>
      </c>
      <c r="I234" s="7">
        <v>5200</v>
      </c>
      <c r="J234" s="7">
        <v>5200</v>
      </c>
      <c r="K234" s="7">
        <v>5200</v>
      </c>
      <c r="L234" s="7">
        <v>5200</v>
      </c>
      <c r="M234" s="7">
        <v>5200</v>
      </c>
      <c r="N234" s="7">
        <v>5200</v>
      </c>
      <c r="O234" s="7">
        <v>5200</v>
      </c>
      <c r="P234" s="7">
        <v>5200</v>
      </c>
      <c r="Q234" s="7">
        <v>5200</v>
      </c>
      <c r="R234" s="7">
        <v>5200</v>
      </c>
      <c r="S234" s="7">
        <v>5200</v>
      </c>
      <c r="T234" s="7">
        <v>5200</v>
      </c>
      <c r="U234" s="7">
        <v>5200</v>
      </c>
      <c r="V234" s="7">
        <v>5200</v>
      </c>
      <c r="W234" s="7">
        <v>5200</v>
      </c>
      <c r="X234" s="7">
        <v>5200</v>
      </c>
      <c r="Y234" s="7">
        <v>5200</v>
      </c>
      <c r="Z234" s="7">
        <v>5200</v>
      </c>
      <c r="AA234" s="11">
        <v>5200</v>
      </c>
      <c r="AB234" s="5">
        <f t="shared" si="4"/>
        <v>124800</v>
      </c>
      <c r="AC234" s="5">
        <v>22</v>
      </c>
      <c r="AD234" s="51">
        <f>(AB234*AC234)+(AB235*AC235)+(AB236*AC236)+(AB237*AC237)</f>
        <v>3868800</v>
      </c>
    </row>
    <row r="235" spans="2:30">
      <c r="B235" s="49"/>
      <c r="C235" s="1" t="s">
        <v>6</v>
      </c>
      <c r="D235" s="2">
        <v>5200</v>
      </c>
      <c r="E235" s="2">
        <v>5200</v>
      </c>
      <c r="F235" s="2">
        <v>5200</v>
      </c>
      <c r="G235" s="2">
        <v>5200</v>
      </c>
      <c r="H235" s="2">
        <v>5200</v>
      </c>
      <c r="I235" s="2">
        <v>5200</v>
      </c>
      <c r="J235" s="2">
        <v>5200</v>
      </c>
      <c r="K235" s="2">
        <v>5200</v>
      </c>
      <c r="L235" s="2">
        <v>5200</v>
      </c>
      <c r="M235" s="2">
        <v>5200</v>
      </c>
      <c r="N235" s="2">
        <v>5200</v>
      </c>
      <c r="O235" s="2">
        <v>5200</v>
      </c>
      <c r="P235" s="2">
        <v>5200</v>
      </c>
      <c r="Q235" s="2">
        <v>5200</v>
      </c>
      <c r="R235" s="2">
        <v>5200</v>
      </c>
      <c r="S235" s="2">
        <v>5200</v>
      </c>
      <c r="T235" s="2">
        <v>5200</v>
      </c>
      <c r="U235" s="2">
        <v>5200</v>
      </c>
      <c r="V235" s="2">
        <v>5200</v>
      </c>
      <c r="W235" s="2">
        <v>5200</v>
      </c>
      <c r="X235" s="2">
        <v>5200</v>
      </c>
      <c r="Y235" s="2">
        <v>5200</v>
      </c>
      <c r="Z235" s="2">
        <v>5200</v>
      </c>
      <c r="AA235" s="12">
        <v>5200</v>
      </c>
      <c r="AB235" s="3">
        <f t="shared" si="4"/>
        <v>124800</v>
      </c>
      <c r="AC235" s="3">
        <v>4</v>
      </c>
      <c r="AD235" s="52"/>
    </row>
    <row r="236" spans="2:30">
      <c r="B236" s="49"/>
      <c r="C236" s="1" t="s">
        <v>7</v>
      </c>
      <c r="D236" s="2">
        <v>5200</v>
      </c>
      <c r="E236" s="2">
        <v>5200</v>
      </c>
      <c r="F236" s="2">
        <v>5200</v>
      </c>
      <c r="G236" s="2">
        <v>5200</v>
      </c>
      <c r="H236" s="2">
        <v>5200</v>
      </c>
      <c r="I236" s="2">
        <v>5200</v>
      </c>
      <c r="J236" s="2">
        <v>5200</v>
      </c>
      <c r="K236" s="2">
        <v>5200</v>
      </c>
      <c r="L236" s="2">
        <v>5200</v>
      </c>
      <c r="M236" s="2">
        <v>5200</v>
      </c>
      <c r="N236" s="2">
        <v>5200</v>
      </c>
      <c r="O236" s="2">
        <v>5200</v>
      </c>
      <c r="P236" s="2">
        <v>5200</v>
      </c>
      <c r="Q236" s="2">
        <v>5200</v>
      </c>
      <c r="R236" s="2">
        <v>5200</v>
      </c>
      <c r="S236" s="2">
        <v>5200</v>
      </c>
      <c r="T236" s="2">
        <v>5200</v>
      </c>
      <c r="U236" s="2">
        <v>5200</v>
      </c>
      <c r="V236" s="2">
        <v>5200</v>
      </c>
      <c r="W236" s="2">
        <v>5200</v>
      </c>
      <c r="X236" s="2">
        <v>5200</v>
      </c>
      <c r="Y236" s="2">
        <v>5200</v>
      </c>
      <c r="Z236" s="2">
        <v>5200</v>
      </c>
      <c r="AA236" s="12">
        <v>5200</v>
      </c>
      <c r="AB236" s="3">
        <f t="shared" si="4"/>
        <v>124800</v>
      </c>
      <c r="AC236" s="3">
        <v>4</v>
      </c>
      <c r="AD236" s="52"/>
    </row>
    <row r="237" spans="2:30" ht="15" thickBot="1">
      <c r="B237" s="50"/>
      <c r="C237" s="9" t="s">
        <v>8</v>
      </c>
      <c r="D237" s="10">
        <v>5200</v>
      </c>
      <c r="E237" s="10">
        <v>5200</v>
      </c>
      <c r="F237" s="10">
        <v>5200</v>
      </c>
      <c r="G237" s="10">
        <v>5200</v>
      </c>
      <c r="H237" s="10">
        <v>5200</v>
      </c>
      <c r="I237" s="10">
        <v>5200</v>
      </c>
      <c r="J237" s="10">
        <v>5200</v>
      </c>
      <c r="K237" s="10">
        <v>5200</v>
      </c>
      <c r="L237" s="10">
        <v>5200</v>
      </c>
      <c r="M237" s="10">
        <v>5200</v>
      </c>
      <c r="N237" s="10">
        <v>5200</v>
      </c>
      <c r="O237" s="10">
        <v>5200</v>
      </c>
      <c r="P237" s="10">
        <v>5200</v>
      </c>
      <c r="Q237" s="10">
        <v>5200</v>
      </c>
      <c r="R237" s="10">
        <v>5200</v>
      </c>
      <c r="S237" s="10">
        <v>5200</v>
      </c>
      <c r="T237" s="10">
        <v>5200</v>
      </c>
      <c r="U237" s="10">
        <v>5200</v>
      </c>
      <c r="V237" s="10">
        <v>5200</v>
      </c>
      <c r="W237" s="10">
        <v>5200</v>
      </c>
      <c r="X237" s="10">
        <v>5200</v>
      </c>
      <c r="Y237" s="10">
        <v>5200</v>
      </c>
      <c r="Z237" s="10">
        <v>5200</v>
      </c>
      <c r="AA237" s="13">
        <v>5200</v>
      </c>
      <c r="AB237" s="6">
        <f t="shared" si="4"/>
        <v>124800</v>
      </c>
      <c r="AC237" s="6">
        <v>1</v>
      </c>
      <c r="AD237" s="53"/>
    </row>
    <row r="238" spans="2:30">
      <c r="B238" s="48">
        <v>47788</v>
      </c>
      <c r="C238" s="8" t="s">
        <v>5</v>
      </c>
      <c r="D238" s="7">
        <v>5200</v>
      </c>
      <c r="E238" s="7">
        <v>5200</v>
      </c>
      <c r="F238" s="7">
        <v>5200</v>
      </c>
      <c r="G238" s="7">
        <v>5200</v>
      </c>
      <c r="H238" s="7">
        <v>5200</v>
      </c>
      <c r="I238" s="7">
        <v>5200</v>
      </c>
      <c r="J238" s="7">
        <v>5200</v>
      </c>
      <c r="K238" s="7">
        <v>5200</v>
      </c>
      <c r="L238" s="7">
        <v>5200</v>
      </c>
      <c r="M238" s="7">
        <v>5200</v>
      </c>
      <c r="N238" s="7">
        <v>5200</v>
      </c>
      <c r="O238" s="7">
        <v>5200</v>
      </c>
      <c r="P238" s="7">
        <v>5200</v>
      </c>
      <c r="Q238" s="7">
        <v>5200</v>
      </c>
      <c r="R238" s="7">
        <v>5200</v>
      </c>
      <c r="S238" s="7">
        <v>5200</v>
      </c>
      <c r="T238" s="7">
        <v>5200</v>
      </c>
      <c r="U238" s="7">
        <v>5200</v>
      </c>
      <c r="V238" s="7">
        <v>5200</v>
      </c>
      <c r="W238" s="7">
        <v>5200</v>
      </c>
      <c r="X238" s="7">
        <v>5200</v>
      </c>
      <c r="Y238" s="7">
        <v>5200</v>
      </c>
      <c r="Z238" s="7">
        <v>5200</v>
      </c>
      <c r="AA238" s="11">
        <v>5200</v>
      </c>
      <c r="AB238" s="5">
        <f t="shared" si="4"/>
        <v>124800</v>
      </c>
      <c r="AC238" s="5">
        <v>19</v>
      </c>
      <c r="AD238" s="51">
        <f>(AB238*AC238)+(AB239*AC239)+(AB240*AC240)+(AB241*AC241)</f>
        <v>3744000</v>
      </c>
    </row>
    <row r="239" spans="2:30">
      <c r="B239" s="49"/>
      <c r="C239" s="1" t="s">
        <v>6</v>
      </c>
      <c r="D239" s="2">
        <v>5200</v>
      </c>
      <c r="E239" s="2">
        <v>5200</v>
      </c>
      <c r="F239" s="2">
        <v>5200</v>
      </c>
      <c r="G239" s="2">
        <v>5200</v>
      </c>
      <c r="H239" s="2">
        <v>5200</v>
      </c>
      <c r="I239" s="2">
        <v>5200</v>
      </c>
      <c r="J239" s="2">
        <v>5200</v>
      </c>
      <c r="K239" s="2">
        <v>5200</v>
      </c>
      <c r="L239" s="2">
        <v>5200</v>
      </c>
      <c r="M239" s="2">
        <v>5200</v>
      </c>
      <c r="N239" s="2">
        <v>5200</v>
      </c>
      <c r="O239" s="2">
        <v>5200</v>
      </c>
      <c r="P239" s="2">
        <v>5200</v>
      </c>
      <c r="Q239" s="2">
        <v>5200</v>
      </c>
      <c r="R239" s="2">
        <v>5200</v>
      </c>
      <c r="S239" s="2">
        <v>5200</v>
      </c>
      <c r="T239" s="2">
        <v>5200</v>
      </c>
      <c r="U239" s="2">
        <v>5200</v>
      </c>
      <c r="V239" s="2">
        <v>5200</v>
      </c>
      <c r="W239" s="2">
        <v>5200</v>
      </c>
      <c r="X239" s="2">
        <v>5200</v>
      </c>
      <c r="Y239" s="2">
        <v>5200</v>
      </c>
      <c r="Z239" s="2">
        <v>5200</v>
      </c>
      <c r="AA239" s="12">
        <v>5200</v>
      </c>
      <c r="AB239" s="3">
        <f t="shared" si="4"/>
        <v>124800</v>
      </c>
      <c r="AC239" s="3">
        <v>5</v>
      </c>
      <c r="AD239" s="52"/>
    </row>
    <row r="240" spans="2:30">
      <c r="B240" s="49"/>
      <c r="C240" s="1" t="s">
        <v>7</v>
      </c>
      <c r="D240" s="2">
        <v>5200</v>
      </c>
      <c r="E240" s="2">
        <v>5200</v>
      </c>
      <c r="F240" s="2">
        <v>5200</v>
      </c>
      <c r="G240" s="2">
        <v>5200</v>
      </c>
      <c r="H240" s="2">
        <v>5200</v>
      </c>
      <c r="I240" s="2">
        <v>5200</v>
      </c>
      <c r="J240" s="2">
        <v>5200</v>
      </c>
      <c r="K240" s="2">
        <v>5200</v>
      </c>
      <c r="L240" s="2">
        <v>5200</v>
      </c>
      <c r="M240" s="2">
        <v>5200</v>
      </c>
      <c r="N240" s="2">
        <v>5200</v>
      </c>
      <c r="O240" s="2">
        <v>5200</v>
      </c>
      <c r="P240" s="2">
        <v>5200</v>
      </c>
      <c r="Q240" s="2">
        <v>5200</v>
      </c>
      <c r="R240" s="2">
        <v>5200</v>
      </c>
      <c r="S240" s="2">
        <v>5200</v>
      </c>
      <c r="T240" s="2">
        <v>5200</v>
      </c>
      <c r="U240" s="2">
        <v>5200</v>
      </c>
      <c r="V240" s="2">
        <v>5200</v>
      </c>
      <c r="W240" s="2">
        <v>5200</v>
      </c>
      <c r="X240" s="2">
        <v>5200</v>
      </c>
      <c r="Y240" s="2">
        <v>5200</v>
      </c>
      <c r="Z240" s="2">
        <v>5200</v>
      </c>
      <c r="AA240" s="12">
        <v>5200</v>
      </c>
      <c r="AB240" s="3">
        <f t="shared" si="4"/>
        <v>124800</v>
      </c>
      <c r="AC240" s="3">
        <v>4</v>
      </c>
      <c r="AD240" s="52"/>
    </row>
    <row r="241" spans="2:30" ht="15" thickBot="1">
      <c r="B241" s="50"/>
      <c r="C241" s="9" t="s">
        <v>8</v>
      </c>
      <c r="D241" s="10">
        <v>5200</v>
      </c>
      <c r="E241" s="10">
        <v>5200</v>
      </c>
      <c r="F241" s="10">
        <v>5200</v>
      </c>
      <c r="G241" s="10">
        <v>5200</v>
      </c>
      <c r="H241" s="10">
        <v>5200</v>
      </c>
      <c r="I241" s="10">
        <v>5200</v>
      </c>
      <c r="J241" s="10">
        <v>5200</v>
      </c>
      <c r="K241" s="10">
        <v>5200</v>
      </c>
      <c r="L241" s="10">
        <v>5200</v>
      </c>
      <c r="M241" s="10">
        <v>5200</v>
      </c>
      <c r="N241" s="10">
        <v>5200</v>
      </c>
      <c r="O241" s="10">
        <v>5200</v>
      </c>
      <c r="P241" s="10">
        <v>5200</v>
      </c>
      <c r="Q241" s="10">
        <v>5200</v>
      </c>
      <c r="R241" s="10">
        <v>5200</v>
      </c>
      <c r="S241" s="10">
        <v>5200</v>
      </c>
      <c r="T241" s="10">
        <v>5200</v>
      </c>
      <c r="U241" s="10">
        <v>5200</v>
      </c>
      <c r="V241" s="10">
        <v>5200</v>
      </c>
      <c r="W241" s="10">
        <v>5200</v>
      </c>
      <c r="X241" s="10">
        <v>5200</v>
      </c>
      <c r="Y241" s="10">
        <v>5200</v>
      </c>
      <c r="Z241" s="10">
        <v>5200</v>
      </c>
      <c r="AA241" s="13">
        <v>5200</v>
      </c>
      <c r="AB241" s="6">
        <f t="shared" si="4"/>
        <v>124800</v>
      </c>
      <c r="AC241" s="6">
        <v>2</v>
      </c>
      <c r="AD241" s="53"/>
    </row>
    <row r="242" spans="2:30">
      <c r="B242" s="48">
        <v>47818</v>
      </c>
      <c r="C242" s="8" t="s">
        <v>5</v>
      </c>
      <c r="D242" s="7">
        <v>5200</v>
      </c>
      <c r="E242" s="7">
        <v>5200</v>
      </c>
      <c r="F242" s="7">
        <v>5200</v>
      </c>
      <c r="G242" s="7">
        <v>5200</v>
      </c>
      <c r="H242" s="7">
        <v>5200</v>
      </c>
      <c r="I242" s="7">
        <v>5200</v>
      </c>
      <c r="J242" s="7">
        <v>5200</v>
      </c>
      <c r="K242" s="7">
        <v>5200</v>
      </c>
      <c r="L242" s="7">
        <v>5200</v>
      </c>
      <c r="M242" s="7">
        <v>5200</v>
      </c>
      <c r="N242" s="7">
        <v>5200</v>
      </c>
      <c r="O242" s="7">
        <v>5200</v>
      </c>
      <c r="P242" s="7">
        <v>5200</v>
      </c>
      <c r="Q242" s="7">
        <v>5200</v>
      </c>
      <c r="R242" s="7">
        <v>5200</v>
      </c>
      <c r="S242" s="7">
        <v>5200</v>
      </c>
      <c r="T242" s="7">
        <v>5200</v>
      </c>
      <c r="U242" s="7">
        <v>5200</v>
      </c>
      <c r="V242" s="7">
        <v>5200</v>
      </c>
      <c r="W242" s="7">
        <v>5200</v>
      </c>
      <c r="X242" s="7">
        <v>5200</v>
      </c>
      <c r="Y242" s="7">
        <v>5200</v>
      </c>
      <c r="Z242" s="7">
        <v>5200</v>
      </c>
      <c r="AA242" s="11">
        <v>5200</v>
      </c>
      <c r="AB242" s="5">
        <f t="shared" si="4"/>
        <v>124800</v>
      </c>
      <c r="AC242" s="5">
        <v>21</v>
      </c>
      <c r="AD242" s="51">
        <f>(AB242*AC242)+(AB243*AC243)+(AB244*AC244)+(AB245*AC245)</f>
        <v>3868800</v>
      </c>
    </row>
    <row r="243" spans="2:30">
      <c r="B243" s="49"/>
      <c r="C243" s="1" t="s">
        <v>6</v>
      </c>
      <c r="D243" s="2">
        <v>5200</v>
      </c>
      <c r="E243" s="2">
        <v>5200</v>
      </c>
      <c r="F243" s="2">
        <v>5200</v>
      </c>
      <c r="G243" s="2">
        <v>5200</v>
      </c>
      <c r="H243" s="2">
        <v>5200</v>
      </c>
      <c r="I243" s="2">
        <v>5200</v>
      </c>
      <c r="J243" s="2">
        <v>5200</v>
      </c>
      <c r="K243" s="2">
        <v>5200</v>
      </c>
      <c r="L243" s="2">
        <v>5200</v>
      </c>
      <c r="M243" s="2">
        <v>5200</v>
      </c>
      <c r="N243" s="2">
        <v>5200</v>
      </c>
      <c r="O243" s="2">
        <v>5200</v>
      </c>
      <c r="P243" s="2">
        <v>5200</v>
      </c>
      <c r="Q243" s="2">
        <v>5200</v>
      </c>
      <c r="R243" s="2">
        <v>5200</v>
      </c>
      <c r="S243" s="2">
        <v>5200</v>
      </c>
      <c r="T243" s="2">
        <v>5200</v>
      </c>
      <c r="U243" s="2">
        <v>5200</v>
      </c>
      <c r="V243" s="2">
        <v>5200</v>
      </c>
      <c r="W243" s="2">
        <v>5200</v>
      </c>
      <c r="X243" s="2">
        <v>5200</v>
      </c>
      <c r="Y243" s="2">
        <v>5200</v>
      </c>
      <c r="Z243" s="2">
        <v>5200</v>
      </c>
      <c r="AA243" s="12">
        <v>5200</v>
      </c>
      <c r="AB243" s="3">
        <f t="shared" si="4"/>
        <v>124800</v>
      </c>
      <c r="AC243" s="3">
        <v>4</v>
      </c>
      <c r="AD243" s="52"/>
    </row>
    <row r="244" spans="2:30">
      <c r="B244" s="49"/>
      <c r="C244" s="1" t="s">
        <v>7</v>
      </c>
      <c r="D244" s="2">
        <v>5200</v>
      </c>
      <c r="E244" s="2">
        <v>5200</v>
      </c>
      <c r="F244" s="2">
        <v>5200</v>
      </c>
      <c r="G244" s="2">
        <v>5200</v>
      </c>
      <c r="H244" s="2">
        <v>5200</v>
      </c>
      <c r="I244" s="2">
        <v>5200</v>
      </c>
      <c r="J244" s="2">
        <v>5200</v>
      </c>
      <c r="K244" s="2">
        <v>5200</v>
      </c>
      <c r="L244" s="2">
        <v>5200</v>
      </c>
      <c r="M244" s="2">
        <v>5200</v>
      </c>
      <c r="N244" s="2">
        <v>5200</v>
      </c>
      <c r="O244" s="2">
        <v>5200</v>
      </c>
      <c r="P244" s="2">
        <v>5200</v>
      </c>
      <c r="Q244" s="2">
        <v>5200</v>
      </c>
      <c r="R244" s="2">
        <v>5200</v>
      </c>
      <c r="S244" s="2">
        <v>5200</v>
      </c>
      <c r="T244" s="2">
        <v>5200</v>
      </c>
      <c r="U244" s="2">
        <v>5200</v>
      </c>
      <c r="V244" s="2">
        <v>5200</v>
      </c>
      <c r="W244" s="2">
        <v>5200</v>
      </c>
      <c r="X244" s="2">
        <v>5200</v>
      </c>
      <c r="Y244" s="2">
        <v>5200</v>
      </c>
      <c r="Z244" s="2">
        <v>5200</v>
      </c>
      <c r="AA244" s="12">
        <v>5200</v>
      </c>
      <c r="AB244" s="3">
        <f t="shared" si="4"/>
        <v>124800</v>
      </c>
      <c r="AC244" s="3">
        <v>4</v>
      </c>
      <c r="AD244" s="52"/>
    </row>
    <row r="245" spans="2:30" ht="15" thickBot="1">
      <c r="B245" s="50"/>
      <c r="C245" s="9" t="s">
        <v>8</v>
      </c>
      <c r="D245" s="10">
        <v>5200</v>
      </c>
      <c r="E245" s="10">
        <v>5200</v>
      </c>
      <c r="F245" s="10">
        <v>5200</v>
      </c>
      <c r="G245" s="10">
        <v>5200</v>
      </c>
      <c r="H245" s="10">
        <v>5200</v>
      </c>
      <c r="I245" s="10">
        <v>5200</v>
      </c>
      <c r="J245" s="10">
        <v>5200</v>
      </c>
      <c r="K245" s="10">
        <v>5200</v>
      </c>
      <c r="L245" s="10">
        <v>5200</v>
      </c>
      <c r="M245" s="10">
        <v>5200</v>
      </c>
      <c r="N245" s="10">
        <v>5200</v>
      </c>
      <c r="O245" s="10">
        <v>5200</v>
      </c>
      <c r="P245" s="10">
        <v>5200</v>
      </c>
      <c r="Q245" s="10">
        <v>5200</v>
      </c>
      <c r="R245" s="10">
        <v>5200</v>
      </c>
      <c r="S245" s="10">
        <v>5200</v>
      </c>
      <c r="T245" s="10">
        <v>5200</v>
      </c>
      <c r="U245" s="10">
        <v>5200</v>
      </c>
      <c r="V245" s="10">
        <v>5200</v>
      </c>
      <c r="W245" s="10">
        <v>5200</v>
      </c>
      <c r="X245" s="10">
        <v>5200</v>
      </c>
      <c r="Y245" s="10">
        <v>5200</v>
      </c>
      <c r="Z245" s="10">
        <v>5200</v>
      </c>
      <c r="AA245" s="13">
        <v>5200</v>
      </c>
      <c r="AB245" s="6">
        <f t="shared" si="4"/>
        <v>124800</v>
      </c>
      <c r="AC245" s="6">
        <v>2</v>
      </c>
      <c r="AD245" s="53"/>
    </row>
    <row r="246" spans="2:30" ht="15" thickBot="1">
      <c r="AD246" s="17">
        <f>SUM(AD6:AD245)</f>
        <v>137592000</v>
      </c>
    </row>
  </sheetData>
  <mergeCells count="123">
    <mergeCell ref="B2:AB2"/>
    <mergeCell ref="B3:AB3"/>
    <mergeCell ref="B4:AB4"/>
    <mergeCell ref="B6:B9"/>
    <mergeCell ref="AD6:AD9"/>
    <mergeCell ref="B22:B25"/>
    <mergeCell ref="AD22:AD25"/>
    <mergeCell ref="B26:B29"/>
    <mergeCell ref="AD26:AD29"/>
    <mergeCell ref="B30:B33"/>
    <mergeCell ref="AD30:AD33"/>
    <mergeCell ref="B10:B13"/>
    <mergeCell ref="AD10:AD13"/>
    <mergeCell ref="B14:B17"/>
    <mergeCell ref="AD14:AD17"/>
    <mergeCell ref="B18:B21"/>
    <mergeCell ref="AD18:AD21"/>
    <mergeCell ref="B46:B49"/>
    <mergeCell ref="AD46:AD49"/>
    <mergeCell ref="B50:B53"/>
    <mergeCell ref="AD50:AD53"/>
    <mergeCell ref="B34:B37"/>
    <mergeCell ref="AD34:AD37"/>
    <mergeCell ref="B38:B41"/>
    <mergeCell ref="AD38:AD41"/>
    <mergeCell ref="B42:B45"/>
    <mergeCell ref="AD42:AD45"/>
    <mergeCell ref="B66:B69"/>
    <mergeCell ref="AD66:AD69"/>
    <mergeCell ref="B70:B73"/>
    <mergeCell ref="AD70:AD73"/>
    <mergeCell ref="B74:B77"/>
    <mergeCell ref="AD74:AD77"/>
    <mergeCell ref="B54:B57"/>
    <mergeCell ref="AD54:AD57"/>
    <mergeCell ref="B58:B61"/>
    <mergeCell ref="AD58:AD61"/>
    <mergeCell ref="B62:B65"/>
    <mergeCell ref="AD62:AD65"/>
    <mergeCell ref="B90:B93"/>
    <mergeCell ref="AD90:AD93"/>
    <mergeCell ref="B94:B97"/>
    <mergeCell ref="AD94:AD97"/>
    <mergeCell ref="B98:B101"/>
    <mergeCell ref="AD98:AD101"/>
    <mergeCell ref="B78:B81"/>
    <mergeCell ref="AD78:AD81"/>
    <mergeCell ref="B82:B85"/>
    <mergeCell ref="AD82:AD85"/>
    <mergeCell ref="B86:B89"/>
    <mergeCell ref="AD86:AD89"/>
    <mergeCell ref="B114:B117"/>
    <mergeCell ref="AD114:AD117"/>
    <mergeCell ref="B118:B121"/>
    <mergeCell ref="AD118:AD121"/>
    <mergeCell ref="B122:B125"/>
    <mergeCell ref="AD122:AD125"/>
    <mergeCell ref="B102:B105"/>
    <mergeCell ref="AD102:AD105"/>
    <mergeCell ref="B106:B109"/>
    <mergeCell ref="AD106:AD109"/>
    <mergeCell ref="B110:B113"/>
    <mergeCell ref="AD110:AD113"/>
    <mergeCell ref="B138:B141"/>
    <mergeCell ref="AD138:AD141"/>
    <mergeCell ref="B142:B145"/>
    <mergeCell ref="AD142:AD145"/>
    <mergeCell ref="B146:B149"/>
    <mergeCell ref="AD146:AD149"/>
    <mergeCell ref="B126:B129"/>
    <mergeCell ref="AD126:AD129"/>
    <mergeCell ref="B130:B133"/>
    <mergeCell ref="AD130:AD133"/>
    <mergeCell ref="B134:B137"/>
    <mergeCell ref="AD134:AD137"/>
    <mergeCell ref="B162:B165"/>
    <mergeCell ref="AD162:AD165"/>
    <mergeCell ref="B166:B169"/>
    <mergeCell ref="AD166:AD169"/>
    <mergeCell ref="B170:B173"/>
    <mergeCell ref="AD170:AD173"/>
    <mergeCell ref="B150:B153"/>
    <mergeCell ref="AD150:AD153"/>
    <mergeCell ref="B154:B157"/>
    <mergeCell ref="AD154:AD157"/>
    <mergeCell ref="B158:B161"/>
    <mergeCell ref="AD158:AD161"/>
    <mergeCell ref="B186:B189"/>
    <mergeCell ref="AD186:AD189"/>
    <mergeCell ref="B190:B193"/>
    <mergeCell ref="AD190:AD193"/>
    <mergeCell ref="B194:B197"/>
    <mergeCell ref="AD194:AD197"/>
    <mergeCell ref="B174:B177"/>
    <mergeCell ref="AD174:AD177"/>
    <mergeCell ref="B178:B181"/>
    <mergeCell ref="AD178:AD181"/>
    <mergeCell ref="B182:B185"/>
    <mergeCell ref="AD182:AD185"/>
    <mergeCell ref="B210:B213"/>
    <mergeCell ref="AD210:AD213"/>
    <mergeCell ref="B214:B217"/>
    <mergeCell ref="AD214:AD217"/>
    <mergeCell ref="B218:B221"/>
    <mergeCell ref="AD218:AD221"/>
    <mergeCell ref="B198:B201"/>
    <mergeCell ref="AD198:AD201"/>
    <mergeCell ref="B202:B205"/>
    <mergeCell ref="AD202:AD205"/>
    <mergeCell ref="B206:B209"/>
    <mergeCell ref="AD206:AD209"/>
    <mergeCell ref="B234:B237"/>
    <mergeCell ref="AD234:AD237"/>
    <mergeCell ref="B238:B241"/>
    <mergeCell ref="AD238:AD241"/>
    <mergeCell ref="B242:B245"/>
    <mergeCell ref="AD242:AD245"/>
    <mergeCell ref="B222:B225"/>
    <mergeCell ref="AD222:AD225"/>
    <mergeCell ref="B226:B229"/>
    <mergeCell ref="AD226:AD229"/>
    <mergeCell ref="B230:B233"/>
    <mergeCell ref="AD230:AD233"/>
  </mergeCells>
  <phoneticPr fontId="9" type="noConversion"/>
  <conditionalFormatting sqref="D6:AA245">
    <cfRule type="cellIs" dxfId="1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4DF29-3962-48C6-91B0-432C77D06C94}">
  <dimension ref="B3:H78"/>
  <sheetViews>
    <sheetView showGridLines="0" zoomScale="90" zoomScaleNormal="90" workbookViewId="0">
      <selection activeCell="D64" sqref="D64"/>
    </sheetView>
  </sheetViews>
  <sheetFormatPr baseColWidth="10" defaultColWidth="11.453125" defaultRowHeight="14.5"/>
  <cols>
    <col min="1" max="3" width="11.453125" style="18"/>
    <col min="4" max="4" width="15.26953125" style="18" customWidth="1"/>
    <col min="5" max="5" width="11.453125" style="18"/>
    <col min="6" max="6" width="12.7265625" style="18" bestFit="1" customWidth="1"/>
    <col min="7" max="7" width="11.453125" style="18"/>
    <col min="8" max="8" width="12.6328125" style="46" bestFit="1" customWidth="1"/>
    <col min="9" max="16384" width="11.453125" style="18"/>
  </cols>
  <sheetData>
    <row r="3" spans="2:7" ht="15" thickBot="1"/>
    <row r="4" spans="2:7">
      <c r="B4" s="58" t="s">
        <v>36</v>
      </c>
      <c r="C4" s="59"/>
      <c r="D4" s="59"/>
      <c r="E4" s="59"/>
      <c r="F4" s="59"/>
      <c r="G4" s="60"/>
    </row>
    <row r="5" spans="2:7">
      <c r="B5" s="61" t="s">
        <v>9</v>
      </c>
      <c r="C5" s="62"/>
      <c r="D5" s="62"/>
      <c r="E5" s="62"/>
      <c r="F5" s="62"/>
      <c r="G5" s="63"/>
    </row>
    <row r="6" spans="2:7">
      <c r="B6" s="64" t="s">
        <v>10</v>
      </c>
      <c r="C6" s="65"/>
      <c r="D6" s="65"/>
      <c r="E6" s="65"/>
      <c r="F6" s="65"/>
      <c r="G6" s="66"/>
    </row>
    <row r="7" spans="2:7" ht="15" thickBot="1">
      <c r="B7" s="67" t="s">
        <v>38</v>
      </c>
      <c r="C7" s="68"/>
      <c r="D7" s="68"/>
      <c r="E7" s="68"/>
      <c r="F7" s="68"/>
      <c r="G7" s="69"/>
    </row>
    <row r="8" spans="2:7" ht="15" thickBot="1">
      <c r="B8" s="70" t="s">
        <v>11</v>
      </c>
      <c r="C8" s="71"/>
      <c r="D8" s="71"/>
      <c r="E8" s="71"/>
      <c r="F8" s="71"/>
      <c r="G8" s="72"/>
    </row>
    <row r="9" spans="2:7" ht="15.75" customHeight="1" thickBot="1">
      <c r="B9" s="73" t="s">
        <v>12</v>
      </c>
      <c r="C9" s="73" t="s">
        <v>13</v>
      </c>
      <c r="D9" s="76" t="s">
        <v>39</v>
      </c>
      <c r="E9" s="76"/>
      <c r="F9" s="76"/>
      <c r="G9" s="77"/>
    </row>
    <row r="10" spans="2:7" ht="26.5" thickBot="1">
      <c r="B10" s="74"/>
      <c r="C10" s="75"/>
      <c r="D10" s="19" t="s">
        <v>14</v>
      </c>
      <c r="E10" s="21" t="s">
        <v>15</v>
      </c>
      <c r="F10" s="20" t="s">
        <v>16</v>
      </c>
      <c r="G10" s="22" t="s">
        <v>17</v>
      </c>
    </row>
    <row r="11" spans="2:7">
      <c r="B11" s="33">
        <v>2026</v>
      </c>
      <c r="C11" s="34" t="s">
        <v>25</v>
      </c>
      <c r="D11" s="35">
        <f>+'Producto 1 Plano 26-30'!AE6</f>
        <v>2232000</v>
      </c>
      <c r="E11" s="78"/>
      <c r="F11" s="26">
        <f t="shared" ref="F11:F22" si="0">+E11*D11</f>
        <v>0</v>
      </c>
      <c r="G11" s="27"/>
    </row>
    <row r="12" spans="2:7">
      <c r="B12" s="23">
        <v>2026</v>
      </c>
      <c r="C12" s="24" t="s">
        <v>26</v>
      </c>
      <c r="D12" s="25">
        <f>+'Producto 1 Plano 26-30'!AE7</f>
        <v>2016000</v>
      </c>
      <c r="E12" s="78"/>
      <c r="F12" s="26">
        <f t="shared" si="0"/>
        <v>0</v>
      </c>
      <c r="G12" s="27"/>
    </row>
    <row r="13" spans="2:7">
      <c r="B13" s="23">
        <v>2026</v>
      </c>
      <c r="C13" s="24" t="s">
        <v>27</v>
      </c>
      <c r="D13" s="25">
        <f>+'Producto 1 Plano 26-30'!AE8</f>
        <v>2232000</v>
      </c>
      <c r="E13" s="78"/>
      <c r="F13" s="26">
        <f t="shared" si="0"/>
        <v>0</v>
      </c>
      <c r="G13" s="27"/>
    </row>
    <row r="14" spans="2:7">
      <c r="B14" s="23">
        <v>2026</v>
      </c>
      <c r="C14" s="24" t="s">
        <v>28</v>
      </c>
      <c r="D14" s="25">
        <f>+'Producto 1 Plano 26-30'!AE9</f>
        <v>2160000</v>
      </c>
      <c r="E14" s="78"/>
      <c r="F14" s="26">
        <f t="shared" si="0"/>
        <v>0</v>
      </c>
      <c r="G14" s="27"/>
    </row>
    <row r="15" spans="2:7">
      <c r="B15" s="23">
        <v>2026</v>
      </c>
      <c r="C15" s="24" t="s">
        <v>29</v>
      </c>
      <c r="D15" s="25">
        <f>+'Producto 1 Plano 26-30'!AE10</f>
        <v>2232000</v>
      </c>
      <c r="E15" s="78"/>
      <c r="F15" s="26">
        <f t="shared" si="0"/>
        <v>0</v>
      </c>
      <c r="G15" s="27"/>
    </row>
    <row r="16" spans="2:7">
      <c r="B16" s="23">
        <v>2026</v>
      </c>
      <c r="C16" s="24" t="s">
        <v>18</v>
      </c>
      <c r="D16" s="25">
        <f>+'Producto 1 Plano 26-30'!AE11</f>
        <v>2160000</v>
      </c>
      <c r="E16" s="78"/>
      <c r="F16" s="26">
        <f t="shared" si="0"/>
        <v>0</v>
      </c>
      <c r="G16" s="27"/>
    </row>
    <row r="17" spans="2:8">
      <c r="B17" s="23">
        <v>2026</v>
      </c>
      <c r="C17" s="24" t="s">
        <v>19</v>
      </c>
      <c r="D17" s="25">
        <f>+'Producto 1 Plano 26-30'!AE12</f>
        <v>2232000</v>
      </c>
      <c r="E17" s="78"/>
      <c r="F17" s="26">
        <f t="shared" si="0"/>
        <v>0</v>
      </c>
      <c r="G17" s="27"/>
    </row>
    <row r="18" spans="2:8">
      <c r="B18" s="23">
        <v>2026</v>
      </c>
      <c r="C18" s="24" t="s">
        <v>20</v>
      </c>
      <c r="D18" s="25">
        <f>+'Producto 1 Plano 26-30'!AE13</f>
        <v>2232000</v>
      </c>
      <c r="E18" s="78"/>
      <c r="F18" s="26">
        <f t="shared" si="0"/>
        <v>0</v>
      </c>
      <c r="G18" s="27"/>
    </row>
    <row r="19" spans="2:8">
      <c r="B19" s="23">
        <v>2026</v>
      </c>
      <c r="C19" s="24" t="s">
        <v>21</v>
      </c>
      <c r="D19" s="25">
        <f>+'Producto 1 Plano 26-30'!AE14</f>
        <v>2160000</v>
      </c>
      <c r="E19" s="78"/>
      <c r="F19" s="26">
        <f t="shared" si="0"/>
        <v>0</v>
      </c>
      <c r="G19" s="27"/>
    </row>
    <row r="20" spans="2:8">
      <c r="B20" s="23">
        <v>2026</v>
      </c>
      <c r="C20" s="24" t="s">
        <v>22</v>
      </c>
      <c r="D20" s="25">
        <f>+'Producto 1 Plano 26-30'!AE15</f>
        <v>2232000</v>
      </c>
      <c r="E20" s="78"/>
      <c r="F20" s="26">
        <f t="shared" si="0"/>
        <v>0</v>
      </c>
      <c r="G20" s="27"/>
    </row>
    <row r="21" spans="2:8">
      <c r="B21" s="23">
        <v>2026</v>
      </c>
      <c r="C21" s="24" t="s">
        <v>23</v>
      </c>
      <c r="D21" s="25">
        <f>+'Producto 1 Plano 26-30'!AE16</f>
        <v>2160000</v>
      </c>
      <c r="E21" s="78"/>
      <c r="F21" s="26">
        <f t="shared" si="0"/>
        <v>0</v>
      </c>
      <c r="G21" s="27"/>
    </row>
    <row r="22" spans="2:8" ht="15" thickBot="1">
      <c r="B22" s="28">
        <v>2026</v>
      </c>
      <c r="C22" s="29" t="s">
        <v>24</v>
      </c>
      <c r="D22" s="30">
        <f>+'Producto 1 Plano 26-30'!AE17</f>
        <v>2232000</v>
      </c>
      <c r="E22" s="79"/>
      <c r="F22" s="31">
        <f t="shared" si="0"/>
        <v>0</v>
      </c>
      <c r="G22" s="32"/>
      <c r="H22" s="46">
        <f>SUM(D11:D22)</f>
        <v>26280000</v>
      </c>
    </row>
    <row r="23" spans="2:8">
      <c r="B23" s="33">
        <v>2027</v>
      </c>
      <c r="C23" s="34" t="s">
        <v>25</v>
      </c>
      <c r="D23" s="35">
        <f>+'Producto 1 Plano 26-30'!AE18</f>
        <v>0</v>
      </c>
      <c r="E23" s="78"/>
      <c r="F23" s="26">
        <f t="shared" ref="F23:F34" si="1">+E23*D23</f>
        <v>0</v>
      </c>
      <c r="G23" s="27"/>
    </row>
    <row r="24" spans="2:8">
      <c r="B24" s="23">
        <v>2027</v>
      </c>
      <c r="C24" s="24" t="s">
        <v>26</v>
      </c>
      <c r="D24" s="25">
        <f>+'Producto 1 Plano 26-30'!AE19</f>
        <v>0</v>
      </c>
      <c r="E24" s="78"/>
      <c r="F24" s="26">
        <f t="shared" si="1"/>
        <v>0</v>
      </c>
      <c r="G24" s="27"/>
    </row>
    <row r="25" spans="2:8">
      <c r="B25" s="23">
        <v>2027</v>
      </c>
      <c r="C25" s="24" t="s">
        <v>27</v>
      </c>
      <c r="D25" s="25">
        <f>+'Producto 1 Plano 26-30'!AE20</f>
        <v>0</v>
      </c>
      <c r="E25" s="78"/>
      <c r="F25" s="26">
        <f t="shared" si="1"/>
        <v>0</v>
      </c>
      <c r="G25" s="27"/>
    </row>
    <row r="26" spans="2:8">
      <c r="B26" s="23">
        <v>2027</v>
      </c>
      <c r="C26" s="24" t="s">
        <v>28</v>
      </c>
      <c r="D26" s="25">
        <f>+'Producto 1 Plano 26-30'!AE21</f>
        <v>0</v>
      </c>
      <c r="E26" s="78"/>
      <c r="F26" s="26">
        <f t="shared" si="1"/>
        <v>0</v>
      </c>
      <c r="G26" s="27"/>
    </row>
    <row r="27" spans="2:8">
      <c r="B27" s="23">
        <v>2027</v>
      </c>
      <c r="C27" s="24" t="s">
        <v>29</v>
      </c>
      <c r="D27" s="25">
        <f>+'Producto 1 Plano 26-30'!AE22</f>
        <v>0</v>
      </c>
      <c r="E27" s="78"/>
      <c r="F27" s="26">
        <f t="shared" si="1"/>
        <v>0</v>
      </c>
      <c r="G27" s="27"/>
    </row>
    <row r="28" spans="2:8">
      <c r="B28" s="23">
        <v>2027</v>
      </c>
      <c r="C28" s="24" t="s">
        <v>18</v>
      </c>
      <c r="D28" s="25">
        <f>+'Producto 1 Plano 26-30'!AE23</f>
        <v>0</v>
      </c>
      <c r="E28" s="78"/>
      <c r="F28" s="26">
        <f t="shared" si="1"/>
        <v>0</v>
      </c>
      <c r="G28" s="27"/>
    </row>
    <row r="29" spans="2:8">
      <c r="B29" s="23">
        <v>2027</v>
      </c>
      <c r="C29" s="24" t="s">
        <v>19</v>
      </c>
      <c r="D29" s="25">
        <f>+'Producto 1 Plano 26-30'!AE24</f>
        <v>0</v>
      </c>
      <c r="E29" s="78"/>
      <c r="F29" s="26">
        <f t="shared" si="1"/>
        <v>0</v>
      </c>
      <c r="G29" s="27"/>
    </row>
    <row r="30" spans="2:8">
      <c r="B30" s="23">
        <v>2027</v>
      </c>
      <c r="C30" s="24" t="s">
        <v>20</v>
      </c>
      <c r="D30" s="25">
        <f>+'Producto 1 Plano 26-30'!AE25</f>
        <v>0</v>
      </c>
      <c r="E30" s="78"/>
      <c r="F30" s="26">
        <f t="shared" si="1"/>
        <v>0</v>
      </c>
      <c r="G30" s="27"/>
    </row>
    <row r="31" spans="2:8">
      <c r="B31" s="23">
        <v>2027</v>
      </c>
      <c r="C31" s="24" t="s">
        <v>21</v>
      </c>
      <c r="D31" s="25">
        <f>+'Producto 1 Plano 26-30'!AE26</f>
        <v>0</v>
      </c>
      <c r="E31" s="78"/>
      <c r="F31" s="26">
        <f t="shared" si="1"/>
        <v>0</v>
      </c>
      <c r="G31" s="27"/>
    </row>
    <row r="32" spans="2:8">
      <c r="B32" s="23">
        <v>2027</v>
      </c>
      <c r="C32" s="24" t="s">
        <v>22</v>
      </c>
      <c r="D32" s="25">
        <f>+'Producto 1 Plano 26-30'!AE27</f>
        <v>0</v>
      </c>
      <c r="E32" s="78"/>
      <c r="F32" s="26">
        <f t="shared" si="1"/>
        <v>0</v>
      </c>
      <c r="G32" s="27"/>
    </row>
    <row r="33" spans="2:8">
      <c r="B33" s="23">
        <v>2027</v>
      </c>
      <c r="C33" s="24" t="s">
        <v>23</v>
      </c>
      <c r="D33" s="25">
        <f>+'Producto 1 Plano 26-30'!AE28</f>
        <v>0</v>
      </c>
      <c r="E33" s="78"/>
      <c r="F33" s="26">
        <f t="shared" si="1"/>
        <v>0</v>
      </c>
      <c r="G33" s="27"/>
    </row>
    <row r="34" spans="2:8" ht="15" thickBot="1">
      <c r="B34" s="28">
        <v>2027</v>
      </c>
      <c r="C34" s="29" t="s">
        <v>24</v>
      </c>
      <c r="D34" s="30">
        <f>+'Producto 1 Plano 26-30'!AE29</f>
        <v>0</v>
      </c>
      <c r="E34" s="79"/>
      <c r="F34" s="31">
        <f t="shared" si="1"/>
        <v>0</v>
      </c>
      <c r="G34" s="32"/>
      <c r="H34" s="46">
        <f>SUM(D23:D34)</f>
        <v>0</v>
      </c>
    </row>
    <row r="35" spans="2:8">
      <c r="B35" s="33">
        <v>2028</v>
      </c>
      <c r="C35" s="34" t="s">
        <v>25</v>
      </c>
      <c r="D35" s="35">
        <f>+'Producto 1 Plano 26-30'!AE30</f>
        <v>1860000</v>
      </c>
      <c r="E35" s="78"/>
      <c r="F35" s="26">
        <f t="shared" ref="F35:F46" si="2">+E35*D35</f>
        <v>0</v>
      </c>
      <c r="G35" s="27"/>
    </row>
    <row r="36" spans="2:8">
      <c r="B36" s="23">
        <v>2028</v>
      </c>
      <c r="C36" s="24" t="s">
        <v>26</v>
      </c>
      <c r="D36" s="25">
        <f>+'Producto 1 Plano 26-30'!AE31</f>
        <v>1740000</v>
      </c>
      <c r="E36" s="78"/>
      <c r="F36" s="26">
        <f t="shared" si="2"/>
        <v>0</v>
      </c>
      <c r="G36" s="27"/>
    </row>
    <row r="37" spans="2:8">
      <c r="B37" s="23">
        <v>2028</v>
      </c>
      <c r="C37" s="24" t="s">
        <v>27</v>
      </c>
      <c r="D37" s="25">
        <f>+'Producto 1 Plano 26-30'!AE32</f>
        <v>1860000</v>
      </c>
      <c r="E37" s="78"/>
      <c r="F37" s="26">
        <f t="shared" si="2"/>
        <v>0</v>
      </c>
      <c r="G37" s="27"/>
    </row>
    <row r="38" spans="2:8">
      <c r="B38" s="23">
        <v>2028</v>
      </c>
      <c r="C38" s="24" t="s">
        <v>28</v>
      </c>
      <c r="D38" s="25">
        <f>+'Producto 1 Plano 26-30'!AE33</f>
        <v>1800000</v>
      </c>
      <c r="E38" s="78"/>
      <c r="F38" s="26">
        <f t="shared" si="2"/>
        <v>0</v>
      </c>
      <c r="G38" s="27"/>
    </row>
    <row r="39" spans="2:8">
      <c r="B39" s="23">
        <v>2028</v>
      </c>
      <c r="C39" s="24" t="s">
        <v>29</v>
      </c>
      <c r="D39" s="25">
        <f>+'Producto 1 Plano 26-30'!AE34</f>
        <v>1860000</v>
      </c>
      <c r="E39" s="78"/>
      <c r="F39" s="26">
        <f t="shared" si="2"/>
        <v>0</v>
      </c>
      <c r="G39" s="27"/>
    </row>
    <row r="40" spans="2:8">
      <c r="B40" s="23">
        <v>2028</v>
      </c>
      <c r="C40" s="24" t="s">
        <v>18</v>
      </c>
      <c r="D40" s="25">
        <f>+'Producto 1 Plano 26-30'!AE35</f>
        <v>1800000</v>
      </c>
      <c r="E40" s="78"/>
      <c r="F40" s="26">
        <f t="shared" si="2"/>
        <v>0</v>
      </c>
      <c r="G40" s="27"/>
    </row>
    <row r="41" spans="2:8">
      <c r="B41" s="23">
        <v>2028</v>
      </c>
      <c r="C41" s="24" t="s">
        <v>19</v>
      </c>
      <c r="D41" s="25">
        <f>+'Producto 1 Plano 26-30'!AE36</f>
        <v>1860000</v>
      </c>
      <c r="E41" s="78"/>
      <c r="F41" s="26">
        <f t="shared" si="2"/>
        <v>0</v>
      </c>
      <c r="G41" s="27"/>
    </row>
    <row r="42" spans="2:8">
      <c r="B42" s="23">
        <v>2028</v>
      </c>
      <c r="C42" s="24" t="s">
        <v>20</v>
      </c>
      <c r="D42" s="25">
        <f>+'Producto 1 Plano 26-30'!AE37</f>
        <v>1860000</v>
      </c>
      <c r="E42" s="78"/>
      <c r="F42" s="26">
        <f t="shared" si="2"/>
        <v>0</v>
      </c>
      <c r="G42" s="27"/>
    </row>
    <row r="43" spans="2:8">
      <c r="B43" s="23">
        <v>2028</v>
      </c>
      <c r="C43" s="24" t="s">
        <v>21</v>
      </c>
      <c r="D43" s="25">
        <f>+'Producto 1 Plano 26-30'!AE38</f>
        <v>1800000</v>
      </c>
      <c r="E43" s="78"/>
      <c r="F43" s="26">
        <f t="shared" si="2"/>
        <v>0</v>
      </c>
      <c r="G43" s="27"/>
    </row>
    <row r="44" spans="2:8">
      <c r="B44" s="23">
        <v>2028</v>
      </c>
      <c r="C44" s="24" t="s">
        <v>22</v>
      </c>
      <c r="D44" s="25">
        <f>+'Producto 1 Plano 26-30'!AE39</f>
        <v>1860000</v>
      </c>
      <c r="E44" s="78"/>
      <c r="F44" s="26">
        <f t="shared" si="2"/>
        <v>0</v>
      </c>
      <c r="G44" s="27"/>
    </row>
    <row r="45" spans="2:8">
      <c r="B45" s="23">
        <v>2028</v>
      </c>
      <c r="C45" s="24" t="s">
        <v>23</v>
      </c>
      <c r="D45" s="25">
        <f>+'Producto 1 Plano 26-30'!AE40</f>
        <v>1800000</v>
      </c>
      <c r="E45" s="78"/>
      <c r="F45" s="26">
        <f t="shared" si="2"/>
        <v>0</v>
      </c>
      <c r="G45" s="27"/>
    </row>
    <row r="46" spans="2:8" ht="15" thickBot="1">
      <c r="B46" s="28">
        <v>2028</v>
      </c>
      <c r="C46" s="29" t="s">
        <v>24</v>
      </c>
      <c r="D46" s="30">
        <f>+'Producto 1 Plano 26-30'!AE41</f>
        <v>1860000</v>
      </c>
      <c r="E46" s="79"/>
      <c r="F46" s="31">
        <f t="shared" si="2"/>
        <v>0</v>
      </c>
      <c r="G46" s="32"/>
      <c r="H46" s="46">
        <f>SUM(D35:D46)</f>
        <v>21960000</v>
      </c>
    </row>
    <row r="47" spans="2:8">
      <c r="B47" s="33">
        <v>2029</v>
      </c>
      <c r="C47" s="34" t="s">
        <v>25</v>
      </c>
      <c r="D47" s="35">
        <f>+'Producto 1 Plano 26-30'!AE42</f>
        <v>3720000</v>
      </c>
      <c r="E47" s="78"/>
      <c r="F47" s="26">
        <f t="shared" ref="F47:F58" si="3">+E47*D47</f>
        <v>0</v>
      </c>
      <c r="G47" s="27"/>
    </row>
    <row r="48" spans="2:8">
      <c r="B48" s="23">
        <v>2029</v>
      </c>
      <c r="C48" s="24" t="s">
        <v>26</v>
      </c>
      <c r="D48" s="25">
        <f>+'Producto 1 Plano 26-30'!AE43</f>
        <v>3360000</v>
      </c>
      <c r="E48" s="78"/>
      <c r="F48" s="26">
        <f t="shared" si="3"/>
        <v>0</v>
      </c>
      <c r="G48" s="27"/>
    </row>
    <row r="49" spans="2:8">
      <c r="B49" s="23">
        <v>2029</v>
      </c>
      <c r="C49" s="24" t="s">
        <v>27</v>
      </c>
      <c r="D49" s="25">
        <f>+'Producto 1 Plano 26-30'!AE44</f>
        <v>3720000</v>
      </c>
      <c r="E49" s="78"/>
      <c r="F49" s="26">
        <f t="shared" si="3"/>
        <v>0</v>
      </c>
      <c r="G49" s="27"/>
    </row>
    <row r="50" spans="2:8">
      <c r="B50" s="23">
        <v>2029</v>
      </c>
      <c r="C50" s="24" t="s">
        <v>28</v>
      </c>
      <c r="D50" s="25">
        <f>+'Producto 1 Plano 26-30'!AE45</f>
        <v>3600000</v>
      </c>
      <c r="E50" s="78"/>
      <c r="F50" s="26">
        <f t="shared" si="3"/>
        <v>0</v>
      </c>
      <c r="G50" s="27"/>
    </row>
    <row r="51" spans="2:8">
      <c r="B51" s="23">
        <v>2029</v>
      </c>
      <c r="C51" s="24" t="s">
        <v>29</v>
      </c>
      <c r="D51" s="25">
        <f>+'Producto 1 Plano 26-30'!AE46</f>
        <v>3720000</v>
      </c>
      <c r="E51" s="78"/>
      <c r="F51" s="26">
        <f t="shared" si="3"/>
        <v>0</v>
      </c>
      <c r="G51" s="27"/>
    </row>
    <row r="52" spans="2:8">
      <c r="B52" s="23">
        <v>2029</v>
      </c>
      <c r="C52" s="24" t="s">
        <v>18</v>
      </c>
      <c r="D52" s="25">
        <f>+'Producto 1 Plano 26-30'!AE47</f>
        <v>3600000</v>
      </c>
      <c r="E52" s="78"/>
      <c r="F52" s="26">
        <f t="shared" si="3"/>
        <v>0</v>
      </c>
      <c r="G52" s="27"/>
    </row>
    <row r="53" spans="2:8">
      <c r="B53" s="23">
        <v>2029</v>
      </c>
      <c r="C53" s="24" t="s">
        <v>19</v>
      </c>
      <c r="D53" s="25">
        <f>+'Producto 1 Plano 26-30'!AE48</f>
        <v>3720000</v>
      </c>
      <c r="E53" s="78"/>
      <c r="F53" s="26">
        <f t="shared" si="3"/>
        <v>0</v>
      </c>
      <c r="G53" s="27"/>
    </row>
    <row r="54" spans="2:8">
      <c r="B54" s="23">
        <v>2029</v>
      </c>
      <c r="C54" s="24" t="s">
        <v>20</v>
      </c>
      <c r="D54" s="25">
        <f>+'Producto 1 Plano 26-30'!AE49</f>
        <v>3720000</v>
      </c>
      <c r="E54" s="78"/>
      <c r="F54" s="26">
        <f t="shared" si="3"/>
        <v>0</v>
      </c>
      <c r="G54" s="27"/>
    </row>
    <row r="55" spans="2:8">
      <c r="B55" s="23">
        <v>2029</v>
      </c>
      <c r="C55" s="24" t="s">
        <v>21</v>
      </c>
      <c r="D55" s="25">
        <f>+'Producto 1 Plano 26-30'!AE50</f>
        <v>3600000</v>
      </c>
      <c r="E55" s="78"/>
      <c r="F55" s="26">
        <f t="shared" si="3"/>
        <v>0</v>
      </c>
      <c r="G55" s="27"/>
    </row>
    <row r="56" spans="2:8">
      <c r="B56" s="23">
        <v>2029</v>
      </c>
      <c r="C56" s="24" t="s">
        <v>22</v>
      </c>
      <c r="D56" s="25">
        <f>+'Producto 1 Plano 26-30'!AE51</f>
        <v>3720000</v>
      </c>
      <c r="E56" s="78"/>
      <c r="F56" s="26">
        <f t="shared" si="3"/>
        <v>0</v>
      </c>
      <c r="G56" s="27"/>
    </row>
    <row r="57" spans="2:8">
      <c r="B57" s="23">
        <v>2029</v>
      </c>
      <c r="C57" s="24" t="s">
        <v>23</v>
      </c>
      <c r="D57" s="25">
        <f>+'Producto 1 Plano 26-30'!AE52</f>
        <v>3600000</v>
      </c>
      <c r="E57" s="78"/>
      <c r="F57" s="26">
        <f t="shared" si="3"/>
        <v>0</v>
      </c>
      <c r="G57" s="27"/>
    </row>
    <row r="58" spans="2:8" ht="15" thickBot="1">
      <c r="B58" s="28">
        <v>2029</v>
      </c>
      <c r="C58" s="29" t="s">
        <v>24</v>
      </c>
      <c r="D58" s="30">
        <f>+'Producto 1 Plano 26-30'!AE53</f>
        <v>3720000</v>
      </c>
      <c r="E58" s="79"/>
      <c r="F58" s="31">
        <f t="shared" si="3"/>
        <v>0</v>
      </c>
      <c r="G58" s="32"/>
      <c r="H58" s="46">
        <f>SUM(D47:D58)</f>
        <v>43800000</v>
      </c>
    </row>
    <row r="59" spans="2:8">
      <c r="B59" s="33">
        <v>2030</v>
      </c>
      <c r="C59" s="34" t="s">
        <v>25</v>
      </c>
      <c r="D59" s="35">
        <f>+'Producto 1 Plano 26-30'!AE54</f>
        <v>3868800</v>
      </c>
      <c r="E59" s="78"/>
      <c r="F59" s="26">
        <f t="shared" ref="F59:F70" si="4">+E59*D59</f>
        <v>0</v>
      </c>
      <c r="G59" s="27"/>
    </row>
    <row r="60" spans="2:8">
      <c r="B60" s="23">
        <v>2030</v>
      </c>
      <c r="C60" s="24" t="s">
        <v>26</v>
      </c>
      <c r="D60" s="25">
        <f>+'Producto 1 Plano 26-30'!AE55</f>
        <v>3494400</v>
      </c>
      <c r="E60" s="78"/>
      <c r="F60" s="26">
        <f t="shared" si="4"/>
        <v>0</v>
      </c>
      <c r="G60" s="27"/>
    </row>
    <row r="61" spans="2:8">
      <c r="B61" s="23">
        <v>2030</v>
      </c>
      <c r="C61" s="24" t="s">
        <v>27</v>
      </c>
      <c r="D61" s="25">
        <f>+'Producto 1 Plano 26-30'!AE56</f>
        <v>3868800</v>
      </c>
      <c r="E61" s="78"/>
      <c r="F61" s="26">
        <f t="shared" si="4"/>
        <v>0</v>
      </c>
      <c r="G61" s="27"/>
    </row>
    <row r="62" spans="2:8">
      <c r="B62" s="23">
        <v>2030</v>
      </c>
      <c r="C62" s="24" t="s">
        <v>28</v>
      </c>
      <c r="D62" s="25">
        <f>+'Producto 1 Plano 26-30'!AE57</f>
        <v>3744000</v>
      </c>
      <c r="E62" s="78"/>
      <c r="F62" s="26">
        <f t="shared" si="4"/>
        <v>0</v>
      </c>
      <c r="G62" s="27"/>
    </row>
    <row r="63" spans="2:8">
      <c r="B63" s="23">
        <v>2030</v>
      </c>
      <c r="C63" s="24" t="s">
        <v>29</v>
      </c>
      <c r="D63" s="25">
        <f>+'Producto 1 Plano 26-30'!AE58</f>
        <v>3868800</v>
      </c>
      <c r="E63" s="78"/>
      <c r="F63" s="26">
        <f t="shared" si="4"/>
        <v>0</v>
      </c>
      <c r="G63" s="27"/>
    </row>
    <row r="64" spans="2:8">
      <c r="B64" s="23">
        <v>2030</v>
      </c>
      <c r="C64" s="24" t="s">
        <v>18</v>
      </c>
      <c r="D64" s="25">
        <f>+'Producto 1 Plano 26-30'!AE59</f>
        <v>3744000</v>
      </c>
      <c r="E64" s="78"/>
      <c r="F64" s="26">
        <f t="shared" si="4"/>
        <v>0</v>
      </c>
      <c r="G64" s="27"/>
    </row>
    <row r="65" spans="2:8">
      <c r="B65" s="23">
        <v>2030</v>
      </c>
      <c r="C65" s="24" t="s">
        <v>19</v>
      </c>
      <c r="D65" s="25">
        <f>+'Producto 1 Plano 26-30'!AE60</f>
        <v>3868800</v>
      </c>
      <c r="E65" s="78"/>
      <c r="F65" s="26">
        <f t="shared" si="4"/>
        <v>0</v>
      </c>
      <c r="G65" s="27"/>
    </row>
    <row r="66" spans="2:8">
      <c r="B66" s="23">
        <v>2030</v>
      </c>
      <c r="C66" s="24" t="s">
        <v>20</v>
      </c>
      <c r="D66" s="25">
        <f>+'Producto 1 Plano 26-30'!AE61</f>
        <v>3868800</v>
      </c>
      <c r="E66" s="78"/>
      <c r="F66" s="26">
        <f t="shared" si="4"/>
        <v>0</v>
      </c>
      <c r="G66" s="27"/>
    </row>
    <row r="67" spans="2:8">
      <c r="B67" s="23">
        <v>2030</v>
      </c>
      <c r="C67" s="24" t="s">
        <v>21</v>
      </c>
      <c r="D67" s="25">
        <f>+'Producto 1 Plano 26-30'!AE62</f>
        <v>3744000</v>
      </c>
      <c r="E67" s="78"/>
      <c r="F67" s="26">
        <f t="shared" si="4"/>
        <v>0</v>
      </c>
      <c r="G67" s="27"/>
    </row>
    <row r="68" spans="2:8">
      <c r="B68" s="23">
        <v>2030</v>
      </c>
      <c r="C68" s="24" t="s">
        <v>22</v>
      </c>
      <c r="D68" s="25">
        <f>+'Producto 1 Plano 26-30'!AE63</f>
        <v>3868800</v>
      </c>
      <c r="E68" s="78"/>
      <c r="F68" s="26">
        <f t="shared" si="4"/>
        <v>0</v>
      </c>
      <c r="G68" s="27"/>
    </row>
    <row r="69" spans="2:8">
      <c r="B69" s="23">
        <v>2030</v>
      </c>
      <c r="C69" s="24" t="s">
        <v>23</v>
      </c>
      <c r="D69" s="25">
        <f>+'Producto 1 Plano 26-30'!AE64</f>
        <v>3744000</v>
      </c>
      <c r="E69" s="78"/>
      <c r="F69" s="26">
        <f t="shared" si="4"/>
        <v>0</v>
      </c>
      <c r="G69" s="27"/>
    </row>
    <row r="70" spans="2:8" ht="15" thickBot="1">
      <c r="B70" s="28">
        <v>2030</v>
      </c>
      <c r="C70" s="29" t="s">
        <v>24</v>
      </c>
      <c r="D70" s="30">
        <f>+'Producto 1 Plano 26-30'!AE65</f>
        <v>3868800</v>
      </c>
      <c r="E70" s="79"/>
      <c r="F70" s="31">
        <f t="shared" si="4"/>
        <v>0</v>
      </c>
      <c r="G70" s="32"/>
      <c r="H70" s="46">
        <f>SUM(D59:D70)</f>
        <v>45552000</v>
      </c>
    </row>
    <row r="71" spans="2:8" ht="15" thickBot="1">
      <c r="B71" s="56" t="s">
        <v>35</v>
      </c>
      <c r="C71" s="57"/>
      <c r="D71" s="36">
        <f>+SUM(D11:D70)</f>
        <v>137592000</v>
      </c>
    </row>
    <row r="73" spans="2:8">
      <c r="B73" s="18" t="s">
        <v>30</v>
      </c>
    </row>
    <row r="74" spans="2:8">
      <c r="B74" s="18" t="s">
        <v>31</v>
      </c>
    </row>
    <row r="75" spans="2:8">
      <c r="B75" s="18" t="s">
        <v>32</v>
      </c>
    </row>
    <row r="76" spans="2:8">
      <c r="B76" s="18" t="s">
        <v>33</v>
      </c>
    </row>
    <row r="78" spans="2:8">
      <c r="D78" s="43"/>
    </row>
  </sheetData>
  <mergeCells count="14">
    <mergeCell ref="B71:C71"/>
    <mergeCell ref="B4:G4"/>
    <mergeCell ref="B5:G5"/>
    <mergeCell ref="B6:G6"/>
    <mergeCell ref="B7:G7"/>
    <mergeCell ref="B8:G8"/>
    <mergeCell ref="B9:B10"/>
    <mergeCell ref="C9:C10"/>
    <mergeCell ref="D9:G9"/>
    <mergeCell ref="E11:E22"/>
    <mergeCell ref="E23:E34"/>
    <mergeCell ref="E35:E46"/>
    <mergeCell ref="E47:E58"/>
    <mergeCell ref="E59:E70"/>
  </mergeCells>
  <phoneticPr fontId="9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8408C-9E72-4F41-939F-DF5BFEBD7226}">
  <dimension ref="B2:BD246"/>
  <sheetViews>
    <sheetView showGridLines="0" zoomScale="50" zoomScaleNormal="50" workbookViewId="0">
      <pane ySplit="5" topLeftCell="A228" activePane="bottomLeft" state="frozen"/>
      <selection activeCell="M103" sqref="M103"/>
      <selection pane="bottomLeft" activeCell="AE6" sqref="AE6:AE65"/>
    </sheetView>
  </sheetViews>
  <sheetFormatPr baseColWidth="10" defaultRowHeight="14.5"/>
  <cols>
    <col min="1" max="1" width="1.81640625" customWidth="1"/>
    <col min="2" max="2" width="10" style="4" customWidth="1"/>
    <col min="3" max="27" width="8.81640625" bestFit="1" customWidth="1"/>
    <col min="28" max="28" width="8.453125" bestFit="1" customWidth="1"/>
    <col min="29" max="29" width="7.453125" customWidth="1"/>
    <col min="30" max="30" width="19.1796875" customWidth="1"/>
    <col min="31" max="31" width="14.90625" customWidth="1"/>
    <col min="32" max="32" width="17.453125" bestFit="1" customWidth="1"/>
    <col min="250" max="250" width="1.81640625" customWidth="1"/>
    <col min="251" max="251" width="8" customWidth="1"/>
    <col min="252" max="252" width="8" bestFit="1" customWidth="1"/>
    <col min="253" max="253" width="9" bestFit="1" customWidth="1"/>
    <col min="254" max="254" width="12" bestFit="1" customWidth="1"/>
    <col min="255" max="276" width="9" bestFit="1" customWidth="1"/>
    <col min="277" max="277" width="7.81640625" bestFit="1" customWidth="1"/>
    <col min="278" max="278" width="4.54296875" bestFit="1" customWidth="1"/>
    <col min="279" max="279" width="14.1796875" bestFit="1" customWidth="1"/>
    <col min="506" max="506" width="1.81640625" customWidth="1"/>
    <col min="507" max="507" width="8" customWidth="1"/>
    <col min="508" max="508" width="8" bestFit="1" customWidth="1"/>
    <col min="509" max="509" width="9" bestFit="1" customWidth="1"/>
    <col min="510" max="510" width="12" bestFit="1" customWidth="1"/>
    <col min="511" max="532" width="9" bestFit="1" customWidth="1"/>
    <col min="533" max="533" width="7.81640625" bestFit="1" customWidth="1"/>
    <col min="534" max="534" width="4.54296875" bestFit="1" customWidth="1"/>
    <col min="535" max="535" width="14.1796875" bestFit="1" customWidth="1"/>
    <col min="762" max="762" width="1.81640625" customWidth="1"/>
    <col min="763" max="763" width="8" customWidth="1"/>
    <col min="764" max="764" width="8" bestFit="1" customWidth="1"/>
    <col min="765" max="765" width="9" bestFit="1" customWidth="1"/>
    <col min="766" max="766" width="12" bestFit="1" customWidth="1"/>
    <col min="767" max="788" width="9" bestFit="1" customWidth="1"/>
    <col min="789" max="789" width="7.81640625" bestFit="1" customWidth="1"/>
    <col min="790" max="790" width="4.54296875" bestFit="1" customWidth="1"/>
    <col min="791" max="791" width="14.1796875" bestFit="1" customWidth="1"/>
    <col min="1018" max="1018" width="1.81640625" customWidth="1"/>
    <col min="1019" max="1019" width="8" customWidth="1"/>
    <col min="1020" max="1020" width="8" bestFit="1" customWidth="1"/>
    <col min="1021" max="1021" width="9" bestFit="1" customWidth="1"/>
    <col min="1022" max="1022" width="12" bestFit="1" customWidth="1"/>
    <col min="1023" max="1044" width="9" bestFit="1" customWidth="1"/>
    <col min="1045" max="1045" width="7.81640625" bestFit="1" customWidth="1"/>
    <col min="1046" max="1046" width="4.54296875" bestFit="1" customWidth="1"/>
    <col min="1047" max="1047" width="14.1796875" bestFit="1" customWidth="1"/>
    <col min="1274" max="1274" width="1.81640625" customWidth="1"/>
    <col min="1275" max="1275" width="8" customWidth="1"/>
    <col min="1276" max="1276" width="8" bestFit="1" customWidth="1"/>
    <col min="1277" max="1277" width="9" bestFit="1" customWidth="1"/>
    <col min="1278" max="1278" width="12" bestFit="1" customWidth="1"/>
    <col min="1279" max="1300" width="9" bestFit="1" customWidth="1"/>
    <col min="1301" max="1301" width="7.81640625" bestFit="1" customWidth="1"/>
    <col min="1302" max="1302" width="4.54296875" bestFit="1" customWidth="1"/>
    <col min="1303" max="1303" width="14.1796875" bestFit="1" customWidth="1"/>
    <col min="1530" max="1530" width="1.81640625" customWidth="1"/>
    <col min="1531" max="1531" width="8" customWidth="1"/>
    <col min="1532" max="1532" width="8" bestFit="1" customWidth="1"/>
    <col min="1533" max="1533" width="9" bestFit="1" customWidth="1"/>
    <col min="1534" max="1534" width="12" bestFit="1" customWidth="1"/>
    <col min="1535" max="1556" width="9" bestFit="1" customWidth="1"/>
    <col min="1557" max="1557" width="7.81640625" bestFit="1" customWidth="1"/>
    <col min="1558" max="1558" width="4.54296875" bestFit="1" customWidth="1"/>
    <col min="1559" max="1559" width="14.1796875" bestFit="1" customWidth="1"/>
    <col min="1786" max="1786" width="1.81640625" customWidth="1"/>
    <col min="1787" max="1787" width="8" customWidth="1"/>
    <col min="1788" max="1788" width="8" bestFit="1" customWidth="1"/>
    <col min="1789" max="1789" width="9" bestFit="1" customWidth="1"/>
    <col min="1790" max="1790" width="12" bestFit="1" customWidth="1"/>
    <col min="1791" max="1812" width="9" bestFit="1" customWidth="1"/>
    <col min="1813" max="1813" width="7.81640625" bestFit="1" customWidth="1"/>
    <col min="1814" max="1814" width="4.54296875" bestFit="1" customWidth="1"/>
    <col min="1815" max="1815" width="14.1796875" bestFit="1" customWidth="1"/>
    <col min="2042" max="2042" width="1.81640625" customWidth="1"/>
    <col min="2043" max="2043" width="8" customWidth="1"/>
    <col min="2044" max="2044" width="8" bestFit="1" customWidth="1"/>
    <col min="2045" max="2045" width="9" bestFit="1" customWidth="1"/>
    <col min="2046" max="2046" width="12" bestFit="1" customWidth="1"/>
    <col min="2047" max="2068" width="9" bestFit="1" customWidth="1"/>
    <col min="2069" max="2069" width="7.81640625" bestFit="1" customWidth="1"/>
    <col min="2070" max="2070" width="4.54296875" bestFit="1" customWidth="1"/>
    <col min="2071" max="2071" width="14.1796875" bestFit="1" customWidth="1"/>
    <col min="2298" max="2298" width="1.81640625" customWidth="1"/>
    <col min="2299" max="2299" width="8" customWidth="1"/>
    <col min="2300" max="2300" width="8" bestFit="1" customWidth="1"/>
    <col min="2301" max="2301" width="9" bestFit="1" customWidth="1"/>
    <col min="2302" max="2302" width="12" bestFit="1" customWidth="1"/>
    <col min="2303" max="2324" width="9" bestFit="1" customWidth="1"/>
    <col min="2325" max="2325" width="7.81640625" bestFit="1" customWidth="1"/>
    <col min="2326" max="2326" width="4.54296875" bestFit="1" customWidth="1"/>
    <col min="2327" max="2327" width="14.1796875" bestFit="1" customWidth="1"/>
    <col min="2554" max="2554" width="1.81640625" customWidth="1"/>
    <col min="2555" max="2555" width="8" customWidth="1"/>
    <col min="2556" max="2556" width="8" bestFit="1" customWidth="1"/>
    <col min="2557" max="2557" width="9" bestFit="1" customWidth="1"/>
    <col min="2558" max="2558" width="12" bestFit="1" customWidth="1"/>
    <col min="2559" max="2580" width="9" bestFit="1" customWidth="1"/>
    <col min="2581" max="2581" width="7.81640625" bestFit="1" customWidth="1"/>
    <col min="2582" max="2582" width="4.54296875" bestFit="1" customWidth="1"/>
    <col min="2583" max="2583" width="14.1796875" bestFit="1" customWidth="1"/>
    <col min="2810" max="2810" width="1.81640625" customWidth="1"/>
    <col min="2811" max="2811" width="8" customWidth="1"/>
    <col min="2812" max="2812" width="8" bestFit="1" customWidth="1"/>
    <col min="2813" max="2813" width="9" bestFit="1" customWidth="1"/>
    <col min="2814" max="2814" width="12" bestFit="1" customWidth="1"/>
    <col min="2815" max="2836" width="9" bestFit="1" customWidth="1"/>
    <col min="2837" max="2837" width="7.81640625" bestFit="1" customWidth="1"/>
    <col min="2838" max="2838" width="4.54296875" bestFit="1" customWidth="1"/>
    <col min="2839" max="2839" width="14.1796875" bestFit="1" customWidth="1"/>
    <col min="3066" max="3066" width="1.81640625" customWidth="1"/>
    <col min="3067" max="3067" width="8" customWidth="1"/>
    <col min="3068" max="3068" width="8" bestFit="1" customWidth="1"/>
    <col min="3069" max="3069" width="9" bestFit="1" customWidth="1"/>
    <col min="3070" max="3070" width="12" bestFit="1" customWidth="1"/>
    <col min="3071" max="3092" width="9" bestFit="1" customWidth="1"/>
    <col min="3093" max="3093" width="7.81640625" bestFit="1" customWidth="1"/>
    <col min="3094" max="3094" width="4.54296875" bestFit="1" customWidth="1"/>
    <col min="3095" max="3095" width="14.1796875" bestFit="1" customWidth="1"/>
    <col min="3322" max="3322" width="1.81640625" customWidth="1"/>
    <col min="3323" max="3323" width="8" customWidth="1"/>
    <col min="3324" max="3324" width="8" bestFit="1" customWidth="1"/>
    <col min="3325" max="3325" width="9" bestFit="1" customWidth="1"/>
    <col min="3326" max="3326" width="12" bestFit="1" customWidth="1"/>
    <col min="3327" max="3348" width="9" bestFit="1" customWidth="1"/>
    <col min="3349" max="3349" width="7.81640625" bestFit="1" customWidth="1"/>
    <col min="3350" max="3350" width="4.54296875" bestFit="1" customWidth="1"/>
    <col min="3351" max="3351" width="14.1796875" bestFit="1" customWidth="1"/>
    <col min="3578" max="3578" width="1.81640625" customWidth="1"/>
    <col min="3579" max="3579" width="8" customWidth="1"/>
    <col min="3580" max="3580" width="8" bestFit="1" customWidth="1"/>
    <col min="3581" max="3581" width="9" bestFit="1" customWidth="1"/>
    <col min="3582" max="3582" width="12" bestFit="1" customWidth="1"/>
    <col min="3583" max="3604" width="9" bestFit="1" customWidth="1"/>
    <col min="3605" max="3605" width="7.81640625" bestFit="1" customWidth="1"/>
    <col min="3606" max="3606" width="4.54296875" bestFit="1" customWidth="1"/>
    <col min="3607" max="3607" width="14.1796875" bestFit="1" customWidth="1"/>
    <col min="3834" max="3834" width="1.81640625" customWidth="1"/>
    <col min="3835" max="3835" width="8" customWidth="1"/>
    <col min="3836" max="3836" width="8" bestFit="1" customWidth="1"/>
    <col min="3837" max="3837" width="9" bestFit="1" customWidth="1"/>
    <col min="3838" max="3838" width="12" bestFit="1" customWidth="1"/>
    <col min="3839" max="3860" width="9" bestFit="1" customWidth="1"/>
    <col min="3861" max="3861" width="7.81640625" bestFit="1" customWidth="1"/>
    <col min="3862" max="3862" width="4.54296875" bestFit="1" customWidth="1"/>
    <col min="3863" max="3863" width="14.1796875" bestFit="1" customWidth="1"/>
    <col min="4090" max="4090" width="1.81640625" customWidth="1"/>
    <col min="4091" max="4091" width="8" customWidth="1"/>
    <col min="4092" max="4092" width="8" bestFit="1" customWidth="1"/>
    <col min="4093" max="4093" width="9" bestFit="1" customWidth="1"/>
    <col min="4094" max="4094" width="12" bestFit="1" customWidth="1"/>
    <col min="4095" max="4116" width="9" bestFit="1" customWidth="1"/>
    <col min="4117" max="4117" width="7.81640625" bestFit="1" customWidth="1"/>
    <col min="4118" max="4118" width="4.54296875" bestFit="1" customWidth="1"/>
    <col min="4119" max="4119" width="14.1796875" bestFit="1" customWidth="1"/>
    <col min="4346" max="4346" width="1.81640625" customWidth="1"/>
    <col min="4347" max="4347" width="8" customWidth="1"/>
    <col min="4348" max="4348" width="8" bestFit="1" customWidth="1"/>
    <col min="4349" max="4349" width="9" bestFit="1" customWidth="1"/>
    <col min="4350" max="4350" width="12" bestFit="1" customWidth="1"/>
    <col min="4351" max="4372" width="9" bestFit="1" customWidth="1"/>
    <col min="4373" max="4373" width="7.81640625" bestFit="1" customWidth="1"/>
    <col min="4374" max="4374" width="4.54296875" bestFit="1" customWidth="1"/>
    <col min="4375" max="4375" width="14.1796875" bestFit="1" customWidth="1"/>
    <col min="4602" max="4602" width="1.81640625" customWidth="1"/>
    <col min="4603" max="4603" width="8" customWidth="1"/>
    <col min="4604" max="4604" width="8" bestFit="1" customWidth="1"/>
    <col min="4605" max="4605" width="9" bestFit="1" customWidth="1"/>
    <col min="4606" max="4606" width="12" bestFit="1" customWidth="1"/>
    <col min="4607" max="4628" width="9" bestFit="1" customWidth="1"/>
    <col min="4629" max="4629" width="7.81640625" bestFit="1" customWidth="1"/>
    <col min="4630" max="4630" width="4.54296875" bestFit="1" customWidth="1"/>
    <col min="4631" max="4631" width="14.1796875" bestFit="1" customWidth="1"/>
    <col min="4858" max="4858" width="1.81640625" customWidth="1"/>
    <col min="4859" max="4859" width="8" customWidth="1"/>
    <col min="4860" max="4860" width="8" bestFit="1" customWidth="1"/>
    <col min="4861" max="4861" width="9" bestFit="1" customWidth="1"/>
    <col min="4862" max="4862" width="12" bestFit="1" customWidth="1"/>
    <col min="4863" max="4884" width="9" bestFit="1" customWidth="1"/>
    <col min="4885" max="4885" width="7.81640625" bestFit="1" customWidth="1"/>
    <col min="4886" max="4886" width="4.54296875" bestFit="1" customWidth="1"/>
    <col min="4887" max="4887" width="14.1796875" bestFit="1" customWidth="1"/>
    <col min="5114" max="5114" width="1.81640625" customWidth="1"/>
    <col min="5115" max="5115" width="8" customWidth="1"/>
    <col min="5116" max="5116" width="8" bestFit="1" customWidth="1"/>
    <col min="5117" max="5117" width="9" bestFit="1" customWidth="1"/>
    <col min="5118" max="5118" width="12" bestFit="1" customWidth="1"/>
    <col min="5119" max="5140" width="9" bestFit="1" customWidth="1"/>
    <col min="5141" max="5141" width="7.81640625" bestFit="1" customWidth="1"/>
    <col min="5142" max="5142" width="4.54296875" bestFit="1" customWidth="1"/>
    <col min="5143" max="5143" width="14.1796875" bestFit="1" customWidth="1"/>
    <col min="5370" max="5370" width="1.81640625" customWidth="1"/>
    <col min="5371" max="5371" width="8" customWidth="1"/>
    <col min="5372" max="5372" width="8" bestFit="1" customWidth="1"/>
    <col min="5373" max="5373" width="9" bestFit="1" customWidth="1"/>
    <col min="5374" max="5374" width="12" bestFit="1" customWidth="1"/>
    <col min="5375" max="5396" width="9" bestFit="1" customWidth="1"/>
    <col min="5397" max="5397" width="7.81640625" bestFit="1" customWidth="1"/>
    <col min="5398" max="5398" width="4.54296875" bestFit="1" customWidth="1"/>
    <col min="5399" max="5399" width="14.1796875" bestFit="1" customWidth="1"/>
    <col min="5626" max="5626" width="1.81640625" customWidth="1"/>
    <col min="5627" max="5627" width="8" customWidth="1"/>
    <col min="5628" max="5628" width="8" bestFit="1" customWidth="1"/>
    <col min="5629" max="5629" width="9" bestFit="1" customWidth="1"/>
    <col min="5630" max="5630" width="12" bestFit="1" customWidth="1"/>
    <col min="5631" max="5652" width="9" bestFit="1" customWidth="1"/>
    <col min="5653" max="5653" width="7.81640625" bestFit="1" customWidth="1"/>
    <col min="5654" max="5654" width="4.54296875" bestFit="1" customWidth="1"/>
    <col min="5655" max="5655" width="14.1796875" bestFit="1" customWidth="1"/>
    <col min="5882" max="5882" width="1.81640625" customWidth="1"/>
    <col min="5883" max="5883" width="8" customWidth="1"/>
    <col min="5884" max="5884" width="8" bestFit="1" customWidth="1"/>
    <col min="5885" max="5885" width="9" bestFit="1" customWidth="1"/>
    <col min="5886" max="5886" width="12" bestFit="1" customWidth="1"/>
    <col min="5887" max="5908" width="9" bestFit="1" customWidth="1"/>
    <col min="5909" max="5909" width="7.81640625" bestFit="1" customWidth="1"/>
    <col min="5910" max="5910" width="4.54296875" bestFit="1" customWidth="1"/>
    <col min="5911" max="5911" width="14.1796875" bestFit="1" customWidth="1"/>
    <col min="6138" max="6138" width="1.81640625" customWidth="1"/>
    <col min="6139" max="6139" width="8" customWidth="1"/>
    <col min="6140" max="6140" width="8" bestFit="1" customWidth="1"/>
    <col min="6141" max="6141" width="9" bestFit="1" customWidth="1"/>
    <col min="6142" max="6142" width="12" bestFit="1" customWidth="1"/>
    <col min="6143" max="6164" width="9" bestFit="1" customWidth="1"/>
    <col min="6165" max="6165" width="7.81640625" bestFit="1" customWidth="1"/>
    <col min="6166" max="6166" width="4.54296875" bestFit="1" customWidth="1"/>
    <col min="6167" max="6167" width="14.1796875" bestFit="1" customWidth="1"/>
    <col min="6394" max="6394" width="1.81640625" customWidth="1"/>
    <col min="6395" max="6395" width="8" customWidth="1"/>
    <col min="6396" max="6396" width="8" bestFit="1" customWidth="1"/>
    <col min="6397" max="6397" width="9" bestFit="1" customWidth="1"/>
    <col min="6398" max="6398" width="12" bestFit="1" customWidth="1"/>
    <col min="6399" max="6420" width="9" bestFit="1" customWidth="1"/>
    <col min="6421" max="6421" width="7.81640625" bestFit="1" customWidth="1"/>
    <col min="6422" max="6422" width="4.54296875" bestFit="1" customWidth="1"/>
    <col min="6423" max="6423" width="14.1796875" bestFit="1" customWidth="1"/>
    <col min="6650" max="6650" width="1.81640625" customWidth="1"/>
    <col min="6651" max="6651" width="8" customWidth="1"/>
    <col min="6652" max="6652" width="8" bestFit="1" customWidth="1"/>
    <col min="6653" max="6653" width="9" bestFit="1" customWidth="1"/>
    <col min="6654" max="6654" width="12" bestFit="1" customWidth="1"/>
    <col min="6655" max="6676" width="9" bestFit="1" customWidth="1"/>
    <col min="6677" max="6677" width="7.81640625" bestFit="1" customWidth="1"/>
    <col min="6678" max="6678" width="4.54296875" bestFit="1" customWidth="1"/>
    <col min="6679" max="6679" width="14.1796875" bestFit="1" customWidth="1"/>
    <col min="6906" max="6906" width="1.81640625" customWidth="1"/>
    <col min="6907" max="6907" width="8" customWidth="1"/>
    <col min="6908" max="6908" width="8" bestFit="1" customWidth="1"/>
    <col min="6909" max="6909" width="9" bestFit="1" customWidth="1"/>
    <col min="6910" max="6910" width="12" bestFit="1" customWidth="1"/>
    <col min="6911" max="6932" width="9" bestFit="1" customWidth="1"/>
    <col min="6933" max="6933" width="7.81640625" bestFit="1" customWidth="1"/>
    <col min="6934" max="6934" width="4.54296875" bestFit="1" customWidth="1"/>
    <col min="6935" max="6935" width="14.1796875" bestFit="1" customWidth="1"/>
    <col min="7162" max="7162" width="1.81640625" customWidth="1"/>
    <col min="7163" max="7163" width="8" customWidth="1"/>
    <col min="7164" max="7164" width="8" bestFit="1" customWidth="1"/>
    <col min="7165" max="7165" width="9" bestFit="1" customWidth="1"/>
    <col min="7166" max="7166" width="12" bestFit="1" customWidth="1"/>
    <col min="7167" max="7188" width="9" bestFit="1" customWidth="1"/>
    <col min="7189" max="7189" width="7.81640625" bestFit="1" customWidth="1"/>
    <col min="7190" max="7190" width="4.54296875" bestFit="1" customWidth="1"/>
    <col min="7191" max="7191" width="14.1796875" bestFit="1" customWidth="1"/>
    <col min="7418" max="7418" width="1.81640625" customWidth="1"/>
    <col min="7419" max="7419" width="8" customWidth="1"/>
    <col min="7420" max="7420" width="8" bestFit="1" customWidth="1"/>
    <col min="7421" max="7421" width="9" bestFit="1" customWidth="1"/>
    <col min="7422" max="7422" width="12" bestFit="1" customWidth="1"/>
    <col min="7423" max="7444" width="9" bestFit="1" customWidth="1"/>
    <col min="7445" max="7445" width="7.81640625" bestFit="1" customWidth="1"/>
    <col min="7446" max="7446" width="4.54296875" bestFit="1" customWidth="1"/>
    <col min="7447" max="7447" width="14.1796875" bestFit="1" customWidth="1"/>
    <col min="7674" max="7674" width="1.81640625" customWidth="1"/>
    <col min="7675" max="7675" width="8" customWidth="1"/>
    <col min="7676" max="7676" width="8" bestFit="1" customWidth="1"/>
    <col min="7677" max="7677" width="9" bestFit="1" customWidth="1"/>
    <col min="7678" max="7678" width="12" bestFit="1" customWidth="1"/>
    <col min="7679" max="7700" width="9" bestFit="1" customWidth="1"/>
    <col min="7701" max="7701" width="7.81640625" bestFit="1" customWidth="1"/>
    <col min="7702" max="7702" width="4.54296875" bestFit="1" customWidth="1"/>
    <col min="7703" max="7703" width="14.1796875" bestFit="1" customWidth="1"/>
    <col min="7930" max="7930" width="1.81640625" customWidth="1"/>
    <col min="7931" max="7931" width="8" customWidth="1"/>
    <col min="7932" max="7932" width="8" bestFit="1" customWidth="1"/>
    <col min="7933" max="7933" width="9" bestFit="1" customWidth="1"/>
    <col min="7934" max="7934" width="12" bestFit="1" customWidth="1"/>
    <col min="7935" max="7956" width="9" bestFit="1" customWidth="1"/>
    <col min="7957" max="7957" width="7.81640625" bestFit="1" customWidth="1"/>
    <col min="7958" max="7958" width="4.54296875" bestFit="1" customWidth="1"/>
    <col min="7959" max="7959" width="14.1796875" bestFit="1" customWidth="1"/>
    <col min="8186" max="8186" width="1.81640625" customWidth="1"/>
    <col min="8187" max="8187" width="8" customWidth="1"/>
    <col min="8188" max="8188" width="8" bestFit="1" customWidth="1"/>
    <col min="8189" max="8189" width="9" bestFit="1" customWidth="1"/>
    <col min="8190" max="8190" width="12" bestFit="1" customWidth="1"/>
    <col min="8191" max="8212" width="9" bestFit="1" customWidth="1"/>
    <col min="8213" max="8213" width="7.81640625" bestFit="1" customWidth="1"/>
    <col min="8214" max="8214" width="4.54296875" bestFit="1" customWidth="1"/>
    <col min="8215" max="8215" width="14.1796875" bestFit="1" customWidth="1"/>
    <col min="8442" max="8442" width="1.81640625" customWidth="1"/>
    <col min="8443" max="8443" width="8" customWidth="1"/>
    <col min="8444" max="8444" width="8" bestFit="1" customWidth="1"/>
    <col min="8445" max="8445" width="9" bestFit="1" customWidth="1"/>
    <col min="8446" max="8446" width="12" bestFit="1" customWidth="1"/>
    <col min="8447" max="8468" width="9" bestFit="1" customWidth="1"/>
    <col min="8469" max="8469" width="7.81640625" bestFit="1" customWidth="1"/>
    <col min="8470" max="8470" width="4.54296875" bestFit="1" customWidth="1"/>
    <col min="8471" max="8471" width="14.1796875" bestFit="1" customWidth="1"/>
    <col min="8698" max="8698" width="1.81640625" customWidth="1"/>
    <col min="8699" max="8699" width="8" customWidth="1"/>
    <col min="8700" max="8700" width="8" bestFit="1" customWidth="1"/>
    <col min="8701" max="8701" width="9" bestFit="1" customWidth="1"/>
    <col min="8702" max="8702" width="12" bestFit="1" customWidth="1"/>
    <col min="8703" max="8724" width="9" bestFit="1" customWidth="1"/>
    <col min="8725" max="8725" width="7.81640625" bestFit="1" customWidth="1"/>
    <col min="8726" max="8726" width="4.54296875" bestFit="1" customWidth="1"/>
    <col min="8727" max="8727" width="14.1796875" bestFit="1" customWidth="1"/>
    <col min="8954" max="8954" width="1.81640625" customWidth="1"/>
    <col min="8955" max="8955" width="8" customWidth="1"/>
    <col min="8956" max="8956" width="8" bestFit="1" customWidth="1"/>
    <col min="8957" max="8957" width="9" bestFit="1" customWidth="1"/>
    <col min="8958" max="8958" width="12" bestFit="1" customWidth="1"/>
    <col min="8959" max="8980" width="9" bestFit="1" customWidth="1"/>
    <col min="8981" max="8981" width="7.81640625" bestFit="1" customWidth="1"/>
    <col min="8982" max="8982" width="4.54296875" bestFit="1" customWidth="1"/>
    <col min="8983" max="8983" width="14.1796875" bestFit="1" customWidth="1"/>
    <col min="9210" max="9210" width="1.81640625" customWidth="1"/>
    <col min="9211" max="9211" width="8" customWidth="1"/>
    <col min="9212" max="9212" width="8" bestFit="1" customWidth="1"/>
    <col min="9213" max="9213" width="9" bestFit="1" customWidth="1"/>
    <col min="9214" max="9214" width="12" bestFit="1" customWidth="1"/>
    <col min="9215" max="9236" width="9" bestFit="1" customWidth="1"/>
    <col min="9237" max="9237" width="7.81640625" bestFit="1" customWidth="1"/>
    <col min="9238" max="9238" width="4.54296875" bestFit="1" customWidth="1"/>
    <col min="9239" max="9239" width="14.1796875" bestFit="1" customWidth="1"/>
    <col min="9466" max="9466" width="1.81640625" customWidth="1"/>
    <col min="9467" max="9467" width="8" customWidth="1"/>
    <col min="9468" max="9468" width="8" bestFit="1" customWidth="1"/>
    <col min="9469" max="9469" width="9" bestFit="1" customWidth="1"/>
    <col min="9470" max="9470" width="12" bestFit="1" customWidth="1"/>
    <col min="9471" max="9492" width="9" bestFit="1" customWidth="1"/>
    <col min="9493" max="9493" width="7.81640625" bestFit="1" customWidth="1"/>
    <col min="9494" max="9494" width="4.54296875" bestFit="1" customWidth="1"/>
    <col min="9495" max="9495" width="14.1796875" bestFit="1" customWidth="1"/>
    <col min="9722" max="9722" width="1.81640625" customWidth="1"/>
    <col min="9723" max="9723" width="8" customWidth="1"/>
    <col min="9724" max="9724" width="8" bestFit="1" customWidth="1"/>
    <col min="9725" max="9725" width="9" bestFit="1" customWidth="1"/>
    <col min="9726" max="9726" width="12" bestFit="1" customWidth="1"/>
    <col min="9727" max="9748" width="9" bestFit="1" customWidth="1"/>
    <col min="9749" max="9749" width="7.81640625" bestFit="1" customWidth="1"/>
    <col min="9750" max="9750" width="4.54296875" bestFit="1" customWidth="1"/>
    <col min="9751" max="9751" width="14.1796875" bestFit="1" customWidth="1"/>
    <col min="9978" max="9978" width="1.81640625" customWidth="1"/>
    <col min="9979" max="9979" width="8" customWidth="1"/>
    <col min="9980" max="9980" width="8" bestFit="1" customWidth="1"/>
    <col min="9981" max="9981" width="9" bestFit="1" customWidth="1"/>
    <col min="9982" max="9982" width="12" bestFit="1" customWidth="1"/>
    <col min="9983" max="10004" width="9" bestFit="1" customWidth="1"/>
    <col min="10005" max="10005" width="7.81640625" bestFit="1" customWidth="1"/>
    <col min="10006" max="10006" width="4.54296875" bestFit="1" customWidth="1"/>
    <col min="10007" max="10007" width="14.1796875" bestFit="1" customWidth="1"/>
    <col min="10234" max="10234" width="1.81640625" customWidth="1"/>
    <col min="10235" max="10235" width="8" customWidth="1"/>
    <col min="10236" max="10236" width="8" bestFit="1" customWidth="1"/>
    <col min="10237" max="10237" width="9" bestFit="1" customWidth="1"/>
    <col min="10238" max="10238" width="12" bestFit="1" customWidth="1"/>
    <col min="10239" max="10260" width="9" bestFit="1" customWidth="1"/>
    <col min="10261" max="10261" width="7.81640625" bestFit="1" customWidth="1"/>
    <col min="10262" max="10262" width="4.54296875" bestFit="1" customWidth="1"/>
    <col min="10263" max="10263" width="14.1796875" bestFit="1" customWidth="1"/>
    <col min="10490" max="10490" width="1.81640625" customWidth="1"/>
    <col min="10491" max="10491" width="8" customWidth="1"/>
    <col min="10492" max="10492" width="8" bestFit="1" customWidth="1"/>
    <col min="10493" max="10493" width="9" bestFit="1" customWidth="1"/>
    <col min="10494" max="10494" width="12" bestFit="1" customWidth="1"/>
    <col min="10495" max="10516" width="9" bestFit="1" customWidth="1"/>
    <col min="10517" max="10517" width="7.81640625" bestFit="1" customWidth="1"/>
    <col min="10518" max="10518" width="4.54296875" bestFit="1" customWidth="1"/>
    <col min="10519" max="10519" width="14.1796875" bestFit="1" customWidth="1"/>
    <col min="10746" max="10746" width="1.81640625" customWidth="1"/>
    <col min="10747" max="10747" width="8" customWidth="1"/>
    <col min="10748" max="10748" width="8" bestFit="1" customWidth="1"/>
    <col min="10749" max="10749" width="9" bestFit="1" customWidth="1"/>
    <col min="10750" max="10750" width="12" bestFit="1" customWidth="1"/>
    <col min="10751" max="10772" width="9" bestFit="1" customWidth="1"/>
    <col min="10773" max="10773" width="7.81640625" bestFit="1" customWidth="1"/>
    <col min="10774" max="10774" width="4.54296875" bestFit="1" customWidth="1"/>
    <col min="10775" max="10775" width="14.1796875" bestFit="1" customWidth="1"/>
    <col min="11002" max="11002" width="1.81640625" customWidth="1"/>
    <col min="11003" max="11003" width="8" customWidth="1"/>
    <col min="11004" max="11004" width="8" bestFit="1" customWidth="1"/>
    <col min="11005" max="11005" width="9" bestFit="1" customWidth="1"/>
    <col min="11006" max="11006" width="12" bestFit="1" customWidth="1"/>
    <col min="11007" max="11028" width="9" bestFit="1" customWidth="1"/>
    <col min="11029" max="11029" width="7.81640625" bestFit="1" customWidth="1"/>
    <col min="11030" max="11030" width="4.54296875" bestFit="1" customWidth="1"/>
    <col min="11031" max="11031" width="14.1796875" bestFit="1" customWidth="1"/>
    <col min="11258" max="11258" width="1.81640625" customWidth="1"/>
    <col min="11259" max="11259" width="8" customWidth="1"/>
    <col min="11260" max="11260" width="8" bestFit="1" customWidth="1"/>
    <col min="11261" max="11261" width="9" bestFit="1" customWidth="1"/>
    <col min="11262" max="11262" width="12" bestFit="1" customWidth="1"/>
    <col min="11263" max="11284" width="9" bestFit="1" customWidth="1"/>
    <col min="11285" max="11285" width="7.81640625" bestFit="1" customWidth="1"/>
    <col min="11286" max="11286" width="4.54296875" bestFit="1" customWidth="1"/>
    <col min="11287" max="11287" width="14.1796875" bestFit="1" customWidth="1"/>
    <col min="11514" max="11514" width="1.81640625" customWidth="1"/>
    <col min="11515" max="11515" width="8" customWidth="1"/>
    <col min="11516" max="11516" width="8" bestFit="1" customWidth="1"/>
    <col min="11517" max="11517" width="9" bestFit="1" customWidth="1"/>
    <col min="11518" max="11518" width="12" bestFit="1" customWidth="1"/>
    <col min="11519" max="11540" width="9" bestFit="1" customWidth="1"/>
    <col min="11541" max="11541" width="7.81640625" bestFit="1" customWidth="1"/>
    <col min="11542" max="11542" width="4.54296875" bestFit="1" customWidth="1"/>
    <col min="11543" max="11543" width="14.1796875" bestFit="1" customWidth="1"/>
    <col min="11770" max="11770" width="1.81640625" customWidth="1"/>
    <col min="11771" max="11771" width="8" customWidth="1"/>
    <col min="11772" max="11772" width="8" bestFit="1" customWidth="1"/>
    <col min="11773" max="11773" width="9" bestFit="1" customWidth="1"/>
    <col min="11774" max="11774" width="12" bestFit="1" customWidth="1"/>
    <col min="11775" max="11796" width="9" bestFit="1" customWidth="1"/>
    <col min="11797" max="11797" width="7.81640625" bestFit="1" customWidth="1"/>
    <col min="11798" max="11798" width="4.54296875" bestFit="1" customWidth="1"/>
    <col min="11799" max="11799" width="14.1796875" bestFit="1" customWidth="1"/>
    <col min="12026" max="12026" width="1.81640625" customWidth="1"/>
    <col min="12027" max="12027" width="8" customWidth="1"/>
    <col min="12028" max="12028" width="8" bestFit="1" customWidth="1"/>
    <col min="12029" max="12029" width="9" bestFit="1" customWidth="1"/>
    <col min="12030" max="12030" width="12" bestFit="1" customWidth="1"/>
    <col min="12031" max="12052" width="9" bestFit="1" customWidth="1"/>
    <col min="12053" max="12053" width="7.81640625" bestFit="1" customWidth="1"/>
    <col min="12054" max="12054" width="4.54296875" bestFit="1" customWidth="1"/>
    <col min="12055" max="12055" width="14.1796875" bestFit="1" customWidth="1"/>
    <col min="12282" max="12282" width="1.81640625" customWidth="1"/>
    <col min="12283" max="12283" width="8" customWidth="1"/>
    <col min="12284" max="12284" width="8" bestFit="1" customWidth="1"/>
    <col min="12285" max="12285" width="9" bestFit="1" customWidth="1"/>
    <col min="12286" max="12286" width="12" bestFit="1" customWidth="1"/>
    <col min="12287" max="12308" width="9" bestFit="1" customWidth="1"/>
    <col min="12309" max="12309" width="7.81640625" bestFit="1" customWidth="1"/>
    <col min="12310" max="12310" width="4.54296875" bestFit="1" customWidth="1"/>
    <col min="12311" max="12311" width="14.1796875" bestFit="1" customWidth="1"/>
    <col min="12538" max="12538" width="1.81640625" customWidth="1"/>
    <col min="12539" max="12539" width="8" customWidth="1"/>
    <col min="12540" max="12540" width="8" bestFit="1" customWidth="1"/>
    <col min="12541" max="12541" width="9" bestFit="1" customWidth="1"/>
    <col min="12542" max="12542" width="12" bestFit="1" customWidth="1"/>
    <col min="12543" max="12564" width="9" bestFit="1" customWidth="1"/>
    <col min="12565" max="12565" width="7.81640625" bestFit="1" customWidth="1"/>
    <col min="12566" max="12566" width="4.54296875" bestFit="1" customWidth="1"/>
    <col min="12567" max="12567" width="14.1796875" bestFit="1" customWidth="1"/>
    <col min="12794" max="12794" width="1.81640625" customWidth="1"/>
    <col min="12795" max="12795" width="8" customWidth="1"/>
    <col min="12796" max="12796" width="8" bestFit="1" customWidth="1"/>
    <col min="12797" max="12797" width="9" bestFit="1" customWidth="1"/>
    <col min="12798" max="12798" width="12" bestFit="1" customWidth="1"/>
    <col min="12799" max="12820" width="9" bestFit="1" customWidth="1"/>
    <col min="12821" max="12821" width="7.81640625" bestFit="1" customWidth="1"/>
    <col min="12822" max="12822" width="4.54296875" bestFit="1" customWidth="1"/>
    <col min="12823" max="12823" width="14.1796875" bestFit="1" customWidth="1"/>
    <col min="13050" max="13050" width="1.81640625" customWidth="1"/>
    <col min="13051" max="13051" width="8" customWidth="1"/>
    <col min="13052" max="13052" width="8" bestFit="1" customWidth="1"/>
    <col min="13053" max="13053" width="9" bestFit="1" customWidth="1"/>
    <col min="13054" max="13054" width="12" bestFit="1" customWidth="1"/>
    <col min="13055" max="13076" width="9" bestFit="1" customWidth="1"/>
    <col min="13077" max="13077" width="7.81640625" bestFit="1" customWidth="1"/>
    <col min="13078" max="13078" width="4.54296875" bestFit="1" customWidth="1"/>
    <col min="13079" max="13079" width="14.1796875" bestFit="1" customWidth="1"/>
    <col min="13306" max="13306" width="1.81640625" customWidth="1"/>
    <col min="13307" max="13307" width="8" customWidth="1"/>
    <col min="13308" max="13308" width="8" bestFit="1" customWidth="1"/>
    <col min="13309" max="13309" width="9" bestFit="1" customWidth="1"/>
    <col min="13310" max="13310" width="12" bestFit="1" customWidth="1"/>
    <col min="13311" max="13332" width="9" bestFit="1" customWidth="1"/>
    <col min="13333" max="13333" width="7.81640625" bestFit="1" customWidth="1"/>
    <col min="13334" max="13334" width="4.54296875" bestFit="1" customWidth="1"/>
    <col min="13335" max="13335" width="14.1796875" bestFit="1" customWidth="1"/>
    <col min="13562" max="13562" width="1.81640625" customWidth="1"/>
    <col min="13563" max="13563" width="8" customWidth="1"/>
    <col min="13564" max="13564" width="8" bestFit="1" customWidth="1"/>
    <col min="13565" max="13565" width="9" bestFit="1" customWidth="1"/>
    <col min="13566" max="13566" width="12" bestFit="1" customWidth="1"/>
    <col min="13567" max="13588" width="9" bestFit="1" customWidth="1"/>
    <col min="13589" max="13589" width="7.81640625" bestFit="1" customWidth="1"/>
    <col min="13590" max="13590" width="4.54296875" bestFit="1" customWidth="1"/>
    <col min="13591" max="13591" width="14.1796875" bestFit="1" customWidth="1"/>
    <col min="13818" max="13818" width="1.81640625" customWidth="1"/>
    <col min="13819" max="13819" width="8" customWidth="1"/>
    <col min="13820" max="13820" width="8" bestFit="1" customWidth="1"/>
    <col min="13821" max="13821" width="9" bestFit="1" customWidth="1"/>
    <col min="13822" max="13822" width="12" bestFit="1" customWidth="1"/>
    <col min="13823" max="13844" width="9" bestFit="1" customWidth="1"/>
    <col min="13845" max="13845" width="7.81640625" bestFit="1" customWidth="1"/>
    <col min="13846" max="13846" width="4.54296875" bestFit="1" customWidth="1"/>
    <col min="13847" max="13847" width="14.1796875" bestFit="1" customWidth="1"/>
    <col min="14074" max="14074" width="1.81640625" customWidth="1"/>
    <col min="14075" max="14075" width="8" customWidth="1"/>
    <col min="14076" max="14076" width="8" bestFit="1" customWidth="1"/>
    <col min="14077" max="14077" width="9" bestFit="1" customWidth="1"/>
    <col min="14078" max="14078" width="12" bestFit="1" customWidth="1"/>
    <col min="14079" max="14100" width="9" bestFit="1" customWidth="1"/>
    <col min="14101" max="14101" width="7.81640625" bestFit="1" customWidth="1"/>
    <col min="14102" max="14102" width="4.54296875" bestFit="1" customWidth="1"/>
    <col min="14103" max="14103" width="14.1796875" bestFit="1" customWidth="1"/>
    <col min="14330" max="14330" width="1.81640625" customWidth="1"/>
    <col min="14331" max="14331" width="8" customWidth="1"/>
    <col min="14332" max="14332" width="8" bestFit="1" customWidth="1"/>
    <col min="14333" max="14333" width="9" bestFit="1" customWidth="1"/>
    <col min="14334" max="14334" width="12" bestFit="1" customWidth="1"/>
    <col min="14335" max="14356" width="9" bestFit="1" customWidth="1"/>
    <col min="14357" max="14357" width="7.81640625" bestFit="1" customWidth="1"/>
    <col min="14358" max="14358" width="4.54296875" bestFit="1" customWidth="1"/>
    <col min="14359" max="14359" width="14.1796875" bestFit="1" customWidth="1"/>
    <col min="14586" max="14586" width="1.81640625" customWidth="1"/>
    <col min="14587" max="14587" width="8" customWidth="1"/>
    <col min="14588" max="14588" width="8" bestFit="1" customWidth="1"/>
    <col min="14589" max="14589" width="9" bestFit="1" customWidth="1"/>
    <col min="14590" max="14590" width="12" bestFit="1" customWidth="1"/>
    <col min="14591" max="14612" width="9" bestFit="1" customWidth="1"/>
    <col min="14613" max="14613" width="7.81640625" bestFit="1" customWidth="1"/>
    <col min="14614" max="14614" width="4.54296875" bestFit="1" customWidth="1"/>
    <col min="14615" max="14615" width="14.1796875" bestFit="1" customWidth="1"/>
    <col min="14842" max="14842" width="1.81640625" customWidth="1"/>
    <col min="14843" max="14843" width="8" customWidth="1"/>
    <col min="14844" max="14844" width="8" bestFit="1" customWidth="1"/>
    <col min="14845" max="14845" width="9" bestFit="1" customWidth="1"/>
    <col min="14846" max="14846" width="12" bestFit="1" customWidth="1"/>
    <col min="14847" max="14868" width="9" bestFit="1" customWidth="1"/>
    <col min="14869" max="14869" width="7.81640625" bestFit="1" customWidth="1"/>
    <col min="14870" max="14870" width="4.54296875" bestFit="1" customWidth="1"/>
    <col min="14871" max="14871" width="14.1796875" bestFit="1" customWidth="1"/>
    <col min="15098" max="15098" width="1.81640625" customWidth="1"/>
    <col min="15099" max="15099" width="8" customWidth="1"/>
    <col min="15100" max="15100" width="8" bestFit="1" customWidth="1"/>
    <col min="15101" max="15101" width="9" bestFit="1" customWidth="1"/>
    <col min="15102" max="15102" width="12" bestFit="1" customWidth="1"/>
    <col min="15103" max="15124" width="9" bestFit="1" customWidth="1"/>
    <col min="15125" max="15125" width="7.81640625" bestFit="1" customWidth="1"/>
    <col min="15126" max="15126" width="4.54296875" bestFit="1" customWidth="1"/>
    <col min="15127" max="15127" width="14.1796875" bestFit="1" customWidth="1"/>
    <col min="15354" max="15354" width="1.81640625" customWidth="1"/>
    <col min="15355" max="15355" width="8" customWidth="1"/>
    <col min="15356" max="15356" width="8" bestFit="1" customWidth="1"/>
    <col min="15357" max="15357" width="9" bestFit="1" customWidth="1"/>
    <col min="15358" max="15358" width="12" bestFit="1" customWidth="1"/>
    <col min="15359" max="15380" width="9" bestFit="1" customWidth="1"/>
    <col min="15381" max="15381" width="7.81640625" bestFit="1" customWidth="1"/>
    <col min="15382" max="15382" width="4.54296875" bestFit="1" customWidth="1"/>
    <col min="15383" max="15383" width="14.1796875" bestFit="1" customWidth="1"/>
    <col min="15610" max="15610" width="1.81640625" customWidth="1"/>
    <col min="15611" max="15611" width="8" customWidth="1"/>
    <col min="15612" max="15612" width="8" bestFit="1" customWidth="1"/>
    <col min="15613" max="15613" width="9" bestFit="1" customWidth="1"/>
    <col min="15614" max="15614" width="12" bestFit="1" customWidth="1"/>
    <col min="15615" max="15636" width="9" bestFit="1" customWidth="1"/>
    <col min="15637" max="15637" width="7.81640625" bestFit="1" customWidth="1"/>
    <col min="15638" max="15638" width="4.54296875" bestFit="1" customWidth="1"/>
    <col min="15639" max="15639" width="14.1796875" bestFit="1" customWidth="1"/>
    <col min="15866" max="15866" width="1.81640625" customWidth="1"/>
    <col min="15867" max="15867" width="8" customWidth="1"/>
    <col min="15868" max="15868" width="8" bestFit="1" customWidth="1"/>
    <col min="15869" max="15869" width="9" bestFit="1" customWidth="1"/>
    <col min="15870" max="15870" width="12" bestFit="1" customWidth="1"/>
    <col min="15871" max="15892" width="9" bestFit="1" customWidth="1"/>
    <col min="15893" max="15893" width="7.81640625" bestFit="1" customWidth="1"/>
    <col min="15894" max="15894" width="4.54296875" bestFit="1" customWidth="1"/>
    <col min="15895" max="15895" width="14.1796875" bestFit="1" customWidth="1"/>
    <col min="16122" max="16122" width="1.81640625" customWidth="1"/>
    <col min="16123" max="16123" width="8" customWidth="1"/>
    <col min="16124" max="16124" width="8" bestFit="1" customWidth="1"/>
    <col min="16125" max="16125" width="9" bestFit="1" customWidth="1"/>
    <col min="16126" max="16126" width="12" bestFit="1" customWidth="1"/>
    <col min="16127" max="16148" width="9" bestFit="1" customWidth="1"/>
    <col min="16149" max="16149" width="7.81640625" bestFit="1" customWidth="1"/>
    <col min="16150" max="16150" width="4.54296875" bestFit="1" customWidth="1"/>
    <col min="16151" max="16151" width="14.1796875" bestFit="1" customWidth="1"/>
  </cols>
  <sheetData>
    <row r="2" spans="2:56" ht="15.5">
      <c r="B2" s="54" t="s">
        <v>0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</row>
    <row r="3" spans="2:56" ht="15.5">
      <c r="B3" s="54" t="s">
        <v>42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</row>
    <row r="4" spans="2:56" ht="16" thickBot="1">
      <c r="B4" s="55" t="s">
        <v>37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</row>
    <row r="5" spans="2:56" ht="25.5" customHeight="1" thickBot="1">
      <c r="B5" s="37"/>
      <c r="C5" s="38" t="s">
        <v>1</v>
      </c>
      <c r="D5" s="39">
        <v>1</v>
      </c>
      <c r="E5" s="39">
        <v>2</v>
      </c>
      <c r="F5" s="39">
        <v>3</v>
      </c>
      <c r="G5" s="39">
        <v>4</v>
      </c>
      <c r="H5" s="39">
        <v>5</v>
      </c>
      <c r="I5" s="39">
        <v>6</v>
      </c>
      <c r="J5" s="40">
        <v>7</v>
      </c>
      <c r="K5" s="40">
        <v>8</v>
      </c>
      <c r="L5" s="40">
        <v>9</v>
      </c>
      <c r="M5" s="40">
        <v>10</v>
      </c>
      <c r="N5" s="40">
        <v>11</v>
      </c>
      <c r="O5" s="40">
        <v>12</v>
      </c>
      <c r="P5" s="40">
        <v>13</v>
      </c>
      <c r="Q5" s="40">
        <v>14</v>
      </c>
      <c r="R5" s="40">
        <v>15</v>
      </c>
      <c r="S5" s="40">
        <v>16</v>
      </c>
      <c r="T5" s="40">
        <v>17</v>
      </c>
      <c r="U5" s="40">
        <v>18</v>
      </c>
      <c r="V5" s="41">
        <v>19</v>
      </c>
      <c r="W5" s="41">
        <v>20</v>
      </c>
      <c r="X5" s="41">
        <v>21</v>
      </c>
      <c r="Y5" s="39">
        <v>22</v>
      </c>
      <c r="Z5" s="39">
        <v>23</v>
      </c>
      <c r="AA5" s="42">
        <v>24</v>
      </c>
      <c r="AB5" s="14" t="s">
        <v>2</v>
      </c>
      <c r="AC5" s="15" t="s">
        <v>3</v>
      </c>
      <c r="AD5" s="16" t="s">
        <v>2</v>
      </c>
    </row>
    <row r="6" spans="2:56">
      <c r="B6" s="48">
        <v>46023</v>
      </c>
      <c r="C6" s="8" t="s">
        <v>5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1014.66</v>
      </c>
      <c r="K6" s="7">
        <v>2718.11</v>
      </c>
      <c r="L6" s="7">
        <v>3697.61</v>
      </c>
      <c r="M6" s="7">
        <v>3903.31</v>
      </c>
      <c r="N6" s="7">
        <v>4526.82</v>
      </c>
      <c r="O6" s="7">
        <v>4717.59</v>
      </c>
      <c r="P6" s="7">
        <v>4354.0600000000004</v>
      </c>
      <c r="Q6" s="7">
        <v>4613.8999999999996</v>
      </c>
      <c r="R6" s="7">
        <v>4991.62</v>
      </c>
      <c r="S6" s="7">
        <v>4911.0200000000004</v>
      </c>
      <c r="T6" s="7">
        <v>4665.62</v>
      </c>
      <c r="U6" s="7">
        <v>3723.05</v>
      </c>
      <c r="V6" s="7">
        <v>3350.49</v>
      </c>
      <c r="W6" s="7">
        <v>2896.74</v>
      </c>
      <c r="X6" s="7">
        <v>2090.88</v>
      </c>
      <c r="Y6" s="7">
        <v>1228.1500000000001</v>
      </c>
      <c r="Z6" s="7">
        <v>554.75</v>
      </c>
      <c r="AA6" s="11">
        <v>141.51</v>
      </c>
      <c r="AB6" s="5">
        <f t="shared" ref="AB6:AB69" si="0">(SUM(D6:AA6))</f>
        <v>58099.89</v>
      </c>
      <c r="AC6" s="5">
        <v>20</v>
      </c>
      <c r="AD6" s="51">
        <f>(AB6*AC6)+(AB7*AC7)+(AB8*AC8)+(AB9*AC9)</f>
        <v>1552866.8</v>
      </c>
      <c r="AE6" s="47">
        <f>+AD6</f>
        <v>1552866.8</v>
      </c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</row>
    <row r="7" spans="2:56">
      <c r="B7" s="49"/>
      <c r="C7" s="1" t="s">
        <v>6</v>
      </c>
      <c r="D7" s="2">
        <v>493.04</v>
      </c>
      <c r="E7" s="2">
        <v>205.84</v>
      </c>
      <c r="F7" s="2">
        <v>15.85</v>
      </c>
      <c r="G7" s="2">
        <v>0</v>
      </c>
      <c r="H7" s="2">
        <v>0</v>
      </c>
      <c r="I7" s="2">
        <v>50.24</v>
      </c>
      <c r="J7" s="2">
        <v>1092.4000000000001</v>
      </c>
      <c r="K7" s="2">
        <v>2421.08</v>
      </c>
      <c r="L7" s="2">
        <v>3274</v>
      </c>
      <c r="M7" s="2">
        <v>3577.53</v>
      </c>
      <c r="N7" s="2">
        <v>4058.64</v>
      </c>
      <c r="O7" s="2">
        <v>4117.7</v>
      </c>
      <c r="P7" s="2">
        <v>3805.92</v>
      </c>
      <c r="Q7" s="2">
        <v>3471.02</v>
      </c>
      <c r="R7" s="2">
        <v>3249.95</v>
      </c>
      <c r="S7" s="2">
        <v>3174.38</v>
      </c>
      <c r="T7" s="2">
        <v>3020.02</v>
      </c>
      <c r="U7" s="2">
        <v>3002.08</v>
      </c>
      <c r="V7" s="2">
        <v>3125.37</v>
      </c>
      <c r="W7" s="2">
        <v>2727.49</v>
      </c>
      <c r="X7" s="2">
        <v>2110.91</v>
      </c>
      <c r="Y7" s="2">
        <v>1165.31</v>
      </c>
      <c r="Z7" s="2">
        <v>639.66</v>
      </c>
      <c r="AA7" s="12">
        <v>269.31</v>
      </c>
      <c r="AB7" s="3">
        <f t="shared" si="0"/>
        <v>49067.739999999991</v>
      </c>
      <c r="AC7" s="3">
        <v>5</v>
      </c>
      <c r="AD7" s="52"/>
      <c r="AE7" s="47">
        <f>+AD10</f>
        <v>1473870.48</v>
      </c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</row>
    <row r="8" spans="2:56">
      <c r="B8" s="49"/>
      <c r="C8" s="1" t="s">
        <v>7</v>
      </c>
      <c r="D8" s="2">
        <v>211.55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278.61</v>
      </c>
      <c r="L8" s="2">
        <v>693.32</v>
      </c>
      <c r="M8" s="2">
        <v>941.72</v>
      </c>
      <c r="N8" s="2">
        <v>1443.74</v>
      </c>
      <c r="O8" s="2">
        <v>1652.12</v>
      </c>
      <c r="P8" s="2">
        <v>1868.34</v>
      </c>
      <c r="Q8" s="2">
        <v>1901.61</v>
      </c>
      <c r="R8" s="2">
        <v>1860.92</v>
      </c>
      <c r="S8" s="2">
        <v>1933.29</v>
      </c>
      <c r="T8" s="2">
        <v>1995.23</v>
      </c>
      <c r="U8" s="2">
        <v>2078.11</v>
      </c>
      <c r="V8" s="2">
        <v>2389.4899999999998</v>
      </c>
      <c r="W8" s="2">
        <v>2365.66</v>
      </c>
      <c r="X8" s="2">
        <v>1996.81</v>
      </c>
      <c r="Y8" s="2">
        <v>1166.77</v>
      </c>
      <c r="Z8" s="2">
        <v>730.85</v>
      </c>
      <c r="AA8" s="12">
        <v>420.8</v>
      </c>
      <c r="AB8" s="3">
        <f t="shared" si="0"/>
        <v>25928.940000000002</v>
      </c>
      <c r="AC8" s="3">
        <v>4</v>
      </c>
      <c r="AD8" s="52"/>
      <c r="AE8" s="47">
        <f>+AD14</f>
        <v>1731537.3399999996</v>
      </c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</row>
    <row r="9" spans="2:56" ht="15" thickBot="1">
      <c r="B9" s="50"/>
      <c r="C9" s="9" t="s">
        <v>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415.01</v>
      </c>
      <c r="M9" s="10">
        <v>672.56</v>
      </c>
      <c r="N9" s="10">
        <v>1216.17</v>
      </c>
      <c r="O9" s="10">
        <v>1417.27</v>
      </c>
      <c r="P9" s="10">
        <v>1607.91</v>
      </c>
      <c r="Q9" s="10">
        <v>1623.33</v>
      </c>
      <c r="R9" s="10">
        <v>1686.52</v>
      </c>
      <c r="S9" s="10">
        <v>1732.95</v>
      </c>
      <c r="T9" s="10">
        <v>1733.36</v>
      </c>
      <c r="U9" s="10">
        <v>1884.32</v>
      </c>
      <c r="V9" s="10">
        <v>2212.36</v>
      </c>
      <c r="W9" s="10">
        <v>2039.56</v>
      </c>
      <c r="X9" s="10">
        <v>1653.2</v>
      </c>
      <c r="Y9" s="10">
        <v>756.71</v>
      </c>
      <c r="Z9" s="10">
        <v>256.04000000000002</v>
      </c>
      <c r="AA9" s="13">
        <v>0</v>
      </c>
      <c r="AB9" s="6">
        <f t="shared" si="0"/>
        <v>20907.270000000004</v>
      </c>
      <c r="AC9" s="6">
        <v>2</v>
      </c>
      <c r="AD9" s="53"/>
      <c r="AE9" s="47">
        <f>+AD18</f>
        <v>1478016.7799999998</v>
      </c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</row>
    <row r="10" spans="2:56">
      <c r="B10" s="48">
        <v>46054</v>
      </c>
      <c r="C10" s="8" t="s">
        <v>5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503.97</v>
      </c>
      <c r="J10" s="7">
        <v>2120.9699999999998</v>
      </c>
      <c r="K10" s="7">
        <v>4042.31</v>
      </c>
      <c r="L10" s="7">
        <v>4691.47</v>
      </c>
      <c r="M10" s="7">
        <v>4791.04</v>
      </c>
      <c r="N10" s="7">
        <v>5117.6499999999996</v>
      </c>
      <c r="O10" s="7">
        <v>4927.34</v>
      </c>
      <c r="P10" s="7">
        <v>4428.92</v>
      </c>
      <c r="Q10" s="7">
        <v>5056.0600000000004</v>
      </c>
      <c r="R10" s="7">
        <v>5509.66</v>
      </c>
      <c r="S10" s="7">
        <v>5514.95</v>
      </c>
      <c r="T10" s="7">
        <v>5268.51</v>
      </c>
      <c r="U10" s="7">
        <v>4384.92</v>
      </c>
      <c r="V10" s="7">
        <v>3658.09</v>
      </c>
      <c r="W10" s="7">
        <v>3159.24</v>
      </c>
      <c r="X10" s="7">
        <v>2216.62</v>
      </c>
      <c r="Y10" s="7">
        <v>1453.86</v>
      </c>
      <c r="Z10" s="7">
        <v>728.77</v>
      </c>
      <c r="AA10" s="11">
        <v>306.83</v>
      </c>
      <c r="AB10" s="5">
        <f t="shared" si="0"/>
        <v>67881.180000000008</v>
      </c>
      <c r="AC10" s="5">
        <v>20</v>
      </c>
      <c r="AD10" s="51">
        <f>(AB10*AC10)+(AB11*AC11)+(AB12*AC12)+(AB13*AC13)</f>
        <v>1473870.48</v>
      </c>
      <c r="AE10" s="47">
        <f>+AD22</f>
        <v>1828194.3399999999</v>
      </c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</row>
    <row r="11" spans="2:56">
      <c r="B11" s="49"/>
      <c r="C11" s="1" t="s">
        <v>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740.98</v>
      </c>
      <c r="K11" s="2">
        <v>1977.75</v>
      </c>
      <c r="L11" s="2">
        <v>2511.02</v>
      </c>
      <c r="M11" s="2">
        <v>2809.69</v>
      </c>
      <c r="N11" s="2">
        <v>3021.66</v>
      </c>
      <c r="O11" s="2">
        <v>2636.72</v>
      </c>
      <c r="P11" s="2">
        <v>1858.93</v>
      </c>
      <c r="Q11" s="2">
        <v>1572.94</v>
      </c>
      <c r="R11" s="2">
        <v>1648.04</v>
      </c>
      <c r="S11" s="2">
        <v>1738.84</v>
      </c>
      <c r="T11" s="2">
        <v>1749.45</v>
      </c>
      <c r="U11" s="2">
        <v>1042.8599999999999</v>
      </c>
      <c r="V11" s="2">
        <v>1040.58</v>
      </c>
      <c r="W11" s="2">
        <v>1165.67</v>
      </c>
      <c r="X11" s="2">
        <v>912.81</v>
      </c>
      <c r="Y11" s="2">
        <v>260.42</v>
      </c>
      <c r="Z11" s="2">
        <v>0</v>
      </c>
      <c r="AA11" s="12">
        <v>0</v>
      </c>
      <c r="AB11" s="3">
        <f t="shared" si="0"/>
        <v>26688.359999999997</v>
      </c>
      <c r="AC11" s="3">
        <v>4</v>
      </c>
      <c r="AD11" s="52"/>
      <c r="AE11" s="47">
        <f>+AD26</f>
        <v>1973106.7399999998</v>
      </c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</row>
    <row r="12" spans="2:56">
      <c r="B12" s="49"/>
      <c r="C12" s="1" t="s">
        <v>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59.01</v>
      </c>
      <c r="S12" s="2">
        <v>310.08</v>
      </c>
      <c r="T12" s="2">
        <v>474.97</v>
      </c>
      <c r="U12" s="2">
        <v>182.22</v>
      </c>
      <c r="V12" s="2">
        <v>314.07</v>
      </c>
      <c r="W12" s="2">
        <v>533.87</v>
      </c>
      <c r="X12" s="2">
        <v>499.14</v>
      </c>
      <c r="Y12" s="2">
        <v>0</v>
      </c>
      <c r="Z12" s="2">
        <v>0</v>
      </c>
      <c r="AA12" s="12">
        <v>0</v>
      </c>
      <c r="AB12" s="3">
        <f t="shared" si="0"/>
        <v>2373.3599999999997</v>
      </c>
      <c r="AC12" s="3">
        <v>4</v>
      </c>
      <c r="AD12" s="52"/>
      <c r="AE12" s="47">
        <f>+AD30</f>
        <v>1510339.6599999997</v>
      </c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</row>
    <row r="13" spans="2:56" ht="15" thickBot="1">
      <c r="B13" s="50"/>
      <c r="C13" s="9" t="s">
        <v>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3">
        <v>0</v>
      </c>
      <c r="AB13" s="6">
        <f t="shared" si="0"/>
        <v>0</v>
      </c>
      <c r="AC13" s="6">
        <v>0</v>
      </c>
      <c r="AD13" s="53"/>
      <c r="AE13" s="47">
        <f>+AD34</f>
        <v>2285036.2800000003</v>
      </c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</row>
    <row r="14" spans="2:56">
      <c r="B14" s="48">
        <v>46082</v>
      </c>
      <c r="C14" s="8" t="s">
        <v>5</v>
      </c>
      <c r="D14" s="7">
        <v>428.83</v>
      </c>
      <c r="E14" s="7">
        <v>195.89</v>
      </c>
      <c r="F14" s="7">
        <v>39.450000000000003</v>
      </c>
      <c r="G14" s="7">
        <v>0</v>
      </c>
      <c r="H14" s="7">
        <v>0</v>
      </c>
      <c r="I14" s="7">
        <v>552.20000000000005</v>
      </c>
      <c r="J14" s="7">
        <v>2012.79</v>
      </c>
      <c r="K14" s="7">
        <v>3943.5</v>
      </c>
      <c r="L14" s="7">
        <v>5052.1499999999996</v>
      </c>
      <c r="M14" s="7">
        <v>5284.97</v>
      </c>
      <c r="N14" s="7">
        <v>5699.44</v>
      </c>
      <c r="O14" s="7">
        <v>5744.58</v>
      </c>
      <c r="P14" s="7">
        <v>5795.14</v>
      </c>
      <c r="Q14" s="7">
        <v>5850.3</v>
      </c>
      <c r="R14" s="7">
        <v>6144.95</v>
      </c>
      <c r="S14" s="7">
        <v>6119.71</v>
      </c>
      <c r="T14" s="7">
        <v>5943.65</v>
      </c>
      <c r="U14" s="7">
        <v>3763.32</v>
      </c>
      <c r="V14" s="7">
        <v>3233.29</v>
      </c>
      <c r="W14" s="7">
        <v>2965.26</v>
      </c>
      <c r="X14" s="7">
        <v>2717.95</v>
      </c>
      <c r="Y14" s="7">
        <v>2254.4299999999998</v>
      </c>
      <c r="Z14" s="7">
        <v>1492.24</v>
      </c>
      <c r="AA14" s="11">
        <v>938.37</v>
      </c>
      <c r="AB14" s="5">
        <f t="shared" si="0"/>
        <v>76172.409999999974</v>
      </c>
      <c r="AC14" s="5">
        <v>21</v>
      </c>
      <c r="AD14" s="51">
        <f>(AB14*AC14)+(AB15*AC15)+(AB16*AC16)+(AB17*AC17)</f>
        <v>1731537.3399999996</v>
      </c>
      <c r="AE14" s="47">
        <f>+AD38</f>
        <v>1434951.66</v>
      </c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</row>
    <row r="15" spans="2:56">
      <c r="B15" s="49"/>
      <c r="C15" s="1" t="s">
        <v>6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1043.23</v>
      </c>
      <c r="L15" s="2">
        <v>1778.74</v>
      </c>
      <c r="M15" s="2">
        <v>2040.5</v>
      </c>
      <c r="N15" s="2">
        <v>2455.38</v>
      </c>
      <c r="O15" s="2">
        <v>2506.3200000000002</v>
      </c>
      <c r="P15" s="2">
        <v>2237.4499999999998</v>
      </c>
      <c r="Q15" s="2">
        <v>1948.65</v>
      </c>
      <c r="R15" s="2">
        <v>1758.01</v>
      </c>
      <c r="S15" s="2">
        <v>1692.84</v>
      </c>
      <c r="T15" s="2">
        <v>1559.73</v>
      </c>
      <c r="U15" s="2">
        <v>1258.78</v>
      </c>
      <c r="V15" s="2">
        <v>998.89</v>
      </c>
      <c r="W15" s="2">
        <v>848.26</v>
      </c>
      <c r="X15" s="2">
        <v>778.55</v>
      </c>
      <c r="Y15" s="2">
        <v>0</v>
      </c>
      <c r="Z15" s="2">
        <v>0</v>
      </c>
      <c r="AA15" s="12">
        <v>0</v>
      </c>
      <c r="AB15" s="3">
        <f t="shared" si="0"/>
        <v>22905.329999999994</v>
      </c>
      <c r="AC15" s="3">
        <v>4</v>
      </c>
      <c r="AD15" s="52"/>
      <c r="AE15" s="47">
        <f>+AD42</f>
        <v>1813493.17</v>
      </c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</row>
    <row r="16" spans="2:56">
      <c r="B16" s="49"/>
      <c r="C16" s="1" t="s">
        <v>7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44.34</v>
      </c>
      <c r="O16" s="2">
        <v>110.85</v>
      </c>
      <c r="P16" s="2">
        <v>566.58000000000004</v>
      </c>
      <c r="Q16" s="2">
        <v>523.75</v>
      </c>
      <c r="R16" s="2">
        <v>363.67</v>
      </c>
      <c r="S16" s="2">
        <v>506.85</v>
      </c>
      <c r="T16" s="2">
        <v>651.63</v>
      </c>
      <c r="U16" s="2">
        <v>0</v>
      </c>
      <c r="V16" s="2">
        <v>0</v>
      </c>
      <c r="W16" s="2">
        <v>70.760000000000005</v>
      </c>
      <c r="X16" s="2">
        <v>358.63</v>
      </c>
      <c r="Y16" s="2">
        <v>0</v>
      </c>
      <c r="Z16" s="2">
        <v>0</v>
      </c>
      <c r="AA16" s="12">
        <v>0</v>
      </c>
      <c r="AB16" s="3">
        <f t="shared" si="0"/>
        <v>3197.0600000000004</v>
      </c>
      <c r="AC16" s="3">
        <v>5</v>
      </c>
      <c r="AD16" s="52"/>
      <c r="AE16" s="47">
        <f>+AD46</f>
        <v>2323444.02</v>
      </c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</row>
    <row r="17" spans="2:56" ht="15" thickBot="1">
      <c r="B17" s="50"/>
      <c r="C17" s="9" t="s">
        <v>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1043.23</v>
      </c>
      <c r="L17" s="10">
        <v>1778.74</v>
      </c>
      <c r="M17" s="10">
        <v>2040.5</v>
      </c>
      <c r="N17" s="10">
        <v>2455.38</v>
      </c>
      <c r="O17" s="10">
        <v>2506.3200000000002</v>
      </c>
      <c r="P17" s="10">
        <v>2237.4499999999998</v>
      </c>
      <c r="Q17" s="10">
        <v>1948.65</v>
      </c>
      <c r="R17" s="10">
        <v>1758.01</v>
      </c>
      <c r="S17" s="10">
        <v>1692.84</v>
      </c>
      <c r="T17" s="10">
        <v>1559.73</v>
      </c>
      <c r="U17" s="10">
        <v>1547.06</v>
      </c>
      <c r="V17" s="10">
        <v>1653.38</v>
      </c>
      <c r="W17" s="10">
        <v>1310.27</v>
      </c>
      <c r="X17" s="10">
        <v>778.55</v>
      </c>
      <c r="Y17" s="10">
        <v>0</v>
      </c>
      <c r="Z17" s="10">
        <v>0</v>
      </c>
      <c r="AA17" s="13">
        <v>0</v>
      </c>
      <c r="AB17" s="6">
        <f t="shared" si="0"/>
        <v>24310.11</v>
      </c>
      <c r="AC17" s="6">
        <v>1</v>
      </c>
      <c r="AD17" s="53"/>
      <c r="AE17" s="47">
        <f>+AD50</f>
        <v>1777353.2000000004</v>
      </c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</row>
    <row r="18" spans="2:56">
      <c r="B18" s="48">
        <v>46113</v>
      </c>
      <c r="C18" s="8" t="s">
        <v>5</v>
      </c>
      <c r="D18" s="7">
        <v>18.8</v>
      </c>
      <c r="E18" s="7">
        <v>0</v>
      </c>
      <c r="F18" s="7">
        <v>0</v>
      </c>
      <c r="G18" s="7">
        <v>0</v>
      </c>
      <c r="H18" s="7">
        <v>0</v>
      </c>
      <c r="I18" s="7">
        <v>136.02000000000001</v>
      </c>
      <c r="J18" s="7">
        <v>1523.8</v>
      </c>
      <c r="K18" s="7">
        <v>3357.24</v>
      </c>
      <c r="L18" s="7">
        <v>4242.62</v>
      </c>
      <c r="M18" s="7">
        <v>4274.51</v>
      </c>
      <c r="N18" s="7">
        <v>4568.9799999999996</v>
      </c>
      <c r="O18" s="7">
        <v>4603.3500000000004</v>
      </c>
      <c r="P18" s="7">
        <v>4740.58</v>
      </c>
      <c r="Q18" s="7">
        <v>4714.93</v>
      </c>
      <c r="R18" s="7">
        <v>4988.26</v>
      </c>
      <c r="S18" s="7">
        <v>4967.57</v>
      </c>
      <c r="T18" s="7">
        <v>4805.3500000000004</v>
      </c>
      <c r="U18" s="7">
        <v>2679.36</v>
      </c>
      <c r="V18" s="7">
        <v>2170.35</v>
      </c>
      <c r="W18" s="7">
        <v>1927.92</v>
      </c>
      <c r="X18" s="7">
        <v>1726.09</v>
      </c>
      <c r="Y18" s="7">
        <v>1478.18</v>
      </c>
      <c r="Z18" s="7">
        <v>1029.2</v>
      </c>
      <c r="AA18" s="11">
        <v>369.57</v>
      </c>
      <c r="AB18" s="5">
        <f t="shared" si="0"/>
        <v>58322.679999999993</v>
      </c>
      <c r="AC18" s="5">
        <v>20</v>
      </c>
      <c r="AD18" s="51">
        <f>(AB18*AC18)+(AB19*AC19)+(AB20*AC20)+(AB21*AC21)</f>
        <v>1478016.7799999998</v>
      </c>
      <c r="AE18" s="47">
        <f>+AD54</f>
        <v>670204.52</v>
      </c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</row>
    <row r="19" spans="2:56">
      <c r="B19" s="49"/>
      <c r="C19" s="1" t="s">
        <v>6</v>
      </c>
      <c r="D19" s="2">
        <v>575.37</v>
      </c>
      <c r="E19" s="2">
        <v>281.22000000000003</v>
      </c>
      <c r="F19" s="2">
        <v>86.63</v>
      </c>
      <c r="G19" s="2">
        <v>30.46</v>
      </c>
      <c r="H19" s="2">
        <v>0</v>
      </c>
      <c r="I19" s="2">
        <v>121.85</v>
      </c>
      <c r="J19" s="2">
        <v>1189.23</v>
      </c>
      <c r="K19" s="2">
        <v>2550.56</v>
      </c>
      <c r="L19" s="2">
        <v>3424.12</v>
      </c>
      <c r="M19" s="2">
        <v>3735</v>
      </c>
      <c r="N19" s="2">
        <v>4227.75</v>
      </c>
      <c r="O19" s="2">
        <v>4288.25</v>
      </c>
      <c r="P19" s="2">
        <v>3968.92</v>
      </c>
      <c r="Q19" s="2">
        <v>3625.92</v>
      </c>
      <c r="R19" s="2">
        <v>3399.49</v>
      </c>
      <c r="S19" s="2">
        <v>3322.09</v>
      </c>
      <c r="T19" s="2">
        <v>3164</v>
      </c>
      <c r="U19" s="2">
        <v>2414.71</v>
      </c>
      <c r="V19" s="2">
        <v>2174.77</v>
      </c>
      <c r="W19" s="2">
        <v>1959.75</v>
      </c>
      <c r="X19" s="2">
        <v>1796.92</v>
      </c>
      <c r="Y19" s="2">
        <v>1263.9000000000001</v>
      </c>
      <c r="Z19" s="2">
        <v>725.54</v>
      </c>
      <c r="AA19" s="12">
        <v>130.99</v>
      </c>
      <c r="AB19" s="3">
        <f t="shared" si="0"/>
        <v>48457.439999999995</v>
      </c>
      <c r="AC19" s="3">
        <v>4</v>
      </c>
      <c r="AD19" s="52"/>
      <c r="AE19" s="47">
        <f>+AD58</f>
        <v>762091.88</v>
      </c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</row>
    <row r="20" spans="2:56">
      <c r="B20" s="49"/>
      <c r="C20" s="1" t="s">
        <v>7</v>
      </c>
      <c r="D20" s="2">
        <v>287.07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356.24</v>
      </c>
      <c r="L20" s="2">
        <v>780.99</v>
      </c>
      <c r="M20" s="2">
        <v>975.4</v>
      </c>
      <c r="N20" s="2">
        <v>951.35</v>
      </c>
      <c r="O20" s="2">
        <v>1051.5899999999999</v>
      </c>
      <c r="P20" s="2">
        <v>1787.79</v>
      </c>
      <c r="Q20" s="2">
        <v>1504.87</v>
      </c>
      <c r="R20" s="2">
        <v>1338.2</v>
      </c>
      <c r="S20" s="2">
        <v>1493.09</v>
      </c>
      <c r="T20" s="2">
        <v>1647.9</v>
      </c>
      <c r="U20" s="2">
        <v>544.76</v>
      </c>
      <c r="V20" s="2">
        <v>772.82</v>
      </c>
      <c r="W20" s="2">
        <v>1123.68</v>
      </c>
      <c r="X20" s="2">
        <v>1351.86</v>
      </c>
      <c r="Y20" s="2">
        <v>1117.18</v>
      </c>
      <c r="Z20" s="2">
        <v>818.93</v>
      </c>
      <c r="AA20" s="12">
        <v>286.14999999999998</v>
      </c>
      <c r="AB20" s="3">
        <f t="shared" si="0"/>
        <v>18189.870000000003</v>
      </c>
      <c r="AC20" s="3">
        <v>4</v>
      </c>
      <c r="AD20" s="52"/>
      <c r="AE20" s="47">
        <f>+AD62</f>
        <v>870772.84000000008</v>
      </c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</row>
    <row r="21" spans="2:56" ht="15" thickBot="1">
      <c r="B21" s="50"/>
      <c r="C21" s="9" t="s">
        <v>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13.36</v>
      </c>
      <c r="L21" s="10">
        <v>495.94</v>
      </c>
      <c r="M21" s="10">
        <v>759.72</v>
      </c>
      <c r="N21" s="10">
        <v>1316.49</v>
      </c>
      <c r="O21" s="10">
        <v>1522.45</v>
      </c>
      <c r="P21" s="10">
        <v>1717.71</v>
      </c>
      <c r="Q21" s="10">
        <v>1733.5</v>
      </c>
      <c r="R21" s="10">
        <v>1798.23</v>
      </c>
      <c r="S21" s="10">
        <v>1845.78</v>
      </c>
      <c r="T21" s="10">
        <v>1846.2</v>
      </c>
      <c r="U21" s="10">
        <v>2000.32</v>
      </c>
      <c r="V21" s="10">
        <v>2336.29</v>
      </c>
      <c r="W21" s="10">
        <v>2159.3200000000002</v>
      </c>
      <c r="X21" s="10">
        <v>1763.61</v>
      </c>
      <c r="Y21" s="10">
        <v>845.42</v>
      </c>
      <c r="Z21" s="10">
        <v>332.63</v>
      </c>
      <c r="AA21" s="13">
        <v>0</v>
      </c>
      <c r="AB21" s="6">
        <f t="shared" si="0"/>
        <v>22486.97</v>
      </c>
      <c r="AC21" s="6">
        <v>2</v>
      </c>
      <c r="AD21" s="53"/>
      <c r="AE21" s="47">
        <f>+AD66</f>
        <v>678285.02</v>
      </c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</row>
    <row r="22" spans="2:56">
      <c r="B22" s="48">
        <v>46143</v>
      </c>
      <c r="C22" s="8" t="s">
        <v>5</v>
      </c>
      <c r="D22" s="7">
        <v>458.37</v>
      </c>
      <c r="E22" s="7">
        <v>222.82</v>
      </c>
      <c r="F22" s="7">
        <v>64.62</v>
      </c>
      <c r="G22" s="7">
        <v>0</v>
      </c>
      <c r="H22" s="7">
        <v>16.420000000000002</v>
      </c>
      <c r="I22" s="7">
        <v>583.13</v>
      </c>
      <c r="J22" s="7">
        <v>2060.12</v>
      </c>
      <c r="K22" s="7">
        <v>4012.75</v>
      </c>
      <c r="L22" s="7">
        <v>5120.76</v>
      </c>
      <c r="M22" s="7">
        <v>5166.87</v>
      </c>
      <c r="N22" s="7">
        <v>5504.45</v>
      </c>
      <c r="O22" s="7">
        <v>5552.01</v>
      </c>
      <c r="P22" s="7">
        <v>5664.11</v>
      </c>
      <c r="Q22" s="7">
        <v>5656.42</v>
      </c>
      <c r="R22" s="7">
        <v>5955.87</v>
      </c>
      <c r="S22" s="7">
        <v>5929.6</v>
      </c>
      <c r="T22" s="7">
        <v>5750.42</v>
      </c>
      <c r="U22" s="7">
        <v>3557.85</v>
      </c>
      <c r="V22" s="7">
        <v>3023.08</v>
      </c>
      <c r="W22" s="7">
        <v>2749.29</v>
      </c>
      <c r="X22" s="7">
        <v>2491.7399999999998</v>
      </c>
      <c r="Y22" s="7">
        <v>2184.19</v>
      </c>
      <c r="Z22" s="7">
        <v>1533.73</v>
      </c>
      <c r="AA22" s="11">
        <v>1060.76</v>
      </c>
      <c r="AB22" s="5">
        <f t="shared" si="0"/>
        <v>74319.37999999999</v>
      </c>
      <c r="AC22" s="5">
        <v>19</v>
      </c>
      <c r="AD22" s="51">
        <f>(AB22*AC22)+(AB23*AC23)+(AB24*AC24)+(AB25*AC25)</f>
        <v>1828194.3399999999</v>
      </c>
      <c r="AE22" s="47">
        <f>+AD70</f>
        <v>846371.60999999975</v>
      </c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</row>
    <row r="23" spans="2:56">
      <c r="B23" s="49"/>
      <c r="C23" s="1" t="s">
        <v>6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279.89</v>
      </c>
      <c r="K23" s="2">
        <v>1494.76</v>
      </c>
      <c r="L23" s="2">
        <v>2275.73</v>
      </c>
      <c r="M23" s="2">
        <v>2553.65</v>
      </c>
      <c r="N23" s="2">
        <v>2994.18</v>
      </c>
      <c r="O23" s="2">
        <v>3048.26</v>
      </c>
      <c r="P23" s="2">
        <v>2762.78</v>
      </c>
      <c r="Q23" s="2">
        <v>2456.13</v>
      </c>
      <c r="R23" s="2">
        <v>2253.71</v>
      </c>
      <c r="S23" s="2">
        <v>2184.5100000000002</v>
      </c>
      <c r="T23" s="2">
        <v>2043.18</v>
      </c>
      <c r="U23" s="2">
        <v>1452.96</v>
      </c>
      <c r="V23" s="2">
        <v>1199.6400000000001</v>
      </c>
      <c r="W23" s="2">
        <v>1027.81</v>
      </c>
      <c r="X23" s="2">
        <v>931.92</v>
      </c>
      <c r="Y23" s="2">
        <v>346.64</v>
      </c>
      <c r="Z23" s="2">
        <v>0</v>
      </c>
      <c r="AA23" s="12">
        <v>0</v>
      </c>
      <c r="AB23" s="3">
        <f t="shared" si="0"/>
        <v>29305.749999999996</v>
      </c>
      <c r="AC23" s="3">
        <v>5</v>
      </c>
      <c r="AD23" s="52"/>
      <c r="AE23" s="47">
        <f>+AD74</f>
        <v>1225790.8300000003</v>
      </c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</row>
    <row r="24" spans="2:56">
      <c r="B24" s="49"/>
      <c r="C24" s="1" t="s">
        <v>7</v>
      </c>
      <c r="D24" s="2">
        <v>1140.93</v>
      </c>
      <c r="E24" s="2">
        <v>749.57</v>
      </c>
      <c r="F24" s="2">
        <v>536.03</v>
      </c>
      <c r="G24" s="2">
        <v>386.85</v>
      </c>
      <c r="H24" s="2">
        <v>273.35000000000002</v>
      </c>
      <c r="I24" s="2">
        <v>225.99</v>
      </c>
      <c r="J24" s="2">
        <v>632.99</v>
      </c>
      <c r="K24" s="2">
        <v>1220.6199999999999</v>
      </c>
      <c r="L24" s="2">
        <v>1695.28</v>
      </c>
      <c r="M24" s="2">
        <v>1979.58</v>
      </c>
      <c r="N24" s="2">
        <v>2110.87</v>
      </c>
      <c r="O24" s="2">
        <v>2236.19</v>
      </c>
      <c r="P24" s="2">
        <v>2998.41</v>
      </c>
      <c r="Q24" s="2">
        <v>2719.49</v>
      </c>
      <c r="R24" s="2">
        <v>2547.92</v>
      </c>
      <c r="S24" s="2">
        <v>2711.53</v>
      </c>
      <c r="T24" s="2">
        <v>2873.79</v>
      </c>
      <c r="U24" s="2">
        <v>1778.17</v>
      </c>
      <c r="V24" s="2">
        <v>2043.71</v>
      </c>
      <c r="W24" s="2">
        <v>2391.6999999999998</v>
      </c>
      <c r="X24" s="2">
        <v>2575.48</v>
      </c>
      <c r="Y24" s="2">
        <v>2234.2199999999998</v>
      </c>
      <c r="Z24" s="2">
        <v>1735.28</v>
      </c>
      <c r="AA24" s="12">
        <v>1380.42</v>
      </c>
      <c r="AB24" s="3">
        <f t="shared" si="0"/>
        <v>41178.369999999995</v>
      </c>
      <c r="AC24" s="3">
        <v>5</v>
      </c>
      <c r="AD24" s="52"/>
      <c r="AE24" s="47">
        <f>+AD78</f>
        <v>712300.97</v>
      </c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</row>
    <row r="25" spans="2:56" ht="15" thickBot="1">
      <c r="B25" s="50"/>
      <c r="C25" s="9" t="s">
        <v>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279.89</v>
      </c>
      <c r="K25" s="10">
        <v>1494.76</v>
      </c>
      <c r="L25" s="10">
        <v>2275.73</v>
      </c>
      <c r="M25" s="10">
        <v>2553.65</v>
      </c>
      <c r="N25" s="10">
        <v>2994.18</v>
      </c>
      <c r="O25" s="10">
        <v>3048.26</v>
      </c>
      <c r="P25" s="10">
        <v>2762.78</v>
      </c>
      <c r="Q25" s="10">
        <v>2456.13</v>
      </c>
      <c r="R25" s="10">
        <v>2253.71</v>
      </c>
      <c r="S25" s="10">
        <v>2184.5100000000002</v>
      </c>
      <c r="T25" s="10">
        <v>2043.18</v>
      </c>
      <c r="U25" s="10">
        <v>2028.47</v>
      </c>
      <c r="V25" s="10">
        <v>2141.36</v>
      </c>
      <c r="W25" s="10">
        <v>1777.04</v>
      </c>
      <c r="X25" s="10">
        <v>1212.47</v>
      </c>
      <c r="Y25" s="10">
        <v>346.64</v>
      </c>
      <c r="Z25" s="10">
        <v>0</v>
      </c>
      <c r="AA25" s="13">
        <v>0</v>
      </c>
      <c r="AB25" s="6">
        <f t="shared" si="0"/>
        <v>31852.760000000002</v>
      </c>
      <c r="AC25" s="6">
        <v>2</v>
      </c>
      <c r="AD25" s="53"/>
      <c r="AE25" s="47">
        <f>+AD82</f>
        <v>1429772.5899999999</v>
      </c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</row>
    <row r="26" spans="2:56">
      <c r="B26" s="48">
        <v>46174</v>
      </c>
      <c r="C26" s="8" t="s">
        <v>5</v>
      </c>
      <c r="D26" s="7">
        <v>1016.2</v>
      </c>
      <c r="E26" s="7">
        <v>762.4</v>
      </c>
      <c r="F26" s="7">
        <v>591.95000000000005</v>
      </c>
      <c r="G26" s="7">
        <v>488.83</v>
      </c>
      <c r="H26" s="7">
        <v>540.02</v>
      </c>
      <c r="I26" s="7">
        <v>1150.6300000000001</v>
      </c>
      <c r="J26" s="7">
        <v>2742.03</v>
      </c>
      <c r="K26" s="7">
        <v>4847.49</v>
      </c>
      <c r="L26" s="7">
        <v>5965.33</v>
      </c>
      <c r="M26" s="7">
        <v>6029.67</v>
      </c>
      <c r="N26" s="7">
        <v>6422.54</v>
      </c>
      <c r="O26" s="7">
        <v>6487.01</v>
      </c>
      <c r="P26" s="7">
        <v>6566.87</v>
      </c>
      <c r="Q26" s="7">
        <v>6582.22</v>
      </c>
      <c r="R26" s="7">
        <v>6915.16</v>
      </c>
      <c r="S26" s="7">
        <v>6881.75</v>
      </c>
      <c r="T26" s="7">
        <v>6680.81</v>
      </c>
      <c r="U26" s="7">
        <v>4402.87</v>
      </c>
      <c r="V26" s="7">
        <v>3835.07</v>
      </c>
      <c r="W26" s="7">
        <v>3521.04</v>
      </c>
      <c r="X26" s="7">
        <v>3192.05</v>
      </c>
      <c r="Y26" s="7">
        <v>2808.01</v>
      </c>
      <c r="Z26" s="7">
        <v>2174.86</v>
      </c>
      <c r="AA26" s="11">
        <v>1665.25</v>
      </c>
      <c r="AB26" s="5">
        <f t="shared" si="0"/>
        <v>92270.06</v>
      </c>
      <c r="AC26" s="5">
        <v>19</v>
      </c>
      <c r="AD26" s="51">
        <f>(AB26*AC26)+(AB27*AC27)+(AB28*AC28)+(AB29*AC29)</f>
        <v>1973106.7399999998</v>
      </c>
      <c r="AE26" s="47">
        <f>+AD86</f>
        <v>647393.38000000012</v>
      </c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</row>
    <row r="27" spans="2:56">
      <c r="B27" s="49"/>
      <c r="C27" s="1" t="s">
        <v>6</v>
      </c>
      <c r="D27" s="2">
        <v>765.79</v>
      </c>
      <c r="E27" s="2">
        <v>462.2</v>
      </c>
      <c r="F27" s="2">
        <v>261.38</v>
      </c>
      <c r="G27" s="2">
        <v>203.41</v>
      </c>
      <c r="H27" s="2">
        <v>133.88999999999999</v>
      </c>
      <c r="I27" s="2">
        <v>297.72000000000003</v>
      </c>
      <c r="J27" s="2">
        <v>1399.33</v>
      </c>
      <c r="K27" s="2">
        <v>2804.95</v>
      </c>
      <c r="L27" s="2">
        <v>3706.51</v>
      </c>
      <c r="M27" s="2">
        <v>4027.36</v>
      </c>
      <c r="N27" s="2">
        <v>4535.91</v>
      </c>
      <c r="O27" s="2">
        <v>4598.34</v>
      </c>
      <c r="P27" s="2">
        <v>4268.7700000000004</v>
      </c>
      <c r="Q27" s="2">
        <v>3914.78</v>
      </c>
      <c r="R27" s="2">
        <v>3681.1</v>
      </c>
      <c r="S27" s="2">
        <v>3601.22</v>
      </c>
      <c r="T27" s="2">
        <v>3438.06</v>
      </c>
      <c r="U27" s="2">
        <v>2765.4</v>
      </c>
      <c r="V27" s="2">
        <v>2529.5100000000002</v>
      </c>
      <c r="W27" s="2">
        <v>2301.4299999999998</v>
      </c>
      <c r="X27" s="2">
        <v>2118.35</v>
      </c>
      <c r="Y27" s="2">
        <v>1476.39</v>
      </c>
      <c r="Z27" s="2">
        <v>920.77</v>
      </c>
      <c r="AA27" s="12">
        <v>529.29</v>
      </c>
      <c r="AB27" s="3">
        <f t="shared" si="0"/>
        <v>54741.86</v>
      </c>
      <c r="AC27" s="3">
        <v>4</v>
      </c>
      <c r="AD27" s="52"/>
      <c r="AE27" s="47">
        <f>+AD90</f>
        <v>813966.44</v>
      </c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</row>
    <row r="28" spans="2:56">
      <c r="B28" s="49"/>
      <c r="C28" s="1" t="s">
        <v>7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207.29</v>
      </c>
      <c r="Q28" s="2">
        <v>0</v>
      </c>
      <c r="R28" s="2">
        <v>0</v>
      </c>
      <c r="S28" s="2">
        <v>0</v>
      </c>
      <c r="T28" s="2">
        <v>44.75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12">
        <v>0</v>
      </c>
      <c r="AB28" s="3">
        <f t="shared" si="0"/>
        <v>252.04</v>
      </c>
      <c r="AC28" s="3">
        <v>4</v>
      </c>
      <c r="AD28" s="52"/>
      <c r="AE28" s="47">
        <f>+AD94</f>
        <v>1457831.2799999998</v>
      </c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</row>
    <row r="29" spans="2:56" ht="15" thickBot="1">
      <c r="B29" s="50"/>
      <c r="C29" s="9" t="s">
        <v>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3">
        <v>0</v>
      </c>
      <c r="AB29" s="6">
        <f t="shared" si="0"/>
        <v>0</v>
      </c>
      <c r="AC29" s="6">
        <v>3</v>
      </c>
      <c r="AD29" s="53"/>
      <c r="AE29" s="47">
        <f>+AD98</f>
        <v>835977.46000000008</v>
      </c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</row>
    <row r="30" spans="2:56">
      <c r="B30" s="48">
        <v>46204</v>
      </c>
      <c r="C30" s="8" t="s">
        <v>5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1149.3399999999999</v>
      </c>
      <c r="K30" s="7">
        <v>2925.33</v>
      </c>
      <c r="L30" s="7">
        <v>3941.66</v>
      </c>
      <c r="M30" s="7">
        <v>3966.69</v>
      </c>
      <c r="N30" s="7">
        <v>4240.38</v>
      </c>
      <c r="O30" s="7">
        <v>4268.3900000000003</v>
      </c>
      <c r="P30" s="7">
        <v>4417.74</v>
      </c>
      <c r="Q30" s="7">
        <v>4383.43</v>
      </c>
      <c r="R30" s="7">
        <v>4644.17</v>
      </c>
      <c r="S30" s="7">
        <v>4626.16</v>
      </c>
      <c r="T30" s="7">
        <v>4472.13</v>
      </c>
      <c r="U30" s="7">
        <v>2378.23</v>
      </c>
      <c r="V30" s="7">
        <v>1881.63</v>
      </c>
      <c r="W30" s="7">
        <v>1654.33</v>
      </c>
      <c r="X30" s="7">
        <v>1479.35</v>
      </c>
      <c r="Y30" s="7">
        <v>1260.2</v>
      </c>
      <c r="Z30" s="7">
        <v>670.07</v>
      </c>
      <c r="AA30" s="11">
        <v>239.44</v>
      </c>
      <c r="AB30" s="5">
        <f t="shared" si="0"/>
        <v>52598.669999999991</v>
      </c>
      <c r="AC30" s="5">
        <v>22</v>
      </c>
      <c r="AD30" s="51">
        <f>(AB30*AC30)+(AB31*AC31)+(AB32*AC32)+(AB33*AC33)</f>
        <v>1510339.6599999997</v>
      </c>
      <c r="AE30" s="47">
        <f>+AD102</f>
        <v>1232929.79</v>
      </c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</row>
    <row r="31" spans="2:56">
      <c r="B31" s="49"/>
      <c r="C31" s="1" t="s">
        <v>6</v>
      </c>
      <c r="D31" s="2">
        <v>1356.7</v>
      </c>
      <c r="E31" s="2">
        <v>1028.9100000000001</v>
      </c>
      <c r="F31" s="2">
        <v>812.07</v>
      </c>
      <c r="G31" s="2">
        <v>749.47</v>
      </c>
      <c r="H31" s="2">
        <v>674.41</v>
      </c>
      <c r="I31" s="2">
        <v>851.31</v>
      </c>
      <c r="J31" s="2">
        <v>2040.76</v>
      </c>
      <c r="K31" s="2">
        <v>3560.11</v>
      </c>
      <c r="L31" s="2">
        <v>4533.57</v>
      </c>
      <c r="M31" s="2">
        <v>4880</v>
      </c>
      <c r="N31" s="2">
        <v>5429.1</v>
      </c>
      <c r="O31" s="2">
        <v>5496.51</v>
      </c>
      <c r="P31" s="2">
        <v>5140.67</v>
      </c>
      <c r="Q31" s="2">
        <v>4758.4399999999996</v>
      </c>
      <c r="R31" s="2">
        <v>4506.12</v>
      </c>
      <c r="S31" s="2">
        <v>4419.87</v>
      </c>
      <c r="T31" s="2">
        <v>4243.7</v>
      </c>
      <c r="U31" s="2">
        <v>3653.51</v>
      </c>
      <c r="V31" s="2">
        <v>3428.01</v>
      </c>
      <c r="W31" s="2">
        <v>3166.38</v>
      </c>
      <c r="X31" s="2">
        <v>2931.34</v>
      </c>
      <c r="Y31" s="2">
        <v>2123.9699999999998</v>
      </c>
      <c r="Z31" s="2">
        <v>1524.04</v>
      </c>
      <c r="AA31" s="12">
        <v>1101.3399999999999</v>
      </c>
      <c r="AB31" s="3">
        <f t="shared" si="0"/>
        <v>72410.31</v>
      </c>
      <c r="AC31" s="3">
        <v>4</v>
      </c>
      <c r="AD31" s="52"/>
      <c r="AE31" s="47">
        <f>+AD106</f>
        <v>1302385.33</v>
      </c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</row>
    <row r="32" spans="2:56">
      <c r="B32" s="49"/>
      <c r="C32" s="1" t="s">
        <v>4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246.09</v>
      </c>
      <c r="Q32" s="2">
        <v>0</v>
      </c>
      <c r="R32" s="2">
        <v>0</v>
      </c>
      <c r="S32" s="2">
        <v>0</v>
      </c>
      <c r="T32" s="2">
        <v>83.54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12">
        <v>0</v>
      </c>
      <c r="AB32" s="3">
        <f t="shared" si="0"/>
        <v>329.63</v>
      </c>
      <c r="AC32" s="3">
        <v>4</v>
      </c>
      <c r="AD32" s="52"/>
      <c r="AE32" s="47">
        <f>+AD110</f>
        <v>1659521.36</v>
      </c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</row>
    <row r="33" spans="2:56" ht="15" thickBot="1">
      <c r="B33" s="50"/>
      <c r="C33" s="9" t="s">
        <v>8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1149.3399999999999</v>
      </c>
      <c r="K33" s="10">
        <v>2925.33</v>
      </c>
      <c r="L33" s="10">
        <v>3946.06</v>
      </c>
      <c r="M33" s="10">
        <v>4160.41</v>
      </c>
      <c r="N33" s="10">
        <v>4810.17</v>
      </c>
      <c r="O33" s="10">
        <v>5008.97</v>
      </c>
      <c r="P33" s="10">
        <v>4630.13</v>
      </c>
      <c r="Q33" s="10">
        <v>4900.91</v>
      </c>
      <c r="R33" s="10">
        <v>5294.53</v>
      </c>
      <c r="S33" s="10">
        <v>5210.54</v>
      </c>
      <c r="T33" s="10">
        <v>4954.8</v>
      </c>
      <c r="U33" s="10">
        <v>3971.71</v>
      </c>
      <c r="V33" s="10">
        <v>3583.47</v>
      </c>
      <c r="W33" s="10">
        <v>3110.62</v>
      </c>
      <c r="X33" s="10">
        <v>2270.85</v>
      </c>
      <c r="Y33" s="10">
        <v>1371.81</v>
      </c>
      <c r="Z33" s="10">
        <v>670.07</v>
      </c>
      <c r="AA33" s="13">
        <v>239.44</v>
      </c>
      <c r="AB33" s="6">
        <f t="shared" si="0"/>
        <v>62209.16</v>
      </c>
      <c r="AC33" s="6">
        <v>1</v>
      </c>
      <c r="AD33" s="53"/>
      <c r="AE33" s="47">
        <f>+AD114</f>
        <v>1399460.1899999997</v>
      </c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</row>
    <row r="34" spans="2:56">
      <c r="B34" s="48">
        <v>46235</v>
      </c>
      <c r="C34" s="8" t="s">
        <v>5</v>
      </c>
      <c r="D34" s="7">
        <v>1331.05</v>
      </c>
      <c r="E34" s="7">
        <v>1065.49</v>
      </c>
      <c r="F34" s="7">
        <v>887.15</v>
      </c>
      <c r="G34" s="7">
        <v>779.25</v>
      </c>
      <c r="H34" s="7">
        <v>832.81</v>
      </c>
      <c r="I34" s="7">
        <v>1471.69</v>
      </c>
      <c r="J34" s="7">
        <v>3136.8</v>
      </c>
      <c r="K34" s="7">
        <v>5340.7</v>
      </c>
      <c r="L34" s="7">
        <v>6604.58</v>
      </c>
      <c r="M34" s="7">
        <v>6774.62</v>
      </c>
      <c r="N34" s="7">
        <v>7203.09</v>
      </c>
      <c r="O34" s="7">
        <v>7278.45</v>
      </c>
      <c r="P34" s="7">
        <v>7337.56</v>
      </c>
      <c r="Q34" s="7">
        <v>7367.75</v>
      </c>
      <c r="R34" s="7">
        <v>7722.26</v>
      </c>
      <c r="S34" s="7">
        <v>7684.24</v>
      </c>
      <c r="T34" s="7">
        <v>7469.29</v>
      </c>
      <c r="U34" s="7">
        <v>5136.3500000000004</v>
      </c>
      <c r="V34" s="7">
        <v>4547.28</v>
      </c>
      <c r="W34" s="7">
        <v>4207.33</v>
      </c>
      <c r="X34" s="7">
        <v>3832.32</v>
      </c>
      <c r="Y34" s="7">
        <v>3399</v>
      </c>
      <c r="Z34" s="7">
        <v>2543.36</v>
      </c>
      <c r="AA34" s="11">
        <v>2010.15</v>
      </c>
      <c r="AB34" s="5">
        <f t="shared" si="0"/>
        <v>105962.57</v>
      </c>
      <c r="AC34" s="5">
        <v>19</v>
      </c>
      <c r="AD34" s="51">
        <f>(AB34*AC34)+(AB35*AC35)+(AB36*AC36)+(AB37*AC37)</f>
        <v>2285036.2800000003</v>
      </c>
      <c r="AE34" s="47">
        <f>+AD118</f>
        <v>1811173.5500000003</v>
      </c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</row>
    <row r="35" spans="2:56">
      <c r="B35" s="49"/>
      <c r="C35" s="1" t="s">
        <v>6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327.06</v>
      </c>
      <c r="K35" s="2">
        <v>1566.63</v>
      </c>
      <c r="L35" s="2">
        <v>2363.21</v>
      </c>
      <c r="M35" s="2">
        <v>2646.69</v>
      </c>
      <c r="N35" s="2">
        <v>3096.02</v>
      </c>
      <c r="O35" s="2">
        <v>3151.18</v>
      </c>
      <c r="P35" s="2">
        <v>2860</v>
      </c>
      <c r="Q35" s="2">
        <v>2547.2199999999998</v>
      </c>
      <c r="R35" s="2">
        <v>2340.75</v>
      </c>
      <c r="S35" s="2">
        <v>2270.17</v>
      </c>
      <c r="T35" s="2">
        <v>2126.0100000000002</v>
      </c>
      <c r="U35" s="2">
        <v>1642.11</v>
      </c>
      <c r="V35" s="2">
        <v>1391.05</v>
      </c>
      <c r="W35" s="2">
        <v>1211.94</v>
      </c>
      <c r="X35" s="2">
        <v>1104.76</v>
      </c>
      <c r="Y35" s="2">
        <v>395.15</v>
      </c>
      <c r="Z35" s="2">
        <v>0</v>
      </c>
      <c r="AA35" s="12">
        <v>0</v>
      </c>
      <c r="AB35" s="3">
        <f t="shared" si="0"/>
        <v>31039.95</v>
      </c>
      <c r="AC35" s="3">
        <v>5</v>
      </c>
      <c r="AD35" s="52"/>
      <c r="AE35" s="47">
        <f>+AD122</f>
        <v>1969308.92</v>
      </c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</row>
    <row r="36" spans="2:56">
      <c r="B36" s="49"/>
      <c r="C36" s="1" t="s">
        <v>7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184.99</v>
      </c>
      <c r="N36" s="2">
        <v>317.57</v>
      </c>
      <c r="O36" s="2">
        <v>399</v>
      </c>
      <c r="P36" s="2">
        <v>1050.4100000000001</v>
      </c>
      <c r="Q36" s="2">
        <v>829.76</v>
      </c>
      <c r="R36" s="2">
        <v>666.76</v>
      </c>
      <c r="S36" s="2">
        <v>815.13</v>
      </c>
      <c r="T36" s="2">
        <v>964.34</v>
      </c>
      <c r="U36" s="2">
        <v>0</v>
      </c>
      <c r="V36" s="2">
        <v>55.52</v>
      </c>
      <c r="W36" s="2">
        <v>408.53</v>
      </c>
      <c r="X36" s="2">
        <v>669.99</v>
      </c>
      <c r="Y36" s="2">
        <v>396.52</v>
      </c>
      <c r="Z36" s="2">
        <v>0</v>
      </c>
      <c r="AA36" s="12">
        <v>0</v>
      </c>
      <c r="AB36" s="3">
        <f t="shared" si="0"/>
        <v>6758.52</v>
      </c>
      <c r="AC36" s="3">
        <v>5</v>
      </c>
      <c r="AD36" s="52"/>
      <c r="AE36" s="47">
        <f>+AD126</f>
        <v>1411727.89</v>
      </c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</row>
    <row r="37" spans="2:56" ht="15" thickBot="1">
      <c r="B37" s="50"/>
      <c r="C37" s="9" t="s">
        <v>8</v>
      </c>
      <c r="D37" s="10">
        <v>422.15</v>
      </c>
      <c r="E37" s="10">
        <v>124.62</v>
      </c>
      <c r="F37" s="10">
        <v>0</v>
      </c>
      <c r="G37" s="10">
        <v>0</v>
      </c>
      <c r="H37" s="10">
        <v>0</v>
      </c>
      <c r="I37" s="10">
        <v>0</v>
      </c>
      <c r="J37" s="10">
        <v>207.65</v>
      </c>
      <c r="K37" s="10">
        <v>896.18</v>
      </c>
      <c r="L37" s="10">
        <v>1446.25</v>
      </c>
      <c r="M37" s="10">
        <v>1746.92</v>
      </c>
      <c r="N37" s="10">
        <v>2381.54</v>
      </c>
      <c r="O37" s="10">
        <v>2616.31</v>
      </c>
      <c r="P37" s="10">
        <v>2838.88</v>
      </c>
      <c r="Q37" s="10">
        <v>2856.88</v>
      </c>
      <c r="R37" s="10">
        <v>2930.66</v>
      </c>
      <c r="S37" s="10">
        <v>2984.85</v>
      </c>
      <c r="T37" s="10">
        <v>2985.33</v>
      </c>
      <c r="U37" s="10">
        <v>3158.16</v>
      </c>
      <c r="V37" s="10">
        <v>3541.12</v>
      </c>
      <c r="W37" s="10">
        <v>3339.39</v>
      </c>
      <c r="X37" s="10">
        <v>2888.34</v>
      </c>
      <c r="Y37" s="10">
        <v>1841.75</v>
      </c>
      <c r="Z37" s="10">
        <v>1257.25</v>
      </c>
      <c r="AA37" s="13">
        <v>913.32</v>
      </c>
      <c r="AB37" s="6">
        <f t="shared" si="0"/>
        <v>41377.549999999996</v>
      </c>
      <c r="AC37" s="6">
        <v>2</v>
      </c>
      <c r="AD37" s="53"/>
      <c r="AE37" s="47">
        <f>+AD130</f>
        <v>2297156.37</v>
      </c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5"/>
    </row>
    <row r="38" spans="2:56">
      <c r="B38" s="48">
        <v>46266</v>
      </c>
      <c r="C38" s="8" t="s">
        <v>5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1303.28</v>
      </c>
      <c r="K38" s="7">
        <v>3129.7</v>
      </c>
      <c r="L38" s="7">
        <v>4179.07</v>
      </c>
      <c r="M38" s="7">
        <v>4362.0600000000004</v>
      </c>
      <c r="N38" s="7">
        <v>4653.99</v>
      </c>
      <c r="O38" s="7">
        <v>4687.58</v>
      </c>
      <c r="P38" s="7">
        <v>4826.3</v>
      </c>
      <c r="Q38" s="7">
        <v>4799.58</v>
      </c>
      <c r="R38" s="7">
        <v>5071.38</v>
      </c>
      <c r="S38" s="7">
        <v>5051.01</v>
      </c>
      <c r="T38" s="7">
        <v>4889.8</v>
      </c>
      <c r="U38" s="7">
        <v>2767.74</v>
      </c>
      <c r="V38" s="7">
        <v>2260.2399999999998</v>
      </c>
      <c r="W38" s="7">
        <v>2019.67</v>
      </c>
      <c r="X38" s="7">
        <v>1821.12</v>
      </c>
      <c r="Y38" s="7">
        <v>1532.01</v>
      </c>
      <c r="Z38" s="7">
        <v>810.57</v>
      </c>
      <c r="AA38" s="11">
        <v>367.85</v>
      </c>
      <c r="AB38" s="5">
        <f t="shared" si="0"/>
        <v>58532.95</v>
      </c>
      <c r="AC38" s="5">
        <v>22</v>
      </c>
      <c r="AD38" s="51">
        <f>(AB38*AC38)+(AB39*AC39)+(AB40*AC40)+(AB41*AC41)</f>
        <v>1434951.66</v>
      </c>
      <c r="AE38" s="47">
        <f>+AD134</f>
        <v>1320777.7199999995</v>
      </c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</row>
    <row r="39" spans="2:56">
      <c r="B39" s="49"/>
      <c r="C39" s="1" t="s">
        <v>6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264.70999999999998</v>
      </c>
      <c r="K39" s="2">
        <v>1504.28</v>
      </c>
      <c r="L39" s="2">
        <v>2300.86</v>
      </c>
      <c r="M39" s="2">
        <v>2584.34</v>
      </c>
      <c r="N39" s="2">
        <v>3033.67</v>
      </c>
      <c r="O39" s="2">
        <v>3088.83</v>
      </c>
      <c r="P39" s="2">
        <v>2797.65</v>
      </c>
      <c r="Q39" s="2">
        <v>2484.87</v>
      </c>
      <c r="R39" s="2">
        <v>2278.4</v>
      </c>
      <c r="S39" s="2">
        <v>2207.8200000000002</v>
      </c>
      <c r="T39" s="2">
        <v>2063.66</v>
      </c>
      <c r="U39" s="2">
        <v>1637.76</v>
      </c>
      <c r="V39" s="2">
        <v>1386.7</v>
      </c>
      <c r="W39" s="2">
        <v>1207.5899999999999</v>
      </c>
      <c r="X39" s="2">
        <v>1100.4100000000001</v>
      </c>
      <c r="Y39" s="2">
        <v>332.8</v>
      </c>
      <c r="Z39" s="2">
        <v>0</v>
      </c>
      <c r="AA39" s="12">
        <v>0</v>
      </c>
      <c r="AB39" s="3">
        <f t="shared" si="0"/>
        <v>30274.35</v>
      </c>
      <c r="AC39" s="3">
        <v>4</v>
      </c>
      <c r="AD39" s="52"/>
      <c r="AE39" s="47">
        <f>+AD138</f>
        <v>1645928.7200000002</v>
      </c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</row>
    <row r="40" spans="2:56">
      <c r="B40" s="49"/>
      <c r="C40" s="1" t="s">
        <v>7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122.64</v>
      </c>
      <c r="N40" s="2">
        <v>313.22000000000003</v>
      </c>
      <c r="O40" s="2">
        <v>394.65</v>
      </c>
      <c r="P40" s="2">
        <v>988.06</v>
      </c>
      <c r="Q40" s="2">
        <v>825.41</v>
      </c>
      <c r="R40" s="2">
        <v>662.42</v>
      </c>
      <c r="S40" s="2">
        <v>810.78</v>
      </c>
      <c r="T40" s="2">
        <v>959.99</v>
      </c>
      <c r="U40" s="2">
        <v>0</v>
      </c>
      <c r="V40" s="2">
        <v>51.17</v>
      </c>
      <c r="W40" s="2">
        <v>404.18</v>
      </c>
      <c r="X40" s="2">
        <v>665.65</v>
      </c>
      <c r="Y40" s="2">
        <v>334.17</v>
      </c>
      <c r="Z40" s="2">
        <v>0</v>
      </c>
      <c r="AA40" s="12">
        <v>0</v>
      </c>
      <c r="AB40" s="3">
        <f t="shared" si="0"/>
        <v>6532.34</v>
      </c>
      <c r="AC40" s="3">
        <v>4</v>
      </c>
      <c r="AD40" s="52"/>
      <c r="AE40" s="47">
        <f>+AD142</f>
        <v>2280352.38</v>
      </c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</row>
    <row r="41" spans="2:56" ht="15" thickBot="1">
      <c r="B41" s="50"/>
      <c r="C41" s="9" t="s">
        <v>8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3">
        <v>0</v>
      </c>
      <c r="AB41" s="6">
        <f t="shared" si="0"/>
        <v>0</v>
      </c>
      <c r="AC41" s="6">
        <v>0</v>
      </c>
      <c r="AD41" s="53"/>
      <c r="AE41" s="47">
        <f>+AD146</f>
        <v>1570253.5899999999</v>
      </c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</row>
    <row r="42" spans="2:56">
      <c r="B42" s="48">
        <v>46296</v>
      </c>
      <c r="C42" s="8" t="s">
        <v>5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1357.8</v>
      </c>
      <c r="K42" s="7">
        <v>3200.78</v>
      </c>
      <c r="L42" s="7">
        <v>4259.57</v>
      </c>
      <c r="M42" s="7">
        <v>4448.26</v>
      </c>
      <c r="N42" s="7">
        <v>4746.1899999999996</v>
      </c>
      <c r="O42" s="7">
        <v>4781.6099999999997</v>
      </c>
      <c r="P42" s="7">
        <v>4916.83</v>
      </c>
      <c r="Q42" s="7">
        <v>4892.6099999999997</v>
      </c>
      <c r="R42" s="7">
        <v>5168.04</v>
      </c>
      <c r="S42" s="7">
        <v>5146.8999999999996</v>
      </c>
      <c r="T42" s="7">
        <v>4983.32</v>
      </c>
      <c r="U42" s="7">
        <v>2852.01</v>
      </c>
      <c r="V42" s="7">
        <v>2340.9299999999998</v>
      </c>
      <c r="W42" s="7">
        <v>2095.9899999999998</v>
      </c>
      <c r="X42" s="7">
        <v>1889.7</v>
      </c>
      <c r="Y42" s="7">
        <v>1588.57</v>
      </c>
      <c r="Z42" s="7">
        <v>860.66</v>
      </c>
      <c r="AA42" s="11">
        <v>413.97</v>
      </c>
      <c r="AB42" s="5">
        <f t="shared" si="0"/>
        <v>59943.740000000005</v>
      </c>
      <c r="AC42" s="5">
        <v>21</v>
      </c>
      <c r="AD42" s="51">
        <f>(AB42*AC42)+(AB43*AC43)+(AB44*AC44)+(AB45*AC45)</f>
        <v>1813493.17</v>
      </c>
      <c r="AE42" s="47">
        <f>+AD150</f>
        <v>1817539.76</v>
      </c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</row>
    <row r="43" spans="2:56">
      <c r="B43" s="49"/>
      <c r="C43" s="1" t="s">
        <v>6</v>
      </c>
      <c r="D43" s="2">
        <v>1183.43</v>
      </c>
      <c r="E43" s="2">
        <v>858.2</v>
      </c>
      <c r="F43" s="2">
        <v>643.04999999999995</v>
      </c>
      <c r="G43" s="2">
        <v>580.94000000000005</v>
      </c>
      <c r="H43" s="2">
        <v>506.47</v>
      </c>
      <c r="I43" s="2">
        <v>681.98</v>
      </c>
      <c r="J43" s="2">
        <v>1862.15</v>
      </c>
      <c r="K43" s="2">
        <v>3369.47</v>
      </c>
      <c r="L43" s="2">
        <v>4335.33</v>
      </c>
      <c r="M43" s="2">
        <v>4679.05</v>
      </c>
      <c r="N43" s="2">
        <v>5223.87</v>
      </c>
      <c r="O43" s="2">
        <v>5290.75</v>
      </c>
      <c r="P43" s="2">
        <v>4937.6899999999996</v>
      </c>
      <c r="Q43" s="2">
        <v>4558.4399999999996</v>
      </c>
      <c r="R43" s="2">
        <v>4308.1000000000004</v>
      </c>
      <c r="S43" s="2">
        <v>4222.5200000000004</v>
      </c>
      <c r="T43" s="2">
        <v>4047.72</v>
      </c>
      <c r="U43" s="2">
        <v>3617.94</v>
      </c>
      <c r="V43" s="2">
        <v>3391.35</v>
      </c>
      <c r="W43" s="2">
        <v>3133.26</v>
      </c>
      <c r="X43" s="2">
        <v>2903.71</v>
      </c>
      <c r="Y43" s="2">
        <v>1944.71</v>
      </c>
      <c r="Z43" s="2">
        <v>1349.46</v>
      </c>
      <c r="AA43" s="12">
        <v>930.06</v>
      </c>
      <c r="AB43" s="3">
        <f t="shared" si="0"/>
        <v>68559.650000000009</v>
      </c>
      <c r="AC43" s="3">
        <v>5</v>
      </c>
      <c r="AD43" s="52"/>
      <c r="AE43" s="47">
        <f>+AD154</f>
        <v>1713859.48</v>
      </c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</row>
    <row r="44" spans="2:56">
      <c r="B44" s="49"/>
      <c r="C44" s="1" t="s">
        <v>7</v>
      </c>
      <c r="D44" s="2">
        <v>864.66</v>
      </c>
      <c r="E44" s="2">
        <v>477.45</v>
      </c>
      <c r="F44" s="2">
        <v>266.18</v>
      </c>
      <c r="G44" s="2">
        <v>118.57</v>
      </c>
      <c r="H44" s="2">
        <v>6.28</v>
      </c>
      <c r="I44" s="2">
        <v>0</v>
      </c>
      <c r="J44" s="2">
        <v>362.11</v>
      </c>
      <c r="K44" s="2">
        <v>943.3</v>
      </c>
      <c r="L44" s="2">
        <v>1412.92</v>
      </c>
      <c r="M44" s="2">
        <v>1694.21</v>
      </c>
      <c r="N44" s="2">
        <v>1988.15</v>
      </c>
      <c r="O44" s="2">
        <v>2110.94</v>
      </c>
      <c r="P44" s="2">
        <v>2743.54</v>
      </c>
      <c r="Q44" s="2">
        <v>2591.2199999999998</v>
      </c>
      <c r="R44" s="2">
        <v>2420.14</v>
      </c>
      <c r="S44" s="2">
        <v>2582.87</v>
      </c>
      <c r="T44" s="2">
        <v>2744.38</v>
      </c>
      <c r="U44" s="2">
        <v>1648</v>
      </c>
      <c r="V44" s="2">
        <v>1909.76</v>
      </c>
      <c r="W44" s="2">
        <v>2258.0500000000002</v>
      </c>
      <c r="X44" s="2">
        <v>2446.3000000000002</v>
      </c>
      <c r="Y44" s="2">
        <v>1946.37</v>
      </c>
      <c r="Z44" s="2">
        <v>1452.72</v>
      </c>
      <c r="AA44" s="12">
        <v>1101.6199999999999</v>
      </c>
      <c r="AB44" s="3">
        <f t="shared" si="0"/>
        <v>36089.740000000005</v>
      </c>
      <c r="AC44" s="3">
        <v>4</v>
      </c>
      <c r="AD44" s="52"/>
      <c r="AE44" s="47">
        <f>+AD158</f>
        <v>2068419.1600000001</v>
      </c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</row>
    <row r="45" spans="2:56" ht="15" thickBot="1">
      <c r="B45" s="50"/>
      <c r="C45" s="9" t="s">
        <v>8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1357.8</v>
      </c>
      <c r="K45" s="10">
        <v>3200.78</v>
      </c>
      <c r="L45" s="10">
        <v>4259.57</v>
      </c>
      <c r="M45" s="10">
        <v>4481.92</v>
      </c>
      <c r="N45" s="10">
        <v>5155.8999999999996</v>
      </c>
      <c r="O45" s="10">
        <v>5362.12</v>
      </c>
      <c r="P45" s="10">
        <v>4969.16</v>
      </c>
      <c r="Q45" s="10">
        <v>5250.03</v>
      </c>
      <c r="R45" s="10">
        <v>5658.33</v>
      </c>
      <c r="S45" s="10">
        <v>5571.2</v>
      </c>
      <c r="T45" s="10">
        <v>5305.93</v>
      </c>
      <c r="U45" s="10">
        <v>4285.42</v>
      </c>
      <c r="V45" s="10">
        <v>3882.71</v>
      </c>
      <c r="W45" s="10">
        <v>3392.22</v>
      </c>
      <c r="X45" s="10">
        <v>2521.13</v>
      </c>
      <c r="Y45" s="10">
        <v>1588.57</v>
      </c>
      <c r="Z45" s="10">
        <v>860.66</v>
      </c>
      <c r="AA45" s="13">
        <v>413.97</v>
      </c>
      <c r="AB45" s="6">
        <f t="shared" si="0"/>
        <v>67517.42</v>
      </c>
      <c r="AC45" s="6">
        <v>1</v>
      </c>
      <c r="AD45" s="53"/>
      <c r="AE45" s="47">
        <f>+AD162</f>
        <v>2089524.5300000003</v>
      </c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</row>
    <row r="46" spans="2:56">
      <c r="B46" s="48">
        <v>46327</v>
      </c>
      <c r="C46" s="8" t="s">
        <v>5</v>
      </c>
      <c r="D46" s="7">
        <v>1487</v>
      </c>
      <c r="E46" s="7">
        <v>1213.1099999999999</v>
      </c>
      <c r="F46" s="7">
        <v>1029.17</v>
      </c>
      <c r="G46" s="7">
        <v>917.88</v>
      </c>
      <c r="H46" s="7">
        <v>973.12</v>
      </c>
      <c r="I46" s="7">
        <v>1632.06</v>
      </c>
      <c r="J46" s="7">
        <v>3349.44</v>
      </c>
      <c r="K46" s="7">
        <v>5623.17</v>
      </c>
      <c r="L46" s="7">
        <v>6926.72</v>
      </c>
      <c r="M46" s="7">
        <v>7103.05</v>
      </c>
      <c r="N46" s="7">
        <v>7556.78</v>
      </c>
      <c r="O46" s="7">
        <v>7639.87</v>
      </c>
      <c r="P46" s="7">
        <v>7684.25</v>
      </c>
      <c r="Q46" s="7">
        <v>7724.96</v>
      </c>
      <c r="R46" s="7">
        <v>8094.77</v>
      </c>
      <c r="S46" s="7">
        <v>8053.49</v>
      </c>
      <c r="T46" s="7">
        <v>7828.6</v>
      </c>
      <c r="U46" s="7">
        <v>5456.66</v>
      </c>
      <c r="V46" s="7">
        <v>4852.49</v>
      </c>
      <c r="W46" s="7">
        <v>4494.17</v>
      </c>
      <c r="X46" s="7">
        <v>4086.51</v>
      </c>
      <c r="Y46" s="7">
        <v>3618.25</v>
      </c>
      <c r="Z46" s="7">
        <v>2737.37</v>
      </c>
      <c r="AA46" s="11">
        <v>2187.4299999999998</v>
      </c>
      <c r="AB46" s="5">
        <f t="shared" si="0"/>
        <v>112270.32</v>
      </c>
      <c r="AC46" s="5">
        <v>19</v>
      </c>
      <c r="AD46" s="51">
        <f>(AB46*AC46)+(AB47*AC47)+(AB48*AC48)+(AB49*AC49)</f>
        <v>2323444.02</v>
      </c>
      <c r="AE46" s="47">
        <f>+AD166</f>
        <v>2443286.0500000003</v>
      </c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  <c r="BC46" s="45"/>
      <c r="BD46" s="45"/>
    </row>
    <row r="47" spans="2:56">
      <c r="B47" s="49"/>
      <c r="C47" s="1" t="s">
        <v>6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37.51</v>
      </c>
      <c r="K47" s="2">
        <v>1248.24</v>
      </c>
      <c r="L47" s="2">
        <v>2026.58</v>
      </c>
      <c r="M47" s="2">
        <v>2303.58</v>
      </c>
      <c r="N47" s="2">
        <v>2742.62</v>
      </c>
      <c r="O47" s="2">
        <v>2796.52</v>
      </c>
      <c r="P47" s="2">
        <v>2512</v>
      </c>
      <c r="Q47" s="2">
        <v>2206.38</v>
      </c>
      <c r="R47" s="2">
        <v>2004.64</v>
      </c>
      <c r="S47" s="2">
        <v>1935.68</v>
      </c>
      <c r="T47" s="2">
        <v>1794.82</v>
      </c>
      <c r="U47" s="2">
        <v>1309.7</v>
      </c>
      <c r="V47" s="2">
        <v>1056</v>
      </c>
      <c r="W47" s="2">
        <v>885.39</v>
      </c>
      <c r="X47" s="2">
        <v>791.4</v>
      </c>
      <c r="Y47" s="2">
        <v>104.05</v>
      </c>
      <c r="Z47" s="2">
        <v>0</v>
      </c>
      <c r="AA47" s="12">
        <v>0</v>
      </c>
      <c r="AB47" s="3">
        <f t="shared" si="0"/>
        <v>25755.11</v>
      </c>
      <c r="AC47" s="3">
        <v>4</v>
      </c>
      <c r="AD47" s="52"/>
      <c r="AE47" s="47">
        <f>+AD170</f>
        <v>2524716.9000000004</v>
      </c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45"/>
      <c r="BA47" s="45"/>
      <c r="BB47" s="45"/>
      <c r="BC47" s="45"/>
      <c r="BD47" s="45"/>
    </row>
    <row r="48" spans="2:56">
      <c r="B48" s="49"/>
      <c r="C48" s="1" t="s">
        <v>7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18.03</v>
      </c>
      <c r="O48" s="2">
        <v>95.01</v>
      </c>
      <c r="P48" s="2">
        <v>743.83</v>
      </c>
      <c r="Q48" s="2">
        <v>520.44000000000005</v>
      </c>
      <c r="R48" s="2">
        <v>358.31</v>
      </c>
      <c r="S48" s="2">
        <v>505.13</v>
      </c>
      <c r="T48" s="2">
        <v>653.02</v>
      </c>
      <c r="U48" s="2">
        <v>0</v>
      </c>
      <c r="V48" s="2">
        <v>0</v>
      </c>
      <c r="W48" s="2">
        <v>89.72</v>
      </c>
      <c r="X48" s="2">
        <v>359.07</v>
      </c>
      <c r="Y48" s="2">
        <v>105.38</v>
      </c>
      <c r="Z48" s="2">
        <v>0</v>
      </c>
      <c r="AA48" s="12">
        <v>0</v>
      </c>
      <c r="AB48" s="3">
        <f t="shared" si="0"/>
        <v>3447.94</v>
      </c>
      <c r="AC48" s="3">
        <v>5</v>
      </c>
      <c r="AD48" s="52"/>
      <c r="AE48" s="47">
        <f>+AD174</f>
        <v>1933251.07</v>
      </c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5"/>
      <c r="AW48" s="45"/>
      <c r="AX48" s="45"/>
      <c r="AY48" s="45"/>
      <c r="AZ48" s="45"/>
      <c r="BA48" s="45"/>
      <c r="BB48" s="45"/>
      <c r="BC48" s="45"/>
      <c r="BD48" s="45"/>
    </row>
    <row r="49" spans="2:56" ht="15" thickBot="1">
      <c r="B49" s="50"/>
      <c r="C49" s="9" t="s">
        <v>8</v>
      </c>
      <c r="D49" s="10">
        <v>130.43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593.13</v>
      </c>
      <c r="L49" s="10">
        <v>1130.6099999999999</v>
      </c>
      <c r="M49" s="10">
        <v>1424.4</v>
      </c>
      <c r="N49" s="10">
        <v>2044.5</v>
      </c>
      <c r="O49" s="10">
        <v>2273.89</v>
      </c>
      <c r="P49" s="10">
        <v>2491.36</v>
      </c>
      <c r="Q49" s="10">
        <v>2508.9499999999998</v>
      </c>
      <c r="R49" s="10">
        <v>2581.04</v>
      </c>
      <c r="S49" s="10">
        <v>2633.99</v>
      </c>
      <c r="T49" s="10">
        <v>2634.47</v>
      </c>
      <c r="U49" s="10">
        <v>2803.8</v>
      </c>
      <c r="V49" s="10">
        <v>3177.99</v>
      </c>
      <c r="W49" s="10">
        <v>2980.89</v>
      </c>
      <c r="X49" s="10">
        <v>2540.16</v>
      </c>
      <c r="Y49" s="10">
        <v>1517.53</v>
      </c>
      <c r="Z49" s="10">
        <v>946.41</v>
      </c>
      <c r="AA49" s="13">
        <v>610.35</v>
      </c>
      <c r="AB49" s="6">
        <f t="shared" si="0"/>
        <v>35023.900000000009</v>
      </c>
      <c r="AC49" s="6">
        <v>2</v>
      </c>
      <c r="AD49" s="53"/>
      <c r="AE49" s="47">
        <f>+AD178</f>
        <v>2946858.4700000011</v>
      </c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5"/>
      <c r="AW49" s="45"/>
      <c r="AX49" s="45"/>
      <c r="AY49" s="45"/>
      <c r="AZ49" s="45"/>
      <c r="BA49" s="45"/>
      <c r="BB49" s="45"/>
      <c r="BC49" s="45"/>
      <c r="BD49" s="45"/>
    </row>
    <row r="50" spans="2:56">
      <c r="B50" s="48">
        <v>46357</v>
      </c>
      <c r="C50" s="8" t="s">
        <v>5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65.62</v>
      </c>
      <c r="J50" s="7">
        <v>1493.19</v>
      </c>
      <c r="K50" s="7">
        <v>3379.8</v>
      </c>
      <c r="L50" s="7">
        <v>4463.3900000000003</v>
      </c>
      <c r="M50" s="7">
        <v>4690.9399999999996</v>
      </c>
      <c r="N50" s="7">
        <v>5045.01</v>
      </c>
      <c r="O50" s="7">
        <v>5085.26</v>
      </c>
      <c r="P50" s="7">
        <v>5189.58</v>
      </c>
      <c r="Q50" s="7">
        <v>5193.6400000000003</v>
      </c>
      <c r="R50" s="7">
        <v>5478.62</v>
      </c>
      <c r="S50" s="7">
        <v>5455.44</v>
      </c>
      <c r="T50" s="7">
        <v>5285.66</v>
      </c>
      <c r="U50" s="7">
        <v>3129.97</v>
      </c>
      <c r="V50" s="7">
        <v>2609.4699999999998</v>
      </c>
      <c r="W50" s="7">
        <v>2353.04</v>
      </c>
      <c r="X50" s="7">
        <v>2126.36</v>
      </c>
      <c r="Y50" s="7">
        <v>1729.37</v>
      </c>
      <c r="Z50" s="7">
        <v>984.41</v>
      </c>
      <c r="AA50" s="11">
        <v>527.27</v>
      </c>
      <c r="AB50" s="5">
        <f t="shared" si="0"/>
        <v>64286.040000000015</v>
      </c>
      <c r="AC50" s="5">
        <v>21</v>
      </c>
      <c r="AD50" s="51">
        <f>(AB50*AC50)+(AB51*AC51)+(AB52*AC52)+(AB53*AC53)</f>
        <v>1777353.2000000004</v>
      </c>
      <c r="AE50" s="47">
        <f>+AD182</f>
        <v>1777303.5000000002</v>
      </c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5"/>
      <c r="AW50" s="45"/>
      <c r="AX50" s="45"/>
      <c r="AY50" s="45"/>
      <c r="AZ50" s="45"/>
      <c r="BA50" s="45"/>
      <c r="BB50" s="45"/>
      <c r="BC50" s="45"/>
      <c r="BD50" s="45"/>
    </row>
    <row r="51" spans="2:56">
      <c r="B51" s="49"/>
      <c r="C51" s="1" t="s">
        <v>6</v>
      </c>
      <c r="D51" s="2">
        <v>916.15</v>
      </c>
      <c r="E51" s="2">
        <v>598.44000000000005</v>
      </c>
      <c r="F51" s="2">
        <v>388.26</v>
      </c>
      <c r="G51" s="2">
        <v>327.58999999999997</v>
      </c>
      <c r="H51" s="2">
        <v>254.83</v>
      </c>
      <c r="I51" s="2">
        <v>426.3</v>
      </c>
      <c r="J51" s="2">
        <v>1579.19</v>
      </c>
      <c r="K51" s="2">
        <v>3051.22</v>
      </c>
      <c r="L51" s="2">
        <v>3994.76</v>
      </c>
      <c r="M51" s="2">
        <v>4330.54</v>
      </c>
      <c r="N51" s="2">
        <v>4862.7700000000004</v>
      </c>
      <c r="O51" s="2">
        <v>4928.1099999999997</v>
      </c>
      <c r="P51" s="2">
        <v>4583.2</v>
      </c>
      <c r="Q51" s="2">
        <v>4212.72</v>
      </c>
      <c r="R51" s="2">
        <v>3968.16</v>
      </c>
      <c r="S51" s="2">
        <v>3884.56</v>
      </c>
      <c r="T51" s="2">
        <v>3713.8</v>
      </c>
      <c r="U51" s="2">
        <v>3359.04</v>
      </c>
      <c r="V51" s="2">
        <v>3129.22</v>
      </c>
      <c r="W51" s="2">
        <v>2881.55</v>
      </c>
      <c r="X51" s="2">
        <v>2668.13</v>
      </c>
      <c r="Y51" s="2">
        <v>1659.85</v>
      </c>
      <c r="Z51" s="2">
        <v>1078.3499999999999</v>
      </c>
      <c r="AA51" s="12">
        <v>668.64</v>
      </c>
      <c r="AB51" s="3">
        <f t="shared" si="0"/>
        <v>61465.380000000005</v>
      </c>
      <c r="AC51" s="3">
        <v>4</v>
      </c>
      <c r="AD51" s="52"/>
      <c r="AE51" s="47">
        <f>+AD186</f>
        <v>2266374.4500000002</v>
      </c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45"/>
      <c r="BD51" s="45"/>
    </row>
    <row r="52" spans="2:56">
      <c r="B52" s="49"/>
      <c r="C52" s="1" t="s">
        <v>7</v>
      </c>
      <c r="D52" s="2">
        <v>604.75</v>
      </c>
      <c r="E52" s="2">
        <v>226.49</v>
      </c>
      <c r="F52" s="2">
        <v>20.100000000000001</v>
      </c>
      <c r="G52" s="2">
        <v>0</v>
      </c>
      <c r="H52" s="2">
        <v>0</v>
      </c>
      <c r="I52" s="2">
        <v>0</v>
      </c>
      <c r="J52" s="2">
        <v>113.81</v>
      </c>
      <c r="K52" s="2">
        <v>681.1</v>
      </c>
      <c r="L52" s="2">
        <v>1139.8699999999999</v>
      </c>
      <c r="M52" s="2">
        <v>1414.66</v>
      </c>
      <c r="N52" s="2">
        <v>1769.49</v>
      </c>
      <c r="O52" s="2">
        <v>1886.83</v>
      </c>
      <c r="P52" s="2">
        <v>2439.75</v>
      </c>
      <c r="Q52" s="2">
        <v>2360.58</v>
      </c>
      <c r="R52" s="2">
        <v>2190.5700000000002</v>
      </c>
      <c r="S52" s="2">
        <v>2351.4</v>
      </c>
      <c r="T52" s="2">
        <v>2511.29</v>
      </c>
      <c r="U52" s="2">
        <v>1413.28</v>
      </c>
      <c r="V52" s="2">
        <v>1666.89</v>
      </c>
      <c r="W52" s="2">
        <v>2015.8</v>
      </c>
      <c r="X52" s="2">
        <v>2213.6999999999998</v>
      </c>
      <c r="Y52" s="2">
        <v>1661.46</v>
      </c>
      <c r="Z52" s="2">
        <v>1179.22</v>
      </c>
      <c r="AA52" s="12">
        <v>836.24</v>
      </c>
      <c r="AB52" s="3">
        <f t="shared" si="0"/>
        <v>30697.279999999999</v>
      </c>
      <c r="AC52" s="3">
        <v>4</v>
      </c>
      <c r="AD52" s="52"/>
      <c r="AE52" s="47">
        <f>+AD190</f>
        <v>2892186.26</v>
      </c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  <c r="BC52" s="45"/>
      <c r="BD52" s="45"/>
    </row>
    <row r="53" spans="2:56" ht="15" thickBot="1">
      <c r="B53" s="50"/>
      <c r="C53" s="9" t="s">
        <v>8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310.75</v>
      </c>
      <c r="L53" s="10">
        <v>831.99</v>
      </c>
      <c r="M53" s="10">
        <v>1116.9100000000001</v>
      </c>
      <c r="N53" s="10">
        <v>1718.28</v>
      </c>
      <c r="O53" s="10">
        <v>1940.74</v>
      </c>
      <c r="P53" s="10">
        <v>2151.64</v>
      </c>
      <c r="Q53" s="10">
        <v>2168.6999999999998</v>
      </c>
      <c r="R53" s="10">
        <v>2238.61</v>
      </c>
      <c r="S53" s="10">
        <v>2289.9699999999998</v>
      </c>
      <c r="T53" s="10">
        <v>2290.42</v>
      </c>
      <c r="U53" s="10">
        <v>2455.2600000000002</v>
      </c>
      <c r="V53" s="10">
        <v>2818.15</v>
      </c>
      <c r="W53" s="10">
        <v>2627</v>
      </c>
      <c r="X53" s="10">
        <v>2199.58</v>
      </c>
      <c r="Y53" s="10">
        <v>1207.8399999999999</v>
      </c>
      <c r="Z53" s="10">
        <v>653.96</v>
      </c>
      <c r="AA53" s="13">
        <v>328.06</v>
      </c>
      <c r="AB53" s="6">
        <f t="shared" si="0"/>
        <v>29347.86</v>
      </c>
      <c r="AC53" s="6">
        <v>2</v>
      </c>
      <c r="AD53" s="53"/>
      <c r="AE53" s="47">
        <f>+AD194</f>
        <v>2177993.5900000003</v>
      </c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5"/>
      <c r="AW53" s="45"/>
      <c r="AX53" s="45"/>
      <c r="AY53" s="45"/>
      <c r="AZ53" s="45"/>
      <c r="BA53" s="45"/>
      <c r="BB53" s="45"/>
      <c r="BC53" s="45"/>
      <c r="BD53" s="45"/>
    </row>
    <row r="54" spans="2:56">
      <c r="B54" s="48">
        <v>46388</v>
      </c>
      <c r="C54" s="8" t="s">
        <v>5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889.29</v>
      </c>
      <c r="L54" s="7">
        <v>1868.8</v>
      </c>
      <c r="M54" s="7">
        <v>2074.5</v>
      </c>
      <c r="N54" s="7">
        <v>2698.01</v>
      </c>
      <c r="O54" s="7">
        <v>2888.78</v>
      </c>
      <c r="P54" s="7">
        <v>2525.2399999999998</v>
      </c>
      <c r="Q54" s="7">
        <v>2785.09</v>
      </c>
      <c r="R54" s="7">
        <v>3162.81</v>
      </c>
      <c r="S54" s="7">
        <v>3082.21</v>
      </c>
      <c r="T54" s="7">
        <v>2836.8</v>
      </c>
      <c r="U54" s="7">
        <v>1894.23</v>
      </c>
      <c r="V54" s="7">
        <v>1521.68</v>
      </c>
      <c r="W54" s="7">
        <v>1067.93</v>
      </c>
      <c r="X54" s="7">
        <v>262.06</v>
      </c>
      <c r="Y54" s="7">
        <v>0</v>
      </c>
      <c r="Z54" s="7">
        <v>0</v>
      </c>
      <c r="AA54" s="11">
        <v>0</v>
      </c>
      <c r="AB54" s="5">
        <f t="shared" si="0"/>
        <v>29557.43</v>
      </c>
      <c r="AC54" s="5">
        <v>19</v>
      </c>
      <c r="AD54" s="51">
        <f>(AB54*AC54)+(AB55*AC55)+(AB56*AC56)+(AB57*AC57)</f>
        <v>670204.52</v>
      </c>
      <c r="AE54" s="47">
        <f>+AD198</f>
        <v>1674255.3299999998</v>
      </c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5"/>
      <c r="AW54" s="45"/>
      <c r="AX54" s="45"/>
      <c r="AY54" s="45"/>
      <c r="AZ54" s="45"/>
      <c r="BA54" s="45"/>
      <c r="BB54" s="45"/>
      <c r="BC54" s="45"/>
      <c r="BD54" s="45"/>
    </row>
    <row r="55" spans="2:56">
      <c r="B55" s="49"/>
      <c r="C55" s="1" t="s">
        <v>6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592.27</v>
      </c>
      <c r="L55" s="2">
        <v>1445.18</v>
      </c>
      <c r="M55" s="2">
        <v>1748.71</v>
      </c>
      <c r="N55" s="2">
        <v>2229.8200000000002</v>
      </c>
      <c r="O55" s="2">
        <v>2288.88</v>
      </c>
      <c r="P55" s="2">
        <v>1977.1</v>
      </c>
      <c r="Q55" s="2">
        <v>1642.21</v>
      </c>
      <c r="R55" s="2">
        <v>1421.13</v>
      </c>
      <c r="S55" s="2">
        <v>1345.56</v>
      </c>
      <c r="T55" s="2">
        <v>1191.21</v>
      </c>
      <c r="U55" s="2">
        <v>1173.26</v>
      </c>
      <c r="V55" s="2">
        <v>1296.56</v>
      </c>
      <c r="W55" s="2">
        <v>898.67</v>
      </c>
      <c r="X55" s="2">
        <v>282.08999999999997</v>
      </c>
      <c r="Y55" s="2">
        <v>0</v>
      </c>
      <c r="Z55" s="2">
        <v>0</v>
      </c>
      <c r="AA55" s="12">
        <v>0</v>
      </c>
      <c r="AB55" s="3">
        <f t="shared" si="0"/>
        <v>19532.650000000001</v>
      </c>
      <c r="AC55" s="3">
        <v>5</v>
      </c>
      <c r="AD55" s="52"/>
      <c r="AE55" s="47">
        <f>+AD202</f>
        <v>1591688.96</v>
      </c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45"/>
      <c r="BD55" s="45"/>
    </row>
    <row r="56" spans="2:56">
      <c r="B56" s="49"/>
      <c r="C56" s="1" t="s">
        <v>7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39.53</v>
      </c>
      <c r="Q56" s="2">
        <v>72.790000000000006</v>
      </c>
      <c r="R56" s="2">
        <v>32.11</v>
      </c>
      <c r="S56" s="2">
        <v>104.47</v>
      </c>
      <c r="T56" s="2">
        <v>166.41</v>
      </c>
      <c r="U56" s="2">
        <v>249.29</v>
      </c>
      <c r="V56" s="2">
        <v>560.66999999999996</v>
      </c>
      <c r="W56" s="2">
        <v>536.84</v>
      </c>
      <c r="X56" s="2">
        <v>167.99</v>
      </c>
      <c r="Y56" s="2">
        <v>0</v>
      </c>
      <c r="Z56" s="2">
        <v>0</v>
      </c>
      <c r="AA56" s="12">
        <v>0</v>
      </c>
      <c r="AB56" s="3">
        <f t="shared" si="0"/>
        <v>1930.1000000000001</v>
      </c>
      <c r="AC56" s="3">
        <v>5</v>
      </c>
      <c r="AD56" s="52"/>
      <c r="AE56" s="47">
        <f>+AD206</f>
        <v>1952032.3000000005</v>
      </c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  <c r="AW56" s="45"/>
      <c r="AX56" s="45"/>
      <c r="AY56" s="45"/>
      <c r="AZ56" s="45"/>
      <c r="BA56" s="45"/>
      <c r="BB56" s="45"/>
      <c r="BC56" s="45"/>
      <c r="BD56" s="45"/>
    </row>
    <row r="57" spans="2:56" ht="15" thickBot="1">
      <c r="B57" s="50"/>
      <c r="C57" s="9" t="s">
        <v>8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55.51</v>
      </c>
      <c r="V57" s="10">
        <v>383.54</v>
      </c>
      <c r="W57" s="10">
        <v>210.75</v>
      </c>
      <c r="X57" s="10">
        <v>0</v>
      </c>
      <c r="Y57" s="10">
        <v>0</v>
      </c>
      <c r="Z57" s="10">
        <v>0</v>
      </c>
      <c r="AA57" s="13">
        <v>0</v>
      </c>
      <c r="AB57" s="6">
        <f t="shared" si="0"/>
        <v>649.79999999999995</v>
      </c>
      <c r="AC57" s="6">
        <v>2</v>
      </c>
      <c r="AD57" s="53"/>
      <c r="AE57" s="47">
        <f>+AD210</f>
        <v>1888773.26</v>
      </c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5"/>
      <c r="AW57" s="45"/>
      <c r="AX57" s="45"/>
      <c r="AY57" s="45"/>
      <c r="AZ57" s="45"/>
      <c r="BA57" s="45"/>
      <c r="BB57" s="45"/>
      <c r="BC57" s="45"/>
      <c r="BD57" s="45"/>
    </row>
    <row r="58" spans="2:56">
      <c r="B58" s="48">
        <v>46419</v>
      </c>
      <c r="C58" s="8" t="s">
        <v>5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286.81</v>
      </c>
      <c r="K58" s="7">
        <v>2208.15</v>
      </c>
      <c r="L58" s="7">
        <v>2857.32</v>
      </c>
      <c r="M58" s="7">
        <v>2956.88</v>
      </c>
      <c r="N58" s="7">
        <v>3283.5</v>
      </c>
      <c r="O58" s="7">
        <v>3093.18</v>
      </c>
      <c r="P58" s="7">
        <v>2594.7600000000002</v>
      </c>
      <c r="Q58" s="7">
        <v>3221.9</v>
      </c>
      <c r="R58" s="7">
        <v>3675.5</v>
      </c>
      <c r="S58" s="7">
        <v>3680.79</v>
      </c>
      <c r="T58" s="7">
        <v>3434.36</v>
      </c>
      <c r="U58" s="7">
        <v>2550.77</v>
      </c>
      <c r="V58" s="7">
        <v>1805.22</v>
      </c>
      <c r="W58" s="7">
        <v>1310.83</v>
      </c>
      <c r="X58" s="7">
        <v>382.46</v>
      </c>
      <c r="Y58" s="7">
        <v>0</v>
      </c>
      <c r="Z58" s="7">
        <v>0</v>
      </c>
      <c r="AA58" s="11">
        <v>0</v>
      </c>
      <c r="AB58" s="5">
        <f t="shared" si="0"/>
        <v>37342.43</v>
      </c>
      <c r="AC58" s="5">
        <v>20</v>
      </c>
      <c r="AD58" s="51">
        <f>(AB58*AC58)+(AB59*AC59)+(AB60*AC60)+(AB61*AC61)</f>
        <v>762091.88</v>
      </c>
      <c r="AE58" s="47">
        <f>+AD214</f>
        <v>2322495.7999999998</v>
      </c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45"/>
      <c r="AX58" s="45"/>
      <c r="AY58" s="45"/>
      <c r="AZ58" s="45"/>
      <c r="BA58" s="45"/>
      <c r="BB58" s="45"/>
      <c r="BC58" s="45"/>
      <c r="BD58" s="45"/>
    </row>
    <row r="59" spans="2:56">
      <c r="B59" s="49"/>
      <c r="C59" s="1" t="s">
        <v>6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143.59</v>
      </c>
      <c r="L59" s="2">
        <v>676.86</v>
      </c>
      <c r="M59" s="2">
        <v>975.53</v>
      </c>
      <c r="N59" s="2">
        <v>1187.5</v>
      </c>
      <c r="O59" s="2">
        <v>802.57</v>
      </c>
      <c r="P59" s="2">
        <v>24.77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12">
        <v>0</v>
      </c>
      <c r="AB59" s="3">
        <f t="shared" si="0"/>
        <v>3810.82</v>
      </c>
      <c r="AC59" s="3">
        <v>4</v>
      </c>
      <c r="AD59" s="52"/>
      <c r="AE59" s="47">
        <f>+AD218</f>
        <v>2278520.67</v>
      </c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5"/>
      <c r="AW59" s="45"/>
      <c r="AX59" s="45"/>
      <c r="AY59" s="45"/>
      <c r="AZ59" s="45"/>
      <c r="BA59" s="45"/>
      <c r="BB59" s="45"/>
      <c r="BC59" s="45"/>
      <c r="BD59" s="45"/>
    </row>
    <row r="60" spans="2:56">
      <c r="B60" s="49"/>
      <c r="C60" s="1" t="s">
        <v>7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12">
        <v>0</v>
      </c>
      <c r="AB60" s="3">
        <f t="shared" si="0"/>
        <v>0</v>
      </c>
      <c r="AC60" s="3">
        <v>4</v>
      </c>
      <c r="AD60" s="52"/>
      <c r="AE60" s="47">
        <f>+AD222</f>
        <v>1835372.3600000003</v>
      </c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</row>
    <row r="61" spans="2:56" ht="15" thickBot="1">
      <c r="B61" s="50"/>
      <c r="C61" s="9" t="s">
        <v>8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3">
        <v>0</v>
      </c>
      <c r="AB61" s="6">
        <f t="shared" si="0"/>
        <v>0</v>
      </c>
      <c r="AC61" s="6">
        <v>0</v>
      </c>
      <c r="AD61" s="53"/>
      <c r="AE61" s="47">
        <f>+AD226</f>
        <v>2701010.7200000007</v>
      </c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45"/>
      <c r="BD61" s="45"/>
    </row>
    <row r="62" spans="2:56">
      <c r="B62" s="48">
        <v>46447</v>
      </c>
      <c r="C62" s="8" t="s">
        <v>5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189.15</v>
      </c>
      <c r="K62" s="7">
        <v>2119.87</v>
      </c>
      <c r="L62" s="7">
        <v>3228.51</v>
      </c>
      <c r="M62" s="7">
        <v>3461.33</v>
      </c>
      <c r="N62" s="7">
        <v>3818.04</v>
      </c>
      <c r="O62" s="7">
        <v>3859.97</v>
      </c>
      <c r="P62" s="7">
        <v>3971.5</v>
      </c>
      <c r="Q62" s="7">
        <v>3969.6</v>
      </c>
      <c r="R62" s="7">
        <v>4262.12</v>
      </c>
      <c r="S62" s="7">
        <v>4237.8999999999996</v>
      </c>
      <c r="T62" s="7">
        <v>4064.14</v>
      </c>
      <c r="U62" s="7">
        <v>1889.61</v>
      </c>
      <c r="V62" s="7">
        <v>1356.94</v>
      </c>
      <c r="W62" s="7">
        <v>1094.3699999999999</v>
      </c>
      <c r="X62" s="7">
        <v>860.26</v>
      </c>
      <c r="Y62" s="7">
        <v>430.79</v>
      </c>
      <c r="Z62" s="7">
        <v>0</v>
      </c>
      <c r="AA62" s="11">
        <v>0</v>
      </c>
      <c r="AB62" s="5">
        <f t="shared" si="0"/>
        <v>42814.100000000006</v>
      </c>
      <c r="AC62" s="5">
        <v>20</v>
      </c>
      <c r="AD62" s="51">
        <f>(AB62*AC62)+(AB63*AC63)+(AB64*AC64)+(AB65*AC65)</f>
        <v>870772.84000000008</v>
      </c>
      <c r="AE62" s="47">
        <f>+AD230</f>
        <v>1674760.7800000005</v>
      </c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  <c r="BC62" s="45"/>
      <c r="BD62" s="45"/>
    </row>
    <row r="63" spans="2:56">
      <c r="B63" s="49"/>
      <c r="C63" s="1" t="s">
        <v>6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216.86</v>
      </c>
      <c r="N63" s="2">
        <v>631.75</v>
      </c>
      <c r="O63" s="2">
        <v>682.68</v>
      </c>
      <c r="P63" s="2">
        <v>413.81</v>
      </c>
      <c r="Q63" s="2">
        <v>125.02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12">
        <v>0</v>
      </c>
      <c r="AB63" s="3">
        <f t="shared" si="0"/>
        <v>2070.12</v>
      </c>
      <c r="AC63" s="3">
        <v>4</v>
      </c>
      <c r="AD63" s="52"/>
      <c r="AE63" s="47">
        <f>+AD234</f>
        <v>2107814.66</v>
      </c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  <c r="BC63" s="45"/>
      <c r="BD63" s="45"/>
    </row>
    <row r="64" spans="2:56">
      <c r="B64" s="49"/>
      <c r="C64" s="1" t="s">
        <v>7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12">
        <v>0</v>
      </c>
      <c r="AB64" s="3">
        <f t="shared" si="0"/>
        <v>0</v>
      </c>
      <c r="AC64" s="3">
        <v>4</v>
      </c>
      <c r="AD64" s="52"/>
      <c r="AE64" s="47">
        <f>+AD238</f>
        <v>2642850.89</v>
      </c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</row>
    <row r="65" spans="2:56" ht="15" thickBot="1">
      <c r="B65" s="50"/>
      <c r="C65" s="9" t="s">
        <v>8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216.86</v>
      </c>
      <c r="N65" s="10">
        <v>631.75</v>
      </c>
      <c r="O65" s="10">
        <v>682.68</v>
      </c>
      <c r="P65" s="10">
        <v>413.81</v>
      </c>
      <c r="Q65" s="10">
        <v>125.02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3">
        <v>0</v>
      </c>
      <c r="AB65" s="6">
        <f t="shared" si="0"/>
        <v>2070.12</v>
      </c>
      <c r="AC65" s="6">
        <v>3</v>
      </c>
      <c r="AD65" s="53"/>
      <c r="AE65" s="47">
        <f>+AD242</f>
        <v>2048841.0800000005</v>
      </c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</row>
    <row r="66" spans="2:56">
      <c r="B66" s="48">
        <v>46478</v>
      </c>
      <c r="C66" s="8" t="s">
        <v>5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1504.75</v>
      </c>
      <c r="L66" s="7">
        <v>2362.12</v>
      </c>
      <c r="M66" s="7">
        <v>2390.33</v>
      </c>
      <c r="N66" s="7">
        <v>2677.87</v>
      </c>
      <c r="O66" s="7">
        <v>2708.02</v>
      </c>
      <c r="P66" s="7">
        <v>2856.07</v>
      </c>
      <c r="Q66" s="7">
        <v>2824.51</v>
      </c>
      <c r="R66" s="7">
        <v>3094.72</v>
      </c>
      <c r="S66" s="7">
        <v>3076.04</v>
      </c>
      <c r="T66" s="7">
        <v>2915.13</v>
      </c>
      <c r="U66" s="7">
        <v>794.94</v>
      </c>
      <c r="V66" s="7">
        <v>284.29000000000002</v>
      </c>
      <c r="W66" s="7">
        <v>46.32</v>
      </c>
      <c r="X66" s="7">
        <v>0</v>
      </c>
      <c r="Y66" s="7">
        <v>0</v>
      </c>
      <c r="Z66" s="7">
        <v>0</v>
      </c>
      <c r="AA66" s="11">
        <v>0</v>
      </c>
      <c r="AB66" s="5">
        <f t="shared" si="0"/>
        <v>27535.11</v>
      </c>
      <c r="AC66" s="5">
        <v>22</v>
      </c>
      <c r="AD66" s="51">
        <f>(AB66*AC66)+(AB67*AC67)+(AB68*AC68)+(AB69*AC69)</f>
        <v>678285.02</v>
      </c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</row>
    <row r="67" spans="2:56">
      <c r="B67" s="49"/>
      <c r="C67" s="1" t="s">
        <v>6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698.07</v>
      </c>
      <c r="L67" s="2">
        <v>1571.63</v>
      </c>
      <c r="M67" s="2">
        <v>1882.51</v>
      </c>
      <c r="N67" s="2">
        <v>2375.2600000000002</v>
      </c>
      <c r="O67" s="2">
        <v>2435.75</v>
      </c>
      <c r="P67" s="2">
        <v>2116.4299999999998</v>
      </c>
      <c r="Q67" s="2">
        <v>1773.43</v>
      </c>
      <c r="R67" s="2">
        <v>1547</v>
      </c>
      <c r="S67" s="2">
        <v>1469.6</v>
      </c>
      <c r="T67" s="2">
        <v>1311.51</v>
      </c>
      <c r="U67" s="2">
        <v>550.64</v>
      </c>
      <c r="V67" s="2">
        <v>303.92</v>
      </c>
      <c r="W67" s="2">
        <v>92.4</v>
      </c>
      <c r="X67" s="2">
        <v>0</v>
      </c>
      <c r="Y67" s="2">
        <v>0</v>
      </c>
      <c r="Z67" s="2">
        <v>0</v>
      </c>
      <c r="AA67" s="12">
        <v>0</v>
      </c>
      <c r="AB67" s="3">
        <f t="shared" si="0"/>
        <v>18128.150000000001</v>
      </c>
      <c r="AC67" s="3">
        <v>4</v>
      </c>
      <c r="AD67" s="52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5"/>
    </row>
    <row r="68" spans="2:56">
      <c r="B68" s="49"/>
      <c r="C68" s="1" t="s">
        <v>7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12">
        <v>0</v>
      </c>
      <c r="AB68" s="3">
        <f t="shared" si="0"/>
        <v>0</v>
      </c>
      <c r="AC68" s="3">
        <v>4</v>
      </c>
      <c r="AD68" s="52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  <c r="BC68" s="45"/>
      <c r="BD68" s="45"/>
    </row>
    <row r="69" spans="2:56" ht="15" thickBot="1">
      <c r="B69" s="50"/>
      <c r="C69" s="9" t="s">
        <v>8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147.83000000000001</v>
      </c>
      <c r="V69" s="10">
        <v>483.8</v>
      </c>
      <c r="W69" s="10">
        <v>306.83</v>
      </c>
      <c r="X69" s="10">
        <v>0</v>
      </c>
      <c r="Y69" s="10">
        <v>0</v>
      </c>
      <c r="Z69" s="10">
        <v>0</v>
      </c>
      <c r="AA69" s="13">
        <v>0</v>
      </c>
      <c r="AB69" s="6">
        <f t="shared" si="0"/>
        <v>938.46</v>
      </c>
      <c r="AC69" s="6">
        <v>0</v>
      </c>
      <c r="AD69" s="53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</row>
    <row r="70" spans="2:56">
      <c r="B70" s="48">
        <v>46508</v>
      </c>
      <c r="C70" s="8" t="s">
        <v>5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230.96</v>
      </c>
      <c r="K70" s="7">
        <v>2183.58</v>
      </c>
      <c r="L70" s="7">
        <v>3243.68</v>
      </c>
      <c r="M70" s="7">
        <v>3286.11</v>
      </c>
      <c r="N70" s="7">
        <v>3615.75</v>
      </c>
      <c r="O70" s="7">
        <v>3660.1</v>
      </c>
      <c r="P70" s="7">
        <v>3783.01</v>
      </c>
      <c r="Q70" s="7">
        <v>3768.42</v>
      </c>
      <c r="R70" s="7">
        <v>4065.73</v>
      </c>
      <c r="S70" s="7">
        <v>4040.48</v>
      </c>
      <c r="T70" s="7">
        <v>3863.6</v>
      </c>
      <c r="U70" s="7">
        <v>1676.84</v>
      </c>
      <c r="V70" s="7">
        <v>1139.44</v>
      </c>
      <c r="W70" s="7">
        <v>870.09</v>
      </c>
      <c r="X70" s="7">
        <v>626.74</v>
      </c>
      <c r="Y70" s="7">
        <v>332.31</v>
      </c>
      <c r="Z70" s="7">
        <v>0</v>
      </c>
      <c r="AA70" s="11">
        <v>0</v>
      </c>
      <c r="AB70" s="5">
        <f t="shared" ref="AB70:AB133" si="1">(SUM(D70:AA70))</f>
        <v>40386.839999999989</v>
      </c>
      <c r="AC70" s="5">
        <v>19</v>
      </c>
      <c r="AD70" s="51">
        <f>(AB70*AC70)+(AB71*AC71)+(AB72*AC72)+(AB73*AC73)</f>
        <v>846371.60999999975</v>
      </c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</row>
    <row r="71" spans="2:56">
      <c r="B71" s="49"/>
      <c r="C71" s="1" t="s">
        <v>6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446.56</v>
      </c>
      <c r="M71" s="2">
        <v>724.49</v>
      </c>
      <c r="N71" s="2">
        <v>1165.01</v>
      </c>
      <c r="O71" s="2">
        <v>1219.0899999999999</v>
      </c>
      <c r="P71" s="2">
        <v>933.61</v>
      </c>
      <c r="Q71" s="2">
        <v>626.97</v>
      </c>
      <c r="R71" s="2">
        <v>424.55</v>
      </c>
      <c r="S71" s="2">
        <v>355.35</v>
      </c>
      <c r="T71" s="2">
        <v>214.02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12">
        <v>0</v>
      </c>
      <c r="AB71" s="3">
        <f t="shared" si="1"/>
        <v>6109.6500000000005</v>
      </c>
      <c r="AC71" s="3">
        <v>4</v>
      </c>
      <c r="AD71" s="52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45"/>
      <c r="BD71" s="45"/>
    </row>
    <row r="72" spans="2:56">
      <c r="B72" s="49"/>
      <c r="C72" s="1" t="s">
        <v>7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150.41999999999999</v>
      </c>
      <c r="N72" s="2">
        <v>225.01</v>
      </c>
      <c r="O72" s="2">
        <v>347.51</v>
      </c>
      <c r="P72" s="2">
        <v>1120.99</v>
      </c>
      <c r="Q72" s="2">
        <v>835.06</v>
      </c>
      <c r="R72" s="2">
        <v>661.5</v>
      </c>
      <c r="S72" s="2">
        <v>826.32</v>
      </c>
      <c r="T72" s="2">
        <v>990.21</v>
      </c>
      <c r="U72" s="2">
        <v>0</v>
      </c>
      <c r="V72" s="2">
        <v>162.52000000000001</v>
      </c>
      <c r="W72" s="2">
        <v>518.24</v>
      </c>
      <c r="X72" s="2">
        <v>714.08</v>
      </c>
      <c r="Y72" s="2">
        <v>392.06</v>
      </c>
      <c r="Z72" s="2">
        <v>0</v>
      </c>
      <c r="AA72" s="12">
        <v>0</v>
      </c>
      <c r="AB72" s="3">
        <f t="shared" si="1"/>
        <v>6943.92</v>
      </c>
      <c r="AC72" s="3">
        <v>5</v>
      </c>
      <c r="AD72" s="52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</row>
    <row r="73" spans="2:56" ht="15" thickBot="1">
      <c r="B73" s="50"/>
      <c r="C73" s="9" t="s">
        <v>8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446.56</v>
      </c>
      <c r="M73" s="10">
        <v>724.49</v>
      </c>
      <c r="N73" s="10">
        <v>1165.01</v>
      </c>
      <c r="O73" s="10">
        <v>1219.0899999999999</v>
      </c>
      <c r="P73" s="10">
        <v>933.61</v>
      </c>
      <c r="Q73" s="10">
        <v>626.97</v>
      </c>
      <c r="R73" s="10">
        <v>424.55</v>
      </c>
      <c r="S73" s="10">
        <v>355.35</v>
      </c>
      <c r="T73" s="10">
        <v>214.02</v>
      </c>
      <c r="U73" s="10">
        <v>199.3</v>
      </c>
      <c r="V73" s="10">
        <v>312.2</v>
      </c>
      <c r="W73" s="10">
        <v>0</v>
      </c>
      <c r="X73" s="10">
        <v>0</v>
      </c>
      <c r="Y73" s="10">
        <v>0</v>
      </c>
      <c r="Z73" s="10">
        <v>0</v>
      </c>
      <c r="AA73" s="13">
        <v>0</v>
      </c>
      <c r="AB73" s="6">
        <f t="shared" si="1"/>
        <v>6621.1500000000005</v>
      </c>
      <c r="AC73" s="6">
        <v>3</v>
      </c>
      <c r="AD73" s="53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</row>
    <row r="74" spans="2:56">
      <c r="B74" s="48">
        <v>46539</v>
      </c>
      <c r="C74" s="8" t="s">
        <v>5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888.55</v>
      </c>
      <c r="K74" s="7">
        <v>2994</v>
      </c>
      <c r="L74" s="7">
        <v>4085.94</v>
      </c>
      <c r="M74" s="7">
        <v>4145.6099999999997</v>
      </c>
      <c r="N74" s="7">
        <v>4531.53</v>
      </c>
      <c r="O74" s="7">
        <v>4592.79</v>
      </c>
      <c r="P74" s="7">
        <v>4682.4799999999996</v>
      </c>
      <c r="Q74" s="7">
        <v>4691.92</v>
      </c>
      <c r="R74" s="7">
        <v>5022.72</v>
      </c>
      <c r="S74" s="7">
        <v>4990.33</v>
      </c>
      <c r="T74" s="7">
        <v>4791.6899999999996</v>
      </c>
      <c r="U74" s="7">
        <v>2518.56</v>
      </c>
      <c r="V74" s="7">
        <v>1949.12</v>
      </c>
      <c r="W74" s="7">
        <v>1639.55</v>
      </c>
      <c r="X74" s="7">
        <v>1323.75</v>
      </c>
      <c r="Y74" s="7">
        <v>953.83</v>
      </c>
      <c r="Z74" s="7">
        <v>321.38</v>
      </c>
      <c r="AA74" s="11">
        <v>0</v>
      </c>
      <c r="AB74" s="5">
        <f t="shared" si="1"/>
        <v>54123.750000000007</v>
      </c>
      <c r="AC74" s="5">
        <v>21</v>
      </c>
      <c r="AD74" s="51">
        <f>(AB74*AC74)+(AB75*AC75)+(AB76*AC76)+(AB77*AC77)</f>
        <v>1225790.8300000003</v>
      </c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  <c r="BC74" s="45"/>
      <c r="BD74" s="45"/>
    </row>
    <row r="75" spans="2:56">
      <c r="B75" s="49"/>
      <c r="C75" s="1" t="s">
        <v>6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951.47</v>
      </c>
      <c r="L75" s="2">
        <v>1853.03</v>
      </c>
      <c r="M75" s="2">
        <v>2173.88</v>
      </c>
      <c r="N75" s="2">
        <v>2682.43</v>
      </c>
      <c r="O75" s="2">
        <v>2744.86</v>
      </c>
      <c r="P75" s="2">
        <v>2415.29</v>
      </c>
      <c r="Q75" s="2">
        <v>2061.3000000000002</v>
      </c>
      <c r="R75" s="2">
        <v>1827.61</v>
      </c>
      <c r="S75" s="2">
        <v>1747.73</v>
      </c>
      <c r="T75" s="2">
        <v>1584.57</v>
      </c>
      <c r="U75" s="2">
        <v>902.45</v>
      </c>
      <c r="V75" s="2">
        <v>658.77</v>
      </c>
      <c r="W75" s="2">
        <v>434.19</v>
      </c>
      <c r="X75" s="2">
        <v>260.44</v>
      </c>
      <c r="Y75" s="2">
        <v>0</v>
      </c>
      <c r="Z75" s="2">
        <v>0</v>
      </c>
      <c r="AA75" s="12">
        <v>0</v>
      </c>
      <c r="AB75" s="3">
        <f t="shared" si="1"/>
        <v>22298.019999999997</v>
      </c>
      <c r="AC75" s="3">
        <v>4</v>
      </c>
      <c r="AD75" s="52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5"/>
      <c r="AW75" s="45"/>
      <c r="AX75" s="45"/>
      <c r="AY75" s="45"/>
      <c r="AZ75" s="45"/>
      <c r="BA75" s="45"/>
      <c r="BB75" s="45"/>
      <c r="BC75" s="45"/>
      <c r="BD75" s="45"/>
    </row>
    <row r="76" spans="2:56">
      <c r="B76" s="49"/>
      <c r="C76" s="1" t="s">
        <v>7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12">
        <v>0</v>
      </c>
      <c r="AB76" s="3">
        <f t="shared" si="1"/>
        <v>0</v>
      </c>
      <c r="AC76" s="3">
        <v>4</v>
      </c>
      <c r="AD76" s="52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45"/>
      <c r="BD76" s="45"/>
    </row>
    <row r="77" spans="2:56" ht="15" thickBot="1">
      <c r="B77" s="50"/>
      <c r="C77" s="9" t="s">
        <v>8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3">
        <v>0</v>
      </c>
      <c r="AB77" s="6">
        <f t="shared" si="1"/>
        <v>0</v>
      </c>
      <c r="AC77" s="6">
        <v>1</v>
      </c>
      <c r="AD77" s="53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  <c r="BC77" s="45"/>
      <c r="BD77" s="45"/>
    </row>
    <row r="78" spans="2:56">
      <c r="B78" s="48">
        <v>46569</v>
      </c>
      <c r="C78" s="8" t="s">
        <v>5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1097.22</v>
      </c>
      <c r="L78" s="7">
        <v>2062.9499999999998</v>
      </c>
      <c r="M78" s="7">
        <v>2084.31</v>
      </c>
      <c r="N78" s="7">
        <v>2350.06</v>
      </c>
      <c r="O78" s="7">
        <v>2374.86</v>
      </c>
      <c r="P78" s="7">
        <v>2535.0300000000002</v>
      </c>
      <c r="Q78" s="7">
        <v>2494.8000000000002</v>
      </c>
      <c r="R78" s="7">
        <v>2752.42</v>
      </c>
      <c r="S78" s="7">
        <v>2735.43</v>
      </c>
      <c r="T78" s="7">
        <v>2583.6999999999998</v>
      </c>
      <c r="U78" s="7">
        <v>495.6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11">
        <v>0</v>
      </c>
      <c r="AB78" s="5">
        <f t="shared" si="1"/>
        <v>23566.38</v>
      </c>
      <c r="AC78" s="5">
        <v>20</v>
      </c>
      <c r="AD78" s="51">
        <f>(AB78*AC78)+(AB79*AC79)+(AB80*AC80)+(AB81*AC81)</f>
        <v>712300.97</v>
      </c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5"/>
      <c r="AW78" s="45"/>
      <c r="AX78" s="45"/>
      <c r="AY78" s="45"/>
      <c r="AZ78" s="45"/>
      <c r="BA78" s="45"/>
      <c r="BB78" s="45"/>
      <c r="BC78" s="45"/>
      <c r="BD78" s="45"/>
    </row>
    <row r="79" spans="2:56">
      <c r="B79" s="49"/>
      <c r="C79" s="1" t="s">
        <v>6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212.66</v>
      </c>
      <c r="K79" s="2">
        <v>1732</v>
      </c>
      <c r="L79" s="2">
        <v>2705.46</v>
      </c>
      <c r="M79" s="2">
        <v>3051.89</v>
      </c>
      <c r="N79" s="2">
        <v>3601</v>
      </c>
      <c r="O79" s="2">
        <v>3668.41</v>
      </c>
      <c r="P79" s="2">
        <v>3312.56</v>
      </c>
      <c r="Q79" s="2">
        <v>2930.33</v>
      </c>
      <c r="R79" s="2">
        <v>2678.02</v>
      </c>
      <c r="S79" s="2">
        <v>2591.7600000000002</v>
      </c>
      <c r="T79" s="2">
        <v>2415.59</v>
      </c>
      <c r="U79" s="2">
        <v>1791.23</v>
      </c>
      <c r="V79" s="2">
        <v>1557.95</v>
      </c>
      <c r="W79" s="2">
        <v>1300.83</v>
      </c>
      <c r="X79" s="2">
        <v>1075.1099999999999</v>
      </c>
      <c r="Y79" s="2">
        <v>295.87</v>
      </c>
      <c r="Z79" s="2">
        <v>0</v>
      </c>
      <c r="AA79" s="12">
        <v>0</v>
      </c>
      <c r="AB79" s="3">
        <f t="shared" si="1"/>
        <v>34920.67</v>
      </c>
      <c r="AC79" s="3">
        <v>5</v>
      </c>
      <c r="AD79" s="52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</row>
    <row r="80" spans="2:56">
      <c r="B80" s="49"/>
      <c r="C80" s="1" t="s">
        <v>4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12">
        <v>0</v>
      </c>
      <c r="AB80" s="3">
        <f t="shared" si="1"/>
        <v>0</v>
      </c>
      <c r="AC80" s="3">
        <v>4</v>
      </c>
      <c r="AD80" s="52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5"/>
      <c r="AW80" s="45"/>
      <c r="AX80" s="45"/>
      <c r="AY80" s="45"/>
      <c r="AZ80" s="45"/>
      <c r="BA80" s="45"/>
      <c r="BB80" s="45"/>
      <c r="BC80" s="45"/>
      <c r="BD80" s="45"/>
    </row>
    <row r="81" spans="2:56" ht="15" thickBot="1">
      <c r="B81" s="50"/>
      <c r="C81" s="9" t="s">
        <v>8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1097.22</v>
      </c>
      <c r="L81" s="10">
        <v>2117.9499999999998</v>
      </c>
      <c r="M81" s="10">
        <v>2332.31</v>
      </c>
      <c r="N81" s="10">
        <v>2982.06</v>
      </c>
      <c r="O81" s="10">
        <v>3180.86</v>
      </c>
      <c r="P81" s="10">
        <v>2802.03</v>
      </c>
      <c r="Q81" s="10">
        <v>3072.8</v>
      </c>
      <c r="R81" s="10">
        <v>3466.42</v>
      </c>
      <c r="S81" s="10">
        <v>3382.43</v>
      </c>
      <c r="T81" s="10">
        <v>3126.7</v>
      </c>
      <c r="U81" s="10">
        <v>2143.6</v>
      </c>
      <c r="V81" s="10">
        <v>1755.37</v>
      </c>
      <c r="W81" s="10">
        <v>1282.52</v>
      </c>
      <c r="X81" s="10">
        <v>442.74</v>
      </c>
      <c r="Y81" s="10">
        <v>0</v>
      </c>
      <c r="Z81" s="10">
        <v>0</v>
      </c>
      <c r="AA81" s="13">
        <v>0</v>
      </c>
      <c r="AB81" s="6">
        <f t="shared" si="1"/>
        <v>33185.01</v>
      </c>
      <c r="AC81" s="6">
        <v>2</v>
      </c>
      <c r="AD81" s="53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45"/>
      <c r="AW81" s="45"/>
      <c r="AX81" s="45"/>
      <c r="AY81" s="45"/>
      <c r="AZ81" s="45"/>
      <c r="BA81" s="45"/>
      <c r="BB81" s="45"/>
      <c r="BC81" s="45"/>
      <c r="BD81" s="45"/>
    </row>
    <row r="82" spans="2:56">
      <c r="B82" s="48">
        <v>46600</v>
      </c>
      <c r="C82" s="8" t="s">
        <v>5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1295.94</v>
      </c>
      <c r="K82" s="7">
        <v>3499.85</v>
      </c>
      <c r="L82" s="7">
        <v>4763.72</v>
      </c>
      <c r="M82" s="7">
        <v>4894.1400000000003</v>
      </c>
      <c r="N82" s="7">
        <v>5314.67</v>
      </c>
      <c r="O82" s="7">
        <v>5386.83</v>
      </c>
      <c r="P82" s="7">
        <v>5456.75</v>
      </c>
      <c r="Q82" s="7">
        <v>5481.03</v>
      </c>
      <c r="R82" s="7">
        <v>5832.41</v>
      </c>
      <c r="S82" s="7">
        <v>5795.41</v>
      </c>
      <c r="T82" s="7">
        <v>5582.76</v>
      </c>
      <c r="U82" s="7">
        <v>3255.63</v>
      </c>
      <c r="V82" s="7">
        <v>2663.92</v>
      </c>
      <c r="W82" s="7">
        <v>2329.4299999999998</v>
      </c>
      <c r="X82" s="7">
        <v>1967.61</v>
      </c>
      <c r="Y82" s="7">
        <v>1547.42</v>
      </c>
      <c r="Z82" s="7">
        <v>702.51</v>
      </c>
      <c r="AA82" s="11">
        <v>169.3</v>
      </c>
      <c r="AB82" s="5">
        <f t="shared" si="1"/>
        <v>65939.33</v>
      </c>
      <c r="AC82" s="5">
        <v>21</v>
      </c>
      <c r="AD82" s="51">
        <f>(AB82*AC82)+(AB83*AC83)+(AB84*AC84)+(AB85*AC85)</f>
        <v>1429772.5899999999</v>
      </c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5"/>
      <c r="AW82" s="45"/>
      <c r="AX82" s="45"/>
      <c r="AY82" s="45"/>
      <c r="AZ82" s="45"/>
      <c r="BA82" s="45"/>
      <c r="BB82" s="45"/>
      <c r="BC82" s="45"/>
      <c r="BD82" s="45"/>
    </row>
    <row r="83" spans="2:56">
      <c r="B83" s="49"/>
      <c r="C83" s="1" t="s">
        <v>6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522.35</v>
      </c>
      <c r="M83" s="2">
        <v>805.84</v>
      </c>
      <c r="N83" s="2">
        <v>1255.17</v>
      </c>
      <c r="O83" s="2">
        <v>1310.33</v>
      </c>
      <c r="P83" s="2">
        <v>1019.14</v>
      </c>
      <c r="Q83" s="2">
        <v>706.37</v>
      </c>
      <c r="R83" s="2">
        <v>499.9</v>
      </c>
      <c r="S83" s="2">
        <v>429.32</v>
      </c>
      <c r="T83" s="2">
        <v>285.16000000000003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12">
        <v>0</v>
      </c>
      <c r="AB83" s="3">
        <f t="shared" si="1"/>
        <v>6833.579999999999</v>
      </c>
      <c r="AC83" s="3">
        <v>3</v>
      </c>
      <c r="AD83" s="52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5"/>
      <c r="AW83" s="45"/>
      <c r="AX83" s="45"/>
      <c r="AY83" s="45"/>
      <c r="AZ83" s="45"/>
      <c r="BA83" s="45"/>
      <c r="BB83" s="45"/>
      <c r="BC83" s="45"/>
      <c r="BD83" s="45"/>
    </row>
    <row r="84" spans="2:56">
      <c r="B84" s="49"/>
      <c r="C84" s="1" t="s">
        <v>7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12">
        <v>0</v>
      </c>
      <c r="AB84" s="3">
        <f t="shared" si="1"/>
        <v>0</v>
      </c>
      <c r="AC84" s="3">
        <v>5</v>
      </c>
      <c r="AD84" s="52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5"/>
      <c r="AW84" s="45"/>
      <c r="AX84" s="45"/>
      <c r="AY84" s="45"/>
      <c r="AZ84" s="45"/>
      <c r="BA84" s="45"/>
      <c r="BB84" s="45"/>
      <c r="BC84" s="45"/>
      <c r="BD84" s="45"/>
    </row>
    <row r="85" spans="2:56" ht="15" thickBot="1">
      <c r="B85" s="50"/>
      <c r="C85" s="9" t="s">
        <v>8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540.69000000000005</v>
      </c>
      <c r="O85" s="10">
        <v>775.46</v>
      </c>
      <c r="P85" s="10">
        <v>998.02</v>
      </c>
      <c r="Q85" s="10">
        <v>1016.02</v>
      </c>
      <c r="R85" s="10">
        <v>1089.8</v>
      </c>
      <c r="S85" s="10">
        <v>1144</v>
      </c>
      <c r="T85" s="10">
        <v>1144.48</v>
      </c>
      <c r="U85" s="10">
        <v>1317.3</v>
      </c>
      <c r="V85" s="10">
        <v>1700.26</v>
      </c>
      <c r="W85" s="10">
        <v>1498.54</v>
      </c>
      <c r="X85" s="10">
        <v>1047.49</v>
      </c>
      <c r="Y85" s="10">
        <v>0.9</v>
      </c>
      <c r="Z85" s="10">
        <v>0</v>
      </c>
      <c r="AA85" s="13">
        <v>0</v>
      </c>
      <c r="AB85" s="6">
        <f t="shared" si="1"/>
        <v>12272.96</v>
      </c>
      <c r="AC85" s="6">
        <v>2</v>
      </c>
      <c r="AD85" s="53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45"/>
      <c r="AW85" s="45"/>
      <c r="AX85" s="45"/>
      <c r="AY85" s="45"/>
      <c r="AZ85" s="45"/>
      <c r="BA85" s="45"/>
      <c r="BB85" s="45"/>
      <c r="BC85" s="45"/>
      <c r="BD85" s="45"/>
    </row>
    <row r="86" spans="2:56">
      <c r="B86" s="48">
        <v>46631</v>
      </c>
      <c r="C86" s="8" t="s">
        <v>5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1290.71</v>
      </c>
      <c r="L86" s="7">
        <v>2340.08</v>
      </c>
      <c r="M86" s="7">
        <v>2481.46</v>
      </c>
      <c r="N86" s="7">
        <v>2765.45</v>
      </c>
      <c r="O86" s="7">
        <v>2795.82</v>
      </c>
      <c r="P86" s="7">
        <v>2945.36</v>
      </c>
      <c r="Q86" s="7">
        <v>2912.74</v>
      </c>
      <c r="R86" s="7">
        <v>3181.4</v>
      </c>
      <c r="S86" s="7">
        <v>3162.05</v>
      </c>
      <c r="T86" s="7">
        <v>3003.14</v>
      </c>
      <c r="U86" s="7">
        <v>886.88</v>
      </c>
      <c r="V86" s="7">
        <v>376.75</v>
      </c>
      <c r="W86" s="7">
        <v>141.63</v>
      </c>
      <c r="X86" s="7">
        <v>0</v>
      </c>
      <c r="Y86" s="7">
        <v>0</v>
      </c>
      <c r="Z86" s="7">
        <v>0</v>
      </c>
      <c r="AA86" s="11">
        <v>0</v>
      </c>
      <c r="AB86" s="5">
        <f t="shared" si="1"/>
        <v>28283.470000000005</v>
      </c>
      <c r="AC86" s="5">
        <v>22</v>
      </c>
      <c r="AD86" s="51">
        <f>(AB86*AC86)+(AB87*AC87)+(AB88*AC88)+(AB89*AC89)</f>
        <v>647393.38000000012</v>
      </c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5"/>
      <c r="AW86" s="45"/>
      <c r="AX86" s="45"/>
      <c r="AY86" s="45"/>
      <c r="AZ86" s="45"/>
      <c r="BA86" s="45"/>
      <c r="BB86" s="45"/>
      <c r="BC86" s="45"/>
      <c r="BD86" s="45"/>
    </row>
    <row r="87" spans="2:56">
      <c r="B87" s="49"/>
      <c r="C87" s="1" t="s">
        <v>6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461.87</v>
      </c>
      <c r="M87" s="2">
        <v>745.36</v>
      </c>
      <c r="N87" s="2">
        <v>1194.69</v>
      </c>
      <c r="O87" s="2">
        <v>1249.8499999999999</v>
      </c>
      <c r="P87" s="2">
        <v>958.66</v>
      </c>
      <c r="Q87" s="2">
        <v>645.89</v>
      </c>
      <c r="R87" s="2">
        <v>439.42</v>
      </c>
      <c r="S87" s="2">
        <v>368.84</v>
      </c>
      <c r="T87" s="2">
        <v>224.68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12">
        <v>0</v>
      </c>
      <c r="AB87" s="3">
        <f t="shared" si="1"/>
        <v>6289.2600000000011</v>
      </c>
      <c r="AC87" s="3">
        <v>4</v>
      </c>
      <c r="AD87" s="52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5"/>
      <c r="AW87" s="45"/>
      <c r="AX87" s="45"/>
      <c r="AY87" s="45"/>
      <c r="AZ87" s="45"/>
      <c r="BA87" s="45"/>
      <c r="BB87" s="45"/>
      <c r="BC87" s="45"/>
      <c r="BD87" s="45"/>
    </row>
    <row r="88" spans="2:56">
      <c r="B88" s="49"/>
      <c r="C88" s="1" t="s">
        <v>7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12">
        <v>0</v>
      </c>
      <c r="AB88" s="3">
        <f t="shared" si="1"/>
        <v>0</v>
      </c>
      <c r="AC88" s="3">
        <v>4</v>
      </c>
      <c r="AD88" s="52"/>
      <c r="AG88" s="45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45"/>
      <c r="AW88" s="45"/>
      <c r="AX88" s="45"/>
      <c r="AY88" s="45"/>
      <c r="AZ88" s="45"/>
      <c r="BA88" s="45"/>
      <c r="BB88" s="45"/>
      <c r="BC88" s="45"/>
      <c r="BD88" s="45"/>
    </row>
    <row r="89" spans="2:56" ht="15" thickBot="1">
      <c r="B89" s="50"/>
      <c r="C89" s="9" t="s">
        <v>8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3">
        <v>0</v>
      </c>
      <c r="AB89" s="6">
        <f t="shared" si="1"/>
        <v>0</v>
      </c>
      <c r="AC89" s="6">
        <v>0</v>
      </c>
      <c r="AD89" s="53"/>
      <c r="AG89" s="45"/>
      <c r="AH89" s="45"/>
      <c r="AI89" s="45"/>
      <c r="AJ89" s="45"/>
      <c r="AK89" s="45"/>
      <c r="AL89" s="45"/>
      <c r="AM89" s="45"/>
      <c r="AN89" s="45"/>
      <c r="AO89" s="45"/>
      <c r="AP89" s="45"/>
      <c r="AQ89" s="45"/>
      <c r="AR89" s="45"/>
      <c r="AS89" s="45"/>
      <c r="AT89" s="45"/>
      <c r="AU89" s="45"/>
      <c r="AV89" s="45"/>
      <c r="AW89" s="45"/>
      <c r="AX89" s="45"/>
      <c r="AY89" s="45"/>
      <c r="AZ89" s="45"/>
      <c r="BA89" s="45"/>
      <c r="BB89" s="45"/>
      <c r="BC89" s="45"/>
      <c r="BD89" s="45"/>
    </row>
    <row r="90" spans="2:56">
      <c r="B90" s="48">
        <v>46661</v>
      </c>
      <c r="C90" s="8" t="s">
        <v>5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1366.51</v>
      </c>
      <c r="L90" s="7">
        <v>2425.3000000000002</v>
      </c>
      <c r="M90" s="7">
        <v>2566.66</v>
      </c>
      <c r="N90" s="7">
        <v>2856.64</v>
      </c>
      <c r="O90" s="7">
        <v>2888.85</v>
      </c>
      <c r="P90" s="7">
        <v>3034.89</v>
      </c>
      <c r="Q90" s="7">
        <v>3004.77</v>
      </c>
      <c r="R90" s="7">
        <v>3277.06</v>
      </c>
      <c r="S90" s="7">
        <v>3257.94</v>
      </c>
      <c r="T90" s="7">
        <v>3095.66</v>
      </c>
      <c r="U90" s="7">
        <v>970.15</v>
      </c>
      <c r="V90" s="7">
        <v>456.44</v>
      </c>
      <c r="W90" s="7">
        <v>216.96</v>
      </c>
      <c r="X90" s="7">
        <v>23.86</v>
      </c>
      <c r="Y90" s="7">
        <v>0</v>
      </c>
      <c r="Z90" s="7">
        <v>0</v>
      </c>
      <c r="AA90" s="11">
        <v>0</v>
      </c>
      <c r="AB90" s="5">
        <f t="shared" si="1"/>
        <v>29441.69</v>
      </c>
      <c r="AC90" s="5">
        <v>20</v>
      </c>
      <c r="AD90" s="51">
        <f>(AB90*AC90)+(AB91*AC91)+(AB92*AC92)+(AB93*AC93)</f>
        <v>813966.44</v>
      </c>
      <c r="AG90" s="45"/>
      <c r="AH90" s="45"/>
      <c r="AI90" s="45"/>
      <c r="AJ90" s="45"/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45"/>
      <c r="AW90" s="45"/>
      <c r="AX90" s="45"/>
      <c r="AY90" s="45"/>
      <c r="AZ90" s="45"/>
      <c r="BA90" s="45"/>
      <c r="BB90" s="45"/>
      <c r="BC90" s="45"/>
      <c r="BD90" s="45"/>
    </row>
    <row r="91" spans="2:56">
      <c r="B91" s="49"/>
      <c r="C91" s="1" t="s">
        <v>6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27.88</v>
      </c>
      <c r="K91" s="2">
        <v>1535.2</v>
      </c>
      <c r="L91" s="2">
        <v>2501.06</v>
      </c>
      <c r="M91" s="2">
        <v>2844.79</v>
      </c>
      <c r="N91" s="2">
        <v>3389.6</v>
      </c>
      <c r="O91" s="2">
        <v>3456.49</v>
      </c>
      <c r="P91" s="2">
        <v>3103.42</v>
      </c>
      <c r="Q91" s="2">
        <v>2724.18</v>
      </c>
      <c r="R91" s="2">
        <v>2473.83</v>
      </c>
      <c r="S91" s="2">
        <v>2388.25</v>
      </c>
      <c r="T91" s="2">
        <v>2213.46</v>
      </c>
      <c r="U91" s="2">
        <v>1756.44</v>
      </c>
      <c r="V91" s="2">
        <v>1523.06</v>
      </c>
      <c r="W91" s="2">
        <v>1268.49</v>
      </c>
      <c r="X91" s="2">
        <v>1048.26</v>
      </c>
      <c r="Y91" s="2">
        <v>110.44</v>
      </c>
      <c r="Z91" s="2">
        <v>0</v>
      </c>
      <c r="AA91" s="12">
        <v>0</v>
      </c>
      <c r="AB91" s="3">
        <f t="shared" si="1"/>
        <v>32364.850000000002</v>
      </c>
      <c r="AC91" s="3">
        <v>5</v>
      </c>
      <c r="AD91" s="52"/>
      <c r="AG91" s="45"/>
      <c r="AH91" s="45"/>
      <c r="AI91" s="45"/>
      <c r="AJ91" s="45"/>
      <c r="AK91" s="45"/>
      <c r="AL91" s="45"/>
      <c r="AM91" s="45"/>
      <c r="AN91" s="45"/>
      <c r="AO91" s="45"/>
      <c r="AP91" s="45"/>
      <c r="AQ91" s="45"/>
      <c r="AR91" s="45"/>
      <c r="AS91" s="45"/>
      <c r="AT91" s="45"/>
      <c r="AU91" s="45"/>
      <c r="AV91" s="45"/>
      <c r="AW91" s="45"/>
      <c r="AX91" s="45"/>
      <c r="AY91" s="45"/>
      <c r="AZ91" s="45"/>
      <c r="BA91" s="45"/>
      <c r="BB91" s="45"/>
      <c r="BC91" s="45"/>
      <c r="BD91" s="45"/>
    </row>
    <row r="92" spans="2:56">
      <c r="B92" s="49"/>
      <c r="C92" s="1" t="s">
        <v>7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101.44</v>
      </c>
      <c r="O92" s="2">
        <v>222.42</v>
      </c>
      <c r="P92" s="2">
        <v>909.27</v>
      </c>
      <c r="Q92" s="2">
        <v>706.94</v>
      </c>
      <c r="R92" s="2">
        <v>532.87</v>
      </c>
      <c r="S92" s="2">
        <v>696.82</v>
      </c>
      <c r="T92" s="2">
        <v>860.96</v>
      </c>
      <c r="U92" s="2">
        <v>0</v>
      </c>
      <c r="V92" s="2">
        <v>27.73</v>
      </c>
      <c r="W92" s="2">
        <v>383.74</v>
      </c>
      <c r="X92" s="2">
        <v>584.04999999999995</v>
      </c>
      <c r="Y92" s="2">
        <v>112.1</v>
      </c>
      <c r="Z92" s="2">
        <v>0</v>
      </c>
      <c r="AA92" s="12">
        <v>0</v>
      </c>
      <c r="AB92" s="3">
        <f t="shared" si="1"/>
        <v>5138.3400000000011</v>
      </c>
      <c r="AC92" s="3">
        <v>5</v>
      </c>
      <c r="AD92" s="52"/>
      <c r="AG92" s="45"/>
      <c r="AH92" s="45"/>
      <c r="AI92" s="45"/>
      <c r="AJ92" s="45"/>
      <c r="AK92" s="45"/>
      <c r="AL92" s="45"/>
      <c r="AM92" s="45"/>
      <c r="AN92" s="45"/>
      <c r="AO92" s="45"/>
      <c r="AP92" s="45"/>
      <c r="AQ92" s="45"/>
      <c r="AR92" s="45"/>
      <c r="AS92" s="45"/>
      <c r="AT92" s="45"/>
      <c r="AU92" s="45"/>
      <c r="AV92" s="45"/>
      <c r="AW92" s="45"/>
      <c r="AX92" s="45"/>
      <c r="AY92" s="45"/>
      <c r="AZ92" s="45"/>
      <c r="BA92" s="45"/>
      <c r="BB92" s="45"/>
      <c r="BC92" s="45"/>
      <c r="BD92" s="45"/>
    </row>
    <row r="93" spans="2:56" ht="15" thickBot="1">
      <c r="B93" s="50"/>
      <c r="C93" s="9" t="s">
        <v>8</v>
      </c>
      <c r="D93" s="10">
        <v>0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1366.51</v>
      </c>
      <c r="L93" s="10">
        <v>2425.3000000000002</v>
      </c>
      <c r="M93" s="10">
        <v>2647.66</v>
      </c>
      <c r="N93" s="10">
        <v>3321.64</v>
      </c>
      <c r="O93" s="10">
        <v>3527.85</v>
      </c>
      <c r="P93" s="10">
        <v>3134.89</v>
      </c>
      <c r="Q93" s="10">
        <v>3415.77</v>
      </c>
      <c r="R93" s="10">
        <v>3824.06</v>
      </c>
      <c r="S93" s="10">
        <v>3736.94</v>
      </c>
      <c r="T93" s="10">
        <v>3471.66</v>
      </c>
      <c r="U93" s="10">
        <v>2451.15</v>
      </c>
      <c r="V93" s="10">
        <v>2048.44</v>
      </c>
      <c r="W93" s="10">
        <v>1557.96</v>
      </c>
      <c r="X93" s="10">
        <v>686.86</v>
      </c>
      <c r="Y93" s="10">
        <v>0</v>
      </c>
      <c r="Z93" s="10">
        <v>0</v>
      </c>
      <c r="AA93" s="13">
        <v>0</v>
      </c>
      <c r="AB93" s="6">
        <f t="shared" si="1"/>
        <v>37616.69</v>
      </c>
      <c r="AC93" s="6">
        <v>1</v>
      </c>
      <c r="AD93" s="53"/>
      <c r="AG93" s="45"/>
      <c r="AH93" s="45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S93" s="45"/>
      <c r="AT93" s="45"/>
      <c r="AU93" s="45"/>
      <c r="AV93" s="45"/>
      <c r="AW93" s="45"/>
      <c r="AX93" s="45"/>
      <c r="AY93" s="45"/>
      <c r="AZ93" s="45"/>
      <c r="BA93" s="45"/>
      <c r="BB93" s="45"/>
      <c r="BC93" s="45"/>
      <c r="BD93" s="45"/>
    </row>
    <row r="94" spans="2:56">
      <c r="B94" s="48">
        <v>46692</v>
      </c>
      <c r="C94" s="8" t="s">
        <v>5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1504.07</v>
      </c>
      <c r="K94" s="7">
        <v>3777.79</v>
      </c>
      <c r="L94" s="7">
        <v>5081.34</v>
      </c>
      <c r="M94" s="7">
        <v>5219.1000000000004</v>
      </c>
      <c r="N94" s="7">
        <v>5665.88</v>
      </c>
      <c r="O94" s="7">
        <v>5745.76</v>
      </c>
      <c r="P94" s="7">
        <v>5799.96</v>
      </c>
      <c r="Q94" s="7">
        <v>5834.77</v>
      </c>
      <c r="R94" s="7">
        <v>6202.45</v>
      </c>
      <c r="S94" s="7">
        <v>6162.18</v>
      </c>
      <c r="T94" s="7">
        <v>5939.59</v>
      </c>
      <c r="U94" s="7">
        <v>3572.46</v>
      </c>
      <c r="V94" s="7">
        <v>2966.65</v>
      </c>
      <c r="W94" s="7">
        <v>2612.79</v>
      </c>
      <c r="X94" s="7">
        <v>2218.3200000000002</v>
      </c>
      <c r="Y94" s="7">
        <v>1764.19</v>
      </c>
      <c r="Z94" s="7">
        <v>892</v>
      </c>
      <c r="AA94" s="11">
        <v>342.06</v>
      </c>
      <c r="AB94" s="5">
        <f t="shared" si="1"/>
        <v>71301.36</v>
      </c>
      <c r="AC94" s="5">
        <v>20</v>
      </c>
      <c r="AD94" s="51">
        <f>(AB94*AC94)+(AB95*AC95)+(AB96*AC96)+(AB97*AC97)</f>
        <v>1457831.2799999998</v>
      </c>
      <c r="AG94" s="45"/>
      <c r="AH94" s="45"/>
      <c r="AI94" s="45"/>
      <c r="AJ94" s="45"/>
      <c r="AK94" s="45"/>
      <c r="AL94" s="45"/>
      <c r="AM94" s="45"/>
      <c r="AN94" s="45"/>
      <c r="AO94" s="45"/>
      <c r="AP94" s="45"/>
      <c r="AQ94" s="45"/>
      <c r="AR94" s="45"/>
      <c r="AS94" s="45"/>
      <c r="AT94" s="45"/>
      <c r="AU94" s="45"/>
      <c r="AV94" s="45"/>
      <c r="AW94" s="45"/>
      <c r="AX94" s="45"/>
      <c r="AY94" s="45"/>
      <c r="AZ94" s="45"/>
      <c r="BA94" s="45"/>
      <c r="BB94" s="45"/>
      <c r="BC94" s="45"/>
      <c r="BD94" s="45"/>
    </row>
    <row r="95" spans="2:56">
      <c r="B95" s="49"/>
      <c r="C95" s="1" t="s">
        <v>6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181.21</v>
      </c>
      <c r="M95" s="2">
        <v>458.21</v>
      </c>
      <c r="N95" s="2">
        <v>897.25</v>
      </c>
      <c r="O95" s="2">
        <v>951.15</v>
      </c>
      <c r="P95" s="2">
        <v>666.63</v>
      </c>
      <c r="Q95" s="2">
        <v>361.01</v>
      </c>
      <c r="R95" s="2">
        <v>159.27000000000001</v>
      </c>
      <c r="S95" s="2">
        <v>90.31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12">
        <v>0</v>
      </c>
      <c r="AB95" s="3">
        <f t="shared" si="1"/>
        <v>3765.04</v>
      </c>
      <c r="AC95" s="3">
        <v>4</v>
      </c>
      <c r="AD95" s="52"/>
      <c r="AG95" s="45"/>
      <c r="AH95" s="45"/>
      <c r="AI95" s="45"/>
      <c r="AJ95" s="45"/>
      <c r="AK95" s="45"/>
      <c r="AL95" s="45"/>
      <c r="AM95" s="45"/>
      <c r="AN95" s="45"/>
      <c r="AO95" s="45"/>
      <c r="AP95" s="45"/>
      <c r="AQ95" s="45"/>
      <c r="AR95" s="45"/>
      <c r="AS95" s="45"/>
      <c r="AT95" s="45"/>
      <c r="AU95" s="45"/>
      <c r="AV95" s="45"/>
      <c r="AW95" s="45"/>
      <c r="AX95" s="45"/>
      <c r="AY95" s="45"/>
      <c r="AZ95" s="45"/>
      <c r="BA95" s="45"/>
      <c r="BB95" s="45"/>
      <c r="BC95" s="45"/>
      <c r="BD95" s="45"/>
    </row>
    <row r="96" spans="2:56">
      <c r="B96" s="49"/>
      <c r="C96" s="1" t="s">
        <v>7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12">
        <v>0</v>
      </c>
      <c r="AB96" s="3">
        <f t="shared" si="1"/>
        <v>0</v>
      </c>
      <c r="AC96" s="3">
        <v>4</v>
      </c>
      <c r="AD96" s="52"/>
      <c r="AG96" s="45"/>
      <c r="AH96" s="45"/>
      <c r="AI96" s="45"/>
      <c r="AJ96" s="45"/>
      <c r="AK96" s="45"/>
      <c r="AL96" s="45"/>
      <c r="AM96" s="45"/>
      <c r="AN96" s="45"/>
      <c r="AO96" s="45"/>
      <c r="AP96" s="45"/>
      <c r="AQ96" s="45"/>
      <c r="AR96" s="45"/>
      <c r="AS96" s="45"/>
      <c r="AT96" s="45"/>
      <c r="AU96" s="45"/>
      <c r="AV96" s="45"/>
      <c r="AW96" s="45"/>
      <c r="AX96" s="45"/>
      <c r="AY96" s="45"/>
      <c r="AZ96" s="45"/>
      <c r="BA96" s="45"/>
      <c r="BB96" s="45"/>
      <c r="BC96" s="45"/>
      <c r="BD96" s="45"/>
    </row>
    <row r="97" spans="2:56" ht="15" thickBot="1">
      <c r="B97" s="50"/>
      <c r="C97" s="9" t="s">
        <v>8</v>
      </c>
      <c r="D97" s="10">
        <v>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199.13</v>
      </c>
      <c r="O97" s="10">
        <v>428.52</v>
      </c>
      <c r="P97" s="10">
        <v>645.99</v>
      </c>
      <c r="Q97" s="10">
        <v>663.58</v>
      </c>
      <c r="R97" s="10">
        <v>735.67</v>
      </c>
      <c r="S97" s="10">
        <v>788.62</v>
      </c>
      <c r="T97" s="10">
        <v>789.09</v>
      </c>
      <c r="U97" s="10">
        <v>958.43</v>
      </c>
      <c r="V97" s="10">
        <v>1332.62</v>
      </c>
      <c r="W97" s="10">
        <v>1135.52</v>
      </c>
      <c r="X97" s="10">
        <v>694.79</v>
      </c>
      <c r="Y97" s="10">
        <v>0</v>
      </c>
      <c r="Z97" s="10">
        <v>0</v>
      </c>
      <c r="AA97" s="13">
        <v>0</v>
      </c>
      <c r="AB97" s="6">
        <f t="shared" si="1"/>
        <v>8371.9599999999991</v>
      </c>
      <c r="AC97" s="6">
        <v>2</v>
      </c>
      <c r="AD97" s="53"/>
      <c r="AG97" s="45"/>
      <c r="AH97" s="45"/>
      <c r="AI97" s="45"/>
      <c r="AJ97" s="45"/>
      <c r="AK97" s="45"/>
      <c r="AL97" s="45"/>
      <c r="AM97" s="45"/>
      <c r="AN97" s="45"/>
      <c r="AO97" s="45"/>
      <c r="AP97" s="45"/>
      <c r="AQ97" s="45"/>
      <c r="AR97" s="45"/>
      <c r="AS97" s="45"/>
      <c r="AT97" s="45"/>
      <c r="AU97" s="45"/>
      <c r="AV97" s="45"/>
      <c r="AW97" s="45"/>
      <c r="AX97" s="45"/>
      <c r="AY97" s="45"/>
      <c r="AZ97" s="45"/>
      <c r="BA97" s="45"/>
      <c r="BB97" s="45"/>
      <c r="BC97" s="45"/>
      <c r="BD97" s="45"/>
    </row>
    <row r="98" spans="2:56">
      <c r="B98" s="48">
        <v>46722</v>
      </c>
      <c r="C98" s="8" t="s">
        <v>5</v>
      </c>
      <c r="D98" s="7">
        <v>0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1536.84</v>
      </c>
      <c r="L98" s="7">
        <v>2620.42</v>
      </c>
      <c r="M98" s="7">
        <v>2847.98</v>
      </c>
      <c r="N98" s="7">
        <v>3156.74</v>
      </c>
      <c r="O98" s="7">
        <v>3192.78</v>
      </c>
      <c r="P98" s="7">
        <v>3329.62</v>
      </c>
      <c r="Q98" s="7">
        <v>3306.07</v>
      </c>
      <c r="R98" s="7">
        <v>3587.93</v>
      </c>
      <c r="S98" s="7">
        <v>3566.76</v>
      </c>
      <c r="T98" s="7">
        <v>3398.28</v>
      </c>
      <c r="U98" s="7">
        <v>1248.4000000000001</v>
      </c>
      <c r="V98" s="7">
        <v>725.26</v>
      </c>
      <c r="W98" s="7">
        <v>474.29</v>
      </c>
      <c r="X98" s="7">
        <v>260.8</v>
      </c>
      <c r="Y98" s="7">
        <v>0</v>
      </c>
      <c r="Z98" s="7">
        <v>0</v>
      </c>
      <c r="AA98" s="11">
        <v>0</v>
      </c>
      <c r="AB98" s="5">
        <f t="shared" si="1"/>
        <v>33252.17</v>
      </c>
      <c r="AC98" s="5">
        <v>22</v>
      </c>
      <c r="AD98" s="51">
        <f>(AB98*AC98)+(AB99*AC99)+(AB100*AC100)+(AB101*AC101)</f>
        <v>835977.46000000008</v>
      </c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5"/>
      <c r="AW98" s="45"/>
      <c r="AX98" s="45"/>
      <c r="AY98" s="45"/>
      <c r="AZ98" s="45"/>
      <c r="BA98" s="45"/>
      <c r="BB98" s="45"/>
      <c r="BC98" s="45"/>
      <c r="BD98" s="45"/>
    </row>
    <row r="99" spans="2:56">
      <c r="B99" s="49"/>
      <c r="C99" s="1" t="s">
        <v>6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1208.25</v>
      </c>
      <c r="L99" s="2">
        <v>2151.8000000000002</v>
      </c>
      <c r="M99" s="2">
        <v>2487.58</v>
      </c>
      <c r="N99" s="2">
        <v>3019.81</v>
      </c>
      <c r="O99" s="2">
        <v>3085.15</v>
      </c>
      <c r="P99" s="2">
        <v>2740.24</v>
      </c>
      <c r="Q99" s="2">
        <v>2369.7600000000002</v>
      </c>
      <c r="R99" s="2">
        <v>2125.19</v>
      </c>
      <c r="S99" s="2">
        <v>2041.59</v>
      </c>
      <c r="T99" s="2">
        <v>1870.84</v>
      </c>
      <c r="U99" s="2">
        <v>1497.82</v>
      </c>
      <c r="V99" s="2">
        <v>1261.22</v>
      </c>
      <c r="W99" s="2">
        <v>1017.05</v>
      </c>
      <c r="X99" s="2">
        <v>812.96</v>
      </c>
      <c r="Y99" s="2">
        <v>0</v>
      </c>
      <c r="Z99" s="2">
        <v>0</v>
      </c>
      <c r="AA99" s="12">
        <v>0</v>
      </c>
      <c r="AB99" s="3">
        <f t="shared" si="1"/>
        <v>27689.26</v>
      </c>
      <c r="AC99" s="3">
        <v>3</v>
      </c>
      <c r="AD99" s="52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5"/>
      <c r="AW99" s="45"/>
      <c r="AX99" s="45"/>
      <c r="AY99" s="45"/>
      <c r="AZ99" s="45"/>
      <c r="BA99" s="45"/>
      <c r="BB99" s="45"/>
      <c r="BC99" s="45"/>
      <c r="BD99" s="45"/>
    </row>
    <row r="100" spans="2:56">
      <c r="B100" s="49"/>
      <c r="C100" s="1" t="s">
        <v>7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596.79</v>
      </c>
      <c r="Q100" s="2">
        <v>476.59</v>
      </c>
      <c r="R100" s="2">
        <v>303.58</v>
      </c>
      <c r="S100" s="2">
        <v>466.63</v>
      </c>
      <c r="T100" s="2">
        <v>628.15</v>
      </c>
      <c r="U100" s="2">
        <v>0</v>
      </c>
      <c r="V100" s="2">
        <v>0</v>
      </c>
      <c r="W100" s="2">
        <v>141.78</v>
      </c>
      <c r="X100" s="2">
        <v>351.74</v>
      </c>
      <c r="Y100" s="2">
        <v>0</v>
      </c>
      <c r="Z100" s="2">
        <v>0</v>
      </c>
      <c r="AA100" s="12">
        <v>0</v>
      </c>
      <c r="AB100" s="3">
        <f t="shared" si="1"/>
        <v>2965.26</v>
      </c>
      <c r="AC100" s="3">
        <v>4</v>
      </c>
      <c r="AD100" s="52"/>
      <c r="AG100" s="45"/>
      <c r="AH100" s="45"/>
      <c r="AI100" s="45"/>
      <c r="AJ100" s="45"/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  <c r="AU100" s="45"/>
      <c r="AV100" s="45"/>
      <c r="AW100" s="45"/>
      <c r="AX100" s="45"/>
      <c r="AY100" s="45"/>
      <c r="AZ100" s="45"/>
      <c r="BA100" s="45"/>
      <c r="BB100" s="45"/>
      <c r="BC100" s="45"/>
      <c r="BD100" s="45"/>
    </row>
    <row r="101" spans="2:56" ht="15" thickBot="1">
      <c r="B101" s="50"/>
      <c r="C101" s="9" t="s">
        <v>8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97.78</v>
      </c>
      <c r="P101" s="10">
        <v>308.68</v>
      </c>
      <c r="Q101" s="10">
        <v>325.74</v>
      </c>
      <c r="R101" s="10">
        <v>395.65</v>
      </c>
      <c r="S101" s="10">
        <v>447</v>
      </c>
      <c r="T101" s="10">
        <v>447.46</v>
      </c>
      <c r="U101" s="10">
        <v>612.29999999999995</v>
      </c>
      <c r="V101" s="10">
        <v>975.19</v>
      </c>
      <c r="W101" s="10">
        <v>784.03</v>
      </c>
      <c r="X101" s="10">
        <v>356.62</v>
      </c>
      <c r="Y101" s="10">
        <v>0</v>
      </c>
      <c r="Z101" s="10">
        <v>0</v>
      </c>
      <c r="AA101" s="13">
        <v>0</v>
      </c>
      <c r="AB101" s="6">
        <f t="shared" si="1"/>
        <v>4750.45</v>
      </c>
      <c r="AC101" s="6">
        <v>2</v>
      </c>
      <c r="AD101" s="53"/>
      <c r="AG101" s="45"/>
      <c r="AH101" s="45"/>
      <c r="AI101" s="45"/>
      <c r="AJ101" s="45"/>
      <c r="AK101" s="45"/>
      <c r="AL101" s="45"/>
      <c r="AM101" s="45"/>
      <c r="AN101" s="45"/>
      <c r="AO101" s="45"/>
      <c r="AP101" s="45"/>
      <c r="AQ101" s="45"/>
      <c r="AR101" s="45"/>
      <c r="AS101" s="45"/>
      <c r="AT101" s="45"/>
      <c r="AU101" s="45"/>
      <c r="AV101" s="45"/>
      <c r="AW101" s="45"/>
      <c r="AX101" s="45"/>
      <c r="AY101" s="45"/>
      <c r="AZ101" s="45"/>
      <c r="BA101" s="45"/>
      <c r="BB101" s="45"/>
      <c r="BC101" s="45"/>
      <c r="BD101" s="45"/>
    </row>
    <row r="102" spans="2:56">
      <c r="B102" s="48">
        <v>46753</v>
      </c>
      <c r="C102" s="8" t="s">
        <v>5</v>
      </c>
      <c r="D102" s="7">
        <v>0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456.71</v>
      </c>
      <c r="K102" s="7">
        <v>2160.15</v>
      </c>
      <c r="L102" s="7">
        <v>3139.66</v>
      </c>
      <c r="M102" s="7">
        <v>3345.36</v>
      </c>
      <c r="N102" s="7">
        <v>3968.87</v>
      </c>
      <c r="O102" s="7">
        <v>4159.6400000000003</v>
      </c>
      <c r="P102" s="7">
        <v>3796.11</v>
      </c>
      <c r="Q102" s="7">
        <v>4055.95</v>
      </c>
      <c r="R102" s="7">
        <v>4433.67</v>
      </c>
      <c r="S102" s="7">
        <v>4353.07</v>
      </c>
      <c r="T102" s="7">
        <v>4107.66</v>
      </c>
      <c r="U102" s="7">
        <v>3165.09</v>
      </c>
      <c r="V102" s="7">
        <v>2792.54</v>
      </c>
      <c r="W102" s="7">
        <v>2338.79</v>
      </c>
      <c r="X102" s="7">
        <v>1532.92</v>
      </c>
      <c r="Y102" s="7">
        <v>670.2</v>
      </c>
      <c r="Z102" s="7">
        <v>0</v>
      </c>
      <c r="AA102" s="11">
        <v>0</v>
      </c>
      <c r="AB102" s="5">
        <f t="shared" si="1"/>
        <v>48476.39</v>
      </c>
      <c r="AC102" s="5">
        <v>20</v>
      </c>
      <c r="AD102" s="51">
        <f>(AB102*AC102)+(AB103*AC103)+(AB104*AC104)+(AB105*AC105)</f>
        <v>1232929.79</v>
      </c>
      <c r="AE102" s="44"/>
      <c r="AG102" s="45"/>
      <c r="AH102" s="45"/>
      <c r="AI102" s="45"/>
      <c r="AJ102" s="45"/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  <c r="AU102" s="45"/>
      <c r="AV102" s="45"/>
      <c r="AW102" s="45"/>
      <c r="AX102" s="45"/>
      <c r="AY102" s="45"/>
      <c r="AZ102" s="45"/>
      <c r="BA102" s="45"/>
      <c r="BB102" s="45"/>
      <c r="BC102" s="45"/>
      <c r="BD102" s="45"/>
    </row>
    <row r="103" spans="2:56">
      <c r="B103" s="49"/>
      <c r="C103" s="1" t="s">
        <v>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534.45000000000005</v>
      </c>
      <c r="K103" s="2">
        <v>1863.13</v>
      </c>
      <c r="L103" s="2">
        <v>2716.04</v>
      </c>
      <c r="M103" s="2">
        <v>3019.58</v>
      </c>
      <c r="N103" s="2">
        <v>3500.68</v>
      </c>
      <c r="O103" s="2">
        <v>3559.75</v>
      </c>
      <c r="P103" s="2">
        <v>3247.96</v>
      </c>
      <c r="Q103" s="2">
        <v>2913.07</v>
      </c>
      <c r="R103" s="2">
        <v>2692</v>
      </c>
      <c r="S103" s="2">
        <v>2616.4299999999998</v>
      </c>
      <c r="T103" s="2">
        <v>2462.0700000000002</v>
      </c>
      <c r="U103" s="2">
        <v>2444.13</v>
      </c>
      <c r="V103" s="2">
        <v>2567.42</v>
      </c>
      <c r="W103" s="2">
        <v>2169.5300000000002</v>
      </c>
      <c r="X103" s="2">
        <v>1552.95</v>
      </c>
      <c r="Y103" s="2">
        <v>607.35</v>
      </c>
      <c r="Z103" s="2">
        <v>81.709999999999994</v>
      </c>
      <c r="AA103" s="12">
        <v>0</v>
      </c>
      <c r="AB103" s="3">
        <f t="shared" si="1"/>
        <v>38548.249999999993</v>
      </c>
      <c r="AC103" s="3">
        <v>4</v>
      </c>
      <c r="AD103" s="52"/>
      <c r="AE103" s="44"/>
      <c r="AG103" s="45"/>
      <c r="AH103" s="45"/>
      <c r="AI103" s="45"/>
      <c r="AJ103" s="45"/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  <c r="AU103" s="45"/>
      <c r="AV103" s="45"/>
      <c r="AW103" s="45"/>
      <c r="AX103" s="45"/>
      <c r="AY103" s="45"/>
      <c r="AZ103" s="45"/>
      <c r="BA103" s="45"/>
      <c r="BB103" s="45"/>
      <c r="BC103" s="45"/>
      <c r="BD103" s="45"/>
    </row>
    <row r="104" spans="2:56">
      <c r="B104" s="49"/>
      <c r="C104" s="1" t="s">
        <v>7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135.37</v>
      </c>
      <c r="M104" s="2">
        <v>383.76</v>
      </c>
      <c r="N104" s="2">
        <v>885.79</v>
      </c>
      <c r="O104" s="2">
        <v>1094.17</v>
      </c>
      <c r="P104" s="2">
        <v>1310.3900000000001</v>
      </c>
      <c r="Q104" s="2">
        <v>1343.66</v>
      </c>
      <c r="R104" s="2">
        <v>1302.97</v>
      </c>
      <c r="S104" s="2">
        <v>1375.33</v>
      </c>
      <c r="T104" s="2">
        <v>1437.27</v>
      </c>
      <c r="U104" s="2">
        <v>1520.15</v>
      </c>
      <c r="V104" s="2">
        <v>1831.54</v>
      </c>
      <c r="W104" s="2">
        <v>1807.7</v>
      </c>
      <c r="X104" s="2">
        <v>1438.86</v>
      </c>
      <c r="Y104" s="2">
        <v>608.82000000000005</v>
      </c>
      <c r="Z104" s="2">
        <v>172.89</v>
      </c>
      <c r="AA104" s="12">
        <v>0</v>
      </c>
      <c r="AB104" s="3">
        <f t="shared" si="1"/>
        <v>16648.670000000002</v>
      </c>
      <c r="AC104" s="3">
        <v>5</v>
      </c>
      <c r="AD104" s="52"/>
      <c r="AE104" s="44"/>
      <c r="AG104" s="45"/>
      <c r="AH104" s="45"/>
      <c r="AI104" s="45"/>
      <c r="AJ104" s="45"/>
      <c r="AK104" s="45"/>
      <c r="AL104" s="45"/>
      <c r="AM104" s="45"/>
      <c r="AN104" s="45"/>
      <c r="AO104" s="45"/>
      <c r="AP104" s="45"/>
      <c r="AQ104" s="45"/>
      <c r="AR104" s="45"/>
      <c r="AS104" s="45"/>
      <c r="AT104" s="45"/>
      <c r="AU104" s="45"/>
      <c r="AV104" s="45"/>
      <c r="AW104" s="45"/>
      <c r="AX104" s="45"/>
      <c r="AY104" s="45"/>
      <c r="AZ104" s="45"/>
      <c r="BA104" s="45"/>
      <c r="BB104" s="45"/>
      <c r="BC104" s="45"/>
      <c r="BD104" s="45"/>
    </row>
    <row r="105" spans="2:56" ht="15" thickBot="1">
      <c r="B105" s="50"/>
      <c r="C105" s="9" t="s">
        <v>8</v>
      </c>
      <c r="D105" s="10">
        <v>0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114.61</v>
      </c>
      <c r="N105" s="10">
        <v>658.21</v>
      </c>
      <c r="O105" s="10">
        <v>859.31</v>
      </c>
      <c r="P105" s="10">
        <v>1049.96</v>
      </c>
      <c r="Q105" s="10">
        <v>1065.3699999999999</v>
      </c>
      <c r="R105" s="10">
        <v>1128.57</v>
      </c>
      <c r="S105" s="10">
        <v>1174.99</v>
      </c>
      <c r="T105" s="10">
        <v>1175.4100000000001</v>
      </c>
      <c r="U105" s="10">
        <v>1326.37</v>
      </c>
      <c r="V105" s="10">
        <v>1654.4</v>
      </c>
      <c r="W105" s="10">
        <v>1481.61</v>
      </c>
      <c r="X105" s="10">
        <v>1095.25</v>
      </c>
      <c r="Y105" s="10">
        <v>198.76</v>
      </c>
      <c r="Z105" s="10">
        <v>0</v>
      </c>
      <c r="AA105" s="13">
        <v>0</v>
      </c>
      <c r="AB105" s="6">
        <f t="shared" si="1"/>
        <v>12982.82</v>
      </c>
      <c r="AC105" s="6">
        <v>2</v>
      </c>
      <c r="AD105" s="53"/>
      <c r="AE105" s="44"/>
      <c r="AG105" s="45"/>
      <c r="AH105" s="45"/>
      <c r="AI105" s="45"/>
      <c r="AJ105" s="45"/>
      <c r="AK105" s="45"/>
      <c r="AL105" s="45"/>
      <c r="AM105" s="45"/>
      <c r="AN105" s="45"/>
      <c r="AO105" s="45"/>
      <c r="AP105" s="45"/>
      <c r="AQ105" s="45"/>
      <c r="AR105" s="45"/>
      <c r="AS105" s="45"/>
      <c r="AT105" s="45"/>
      <c r="AU105" s="45"/>
      <c r="AV105" s="45"/>
      <c r="AW105" s="45"/>
      <c r="AX105" s="45"/>
      <c r="AY105" s="45"/>
      <c r="AZ105" s="45"/>
      <c r="BA105" s="45"/>
      <c r="BB105" s="45"/>
      <c r="BC105" s="45"/>
      <c r="BD105" s="45"/>
    </row>
    <row r="106" spans="2:56">
      <c r="B106" s="48">
        <v>46784</v>
      </c>
      <c r="C106" s="8" t="s">
        <v>5</v>
      </c>
      <c r="D106" s="7">
        <v>0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1572.07</v>
      </c>
      <c r="K106" s="7">
        <v>3493.41</v>
      </c>
      <c r="L106" s="7">
        <v>4142.58</v>
      </c>
      <c r="M106" s="7">
        <v>4242.1499999999996</v>
      </c>
      <c r="N106" s="7">
        <v>4568.76</v>
      </c>
      <c r="O106" s="7">
        <v>4378.4399999999996</v>
      </c>
      <c r="P106" s="7">
        <v>3880.02</v>
      </c>
      <c r="Q106" s="7">
        <v>4507.16</v>
      </c>
      <c r="R106" s="7">
        <v>4960.7700000000004</v>
      </c>
      <c r="S106" s="7">
        <v>4966.05</v>
      </c>
      <c r="T106" s="7">
        <v>4719.62</v>
      </c>
      <c r="U106" s="7">
        <v>3836.03</v>
      </c>
      <c r="V106" s="7">
        <v>3354.48</v>
      </c>
      <c r="W106" s="7">
        <v>2611.1</v>
      </c>
      <c r="X106" s="7">
        <v>1667.73</v>
      </c>
      <c r="Y106" s="7">
        <v>904.96</v>
      </c>
      <c r="Z106" s="7">
        <v>179.88</v>
      </c>
      <c r="AA106" s="11">
        <v>0</v>
      </c>
      <c r="AB106" s="5">
        <f t="shared" si="1"/>
        <v>57985.210000000006</v>
      </c>
      <c r="AC106" s="5">
        <v>21</v>
      </c>
      <c r="AD106" s="51">
        <f>(AB106*AC106)+(AB107*AC107)+(AB108*AC108)+(AB109*AC109)</f>
        <v>1302385.33</v>
      </c>
      <c r="AE106" s="44"/>
      <c r="AG106" s="45"/>
      <c r="AH106" s="45"/>
      <c r="AI106" s="45"/>
      <c r="AJ106" s="45"/>
      <c r="AK106" s="45"/>
      <c r="AL106" s="45"/>
      <c r="AM106" s="45"/>
      <c r="AN106" s="45"/>
      <c r="AO106" s="45"/>
      <c r="AP106" s="45"/>
      <c r="AQ106" s="45"/>
      <c r="AR106" s="45"/>
      <c r="AS106" s="45"/>
      <c r="AT106" s="45"/>
      <c r="AU106" s="45"/>
      <c r="AV106" s="45"/>
      <c r="AW106" s="45"/>
      <c r="AX106" s="45"/>
      <c r="AY106" s="45"/>
      <c r="AZ106" s="45"/>
      <c r="BA106" s="45"/>
      <c r="BB106" s="45"/>
      <c r="BC106" s="45"/>
      <c r="BD106" s="45"/>
    </row>
    <row r="107" spans="2:56">
      <c r="B107" s="49"/>
      <c r="C107" s="1" t="s">
        <v>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192.08</v>
      </c>
      <c r="K107" s="2">
        <v>1428.85</v>
      </c>
      <c r="L107" s="2">
        <v>1962.12</v>
      </c>
      <c r="M107" s="2">
        <v>2260.8000000000002</v>
      </c>
      <c r="N107" s="2">
        <v>2472.7600000000002</v>
      </c>
      <c r="O107" s="2">
        <v>2087.83</v>
      </c>
      <c r="P107" s="2">
        <v>1310.04</v>
      </c>
      <c r="Q107" s="2">
        <v>1024.05</v>
      </c>
      <c r="R107" s="2">
        <v>1099.1500000000001</v>
      </c>
      <c r="S107" s="2">
        <v>1189.94</v>
      </c>
      <c r="T107" s="2">
        <v>1200.56</v>
      </c>
      <c r="U107" s="2">
        <v>1221.48</v>
      </c>
      <c r="V107" s="2">
        <v>1236.17</v>
      </c>
      <c r="W107" s="2">
        <v>982.6</v>
      </c>
      <c r="X107" s="2">
        <v>363.92</v>
      </c>
      <c r="Y107" s="2">
        <v>0</v>
      </c>
      <c r="Z107" s="2">
        <v>0</v>
      </c>
      <c r="AA107" s="12">
        <v>0</v>
      </c>
      <c r="AB107" s="3">
        <f t="shared" si="1"/>
        <v>20032.349999999999</v>
      </c>
      <c r="AC107" s="3">
        <v>4</v>
      </c>
      <c r="AD107" s="52"/>
      <c r="AE107" s="44"/>
      <c r="AG107" s="45"/>
      <c r="AH107" s="45"/>
      <c r="AI107" s="45"/>
      <c r="AJ107" s="45"/>
      <c r="AK107" s="45"/>
      <c r="AL107" s="45"/>
      <c r="AM107" s="45"/>
      <c r="AN107" s="45"/>
      <c r="AO107" s="45"/>
      <c r="AP107" s="45"/>
      <c r="AQ107" s="45"/>
      <c r="AR107" s="45"/>
      <c r="AS107" s="45"/>
      <c r="AT107" s="45"/>
      <c r="AU107" s="45"/>
      <c r="AV107" s="45"/>
      <c r="AW107" s="45"/>
      <c r="AX107" s="45"/>
      <c r="AY107" s="45"/>
      <c r="AZ107" s="45"/>
      <c r="BA107" s="45"/>
      <c r="BB107" s="45"/>
      <c r="BC107" s="45"/>
      <c r="BD107" s="45"/>
    </row>
    <row r="108" spans="2:56">
      <c r="B108" s="49"/>
      <c r="C108" s="1" t="s">
        <v>7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247.13</v>
      </c>
      <c r="V108" s="2">
        <v>520.04</v>
      </c>
      <c r="W108" s="2">
        <v>374.46</v>
      </c>
      <c r="X108" s="2">
        <v>0</v>
      </c>
      <c r="Y108" s="2">
        <v>0</v>
      </c>
      <c r="Z108" s="2">
        <v>0</v>
      </c>
      <c r="AA108" s="12">
        <v>0</v>
      </c>
      <c r="AB108" s="3">
        <f t="shared" si="1"/>
        <v>1141.6299999999999</v>
      </c>
      <c r="AC108" s="3">
        <v>4</v>
      </c>
      <c r="AD108" s="52"/>
      <c r="AE108" s="44"/>
      <c r="AG108" s="45"/>
      <c r="AH108" s="45"/>
      <c r="AI108" s="45"/>
      <c r="AJ108" s="45"/>
      <c r="AK108" s="45"/>
      <c r="AL108" s="45"/>
      <c r="AM108" s="45"/>
      <c r="AN108" s="45"/>
      <c r="AO108" s="45"/>
      <c r="AP108" s="45"/>
      <c r="AQ108" s="45"/>
      <c r="AR108" s="45"/>
      <c r="AS108" s="45"/>
      <c r="AT108" s="45"/>
      <c r="AU108" s="45"/>
      <c r="AV108" s="45"/>
      <c r="AW108" s="45"/>
      <c r="AX108" s="45"/>
      <c r="AY108" s="45"/>
      <c r="AZ108" s="45"/>
      <c r="BA108" s="45"/>
      <c r="BB108" s="45"/>
      <c r="BC108" s="45"/>
      <c r="BD108" s="45"/>
    </row>
    <row r="109" spans="2:56" ht="15" thickBot="1">
      <c r="B109" s="50"/>
      <c r="C109" s="9" t="s">
        <v>8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3">
        <v>0</v>
      </c>
      <c r="AB109" s="6">
        <f t="shared" si="1"/>
        <v>0</v>
      </c>
      <c r="AC109" s="6">
        <v>0</v>
      </c>
      <c r="AD109" s="53"/>
      <c r="AE109" s="44"/>
      <c r="AG109" s="45"/>
      <c r="AH109" s="45"/>
      <c r="AI109" s="45"/>
      <c r="AJ109" s="45"/>
      <c r="AK109" s="45"/>
      <c r="AL109" s="45"/>
      <c r="AM109" s="45"/>
      <c r="AN109" s="45"/>
      <c r="AO109" s="45"/>
      <c r="AP109" s="45"/>
      <c r="AQ109" s="45"/>
      <c r="AR109" s="45"/>
      <c r="AS109" s="45"/>
      <c r="AT109" s="45"/>
      <c r="AU109" s="45"/>
      <c r="AV109" s="45"/>
      <c r="AW109" s="45"/>
      <c r="AX109" s="45"/>
      <c r="AY109" s="45"/>
      <c r="AZ109" s="45"/>
      <c r="BA109" s="45"/>
      <c r="BB109" s="45"/>
      <c r="BC109" s="45"/>
      <c r="BD109" s="45"/>
    </row>
    <row r="110" spans="2:56">
      <c r="B110" s="48">
        <v>46813</v>
      </c>
      <c r="C110" s="8" t="s">
        <v>5</v>
      </c>
      <c r="D110" s="7">
        <v>0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1460.02</v>
      </c>
      <c r="K110" s="7">
        <v>3390.73</v>
      </c>
      <c r="L110" s="7">
        <v>4499.37</v>
      </c>
      <c r="M110" s="7">
        <v>4732.1899999999996</v>
      </c>
      <c r="N110" s="7">
        <v>5437.91</v>
      </c>
      <c r="O110" s="7">
        <v>5653.83</v>
      </c>
      <c r="P110" s="7">
        <v>5242.3599999999997</v>
      </c>
      <c r="Q110" s="7">
        <v>5536.46</v>
      </c>
      <c r="R110" s="7">
        <v>5963.98</v>
      </c>
      <c r="S110" s="7">
        <v>5872.76</v>
      </c>
      <c r="T110" s="7">
        <v>5595</v>
      </c>
      <c r="U110" s="7">
        <v>4525.4799999999996</v>
      </c>
      <c r="V110" s="7">
        <v>4103.8</v>
      </c>
      <c r="W110" s="7">
        <v>3590.23</v>
      </c>
      <c r="X110" s="7">
        <v>2678.12</v>
      </c>
      <c r="Y110" s="7">
        <v>1701.66</v>
      </c>
      <c r="Z110" s="7">
        <v>939.47</v>
      </c>
      <c r="AA110" s="11">
        <v>471.75</v>
      </c>
      <c r="AB110" s="5">
        <f t="shared" si="1"/>
        <v>71395.12</v>
      </c>
      <c r="AC110" s="5">
        <v>22</v>
      </c>
      <c r="AD110" s="51">
        <f>(AB110*AC110)+(AB111*AC111)+(AB112*AC112)+(AB113*AC113)</f>
        <v>1659521.36</v>
      </c>
      <c r="AE110" s="44"/>
      <c r="AG110" s="45"/>
      <c r="AH110" s="45"/>
      <c r="AI110" s="45"/>
      <c r="AJ110" s="45"/>
      <c r="AK110" s="45"/>
      <c r="AL110" s="45"/>
      <c r="AM110" s="45"/>
      <c r="AN110" s="45"/>
      <c r="AO110" s="45"/>
      <c r="AP110" s="45"/>
      <c r="AQ110" s="45"/>
      <c r="AR110" s="45"/>
      <c r="AS110" s="45"/>
      <c r="AT110" s="45"/>
      <c r="AU110" s="45"/>
      <c r="AV110" s="45"/>
      <c r="AW110" s="45"/>
      <c r="AX110" s="45"/>
      <c r="AY110" s="45"/>
      <c r="AZ110" s="45"/>
      <c r="BA110" s="45"/>
      <c r="BB110" s="45"/>
      <c r="BC110" s="45"/>
      <c r="BD110" s="45"/>
    </row>
    <row r="111" spans="2:56">
      <c r="B111" s="49"/>
      <c r="C111" s="1" t="s">
        <v>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490.46</v>
      </c>
      <c r="L111" s="2">
        <v>1225.97</v>
      </c>
      <c r="M111" s="2">
        <v>1487.72</v>
      </c>
      <c r="N111" s="2">
        <v>1902.61</v>
      </c>
      <c r="O111" s="2">
        <v>1953.54</v>
      </c>
      <c r="P111" s="2">
        <v>1684.67</v>
      </c>
      <c r="Q111" s="2">
        <v>1395.88</v>
      </c>
      <c r="R111" s="2">
        <v>1205.23</v>
      </c>
      <c r="S111" s="2">
        <v>1140.07</v>
      </c>
      <c r="T111" s="2">
        <v>1006.96</v>
      </c>
      <c r="U111" s="2">
        <v>994.29</v>
      </c>
      <c r="V111" s="2">
        <v>1100.6099999999999</v>
      </c>
      <c r="W111" s="2">
        <v>757.49</v>
      </c>
      <c r="X111" s="2">
        <v>225.78</v>
      </c>
      <c r="Y111" s="2">
        <v>0</v>
      </c>
      <c r="Z111" s="2">
        <v>0</v>
      </c>
      <c r="AA111" s="12">
        <v>0</v>
      </c>
      <c r="AB111" s="3">
        <f t="shared" si="1"/>
        <v>16571.280000000002</v>
      </c>
      <c r="AC111" s="3">
        <v>4</v>
      </c>
      <c r="AD111" s="52"/>
      <c r="AE111" s="44"/>
      <c r="AG111" s="45"/>
      <c r="AH111" s="45"/>
      <c r="AI111" s="45"/>
      <c r="AJ111" s="45"/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  <c r="AU111" s="45"/>
      <c r="AV111" s="45"/>
      <c r="AW111" s="45"/>
      <c r="AX111" s="45"/>
      <c r="AY111" s="45"/>
      <c r="AZ111" s="45"/>
      <c r="BA111" s="45"/>
      <c r="BB111" s="45"/>
      <c r="BC111" s="45"/>
      <c r="BD111" s="45"/>
    </row>
    <row r="112" spans="2:56">
      <c r="B112" s="49"/>
      <c r="C112" s="1" t="s">
        <v>7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13.8</v>
      </c>
      <c r="Q112" s="2">
        <v>42.49</v>
      </c>
      <c r="R112" s="2">
        <v>7.4</v>
      </c>
      <c r="S112" s="2">
        <v>69.81</v>
      </c>
      <c r="T112" s="2">
        <v>123.22</v>
      </c>
      <c r="U112" s="2">
        <v>197.49</v>
      </c>
      <c r="V112" s="2">
        <v>466.02</v>
      </c>
      <c r="W112" s="2">
        <v>445.46</v>
      </c>
      <c r="X112" s="2">
        <v>127.39</v>
      </c>
      <c r="Y112" s="2">
        <v>0</v>
      </c>
      <c r="Z112" s="2">
        <v>0</v>
      </c>
      <c r="AA112" s="12">
        <v>0</v>
      </c>
      <c r="AB112" s="3">
        <f t="shared" si="1"/>
        <v>1493.0800000000002</v>
      </c>
      <c r="AC112" s="3">
        <v>4</v>
      </c>
      <c r="AD112" s="52"/>
      <c r="AE112" s="44"/>
      <c r="AG112" s="45"/>
      <c r="AH112" s="45"/>
      <c r="AI112" s="45"/>
      <c r="AJ112" s="45"/>
      <c r="AK112" s="45"/>
      <c r="AL112" s="45"/>
      <c r="AM112" s="45"/>
      <c r="AN112" s="45"/>
      <c r="AO112" s="45"/>
      <c r="AP112" s="45"/>
      <c r="AQ112" s="45"/>
      <c r="AR112" s="45"/>
      <c r="AS112" s="45"/>
      <c r="AT112" s="45"/>
      <c r="AU112" s="45"/>
      <c r="AV112" s="45"/>
      <c r="AW112" s="45"/>
      <c r="AX112" s="45"/>
      <c r="AY112" s="45"/>
      <c r="AZ112" s="45"/>
      <c r="BA112" s="45"/>
      <c r="BB112" s="45"/>
      <c r="BC112" s="45"/>
      <c r="BD112" s="45"/>
    </row>
    <row r="113" spans="2:56" ht="15" thickBot="1">
      <c r="B113" s="50"/>
      <c r="C113" s="9" t="s">
        <v>8</v>
      </c>
      <c r="D113" s="10">
        <v>0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490.46</v>
      </c>
      <c r="L113" s="10">
        <v>1225.97</v>
      </c>
      <c r="M113" s="10">
        <v>1487.72</v>
      </c>
      <c r="N113" s="10">
        <v>1902.61</v>
      </c>
      <c r="O113" s="10">
        <v>1953.54</v>
      </c>
      <c r="P113" s="10">
        <v>1684.67</v>
      </c>
      <c r="Q113" s="10">
        <v>1395.88</v>
      </c>
      <c r="R113" s="10">
        <v>1205.23</v>
      </c>
      <c r="S113" s="10">
        <v>1140.07</v>
      </c>
      <c r="T113" s="10">
        <v>1006.96</v>
      </c>
      <c r="U113" s="10">
        <v>994.29</v>
      </c>
      <c r="V113" s="10">
        <v>1100.6099999999999</v>
      </c>
      <c r="W113" s="10">
        <v>757.49</v>
      </c>
      <c r="X113" s="10">
        <v>225.78</v>
      </c>
      <c r="Y113" s="10">
        <v>0</v>
      </c>
      <c r="Z113" s="10">
        <v>0</v>
      </c>
      <c r="AA113" s="13">
        <v>0</v>
      </c>
      <c r="AB113" s="6">
        <f t="shared" si="1"/>
        <v>16571.280000000002</v>
      </c>
      <c r="AC113" s="6">
        <v>1</v>
      </c>
      <c r="AD113" s="53"/>
      <c r="AE113" s="44"/>
      <c r="AG113" s="45"/>
      <c r="AH113" s="45"/>
      <c r="AI113" s="45"/>
      <c r="AJ113" s="45"/>
      <c r="AK113" s="45"/>
      <c r="AL113" s="45"/>
      <c r="AM113" s="45"/>
      <c r="AN113" s="45"/>
      <c r="AO113" s="45"/>
      <c r="AP113" s="45"/>
      <c r="AQ113" s="45"/>
      <c r="AR113" s="45"/>
      <c r="AS113" s="45"/>
      <c r="AT113" s="45"/>
      <c r="AU113" s="45"/>
      <c r="AV113" s="45"/>
      <c r="AW113" s="45"/>
      <c r="AX113" s="45"/>
      <c r="AY113" s="45"/>
      <c r="AZ113" s="45"/>
      <c r="BA113" s="45"/>
      <c r="BB113" s="45"/>
      <c r="BC113" s="45"/>
      <c r="BD113" s="45"/>
    </row>
    <row r="114" spans="2:56">
      <c r="B114" s="48">
        <v>46844</v>
      </c>
      <c r="C114" s="8" t="s">
        <v>5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946.65</v>
      </c>
      <c r="K114" s="7">
        <v>2780.09</v>
      </c>
      <c r="L114" s="7">
        <v>3833.46</v>
      </c>
      <c r="M114" s="7">
        <v>4054.68</v>
      </c>
      <c r="N114" s="7">
        <v>4725.21</v>
      </c>
      <c r="O114" s="7">
        <v>4930.37</v>
      </c>
      <c r="P114" s="7">
        <v>4539.42</v>
      </c>
      <c r="Q114" s="7">
        <v>4818.8500000000004</v>
      </c>
      <c r="R114" s="7">
        <v>5225.0600000000004</v>
      </c>
      <c r="S114" s="7">
        <v>5138.38</v>
      </c>
      <c r="T114" s="7">
        <v>4874.47</v>
      </c>
      <c r="U114" s="7">
        <v>3859.28</v>
      </c>
      <c r="V114" s="7">
        <v>3458.63</v>
      </c>
      <c r="W114" s="7">
        <v>2970.66</v>
      </c>
      <c r="X114" s="7">
        <v>2104.02</v>
      </c>
      <c r="Y114" s="7">
        <v>1176.24</v>
      </c>
      <c r="Z114" s="7">
        <v>452.05</v>
      </c>
      <c r="AA114" s="11">
        <v>7.65</v>
      </c>
      <c r="AB114" s="5">
        <f t="shared" si="1"/>
        <v>59895.169999999991</v>
      </c>
      <c r="AC114" s="5">
        <v>18</v>
      </c>
      <c r="AD114" s="51">
        <f>(AB114*AC114)+(AB115*AC115)+(AB116*AC116)+(AB117*AC117)</f>
        <v>1399460.1899999997</v>
      </c>
      <c r="AG114" s="45"/>
      <c r="AH114" s="45"/>
      <c r="AI114" s="45"/>
      <c r="AJ114" s="45"/>
      <c r="AK114" s="45"/>
      <c r="AL114" s="45"/>
      <c r="AM114" s="45"/>
      <c r="AN114" s="45"/>
      <c r="AO114" s="45"/>
      <c r="AP114" s="45"/>
      <c r="AQ114" s="45"/>
      <c r="AR114" s="45"/>
      <c r="AS114" s="45"/>
      <c r="AT114" s="45"/>
      <c r="AU114" s="45"/>
      <c r="AV114" s="45"/>
      <c r="AW114" s="45"/>
      <c r="AX114" s="45"/>
      <c r="AY114" s="45"/>
      <c r="AZ114" s="45"/>
      <c r="BA114" s="45"/>
      <c r="BB114" s="45"/>
      <c r="BC114" s="45"/>
      <c r="BD114" s="45"/>
    </row>
    <row r="115" spans="2:56">
      <c r="B115" s="49"/>
      <c r="C115" s="1" t="s">
        <v>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612.08000000000004</v>
      </c>
      <c r="K115" s="2">
        <v>1973.41</v>
      </c>
      <c r="L115" s="2">
        <v>2846.97</v>
      </c>
      <c r="M115" s="2">
        <v>3157.85</v>
      </c>
      <c r="N115" s="2">
        <v>3650.6</v>
      </c>
      <c r="O115" s="2">
        <v>3711.1</v>
      </c>
      <c r="P115" s="2">
        <v>3391.77</v>
      </c>
      <c r="Q115" s="2">
        <v>3048.77</v>
      </c>
      <c r="R115" s="2">
        <v>2822.34</v>
      </c>
      <c r="S115" s="2">
        <v>2744.94</v>
      </c>
      <c r="T115" s="2">
        <v>2586.85</v>
      </c>
      <c r="U115" s="2">
        <v>2567.98</v>
      </c>
      <c r="V115" s="2">
        <v>2694.26</v>
      </c>
      <c r="W115" s="2">
        <v>2286.7399999999998</v>
      </c>
      <c r="X115" s="2">
        <v>1655.24</v>
      </c>
      <c r="Y115" s="2">
        <v>686.75</v>
      </c>
      <c r="Z115" s="2">
        <v>148.38999999999999</v>
      </c>
      <c r="AA115" s="12">
        <v>0</v>
      </c>
      <c r="AB115" s="3">
        <f t="shared" si="1"/>
        <v>40586.039999999994</v>
      </c>
      <c r="AC115" s="3">
        <v>5</v>
      </c>
      <c r="AD115" s="52"/>
      <c r="AG115" s="45"/>
      <c r="AH115" s="45"/>
      <c r="AI115" s="45"/>
      <c r="AJ115" s="45"/>
      <c r="AK115" s="45"/>
      <c r="AL115" s="45"/>
      <c r="AM115" s="45"/>
      <c r="AN115" s="45"/>
      <c r="AO115" s="45"/>
      <c r="AP115" s="45"/>
      <c r="AQ115" s="45"/>
      <c r="AR115" s="45"/>
      <c r="AS115" s="45"/>
      <c r="AT115" s="45"/>
      <c r="AU115" s="45"/>
      <c r="AV115" s="45"/>
      <c r="AW115" s="45"/>
      <c r="AX115" s="45"/>
      <c r="AY115" s="45"/>
      <c r="AZ115" s="45"/>
      <c r="BA115" s="45"/>
      <c r="BB115" s="45"/>
      <c r="BC115" s="45"/>
      <c r="BD115" s="45"/>
    </row>
    <row r="116" spans="2:56">
      <c r="B116" s="49"/>
      <c r="C116" s="1" t="s">
        <v>7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203.84</v>
      </c>
      <c r="M116" s="2">
        <v>458.24</v>
      </c>
      <c r="N116" s="2">
        <v>972.42</v>
      </c>
      <c r="O116" s="2">
        <v>1185.8399999999999</v>
      </c>
      <c r="P116" s="2">
        <v>1407.3</v>
      </c>
      <c r="Q116" s="2">
        <v>1441.37</v>
      </c>
      <c r="R116" s="2">
        <v>1399.7</v>
      </c>
      <c r="S116" s="2">
        <v>1473.81</v>
      </c>
      <c r="T116" s="2">
        <v>1537.25</v>
      </c>
      <c r="U116" s="2">
        <v>1621.64</v>
      </c>
      <c r="V116" s="2">
        <v>1940.57</v>
      </c>
      <c r="W116" s="2">
        <v>1916.16</v>
      </c>
      <c r="X116" s="2">
        <v>1538.38</v>
      </c>
      <c r="Y116" s="2">
        <v>688.25</v>
      </c>
      <c r="Z116" s="2">
        <v>241.78</v>
      </c>
      <c r="AA116" s="12">
        <v>0</v>
      </c>
      <c r="AB116" s="3">
        <f t="shared" si="1"/>
        <v>18026.55</v>
      </c>
      <c r="AC116" s="3">
        <v>5</v>
      </c>
      <c r="AD116" s="52"/>
      <c r="AG116" s="45"/>
      <c r="AH116" s="45"/>
      <c r="AI116" s="45"/>
      <c r="AJ116" s="45"/>
      <c r="AK116" s="45"/>
      <c r="AL116" s="45"/>
      <c r="AM116" s="45"/>
      <c r="AN116" s="45"/>
      <c r="AO116" s="45"/>
      <c r="AP116" s="45"/>
      <c r="AQ116" s="45"/>
      <c r="AR116" s="45"/>
      <c r="AS116" s="45"/>
      <c r="AT116" s="45"/>
      <c r="AU116" s="45"/>
      <c r="AV116" s="45"/>
      <c r="AW116" s="45"/>
      <c r="AX116" s="45"/>
      <c r="AY116" s="45"/>
      <c r="AZ116" s="45"/>
      <c r="BA116" s="45"/>
      <c r="BB116" s="45"/>
      <c r="BC116" s="45"/>
      <c r="BD116" s="45"/>
    </row>
    <row r="117" spans="2:56" ht="15" thickBot="1">
      <c r="B117" s="50"/>
      <c r="C117" s="9" t="s">
        <v>8</v>
      </c>
      <c r="D117" s="10">
        <v>0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182.57</v>
      </c>
      <c r="N117" s="10">
        <v>739.34</v>
      </c>
      <c r="O117" s="10">
        <v>945.3</v>
      </c>
      <c r="P117" s="10">
        <v>1140.56</v>
      </c>
      <c r="Q117" s="10">
        <v>1156.3499999999999</v>
      </c>
      <c r="R117" s="10">
        <v>1221.08</v>
      </c>
      <c r="S117" s="10">
        <v>1268.6300000000001</v>
      </c>
      <c r="T117" s="10">
        <v>1269.05</v>
      </c>
      <c r="U117" s="10">
        <v>1423.17</v>
      </c>
      <c r="V117" s="10">
        <v>1759.14</v>
      </c>
      <c r="W117" s="10">
        <v>1582.17</v>
      </c>
      <c r="X117" s="10">
        <v>1186.46</v>
      </c>
      <c r="Y117" s="10">
        <v>268.27</v>
      </c>
      <c r="Z117" s="10">
        <v>0</v>
      </c>
      <c r="AA117" s="13">
        <v>0</v>
      </c>
      <c r="AB117" s="6">
        <f t="shared" si="1"/>
        <v>14142.09</v>
      </c>
      <c r="AC117" s="6">
        <v>2</v>
      </c>
      <c r="AD117" s="53"/>
      <c r="AG117" s="45"/>
      <c r="AH117" s="45"/>
      <c r="AI117" s="45"/>
      <c r="AJ117" s="45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45"/>
      <c r="AW117" s="45"/>
      <c r="AX117" s="45"/>
      <c r="AY117" s="45"/>
      <c r="AZ117" s="45"/>
      <c r="BA117" s="45"/>
      <c r="BB117" s="45"/>
      <c r="BC117" s="45"/>
      <c r="BD117" s="45"/>
    </row>
    <row r="118" spans="2:56">
      <c r="B118" s="48">
        <v>46874</v>
      </c>
      <c r="C118" s="8" t="s">
        <v>5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24.83</v>
      </c>
      <c r="J118" s="7">
        <v>1501.82</v>
      </c>
      <c r="K118" s="7">
        <v>3454.44</v>
      </c>
      <c r="L118" s="7">
        <v>4575.54</v>
      </c>
      <c r="M118" s="7">
        <v>4810.97</v>
      </c>
      <c r="N118" s="7">
        <v>5524.61</v>
      </c>
      <c r="O118" s="7">
        <v>5742.96</v>
      </c>
      <c r="P118" s="7">
        <v>5326.87</v>
      </c>
      <c r="Q118" s="7">
        <v>5624.28</v>
      </c>
      <c r="R118" s="7">
        <v>6056.6</v>
      </c>
      <c r="S118" s="7">
        <v>5964.35</v>
      </c>
      <c r="T118" s="7">
        <v>5683.47</v>
      </c>
      <c r="U118" s="7">
        <v>4601.71</v>
      </c>
      <c r="V118" s="7">
        <v>4175.3</v>
      </c>
      <c r="W118" s="7">
        <v>3655.96</v>
      </c>
      <c r="X118" s="7">
        <v>2733.6</v>
      </c>
      <c r="Y118" s="7">
        <v>1746.17</v>
      </c>
      <c r="Z118" s="7">
        <v>975.43</v>
      </c>
      <c r="AA118" s="11">
        <v>502.46</v>
      </c>
      <c r="AB118" s="5">
        <f t="shared" si="1"/>
        <v>72681.37000000001</v>
      </c>
      <c r="AC118" s="5">
        <v>21</v>
      </c>
      <c r="AD118" s="51">
        <f>(AB118*AC118)+(AB119*AC119)+(AB120*AC120)+(AB121*AC121)</f>
        <v>1811173.5500000003</v>
      </c>
      <c r="AG118" s="45"/>
      <c r="AH118" s="45"/>
      <c r="AI118" s="45"/>
      <c r="AJ118" s="45"/>
      <c r="AK118" s="45"/>
      <c r="AL118" s="45"/>
      <c r="AM118" s="45"/>
      <c r="AN118" s="45"/>
      <c r="AO118" s="45"/>
      <c r="AP118" s="45"/>
      <c r="AQ118" s="45"/>
      <c r="AR118" s="45"/>
      <c r="AS118" s="45"/>
      <c r="AT118" s="45"/>
      <c r="AU118" s="45"/>
      <c r="AV118" s="45"/>
      <c r="AW118" s="45"/>
      <c r="AX118" s="45"/>
      <c r="AY118" s="45"/>
      <c r="AZ118" s="45"/>
      <c r="BA118" s="45"/>
      <c r="BB118" s="45"/>
      <c r="BC118" s="45"/>
      <c r="BD118" s="45"/>
    </row>
    <row r="119" spans="2:56">
      <c r="B119" s="49"/>
      <c r="C119" s="1" t="s">
        <v>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936.46</v>
      </c>
      <c r="L119" s="2">
        <v>1717.42</v>
      </c>
      <c r="M119" s="2">
        <v>1995.35</v>
      </c>
      <c r="N119" s="2">
        <v>2435.87</v>
      </c>
      <c r="O119" s="2">
        <v>2489.9499999999998</v>
      </c>
      <c r="P119" s="2">
        <v>2204.4699999999998</v>
      </c>
      <c r="Q119" s="2">
        <v>1897.83</v>
      </c>
      <c r="R119" s="2">
        <v>1695.41</v>
      </c>
      <c r="S119" s="2">
        <v>1626.21</v>
      </c>
      <c r="T119" s="2">
        <v>1484.88</v>
      </c>
      <c r="U119" s="2">
        <v>1470.17</v>
      </c>
      <c r="V119" s="2">
        <v>1583.06</v>
      </c>
      <c r="W119" s="2">
        <v>1218.74</v>
      </c>
      <c r="X119" s="2">
        <v>654.16999999999996</v>
      </c>
      <c r="Y119" s="2">
        <v>0</v>
      </c>
      <c r="Z119" s="2">
        <v>0</v>
      </c>
      <c r="AA119" s="12">
        <v>0</v>
      </c>
      <c r="AB119" s="3">
        <f t="shared" si="1"/>
        <v>23409.989999999998</v>
      </c>
      <c r="AC119" s="3">
        <v>4</v>
      </c>
      <c r="AD119" s="52"/>
      <c r="AG119" s="45"/>
      <c r="AH119" s="45"/>
      <c r="AI119" s="45"/>
      <c r="AJ119" s="45"/>
      <c r="AK119" s="45"/>
      <c r="AL119" s="45"/>
      <c r="AM119" s="45"/>
      <c r="AN119" s="45"/>
      <c r="AO119" s="45"/>
      <c r="AP119" s="45"/>
      <c r="AQ119" s="45"/>
      <c r="AR119" s="45"/>
      <c r="AS119" s="45"/>
      <c r="AT119" s="45"/>
      <c r="AU119" s="45"/>
      <c r="AV119" s="45"/>
      <c r="AW119" s="45"/>
      <c r="AX119" s="45"/>
      <c r="AY119" s="45"/>
      <c r="AZ119" s="45"/>
      <c r="BA119" s="45"/>
      <c r="BB119" s="45"/>
      <c r="BC119" s="45"/>
      <c r="BD119" s="45"/>
    </row>
    <row r="120" spans="2:56">
      <c r="B120" s="49"/>
      <c r="C120" s="1" t="s">
        <v>7</v>
      </c>
      <c r="D120" s="2">
        <v>582.63</v>
      </c>
      <c r="E120" s="2">
        <v>191.27</v>
      </c>
      <c r="F120" s="2">
        <v>0</v>
      </c>
      <c r="G120" s="2">
        <v>0</v>
      </c>
      <c r="H120" s="2">
        <v>0</v>
      </c>
      <c r="I120" s="2">
        <v>0</v>
      </c>
      <c r="J120" s="2">
        <v>74.69</v>
      </c>
      <c r="K120" s="2">
        <v>662.32</v>
      </c>
      <c r="L120" s="2">
        <v>1136.97</v>
      </c>
      <c r="M120" s="2">
        <v>1421.28</v>
      </c>
      <c r="N120" s="2">
        <v>1995.87</v>
      </c>
      <c r="O120" s="2">
        <v>2234.37</v>
      </c>
      <c r="P120" s="2">
        <v>2481.85</v>
      </c>
      <c r="Q120" s="2">
        <v>2519.92</v>
      </c>
      <c r="R120" s="2">
        <v>2473.36</v>
      </c>
      <c r="S120" s="2">
        <v>2556.1799999999998</v>
      </c>
      <c r="T120" s="2">
        <v>2627.07</v>
      </c>
      <c r="U120" s="2">
        <v>2718.99</v>
      </c>
      <c r="V120" s="2">
        <v>3075.38</v>
      </c>
      <c r="W120" s="2">
        <v>3048.1</v>
      </c>
      <c r="X120" s="2">
        <v>2625.94</v>
      </c>
      <c r="Y120" s="2">
        <v>1675.92</v>
      </c>
      <c r="Z120" s="2">
        <v>1176.98</v>
      </c>
      <c r="AA120" s="12">
        <v>822.12</v>
      </c>
      <c r="AB120" s="3">
        <f t="shared" si="1"/>
        <v>36101.21</v>
      </c>
      <c r="AC120" s="3">
        <v>4</v>
      </c>
      <c r="AD120" s="52"/>
      <c r="AG120" s="45"/>
      <c r="AH120" s="45"/>
      <c r="AI120" s="45"/>
      <c r="AJ120" s="45"/>
      <c r="AK120" s="45"/>
      <c r="AL120" s="45"/>
      <c r="AM120" s="45"/>
      <c r="AN120" s="45"/>
      <c r="AO120" s="45"/>
      <c r="AP120" s="45"/>
      <c r="AQ120" s="45"/>
      <c r="AR120" s="45"/>
      <c r="AS120" s="45"/>
      <c r="AT120" s="45"/>
      <c r="AU120" s="45"/>
      <c r="AV120" s="45"/>
      <c r="AW120" s="45"/>
      <c r="AX120" s="45"/>
      <c r="AY120" s="45"/>
      <c r="AZ120" s="45"/>
      <c r="BA120" s="45"/>
      <c r="BB120" s="45"/>
      <c r="BC120" s="45"/>
      <c r="BD120" s="45"/>
    </row>
    <row r="121" spans="2:56" ht="15" thickBot="1">
      <c r="B121" s="50"/>
      <c r="C121" s="9" t="s">
        <v>8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936.46</v>
      </c>
      <c r="L121" s="10">
        <v>1717.42</v>
      </c>
      <c r="M121" s="10">
        <v>1995.35</v>
      </c>
      <c r="N121" s="10">
        <v>2435.87</v>
      </c>
      <c r="O121" s="10">
        <v>2489.9499999999998</v>
      </c>
      <c r="P121" s="10">
        <v>2204.4699999999998</v>
      </c>
      <c r="Q121" s="10">
        <v>1897.83</v>
      </c>
      <c r="R121" s="10">
        <v>1695.41</v>
      </c>
      <c r="S121" s="10">
        <v>1626.21</v>
      </c>
      <c r="T121" s="10">
        <v>1484.88</v>
      </c>
      <c r="U121" s="10">
        <v>1470.17</v>
      </c>
      <c r="V121" s="10">
        <v>1583.06</v>
      </c>
      <c r="W121" s="10">
        <v>1218.74</v>
      </c>
      <c r="X121" s="10">
        <v>654.16999999999996</v>
      </c>
      <c r="Y121" s="10">
        <v>0</v>
      </c>
      <c r="Z121" s="10">
        <v>0</v>
      </c>
      <c r="AA121" s="13">
        <v>0</v>
      </c>
      <c r="AB121" s="6">
        <f t="shared" si="1"/>
        <v>23409.989999999998</v>
      </c>
      <c r="AC121" s="6">
        <v>2</v>
      </c>
      <c r="AD121" s="53"/>
      <c r="AG121" s="45"/>
      <c r="AH121" s="45"/>
      <c r="AI121" s="45"/>
      <c r="AJ121" s="45"/>
      <c r="AK121" s="45"/>
      <c r="AL121" s="45"/>
      <c r="AM121" s="45"/>
      <c r="AN121" s="45"/>
      <c r="AO121" s="45"/>
      <c r="AP121" s="45"/>
      <c r="AQ121" s="45"/>
      <c r="AR121" s="45"/>
      <c r="AS121" s="45"/>
      <c r="AT121" s="45"/>
      <c r="AU121" s="45"/>
      <c r="AV121" s="45"/>
      <c r="AW121" s="45"/>
      <c r="AX121" s="45"/>
      <c r="AY121" s="45"/>
      <c r="AZ121" s="45"/>
      <c r="BA121" s="45"/>
      <c r="BB121" s="45"/>
      <c r="BC121" s="45"/>
      <c r="BD121" s="45"/>
    </row>
    <row r="122" spans="2:56">
      <c r="B122" s="48">
        <v>46905</v>
      </c>
      <c r="C122" s="8" t="s">
        <v>5</v>
      </c>
      <c r="D122" s="7">
        <v>438.06</v>
      </c>
      <c r="E122" s="7">
        <v>184.26</v>
      </c>
      <c r="F122" s="7">
        <v>13.81</v>
      </c>
      <c r="G122" s="7">
        <v>0</v>
      </c>
      <c r="H122" s="7">
        <v>0</v>
      </c>
      <c r="I122" s="7">
        <v>572.49</v>
      </c>
      <c r="J122" s="7">
        <v>2163.89</v>
      </c>
      <c r="K122" s="7">
        <v>4269.3500000000004</v>
      </c>
      <c r="L122" s="7">
        <v>5477.28</v>
      </c>
      <c r="M122" s="7">
        <v>5730.95</v>
      </c>
      <c r="N122" s="7">
        <v>6499.87</v>
      </c>
      <c r="O122" s="7">
        <v>6735.13</v>
      </c>
      <c r="P122" s="7">
        <v>6286.82</v>
      </c>
      <c r="Q122" s="7">
        <v>6607.26</v>
      </c>
      <c r="R122" s="7">
        <v>7073.06</v>
      </c>
      <c r="S122" s="7">
        <v>6973.67</v>
      </c>
      <c r="T122" s="7">
        <v>6671.03</v>
      </c>
      <c r="U122" s="7">
        <v>5503.9</v>
      </c>
      <c r="V122" s="7">
        <v>5044.46</v>
      </c>
      <c r="W122" s="7">
        <v>4484.8900000000003</v>
      </c>
      <c r="X122" s="7">
        <v>3491.09</v>
      </c>
      <c r="Y122" s="7">
        <v>2427.17</v>
      </c>
      <c r="Z122" s="7">
        <v>1596.72</v>
      </c>
      <c r="AA122" s="11">
        <v>1087.1099999999999</v>
      </c>
      <c r="AB122" s="5">
        <f t="shared" si="1"/>
        <v>89332.27</v>
      </c>
      <c r="AC122" s="5">
        <v>20</v>
      </c>
      <c r="AD122" s="51">
        <f>(AB122*AC122)+(AB123*AC123)+(AB124*AC124)+(AB125*AC125)</f>
        <v>1969308.92</v>
      </c>
      <c r="AG122" s="45"/>
      <c r="AH122" s="45"/>
      <c r="AI122" s="45"/>
      <c r="AJ122" s="45"/>
      <c r="AK122" s="45"/>
      <c r="AL122" s="45"/>
      <c r="AM122" s="45"/>
      <c r="AN122" s="45"/>
      <c r="AO122" s="45"/>
      <c r="AP122" s="45"/>
      <c r="AQ122" s="45"/>
      <c r="AR122" s="45"/>
      <c r="AS122" s="45"/>
      <c r="AT122" s="45"/>
      <c r="AU122" s="45"/>
      <c r="AV122" s="45"/>
      <c r="AW122" s="45"/>
      <c r="AX122" s="45"/>
      <c r="AY122" s="45"/>
      <c r="AZ122" s="45"/>
      <c r="BA122" s="45"/>
      <c r="BB122" s="45"/>
      <c r="BC122" s="45"/>
      <c r="BD122" s="45"/>
    </row>
    <row r="123" spans="2:56">
      <c r="B123" s="49"/>
      <c r="C123" s="1" t="s">
        <v>6</v>
      </c>
      <c r="D123" s="2">
        <v>187.65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821.19</v>
      </c>
      <c r="K123" s="2">
        <v>2226.81</v>
      </c>
      <c r="L123" s="2">
        <v>3128.37</v>
      </c>
      <c r="M123" s="2">
        <v>3449.22</v>
      </c>
      <c r="N123" s="2">
        <v>3957.77</v>
      </c>
      <c r="O123" s="2">
        <v>4020.2</v>
      </c>
      <c r="P123" s="2">
        <v>3690.63</v>
      </c>
      <c r="Q123" s="2">
        <v>3336.64</v>
      </c>
      <c r="R123" s="2">
        <v>3102.96</v>
      </c>
      <c r="S123" s="2">
        <v>3023.08</v>
      </c>
      <c r="T123" s="2">
        <v>2859.92</v>
      </c>
      <c r="U123" s="2">
        <v>2839.79</v>
      </c>
      <c r="V123" s="2">
        <v>2970.11</v>
      </c>
      <c r="W123" s="2">
        <v>2549.5300000000002</v>
      </c>
      <c r="X123" s="2">
        <v>1897.78</v>
      </c>
      <c r="Y123" s="2">
        <v>898.25</v>
      </c>
      <c r="Z123" s="2">
        <v>342.63</v>
      </c>
      <c r="AA123" s="12">
        <v>0</v>
      </c>
      <c r="AB123" s="3">
        <f t="shared" si="1"/>
        <v>45302.529999999992</v>
      </c>
      <c r="AC123" s="3">
        <v>4</v>
      </c>
      <c r="AD123" s="52"/>
      <c r="AG123" s="45"/>
      <c r="AH123" s="45"/>
      <c r="AI123" s="45"/>
      <c r="AJ123" s="45"/>
      <c r="AK123" s="45"/>
      <c r="AL123" s="45"/>
      <c r="AM123" s="45"/>
      <c r="AN123" s="45"/>
      <c r="AO123" s="45"/>
      <c r="AP123" s="45"/>
      <c r="AQ123" s="45"/>
      <c r="AR123" s="45"/>
      <c r="AS123" s="45"/>
      <c r="AT123" s="45"/>
      <c r="AU123" s="45"/>
      <c r="AV123" s="45"/>
      <c r="AW123" s="45"/>
      <c r="AX123" s="45"/>
      <c r="AY123" s="45"/>
      <c r="AZ123" s="45"/>
      <c r="BA123" s="45"/>
      <c r="BB123" s="45"/>
      <c r="BC123" s="45"/>
      <c r="BD123" s="45"/>
    </row>
    <row r="124" spans="2:56">
      <c r="B124" s="49"/>
      <c r="C124" s="1" t="s">
        <v>7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191.75</v>
      </c>
      <c r="W124" s="2">
        <v>171.6</v>
      </c>
      <c r="X124" s="2">
        <v>0</v>
      </c>
      <c r="Y124" s="2">
        <v>0</v>
      </c>
      <c r="Z124" s="2">
        <v>0</v>
      </c>
      <c r="AA124" s="12">
        <v>0</v>
      </c>
      <c r="AB124" s="3">
        <f t="shared" si="1"/>
        <v>363.35</v>
      </c>
      <c r="AC124" s="3">
        <v>4</v>
      </c>
      <c r="AD124" s="52"/>
      <c r="AG124" s="45"/>
      <c r="AH124" s="45"/>
      <c r="AI124" s="45"/>
      <c r="AJ124" s="45"/>
      <c r="AK124" s="45"/>
      <c r="AL124" s="45"/>
      <c r="AM124" s="45"/>
      <c r="AN124" s="45"/>
      <c r="AO124" s="45"/>
      <c r="AP124" s="45"/>
      <c r="AQ124" s="45"/>
      <c r="AR124" s="45"/>
      <c r="AS124" s="45"/>
      <c r="AT124" s="45"/>
      <c r="AU124" s="45"/>
      <c r="AV124" s="45"/>
      <c r="AW124" s="45"/>
      <c r="AX124" s="45"/>
      <c r="AY124" s="45"/>
      <c r="AZ124" s="45"/>
      <c r="BA124" s="45"/>
      <c r="BB124" s="45"/>
      <c r="BC124" s="45"/>
      <c r="BD124" s="45"/>
    </row>
    <row r="125" spans="2:56" ht="15" thickBot="1">
      <c r="B125" s="50"/>
      <c r="C125" s="9" t="s">
        <v>8</v>
      </c>
      <c r="D125" s="10">
        <v>0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3">
        <v>0</v>
      </c>
      <c r="AB125" s="6">
        <f t="shared" si="1"/>
        <v>0</v>
      </c>
      <c r="AC125" s="6">
        <v>2</v>
      </c>
      <c r="AD125" s="53"/>
      <c r="AG125" s="45"/>
      <c r="AH125" s="45"/>
      <c r="AI125" s="45"/>
      <c r="AJ125" s="45"/>
      <c r="AK125" s="45"/>
      <c r="AL125" s="45"/>
      <c r="AM125" s="45"/>
      <c r="AN125" s="45"/>
      <c r="AO125" s="45"/>
      <c r="AP125" s="45"/>
      <c r="AQ125" s="45"/>
      <c r="AR125" s="45"/>
      <c r="AS125" s="45"/>
      <c r="AT125" s="45"/>
      <c r="AU125" s="45"/>
      <c r="AV125" s="45"/>
      <c r="AW125" s="45"/>
      <c r="AX125" s="45"/>
      <c r="AY125" s="45"/>
      <c r="AZ125" s="45"/>
      <c r="BA125" s="45"/>
      <c r="BB125" s="45"/>
      <c r="BC125" s="45"/>
      <c r="BD125" s="45"/>
    </row>
    <row r="126" spans="2:56">
      <c r="B126" s="48">
        <v>46935</v>
      </c>
      <c r="C126" s="8" t="s">
        <v>5</v>
      </c>
      <c r="D126" s="7">
        <v>0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592.09</v>
      </c>
      <c r="K126" s="7">
        <v>2368.08</v>
      </c>
      <c r="L126" s="7">
        <v>3388.81</v>
      </c>
      <c r="M126" s="7">
        <v>3603.17</v>
      </c>
      <c r="N126" s="7">
        <v>4252.92</v>
      </c>
      <c r="O126" s="7">
        <v>4451.72</v>
      </c>
      <c r="P126" s="7">
        <v>4072.89</v>
      </c>
      <c r="Q126" s="7">
        <v>4343.67</v>
      </c>
      <c r="R126" s="7">
        <v>4737.28</v>
      </c>
      <c r="S126" s="7">
        <v>4653.29</v>
      </c>
      <c r="T126" s="7">
        <v>4397.5600000000004</v>
      </c>
      <c r="U126" s="7">
        <v>3414.46</v>
      </c>
      <c r="V126" s="7">
        <v>3026.23</v>
      </c>
      <c r="W126" s="7">
        <v>2553.38</v>
      </c>
      <c r="X126" s="7">
        <v>1713.6</v>
      </c>
      <c r="Y126" s="7">
        <v>814.57</v>
      </c>
      <c r="Z126" s="7">
        <v>112.82</v>
      </c>
      <c r="AA126" s="11">
        <v>0</v>
      </c>
      <c r="AB126" s="5">
        <f t="shared" si="1"/>
        <v>52496.539999999994</v>
      </c>
      <c r="AC126" s="5">
        <v>19</v>
      </c>
      <c r="AD126" s="51">
        <f>(AB126*AC126)+(AB127*AC127)+(AB128*AC128)+(AB129*AC129)</f>
        <v>1411727.89</v>
      </c>
      <c r="AG126" s="45"/>
      <c r="AH126" s="45"/>
      <c r="AI126" s="45"/>
      <c r="AJ126" s="45"/>
      <c r="AK126" s="45"/>
      <c r="AL126" s="45"/>
      <c r="AM126" s="45"/>
      <c r="AN126" s="45"/>
      <c r="AO126" s="45"/>
      <c r="AP126" s="45"/>
      <c r="AQ126" s="45"/>
      <c r="AR126" s="45"/>
      <c r="AS126" s="45"/>
      <c r="AT126" s="45"/>
      <c r="AU126" s="45"/>
      <c r="AV126" s="45"/>
      <c r="AW126" s="45"/>
      <c r="AX126" s="45"/>
      <c r="AY126" s="45"/>
      <c r="AZ126" s="45"/>
      <c r="BA126" s="45"/>
      <c r="BB126" s="45"/>
      <c r="BC126" s="45"/>
      <c r="BD126" s="45"/>
    </row>
    <row r="127" spans="2:56">
      <c r="B127" s="49"/>
      <c r="C127" s="1" t="s">
        <v>6</v>
      </c>
      <c r="D127" s="2">
        <v>799.45</v>
      </c>
      <c r="E127" s="2">
        <v>471.66</v>
      </c>
      <c r="F127" s="2">
        <v>254.82</v>
      </c>
      <c r="G127" s="2">
        <v>192.23</v>
      </c>
      <c r="H127" s="2">
        <v>117.17</v>
      </c>
      <c r="I127" s="2">
        <v>294.06</v>
      </c>
      <c r="J127" s="2">
        <v>1483.52</v>
      </c>
      <c r="K127" s="2">
        <v>3002.86</v>
      </c>
      <c r="L127" s="2">
        <v>3976.32</v>
      </c>
      <c r="M127" s="2">
        <v>4322.75</v>
      </c>
      <c r="N127" s="2">
        <v>4871.8599999999997</v>
      </c>
      <c r="O127" s="2">
        <v>4939.2700000000004</v>
      </c>
      <c r="P127" s="2">
        <v>4583.42</v>
      </c>
      <c r="Q127" s="2">
        <v>4201.2</v>
      </c>
      <c r="R127" s="2">
        <v>3948.88</v>
      </c>
      <c r="S127" s="2">
        <v>3862.63</v>
      </c>
      <c r="T127" s="2">
        <v>3686.45</v>
      </c>
      <c r="U127" s="2">
        <v>3663.1</v>
      </c>
      <c r="V127" s="2">
        <v>3803.81</v>
      </c>
      <c r="W127" s="2">
        <v>3349.7</v>
      </c>
      <c r="X127" s="2">
        <v>2645.97</v>
      </c>
      <c r="Y127" s="2">
        <v>1566.73</v>
      </c>
      <c r="Z127" s="2">
        <v>966.8</v>
      </c>
      <c r="AA127" s="12">
        <v>544.1</v>
      </c>
      <c r="AB127" s="3">
        <f t="shared" si="1"/>
        <v>61548.759999999987</v>
      </c>
      <c r="AC127" s="3">
        <v>5</v>
      </c>
      <c r="AD127" s="52"/>
      <c r="AG127" s="45"/>
      <c r="AH127" s="45"/>
      <c r="AI127" s="45"/>
      <c r="AJ127" s="45"/>
      <c r="AK127" s="45"/>
      <c r="AL127" s="45"/>
      <c r="AM127" s="45"/>
      <c r="AN127" s="45"/>
      <c r="AO127" s="45"/>
      <c r="AP127" s="45"/>
      <c r="AQ127" s="45"/>
      <c r="AR127" s="45"/>
      <c r="AS127" s="45"/>
      <c r="AT127" s="45"/>
      <c r="AU127" s="45"/>
      <c r="AV127" s="45"/>
      <c r="AW127" s="45"/>
      <c r="AX127" s="45"/>
      <c r="AY127" s="45"/>
      <c r="AZ127" s="45"/>
      <c r="BA127" s="45"/>
      <c r="BB127" s="45"/>
      <c r="BC127" s="45"/>
      <c r="BD127" s="45"/>
    </row>
    <row r="128" spans="2:56">
      <c r="B128" s="49"/>
      <c r="C128" s="1" t="s">
        <v>4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165.75</v>
      </c>
      <c r="W128" s="2">
        <v>145.6</v>
      </c>
      <c r="X128" s="2">
        <v>0</v>
      </c>
      <c r="Y128" s="2">
        <v>0</v>
      </c>
      <c r="Z128" s="2">
        <v>0</v>
      </c>
      <c r="AA128" s="12">
        <v>0</v>
      </c>
      <c r="AB128" s="3">
        <f t="shared" si="1"/>
        <v>311.35000000000002</v>
      </c>
      <c r="AC128" s="3">
        <v>5</v>
      </c>
      <c r="AD128" s="52"/>
      <c r="AG128" s="45"/>
      <c r="AH128" s="45"/>
      <c r="AI128" s="45"/>
      <c r="AJ128" s="45"/>
      <c r="AK128" s="45"/>
      <c r="AL128" s="45"/>
      <c r="AM128" s="45"/>
      <c r="AN128" s="45"/>
      <c r="AO128" s="45"/>
      <c r="AP128" s="45"/>
      <c r="AQ128" s="45"/>
      <c r="AR128" s="45"/>
      <c r="AS128" s="45"/>
      <c r="AT128" s="45"/>
      <c r="AU128" s="45"/>
      <c r="AV128" s="45"/>
      <c r="AW128" s="45"/>
      <c r="AX128" s="45"/>
      <c r="AY128" s="45"/>
      <c r="AZ128" s="45"/>
      <c r="BA128" s="45"/>
      <c r="BB128" s="45"/>
      <c r="BC128" s="45"/>
      <c r="BD128" s="45"/>
    </row>
    <row r="129" spans="2:56" ht="15" thickBot="1">
      <c r="B129" s="50"/>
      <c r="C129" s="9" t="s">
        <v>8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592.09</v>
      </c>
      <c r="K129" s="10">
        <v>2368.08</v>
      </c>
      <c r="L129" s="10">
        <v>3388.81</v>
      </c>
      <c r="M129" s="10">
        <v>3603.17</v>
      </c>
      <c r="N129" s="10">
        <v>4252.92</v>
      </c>
      <c r="O129" s="10">
        <v>4451.72</v>
      </c>
      <c r="P129" s="10">
        <v>4072.89</v>
      </c>
      <c r="Q129" s="10">
        <v>4343.67</v>
      </c>
      <c r="R129" s="10">
        <v>4737.28</v>
      </c>
      <c r="S129" s="10">
        <v>4653.29</v>
      </c>
      <c r="T129" s="10">
        <v>4397.5600000000004</v>
      </c>
      <c r="U129" s="10">
        <v>3414.46</v>
      </c>
      <c r="V129" s="10">
        <v>3026.23</v>
      </c>
      <c r="W129" s="10">
        <v>2553.38</v>
      </c>
      <c r="X129" s="10">
        <v>1713.6</v>
      </c>
      <c r="Y129" s="10">
        <v>814.57</v>
      </c>
      <c r="Z129" s="10">
        <v>112.82</v>
      </c>
      <c r="AA129" s="13">
        <v>0</v>
      </c>
      <c r="AB129" s="6">
        <f t="shared" si="1"/>
        <v>52496.539999999994</v>
      </c>
      <c r="AC129" s="6">
        <v>2</v>
      </c>
      <c r="AD129" s="53"/>
      <c r="AG129" s="45"/>
      <c r="AH129" s="45"/>
      <c r="AI129" s="45"/>
      <c r="AJ129" s="45"/>
      <c r="AK129" s="45"/>
      <c r="AL129" s="45"/>
      <c r="AM129" s="45"/>
      <c r="AN129" s="45"/>
      <c r="AO129" s="45"/>
      <c r="AP129" s="45"/>
      <c r="AQ129" s="45"/>
      <c r="AR129" s="45"/>
      <c r="AS129" s="45"/>
      <c r="AT129" s="45"/>
      <c r="AU129" s="45"/>
      <c r="AV129" s="45"/>
      <c r="AW129" s="45"/>
      <c r="AX129" s="45"/>
      <c r="AY129" s="45"/>
      <c r="AZ129" s="45"/>
      <c r="BA129" s="45"/>
      <c r="BB129" s="45"/>
      <c r="BC129" s="45"/>
      <c r="BD129" s="45"/>
    </row>
    <row r="130" spans="2:56">
      <c r="B130" s="48">
        <v>46966</v>
      </c>
      <c r="C130" s="8" t="s">
        <v>5</v>
      </c>
      <c r="D130" s="7">
        <v>761.05</v>
      </c>
      <c r="E130" s="7">
        <v>495.5</v>
      </c>
      <c r="F130" s="7">
        <v>317.14999999999998</v>
      </c>
      <c r="G130" s="7">
        <v>209.25</v>
      </c>
      <c r="H130" s="7">
        <v>262.81</v>
      </c>
      <c r="I130" s="7">
        <v>901.7</v>
      </c>
      <c r="J130" s="7">
        <v>2566.8000000000002</v>
      </c>
      <c r="K130" s="7">
        <v>4770.71</v>
      </c>
      <c r="L130" s="7">
        <v>6034.58</v>
      </c>
      <c r="M130" s="7">
        <v>6300</v>
      </c>
      <c r="N130" s="7">
        <v>7104.53</v>
      </c>
      <c r="O130" s="7">
        <v>7350.69</v>
      </c>
      <c r="P130" s="7">
        <v>6881.61</v>
      </c>
      <c r="Q130" s="7">
        <v>7216.89</v>
      </c>
      <c r="R130" s="7">
        <v>7704.27</v>
      </c>
      <c r="S130" s="7">
        <v>7600.27</v>
      </c>
      <c r="T130" s="7">
        <v>7283.62</v>
      </c>
      <c r="U130" s="7">
        <v>6061.49</v>
      </c>
      <c r="V130" s="7">
        <v>5580.78</v>
      </c>
      <c r="W130" s="7">
        <v>4995.29</v>
      </c>
      <c r="X130" s="7">
        <v>3955.47</v>
      </c>
      <c r="Y130" s="7">
        <v>2842.28</v>
      </c>
      <c r="Z130" s="7">
        <v>1973.37</v>
      </c>
      <c r="AA130" s="11">
        <v>1440.16</v>
      </c>
      <c r="AB130" s="5">
        <f t="shared" si="1"/>
        <v>100610.27</v>
      </c>
      <c r="AC130" s="5">
        <v>21</v>
      </c>
      <c r="AD130" s="51">
        <f>(AB130*AC130)+(AB131*AC131)+(AB132*AC132)+(AB133*AC133)</f>
        <v>2297156.37</v>
      </c>
      <c r="AG130" s="45"/>
      <c r="AH130" s="45"/>
      <c r="AI130" s="45"/>
      <c r="AJ130" s="45"/>
      <c r="AK130" s="45"/>
      <c r="AL130" s="45"/>
      <c r="AM130" s="45"/>
      <c r="AN130" s="45"/>
      <c r="AO130" s="45"/>
      <c r="AP130" s="45"/>
      <c r="AQ130" s="45"/>
      <c r="AR130" s="45"/>
      <c r="AS130" s="45"/>
      <c r="AT130" s="45"/>
      <c r="AU130" s="45"/>
      <c r="AV130" s="45"/>
      <c r="AW130" s="45"/>
      <c r="AX130" s="45"/>
      <c r="AY130" s="45"/>
      <c r="AZ130" s="45"/>
      <c r="BA130" s="45"/>
      <c r="BB130" s="45"/>
      <c r="BC130" s="45"/>
      <c r="BD130" s="45"/>
    </row>
    <row r="131" spans="2:56">
      <c r="B131" s="49"/>
      <c r="C131" s="1" t="s">
        <v>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996.64</v>
      </c>
      <c r="L131" s="2">
        <v>1793.22</v>
      </c>
      <c r="M131" s="2">
        <v>2076.6999999999998</v>
      </c>
      <c r="N131" s="2">
        <v>2526.0300000000002</v>
      </c>
      <c r="O131" s="2">
        <v>2581.19</v>
      </c>
      <c r="P131" s="2">
        <v>2290</v>
      </c>
      <c r="Q131" s="2">
        <v>1977.23</v>
      </c>
      <c r="R131" s="2">
        <v>1770.76</v>
      </c>
      <c r="S131" s="2">
        <v>1700.18</v>
      </c>
      <c r="T131" s="2">
        <v>1556.02</v>
      </c>
      <c r="U131" s="2">
        <v>1540.61</v>
      </c>
      <c r="V131" s="2">
        <v>1655.75</v>
      </c>
      <c r="W131" s="2">
        <v>1284.1500000000001</v>
      </c>
      <c r="X131" s="2">
        <v>708.3</v>
      </c>
      <c r="Y131" s="2">
        <v>0</v>
      </c>
      <c r="Z131" s="2">
        <v>0</v>
      </c>
      <c r="AA131" s="12">
        <v>0</v>
      </c>
      <c r="AB131" s="3">
        <f t="shared" si="1"/>
        <v>24456.780000000002</v>
      </c>
      <c r="AC131" s="3">
        <v>4</v>
      </c>
      <c r="AD131" s="52"/>
      <c r="AG131" s="45"/>
      <c r="AH131" s="45"/>
      <c r="AI131" s="45"/>
      <c r="AJ131" s="45"/>
      <c r="AK131" s="45"/>
      <c r="AL131" s="45"/>
      <c r="AM131" s="45"/>
      <c r="AN131" s="45"/>
      <c r="AO131" s="45"/>
      <c r="AP131" s="45"/>
      <c r="AQ131" s="45"/>
      <c r="AR131" s="45"/>
      <c r="AS131" s="45"/>
      <c r="AT131" s="45"/>
      <c r="AU131" s="45"/>
      <c r="AV131" s="45"/>
      <c r="AW131" s="45"/>
      <c r="AX131" s="45"/>
      <c r="AY131" s="45"/>
      <c r="AZ131" s="45"/>
      <c r="BA131" s="45"/>
      <c r="BB131" s="45"/>
      <c r="BC131" s="45"/>
      <c r="BD131" s="45"/>
    </row>
    <row r="132" spans="2:56">
      <c r="B132" s="49"/>
      <c r="C132" s="1" t="s">
        <v>7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83.86</v>
      </c>
      <c r="O132" s="2">
        <v>278.47000000000003</v>
      </c>
      <c r="P132" s="2">
        <v>480.41</v>
      </c>
      <c r="Q132" s="2">
        <v>511.48</v>
      </c>
      <c r="R132" s="2">
        <v>473.48</v>
      </c>
      <c r="S132" s="2">
        <v>541.07000000000005</v>
      </c>
      <c r="T132" s="2">
        <v>598.91999999999996</v>
      </c>
      <c r="U132" s="2">
        <v>677.66</v>
      </c>
      <c r="V132" s="2">
        <v>968.48</v>
      </c>
      <c r="W132" s="2">
        <v>946.22</v>
      </c>
      <c r="X132" s="2">
        <v>601.74</v>
      </c>
      <c r="Y132" s="2">
        <v>0</v>
      </c>
      <c r="Z132" s="2">
        <v>0</v>
      </c>
      <c r="AA132" s="12">
        <v>0</v>
      </c>
      <c r="AB132" s="3">
        <f t="shared" si="1"/>
        <v>6161.79</v>
      </c>
      <c r="AC132" s="3">
        <v>4</v>
      </c>
      <c r="AD132" s="52"/>
      <c r="AG132" s="45"/>
      <c r="AH132" s="45"/>
      <c r="AI132" s="45"/>
      <c r="AJ132" s="45"/>
      <c r="AK132" s="45"/>
      <c r="AL132" s="45"/>
      <c r="AM132" s="45"/>
      <c r="AN132" s="45"/>
      <c r="AO132" s="45"/>
      <c r="AP132" s="45"/>
      <c r="AQ132" s="45"/>
      <c r="AR132" s="45"/>
      <c r="AS132" s="45"/>
      <c r="AT132" s="45"/>
      <c r="AU132" s="45"/>
      <c r="AV132" s="45"/>
      <c r="AW132" s="45"/>
      <c r="AX132" s="45"/>
      <c r="AY132" s="45"/>
      <c r="AZ132" s="45"/>
      <c r="BA132" s="45"/>
      <c r="BB132" s="45"/>
      <c r="BC132" s="45"/>
      <c r="BD132" s="45"/>
    </row>
    <row r="133" spans="2:56" ht="15" thickBot="1">
      <c r="B133" s="50"/>
      <c r="C133" s="9" t="s">
        <v>8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326.18</v>
      </c>
      <c r="L133" s="10">
        <v>876.25</v>
      </c>
      <c r="M133" s="10">
        <v>1176.93</v>
      </c>
      <c r="N133" s="10">
        <v>1811.55</v>
      </c>
      <c r="O133" s="10">
        <v>2046.32</v>
      </c>
      <c r="P133" s="10">
        <v>2268.88</v>
      </c>
      <c r="Q133" s="10">
        <v>2286.88</v>
      </c>
      <c r="R133" s="10">
        <v>2360.66</v>
      </c>
      <c r="S133" s="10">
        <v>2414.86</v>
      </c>
      <c r="T133" s="10">
        <v>2415.34</v>
      </c>
      <c r="U133" s="10">
        <v>2588.16</v>
      </c>
      <c r="V133" s="10">
        <v>2971.12</v>
      </c>
      <c r="W133" s="10">
        <v>2769.4</v>
      </c>
      <c r="X133" s="10">
        <v>2318.35</v>
      </c>
      <c r="Y133" s="10">
        <v>1271.76</v>
      </c>
      <c r="Z133" s="10">
        <v>687.25</v>
      </c>
      <c r="AA133" s="13">
        <v>343.32</v>
      </c>
      <c r="AB133" s="6">
        <f t="shared" si="1"/>
        <v>30933.21</v>
      </c>
      <c r="AC133" s="6">
        <v>2</v>
      </c>
      <c r="AD133" s="53"/>
      <c r="AG133" s="45"/>
      <c r="AH133" s="45"/>
      <c r="AI133" s="45"/>
      <c r="AJ133" s="45"/>
      <c r="AK133" s="45"/>
      <c r="AL133" s="45"/>
      <c r="AM133" s="45"/>
      <c r="AN133" s="45"/>
      <c r="AO133" s="45"/>
      <c r="AP133" s="45"/>
      <c r="AQ133" s="45"/>
      <c r="AR133" s="45"/>
      <c r="AS133" s="45"/>
      <c r="AT133" s="45"/>
      <c r="AU133" s="45"/>
      <c r="AV133" s="45"/>
      <c r="AW133" s="45"/>
      <c r="AX133" s="45"/>
      <c r="AY133" s="45"/>
      <c r="AZ133" s="45"/>
      <c r="BA133" s="45"/>
      <c r="BB133" s="45"/>
      <c r="BC133" s="45"/>
      <c r="BD133" s="45"/>
    </row>
    <row r="134" spans="2:56">
      <c r="B134" s="48">
        <v>46997</v>
      </c>
      <c r="C134" s="8" t="s">
        <v>5</v>
      </c>
      <c r="D134" s="7">
        <v>0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739.64</v>
      </c>
      <c r="K134" s="7">
        <v>2566.0500000000002</v>
      </c>
      <c r="L134" s="7">
        <v>3615.43</v>
      </c>
      <c r="M134" s="7">
        <v>3835.8</v>
      </c>
      <c r="N134" s="7">
        <v>4503.79</v>
      </c>
      <c r="O134" s="7">
        <v>4708.17</v>
      </c>
      <c r="P134" s="7">
        <v>4318.7</v>
      </c>
      <c r="Q134" s="7">
        <v>4597.08</v>
      </c>
      <c r="R134" s="7">
        <v>5001.74</v>
      </c>
      <c r="S134" s="7">
        <v>4915.3900000000003</v>
      </c>
      <c r="T134" s="7">
        <v>4652.4799999999996</v>
      </c>
      <c r="U134" s="7">
        <v>3641.22</v>
      </c>
      <c r="V134" s="7">
        <v>3242.09</v>
      </c>
      <c r="W134" s="7">
        <v>2755.97</v>
      </c>
      <c r="X134" s="7">
        <v>1892.63</v>
      </c>
      <c r="Y134" s="7">
        <v>968.36</v>
      </c>
      <c r="Z134" s="7">
        <v>246.92</v>
      </c>
      <c r="AA134" s="11">
        <v>0</v>
      </c>
      <c r="AB134" s="5">
        <f t="shared" ref="AB134:AB197" si="2">(SUM(D134:AA134))</f>
        <v>56201.459999999985</v>
      </c>
      <c r="AC134" s="5">
        <v>21</v>
      </c>
      <c r="AD134" s="51">
        <f>(AB134*AC134)+(AB135*AC135)+(AB136*AC136)+(AB137*AC137)</f>
        <v>1320777.7199999995</v>
      </c>
      <c r="AG134" s="45"/>
      <c r="AH134" s="45"/>
      <c r="AI134" s="45"/>
      <c r="AJ134" s="45"/>
      <c r="AK134" s="45"/>
      <c r="AL134" s="45"/>
      <c r="AM134" s="45"/>
      <c r="AN134" s="45"/>
      <c r="AO134" s="45"/>
      <c r="AP134" s="45"/>
      <c r="AQ134" s="45"/>
      <c r="AR134" s="45"/>
      <c r="AS134" s="45"/>
      <c r="AT134" s="45"/>
      <c r="AU134" s="45"/>
      <c r="AV134" s="45"/>
      <c r="AW134" s="45"/>
      <c r="AX134" s="45"/>
      <c r="AY134" s="45"/>
      <c r="AZ134" s="45"/>
      <c r="BA134" s="45"/>
      <c r="BB134" s="45"/>
      <c r="BC134" s="45"/>
      <c r="BD134" s="45"/>
    </row>
    <row r="135" spans="2:56">
      <c r="B135" s="49"/>
      <c r="C135" s="1" t="s">
        <v>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940.64</v>
      </c>
      <c r="L135" s="2">
        <v>1737.22</v>
      </c>
      <c r="M135" s="2">
        <v>2020.7</v>
      </c>
      <c r="N135" s="2">
        <v>2470.0300000000002</v>
      </c>
      <c r="O135" s="2">
        <v>2525.19</v>
      </c>
      <c r="P135" s="2">
        <v>2234</v>
      </c>
      <c r="Q135" s="2">
        <v>1921.23</v>
      </c>
      <c r="R135" s="2">
        <v>1714.76</v>
      </c>
      <c r="S135" s="2">
        <v>1644.18</v>
      </c>
      <c r="T135" s="2">
        <v>1500.02</v>
      </c>
      <c r="U135" s="2">
        <v>1484.61</v>
      </c>
      <c r="V135" s="2">
        <v>1599.75</v>
      </c>
      <c r="W135" s="2">
        <v>1228.1500000000001</v>
      </c>
      <c r="X135" s="2">
        <v>652.29999999999995</v>
      </c>
      <c r="Y135" s="2">
        <v>0</v>
      </c>
      <c r="Z135" s="2">
        <v>0</v>
      </c>
      <c r="AA135" s="12">
        <v>0</v>
      </c>
      <c r="AB135" s="3">
        <f t="shared" si="2"/>
        <v>23672.780000000002</v>
      </c>
      <c r="AC135" s="3">
        <v>5</v>
      </c>
      <c r="AD135" s="52"/>
      <c r="AG135" s="45"/>
      <c r="AH135" s="45"/>
      <c r="AI135" s="45"/>
      <c r="AJ135" s="45"/>
      <c r="AK135" s="45"/>
      <c r="AL135" s="45"/>
      <c r="AM135" s="45"/>
      <c r="AN135" s="45"/>
      <c r="AO135" s="45"/>
      <c r="AP135" s="45"/>
      <c r="AQ135" s="45"/>
      <c r="AR135" s="45"/>
      <c r="AS135" s="45"/>
      <c r="AT135" s="45"/>
      <c r="AU135" s="45"/>
      <c r="AV135" s="45"/>
      <c r="AW135" s="45"/>
      <c r="AX135" s="45"/>
      <c r="AY135" s="45"/>
      <c r="AZ135" s="45"/>
      <c r="BA135" s="45"/>
      <c r="BB135" s="45"/>
      <c r="BC135" s="45"/>
      <c r="BD135" s="45"/>
    </row>
    <row r="136" spans="2:56">
      <c r="B136" s="49"/>
      <c r="C136" s="1" t="s">
        <v>7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27.86</v>
      </c>
      <c r="O136" s="2">
        <v>222.47</v>
      </c>
      <c r="P136" s="2">
        <v>424.41</v>
      </c>
      <c r="Q136" s="2">
        <v>455.48</v>
      </c>
      <c r="R136" s="2">
        <v>417.48</v>
      </c>
      <c r="S136" s="2">
        <v>485.07</v>
      </c>
      <c r="T136" s="2">
        <v>542.91999999999996</v>
      </c>
      <c r="U136" s="2">
        <v>621.66</v>
      </c>
      <c r="V136" s="2">
        <v>912.48</v>
      </c>
      <c r="W136" s="2">
        <v>890.22</v>
      </c>
      <c r="X136" s="2">
        <v>545.74</v>
      </c>
      <c r="Y136" s="2">
        <v>0</v>
      </c>
      <c r="Z136" s="2">
        <v>0</v>
      </c>
      <c r="AA136" s="12">
        <v>0</v>
      </c>
      <c r="AB136" s="3">
        <f t="shared" si="2"/>
        <v>5545.79</v>
      </c>
      <c r="AC136" s="3">
        <v>4</v>
      </c>
      <c r="AD136" s="52"/>
      <c r="AG136" s="45"/>
      <c r="AH136" s="45"/>
      <c r="AI136" s="45"/>
      <c r="AJ136" s="45"/>
      <c r="AK136" s="45"/>
      <c r="AL136" s="45"/>
      <c r="AM136" s="45"/>
      <c r="AN136" s="45"/>
      <c r="AO136" s="45"/>
      <c r="AP136" s="45"/>
      <c r="AQ136" s="45"/>
      <c r="AR136" s="45"/>
      <c r="AS136" s="45"/>
      <c r="AT136" s="45"/>
      <c r="AU136" s="45"/>
      <c r="AV136" s="45"/>
      <c r="AW136" s="45"/>
      <c r="AX136" s="45"/>
      <c r="AY136" s="45"/>
      <c r="AZ136" s="45"/>
      <c r="BA136" s="45"/>
      <c r="BB136" s="45"/>
      <c r="BC136" s="45"/>
      <c r="BD136" s="45"/>
    </row>
    <row r="137" spans="2:56" ht="15" thickBot="1">
      <c r="B137" s="50"/>
      <c r="C137" s="9" t="s">
        <v>8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3">
        <v>0</v>
      </c>
      <c r="AB137" s="6">
        <f t="shared" si="2"/>
        <v>0</v>
      </c>
      <c r="AC137" s="6">
        <v>0</v>
      </c>
      <c r="AD137" s="53"/>
      <c r="AG137" s="45"/>
      <c r="AH137" s="45"/>
      <c r="AI137" s="45"/>
      <c r="AJ137" s="45"/>
      <c r="AK137" s="45"/>
      <c r="AL137" s="45"/>
      <c r="AM137" s="45"/>
      <c r="AN137" s="45"/>
      <c r="AO137" s="45"/>
      <c r="AP137" s="45"/>
      <c r="AQ137" s="45"/>
      <c r="AR137" s="45"/>
      <c r="AS137" s="45"/>
      <c r="AT137" s="45"/>
      <c r="AU137" s="45"/>
      <c r="AV137" s="45"/>
      <c r="AW137" s="45"/>
      <c r="AX137" s="45"/>
      <c r="AY137" s="45"/>
      <c r="AZ137" s="45"/>
      <c r="BA137" s="45"/>
      <c r="BB137" s="45"/>
      <c r="BC137" s="45"/>
      <c r="BD137" s="45"/>
    </row>
    <row r="138" spans="2:56">
      <c r="B138" s="48">
        <v>47027</v>
      </c>
      <c r="C138" s="8" t="s">
        <v>5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>
        <v>794.39</v>
      </c>
      <c r="K138" s="7">
        <v>2637.37</v>
      </c>
      <c r="L138" s="7">
        <v>3696.17</v>
      </c>
      <c r="M138" s="7">
        <v>3918.52</v>
      </c>
      <c r="N138" s="7">
        <v>4592.5</v>
      </c>
      <c r="O138" s="7">
        <v>4798.71</v>
      </c>
      <c r="P138" s="7">
        <v>4405.75</v>
      </c>
      <c r="Q138" s="7">
        <v>4686.63</v>
      </c>
      <c r="R138" s="7">
        <v>5094.92</v>
      </c>
      <c r="S138" s="7">
        <v>5007.8</v>
      </c>
      <c r="T138" s="7">
        <v>4742.53</v>
      </c>
      <c r="U138" s="7">
        <v>3722.01</v>
      </c>
      <c r="V138" s="7">
        <v>3319.3</v>
      </c>
      <c r="W138" s="7">
        <v>2828.82</v>
      </c>
      <c r="X138" s="7">
        <v>1957.72</v>
      </c>
      <c r="Y138" s="7">
        <v>1025.17</v>
      </c>
      <c r="Z138" s="7">
        <v>297.25</v>
      </c>
      <c r="AA138" s="11">
        <v>0</v>
      </c>
      <c r="AB138" s="5">
        <f t="shared" si="2"/>
        <v>57525.560000000005</v>
      </c>
      <c r="AC138" s="5">
        <v>21</v>
      </c>
      <c r="AD138" s="51">
        <f>(AB138*AC138)+(AB139*AC139)+(AB140*AC140)+(AB141*AC141)</f>
        <v>1645928.7200000002</v>
      </c>
      <c r="AG138" s="45"/>
      <c r="AH138" s="45"/>
      <c r="AI138" s="45"/>
      <c r="AJ138" s="45"/>
      <c r="AK138" s="45"/>
      <c r="AL138" s="45"/>
      <c r="AM138" s="45"/>
      <c r="AN138" s="45"/>
      <c r="AO138" s="45"/>
      <c r="AP138" s="45"/>
      <c r="AQ138" s="45"/>
      <c r="AR138" s="45"/>
      <c r="AS138" s="45"/>
      <c r="AT138" s="45"/>
      <c r="AU138" s="45"/>
      <c r="AV138" s="45"/>
      <c r="AW138" s="45"/>
      <c r="AX138" s="45"/>
      <c r="AY138" s="45"/>
      <c r="AZ138" s="45"/>
      <c r="BA138" s="45"/>
      <c r="BB138" s="45"/>
      <c r="BC138" s="45"/>
      <c r="BD138" s="45"/>
    </row>
    <row r="139" spans="2:56">
      <c r="B139" s="49"/>
      <c r="C139" s="1" t="s">
        <v>6</v>
      </c>
      <c r="D139" s="2">
        <v>620.02</v>
      </c>
      <c r="E139" s="2">
        <v>294.79000000000002</v>
      </c>
      <c r="F139" s="2">
        <v>79.64</v>
      </c>
      <c r="G139" s="2">
        <v>17.54</v>
      </c>
      <c r="H139" s="2">
        <v>0</v>
      </c>
      <c r="I139" s="2">
        <v>118.58</v>
      </c>
      <c r="J139" s="2">
        <v>1298.74</v>
      </c>
      <c r="K139" s="2">
        <v>2806.06</v>
      </c>
      <c r="L139" s="2">
        <v>3771.92</v>
      </c>
      <c r="M139" s="2">
        <v>4115.6499999999996</v>
      </c>
      <c r="N139" s="2">
        <v>4660.46</v>
      </c>
      <c r="O139" s="2">
        <v>4727.3500000000004</v>
      </c>
      <c r="P139" s="2">
        <v>4374.28</v>
      </c>
      <c r="Q139" s="2">
        <v>3995.04</v>
      </c>
      <c r="R139" s="2">
        <v>3744.69</v>
      </c>
      <c r="S139" s="2">
        <v>3659.11</v>
      </c>
      <c r="T139" s="2">
        <v>3484.32</v>
      </c>
      <c r="U139" s="2">
        <v>3461.3</v>
      </c>
      <c r="V139" s="2">
        <v>3600.92</v>
      </c>
      <c r="W139" s="2">
        <v>3150.35</v>
      </c>
      <c r="X139" s="2">
        <v>2452.12</v>
      </c>
      <c r="Y139" s="2">
        <v>1381.3</v>
      </c>
      <c r="Z139" s="2">
        <v>786.06</v>
      </c>
      <c r="AA139" s="12">
        <v>366.66</v>
      </c>
      <c r="AB139" s="3">
        <f t="shared" si="2"/>
        <v>56966.900000000009</v>
      </c>
      <c r="AC139" s="3">
        <v>4</v>
      </c>
      <c r="AD139" s="52"/>
      <c r="AG139" s="45"/>
      <c r="AH139" s="45"/>
      <c r="AI139" s="45"/>
      <c r="AJ139" s="45"/>
      <c r="AK139" s="45"/>
      <c r="AL139" s="45"/>
      <c r="AM139" s="45"/>
      <c r="AN139" s="45"/>
      <c r="AO139" s="45"/>
      <c r="AP139" s="45"/>
      <c r="AQ139" s="45"/>
      <c r="AR139" s="45"/>
      <c r="AS139" s="45"/>
      <c r="AT139" s="45"/>
      <c r="AU139" s="45"/>
      <c r="AV139" s="45"/>
      <c r="AW139" s="45"/>
      <c r="AX139" s="45"/>
      <c r="AY139" s="45"/>
      <c r="AZ139" s="45"/>
      <c r="BA139" s="45"/>
      <c r="BB139" s="45"/>
      <c r="BC139" s="45"/>
      <c r="BD139" s="45"/>
    </row>
    <row r="140" spans="2:56">
      <c r="B140" s="49"/>
      <c r="C140" s="1" t="s">
        <v>7</v>
      </c>
      <c r="D140" s="2">
        <v>301.26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379.89</v>
      </c>
      <c r="L140" s="2">
        <v>849.51</v>
      </c>
      <c r="M140" s="2">
        <v>1130.8</v>
      </c>
      <c r="N140" s="2">
        <v>1699.3</v>
      </c>
      <c r="O140" s="2">
        <v>1935.28</v>
      </c>
      <c r="P140" s="2">
        <v>2180.13</v>
      </c>
      <c r="Q140" s="2">
        <v>2217.8000000000002</v>
      </c>
      <c r="R140" s="2">
        <v>2171.73</v>
      </c>
      <c r="S140" s="2">
        <v>2253.6799999999998</v>
      </c>
      <c r="T140" s="2">
        <v>2323.8200000000002</v>
      </c>
      <c r="U140" s="2">
        <v>2414.98</v>
      </c>
      <c r="V140" s="2">
        <v>2767.59</v>
      </c>
      <c r="W140" s="2">
        <v>2740.6</v>
      </c>
      <c r="X140" s="2">
        <v>2322.91</v>
      </c>
      <c r="Y140" s="2">
        <v>1382.96</v>
      </c>
      <c r="Z140" s="2">
        <v>889.31</v>
      </c>
      <c r="AA140" s="12">
        <v>538.21</v>
      </c>
      <c r="AB140" s="3">
        <f t="shared" si="2"/>
        <v>30499.759999999998</v>
      </c>
      <c r="AC140" s="3">
        <v>5</v>
      </c>
      <c r="AD140" s="52"/>
      <c r="AG140" s="45"/>
      <c r="AH140" s="45"/>
      <c r="AI140" s="45"/>
      <c r="AJ140" s="45"/>
      <c r="AK140" s="45"/>
      <c r="AL140" s="45"/>
      <c r="AM140" s="45"/>
      <c r="AN140" s="45"/>
      <c r="AO140" s="45"/>
      <c r="AP140" s="45"/>
      <c r="AQ140" s="45"/>
      <c r="AR140" s="45"/>
      <c r="AS140" s="45"/>
      <c r="AT140" s="45"/>
      <c r="AU140" s="45"/>
      <c r="AV140" s="45"/>
      <c r="AW140" s="45"/>
      <c r="AX140" s="45"/>
      <c r="AY140" s="45"/>
      <c r="AZ140" s="45"/>
      <c r="BA140" s="45"/>
      <c r="BB140" s="45"/>
      <c r="BC140" s="45"/>
      <c r="BD140" s="45"/>
    </row>
    <row r="141" spans="2:56" ht="15" thickBot="1">
      <c r="B141" s="50"/>
      <c r="C141" s="9" t="s">
        <v>8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794.39</v>
      </c>
      <c r="K141" s="10">
        <v>2637.37</v>
      </c>
      <c r="L141" s="10">
        <v>3696.17</v>
      </c>
      <c r="M141" s="10">
        <v>3918.52</v>
      </c>
      <c r="N141" s="10">
        <v>4592.5</v>
      </c>
      <c r="O141" s="10">
        <v>4798.71</v>
      </c>
      <c r="P141" s="10">
        <v>4405.75</v>
      </c>
      <c r="Q141" s="10">
        <v>4686.63</v>
      </c>
      <c r="R141" s="10">
        <v>5094.92</v>
      </c>
      <c r="S141" s="10">
        <v>5007.8</v>
      </c>
      <c r="T141" s="10">
        <v>4742.53</v>
      </c>
      <c r="U141" s="10">
        <v>3722.01</v>
      </c>
      <c r="V141" s="10">
        <v>3319.3</v>
      </c>
      <c r="W141" s="10">
        <v>2828.82</v>
      </c>
      <c r="X141" s="10">
        <v>1957.72</v>
      </c>
      <c r="Y141" s="10">
        <v>1025.17</v>
      </c>
      <c r="Z141" s="10">
        <v>297.25</v>
      </c>
      <c r="AA141" s="13">
        <v>0</v>
      </c>
      <c r="AB141" s="6">
        <f t="shared" si="2"/>
        <v>57525.560000000005</v>
      </c>
      <c r="AC141" s="6">
        <v>1</v>
      </c>
      <c r="AD141" s="53"/>
      <c r="AG141" s="45"/>
      <c r="AH141" s="45"/>
      <c r="AI141" s="45"/>
      <c r="AJ141" s="45"/>
      <c r="AK141" s="45"/>
      <c r="AL141" s="45"/>
      <c r="AM141" s="45"/>
      <c r="AN141" s="45"/>
      <c r="AO141" s="45"/>
      <c r="AP141" s="45"/>
      <c r="AQ141" s="45"/>
      <c r="AR141" s="45"/>
      <c r="AS141" s="45"/>
      <c r="AT141" s="45"/>
      <c r="AU141" s="45"/>
      <c r="AV141" s="45"/>
      <c r="AW141" s="45"/>
      <c r="AX141" s="45"/>
      <c r="AY141" s="45"/>
      <c r="AZ141" s="45"/>
      <c r="BA141" s="45"/>
      <c r="BB141" s="45"/>
      <c r="BC141" s="45"/>
      <c r="BD141" s="45"/>
    </row>
    <row r="142" spans="2:56">
      <c r="B142" s="48">
        <v>47058</v>
      </c>
      <c r="C142" s="8" t="s">
        <v>5</v>
      </c>
      <c r="D142" s="7">
        <v>916.97</v>
      </c>
      <c r="E142" s="7">
        <v>643.08000000000004</v>
      </c>
      <c r="F142" s="7">
        <v>459.14</v>
      </c>
      <c r="G142" s="7">
        <v>347.85</v>
      </c>
      <c r="H142" s="7">
        <v>403.09</v>
      </c>
      <c r="I142" s="7">
        <v>1062.03</v>
      </c>
      <c r="J142" s="7">
        <v>2779.41</v>
      </c>
      <c r="K142" s="7">
        <v>5053.1400000000003</v>
      </c>
      <c r="L142" s="7">
        <v>6356.69</v>
      </c>
      <c r="M142" s="7">
        <v>6630.44</v>
      </c>
      <c r="N142" s="7">
        <v>7460.22</v>
      </c>
      <c r="O142" s="7">
        <v>7714.1</v>
      </c>
      <c r="P142" s="7">
        <v>7230.3</v>
      </c>
      <c r="Q142" s="7">
        <v>7576.11</v>
      </c>
      <c r="R142" s="7">
        <v>8078.79</v>
      </c>
      <c r="S142" s="7">
        <v>7971.52</v>
      </c>
      <c r="T142" s="7">
        <v>7644.93</v>
      </c>
      <c r="U142" s="7">
        <v>6383.8</v>
      </c>
      <c r="V142" s="7">
        <v>5887.99</v>
      </c>
      <c r="W142" s="7">
        <v>5284.13</v>
      </c>
      <c r="X142" s="7">
        <v>4211.67</v>
      </c>
      <c r="Y142" s="7">
        <v>3063.53</v>
      </c>
      <c r="Z142" s="7">
        <v>2167.34</v>
      </c>
      <c r="AA142" s="11">
        <v>1617.4</v>
      </c>
      <c r="AB142" s="5">
        <f t="shared" si="2"/>
        <v>106943.67</v>
      </c>
      <c r="AC142" s="5">
        <v>20</v>
      </c>
      <c r="AD142" s="51">
        <f>(AB142*AC142)+(AB143*AC143)+(AB144*AC144)+(AB145*AC145)</f>
        <v>2280352.38</v>
      </c>
      <c r="AG142" s="45"/>
      <c r="AH142" s="45"/>
      <c r="AI142" s="45"/>
      <c r="AJ142" s="45"/>
      <c r="AK142" s="45"/>
      <c r="AL142" s="45"/>
      <c r="AM142" s="45"/>
      <c r="AN142" s="45"/>
      <c r="AO142" s="45"/>
      <c r="AP142" s="45"/>
      <c r="AQ142" s="45"/>
      <c r="AR142" s="45"/>
      <c r="AS142" s="45"/>
      <c r="AT142" s="45"/>
      <c r="AU142" s="45"/>
      <c r="AV142" s="45"/>
      <c r="AW142" s="45"/>
      <c r="AX142" s="45"/>
      <c r="AY142" s="45"/>
      <c r="AZ142" s="45"/>
      <c r="BA142" s="45"/>
      <c r="BB142" s="45"/>
      <c r="BC142" s="45"/>
      <c r="BD142" s="45"/>
    </row>
    <row r="143" spans="2:56">
      <c r="B143" s="49"/>
      <c r="C143" s="1" t="s">
        <v>6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678.21</v>
      </c>
      <c r="L143" s="2">
        <v>1456.55</v>
      </c>
      <c r="M143" s="2">
        <v>1733.55</v>
      </c>
      <c r="N143" s="2">
        <v>2172.59</v>
      </c>
      <c r="O143" s="2">
        <v>2226.4899999999998</v>
      </c>
      <c r="P143" s="2">
        <v>1941.97</v>
      </c>
      <c r="Q143" s="2">
        <v>1636.35</v>
      </c>
      <c r="R143" s="2">
        <v>1434.61</v>
      </c>
      <c r="S143" s="2">
        <v>1365.65</v>
      </c>
      <c r="T143" s="2">
        <v>1224.79</v>
      </c>
      <c r="U143" s="2">
        <v>1210.19</v>
      </c>
      <c r="V143" s="2">
        <v>1322.71</v>
      </c>
      <c r="W143" s="2">
        <v>959.61</v>
      </c>
      <c r="X143" s="2">
        <v>396.94</v>
      </c>
      <c r="Y143" s="2">
        <v>0</v>
      </c>
      <c r="Z143" s="2">
        <v>0</v>
      </c>
      <c r="AA143" s="12">
        <v>0</v>
      </c>
      <c r="AB143" s="3">
        <f t="shared" si="2"/>
        <v>19760.209999999995</v>
      </c>
      <c r="AC143" s="3">
        <v>4</v>
      </c>
      <c r="AD143" s="52"/>
      <c r="AG143" s="45"/>
      <c r="AH143" s="45"/>
      <c r="AI143" s="45"/>
      <c r="AJ143" s="45"/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  <c r="AU143" s="45"/>
      <c r="AV143" s="45"/>
      <c r="AW143" s="45"/>
      <c r="AX143" s="45"/>
      <c r="AY143" s="45"/>
      <c r="AZ143" s="45"/>
      <c r="BA143" s="45"/>
      <c r="BB143" s="45"/>
      <c r="BC143" s="45"/>
      <c r="BD143" s="45"/>
    </row>
    <row r="144" spans="2:56">
      <c r="B144" s="49"/>
      <c r="C144" s="1" t="s">
        <v>7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173.8</v>
      </c>
      <c r="Q144" s="2">
        <v>204.16</v>
      </c>
      <c r="R144" s="2">
        <v>167.03</v>
      </c>
      <c r="S144" s="2">
        <v>233.07</v>
      </c>
      <c r="T144" s="2">
        <v>289.58999999999997</v>
      </c>
      <c r="U144" s="2">
        <v>367.01</v>
      </c>
      <c r="V144" s="2">
        <v>651.16</v>
      </c>
      <c r="W144" s="2">
        <v>629.41999999999996</v>
      </c>
      <c r="X144" s="2">
        <v>292.82</v>
      </c>
      <c r="Y144" s="2">
        <v>0</v>
      </c>
      <c r="Z144" s="2">
        <v>0</v>
      </c>
      <c r="AA144" s="12">
        <v>0</v>
      </c>
      <c r="AB144" s="3">
        <f t="shared" si="2"/>
        <v>3008.06</v>
      </c>
      <c r="AC144" s="3">
        <v>4</v>
      </c>
      <c r="AD144" s="52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/>
      <c r="AV144" s="45"/>
      <c r="AW144" s="45"/>
      <c r="AX144" s="45"/>
      <c r="AY144" s="45"/>
      <c r="AZ144" s="45"/>
      <c r="BA144" s="45"/>
      <c r="BB144" s="45"/>
      <c r="BC144" s="45"/>
      <c r="BD144" s="45"/>
    </row>
    <row r="145" spans="2:56" ht="15" thickBot="1">
      <c r="B145" s="50"/>
      <c r="C145" s="9" t="s">
        <v>8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23.1</v>
      </c>
      <c r="L145" s="10">
        <v>560.58000000000004</v>
      </c>
      <c r="M145" s="10">
        <v>854.37</v>
      </c>
      <c r="N145" s="10">
        <v>1474.47</v>
      </c>
      <c r="O145" s="10">
        <v>1703.86</v>
      </c>
      <c r="P145" s="10">
        <v>1921.33</v>
      </c>
      <c r="Q145" s="10">
        <v>1938.92</v>
      </c>
      <c r="R145" s="10">
        <v>2011.01</v>
      </c>
      <c r="S145" s="10">
        <v>2063.96</v>
      </c>
      <c r="T145" s="10">
        <v>2064.4299999999998</v>
      </c>
      <c r="U145" s="10">
        <v>2233.77</v>
      </c>
      <c r="V145" s="10">
        <v>2607.96</v>
      </c>
      <c r="W145" s="10">
        <v>2410.86</v>
      </c>
      <c r="X145" s="10">
        <v>1970.13</v>
      </c>
      <c r="Y145" s="10">
        <v>947.5</v>
      </c>
      <c r="Z145" s="10">
        <v>376.38</v>
      </c>
      <c r="AA145" s="13">
        <v>40.32</v>
      </c>
      <c r="AB145" s="6">
        <f t="shared" si="2"/>
        <v>25202.950000000004</v>
      </c>
      <c r="AC145" s="6">
        <v>2</v>
      </c>
      <c r="AD145" s="53"/>
      <c r="AG145" s="45"/>
      <c r="AH145" s="45"/>
      <c r="AI145" s="45"/>
      <c r="AJ145" s="45"/>
      <c r="AK145" s="45"/>
      <c r="AL145" s="45"/>
      <c r="AM145" s="45"/>
      <c r="AN145" s="45"/>
      <c r="AO145" s="45"/>
      <c r="AP145" s="45"/>
      <c r="AQ145" s="45"/>
      <c r="AR145" s="45"/>
      <c r="AS145" s="45"/>
      <c r="AT145" s="45"/>
      <c r="AU145" s="45"/>
      <c r="AV145" s="45"/>
      <c r="AW145" s="45"/>
      <c r="AX145" s="45"/>
      <c r="AY145" s="45"/>
      <c r="AZ145" s="45"/>
      <c r="BA145" s="45"/>
      <c r="BB145" s="45"/>
      <c r="BC145" s="45"/>
      <c r="BD145" s="45"/>
    </row>
    <row r="146" spans="2:56">
      <c r="B146" s="48">
        <v>47088</v>
      </c>
      <c r="C146" s="8" t="s">
        <v>5</v>
      </c>
      <c r="D146" s="7">
        <v>0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921.09</v>
      </c>
      <c r="K146" s="7">
        <v>2807.7</v>
      </c>
      <c r="L146" s="7">
        <v>3891.28</v>
      </c>
      <c r="M146" s="7">
        <v>4118.84</v>
      </c>
      <c r="N146" s="7">
        <v>4808.6000000000004</v>
      </c>
      <c r="O146" s="7">
        <v>5019.6400000000003</v>
      </c>
      <c r="P146" s="7">
        <v>4617.4799999999996</v>
      </c>
      <c r="Q146" s="7">
        <v>4904.93</v>
      </c>
      <c r="R146" s="7">
        <v>5322.79</v>
      </c>
      <c r="S146" s="7">
        <v>5233.63</v>
      </c>
      <c r="T146" s="7">
        <v>4962.1400000000003</v>
      </c>
      <c r="U146" s="7">
        <v>3917.26</v>
      </c>
      <c r="V146" s="7">
        <v>3505.12</v>
      </c>
      <c r="W146" s="7">
        <v>3003.15</v>
      </c>
      <c r="X146" s="7">
        <v>2111.66</v>
      </c>
      <c r="Y146" s="7">
        <v>1157.27</v>
      </c>
      <c r="Z146" s="7">
        <v>412.31</v>
      </c>
      <c r="AA146" s="11">
        <v>0</v>
      </c>
      <c r="AB146" s="5">
        <f t="shared" si="2"/>
        <v>60714.889999999992</v>
      </c>
      <c r="AC146" s="5">
        <v>19</v>
      </c>
      <c r="AD146" s="51">
        <f>(AB146*AC146)+(AB147*AC147)+(AB148*AC148)+(AB149*AC149)</f>
        <v>1570253.5899999999</v>
      </c>
      <c r="AG146" s="45"/>
      <c r="AH146" s="45"/>
      <c r="AI146" s="45"/>
      <c r="AJ146" s="45"/>
      <c r="AK146" s="45"/>
      <c r="AL146" s="45"/>
      <c r="AM146" s="45"/>
      <c r="AN146" s="45"/>
      <c r="AO146" s="45"/>
      <c r="AP146" s="45"/>
      <c r="AQ146" s="45"/>
      <c r="AR146" s="45"/>
      <c r="AS146" s="45"/>
      <c r="AT146" s="45"/>
      <c r="AU146" s="45"/>
      <c r="AV146" s="45"/>
      <c r="AW146" s="45"/>
      <c r="AX146" s="45"/>
      <c r="AY146" s="45"/>
      <c r="AZ146" s="45"/>
      <c r="BA146" s="45"/>
      <c r="BB146" s="45"/>
      <c r="BC146" s="45"/>
      <c r="BD146" s="45"/>
    </row>
    <row r="147" spans="2:56">
      <c r="B147" s="49"/>
      <c r="C147" s="1" t="s">
        <v>6</v>
      </c>
      <c r="D147" s="2">
        <v>344.05</v>
      </c>
      <c r="E147" s="2">
        <v>26.33</v>
      </c>
      <c r="F147" s="2">
        <v>0</v>
      </c>
      <c r="G147" s="2">
        <v>0</v>
      </c>
      <c r="H147" s="2">
        <v>0</v>
      </c>
      <c r="I147" s="2">
        <v>0</v>
      </c>
      <c r="J147" s="2">
        <v>1007.09</v>
      </c>
      <c r="K147" s="2">
        <v>2479.12</v>
      </c>
      <c r="L147" s="2">
        <v>3422.66</v>
      </c>
      <c r="M147" s="2">
        <v>3758.44</v>
      </c>
      <c r="N147" s="2">
        <v>4290.67</v>
      </c>
      <c r="O147" s="2">
        <v>4356.01</v>
      </c>
      <c r="P147" s="2">
        <v>4011.1</v>
      </c>
      <c r="Q147" s="2">
        <v>3640.62</v>
      </c>
      <c r="R147" s="2">
        <v>3396.06</v>
      </c>
      <c r="S147" s="2">
        <v>3312.46</v>
      </c>
      <c r="T147" s="2">
        <v>3141.7</v>
      </c>
      <c r="U147" s="2">
        <v>3119.68</v>
      </c>
      <c r="V147" s="2">
        <v>3256.08</v>
      </c>
      <c r="W147" s="2">
        <v>2815.92</v>
      </c>
      <c r="X147" s="2">
        <v>2133.8200000000002</v>
      </c>
      <c r="Y147" s="2">
        <v>1087.74</v>
      </c>
      <c r="Z147" s="2">
        <v>506.25</v>
      </c>
      <c r="AA147" s="12">
        <v>96.54</v>
      </c>
      <c r="AB147" s="3">
        <f t="shared" si="2"/>
        <v>50202.34</v>
      </c>
      <c r="AC147" s="3">
        <v>5</v>
      </c>
      <c r="AD147" s="52"/>
      <c r="AG147" s="45"/>
      <c r="AH147" s="45"/>
      <c r="AI147" s="45"/>
      <c r="AJ147" s="45"/>
      <c r="AK147" s="45"/>
      <c r="AL147" s="45"/>
      <c r="AM147" s="45"/>
      <c r="AN147" s="45"/>
      <c r="AO147" s="45"/>
      <c r="AP147" s="45"/>
      <c r="AQ147" s="45"/>
      <c r="AR147" s="45"/>
      <c r="AS147" s="45"/>
      <c r="AT147" s="45"/>
      <c r="AU147" s="45"/>
      <c r="AV147" s="45"/>
      <c r="AW147" s="45"/>
      <c r="AX147" s="45"/>
      <c r="AY147" s="45"/>
      <c r="AZ147" s="45"/>
      <c r="BA147" s="45"/>
      <c r="BB147" s="45"/>
      <c r="BC147" s="45"/>
      <c r="BD147" s="45"/>
    </row>
    <row r="148" spans="2:56">
      <c r="B148" s="49"/>
      <c r="C148" s="1" t="s">
        <v>7</v>
      </c>
      <c r="D148" s="2">
        <v>32.65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109</v>
      </c>
      <c r="L148" s="2">
        <v>567.77</v>
      </c>
      <c r="M148" s="2">
        <v>842.56</v>
      </c>
      <c r="N148" s="2">
        <v>1397.93</v>
      </c>
      <c r="O148" s="2">
        <v>1628.45</v>
      </c>
      <c r="P148" s="2">
        <v>1867.65</v>
      </c>
      <c r="Q148" s="2">
        <v>1904.45</v>
      </c>
      <c r="R148" s="2">
        <v>1859.44</v>
      </c>
      <c r="S148" s="2">
        <v>1939.49</v>
      </c>
      <c r="T148" s="2">
        <v>2008.01</v>
      </c>
      <c r="U148" s="2">
        <v>2097.5300000000002</v>
      </c>
      <c r="V148" s="2">
        <v>2442</v>
      </c>
      <c r="W148" s="2">
        <v>2415.64</v>
      </c>
      <c r="X148" s="2">
        <v>2007.6</v>
      </c>
      <c r="Y148" s="2">
        <v>1089.3599999999999</v>
      </c>
      <c r="Z148" s="2">
        <v>607.12</v>
      </c>
      <c r="AA148" s="12">
        <v>264.13</v>
      </c>
      <c r="AB148" s="3">
        <f t="shared" si="2"/>
        <v>25080.78</v>
      </c>
      <c r="AC148" s="3">
        <v>5</v>
      </c>
      <c r="AD148" s="52"/>
      <c r="AG148" s="45"/>
      <c r="AH148" s="45"/>
      <c r="AI148" s="45"/>
      <c r="AJ148" s="45"/>
      <c r="AK148" s="45"/>
      <c r="AL148" s="45"/>
      <c r="AM148" s="45"/>
      <c r="AN148" s="45"/>
      <c r="AO148" s="45"/>
      <c r="AP148" s="45"/>
      <c r="AQ148" s="45"/>
      <c r="AR148" s="45"/>
      <c r="AS148" s="45"/>
      <c r="AT148" s="45"/>
      <c r="AU148" s="45"/>
      <c r="AV148" s="45"/>
      <c r="AW148" s="45"/>
      <c r="AX148" s="45"/>
      <c r="AY148" s="45"/>
      <c r="AZ148" s="45"/>
      <c r="BA148" s="45"/>
      <c r="BB148" s="45"/>
      <c r="BC148" s="45"/>
      <c r="BD148" s="45"/>
    </row>
    <row r="149" spans="2:56" ht="15" thickBot="1">
      <c r="B149" s="50"/>
      <c r="C149" s="9" t="s">
        <v>8</v>
      </c>
      <c r="D149" s="10">
        <v>0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259.89</v>
      </c>
      <c r="M149" s="10">
        <v>544.80999999999995</v>
      </c>
      <c r="N149" s="10">
        <v>1146.17</v>
      </c>
      <c r="O149" s="10">
        <v>1368.64</v>
      </c>
      <c r="P149" s="10">
        <v>1579.54</v>
      </c>
      <c r="Q149" s="10">
        <v>1596.6</v>
      </c>
      <c r="R149" s="10">
        <v>1666.51</v>
      </c>
      <c r="S149" s="10">
        <v>1717.87</v>
      </c>
      <c r="T149" s="10">
        <v>1718.32</v>
      </c>
      <c r="U149" s="10">
        <v>1883.16</v>
      </c>
      <c r="V149" s="10">
        <v>2246.0500000000002</v>
      </c>
      <c r="W149" s="10">
        <v>2054.9</v>
      </c>
      <c r="X149" s="10">
        <v>1627.48</v>
      </c>
      <c r="Y149" s="10">
        <v>635.74</v>
      </c>
      <c r="Z149" s="10">
        <v>81.86</v>
      </c>
      <c r="AA149" s="13">
        <v>0</v>
      </c>
      <c r="AB149" s="6">
        <f t="shared" si="2"/>
        <v>20127.54</v>
      </c>
      <c r="AC149" s="6">
        <v>2</v>
      </c>
      <c r="AD149" s="53"/>
      <c r="AG149" s="45"/>
      <c r="AH149" s="45"/>
      <c r="AI149" s="45"/>
      <c r="AJ149" s="45"/>
      <c r="AK149" s="45"/>
      <c r="AL149" s="45"/>
      <c r="AM149" s="45"/>
      <c r="AN149" s="45"/>
      <c r="AO149" s="45"/>
      <c r="AP149" s="45"/>
      <c r="AQ149" s="45"/>
      <c r="AR149" s="45"/>
      <c r="AS149" s="45"/>
      <c r="AT149" s="45"/>
      <c r="AU149" s="45"/>
      <c r="AV149" s="45"/>
      <c r="AW149" s="45"/>
      <c r="AX149" s="45"/>
      <c r="AY149" s="45"/>
      <c r="AZ149" s="45"/>
      <c r="BA149" s="45"/>
      <c r="BB149" s="45"/>
      <c r="BC149" s="45"/>
      <c r="BD149" s="45"/>
    </row>
    <row r="150" spans="2:56">
      <c r="B150" s="48">
        <v>47119</v>
      </c>
      <c r="C150" s="8" t="s">
        <v>5</v>
      </c>
      <c r="D150" s="7">
        <v>45.79</v>
      </c>
      <c r="E150" s="7">
        <v>0</v>
      </c>
      <c r="F150" s="7">
        <v>0</v>
      </c>
      <c r="G150" s="7">
        <v>0</v>
      </c>
      <c r="H150" s="7">
        <v>0</v>
      </c>
      <c r="I150" s="7">
        <v>154.80000000000001</v>
      </c>
      <c r="J150" s="7">
        <v>1445.25</v>
      </c>
      <c r="K150" s="7">
        <v>3148.7</v>
      </c>
      <c r="L150" s="7">
        <v>4128.2</v>
      </c>
      <c r="M150" s="7">
        <v>4333.8999999999996</v>
      </c>
      <c r="N150" s="7">
        <v>4957.42</v>
      </c>
      <c r="O150" s="7">
        <v>5148.1899999999996</v>
      </c>
      <c r="P150" s="7">
        <v>4784.6499999999996</v>
      </c>
      <c r="Q150" s="7">
        <v>5044.5</v>
      </c>
      <c r="R150" s="7">
        <v>5422.21</v>
      </c>
      <c r="S150" s="7">
        <v>5341.62</v>
      </c>
      <c r="T150" s="7">
        <v>5096.21</v>
      </c>
      <c r="U150" s="7">
        <v>4153.6400000000003</v>
      </c>
      <c r="V150" s="7">
        <v>3781.09</v>
      </c>
      <c r="W150" s="7">
        <v>3327.33</v>
      </c>
      <c r="X150" s="7">
        <v>2521.4699999999998</v>
      </c>
      <c r="Y150" s="7">
        <v>1658.75</v>
      </c>
      <c r="Z150" s="7">
        <v>985.34</v>
      </c>
      <c r="AA150" s="11">
        <v>572.1</v>
      </c>
      <c r="AB150" s="5">
        <f t="shared" si="2"/>
        <v>66051.16</v>
      </c>
      <c r="AC150" s="5">
        <v>21</v>
      </c>
      <c r="AD150" s="51">
        <f>(AB150*AC150)+(AB151*AC151)+(AB152*AC152)+(AB153*AC153)</f>
        <v>1817539.76</v>
      </c>
      <c r="AE150" s="44"/>
      <c r="AG150" s="45"/>
      <c r="AH150" s="45"/>
      <c r="AI150" s="45"/>
      <c r="AJ150" s="45"/>
      <c r="AK150" s="45"/>
      <c r="AL150" s="45"/>
      <c r="AM150" s="45"/>
      <c r="AN150" s="45"/>
      <c r="AO150" s="45"/>
      <c r="AP150" s="45"/>
      <c r="AQ150" s="45"/>
      <c r="AR150" s="45"/>
      <c r="AS150" s="45"/>
      <c r="AT150" s="45"/>
      <c r="AU150" s="45"/>
      <c r="AV150" s="45"/>
      <c r="AW150" s="45"/>
      <c r="AX150" s="45"/>
      <c r="AY150" s="45"/>
      <c r="AZ150" s="45"/>
      <c r="BA150" s="45"/>
      <c r="BB150" s="45"/>
      <c r="BC150" s="45"/>
      <c r="BD150" s="45"/>
    </row>
    <row r="151" spans="2:56">
      <c r="B151" s="49"/>
      <c r="C151" s="1" t="s">
        <v>6</v>
      </c>
      <c r="D151" s="2">
        <v>923.64</v>
      </c>
      <c r="E151" s="2">
        <v>636.44000000000005</v>
      </c>
      <c r="F151" s="2">
        <v>446.45</v>
      </c>
      <c r="G151" s="2">
        <v>391.6</v>
      </c>
      <c r="H151" s="2">
        <v>325.83999999999997</v>
      </c>
      <c r="I151" s="2">
        <v>480.83</v>
      </c>
      <c r="J151" s="2">
        <v>1522.99</v>
      </c>
      <c r="K151" s="2">
        <v>2851.67</v>
      </c>
      <c r="L151" s="2">
        <v>3704.59</v>
      </c>
      <c r="M151" s="2">
        <v>4008.12</v>
      </c>
      <c r="N151" s="2">
        <v>4489.2299999999996</v>
      </c>
      <c r="O151" s="2">
        <v>4548.29</v>
      </c>
      <c r="P151" s="2">
        <v>4236.51</v>
      </c>
      <c r="Q151" s="2">
        <v>3901.62</v>
      </c>
      <c r="R151" s="2">
        <v>3680.54</v>
      </c>
      <c r="S151" s="2">
        <v>3604.97</v>
      </c>
      <c r="T151" s="2">
        <v>3450.62</v>
      </c>
      <c r="U151" s="2">
        <v>3432.67</v>
      </c>
      <c r="V151" s="2">
        <v>3555.97</v>
      </c>
      <c r="W151" s="2">
        <v>3158.08</v>
      </c>
      <c r="X151" s="2">
        <v>2541.5</v>
      </c>
      <c r="Y151" s="2">
        <v>1595.9</v>
      </c>
      <c r="Z151" s="2">
        <v>1070.26</v>
      </c>
      <c r="AA151" s="12">
        <v>699.9</v>
      </c>
      <c r="AB151" s="3">
        <f t="shared" si="2"/>
        <v>59258.23</v>
      </c>
      <c r="AC151" s="3">
        <v>4</v>
      </c>
      <c r="AD151" s="52"/>
      <c r="AE151" s="44"/>
      <c r="AG151" s="45"/>
      <c r="AH151" s="45"/>
      <c r="AI151" s="45"/>
      <c r="AJ151" s="45"/>
      <c r="AK151" s="45"/>
      <c r="AL151" s="45"/>
      <c r="AM151" s="45"/>
      <c r="AN151" s="45"/>
      <c r="AO151" s="45"/>
      <c r="AP151" s="45"/>
      <c r="AQ151" s="45"/>
      <c r="AR151" s="45"/>
      <c r="AS151" s="45"/>
      <c r="AT151" s="45"/>
      <c r="AU151" s="45"/>
      <c r="AV151" s="45"/>
      <c r="AW151" s="45"/>
      <c r="AX151" s="45"/>
      <c r="AY151" s="45"/>
      <c r="AZ151" s="45"/>
      <c r="BA151" s="45"/>
      <c r="BB151" s="45"/>
      <c r="BC151" s="45"/>
      <c r="BD151" s="45"/>
    </row>
    <row r="152" spans="2:56">
      <c r="B152" s="49"/>
      <c r="C152" s="1" t="s">
        <v>7</v>
      </c>
      <c r="D152" s="2">
        <v>642.15</v>
      </c>
      <c r="E152" s="2">
        <v>300.20999999999998</v>
      </c>
      <c r="F152" s="2">
        <v>113.65</v>
      </c>
      <c r="G152" s="2">
        <v>0</v>
      </c>
      <c r="H152" s="2">
        <v>0</v>
      </c>
      <c r="I152" s="2">
        <v>0</v>
      </c>
      <c r="J152" s="2">
        <v>198.36</v>
      </c>
      <c r="K152" s="2">
        <v>709.2</v>
      </c>
      <c r="L152" s="2">
        <v>1123.9100000000001</v>
      </c>
      <c r="M152" s="2">
        <v>1372.31</v>
      </c>
      <c r="N152" s="2">
        <v>1874.33</v>
      </c>
      <c r="O152" s="2">
        <v>2082.71</v>
      </c>
      <c r="P152" s="2">
        <v>2298.94</v>
      </c>
      <c r="Q152" s="2">
        <v>2332.1999999999998</v>
      </c>
      <c r="R152" s="2">
        <v>2291.52</v>
      </c>
      <c r="S152" s="2">
        <v>2363.88</v>
      </c>
      <c r="T152" s="2">
        <v>2425.8200000000002</v>
      </c>
      <c r="U152" s="2">
        <v>2508.6999999999998</v>
      </c>
      <c r="V152" s="2">
        <v>2820.08</v>
      </c>
      <c r="W152" s="2">
        <v>2796.25</v>
      </c>
      <c r="X152" s="2">
        <v>2427.4</v>
      </c>
      <c r="Y152" s="2">
        <v>1597.36</v>
      </c>
      <c r="Z152" s="2">
        <v>1161.44</v>
      </c>
      <c r="AA152" s="12">
        <v>851.4</v>
      </c>
      <c r="AB152" s="3">
        <f t="shared" si="2"/>
        <v>34291.820000000007</v>
      </c>
      <c r="AC152" s="3">
        <v>4</v>
      </c>
      <c r="AD152" s="52"/>
      <c r="AE152" s="44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5"/>
      <c r="AW152" s="45"/>
      <c r="AX152" s="45"/>
      <c r="AY152" s="45"/>
      <c r="AZ152" s="45"/>
      <c r="BA152" s="45"/>
      <c r="BB152" s="45"/>
      <c r="BC152" s="45"/>
      <c r="BD152" s="45"/>
    </row>
    <row r="153" spans="2:56" ht="15" thickBot="1">
      <c r="B153" s="50"/>
      <c r="C153" s="9" t="s">
        <v>8</v>
      </c>
      <c r="D153" s="10">
        <v>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374.42</v>
      </c>
      <c r="L153" s="10">
        <v>845.6</v>
      </c>
      <c r="M153" s="10">
        <v>1103.1500000000001</v>
      </c>
      <c r="N153" s="10">
        <v>1646.76</v>
      </c>
      <c r="O153" s="10">
        <v>1847.86</v>
      </c>
      <c r="P153" s="10">
        <v>2038.5</v>
      </c>
      <c r="Q153" s="10">
        <v>2053.92</v>
      </c>
      <c r="R153" s="10">
        <v>2117.12</v>
      </c>
      <c r="S153" s="10">
        <v>2163.54</v>
      </c>
      <c r="T153" s="10">
        <v>2163.9499999999998</v>
      </c>
      <c r="U153" s="10">
        <v>2314.91</v>
      </c>
      <c r="V153" s="10">
        <v>2642.95</v>
      </c>
      <c r="W153" s="10">
        <v>2470.16</v>
      </c>
      <c r="X153" s="10">
        <v>2083.79</v>
      </c>
      <c r="Y153" s="10">
        <v>1187.31</v>
      </c>
      <c r="Z153" s="10">
        <v>686.63</v>
      </c>
      <c r="AA153" s="13">
        <v>392.03</v>
      </c>
      <c r="AB153" s="6">
        <f t="shared" si="2"/>
        <v>28132.600000000002</v>
      </c>
      <c r="AC153" s="6">
        <v>2</v>
      </c>
      <c r="AD153" s="53"/>
      <c r="AE153" s="44"/>
      <c r="AG153" s="45"/>
      <c r="AH153" s="45"/>
      <c r="AI153" s="45"/>
      <c r="AJ153" s="45"/>
      <c r="AK153" s="45"/>
      <c r="AL153" s="45"/>
      <c r="AM153" s="45"/>
      <c r="AN153" s="45"/>
      <c r="AO153" s="45"/>
      <c r="AP153" s="45"/>
      <c r="AQ153" s="45"/>
      <c r="AR153" s="45"/>
      <c r="AS153" s="45"/>
      <c r="AT153" s="45"/>
      <c r="AU153" s="45"/>
      <c r="AV153" s="45"/>
      <c r="AW153" s="45"/>
      <c r="AX153" s="45"/>
      <c r="AY153" s="45"/>
      <c r="AZ153" s="45"/>
      <c r="BA153" s="45"/>
      <c r="BB153" s="45"/>
      <c r="BC153" s="45"/>
      <c r="BD153" s="45"/>
    </row>
    <row r="154" spans="2:56">
      <c r="B154" s="48">
        <v>47150</v>
      </c>
      <c r="C154" s="8" t="s">
        <v>5</v>
      </c>
      <c r="D154" s="7">
        <v>136.47</v>
      </c>
      <c r="E154" s="7">
        <v>0</v>
      </c>
      <c r="F154" s="7">
        <v>0</v>
      </c>
      <c r="G154" s="7">
        <v>0</v>
      </c>
      <c r="H154" s="7">
        <v>117.8</v>
      </c>
      <c r="I154" s="7">
        <v>947.62</v>
      </c>
      <c r="J154" s="7">
        <v>2564.62</v>
      </c>
      <c r="K154" s="7">
        <v>4485.96</v>
      </c>
      <c r="L154" s="7">
        <v>5135.12</v>
      </c>
      <c r="M154" s="7">
        <v>5234.6899999999996</v>
      </c>
      <c r="N154" s="7">
        <v>5561.31</v>
      </c>
      <c r="O154" s="7">
        <v>5370.99</v>
      </c>
      <c r="P154" s="7">
        <v>4872.57</v>
      </c>
      <c r="Q154" s="7">
        <v>5499.71</v>
      </c>
      <c r="R154" s="7">
        <v>5953.31</v>
      </c>
      <c r="S154" s="7">
        <v>5958.6</v>
      </c>
      <c r="T154" s="7">
        <v>5712.17</v>
      </c>
      <c r="U154" s="7">
        <v>4828.58</v>
      </c>
      <c r="V154" s="7">
        <v>4347.03</v>
      </c>
      <c r="W154" s="7">
        <v>3603.64</v>
      </c>
      <c r="X154" s="7">
        <v>2660.27</v>
      </c>
      <c r="Y154" s="7">
        <v>1897.51</v>
      </c>
      <c r="Z154" s="7">
        <v>1172.43</v>
      </c>
      <c r="AA154" s="11">
        <v>750.49</v>
      </c>
      <c r="AB154" s="5">
        <f t="shared" si="2"/>
        <v>76810.89</v>
      </c>
      <c r="AC154" s="5">
        <v>20</v>
      </c>
      <c r="AD154" s="51">
        <f>(AB154*AC154)+(AB155*AC155)+(AB156*AC156)+(AB157*AC157)</f>
        <v>1713859.48</v>
      </c>
      <c r="AE154" s="44"/>
      <c r="AG154" s="45"/>
      <c r="AH154" s="45"/>
      <c r="AI154" s="45"/>
      <c r="AJ154" s="45"/>
      <c r="AK154" s="45"/>
      <c r="AL154" s="45"/>
      <c r="AM154" s="45"/>
      <c r="AN154" s="45"/>
      <c r="AO154" s="45"/>
      <c r="AP154" s="45"/>
      <c r="AQ154" s="45"/>
      <c r="AR154" s="45"/>
      <c r="AS154" s="45"/>
      <c r="AT154" s="45"/>
      <c r="AU154" s="45"/>
      <c r="AV154" s="45"/>
      <c r="AW154" s="45"/>
      <c r="AX154" s="45"/>
      <c r="AY154" s="45"/>
      <c r="AZ154" s="45"/>
      <c r="BA154" s="45"/>
      <c r="BB154" s="45"/>
      <c r="BC154" s="45"/>
      <c r="BD154" s="45"/>
    </row>
    <row r="155" spans="2:56">
      <c r="B155" s="49"/>
      <c r="C155" s="1" t="s">
        <v>6</v>
      </c>
      <c r="D155" s="2">
        <v>344.53</v>
      </c>
      <c r="E155" s="2">
        <v>135.5</v>
      </c>
      <c r="F155" s="2">
        <v>0</v>
      </c>
      <c r="G155" s="2">
        <v>0</v>
      </c>
      <c r="H155" s="2">
        <v>0</v>
      </c>
      <c r="I155" s="2">
        <v>172.14</v>
      </c>
      <c r="J155" s="2">
        <v>1184.6300000000001</v>
      </c>
      <c r="K155" s="2">
        <v>2421.4</v>
      </c>
      <c r="L155" s="2">
        <v>2954.67</v>
      </c>
      <c r="M155" s="2">
        <v>3253.34</v>
      </c>
      <c r="N155" s="2">
        <v>3465.31</v>
      </c>
      <c r="O155" s="2">
        <v>3080.38</v>
      </c>
      <c r="P155" s="2">
        <v>2302.58</v>
      </c>
      <c r="Q155" s="2">
        <v>2016.6</v>
      </c>
      <c r="R155" s="2">
        <v>2091.6999999999998</v>
      </c>
      <c r="S155" s="2">
        <v>2182.4899999999998</v>
      </c>
      <c r="T155" s="2">
        <v>2193.1</v>
      </c>
      <c r="U155" s="2">
        <v>2214.0300000000002</v>
      </c>
      <c r="V155" s="2">
        <v>2228.71</v>
      </c>
      <c r="W155" s="2">
        <v>1975.14</v>
      </c>
      <c r="X155" s="2">
        <v>1356.46</v>
      </c>
      <c r="Y155" s="2">
        <v>704.07</v>
      </c>
      <c r="Z155" s="2">
        <v>154.16999999999999</v>
      </c>
      <c r="AA155" s="12">
        <v>0</v>
      </c>
      <c r="AB155" s="3">
        <f t="shared" si="2"/>
        <v>36430.949999999997</v>
      </c>
      <c r="AC155" s="3">
        <v>4</v>
      </c>
      <c r="AD155" s="52"/>
      <c r="AE155" s="44"/>
      <c r="AG155" s="45"/>
      <c r="AH155" s="45"/>
      <c r="AI155" s="45"/>
      <c r="AJ155" s="45"/>
      <c r="AK155" s="45"/>
      <c r="AL155" s="45"/>
      <c r="AM155" s="45"/>
      <c r="AN155" s="45"/>
      <c r="AO155" s="45"/>
      <c r="AP155" s="45"/>
      <c r="AQ155" s="45"/>
      <c r="AR155" s="45"/>
      <c r="AS155" s="45"/>
      <c r="AT155" s="45"/>
      <c r="AU155" s="45"/>
      <c r="AV155" s="45"/>
      <c r="AW155" s="45"/>
      <c r="AX155" s="45"/>
      <c r="AY155" s="45"/>
      <c r="AZ155" s="45"/>
      <c r="BA155" s="45"/>
      <c r="BB155" s="45"/>
      <c r="BC155" s="45"/>
      <c r="BD155" s="45"/>
    </row>
    <row r="156" spans="2:56">
      <c r="B156" s="49"/>
      <c r="C156" s="1" t="s">
        <v>7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131.96</v>
      </c>
      <c r="Q156" s="2">
        <v>248.46</v>
      </c>
      <c r="R156" s="2">
        <v>502.66</v>
      </c>
      <c r="S156" s="2">
        <v>753.73</v>
      </c>
      <c r="T156" s="2">
        <v>918.62</v>
      </c>
      <c r="U156" s="2">
        <v>1239.67</v>
      </c>
      <c r="V156" s="2">
        <v>1512.59</v>
      </c>
      <c r="W156" s="2">
        <v>1367.01</v>
      </c>
      <c r="X156" s="2">
        <v>942.79</v>
      </c>
      <c r="Y156" s="2">
        <v>361.47</v>
      </c>
      <c r="Z156" s="2">
        <v>0.51</v>
      </c>
      <c r="AA156" s="12">
        <v>0</v>
      </c>
      <c r="AB156" s="3">
        <f t="shared" si="2"/>
        <v>7979.47</v>
      </c>
      <c r="AC156" s="3">
        <v>4</v>
      </c>
      <c r="AD156" s="52"/>
      <c r="AE156" s="44"/>
      <c r="AG156" s="45"/>
      <c r="AH156" s="45"/>
      <c r="AI156" s="45"/>
      <c r="AJ156" s="45"/>
      <c r="AK156" s="45"/>
      <c r="AL156" s="45"/>
      <c r="AM156" s="45"/>
      <c r="AN156" s="45"/>
      <c r="AO156" s="45"/>
      <c r="AP156" s="45"/>
      <c r="AQ156" s="45"/>
      <c r="AR156" s="45"/>
      <c r="AS156" s="45"/>
      <c r="AT156" s="45"/>
      <c r="AU156" s="45"/>
      <c r="AV156" s="45"/>
      <c r="AW156" s="45"/>
      <c r="AX156" s="45"/>
      <c r="AY156" s="45"/>
      <c r="AZ156" s="45"/>
      <c r="BA156" s="45"/>
      <c r="BB156" s="45"/>
      <c r="BC156" s="45"/>
      <c r="BD156" s="45"/>
    </row>
    <row r="157" spans="2:56" ht="15" thickBot="1">
      <c r="B157" s="50"/>
      <c r="C157" s="9" t="s">
        <v>8</v>
      </c>
      <c r="D157" s="10">
        <v>0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3">
        <v>0</v>
      </c>
      <c r="AB157" s="6">
        <f t="shared" si="2"/>
        <v>0</v>
      </c>
      <c r="AC157" s="6">
        <v>0</v>
      </c>
      <c r="AD157" s="53"/>
      <c r="AE157" s="44"/>
      <c r="AG157" s="45"/>
      <c r="AH157" s="45"/>
      <c r="AI157" s="45"/>
      <c r="AJ157" s="45"/>
      <c r="AK157" s="45"/>
      <c r="AL157" s="45"/>
      <c r="AM157" s="45"/>
      <c r="AN157" s="45"/>
      <c r="AO157" s="45"/>
      <c r="AP157" s="45"/>
      <c r="AQ157" s="45"/>
      <c r="AR157" s="45"/>
      <c r="AS157" s="45"/>
      <c r="AT157" s="45"/>
      <c r="AU157" s="45"/>
      <c r="AV157" s="45"/>
      <c r="AW157" s="45"/>
      <c r="AX157" s="45"/>
      <c r="AY157" s="45"/>
      <c r="AZ157" s="45"/>
      <c r="BA157" s="45"/>
      <c r="BB157" s="45"/>
      <c r="BC157" s="45"/>
      <c r="BD157" s="45"/>
    </row>
    <row r="158" spans="2:56">
      <c r="B158" s="48">
        <v>47178</v>
      </c>
      <c r="C158" s="8" t="s">
        <v>5</v>
      </c>
      <c r="D158" s="7">
        <v>869.6</v>
      </c>
      <c r="E158" s="7">
        <v>636.66</v>
      </c>
      <c r="F158" s="7">
        <v>480.22</v>
      </c>
      <c r="G158" s="7">
        <v>385.57</v>
      </c>
      <c r="H158" s="7">
        <v>432.55</v>
      </c>
      <c r="I158" s="7">
        <v>992.97</v>
      </c>
      <c r="J158" s="7">
        <v>2453.56</v>
      </c>
      <c r="K158" s="7">
        <v>4384.28</v>
      </c>
      <c r="L158" s="7">
        <v>5492.92</v>
      </c>
      <c r="M158" s="7">
        <v>5725.74</v>
      </c>
      <c r="N158" s="7">
        <v>6431.45</v>
      </c>
      <c r="O158" s="7">
        <v>6647.37</v>
      </c>
      <c r="P158" s="7">
        <v>6235.91</v>
      </c>
      <c r="Q158" s="7">
        <v>6530.01</v>
      </c>
      <c r="R158" s="7">
        <v>6957.53</v>
      </c>
      <c r="S158" s="7">
        <v>6866.3</v>
      </c>
      <c r="T158" s="7">
        <v>6588.54</v>
      </c>
      <c r="U158" s="7">
        <v>5519.02</v>
      </c>
      <c r="V158" s="7">
        <v>5097.3500000000004</v>
      </c>
      <c r="W158" s="7">
        <v>4583.78</v>
      </c>
      <c r="X158" s="7">
        <v>3671.67</v>
      </c>
      <c r="Y158" s="7">
        <v>2695.2</v>
      </c>
      <c r="Z158" s="7">
        <v>1933.02</v>
      </c>
      <c r="AA158" s="11">
        <v>1465.3</v>
      </c>
      <c r="AB158" s="5">
        <f t="shared" si="2"/>
        <v>93076.520000000019</v>
      </c>
      <c r="AC158" s="5">
        <v>19</v>
      </c>
      <c r="AD158" s="51">
        <f>(AB158*AC158)+(AB159*AC159)+(AB160*AC160)+(AB161*AC161)</f>
        <v>2068419.1600000001</v>
      </c>
      <c r="AE158" s="44"/>
      <c r="AG158" s="45"/>
      <c r="AH158" s="45"/>
      <c r="AI158" s="45"/>
      <c r="AJ158" s="45"/>
      <c r="AK158" s="45"/>
      <c r="AL158" s="45"/>
      <c r="AM158" s="45"/>
      <c r="AN158" s="45"/>
      <c r="AO158" s="45"/>
      <c r="AP158" s="45"/>
      <c r="AQ158" s="45"/>
      <c r="AR158" s="45"/>
      <c r="AS158" s="45"/>
      <c r="AT158" s="45"/>
      <c r="AU158" s="45"/>
      <c r="AV158" s="45"/>
      <c r="AW158" s="45"/>
      <c r="AX158" s="45"/>
      <c r="AY158" s="45"/>
      <c r="AZ158" s="45"/>
      <c r="BA158" s="45"/>
      <c r="BB158" s="45"/>
      <c r="BC158" s="45"/>
      <c r="BD158" s="45"/>
    </row>
    <row r="159" spans="2:56">
      <c r="B159" s="49"/>
      <c r="C159" s="1" t="s">
        <v>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341.01</v>
      </c>
      <c r="K159" s="2">
        <v>1484</v>
      </c>
      <c r="L159" s="2">
        <v>2219.52</v>
      </c>
      <c r="M159" s="2">
        <v>2481.27</v>
      </c>
      <c r="N159" s="2">
        <v>2896.15</v>
      </c>
      <c r="O159" s="2">
        <v>2947.09</v>
      </c>
      <c r="P159" s="2">
        <v>2678.22</v>
      </c>
      <c r="Q159" s="2">
        <v>2389.42</v>
      </c>
      <c r="R159" s="2">
        <v>2198.7800000000002</v>
      </c>
      <c r="S159" s="2">
        <v>2133.61</v>
      </c>
      <c r="T159" s="2">
        <v>2000.5</v>
      </c>
      <c r="U159" s="2">
        <v>1987.83</v>
      </c>
      <c r="V159" s="2">
        <v>2094.15</v>
      </c>
      <c r="W159" s="2">
        <v>1751.04</v>
      </c>
      <c r="X159" s="2">
        <v>1219.33</v>
      </c>
      <c r="Y159" s="2">
        <v>403.88</v>
      </c>
      <c r="Z159" s="2">
        <v>0</v>
      </c>
      <c r="AA159" s="12">
        <v>0</v>
      </c>
      <c r="AB159" s="3">
        <f t="shared" si="2"/>
        <v>31225.800000000007</v>
      </c>
      <c r="AC159" s="3">
        <v>5</v>
      </c>
      <c r="AD159" s="52"/>
      <c r="AE159" s="44"/>
      <c r="AG159" s="45"/>
      <c r="AH159" s="45"/>
      <c r="AI159" s="45"/>
      <c r="AJ159" s="45"/>
      <c r="AK159" s="45"/>
      <c r="AL159" s="45"/>
      <c r="AM159" s="45"/>
      <c r="AN159" s="45"/>
      <c r="AO159" s="45"/>
      <c r="AP159" s="45"/>
      <c r="AQ159" s="45"/>
      <c r="AR159" s="45"/>
      <c r="AS159" s="45"/>
      <c r="AT159" s="45"/>
      <c r="AU159" s="45"/>
      <c r="AV159" s="45"/>
      <c r="AW159" s="45"/>
      <c r="AX159" s="45"/>
      <c r="AY159" s="45"/>
      <c r="AZ159" s="45"/>
      <c r="BA159" s="45"/>
      <c r="BB159" s="45"/>
      <c r="BC159" s="45"/>
      <c r="BD159" s="45"/>
    </row>
    <row r="160" spans="2:56">
      <c r="B160" s="49"/>
      <c r="C160" s="1" t="s">
        <v>7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208.27</v>
      </c>
      <c r="N160" s="2">
        <v>641.19000000000005</v>
      </c>
      <c r="O160" s="2">
        <v>820.89</v>
      </c>
      <c r="P160" s="2">
        <v>1007.35</v>
      </c>
      <c r="Q160" s="2">
        <v>1036.03</v>
      </c>
      <c r="R160" s="2">
        <v>1000.95</v>
      </c>
      <c r="S160" s="2">
        <v>1063.3499999999999</v>
      </c>
      <c r="T160" s="2">
        <v>1116.77</v>
      </c>
      <c r="U160" s="2">
        <v>1191.04</v>
      </c>
      <c r="V160" s="2">
        <v>1459.56</v>
      </c>
      <c r="W160" s="2">
        <v>1439.01</v>
      </c>
      <c r="X160" s="2">
        <v>1120.93</v>
      </c>
      <c r="Y160" s="2">
        <v>405.15</v>
      </c>
      <c r="Z160" s="2">
        <v>29.23</v>
      </c>
      <c r="AA160" s="12">
        <v>0</v>
      </c>
      <c r="AB160" s="3">
        <f t="shared" si="2"/>
        <v>12539.72</v>
      </c>
      <c r="AC160" s="3">
        <v>4</v>
      </c>
      <c r="AD160" s="52"/>
      <c r="AE160" s="44"/>
      <c r="AG160" s="45"/>
      <c r="AH160" s="45"/>
      <c r="AI160" s="45"/>
      <c r="AJ160" s="45"/>
      <c r="AK160" s="45"/>
      <c r="AL160" s="45"/>
      <c r="AM160" s="45"/>
      <c r="AN160" s="45"/>
      <c r="AO160" s="45"/>
      <c r="AP160" s="45"/>
      <c r="AQ160" s="45"/>
      <c r="AR160" s="45"/>
      <c r="AS160" s="45"/>
      <c r="AT160" s="45"/>
      <c r="AU160" s="45"/>
      <c r="AV160" s="45"/>
      <c r="AW160" s="45"/>
      <c r="AX160" s="45"/>
      <c r="AY160" s="45"/>
      <c r="AZ160" s="45"/>
      <c r="BA160" s="45"/>
      <c r="BB160" s="45"/>
      <c r="BC160" s="45"/>
      <c r="BD160" s="45"/>
    </row>
    <row r="161" spans="2:56" ht="15" thickBot="1">
      <c r="B161" s="50"/>
      <c r="C161" s="9" t="s">
        <v>8</v>
      </c>
      <c r="D161" s="10">
        <v>0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341.01</v>
      </c>
      <c r="K161" s="10">
        <v>1484</v>
      </c>
      <c r="L161" s="10">
        <v>2219.52</v>
      </c>
      <c r="M161" s="10">
        <v>2481.27</v>
      </c>
      <c r="N161" s="10">
        <v>2896.15</v>
      </c>
      <c r="O161" s="10">
        <v>2947.09</v>
      </c>
      <c r="P161" s="10">
        <v>2678.22</v>
      </c>
      <c r="Q161" s="10">
        <v>2389.42</v>
      </c>
      <c r="R161" s="10">
        <v>2198.7800000000002</v>
      </c>
      <c r="S161" s="10">
        <v>2133.61</v>
      </c>
      <c r="T161" s="10">
        <v>2000.5</v>
      </c>
      <c r="U161" s="10">
        <v>1987.83</v>
      </c>
      <c r="V161" s="10">
        <v>2094.15</v>
      </c>
      <c r="W161" s="10">
        <v>1751.04</v>
      </c>
      <c r="X161" s="10">
        <v>1219.33</v>
      </c>
      <c r="Y161" s="10">
        <v>403.88</v>
      </c>
      <c r="Z161" s="10">
        <v>0</v>
      </c>
      <c r="AA161" s="13">
        <v>0</v>
      </c>
      <c r="AB161" s="6">
        <f t="shared" si="2"/>
        <v>31225.800000000007</v>
      </c>
      <c r="AC161" s="6">
        <v>3</v>
      </c>
      <c r="AD161" s="53"/>
      <c r="AE161" s="44"/>
      <c r="AG161" s="45"/>
      <c r="AH161" s="45"/>
      <c r="AI161" s="45"/>
      <c r="AJ161" s="45"/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  <c r="AU161" s="45"/>
      <c r="AV161" s="45"/>
      <c r="AW161" s="45"/>
      <c r="AX161" s="45"/>
      <c r="AY161" s="45"/>
      <c r="AZ161" s="45"/>
      <c r="BA161" s="45"/>
      <c r="BB161" s="45"/>
      <c r="BC161" s="45"/>
      <c r="BD161" s="45"/>
    </row>
    <row r="162" spans="2:56">
      <c r="B162" s="48">
        <v>47209</v>
      </c>
      <c r="C162" s="8" t="s">
        <v>5</v>
      </c>
      <c r="D162" s="7">
        <v>437.19</v>
      </c>
      <c r="E162" s="7">
        <v>215.87</v>
      </c>
      <c r="F162" s="7">
        <v>67.23</v>
      </c>
      <c r="G162" s="7">
        <v>0</v>
      </c>
      <c r="H162" s="7">
        <v>21.94</v>
      </c>
      <c r="I162" s="7">
        <v>554.41999999999996</v>
      </c>
      <c r="J162" s="7">
        <v>1942.19</v>
      </c>
      <c r="K162" s="7">
        <v>3775.64</v>
      </c>
      <c r="L162" s="7">
        <v>4829.01</v>
      </c>
      <c r="M162" s="7">
        <v>5050.22</v>
      </c>
      <c r="N162" s="7">
        <v>5720.76</v>
      </c>
      <c r="O162" s="7">
        <v>5925.91</v>
      </c>
      <c r="P162" s="7">
        <v>5534.96</v>
      </c>
      <c r="Q162" s="7">
        <v>5814.4</v>
      </c>
      <c r="R162" s="7">
        <v>6220.61</v>
      </c>
      <c r="S162" s="7">
        <v>6133.93</v>
      </c>
      <c r="T162" s="7">
        <v>5870.02</v>
      </c>
      <c r="U162" s="7">
        <v>4854.83</v>
      </c>
      <c r="V162" s="7">
        <v>4454.18</v>
      </c>
      <c r="W162" s="7">
        <v>3966.21</v>
      </c>
      <c r="X162" s="7">
        <v>3099.57</v>
      </c>
      <c r="Y162" s="7">
        <v>2171.79</v>
      </c>
      <c r="Z162" s="7">
        <v>1447.6</v>
      </c>
      <c r="AA162" s="11">
        <v>1003.2</v>
      </c>
      <c r="AB162" s="5">
        <f t="shared" si="2"/>
        <v>79111.680000000008</v>
      </c>
      <c r="AC162" s="5">
        <v>21</v>
      </c>
      <c r="AD162" s="51">
        <f>(AB162*AC162)+(AB163*AC163)+(AB164*AC164)+(AB165*AC165)</f>
        <v>2089524.5300000003</v>
      </c>
      <c r="AG162" s="45"/>
      <c r="AH162" s="45"/>
      <c r="AI162" s="45"/>
      <c r="AJ162" s="45"/>
      <c r="AK162" s="45"/>
      <c r="AL162" s="45"/>
      <c r="AM162" s="45"/>
      <c r="AN162" s="45"/>
      <c r="AO162" s="45"/>
      <c r="AP162" s="45"/>
      <c r="AQ162" s="45"/>
      <c r="AR162" s="45"/>
      <c r="AS162" s="45"/>
      <c r="AT162" s="45"/>
      <c r="AU162" s="45"/>
      <c r="AV162" s="45"/>
      <c r="AW162" s="45"/>
      <c r="AX162" s="45"/>
      <c r="AY162" s="45"/>
      <c r="AZ162" s="45"/>
      <c r="BA162" s="45"/>
      <c r="BB162" s="45"/>
      <c r="BC162" s="45"/>
      <c r="BD162" s="45"/>
    </row>
    <row r="163" spans="2:56">
      <c r="B163" s="49"/>
      <c r="C163" s="1" t="s">
        <v>6</v>
      </c>
      <c r="D163" s="2">
        <v>993.77</v>
      </c>
      <c r="E163" s="2">
        <v>699.62</v>
      </c>
      <c r="F163" s="2">
        <v>505.03</v>
      </c>
      <c r="G163" s="2">
        <v>448.86</v>
      </c>
      <c r="H163" s="2">
        <v>381.5</v>
      </c>
      <c r="I163" s="2">
        <v>540.24</v>
      </c>
      <c r="J163" s="2">
        <v>1607.63</v>
      </c>
      <c r="K163" s="2">
        <v>2968.96</v>
      </c>
      <c r="L163" s="2">
        <v>3842.52</v>
      </c>
      <c r="M163" s="2">
        <v>4153.3999999999996</v>
      </c>
      <c r="N163" s="2">
        <v>4646.1499999999996</v>
      </c>
      <c r="O163" s="2">
        <v>4706.6400000000003</v>
      </c>
      <c r="P163" s="2">
        <v>4387.3100000000004</v>
      </c>
      <c r="Q163" s="2">
        <v>4044.32</v>
      </c>
      <c r="R163" s="2">
        <v>3817.89</v>
      </c>
      <c r="S163" s="2">
        <v>3740.49</v>
      </c>
      <c r="T163" s="2">
        <v>3582.4</v>
      </c>
      <c r="U163" s="2">
        <v>3563.53</v>
      </c>
      <c r="V163" s="2">
        <v>3689.8</v>
      </c>
      <c r="W163" s="2">
        <v>3282.29</v>
      </c>
      <c r="X163" s="2">
        <v>2650.79</v>
      </c>
      <c r="Y163" s="2">
        <v>1682.3</v>
      </c>
      <c r="Z163" s="2">
        <v>1143.94</v>
      </c>
      <c r="AA163" s="12">
        <v>764.62</v>
      </c>
      <c r="AB163" s="3">
        <f t="shared" si="2"/>
        <v>61844.000000000015</v>
      </c>
      <c r="AC163" s="3">
        <v>4</v>
      </c>
      <c r="AD163" s="52"/>
      <c r="AG163" s="45"/>
      <c r="AH163" s="45"/>
      <c r="AI163" s="45"/>
      <c r="AJ163" s="45"/>
      <c r="AK163" s="45"/>
      <c r="AL163" s="45"/>
      <c r="AM163" s="45"/>
      <c r="AN163" s="45"/>
      <c r="AO163" s="45"/>
      <c r="AP163" s="45"/>
      <c r="AQ163" s="45"/>
      <c r="AR163" s="45"/>
      <c r="AS163" s="45"/>
      <c r="AT163" s="45"/>
      <c r="AU163" s="45"/>
      <c r="AV163" s="45"/>
      <c r="AW163" s="45"/>
      <c r="AX163" s="45"/>
      <c r="AY163" s="45"/>
      <c r="AZ163" s="45"/>
      <c r="BA163" s="45"/>
      <c r="BB163" s="45"/>
      <c r="BC163" s="45"/>
      <c r="BD163" s="45"/>
    </row>
    <row r="164" spans="2:56">
      <c r="B164" s="49"/>
      <c r="C164" s="1" t="s">
        <v>7</v>
      </c>
      <c r="D164" s="2">
        <v>705.46</v>
      </c>
      <c r="E164" s="2">
        <v>355.25</v>
      </c>
      <c r="F164" s="2">
        <v>164.17</v>
      </c>
      <c r="G164" s="2">
        <v>30.67</v>
      </c>
      <c r="H164" s="2">
        <v>0</v>
      </c>
      <c r="I164" s="2">
        <v>0</v>
      </c>
      <c r="J164" s="2">
        <v>250.93</v>
      </c>
      <c r="K164" s="2">
        <v>774.64</v>
      </c>
      <c r="L164" s="2">
        <v>1199.3800000000001</v>
      </c>
      <c r="M164" s="2">
        <v>1453.79</v>
      </c>
      <c r="N164" s="2">
        <v>1967.96</v>
      </c>
      <c r="O164" s="2">
        <v>2181.39</v>
      </c>
      <c r="P164" s="2">
        <v>2402.85</v>
      </c>
      <c r="Q164" s="2">
        <v>2436.92</v>
      </c>
      <c r="R164" s="2">
        <v>2395.25</v>
      </c>
      <c r="S164" s="2">
        <v>2469.36</v>
      </c>
      <c r="T164" s="2">
        <v>2532.8000000000002</v>
      </c>
      <c r="U164" s="2">
        <v>2617.19</v>
      </c>
      <c r="V164" s="2">
        <v>2936.11</v>
      </c>
      <c r="W164" s="2">
        <v>2911.7</v>
      </c>
      <c r="X164" s="2">
        <v>2533.9299999999998</v>
      </c>
      <c r="Y164" s="2">
        <v>1683.8</v>
      </c>
      <c r="Z164" s="2">
        <v>1237.32</v>
      </c>
      <c r="AA164" s="12">
        <v>919.78</v>
      </c>
      <c r="AB164" s="3">
        <f t="shared" si="2"/>
        <v>36160.65</v>
      </c>
      <c r="AC164" s="3">
        <v>5</v>
      </c>
      <c r="AD164" s="52"/>
      <c r="AG164" s="45"/>
      <c r="AH164" s="45"/>
      <c r="AI164" s="45"/>
      <c r="AJ164" s="45"/>
      <c r="AK164" s="45"/>
      <c r="AL164" s="45"/>
      <c r="AM164" s="45"/>
      <c r="AN164" s="45"/>
      <c r="AO164" s="45"/>
      <c r="AP164" s="45"/>
      <c r="AQ164" s="45"/>
      <c r="AR164" s="45"/>
      <c r="AS164" s="45"/>
      <c r="AT164" s="45"/>
      <c r="AU164" s="45"/>
      <c r="AV164" s="45"/>
      <c r="AW164" s="45"/>
      <c r="AX164" s="45"/>
      <c r="AY164" s="45"/>
      <c r="AZ164" s="45"/>
      <c r="BA164" s="45"/>
      <c r="BB164" s="45"/>
      <c r="BC164" s="45"/>
      <c r="BD164" s="45"/>
    </row>
    <row r="165" spans="2:56" ht="15" thickBot="1">
      <c r="B165" s="50"/>
      <c r="C165" s="9" t="s">
        <v>8</v>
      </c>
      <c r="D165" s="10">
        <v>18.39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431.75</v>
      </c>
      <c r="L165" s="10">
        <v>914.34</v>
      </c>
      <c r="M165" s="10">
        <v>1178.1199999999999</v>
      </c>
      <c r="N165" s="10">
        <v>1734.88</v>
      </c>
      <c r="O165" s="10">
        <v>1940.85</v>
      </c>
      <c r="P165" s="10">
        <v>2136.11</v>
      </c>
      <c r="Q165" s="10">
        <v>2151.9</v>
      </c>
      <c r="R165" s="10">
        <v>2216.63</v>
      </c>
      <c r="S165" s="10">
        <v>2264.17</v>
      </c>
      <c r="T165" s="10">
        <v>2264.6</v>
      </c>
      <c r="U165" s="10">
        <v>2418.7199999999998</v>
      </c>
      <c r="V165" s="10">
        <v>2754.69</v>
      </c>
      <c r="W165" s="10">
        <v>2577.7199999999998</v>
      </c>
      <c r="X165" s="10">
        <v>2182</v>
      </c>
      <c r="Y165" s="10">
        <v>1263.82</v>
      </c>
      <c r="Z165" s="10">
        <v>751.02</v>
      </c>
      <c r="AA165" s="13">
        <v>449.29</v>
      </c>
      <c r="AB165" s="6">
        <f t="shared" si="2"/>
        <v>29649.000000000004</v>
      </c>
      <c r="AC165" s="6">
        <v>0</v>
      </c>
      <c r="AD165" s="53"/>
      <c r="AG165" s="45"/>
      <c r="AH165" s="45"/>
      <c r="AI165" s="45"/>
      <c r="AJ165" s="45"/>
      <c r="AK165" s="45"/>
      <c r="AL165" s="45"/>
      <c r="AM165" s="45"/>
      <c r="AN165" s="45"/>
      <c r="AO165" s="45"/>
      <c r="AP165" s="45"/>
      <c r="AQ165" s="45"/>
      <c r="AR165" s="45"/>
      <c r="AS165" s="45"/>
      <c r="AT165" s="45"/>
      <c r="AU165" s="45"/>
      <c r="AV165" s="45"/>
      <c r="AW165" s="45"/>
      <c r="AX165" s="45"/>
      <c r="AY165" s="45"/>
      <c r="AZ165" s="45"/>
      <c r="BA165" s="45"/>
      <c r="BB165" s="45"/>
      <c r="BC165" s="45"/>
      <c r="BD165" s="45"/>
    </row>
    <row r="166" spans="2:56">
      <c r="B166" s="48">
        <v>47239</v>
      </c>
      <c r="C166" s="8" t="s">
        <v>5</v>
      </c>
      <c r="D166" s="7">
        <v>875.61</v>
      </c>
      <c r="E166" s="7">
        <v>640.05999999999995</v>
      </c>
      <c r="F166" s="7">
        <v>481.86</v>
      </c>
      <c r="G166" s="7">
        <v>386.15</v>
      </c>
      <c r="H166" s="7">
        <v>433.66</v>
      </c>
      <c r="I166" s="7">
        <v>1000.37</v>
      </c>
      <c r="J166" s="7">
        <v>2477.37</v>
      </c>
      <c r="K166" s="7">
        <v>4429.99</v>
      </c>
      <c r="L166" s="7">
        <v>5551.08</v>
      </c>
      <c r="M166" s="7">
        <v>5786.52</v>
      </c>
      <c r="N166" s="7">
        <v>6500.16</v>
      </c>
      <c r="O166" s="7">
        <v>6718.5</v>
      </c>
      <c r="P166" s="7">
        <v>6302.42</v>
      </c>
      <c r="Q166" s="7">
        <v>6599.82</v>
      </c>
      <c r="R166" s="7">
        <v>7032.14</v>
      </c>
      <c r="S166" s="7">
        <v>6939.89</v>
      </c>
      <c r="T166" s="7">
        <v>6659.01</v>
      </c>
      <c r="U166" s="7">
        <v>5577.25</v>
      </c>
      <c r="V166" s="7">
        <v>5150.8500000000004</v>
      </c>
      <c r="W166" s="7">
        <v>4631.5</v>
      </c>
      <c r="X166" s="7">
        <v>3709.15</v>
      </c>
      <c r="Y166" s="7">
        <v>2721.72</v>
      </c>
      <c r="Z166" s="7">
        <v>1950.97</v>
      </c>
      <c r="AA166" s="11">
        <v>1478</v>
      </c>
      <c r="AB166" s="5">
        <f t="shared" si="2"/>
        <v>94034.05</v>
      </c>
      <c r="AC166" s="5">
        <v>21</v>
      </c>
      <c r="AD166" s="51">
        <f>(AB166*AC166)+(AB167*AC167)+(AB168*AC168)+(AB169*AC169)</f>
        <v>2443286.0500000003</v>
      </c>
      <c r="AG166" s="45"/>
      <c r="AH166" s="45"/>
      <c r="AI166" s="45"/>
      <c r="AJ166" s="45"/>
      <c r="AK166" s="45"/>
      <c r="AL166" s="45"/>
      <c r="AM166" s="45"/>
      <c r="AN166" s="45"/>
      <c r="AO166" s="45"/>
      <c r="AP166" s="45"/>
      <c r="AQ166" s="45"/>
      <c r="AR166" s="45"/>
      <c r="AS166" s="45"/>
      <c r="AT166" s="45"/>
      <c r="AU166" s="45"/>
      <c r="AV166" s="45"/>
      <c r="AW166" s="45"/>
      <c r="AX166" s="45"/>
      <c r="AY166" s="45"/>
      <c r="AZ166" s="45"/>
      <c r="BA166" s="45"/>
      <c r="BB166" s="45"/>
      <c r="BC166" s="45"/>
      <c r="BD166" s="45"/>
    </row>
    <row r="167" spans="2:56">
      <c r="B167" s="49"/>
      <c r="C167" s="1" t="s">
        <v>6</v>
      </c>
      <c r="D167" s="2">
        <v>148.34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697.13</v>
      </c>
      <c r="K167" s="2">
        <v>1912.01</v>
      </c>
      <c r="L167" s="2">
        <v>2692.97</v>
      </c>
      <c r="M167" s="2">
        <v>2970.9</v>
      </c>
      <c r="N167" s="2">
        <v>3411.42</v>
      </c>
      <c r="O167" s="2">
        <v>3465.5</v>
      </c>
      <c r="P167" s="2">
        <v>3180.02</v>
      </c>
      <c r="Q167" s="2">
        <v>2873.38</v>
      </c>
      <c r="R167" s="2">
        <v>2670.95</v>
      </c>
      <c r="S167" s="2">
        <v>2601.7600000000002</v>
      </c>
      <c r="T167" s="2">
        <v>2460.42</v>
      </c>
      <c r="U167" s="2">
        <v>2445.71</v>
      </c>
      <c r="V167" s="2">
        <v>2558.6</v>
      </c>
      <c r="W167" s="2">
        <v>2194.29</v>
      </c>
      <c r="X167" s="2">
        <v>1629.72</v>
      </c>
      <c r="Y167" s="2">
        <v>763.89</v>
      </c>
      <c r="Z167" s="2">
        <v>282.58999999999997</v>
      </c>
      <c r="AA167" s="12">
        <v>0</v>
      </c>
      <c r="AB167" s="3">
        <f t="shared" si="2"/>
        <v>38959.599999999999</v>
      </c>
      <c r="AC167" s="3">
        <v>4</v>
      </c>
      <c r="AD167" s="52"/>
      <c r="AG167" s="45"/>
      <c r="AH167" s="45"/>
      <c r="AI167" s="45"/>
      <c r="AJ167" s="45"/>
      <c r="AK167" s="45"/>
      <c r="AL167" s="45"/>
      <c r="AM167" s="45"/>
      <c r="AN167" s="45"/>
      <c r="AO167" s="45"/>
      <c r="AP167" s="45"/>
      <c r="AQ167" s="45"/>
      <c r="AR167" s="45"/>
      <c r="AS167" s="45"/>
      <c r="AT167" s="45"/>
      <c r="AU167" s="45"/>
      <c r="AV167" s="45"/>
      <c r="AW167" s="45"/>
      <c r="AX167" s="45"/>
      <c r="AY167" s="45"/>
      <c r="AZ167" s="45"/>
      <c r="BA167" s="45"/>
      <c r="BB167" s="45"/>
      <c r="BC167" s="45"/>
      <c r="BD167" s="45"/>
    </row>
    <row r="168" spans="2:56">
      <c r="B168" s="49"/>
      <c r="C168" s="1" t="s">
        <v>7</v>
      </c>
      <c r="D168" s="2">
        <v>1558.17</v>
      </c>
      <c r="E168" s="2">
        <v>1166.81</v>
      </c>
      <c r="F168" s="2">
        <v>953.28</v>
      </c>
      <c r="G168" s="2">
        <v>804.09</v>
      </c>
      <c r="H168" s="2">
        <v>690.6</v>
      </c>
      <c r="I168" s="2">
        <v>643.24</v>
      </c>
      <c r="J168" s="2">
        <v>1050.23</v>
      </c>
      <c r="K168" s="2">
        <v>1637.87</v>
      </c>
      <c r="L168" s="2">
        <v>2112.52</v>
      </c>
      <c r="M168" s="2">
        <v>2396.8200000000002</v>
      </c>
      <c r="N168" s="2">
        <v>2971.42</v>
      </c>
      <c r="O168" s="2">
        <v>3209.92</v>
      </c>
      <c r="P168" s="2">
        <v>3457.4</v>
      </c>
      <c r="Q168" s="2">
        <v>3495.47</v>
      </c>
      <c r="R168" s="2">
        <v>3448.9</v>
      </c>
      <c r="S168" s="2">
        <v>3531.73</v>
      </c>
      <c r="T168" s="2">
        <v>3602.62</v>
      </c>
      <c r="U168" s="2">
        <v>3694.53</v>
      </c>
      <c r="V168" s="2">
        <v>4050.93</v>
      </c>
      <c r="W168" s="2">
        <v>4023.65</v>
      </c>
      <c r="X168" s="2">
        <v>3601.49</v>
      </c>
      <c r="Y168" s="2">
        <v>2651.46</v>
      </c>
      <c r="Z168" s="2">
        <v>2152.5300000000002</v>
      </c>
      <c r="AA168" s="12">
        <v>1797.67</v>
      </c>
      <c r="AB168" s="3">
        <f t="shared" si="2"/>
        <v>58703.350000000006</v>
      </c>
      <c r="AC168" s="3">
        <v>4</v>
      </c>
      <c r="AD168" s="52"/>
      <c r="AG168" s="45"/>
      <c r="AH168" s="45"/>
      <c r="AI168" s="45"/>
      <c r="AJ168" s="45"/>
      <c r="AK168" s="45"/>
      <c r="AL168" s="45"/>
      <c r="AM168" s="45"/>
      <c r="AN168" s="45"/>
      <c r="AO168" s="45"/>
      <c r="AP168" s="45"/>
      <c r="AQ168" s="45"/>
      <c r="AR168" s="45"/>
      <c r="AS168" s="45"/>
      <c r="AT168" s="45"/>
      <c r="AU168" s="45"/>
      <c r="AV168" s="45"/>
      <c r="AW168" s="45"/>
      <c r="AX168" s="45"/>
      <c r="AY168" s="45"/>
      <c r="AZ168" s="45"/>
      <c r="BA168" s="45"/>
      <c r="BB168" s="45"/>
      <c r="BC168" s="45"/>
      <c r="BD168" s="45"/>
    </row>
    <row r="169" spans="2:56" ht="15" thickBot="1">
      <c r="B169" s="50"/>
      <c r="C169" s="9" t="s">
        <v>8</v>
      </c>
      <c r="D169" s="10">
        <v>148.34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697.13</v>
      </c>
      <c r="K169" s="10">
        <v>1912.01</v>
      </c>
      <c r="L169" s="10">
        <v>2692.97</v>
      </c>
      <c r="M169" s="10">
        <v>2970.9</v>
      </c>
      <c r="N169" s="10">
        <v>3411.42</v>
      </c>
      <c r="O169" s="10">
        <v>3465.5</v>
      </c>
      <c r="P169" s="10">
        <v>3180.02</v>
      </c>
      <c r="Q169" s="10">
        <v>2873.38</v>
      </c>
      <c r="R169" s="10">
        <v>2670.95</v>
      </c>
      <c r="S169" s="10">
        <v>2601.7600000000002</v>
      </c>
      <c r="T169" s="10">
        <v>2460.42</v>
      </c>
      <c r="U169" s="10">
        <v>2445.71</v>
      </c>
      <c r="V169" s="10">
        <v>2558.6</v>
      </c>
      <c r="W169" s="10">
        <v>2194.29</v>
      </c>
      <c r="X169" s="10">
        <v>1629.72</v>
      </c>
      <c r="Y169" s="10">
        <v>763.89</v>
      </c>
      <c r="Z169" s="10">
        <v>282.58999999999997</v>
      </c>
      <c r="AA169" s="13">
        <v>0</v>
      </c>
      <c r="AB169" s="6">
        <f t="shared" si="2"/>
        <v>38959.599999999999</v>
      </c>
      <c r="AC169" s="6">
        <v>2</v>
      </c>
      <c r="AD169" s="53"/>
      <c r="AG169" s="45"/>
      <c r="AH169" s="45"/>
      <c r="AI169" s="45"/>
      <c r="AJ169" s="45"/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  <c r="AU169" s="45"/>
      <c r="AV169" s="45"/>
      <c r="AW169" s="45"/>
      <c r="AX169" s="45"/>
      <c r="AY169" s="45"/>
      <c r="AZ169" s="45"/>
      <c r="BA169" s="45"/>
      <c r="BB169" s="45"/>
      <c r="BC169" s="45"/>
      <c r="BD169" s="45"/>
    </row>
    <row r="170" spans="2:56">
      <c r="B170" s="48">
        <v>47270</v>
      </c>
      <c r="C170" s="8" t="s">
        <v>5</v>
      </c>
      <c r="D170" s="7">
        <v>1435.61</v>
      </c>
      <c r="E170" s="7">
        <v>1181.81</v>
      </c>
      <c r="F170" s="7">
        <v>1011.36</v>
      </c>
      <c r="G170" s="7">
        <v>908.23</v>
      </c>
      <c r="H170" s="7">
        <v>959.42</v>
      </c>
      <c r="I170" s="7">
        <v>1570.03</v>
      </c>
      <c r="J170" s="7">
        <v>3161.44</v>
      </c>
      <c r="K170" s="7">
        <v>5266.89</v>
      </c>
      <c r="L170" s="7">
        <v>6474.83</v>
      </c>
      <c r="M170" s="7">
        <v>6728.5</v>
      </c>
      <c r="N170" s="7">
        <v>7497.42</v>
      </c>
      <c r="O170" s="7">
        <v>7732.68</v>
      </c>
      <c r="P170" s="7">
        <v>7284.36</v>
      </c>
      <c r="Q170" s="7">
        <v>7604.81</v>
      </c>
      <c r="R170" s="7">
        <v>8070.61</v>
      </c>
      <c r="S170" s="7">
        <v>7971.22</v>
      </c>
      <c r="T170" s="7">
        <v>7668.58</v>
      </c>
      <c r="U170" s="7">
        <v>6501.45</v>
      </c>
      <c r="V170" s="7">
        <v>6042.01</v>
      </c>
      <c r="W170" s="7">
        <v>5482.44</v>
      </c>
      <c r="X170" s="7">
        <v>4488.6400000000003</v>
      </c>
      <c r="Y170" s="7">
        <v>3424.72</v>
      </c>
      <c r="Z170" s="7">
        <v>2594.27</v>
      </c>
      <c r="AA170" s="11">
        <v>2084.66</v>
      </c>
      <c r="AB170" s="5">
        <f t="shared" si="2"/>
        <v>113145.99</v>
      </c>
      <c r="AC170" s="5">
        <v>19</v>
      </c>
      <c r="AD170" s="51">
        <f>(AB170*AC170)+(AB171*AC171)+(AB172*AC172)+(AB173*AC173)</f>
        <v>2524716.9000000004</v>
      </c>
      <c r="AG170" s="45"/>
      <c r="AH170" s="45"/>
      <c r="AI170" s="45"/>
      <c r="AJ170" s="45"/>
      <c r="AK170" s="45"/>
      <c r="AL170" s="45"/>
      <c r="AM170" s="45"/>
      <c r="AN170" s="45"/>
      <c r="AO170" s="45"/>
      <c r="AP170" s="45"/>
      <c r="AQ170" s="45"/>
      <c r="AR170" s="45"/>
      <c r="AS170" s="45"/>
      <c r="AT170" s="45"/>
      <c r="AU170" s="45"/>
      <c r="AV170" s="45"/>
      <c r="AW170" s="45"/>
      <c r="AX170" s="45"/>
      <c r="AY170" s="45"/>
      <c r="AZ170" s="45"/>
      <c r="BA170" s="45"/>
      <c r="BB170" s="45"/>
      <c r="BC170" s="45"/>
      <c r="BD170" s="45"/>
    </row>
    <row r="171" spans="2:56">
      <c r="B171" s="49"/>
      <c r="C171" s="1" t="s">
        <v>6</v>
      </c>
      <c r="D171" s="2">
        <v>1185.19</v>
      </c>
      <c r="E171" s="2">
        <v>881.61</v>
      </c>
      <c r="F171" s="2">
        <v>680.78</v>
      </c>
      <c r="G171" s="2">
        <v>622.80999999999995</v>
      </c>
      <c r="H171" s="2">
        <v>553.29999999999995</v>
      </c>
      <c r="I171" s="2">
        <v>717.13</v>
      </c>
      <c r="J171" s="2">
        <v>1818.73</v>
      </c>
      <c r="K171" s="2">
        <v>3224.36</v>
      </c>
      <c r="L171" s="2">
        <v>4125.92</v>
      </c>
      <c r="M171" s="2">
        <v>4446.7700000000004</v>
      </c>
      <c r="N171" s="2">
        <v>4955.3100000000004</v>
      </c>
      <c r="O171" s="2">
        <v>5017.75</v>
      </c>
      <c r="P171" s="2">
        <v>4688.18</v>
      </c>
      <c r="Q171" s="2">
        <v>4334.1899999999996</v>
      </c>
      <c r="R171" s="2">
        <v>4100.5</v>
      </c>
      <c r="S171" s="2">
        <v>4020.62</v>
      </c>
      <c r="T171" s="2">
        <v>3857.46</v>
      </c>
      <c r="U171" s="2">
        <v>3837.33</v>
      </c>
      <c r="V171" s="2">
        <v>3967.66</v>
      </c>
      <c r="W171" s="2">
        <v>3547.08</v>
      </c>
      <c r="X171" s="2">
        <v>2895.33</v>
      </c>
      <c r="Y171" s="2">
        <v>1895.8</v>
      </c>
      <c r="Z171" s="2">
        <v>1340.18</v>
      </c>
      <c r="AA171" s="12">
        <v>948.7</v>
      </c>
      <c r="AB171" s="3">
        <f t="shared" si="2"/>
        <v>67662.69</v>
      </c>
      <c r="AC171" s="3">
        <v>5</v>
      </c>
      <c r="AD171" s="52"/>
      <c r="AG171" s="45"/>
      <c r="AH171" s="45"/>
      <c r="AI171" s="45"/>
      <c r="AJ171" s="45"/>
      <c r="AK171" s="45"/>
      <c r="AL171" s="45"/>
      <c r="AM171" s="45"/>
      <c r="AN171" s="45"/>
      <c r="AO171" s="45"/>
      <c r="AP171" s="45"/>
      <c r="AQ171" s="45"/>
      <c r="AR171" s="45"/>
      <c r="AS171" s="45"/>
      <c r="AT171" s="45"/>
      <c r="AU171" s="45"/>
      <c r="AV171" s="45"/>
      <c r="AW171" s="45"/>
      <c r="AX171" s="45"/>
      <c r="AY171" s="45"/>
      <c r="AZ171" s="45"/>
      <c r="BA171" s="45"/>
      <c r="BB171" s="45"/>
      <c r="BC171" s="45"/>
      <c r="BD171" s="45"/>
    </row>
    <row r="172" spans="2:56">
      <c r="B172" s="49"/>
      <c r="C172" s="1" t="s">
        <v>7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386.4</v>
      </c>
      <c r="O172" s="2">
        <v>562.62</v>
      </c>
      <c r="P172" s="2">
        <v>745.46</v>
      </c>
      <c r="Q172" s="2">
        <v>773.59</v>
      </c>
      <c r="R172" s="2">
        <v>739.19</v>
      </c>
      <c r="S172" s="2">
        <v>800.38</v>
      </c>
      <c r="T172" s="2">
        <v>852.76</v>
      </c>
      <c r="U172" s="2">
        <v>925.99</v>
      </c>
      <c r="V172" s="2">
        <v>1189.3</v>
      </c>
      <c r="W172" s="2">
        <v>1169.1500000000001</v>
      </c>
      <c r="X172" s="2">
        <v>857.24</v>
      </c>
      <c r="Y172" s="2">
        <v>155.33000000000001</v>
      </c>
      <c r="Z172" s="2">
        <v>0</v>
      </c>
      <c r="AA172" s="12">
        <v>0</v>
      </c>
      <c r="AB172" s="3">
        <f t="shared" si="2"/>
        <v>9157.41</v>
      </c>
      <c r="AC172" s="3">
        <v>4</v>
      </c>
      <c r="AD172" s="52"/>
      <c r="AG172" s="45"/>
      <c r="AH172" s="45"/>
      <c r="AI172" s="45"/>
      <c r="AJ172" s="45"/>
      <c r="AK172" s="45"/>
      <c r="AL172" s="45"/>
      <c r="AM172" s="45"/>
      <c r="AN172" s="45"/>
      <c r="AO172" s="45"/>
      <c r="AP172" s="45"/>
      <c r="AQ172" s="45"/>
      <c r="AR172" s="45"/>
      <c r="AS172" s="45"/>
      <c r="AT172" s="45"/>
      <c r="AU172" s="45"/>
      <c r="AV172" s="45"/>
      <c r="AW172" s="45"/>
      <c r="AX172" s="45"/>
      <c r="AY172" s="45"/>
      <c r="AZ172" s="45"/>
      <c r="BA172" s="45"/>
      <c r="BB172" s="45"/>
      <c r="BC172" s="45"/>
      <c r="BD172" s="45"/>
    </row>
    <row r="173" spans="2:56" ht="15" thickBot="1">
      <c r="B173" s="50"/>
      <c r="C173" s="9" t="s">
        <v>8</v>
      </c>
      <c r="D173" s="10">
        <v>0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3">
        <v>0</v>
      </c>
      <c r="AB173" s="6">
        <f t="shared" si="2"/>
        <v>0</v>
      </c>
      <c r="AC173" s="6">
        <v>2</v>
      </c>
      <c r="AD173" s="53"/>
      <c r="AG173" s="45"/>
      <c r="AH173" s="45"/>
      <c r="AI173" s="45"/>
      <c r="AJ173" s="45"/>
      <c r="AK173" s="45"/>
      <c r="AL173" s="45"/>
      <c r="AM173" s="45"/>
      <c r="AN173" s="45"/>
      <c r="AO173" s="45"/>
      <c r="AP173" s="45"/>
      <c r="AQ173" s="45"/>
      <c r="AR173" s="45"/>
      <c r="AS173" s="45"/>
      <c r="AT173" s="45"/>
      <c r="AU173" s="45"/>
      <c r="AV173" s="45"/>
      <c r="AW173" s="45"/>
      <c r="AX173" s="45"/>
      <c r="AY173" s="45"/>
      <c r="AZ173" s="45"/>
      <c r="BA173" s="45"/>
      <c r="BB173" s="45"/>
      <c r="BC173" s="45"/>
      <c r="BD173" s="45"/>
    </row>
    <row r="174" spans="2:56">
      <c r="B174" s="48">
        <v>47300</v>
      </c>
      <c r="C174" s="8" t="s">
        <v>5</v>
      </c>
      <c r="D174" s="7">
        <v>124.28</v>
      </c>
      <c r="E174" s="7">
        <v>0</v>
      </c>
      <c r="F174" s="7">
        <v>0</v>
      </c>
      <c r="G174" s="7">
        <v>0</v>
      </c>
      <c r="H174" s="7">
        <v>0</v>
      </c>
      <c r="I174" s="7">
        <v>237.87</v>
      </c>
      <c r="J174" s="7">
        <v>1582.64</v>
      </c>
      <c r="K174" s="7">
        <v>3358.63</v>
      </c>
      <c r="L174" s="7">
        <v>4379.3599999999997</v>
      </c>
      <c r="M174" s="7">
        <v>4593.72</v>
      </c>
      <c r="N174" s="7">
        <v>5243.47</v>
      </c>
      <c r="O174" s="7">
        <v>5442.27</v>
      </c>
      <c r="P174" s="7">
        <v>5063.43</v>
      </c>
      <c r="Q174" s="7">
        <v>5334.21</v>
      </c>
      <c r="R174" s="7">
        <v>5727.83</v>
      </c>
      <c r="S174" s="7">
        <v>5643.84</v>
      </c>
      <c r="T174" s="7">
        <v>5388.1</v>
      </c>
      <c r="U174" s="7">
        <v>4405.01</v>
      </c>
      <c r="V174" s="7">
        <v>4016.78</v>
      </c>
      <c r="W174" s="7">
        <v>3543.93</v>
      </c>
      <c r="X174" s="7">
        <v>2704.15</v>
      </c>
      <c r="Y174" s="7">
        <v>1805.12</v>
      </c>
      <c r="Z174" s="7">
        <v>1103.3699999999999</v>
      </c>
      <c r="AA174" s="11">
        <v>672.74</v>
      </c>
      <c r="AB174" s="5">
        <f t="shared" si="2"/>
        <v>70370.75</v>
      </c>
      <c r="AC174" s="5">
        <v>20</v>
      </c>
      <c r="AD174" s="51">
        <f>(AB174*AC174)+(AB175*AC175)+(AB176*AC176)+(AB177*AC177)</f>
        <v>1933251.07</v>
      </c>
      <c r="AG174" s="45"/>
      <c r="AH174" s="45"/>
      <c r="AI174" s="45"/>
      <c r="AJ174" s="45"/>
      <c r="AK174" s="45"/>
      <c r="AL174" s="45"/>
      <c r="AM174" s="45"/>
      <c r="AN174" s="45"/>
      <c r="AO174" s="45"/>
      <c r="AP174" s="45"/>
      <c r="AQ174" s="45"/>
      <c r="AR174" s="45"/>
      <c r="AS174" s="45"/>
      <c r="AT174" s="45"/>
      <c r="AU174" s="45"/>
      <c r="AV174" s="45"/>
      <c r="AW174" s="45"/>
      <c r="AX174" s="45"/>
      <c r="AY174" s="45"/>
      <c r="AZ174" s="45"/>
      <c r="BA174" s="45"/>
      <c r="BB174" s="45"/>
      <c r="BC174" s="45"/>
      <c r="BD174" s="45"/>
    </row>
    <row r="175" spans="2:56">
      <c r="B175" s="49"/>
      <c r="C175" s="1" t="s">
        <v>6</v>
      </c>
      <c r="D175" s="2">
        <v>1790</v>
      </c>
      <c r="E175" s="2">
        <v>1462.21</v>
      </c>
      <c r="F175" s="2">
        <v>1245.3699999999999</v>
      </c>
      <c r="G175" s="2">
        <v>1182.78</v>
      </c>
      <c r="H175" s="2">
        <v>1107.71</v>
      </c>
      <c r="I175" s="2">
        <v>1284.6099999999999</v>
      </c>
      <c r="J175" s="2">
        <v>2474.0700000000002</v>
      </c>
      <c r="K175" s="2">
        <v>3993.41</v>
      </c>
      <c r="L175" s="2">
        <v>4966.87</v>
      </c>
      <c r="M175" s="2">
        <v>5313.3</v>
      </c>
      <c r="N175" s="2">
        <v>5862.4</v>
      </c>
      <c r="O175" s="2">
        <v>5929.81</v>
      </c>
      <c r="P175" s="2">
        <v>5573.97</v>
      </c>
      <c r="Q175" s="2">
        <v>5191.74</v>
      </c>
      <c r="R175" s="2">
        <v>4939.42</v>
      </c>
      <c r="S175" s="2">
        <v>4853.17</v>
      </c>
      <c r="T175" s="2">
        <v>4677</v>
      </c>
      <c r="U175" s="2">
        <v>4653.6400000000003</v>
      </c>
      <c r="V175" s="2">
        <v>4794.3599999999997</v>
      </c>
      <c r="W175" s="2">
        <v>4340.24</v>
      </c>
      <c r="X175" s="2">
        <v>3636.52</v>
      </c>
      <c r="Y175" s="2">
        <v>2557.2800000000002</v>
      </c>
      <c r="Z175" s="2">
        <v>1957.35</v>
      </c>
      <c r="AA175" s="12">
        <v>1534.65</v>
      </c>
      <c r="AB175" s="3">
        <f t="shared" si="2"/>
        <v>85321.88</v>
      </c>
      <c r="AC175" s="3">
        <v>4</v>
      </c>
      <c r="AD175" s="52"/>
      <c r="AG175" s="45"/>
      <c r="AH175" s="45"/>
      <c r="AI175" s="45"/>
      <c r="AJ175" s="45"/>
      <c r="AK175" s="45"/>
      <c r="AL175" s="45"/>
      <c r="AM175" s="45"/>
      <c r="AN175" s="45"/>
      <c r="AO175" s="45"/>
      <c r="AP175" s="45"/>
      <c r="AQ175" s="45"/>
      <c r="AR175" s="45"/>
      <c r="AS175" s="45"/>
      <c r="AT175" s="45"/>
      <c r="AU175" s="45"/>
      <c r="AV175" s="45"/>
      <c r="AW175" s="45"/>
      <c r="AX175" s="45"/>
      <c r="AY175" s="45"/>
      <c r="AZ175" s="45"/>
      <c r="BA175" s="45"/>
      <c r="BB175" s="45"/>
      <c r="BC175" s="45"/>
      <c r="BD175" s="45"/>
    </row>
    <row r="176" spans="2:56">
      <c r="B176" s="49"/>
      <c r="C176" s="1" t="s">
        <v>4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353.4</v>
      </c>
      <c r="O176" s="2">
        <v>529.62</v>
      </c>
      <c r="P176" s="2">
        <v>712.46</v>
      </c>
      <c r="Q176" s="2">
        <v>740.59</v>
      </c>
      <c r="R176" s="2">
        <v>706.19</v>
      </c>
      <c r="S176" s="2">
        <v>767.38</v>
      </c>
      <c r="T176" s="2">
        <v>819.76</v>
      </c>
      <c r="U176" s="2">
        <v>892.99</v>
      </c>
      <c r="V176" s="2">
        <v>1156.3</v>
      </c>
      <c r="W176" s="2">
        <v>1136.1500000000001</v>
      </c>
      <c r="X176" s="2">
        <v>824.24</v>
      </c>
      <c r="Y176" s="2">
        <v>122.33</v>
      </c>
      <c r="Z176" s="2">
        <v>0</v>
      </c>
      <c r="AA176" s="12">
        <v>0</v>
      </c>
      <c r="AB176" s="3">
        <f t="shared" si="2"/>
        <v>8761.41</v>
      </c>
      <c r="AC176" s="3">
        <v>5</v>
      </c>
      <c r="AD176" s="52"/>
      <c r="AG176" s="45"/>
      <c r="AH176" s="45"/>
      <c r="AI176" s="45"/>
      <c r="AJ176" s="45"/>
      <c r="AK176" s="45"/>
      <c r="AL176" s="45"/>
      <c r="AM176" s="45"/>
      <c r="AN176" s="45"/>
      <c r="AO176" s="45"/>
      <c r="AP176" s="45"/>
      <c r="AQ176" s="45"/>
      <c r="AR176" s="45"/>
      <c r="AS176" s="45"/>
      <c r="AT176" s="45"/>
      <c r="AU176" s="45"/>
      <c r="AV176" s="45"/>
      <c r="AW176" s="45"/>
      <c r="AX176" s="45"/>
      <c r="AY176" s="45"/>
      <c r="AZ176" s="45"/>
      <c r="BA176" s="45"/>
      <c r="BB176" s="45"/>
      <c r="BC176" s="45"/>
      <c r="BD176" s="45"/>
    </row>
    <row r="177" spans="2:56" ht="15" thickBot="1">
      <c r="B177" s="50"/>
      <c r="C177" s="9" t="s">
        <v>8</v>
      </c>
      <c r="D177" s="10">
        <v>124.28</v>
      </c>
      <c r="E177" s="10">
        <v>0</v>
      </c>
      <c r="F177" s="10">
        <v>0</v>
      </c>
      <c r="G177" s="10">
        <v>0</v>
      </c>
      <c r="H177" s="10">
        <v>0</v>
      </c>
      <c r="I177" s="10">
        <v>237.87</v>
      </c>
      <c r="J177" s="10">
        <v>1582.64</v>
      </c>
      <c r="K177" s="10">
        <v>3358.63</v>
      </c>
      <c r="L177" s="10">
        <v>4379.3599999999997</v>
      </c>
      <c r="M177" s="10">
        <v>4593.72</v>
      </c>
      <c r="N177" s="10">
        <v>5243.47</v>
      </c>
      <c r="O177" s="10">
        <v>5442.27</v>
      </c>
      <c r="P177" s="10">
        <v>5063.43</v>
      </c>
      <c r="Q177" s="10">
        <v>5334.21</v>
      </c>
      <c r="R177" s="10">
        <v>5727.83</v>
      </c>
      <c r="S177" s="10">
        <v>5643.84</v>
      </c>
      <c r="T177" s="10">
        <v>5388.1</v>
      </c>
      <c r="U177" s="10">
        <v>4405.01</v>
      </c>
      <c r="V177" s="10">
        <v>4016.78</v>
      </c>
      <c r="W177" s="10">
        <v>3543.93</v>
      </c>
      <c r="X177" s="10">
        <v>2704.15</v>
      </c>
      <c r="Y177" s="10">
        <v>1805.12</v>
      </c>
      <c r="Z177" s="10">
        <v>1103.3699999999999</v>
      </c>
      <c r="AA177" s="13">
        <v>672.74</v>
      </c>
      <c r="AB177" s="6">
        <f t="shared" si="2"/>
        <v>70370.75</v>
      </c>
      <c r="AC177" s="6">
        <v>2</v>
      </c>
      <c r="AD177" s="53"/>
      <c r="AG177" s="45"/>
      <c r="AH177" s="45"/>
      <c r="AI177" s="45"/>
      <c r="AJ177" s="45"/>
      <c r="AK177" s="45"/>
      <c r="AL177" s="45"/>
      <c r="AM177" s="45"/>
      <c r="AN177" s="45"/>
      <c r="AO177" s="45"/>
      <c r="AP177" s="45"/>
      <c r="AQ177" s="45"/>
      <c r="AR177" s="45"/>
      <c r="AS177" s="45"/>
      <c r="AT177" s="45"/>
      <c r="AU177" s="45"/>
      <c r="AV177" s="45"/>
      <c r="AW177" s="45"/>
      <c r="AX177" s="45"/>
      <c r="AY177" s="45"/>
      <c r="AZ177" s="45"/>
      <c r="BA177" s="45"/>
      <c r="BB177" s="45"/>
      <c r="BC177" s="45"/>
      <c r="BD177" s="45"/>
    </row>
    <row r="178" spans="2:56">
      <c r="B178" s="48">
        <v>47331</v>
      </c>
      <c r="C178" s="8" t="s">
        <v>5</v>
      </c>
      <c r="D178" s="7">
        <v>1742.6</v>
      </c>
      <c r="E178" s="7">
        <v>1477.04</v>
      </c>
      <c r="F178" s="7">
        <v>1298.7</v>
      </c>
      <c r="G178" s="7">
        <v>1190.8</v>
      </c>
      <c r="H178" s="7">
        <v>1244.3599999999999</v>
      </c>
      <c r="I178" s="7">
        <v>1883.25</v>
      </c>
      <c r="J178" s="7">
        <v>3548.35</v>
      </c>
      <c r="K178" s="7">
        <v>5752.26</v>
      </c>
      <c r="L178" s="7">
        <v>7016.13</v>
      </c>
      <c r="M178" s="7">
        <v>7281.55</v>
      </c>
      <c r="N178" s="7">
        <v>8086.08</v>
      </c>
      <c r="O178" s="7">
        <v>8332.23</v>
      </c>
      <c r="P178" s="7">
        <v>7863.16</v>
      </c>
      <c r="Q178" s="7">
        <v>8198.44</v>
      </c>
      <c r="R178" s="7">
        <v>8685.82</v>
      </c>
      <c r="S178" s="7">
        <v>8581.82</v>
      </c>
      <c r="T178" s="7">
        <v>8265.17</v>
      </c>
      <c r="U178" s="7">
        <v>7043.04</v>
      </c>
      <c r="V178" s="7">
        <v>6562.32</v>
      </c>
      <c r="W178" s="7">
        <v>5976.84</v>
      </c>
      <c r="X178" s="7">
        <v>4937.0200000000004</v>
      </c>
      <c r="Y178" s="7">
        <v>3823.82</v>
      </c>
      <c r="Z178" s="7">
        <v>2954.92</v>
      </c>
      <c r="AA178" s="11">
        <v>2421.71</v>
      </c>
      <c r="AB178" s="5">
        <f t="shared" si="2"/>
        <v>124167.43000000004</v>
      </c>
      <c r="AC178" s="5">
        <v>21</v>
      </c>
      <c r="AD178" s="51">
        <f>(AB178*AC178)+(AB179*AC179)+(AB180*AC180)+(AB181*AC181)</f>
        <v>2946858.4700000011</v>
      </c>
      <c r="AG178" s="45"/>
      <c r="AH178" s="45"/>
      <c r="AI178" s="45"/>
      <c r="AJ178" s="45"/>
      <c r="AK178" s="45"/>
      <c r="AL178" s="45"/>
      <c r="AM178" s="45"/>
      <c r="AN178" s="45"/>
      <c r="AO178" s="45"/>
      <c r="AP178" s="45"/>
      <c r="AQ178" s="45"/>
      <c r="AR178" s="45"/>
      <c r="AS178" s="45"/>
      <c r="AT178" s="45"/>
      <c r="AU178" s="45"/>
      <c r="AV178" s="45"/>
      <c r="AW178" s="45"/>
      <c r="AX178" s="45"/>
      <c r="AY178" s="45"/>
      <c r="AZ178" s="45"/>
      <c r="BA178" s="45"/>
      <c r="BB178" s="45"/>
      <c r="BC178" s="45"/>
      <c r="BD178" s="45"/>
    </row>
    <row r="179" spans="2:56">
      <c r="B179" s="49"/>
      <c r="C179" s="1" t="s">
        <v>6</v>
      </c>
      <c r="D179" s="2">
        <v>178.85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738.62</v>
      </c>
      <c r="K179" s="2">
        <v>1978.19</v>
      </c>
      <c r="L179" s="2">
        <v>2774.76</v>
      </c>
      <c r="M179" s="2">
        <v>3058.25</v>
      </c>
      <c r="N179" s="2">
        <v>3507.57</v>
      </c>
      <c r="O179" s="2">
        <v>3562.74</v>
      </c>
      <c r="P179" s="2">
        <v>3271.55</v>
      </c>
      <c r="Q179" s="2">
        <v>2958.78</v>
      </c>
      <c r="R179" s="2">
        <v>2752.31</v>
      </c>
      <c r="S179" s="2">
        <v>2681.73</v>
      </c>
      <c r="T179" s="2">
        <v>2537.5700000000002</v>
      </c>
      <c r="U179" s="2">
        <v>2522.15</v>
      </c>
      <c r="V179" s="2">
        <v>2637.3</v>
      </c>
      <c r="W179" s="2">
        <v>2265.6999999999998</v>
      </c>
      <c r="X179" s="2">
        <v>1689.84</v>
      </c>
      <c r="Y179" s="2">
        <v>806.71</v>
      </c>
      <c r="Z179" s="2">
        <v>315.79000000000002</v>
      </c>
      <c r="AA179" s="12">
        <v>0</v>
      </c>
      <c r="AB179" s="3">
        <f t="shared" si="2"/>
        <v>40238.409999999996</v>
      </c>
      <c r="AC179" s="3">
        <v>4</v>
      </c>
      <c r="AD179" s="52"/>
      <c r="AG179" s="45"/>
      <c r="AH179" s="45"/>
      <c r="AI179" s="45"/>
      <c r="AJ179" s="45"/>
      <c r="AK179" s="45"/>
      <c r="AL179" s="45"/>
      <c r="AM179" s="45"/>
      <c r="AN179" s="45"/>
      <c r="AO179" s="45"/>
      <c r="AP179" s="45"/>
      <c r="AQ179" s="45"/>
      <c r="AR179" s="45"/>
      <c r="AS179" s="45"/>
      <c r="AT179" s="45"/>
      <c r="AU179" s="45"/>
      <c r="AV179" s="45"/>
      <c r="AW179" s="45"/>
      <c r="AX179" s="45"/>
      <c r="AY179" s="45"/>
      <c r="AZ179" s="45"/>
      <c r="BA179" s="45"/>
      <c r="BB179" s="45"/>
      <c r="BC179" s="45"/>
      <c r="BD179" s="45"/>
    </row>
    <row r="180" spans="2:56">
      <c r="B180" s="49"/>
      <c r="C180" s="1" t="s">
        <v>7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364.55</v>
      </c>
      <c r="M180" s="2">
        <v>596.54</v>
      </c>
      <c r="N180" s="2">
        <v>1065.4000000000001</v>
      </c>
      <c r="O180" s="2">
        <v>1260.02</v>
      </c>
      <c r="P180" s="2">
        <v>1461.96</v>
      </c>
      <c r="Q180" s="2">
        <v>1493.03</v>
      </c>
      <c r="R180" s="2">
        <v>1455.03</v>
      </c>
      <c r="S180" s="2">
        <v>1522.61</v>
      </c>
      <c r="T180" s="2">
        <v>1580.46</v>
      </c>
      <c r="U180" s="2">
        <v>1659.21</v>
      </c>
      <c r="V180" s="2">
        <v>1950.03</v>
      </c>
      <c r="W180" s="2">
        <v>1927.77</v>
      </c>
      <c r="X180" s="2">
        <v>1583.29</v>
      </c>
      <c r="Y180" s="2">
        <v>808.07</v>
      </c>
      <c r="Z180" s="2">
        <v>400.94</v>
      </c>
      <c r="AA180" s="12">
        <v>111.38</v>
      </c>
      <c r="AB180" s="3">
        <f t="shared" si="2"/>
        <v>19240.289999999997</v>
      </c>
      <c r="AC180" s="3">
        <v>4</v>
      </c>
      <c r="AD180" s="52"/>
      <c r="AG180" s="45"/>
      <c r="AH180" s="45"/>
      <c r="AI180" s="45"/>
      <c r="AJ180" s="45"/>
      <c r="AK180" s="45"/>
      <c r="AL180" s="45"/>
      <c r="AM180" s="45"/>
      <c r="AN180" s="45"/>
      <c r="AO180" s="45"/>
      <c r="AP180" s="45"/>
      <c r="AQ180" s="45"/>
      <c r="AR180" s="45"/>
      <c r="AS180" s="45"/>
      <c r="AT180" s="45"/>
      <c r="AU180" s="45"/>
      <c r="AV180" s="45"/>
      <c r="AW180" s="45"/>
      <c r="AX180" s="45"/>
      <c r="AY180" s="45"/>
      <c r="AZ180" s="45"/>
      <c r="BA180" s="45"/>
      <c r="BB180" s="45"/>
      <c r="BC180" s="45"/>
      <c r="BD180" s="45"/>
    </row>
    <row r="181" spans="2:56" ht="15" thickBot="1">
      <c r="B181" s="50"/>
      <c r="C181" s="9" t="s">
        <v>8</v>
      </c>
      <c r="D181" s="10">
        <v>833.71</v>
      </c>
      <c r="E181" s="10">
        <v>536.16999999999996</v>
      </c>
      <c r="F181" s="10">
        <v>409.38</v>
      </c>
      <c r="G181" s="10">
        <v>351.85</v>
      </c>
      <c r="H181" s="10">
        <v>133.33000000000001</v>
      </c>
      <c r="I181" s="10">
        <v>210.65</v>
      </c>
      <c r="J181" s="10">
        <v>619.20000000000005</v>
      </c>
      <c r="K181" s="10">
        <v>1307.73</v>
      </c>
      <c r="L181" s="10">
        <v>1857.8</v>
      </c>
      <c r="M181" s="10">
        <v>2158.4699999999998</v>
      </c>
      <c r="N181" s="10">
        <v>2793.1</v>
      </c>
      <c r="O181" s="10">
        <v>3027.87</v>
      </c>
      <c r="P181" s="10">
        <v>3250.43</v>
      </c>
      <c r="Q181" s="10">
        <v>3268.43</v>
      </c>
      <c r="R181" s="10">
        <v>3342.21</v>
      </c>
      <c r="S181" s="10">
        <v>3396.4</v>
      </c>
      <c r="T181" s="10">
        <v>3396.89</v>
      </c>
      <c r="U181" s="10">
        <v>3569.71</v>
      </c>
      <c r="V181" s="10">
        <v>3952.67</v>
      </c>
      <c r="W181" s="10">
        <v>3750.95</v>
      </c>
      <c r="X181" s="10">
        <v>3299.89</v>
      </c>
      <c r="Y181" s="10">
        <v>2253.31</v>
      </c>
      <c r="Z181" s="10">
        <v>1668.8</v>
      </c>
      <c r="AA181" s="13">
        <v>1324.87</v>
      </c>
      <c r="AB181" s="6">
        <f t="shared" si="2"/>
        <v>50713.82</v>
      </c>
      <c r="AC181" s="6">
        <v>2</v>
      </c>
      <c r="AD181" s="53"/>
      <c r="AG181" s="45"/>
      <c r="AH181" s="45"/>
      <c r="AI181" s="45"/>
      <c r="AJ181" s="45"/>
      <c r="AK181" s="45"/>
      <c r="AL181" s="45"/>
      <c r="AM181" s="45"/>
      <c r="AN181" s="45"/>
      <c r="AO181" s="45"/>
      <c r="AP181" s="45"/>
      <c r="AQ181" s="45"/>
      <c r="AR181" s="45"/>
      <c r="AS181" s="45"/>
      <c r="AT181" s="45"/>
      <c r="AU181" s="45"/>
      <c r="AV181" s="45"/>
      <c r="AW181" s="45"/>
      <c r="AX181" s="45"/>
      <c r="AY181" s="45"/>
      <c r="AZ181" s="45"/>
      <c r="BA181" s="45"/>
      <c r="BB181" s="45"/>
      <c r="BC181" s="45"/>
      <c r="BD181" s="45"/>
    </row>
    <row r="182" spans="2:56">
      <c r="B182" s="48">
        <v>47362</v>
      </c>
      <c r="C182" s="8" t="s">
        <v>5</v>
      </c>
      <c r="D182" s="7">
        <v>229.9</v>
      </c>
      <c r="E182" s="7">
        <v>9.41</v>
      </c>
      <c r="F182" s="7">
        <v>0</v>
      </c>
      <c r="G182" s="7">
        <v>0</v>
      </c>
      <c r="H182" s="7">
        <v>0</v>
      </c>
      <c r="I182" s="7">
        <v>346.68</v>
      </c>
      <c r="J182" s="7">
        <v>1729.19</v>
      </c>
      <c r="K182" s="7">
        <v>3555.6</v>
      </c>
      <c r="L182" s="7">
        <v>4604.97</v>
      </c>
      <c r="M182" s="7">
        <v>4825.3500000000004</v>
      </c>
      <c r="N182" s="7">
        <v>5493.33</v>
      </c>
      <c r="O182" s="7">
        <v>5697.71</v>
      </c>
      <c r="P182" s="7">
        <v>5308.25</v>
      </c>
      <c r="Q182" s="7">
        <v>5586.62</v>
      </c>
      <c r="R182" s="7">
        <v>5991.29</v>
      </c>
      <c r="S182" s="7">
        <v>5904.94</v>
      </c>
      <c r="T182" s="7">
        <v>5642.03</v>
      </c>
      <c r="U182" s="7">
        <v>4630.7700000000004</v>
      </c>
      <c r="V182" s="7">
        <v>4231.6400000000003</v>
      </c>
      <c r="W182" s="7">
        <v>3745.52</v>
      </c>
      <c r="X182" s="7">
        <v>2882.17</v>
      </c>
      <c r="Y182" s="7">
        <v>1957.91</v>
      </c>
      <c r="Z182" s="7">
        <v>1236.47</v>
      </c>
      <c r="AA182" s="11">
        <v>793.75</v>
      </c>
      <c r="AB182" s="5">
        <f t="shared" si="2"/>
        <v>74403.500000000015</v>
      </c>
      <c r="AC182" s="5">
        <v>20</v>
      </c>
      <c r="AD182" s="51">
        <f>(AB182*AC182)+(AB183*AC183)+(AB184*AC184)+(AB185*AC185)</f>
        <v>1777303.5000000002</v>
      </c>
      <c r="AG182" s="45"/>
      <c r="AH182" s="45"/>
      <c r="AI182" s="45"/>
      <c r="AJ182" s="45"/>
      <c r="AK182" s="45"/>
      <c r="AL182" s="45"/>
      <c r="AM182" s="45"/>
      <c r="AN182" s="45"/>
      <c r="AO182" s="45"/>
      <c r="AP182" s="45"/>
      <c r="AQ182" s="45"/>
      <c r="AR182" s="45"/>
      <c r="AS182" s="45"/>
      <c r="AT182" s="45"/>
      <c r="AU182" s="45"/>
      <c r="AV182" s="45"/>
      <c r="AW182" s="45"/>
      <c r="AX182" s="45"/>
      <c r="AY182" s="45"/>
      <c r="AZ182" s="45"/>
      <c r="BA182" s="45"/>
      <c r="BB182" s="45"/>
      <c r="BC182" s="45"/>
      <c r="BD182" s="45"/>
    </row>
    <row r="183" spans="2:56">
      <c r="B183" s="49"/>
      <c r="C183" s="1" t="s">
        <v>6</v>
      </c>
      <c r="D183" s="2">
        <v>130.85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690.62</v>
      </c>
      <c r="K183" s="2">
        <v>1930.19</v>
      </c>
      <c r="L183" s="2">
        <v>2726.76</v>
      </c>
      <c r="M183" s="2">
        <v>3010.25</v>
      </c>
      <c r="N183" s="2">
        <v>3459.57</v>
      </c>
      <c r="O183" s="2">
        <v>3514.74</v>
      </c>
      <c r="P183" s="2">
        <v>3223.55</v>
      </c>
      <c r="Q183" s="2">
        <v>2910.78</v>
      </c>
      <c r="R183" s="2">
        <v>2704.31</v>
      </c>
      <c r="S183" s="2">
        <v>2633.73</v>
      </c>
      <c r="T183" s="2">
        <v>2489.5700000000002</v>
      </c>
      <c r="U183" s="2">
        <v>2474.15</v>
      </c>
      <c r="V183" s="2">
        <v>2589.3000000000002</v>
      </c>
      <c r="W183" s="2">
        <v>2217.6999999999998</v>
      </c>
      <c r="X183" s="2">
        <v>1641.84</v>
      </c>
      <c r="Y183" s="2">
        <v>758.71</v>
      </c>
      <c r="Z183" s="2">
        <v>267.79000000000002</v>
      </c>
      <c r="AA183" s="12">
        <v>0</v>
      </c>
      <c r="AB183" s="3">
        <f t="shared" si="2"/>
        <v>39374.409999999996</v>
      </c>
      <c r="AC183" s="3">
        <v>5</v>
      </c>
      <c r="AD183" s="52"/>
      <c r="AG183" s="45"/>
      <c r="AH183" s="45"/>
      <c r="AI183" s="45"/>
      <c r="AJ183" s="45"/>
      <c r="AK183" s="45"/>
      <c r="AL183" s="45"/>
      <c r="AM183" s="45"/>
      <c r="AN183" s="45"/>
      <c r="AO183" s="45"/>
      <c r="AP183" s="45"/>
      <c r="AQ183" s="45"/>
      <c r="AR183" s="45"/>
      <c r="AS183" s="45"/>
      <c r="AT183" s="45"/>
      <c r="AU183" s="45"/>
      <c r="AV183" s="45"/>
      <c r="AW183" s="45"/>
      <c r="AX183" s="45"/>
      <c r="AY183" s="45"/>
      <c r="AZ183" s="45"/>
      <c r="BA183" s="45"/>
      <c r="BB183" s="45"/>
      <c r="BC183" s="45"/>
      <c r="BD183" s="45"/>
    </row>
    <row r="184" spans="2:56">
      <c r="B184" s="49"/>
      <c r="C184" s="1" t="s">
        <v>7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316.55</v>
      </c>
      <c r="M184" s="2">
        <v>548.54</v>
      </c>
      <c r="N184" s="2">
        <v>1017.4</v>
      </c>
      <c r="O184" s="2">
        <v>1212.02</v>
      </c>
      <c r="P184" s="2">
        <v>1413.96</v>
      </c>
      <c r="Q184" s="2">
        <v>1445.03</v>
      </c>
      <c r="R184" s="2">
        <v>1407.03</v>
      </c>
      <c r="S184" s="2">
        <v>1474.61</v>
      </c>
      <c r="T184" s="2">
        <v>1532.46</v>
      </c>
      <c r="U184" s="2">
        <v>1611.21</v>
      </c>
      <c r="V184" s="2">
        <v>1902.03</v>
      </c>
      <c r="W184" s="2">
        <v>1879.77</v>
      </c>
      <c r="X184" s="2">
        <v>1535.29</v>
      </c>
      <c r="Y184" s="2">
        <v>760.07</v>
      </c>
      <c r="Z184" s="2">
        <v>352.94</v>
      </c>
      <c r="AA184" s="12">
        <v>63.38</v>
      </c>
      <c r="AB184" s="3">
        <f t="shared" si="2"/>
        <v>18472.289999999997</v>
      </c>
      <c r="AC184" s="3">
        <v>5</v>
      </c>
      <c r="AD184" s="52"/>
      <c r="AG184" s="45"/>
      <c r="AH184" s="45"/>
      <c r="AI184" s="45"/>
      <c r="AJ184" s="45"/>
      <c r="AK184" s="45"/>
      <c r="AL184" s="45"/>
      <c r="AM184" s="45"/>
      <c r="AN184" s="45"/>
      <c r="AO184" s="45"/>
      <c r="AP184" s="45"/>
      <c r="AQ184" s="45"/>
      <c r="AR184" s="45"/>
      <c r="AS184" s="45"/>
      <c r="AT184" s="45"/>
      <c r="AU184" s="45"/>
      <c r="AV184" s="45"/>
      <c r="AW184" s="45"/>
      <c r="AX184" s="45"/>
      <c r="AY184" s="45"/>
      <c r="AZ184" s="45"/>
      <c r="BA184" s="45"/>
      <c r="BB184" s="45"/>
      <c r="BC184" s="45"/>
      <c r="BD184" s="45"/>
    </row>
    <row r="185" spans="2:56" ht="15" thickBot="1">
      <c r="B185" s="50"/>
      <c r="C185" s="9" t="s">
        <v>8</v>
      </c>
      <c r="D185" s="10">
        <v>0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3">
        <v>0</v>
      </c>
      <c r="AB185" s="6">
        <f t="shared" si="2"/>
        <v>0</v>
      </c>
      <c r="AC185" s="6">
        <v>0</v>
      </c>
      <c r="AD185" s="53"/>
      <c r="AG185" s="45"/>
      <c r="AH185" s="45"/>
      <c r="AI185" s="45"/>
      <c r="AJ185" s="45"/>
      <c r="AK185" s="45"/>
      <c r="AL185" s="45"/>
      <c r="AM185" s="45"/>
      <c r="AN185" s="45"/>
      <c r="AO185" s="45"/>
      <c r="AP185" s="45"/>
      <c r="AQ185" s="45"/>
      <c r="AR185" s="45"/>
      <c r="AS185" s="45"/>
      <c r="AT185" s="45"/>
      <c r="AU185" s="45"/>
      <c r="AV185" s="45"/>
      <c r="AW185" s="45"/>
      <c r="AX185" s="45"/>
      <c r="AY185" s="45"/>
      <c r="AZ185" s="45"/>
      <c r="BA185" s="45"/>
      <c r="BB185" s="45"/>
      <c r="BC185" s="45"/>
      <c r="BD185" s="45"/>
    </row>
    <row r="186" spans="2:56">
      <c r="B186" s="48">
        <v>47392</v>
      </c>
      <c r="C186" s="8" t="s">
        <v>5</v>
      </c>
      <c r="D186" s="7">
        <v>256.2</v>
      </c>
      <c r="E186" s="7">
        <v>33.729999999999997</v>
      </c>
      <c r="F186" s="7">
        <v>0</v>
      </c>
      <c r="G186" s="7">
        <v>0</v>
      </c>
      <c r="H186" s="7">
        <v>0</v>
      </c>
      <c r="I186" s="7">
        <v>374.02</v>
      </c>
      <c r="J186" s="7">
        <v>1768.94</v>
      </c>
      <c r="K186" s="7">
        <v>3611.92</v>
      </c>
      <c r="L186" s="7">
        <v>4670.71</v>
      </c>
      <c r="M186" s="7">
        <v>4893.0600000000004</v>
      </c>
      <c r="N186" s="7">
        <v>5567.05</v>
      </c>
      <c r="O186" s="7">
        <v>5773.26</v>
      </c>
      <c r="P186" s="7">
        <v>5380.3</v>
      </c>
      <c r="Q186" s="7">
        <v>5661.17</v>
      </c>
      <c r="R186" s="7">
        <v>6069.47</v>
      </c>
      <c r="S186" s="7">
        <v>5982.34</v>
      </c>
      <c r="T186" s="7">
        <v>5717.07</v>
      </c>
      <c r="U186" s="7">
        <v>4696.5600000000004</v>
      </c>
      <c r="V186" s="7">
        <v>4293.8500000000004</v>
      </c>
      <c r="W186" s="7">
        <v>3803.37</v>
      </c>
      <c r="X186" s="7">
        <v>2932.27</v>
      </c>
      <c r="Y186" s="7">
        <v>1999.71</v>
      </c>
      <c r="Z186" s="7">
        <v>1271.8</v>
      </c>
      <c r="AA186" s="11">
        <v>825.11</v>
      </c>
      <c r="AB186" s="5">
        <f t="shared" si="2"/>
        <v>75581.91</v>
      </c>
      <c r="AC186" s="5">
        <v>22</v>
      </c>
      <c r="AD186" s="51">
        <f>(AB186*AC186)+(AB187*AC187)+(AB188*AC188)+(AB189*AC189)</f>
        <v>2266374.4500000002</v>
      </c>
      <c r="AG186" s="45"/>
      <c r="AH186" s="45"/>
      <c r="AI186" s="45"/>
      <c r="AJ186" s="45"/>
      <c r="AK186" s="45"/>
      <c r="AL186" s="45"/>
      <c r="AM186" s="45"/>
      <c r="AN186" s="45"/>
      <c r="AO186" s="45"/>
      <c r="AP186" s="45"/>
      <c r="AQ186" s="45"/>
      <c r="AR186" s="45"/>
      <c r="AS186" s="45"/>
      <c r="AT186" s="45"/>
      <c r="AU186" s="45"/>
      <c r="AV186" s="45"/>
      <c r="AW186" s="45"/>
      <c r="AX186" s="45"/>
      <c r="AY186" s="45"/>
      <c r="AZ186" s="45"/>
      <c r="BA186" s="45"/>
      <c r="BB186" s="45"/>
      <c r="BC186" s="45"/>
      <c r="BD186" s="45"/>
    </row>
    <row r="187" spans="2:56">
      <c r="B187" s="49"/>
      <c r="C187" s="1" t="s">
        <v>6</v>
      </c>
      <c r="D187" s="2">
        <v>1594.57</v>
      </c>
      <c r="E187" s="2">
        <v>1269.3399999999999</v>
      </c>
      <c r="F187" s="2">
        <v>1054.19</v>
      </c>
      <c r="G187" s="2">
        <v>992.08</v>
      </c>
      <c r="H187" s="2">
        <v>917.61</v>
      </c>
      <c r="I187" s="2">
        <v>1093.1199999999999</v>
      </c>
      <c r="J187" s="2">
        <v>2273.29</v>
      </c>
      <c r="K187" s="2">
        <v>3780.61</v>
      </c>
      <c r="L187" s="2">
        <v>4746.47</v>
      </c>
      <c r="M187" s="2">
        <v>5090.2</v>
      </c>
      <c r="N187" s="2">
        <v>5635.01</v>
      </c>
      <c r="O187" s="2">
        <v>5701.89</v>
      </c>
      <c r="P187" s="2">
        <v>5348.83</v>
      </c>
      <c r="Q187" s="2">
        <v>4969.59</v>
      </c>
      <c r="R187" s="2">
        <v>4719.24</v>
      </c>
      <c r="S187" s="2">
        <v>4633.66</v>
      </c>
      <c r="T187" s="2">
        <v>4458.87</v>
      </c>
      <c r="U187" s="2">
        <v>4435.8500000000004</v>
      </c>
      <c r="V187" s="2">
        <v>4575.47</v>
      </c>
      <c r="W187" s="2">
        <v>4124.8999999999996</v>
      </c>
      <c r="X187" s="2">
        <v>3426.67</v>
      </c>
      <c r="Y187" s="2">
        <v>2355.85</v>
      </c>
      <c r="Z187" s="2">
        <v>1760.6</v>
      </c>
      <c r="AA187" s="12">
        <v>1341.21</v>
      </c>
      <c r="AB187" s="3">
        <f t="shared" si="2"/>
        <v>80299.12000000001</v>
      </c>
      <c r="AC187" s="3">
        <v>4</v>
      </c>
      <c r="AD187" s="52"/>
      <c r="AG187" s="45"/>
      <c r="AH187" s="45"/>
      <c r="AI187" s="45"/>
      <c r="AJ187" s="45"/>
      <c r="AK187" s="45"/>
      <c r="AL187" s="45"/>
      <c r="AM187" s="45"/>
      <c r="AN187" s="45"/>
      <c r="AO187" s="45"/>
      <c r="AP187" s="45"/>
      <c r="AQ187" s="45"/>
      <c r="AR187" s="45"/>
      <c r="AS187" s="45"/>
      <c r="AT187" s="45"/>
      <c r="AU187" s="45"/>
      <c r="AV187" s="45"/>
      <c r="AW187" s="45"/>
      <c r="AX187" s="45"/>
      <c r="AY187" s="45"/>
      <c r="AZ187" s="45"/>
      <c r="BA187" s="45"/>
      <c r="BB187" s="45"/>
      <c r="BC187" s="45"/>
      <c r="BD187" s="45"/>
    </row>
    <row r="188" spans="2:56">
      <c r="B188" s="49"/>
      <c r="C188" s="1" t="s">
        <v>7</v>
      </c>
      <c r="D188" s="2">
        <v>1275.8</v>
      </c>
      <c r="E188" s="2">
        <v>888.59</v>
      </c>
      <c r="F188" s="2">
        <v>677.32</v>
      </c>
      <c r="G188" s="2">
        <v>529.71</v>
      </c>
      <c r="H188" s="2">
        <v>417.43</v>
      </c>
      <c r="I188" s="2">
        <v>370.57</v>
      </c>
      <c r="J188" s="2">
        <v>773.25</v>
      </c>
      <c r="K188" s="2">
        <v>1354.44</v>
      </c>
      <c r="L188" s="2">
        <v>1824.06</v>
      </c>
      <c r="M188" s="2">
        <v>2105.35</v>
      </c>
      <c r="N188" s="2">
        <v>2673.85</v>
      </c>
      <c r="O188" s="2">
        <v>2909.83</v>
      </c>
      <c r="P188" s="2">
        <v>3154.68</v>
      </c>
      <c r="Q188" s="2">
        <v>3192.35</v>
      </c>
      <c r="R188" s="2">
        <v>3146.28</v>
      </c>
      <c r="S188" s="2">
        <v>3228.23</v>
      </c>
      <c r="T188" s="2">
        <v>3298.37</v>
      </c>
      <c r="U188" s="2">
        <v>3389.52</v>
      </c>
      <c r="V188" s="2">
        <v>3742.14</v>
      </c>
      <c r="W188" s="2">
        <v>3715.15</v>
      </c>
      <c r="X188" s="2">
        <v>3297.46</v>
      </c>
      <c r="Y188" s="2">
        <v>2357.5100000000002</v>
      </c>
      <c r="Z188" s="2">
        <v>1863.86</v>
      </c>
      <c r="AA188" s="12">
        <v>1512.76</v>
      </c>
      <c r="AB188" s="3">
        <f t="shared" si="2"/>
        <v>51698.51</v>
      </c>
      <c r="AC188" s="3">
        <v>4</v>
      </c>
      <c r="AD188" s="52"/>
      <c r="AG188" s="45"/>
      <c r="AH188" s="45"/>
      <c r="AI188" s="45"/>
      <c r="AJ188" s="45"/>
      <c r="AK188" s="45"/>
      <c r="AL188" s="45"/>
      <c r="AM188" s="45"/>
      <c r="AN188" s="45"/>
      <c r="AO188" s="45"/>
      <c r="AP188" s="45"/>
      <c r="AQ188" s="45"/>
      <c r="AR188" s="45"/>
      <c r="AS188" s="45"/>
      <c r="AT188" s="45"/>
      <c r="AU188" s="45"/>
      <c r="AV188" s="45"/>
      <c r="AW188" s="45"/>
      <c r="AX188" s="45"/>
      <c r="AY188" s="45"/>
      <c r="AZ188" s="45"/>
      <c r="BA188" s="45"/>
      <c r="BB188" s="45"/>
      <c r="BC188" s="45"/>
      <c r="BD188" s="45"/>
    </row>
    <row r="189" spans="2:56" ht="15" thickBot="1">
      <c r="B189" s="50"/>
      <c r="C189" s="9" t="s">
        <v>8</v>
      </c>
      <c r="D189" s="10">
        <v>256.2</v>
      </c>
      <c r="E189" s="10">
        <v>33.729999999999997</v>
      </c>
      <c r="F189" s="10">
        <v>0</v>
      </c>
      <c r="G189" s="10">
        <v>0</v>
      </c>
      <c r="H189" s="10">
        <v>0</v>
      </c>
      <c r="I189" s="10">
        <v>374.02</v>
      </c>
      <c r="J189" s="10">
        <v>1768.94</v>
      </c>
      <c r="K189" s="10">
        <v>3611.92</v>
      </c>
      <c r="L189" s="10">
        <v>4670.71</v>
      </c>
      <c r="M189" s="10">
        <v>4893.0600000000004</v>
      </c>
      <c r="N189" s="10">
        <v>5567.05</v>
      </c>
      <c r="O189" s="10">
        <v>5773.26</v>
      </c>
      <c r="P189" s="10">
        <v>5380.3</v>
      </c>
      <c r="Q189" s="10">
        <v>5661.17</v>
      </c>
      <c r="R189" s="10">
        <v>6069.47</v>
      </c>
      <c r="S189" s="10">
        <v>5982.34</v>
      </c>
      <c r="T189" s="10">
        <v>5717.07</v>
      </c>
      <c r="U189" s="10">
        <v>4696.5600000000004</v>
      </c>
      <c r="V189" s="10">
        <v>4293.8500000000004</v>
      </c>
      <c r="W189" s="10">
        <v>3803.37</v>
      </c>
      <c r="X189" s="10">
        <v>2932.27</v>
      </c>
      <c r="Y189" s="10">
        <v>1999.71</v>
      </c>
      <c r="Z189" s="10">
        <v>1271.8</v>
      </c>
      <c r="AA189" s="13">
        <v>825.11</v>
      </c>
      <c r="AB189" s="6">
        <f t="shared" si="2"/>
        <v>75581.91</v>
      </c>
      <c r="AC189" s="6">
        <v>1</v>
      </c>
      <c r="AD189" s="53"/>
      <c r="AG189" s="45"/>
      <c r="AH189" s="45"/>
      <c r="AI189" s="45"/>
      <c r="AJ189" s="45"/>
      <c r="AK189" s="45"/>
      <c r="AL189" s="45"/>
      <c r="AM189" s="45"/>
      <c r="AN189" s="45"/>
      <c r="AO189" s="45"/>
      <c r="AP189" s="45"/>
      <c r="AQ189" s="45"/>
      <c r="AR189" s="45"/>
      <c r="AS189" s="45"/>
      <c r="AT189" s="45"/>
      <c r="AU189" s="45"/>
      <c r="AV189" s="45"/>
      <c r="AW189" s="45"/>
      <c r="AX189" s="45"/>
      <c r="AY189" s="45"/>
      <c r="AZ189" s="45"/>
      <c r="BA189" s="45"/>
      <c r="BB189" s="45"/>
      <c r="BC189" s="45"/>
      <c r="BD189" s="45"/>
    </row>
    <row r="190" spans="2:56">
      <c r="B190" s="48">
        <v>47423</v>
      </c>
      <c r="C190" s="8" t="s">
        <v>5</v>
      </c>
      <c r="D190" s="7">
        <v>1897.52</v>
      </c>
      <c r="E190" s="7">
        <v>1623.63</v>
      </c>
      <c r="F190" s="7">
        <v>1439.68</v>
      </c>
      <c r="G190" s="7">
        <v>1328.4</v>
      </c>
      <c r="H190" s="7">
        <v>1383.64</v>
      </c>
      <c r="I190" s="7">
        <v>2042.58</v>
      </c>
      <c r="J190" s="7">
        <v>3759.95</v>
      </c>
      <c r="K190" s="7">
        <v>6033.68</v>
      </c>
      <c r="L190" s="7">
        <v>7337.23</v>
      </c>
      <c r="M190" s="7">
        <v>7610.98</v>
      </c>
      <c r="N190" s="7">
        <v>8440.77</v>
      </c>
      <c r="O190" s="7">
        <v>8694.65</v>
      </c>
      <c r="P190" s="7">
        <v>8210.85</v>
      </c>
      <c r="Q190" s="7">
        <v>8556.66</v>
      </c>
      <c r="R190" s="7">
        <v>9059.33</v>
      </c>
      <c r="S190" s="7">
        <v>8952.07</v>
      </c>
      <c r="T190" s="7">
        <v>8625.48</v>
      </c>
      <c r="U190" s="7">
        <v>7364.35</v>
      </c>
      <c r="V190" s="7">
        <v>6868.54</v>
      </c>
      <c r="W190" s="7">
        <v>6264.68</v>
      </c>
      <c r="X190" s="7">
        <v>5192.21</v>
      </c>
      <c r="Y190" s="7">
        <v>4044.08</v>
      </c>
      <c r="Z190" s="7">
        <v>3147.89</v>
      </c>
      <c r="AA190" s="11">
        <v>2597.94</v>
      </c>
      <c r="AB190" s="5">
        <f t="shared" si="2"/>
        <v>130476.79</v>
      </c>
      <c r="AC190" s="5">
        <v>20</v>
      </c>
      <c r="AD190" s="51">
        <f>(AB190*AC190)+(AB191*AC191)+(AB192*AC192)+(AB193*AC193)</f>
        <v>2892186.26</v>
      </c>
      <c r="AG190" s="45"/>
      <c r="AH190" s="45"/>
      <c r="AI190" s="45"/>
      <c r="AJ190" s="45"/>
      <c r="AK190" s="45"/>
      <c r="AL190" s="45"/>
      <c r="AM190" s="45"/>
      <c r="AN190" s="45"/>
      <c r="AO190" s="45"/>
      <c r="AP190" s="45"/>
      <c r="AQ190" s="45"/>
      <c r="AR190" s="45"/>
      <c r="AS190" s="45"/>
      <c r="AT190" s="45"/>
      <c r="AU190" s="45"/>
      <c r="AV190" s="45"/>
      <c r="AW190" s="45"/>
      <c r="AX190" s="45"/>
      <c r="AY190" s="45"/>
      <c r="AZ190" s="45"/>
      <c r="BA190" s="45"/>
      <c r="BB190" s="45"/>
      <c r="BC190" s="45"/>
      <c r="BD190" s="45"/>
    </row>
    <row r="191" spans="2:56">
      <c r="B191" s="49"/>
      <c r="C191" s="1" t="s">
        <v>6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448.03</v>
      </c>
      <c r="K191" s="2">
        <v>1658.76</v>
      </c>
      <c r="L191" s="2">
        <v>2437.1</v>
      </c>
      <c r="M191" s="2">
        <v>2714.09</v>
      </c>
      <c r="N191" s="2">
        <v>3153.14</v>
      </c>
      <c r="O191" s="2">
        <v>3207.04</v>
      </c>
      <c r="P191" s="2">
        <v>2922.51</v>
      </c>
      <c r="Q191" s="2">
        <v>2616.9</v>
      </c>
      <c r="R191" s="2">
        <v>2415.16</v>
      </c>
      <c r="S191" s="2">
        <v>2346.19</v>
      </c>
      <c r="T191" s="2">
        <v>2205.33</v>
      </c>
      <c r="U191" s="2">
        <v>2190.7399999999998</v>
      </c>
      <c r="V191" s="2">
        <v>2303.25</v>
      </c>
      <c r="W191" s="2">
        <v>1940.16</v>
      </c>
      <c r="X191" s="2">
        <v>1377.48</v>
      </c>
      <c r="Y191" s="2">
        <v>514.55999999999995</v>
      </c>
      <c r="Z191" s="2">
        <v>34.880000000000003</v>
      </c>
      <c r="AA191" s="12">
        <v>0</v>
      </c>
      <c r="AB191" s="3">
        <f t="shared" si="2"/>
        <v>34485.319999999992</v>
      </c>
      <c r="AC191" s="3">
        <v>4</v>
      </c>
      <c r="AD191" s="52"/>
      <c r="AG191" s="45"/>
      <c r="AH191" s="45"/>
      <c r="AI191" s="45"/>
      <c r="AJ191" s="45"/>
      <c r="AK191" s="45"/>
      <c r="AL191" s="45"/>
      <c r="AM191" s="45"/>
      <c r="AN191" s="45"/>
      <c r="AO191" s="45"/>
      <c r="AP191" s="45"/>
      <c r="AQ191" s="45"/>
      <c r="AR191" s="45"/>
      <c r="AS191" s="45"/>
      <c r="AT191" s="45"/>
      <c r="AU191" s="45"/>
      <c r="AV191" s="45"/>
      <c r="AW191" s="45"/>
      <c r="AX191" s="45"/>
      <c r="AY191" s="45"/>
      <c r="AZ191" s="45"/>
      <c r="BA191" s="45"/>
      <c r="BB191" s="45"/>
      <c r="BC191" s="45"/>
      <c r="BD191" s="45"/>
    </row>
    <row r="192" spans="2:56">
      <c r="B192" s="49"/>
      <c r="C192" s="1" t="s">
        <v>7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82.06</v>
      </c>
      <c r="M192" s="2">
        <v>308.74</v>
      </c>
      <c r="N192" s="2">
        <v>766.87</v>
      </c>
      <c r="O192" s="2">
        <v>957.03</v>
      </c>
      <c r="P192" s="2">
        <v>1154.3499999999999</v>
      </c>
      <c r="Q192" s="2">
        <v>1184.71</v>
      </c>
      <c r="R192" s="2">
        <v>1147.58</v>
      </c>
      <c r="S192" s="2">
        <v>1213.6199999999999</v>
      </c>
      <c r="T192" s="2">
        <v>1270.1400000000001</v>
      </c>
      <c r="U192" s="2">
        <v>1347.55</v>
      </c>
      <c r="V192" s="2">
        <v>1631.71</v>
      </c>
      <c r="W192" s="2">
        <v>1609.96</v>
      </c>
      <c r="X192" s="2">
        <v>1273.3599999999999</v>
      </c>
      <c r="Y192" s="2">
        <v>515.9</v>
      </c>
      <c r="Z192" s="2">
        <v>118.09</v>
      </c>
      <c r="AA192" s="12">
        <v>0</v>
      </c>
      <c r="AB192" s="3">
        <f t="shared" si="2"/>
        <v>14581.67</v>
      </c>
      <c r="AC192" s="3">
        <v>4</v>
      </c>
      <c r="AD192" s="52"/>
      <c r="AG192" s="45"/>
      <c r="AH192" s="45"/>
      <c r="AI192" s="45"/>
      <c r="AJ192" s="45"/>
      <c r="AK192" s="45"/>
      <c r="AL192" s="45"/>
      <c r="AM192" s="45"/>
      <c r="AN192" s="45"/>
      <c r="AO192" s="45"/>
      <c r="AP192" s="45"/>
      <c r="AQ192" s="45"/>
      <c r="AR192" s="45"/>
      <c r="AS192" s="45"/>
      <c r="AT192" s="45"/>
      <c r="AU192" s="45"/>
      <c r="AV192" s="45"/>
      <c r="AW192" s="45"/>
      <c r="AX192" s="45"/>
      <c r="AY192" s="45"/>
      <c r="AZ192" s="45"/>
      <c r="BA192" s="45"/>
      <c r="BB192" s="45"/>
      <c r="BC192" s="45"/>
      <c r="BD192" s="45"/>
    </row>
    <row r="193" spans="2:56" ht="15" thickBot="1">
      <c r="B193" s="50"/>
      <c r="C193" s="9" t="s">
        <v>8</v>
      </c>
      <c r="D193" s="10">
        <v>540.95000000000005</v>
      </c>
      <c r="E193" s="10">
        <v>250.22</v>
      </c>
      <c r="F193" s="10">
        <v>126.33</v>
      </c>
      <c r="G193" s="10">
        <v>70.12</v>
      </c>
      <c r="H193" s="10">
        <v>0</v>
      </c>
      <c r="I193" s="10">
        <v>0</v>
      </c>
      <c r="J193" s="10">
        <v>331.35</v>
      </c>
      <c r="K193" s="10">
        <v>1003.65</v>
      </c>
      <c r="L193" s="10">
        <v>1541.13</v>
      </c>
      <c r="M193" s="10">
        <v>1834.92</v>
      </c>
      <c r="N193" s="10">
        <v>2455.02</v>
      </c>
      <c r="O193" s="10">
        <v>2684.41</v>
      </c>
      <c r="P193" s="10">
        <v>2901.88</v>
      </c>
      <c r="Q193" s="10">
        <v>2919.47</v>
      </c>
      <c r="R193" s="10">
        <v>2991.56</v>
      </c>
      <c r="S193" s="10">
        <v>3044.51</v>
      </c>
      <c r="T193" s="10">
        <v>3044.98</v>
      </c>
      <c r="U193" s="10">
        <v>3214.32</v>
      </c>
      <c r="V193" s="10">
        <v>3588.51</v>
      </c>
      <c r="W193" s="10">
        <v>3391.4</v>
      </c>
      <c r="X193" s="10">
        <v>2950.68</v>
      </c>
      <c r="Y193" s="10">
        <v>1928.05</v>
      </c>
      <c r="Z193" s="10">
        <v>1356.92</v>
      </c>
      <c r="AA193" s="13">
        <v>1020.87</v>
      </c>
      <c r="AB193" s="6">
        <f t="shared" si="2"/>
        <v>43191.250000000007</v>
      </c>
      <c r="AC193" s="6">
        <v>2</v>
      </c>
      <c r="AD193" s="53"/>
      <c r="AG193" s="45"/>
      <c r="AH193" s="45"/>
      <c r="AI193" s="45"/>
      <c r="AJ193" s="45"/>
      <c r="AK193" s="45"/>
      <c r="AL193" s="45"/>
      <c r="AM193" s="45"/>
      <c r="AN193" s="45"/>
      <c r="AO193" s="45"/>
      <c r="AP193" s="45"/>
      <c r="AQ193" s="45"/>
      <c r="AR193" s="45"/>
      <c r="AS193" s="45"/>
      <c r="AT193" s="45"/>
      <c r="AU193" s="45"/>
      <c r="AV193" s="45"/>
      <c r="AW193" s="45"/>
      <c r="AX193" s="45"/>
      <c r="AY193" s="45"/>
      <c r="AZ193" s="45"/>
      <c r="BA193" s="45"/>
      <c r="BB193" s="45"/>
      <c r="BC193" s="45"/>
      <c r="BD193" s="45"/>
    </row>
    <row r="194" spans="2:56">
      <c r="B194" s="48">
        <v>47453</v>
      </c>
      <c r="C194" s="8" t="s">
        <v>5</v>
      </c>
      <c r="D194" s="7">
        <v>358.48</v>
      </c>
      <c r="E194" s="7">
        <v>130.80000000000001</v>
      </c>
      <c r="F194" s="7">
        <v>0</v>
      </c>
      <c r="G194" s="7">
        <v>0</v>
      </c>
      <c r="H194" s="7">
        <v>0</v>
      </c>
      <c r="I194" s="7">
        <v>479.06</v>
      </c>
      <c r="J194" s="7">
        <v>1906.64</v>
      </c>
      <c r="K194" s="7">
        <v>3793.25</v>
      </c>
      <c r="L194" s="7">
        <v>4876.83</v>
      </c>
      <c r="M194" s="7">
        <v>5104.3900000000003</v>
      </c>
      <c r="N194" s="7">
        <v>5794.15</v>
      </c>
      <c r="O194" s="7">
        <v>6005.19</v>
      </c>
      <c r="P194" s="7">
        <v>5603.03</v>
      </c>
      <c r="Q194" s="7">
        <v>5890.48</v>
      </c>
      <c r="R194" s="7">
        <v>6308.34</v>
      </c>
      <c r="S194" s="7">
        <v>6219.17</v>
      </c>
      <c r="T194" s="7">
        <v>5947.69</v>
      </c>
      <c r="U194" s="7">
        <v>4902.8100000000004</v>
      </c>
      <c r="V194" s="7">
        <v>4490.67</v>
      </c>
      <c r="W194" s="7">
        <v>3988.7</v>
      </c>
      <c r="X194" s="7">
        <v>3097.21</v>
      </c>
      <c r="Y194" s="7">
        <v>2142.8200000000002</v>
      </c>
      <c r="Z194" s="7">
        <v>1397.86</v>
      </c>
      <c r="AA194" s="11">
        <v>940.71</v>
      </c>
      <c r="AB194" s="5">
        <f t="shared" si="2"/>
        <v>79378.280000000013</v>
      </c>
      <c r="AC194" s="5">
        <v>20</v>
      </c>
      <c r="AD194" s="51">
        <f>(AB194*AC194)+(AB195*AC195)+(AB196*AC196)+(AB197*AC197)</f>
        <v>2177993.5900000003</v>
      </c>
      <c r="AG194" s="45"/>
      <c r="AH194" s="45"/>
      <c r="AI194" s="45"/>
      <c r="AJ194" s="45"/>
      <c r="AK194" s="45"/>
      <c r="AL194" s="45"/>
      <c r="AM194" s="45"/>
      <c r="AN194" s="45"/>
      <c r="AO194" s="45"/>
      <c r="AP194" s="45"/>
      <c r="AQ194" s="45"/>
      <c r="AR194" s="45"/>
      <c r="AS194" s="45"/>
      <c r="AT194" s="45"/>
      <c r="AU194" s="45"/>
      <c r="AV194" s="45"/>
      <c r="AW194" s="45"/>
      <c r="AX194" s="45"/>
      <c r="AY194" s="45"/>
      <c r="AZ194" s="45"/>
      <c r="BA194" s="45"/>
      <c r="BB194" s="45"/>
      <c r="BC194" s="45"/>
      <c r="BD194" s="45"/>
    </row>
    <row r="195" spans="2:56">
      <c r="B195" s="49"/>
      <c r="C195" s="1" t="s">
        <v>6</v>
      </c>
      <c r="D195" s="2">
        <v>1329.6</v>
      </c>
      <c r="E195" s="2">
        <v>1011.88</v>
      </c>
      <c r="F195" s="2">
        <v>801.7</v>
      </c>
      <c r="G195" s="2">
        <v>741.03</v>
      </c>
      <c r="H195" s="2">
        <v>668.28</v>
      </c>
      <c r="I195" s="2">
        <v>839.74</v>
      </c>
      <c r="J195" s="2">
        <v>1992.64</v>
      </c>
      <c r="K195" s="2">
        <v>3464.66</v>
      </c>
      <c r="L195" s="2">
        <v>4408.2</v>
      </c>
      <c r="M195" s="2">
        <v>4743.99</v>
      </c>
      <c r="N195" s="2">
        <v>5276.22</v>
      </c>
      <c r="O195" s="2">
        <v>5341.55</v>
      </c>
      <c r="P195" s="2">
        <v>4996.6499999999996</v>
      </c>
      <c r="Q195" s="2">
        <v>4626.17</v>
      </c>
      <c r="R195" s="2">
        <v>4381.6000000000004</v>
      </c>
      <c r="S195" s="2">
        <v>4298</v>
      </c>
      <c r="T195" s="2">
        <v>4127.25</v>
      </c>
      <c r="U195" s="2">
        <v>4105.2299999999996</v>
      </c>
      <c r="V195" s="2">
        <v>4241.62</v>
      </c>
      <c r="W195" s="2">
        <v>3801.46</v>
      </c>
      <c r="X195" s="2">
        <v>3119.37</v>
      </c>
      <c r="Y195" s="2">
        <v>2073.29</v>
      </c>
      <c r="Z195" s="2">
        <v>1491.8</v>
      </c>
      <c r="AA195" s="12">
        <v>1082.0899999999999</v>
      </c>
      <c r="AB195" s="3">
        <f t="shared" si="2"/>
        <v>72964.01999999999</v>
      </c>
      <c r="AC195" s="3">
        <v>4</v>
      </c>
      <c r="AD195" s="52"/>
      <c r="AG195" s="45"/>
      <c r="AH195" s="45"/>
      <c r="AI195" s="45"/>
      <c r="AJ195" s="45"/>
      <c r="AK195" s="45"/>
      <c r="AL195" s="45"/>
      <c r="AM195" s="45"/>
      <c r="AN195" s="45"/>
      <c r="AO195" s="45"/>
      <c r="AP195" s="45"/>
      <c r="AQ195" s="45"/>
      <c r="AR195" s="45"/>
      <c r="AS195" s="45"/>
      <c r="AT195" s="45"/>
      <c r="AU195" s="45"/>
      <c r="AV195" s="45"/>
      <c r="AW195" s="45"/>
      <c r="AX195" s="45"/>
      <c r="AY195" s="45"/>
      <c r="AZ195" s="45"/>
      <c r="BA195" s="45"/>
      <c r="BB195" s="45"/>
      <c r="BC195" s="45"/>
      <c r="BD195" s="45"/>
    </row>
    <row r="196" spans="2:56">
      <c r="B196" s="49"/>
      <c r="C196" s="1" t="s">
        <v>7</v>
      </c>
      <c r="D196" s="2">
        <v>1018.2</v>
      </c>
      <c r="E196" s="2">
        <v>639.92999999999995</v>
      </c>
      <c r="F196" s="2">
        <v>433.54</v>
      </c>
      <c r="G196" s="2">
        <v>289.35000000000002</v>
      </c>
      <c r="H196" s="2">
        <v>179.65</v>
      </c>
      <c r="I196" s="2">
        <v>133.88</v>
      </c>
      <c r="J196" s="2">
        <v>527.25</v>
      </c>
      <c r="K196" s="2">
        <v>1094.55</v>
      </c>
      <c r="L196" s="2">
        <v>1553.32</v>
      </c>
      <c r="M196" s="2">
        <v>1828.11</v>
      </c>
      <c r="N196" s="2">
        <v>2383.4699999999998</v>
      </c>
      <c r="O196" s="2">
        <v>2614</v>
      </c>
      <c r="P196" s="2">
        <v>2853.19</v>
      </c>
      <c r="Q196" s="2">
        <v>2889.99</v>
      </c>
      <c r="R196" s="2">
        <v>2844.99</v>
      </c>
      <c r="S196" s="2">
        <v>2925.04</v>
      </c>
      <c r="T196" s="2">
        <v>2993.56</v>
      </c>
      <c r="U196" s="2">
        <v>3083.08</v>
      </c>
      <c r="V196" s="2">
        <v>3427.55</v>
      </c>
      <c r="W196" s="2">
        <v>3401.19</v>
      </c>
      <c r="X196" s="2">
        <v>2993.15</v>
      </c>
      <c r="Y196" s="2">
        <v>2074.91</v>
      </c>
      <c r="Z196" s="2">
        <v>1592.67</v>
      </c>
      <c r="AA196" s="12">
        <v>1249.68</v>
      </c>
      <c r="AB196" s="3">
        <f t="shared" si="2"/>
        <v>45024.250000000007</v>
      </c>
      <c r="AC196" s="3">
        <v>5</v>
      </c>
      <c r="AD196" s="52"/>
      <c r="AG196" s="45"/>
      <c r="AH196" s="45"/>
      <c r="AI196" s="45"/>
      <c r="AJ196" s="45"/>
      <c r="AK196" s="45"/>
      <c r="AL196" s="45"/>
      <c r="AM196" s="45"/>
      <c r="AN196" s="45"/>
      <c r="AO196" s="45"/>
      <c r="AP196" s="45"/>
      <c r="AQ196" s="45"/>
      <c r="AR196" s="45"/>
      <c r="AS196" s="45"/>
      <c r="AT196" s="45"/>
      <c r="AU196" s="45"/>
      <c r="AV196" s="45"/>
      <c r="AW196" s="45"/>
      <c r="AX196" s="45"/>
      <c r="AY196" s="45"/>
      <c r="AZ196" s="45"/>
      <c r="BA196" s="45"/>
      <c r="BB196" s="45"/>
      <c r="BC196" s="45"/>
      <c r="BD196" s="45"/>
    </row>
    <row r="197" spans="2:56" ht="15" thickBot="1">
      <c r="B197" s="50"/>
      <c r="C197" s="9" t="s">
        <v>8</v>
      </c>
      <c r="D197" s="10">
        <v>276.08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72.81</v>
      </c>
      <c r="K197" s="10">
        <v>724.19</v>
      </c>
      <c r="L197" s="10">
        <v>1245.44</v>
      </c>
      <c r="M197" s="10">
        <v>1530.35</v>
      </c>
      <c r="N197" s="10">
        <v>2131.7199999999998</v>
      </c>
      <c r="O197" s="10">
        <v>2354.19</v>
      </c>
      <c r="P197" s="10">
        <v>2565.09</v>
      </c>
      <c r="Q197" s="10">
        <v>2582.14</v>
      </c>
      <c r="R197" s="10">
        <v>2652.06</v>
      </c>
      <c r="S197" s="10">
        <v>2703.41</v>
      </c>
      <c r="T197" s="10">
        <v>2703.87</v>
      </c>
      <c r="U197" s="10">
        <v>2868.71</v>
      </c>
      <c r="V197" s="10">
        <v>3231.6</v>
      </c>
      <c r="W197" s="10">
        <v>3040.44</v>
      </c>
      <c r="X197" s="10">
        <v>2613.0300000000002</v>
      </c>
      <c r="Y197" s="10">
        <v>1621.29</v>
      </c>
      <c r="Z197" s="10">
        <v>1067.4100000000001</v>
      </c>
      <c r="AA197" s="13">
        <v>741.5</v>
      </c>
      <c r="AB197" s="6">
        <f t="shared" si="2"/>
        <v>36725.33</v>
      </c>
      <c r="AC197" s="6">
        <v>2</v>
      </c>
      <c r="AD197" s="53"/>
      <c r="AG197" s="45"/>
      <c r="AH197" s="45"/>
      <c r="AI197" s="45"/>
      <c r="AJ197" s="45"/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  <c r="AU197" s="45"/>
      <c r="AV197" s="45"/>
      <c r="AW197" s="45"/>
      <c r="AX197" s="45"/>
      <c r="AY197" s="45"/>
      <c r="AZ197" s="45"/>
      <c r="BA197" s="45"/>
      <c r="BB197" s="45"/>
      <c r="BC197" s="45"/>
      <c r="BD197" s="45"/>
    </row>
    <row r="198" spans="2:56">
      <c r="B198" s="48">
        <v>47484</v>
      </c>
      <c r="C198" s="8" t="s">
        <v>5</v>
      </c>
      <c r="D198" s="7">
        <v>0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1209.25</v>
      </c>
      <c r="K198" s="7">
        <v>2912.7</v>
      </c>
      <c r="L198" s="7">
        <v>3892.2</v>
      </c>
      <c r="M198" s="7">
        <v>4097.8999999999996</v>
      </c>
      <c r="N198" s="7">
        <v>4721.42</v>
      </c>
      <c r="O198" s="7">
        <v>4912.1899999999996</v>
      </c>
      <c r="P198" s="7">
        <v>4548.6499999999996</v>
      </c>
      <c r="Q198" s="7">
        <v>4808.5</v>
      </c>
      <c r="R198" s="7">
        <v>5186.21</v>
      </c>
      <c r="S198" s="7">
        <v>5105.62</v>
      </c>
      <c r="T198" s="7">
        <v>4860.21</v>
      </c>
      <c r="U198" s="7">
        <v>3917.64</v>
      </c>
      <c r="V198" s="7">
        <v>3545.09</v>
      </c>
      <c r="W198" s="7">
        <v>3091.33</v>
      </c>
      <c r="X198" s="7">
        <v>2285.4699999999998</v>
      </c>
      <c r="Y198" s="7">
        <v>1422.75</v>
      </c>
      <c r="Z198" s="7">
        <v>749.34</v>
      </c>
      <c r="AA198" s="11">
        <v>336.1</v>
      </c>
      <c r="AB198" s="5">
        <f t="shared" ref="AB198:AB245" si="3">(SUM(D198:AA198))</f>
        <v>61602.57</v>
      </c>
      <c r="AC198" s="5">
        <v>21</v>
      </c>
      <c r="AD198" s="51">
        <f>(AB198*AC198)+(AB199*AC199)+(AB200*AC200)+(AB201*AC201)</f>
        <v>1674255.3299999998</v>
      </c>
      <c r="AE198" s="44"/>
      <c r="AG198" s="45"/>
      <c r="AH198" s="45"/>
      <c r="AI198" s="45"/>
      <c r="AJ198" s="45"/>
      <c r="AK198" s="45"/>
      <c r="AL198" s="45"/>
      <c r="AM198" s="45"/>
      <c r="AN198" s="45"/>
      <c r="AO198" s="45"/>
      <c r="AP198" s="45"/>
      <c r="AQ198" s="45"/>
      <c r="AR198" s="45"/>
      <c r="AS198" s="45"/>
      <c r="AT198" s="45"/>
      <c r="AU198" s="45"/>
      <c r="AV198" s="45"/>
      <c r="AW198" s="45"/>
      <c r="AX198" s="45"/>
      <c r="AY198" s="45"/>
      <c r="AZ198" s="45"/>
      <c r="BA198" s="45"/>
      <c r="BB198" s="45"/>
      <c r="BC198" s="45"/>
      <c r="BD198" s="45"/>
    </row>
    <row r="199" spans="2:56">
      <c r="B199" s="49"/>
      <c r="C199" s="1" t="s">
        <v>6</v>
      </c>
      <c r="D199" s="2">
        <v>687.64</v>
      </c>
      <c r="E199" s="2">
        <v>400.44</v>
      </c>
      <c r="F199" s="2">
        <v>210.45</v>
      </c>
      <c r="G199" s="2">
        <v>155.6</v>
      </c>
      <c r="H199" s="2">
        <v>89.84</v>
      </c>
      <c r="I199" s="2">
        <v>244.83</v>
      </c>
      <c r="J199" s="2">
        <v>1286.99</v>
      </c>
      <c r="K199" s="2">
        <v>2615.67</v>
      </c>
      <c r="L199" s="2">
        <v>3468.59</v>
      </c>
      <c r="M199" s="2">
        <v>3772.12</v>
      </c>
      <c r="N199" s="2">
        <v>4253.2299999999996</v>
      </c>
      <c r="O199" s="2">
        <v>4312.29</v>
      </c>
      <c r="P199" s="2">
        <v>4000.51</v>
      </c>
      <c r="Q199" s="2">
        <v>3665.62</v>
      </c>
      <c r="R199" s="2">
        <v>3444.54</v>
      </c>
      <c r="S199" s="2">
        <v>3368.97</v>
      </c>
      <c r="T199" s="2">
        <v>3214.62</v>
      </c>
      <c r="U199" s="2">
        <v>3196.67</v>
      </c>
      <c r="V199" s="2">
        <v>3319.97</v>
      </c>
      <c r="W199" s="2">
        <v>2922.08</v>
      </c>
      <c r="X199" s="2">
        <v>2305.5</v>
      </c>
      <c r="Y199" s="2">
        <v>1359.9</v>
      </c>
      <c r="Z199" s="2">
        <v>834.26</v>
      </c>
      <c r="AA199" s="12">
        <v>463.9</v>
      </c>
      <c r="AB199" s="3">
        <f t="shared" si="3"/>
        <v>53594.23</v>
      </c>
      <c r="AC199" s="3">
        <v>4</v>
      </c>
      <c r="AD199" s="52"/>
      <c r="AE199" s="44"/>
      <c r="AG199" s="45"/>
      <c r="AH199" s="45"/>
      <c r="AI199" s="45"/>
      <c r="AJ199" s="45"/>
      <c r="AK199" s="45"/>
      <c r="AL199" s="45"/>
      <c r="AM199" s="45"/>
      <c r="AN199" s="45"/>
      <c r="AO199" s="45"/>
      <c r="AP199" s="45"/>
      <c r="AQ199" s="45"/>
      <c r="AR199" s="45"/>
      <c r="AS199" s="45"/>
      <c r="AT199" s="45"/>
      <c r="AU199" s="45"/>
      <c r="AV199" s="45"/>
      <c r="AW199" s="45"/>
      <c r="AX199" s="45"/>
      <c r="AY199" s="45"/>
      <c r="AZ199" s="45"/>
      <c r="BA199" s="45"/>
      <c r="BB199" s="45"/>
      <c r="BC199" s="45"/>
      <c r="BD199" s="45"/>
    </row>
    <row r="200" spans="2:56">
      <c r="B200" s="49"/>
      <c r="C200" s="1" t="s">
        <v>7</v>
      </c>
      <c r="D200" s="2">
        <v>406.15</v>
      </c>
      <c r="E200" s="2">
        <v>64.209999999999994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473.2</v>
      </c>
      <c r="L200" s="2">
        <v>887.91</v>
      </c>
      <c r="M200" s="2">
        <v>1136.31</v>
      </c>
      <c r="N200" s="2">
        <v>1638.33</v>
      </c>
      <c r="O200" s="2">
        <v>1846.71</v>
      </c>
      <c r="P200" s="2">
        <v>2062.94</v>
      </c>
      <c r="Q200" s="2">
        <v>2096.1999999999998</v>
      </c>
      <c r="R200" s="2">
        <v>2055.52</v>
      </c>
      <c r="S200" s="2">
        <v>2127.88</v>
      </c>
      <c r="T200" s="2">
        <v>2189.8200000000002</v>
      </c>
      <c r="U200" s="2">
        <v>2272.6999999999998</v>
      </c>
      <c r="V200" s="2">
        <v>2584.08</v>
      </c>
      <c r="W200" s="2">
        <v>2560.25</v>
      </c>
      <c r="X200" s="2">
        <v>2191.4</v>
      </c>
      <c r="Y200" s="2">
        <v>1361.36</v>
      </c>
      <c r="Z200" s="2">
        <v>925.44</v>
      </c>
      <c r="AA200" s="12">
        <v>615.4</v>
      </c>
      <c r="AB200" s="3">
        <f t="shared" si="3"/>
        <v>29495.81</v>
      </c>
      <c r="AC200" s="3">
        <v>4</v>
      </c>
      <c r="AD200" s="52"/>
      <c r="AE200" s="44"/>
      <c r="AG200" s="45"/>
      <c r="AH200" s="45"/>
      <c r="AI200" s="45"/>
      <c r="AJ200" s="45"/>
      <c r="AK200" s="45"/>
      <c r="AL200" s="45"/>
      <c r="AM200" s="45"/>
      <c r="AN200" s="45"/>
      <c r="AO200" s="45"/>
      <c r="AP200" s="45"/>
      <c r="AQ200" s="45"/>
      <c r="AR200" s="45"/>
      <c r="AS200" s="45"/>
      <c r="AT200" s="45"/>
      <c r="AU200" s="45"/>
      <c r="AV200" s="45"/>
      <c r="AW200" s="45"/>
      <c r="AX200" s="45"/>
      <c r="AY200" s="45"/>
      <c r="AZ200" s="45"/>
      <c r="BA200" s="45"/>
      <c r="BB200" s="45"/>
      <c r="BC200" s="45"/>
      <c r="BD200" s="45"/>
    </row>
    <row r="201" spans="2:56" ht="15" thickBot="1">
      <c r="B201" s="50"/>
      <c r="C201" s="9" t="s">
        <v>8</v>
      </c>
      <c r="D201" s="10">
        <v>0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138.41999999999999</v>
      </c>
      <c r="L201" s="10">
        <v>609.6</v>
      </c>
      <c r="M201" s="10">
        <v>867.15</v>
      </c>
      <c r="N201" s="10">
        <v>1410.76</v>
      </c>
      <c r="O201" s="10">
        <v>1611.86</v>
      </c>
      <c r="P201" s="10">
        <v>1802.5</v>
      </c>
      <c r="Q201" s="10">
        <v>1817.92</v>
      </c>
      <c r="R201" s="10">
        <v>1881.12</v>
      </c>
      <c r="S201" s="10">
        <v>1927.54</v>
      </c>
      <c r="T201" s="10">
        <v>1927.95</v>
      </c>
      <c r="U201" s="10">
        <v>2078.91</v>
      </c>
      <c r="V201" s="10">
        <v>2406.9499999999998</v>
      </c>
      <c r="W201" s="10">
        <v>2234.16</v>
      </c>
      <c r="X201" s="10">
        <v>1847.79</v>
      </c>
      <c r="Y201" s="10">
        <v>951.31</v>
      </c>
      <c r="Z201" s="10">
        <v>450.63</v>
      </c>
      <c r="AA201" s="13">
        <v>156.03</v>
      </c>
      <c r="AB201" s="6">
        <f t="shared" si="3"/>
        <v>24120.600000000002</v>
      </c>
      <c r="AC201" s="6">
        <v>2</v>
      </c>
      <c r="AD201" s="53"/>
      <c r="AE201" s="44"/>
      <c r="AG201" s="45"/>
      <c r="AH201" s="45"/>
      <c r="AI201" s="45"/>
      <c r="AJ201" s="45"/>
      <c r="AK201" s="45"/>
      <c r="AL201" s="45"/>
      <c r="AM201" s="45"/>
      <c r="AN201" s="45"/>
      <c r="AO201" s="45"/>
      <c r="AP201" s="45"/>
      <c r="AQ201" s="45"/>
      <c r="AR201" s="45"/>
      <c r="AS201" s="45"/>
      <c r="AT201" s="45"/>
      <c r="AU201" s="45"/>
      <c r="AV201" s="45"/>
      <c r="AW201" s="45"/>
      <c r="AX201" s="45"/>
      <c r="AY201" s="45"/>
      <c r="AZ201" s="45"/>
      <c r="BA201" s="45"/>
      <c r="BB201" s="45"/>
      <c r="BC201" s="45"/>
      <c r="BD201" s="45"/>
    </row>
    <row r="202" spans="2:56">
      <c r="B202" s="48">
        <v>47515</v>
      </c>
      <c r="C202" s="8" t="s">
        <v>5</v>
      </c>
      <c r="D202" s="7">
        <v>0</v>
      </c>
      <c r="E202" s="7">
        <v>0</v>
      </c>
      <c r="F202" s="7">
        <v>0</v>
      </c>
      <c r="G202" s="7">
        <v>0</v>
      </c>
      <c r="H202" s="7">
        <v>0</v>
      </c>
      <c r="I202" s="7">
        <v>710.62</v>
      </c>
      <c r="J202" s="7">
        <v>2327.62</v>
      </c>
      <c r="K202" s="7">
        <v>4248.96</v>
      </c>
      <c r="L202" s="7">
        <v>4898.12</v>
      </c>
      <c r="M202" s="7">
        <v>4997.6899999999996</v>
      </c>
      <c r="N202" s="7">
        <v>5324.31</v>
      </c>
      <c r="O202" s="7">
        <v>5133.99</v>
      </c>
      <c r="P202" s="7">
        <v>4635.57</v>
      </c>
      <c r="Q202" s="7">
        <v>5262.71</v>
      </c>
      <c r="R202" s="7">
        <v>5716.31</v>
      </c>
      <c r="S202" s="7">
        <v>5721.6</v>
      </c>
      <c r="T202" s="7">
        <v>5475.17</v>
      </c>
      <c r="U202" s="7">
        <v>4591.58</v>
      </c>
      <c r="V202" s="7">
        <v>4110.03</v>
      </c>
      <c r="W202" s="7">
        <v>3366.64</v>
      </c>
      <c r="X202" s="7">
        <v>2423.27</v>
      </c>
      <c r="Y202" s="7">
        <v>1660.51</v>
      </c>
      <c r="Z202" s="7">
        <v>935.43</v>
      </c>
      <c r="AA202" s="11">
        <v>513.49</v>
      </c>
      <c r="AB202" s="5">
        <f t="shared" si="3"/>
        <v>72053.62</v>
      </c>
      <c r="AC202" s="5">
        <v>20</v>
      </c>
      <c r="AD202" s="51">
        <f>(AB202*AC202)+(AB203*AC203)+(AB204*AC204)+(AB205*AC205)</f>
        <v>1591688.96</v>
      </c>
      <c r="AE202" s="44"/>
      <c r="AG202" s="45"/>
      <c r="AH202" s="45"/>
      <c r="AI202" s="45"/>
      <c r="AJ202" s="45"/>
      <c r="AK202" s="45"/>
      <c r="AL202" s="45"/>
      <c r="AM202" s="45"/>
      <c r="AN202" s="45"/>
      <c r="AO202" s="45"/>
      <c r="AP202" s="45"/>
      <c r="AQ202" s="45"/>
      <c r="AR202" s="45"/>
      <c r="AS202" s="45"/>
      <c r="AT202" s="45"/>
      <c r="AU202" s="45"/>
      <c r="AV202" s="45"/>
      <c r="AW202" s="45"/>
      <c r="AX202" s="45"/>
      <c r="AY202" s="45"/>
      <c r="AZ202" s="45"/>
      <c r="BA202" s="45"/>
      <c r="BB202" s="45"/>
      <c r="BC202" s="45"/>
      <c r="BD202" s="45"/>
    </row>
    <row r="203" spans="2:56">
      <c r="B203" s="49"/>
      <c r="C203" s="1" t="s">
        <v>6</v>
      </c>
      <c r="D203" s="2">
        <v>107.53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947.63</v>
      </c>
      <c r="K203" s="2">
        <v>2184.4</v>
      </c>
      <c r="L203" s="2">
        <v>2717.67</v>
      </c>
      <c r="M203" s="2">
        <v>3016.34</v>
      </c>
      <c r="N203" s="2">
        <v>3228.31</v>
      </c>
      <c r="O203" s="2">
        <v>2843.38</v>
      </c>
      <c r="P203" s="2">
        <v>2065.58</v>
      </c>
      <c r="Q203" s="2">
        <v>1779.6</v>
      </c>
      <c r="R203" s="2">
        <v>1854.7</v>
      </c>
      <c r="S203" s="2">
        <v>1945.49</v>
      </c>
      <c r="T203" s="2">
        <v>1956.1</v>
      </c>
      <c r="U203" s="2">
        <v>1977.03</v>
      </c>
      <c r="V203" s="2">
        <v>1991.71</v>
      </c>
      <c r="W203" s="2">
        <v>1738.14</v>
      </c>
      <c r="X203" s="2">
        <v>1119.46</v>
      </c>
      <c r="Y203" s="2">
        <v>467.07</v>
      </c>
      <c r="Z203" s="2">
        <v>0</v>
      </c>
      <c r="AA203" s="12">
        <v>0</v>
      </c>
      <c r="AB203" s="3">
        <f t="shared" si="3"/>
        <v>31940.139999999992</v>
      </c>
      <c r="AC203" s="3">
        <v>4</v>
      </c>
      <c r="AD203" s="52"/>
      <c r="AE203" s="44"/>
      <c r="AG203" s="45"/>
      <c r="AH203" s="45"/>
      <c r="AI203" s="45"/>
      <c r="AJ203" s="45"/>
      <c r="AK203" s="45"/>
      <c r="AL203" s="45"/>
      <c r="AM203" s="45"/>
      <c r="AN203" s="45"/>
      <c r="AO203" s="45"/>
      <c r="AP203" s="45"/>
      <c r="AQ203" s="45"/>
      <c r="AR203" s="45"/>
      <c r="AS203" s="45"/>
      <c r="AT203" s="45"/>
      <c r="AU203" s="45"/>
      <c r="AV203" s="45"/>
      <c r="AW203" s="45"/>
      <c r="AX203" s="45"/>
      <c r="AY203" s="45"/>
      <c r="AZ203" s="45"/>
      <c r="BA203" s="45"/>
      <c r="BB203" s="45"/>
      <c r="BC203" s="45"/>
      <c r="BD203" s="45"/>
    </row>
    <row r="204" spans="2:56">
      <c r="B204" s="49"/>
      <c r="C204" s="1" t="s">
        <v>7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11.46</v>
      </c>
      <c r="R204" s="2">
        <v>265.66000000000003</v>
      </c>
      <c r="S204" s="2">
        <v>516.73</v>
      </c>
      <c r="T204" s="2">
        <v>681.62</v>
      </c>
      <c r="U204" s="2">
        <v>1002.67</v>
      </c>
      <c r="V204" s="2">
        <v>1275.5899999999999</v>
      </c>
      <c r="W204" s="2">
        <v>1130.01</v>
      </c>
      <c r="X204" s="2">
        <v>705.79</v>
      </c>
      <c r="Y204" s="2">
        <v>124.47</v>
      </c>
      <c r="Z204" s="2">
        <v>0</v>
      </c>
      <c r="AA204" s="12">
        <v>0</v>
      </c>
      <c r="AB204" s="3">
        <f t="shared" si="3"/>
        <v>5714</v>
      </c>
      <c r="AC204" s="3">
        <v>4</v>
      </c>
      <c r="AD204" s="52"/>
      <c r="AE204" s="44"/>
      <c r="AG204" s="45"/>
      <c r="AH204" s="45"/>
      <c r="AI204" s="45"/>
      <c r="AJ204" s="45"/>
      <c r="AK204" s="45"/>
      <c r="AL204" s="45"/>
      <c r="AM204" s="45"/>
      <c r="AN204" s="45"/>
      <c r="AO204" s="45"/>
      <c r="AP204" s="45"/>
      <c r="AQ204" s="45"/>
      <c r="AR204" s="45"/>
      <c r="AS204" s="45"/>
      <c r="AT204" s="45"/>
      <c r="AU204" s="45"/>
      <c r="AV204" s="45"/>
      <c r="AW204" s="45"/>
      <c r="AX204" s="45"/>
      <c r="AY204" s="45"/>
      <c r="AZ204" s="45"/>
      <c r="BA204" s="45"/>
      <c r="BB204" s="45"/>
      <c r="BC204" s="45"/>
      <c r="BD204" s="45"/>
    </row>
    <row r="205" spans="2:56" ht="15" thickBot="1">
      <c r="B205" s="50"/>
      <c r="C205" s="9" t="s">
        <v>8</v>
      </c>
      <c r="D205" s="10">
        <v>0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3">
        <v>0</v>
      </c>
      <c r="AB205" s="6">
        <f t="shared" si="3"/>
        <v>0</v>
      </c>
      <c r="AC205" s="6">
        <v>0</v>
      </c>
      <c r="AD205" s="53"/>
      <c r="AE205" s="44"/>
      <c r="AG205" s="45"/>
      <c r="AH205" s="45"/>
      <c r="AI205" s="45"/>
      <c r="AJ205" s="45"/>
      <c r="AK205" s="45"/>
      <c r="AL205" s="45"/>
      <c r="AM205" s="45"/>
      <c r="AN205" s="45"/>
      <c r="AO205" s="45"/>
      <c r="AP205" s="45"/>
      <c r="AQ205" s="45"/>
      <c r="AR205" s="45"/>
      <c r="AS205" s="45"/>
      <c r="AT205" s="45"/>
      <c r="AU205" s="45"/>
      <c r="AV205" s="45"/>
      <c r="AW205" s="45"/>
      <c r="AX205" s="45"/>
      <c r="AY205" s="45"/>
      <c r="AZ205" s="45"/>
      <c r="BA205" s="45"/>
      <c r="BB205" s="45"/>
      <c r="BC205" s="45"/>
      <c r="BD205" s="45"/>
    </row>
    <row r="206" spans="2:56">
      <c r="B206" s="48">
        <v>47543</v>
      </c>
      <c r="C206" s="8" t="s">
        <v>5</v>
      </c>
      <c r="D206" s="7">
        <v>620.6</v>
      </c>
      <c r="E206" s="7">
        <v>387.66</v>
      </c>
      <c r="F206" s="7">
        <v>231.22</v>
      </c>
      <c r="G206" s="7">
        <v>136.57</v>
      </c>
      <c r="H206" s="7">
        <v>183.55</v>
      </c>
      <c r="I206" s="7">
        <v>743.97</v>
      </c>
      <c r="J206" s="7">
        <v>2204.56</v>
      </c>
      <c r="K206" s="7">
        <v>4135.28</v>
      </c>
      <c r="L206" s="7">
        <v>5243.92</v>
      </c>
      <c r="M206" s="7">
        <v>5476.74</v>
      </c>
      <c r="N206" s="7">
        <v>6182.45</v>
      </c>
      <c r="O206" s="7">
        <v>6398.37</v>
      </c>
      <c r="P206" s="7">
        <v>5986.91</v>
      </c>
      <c r="Q206" s="7">
        <v>6281.01</v>
      </c>
      <c r="R206" s="7">
        <v>6708.53</v>
      </c>
      <c r="S206" s="7">
        <v>6617.3</v>
      </c>
      <c r="T206" s="7">
        <v>6339.54</v>
      </c>
      <c r="U206" s="7">
        <v>5270.02</v>
      </c>
      <c r="V206" s="7">
        <v>4848.3500000000004</v>
      </c>
      <c r="W206" s="7">
        <v>4334.78</v>
      </c>
      <c r="X206" s="7">
        <v>3422.67</v>
      </c>
      <c r="Y206" s="7">
        <v>2446.1999999999998</v>
      </c>
      <c r="Z206" s="7">
        <v>1684.02</v>
      </c>
      <c r="AA206" s="11">
        <v>1216.3</v>
      </c>
      <c r="AB206" s="5">
        <f t="shared" si="3"/>
        <v>87100.520000000019</v>
      </c>
      <c r="AC206" s="5">
        <v>20</v>
      </c>
      <c r="AD206" s="51">
        <f>(AB206*AC206)+(AB207*AC207)+(AB208*AC208)+(AB209*AC209)</f>
        <v>1952032.3000000005</v>
      </c>
      <c r="AE206" s="44"/>
      <c r="AG206" s="45"/>
      <c r="AH206" s="45"/>
      <c r="AI206" s="45"/>
      <c r="AJ206" s="45"/>
      <c r="AK206" s="45"/>
      <c r="AL206" s="45"/>
      <c r="AM206" s="45"/>
      <c r="AN206" s="45"/>
      <c r="AO206" s="45"/>
      <c r="AP206" s="45"/>
      <c r="AQ206" s="45"/>
      <c r="AR206" s="45"/>
      <c r="AS206" s="45"/>
      <c r="AT206" s="45"/>
      <c r="AU206" s="45"/>
      <c r="AV206" s="45"/>
      <c r="AW206" s="45"/>
      <c r="AX206" s="45"/>
      <c r="AY206" s="45"/>
      <c r="AZ206" s="45"/>
      <c r="BA206" s="45"/>
      <c r="BB206" s="45"/>
      <c r="BC206" s="45"/>
      <c r="BD206" s="45"/>
    </row>
    <row r="207" spans="2:56">
      <c r="B207" s="49"/>
      <c r="C207" s="1" t="s">
        <v>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92.01</v>
      </c>
      <c r="K207" s="2">
        <v>1235</v>
      </c>
      <c r="L207" s="2">
        <v>1970.52</v>
      </c>
      <c r="M207" s="2">
        <v>2232.27</v>
      </c>
      <c r="N207" s="2">
        <v>2647.15</v>
      </c>
      <c r="O207" s="2">
        <v>2698.09</v>
      </c>
      <c r="P207" s="2">
        <v>2429.2199999999998</v>
      </c>
      <c r="Q207" s="2">
        <v>2140.42</v>
      </c>
      <c r="R207" s="2">
        <v>1949.78</v>
      </c>
      <c r="S207" s="2">
        <v>1884.61</v>
      </c>
      <c r="T207" s="2">
        <v>1751.5</v>
      </c>
      <c r="U207" s="2">
        <v>1738.83</v>
      </c>
      <c r="V207" s="2">
        <v>1845.15</v>
      </c>
      <c r="W207" s="2">
        <v>1502.04</v>
      </c>
      <c r="X207" s="2">
        <v>970.33</v>
      </c>
      <c r="Y207" s="2">
        <v>154.88</v>
      </c>
      <c r="Z207" s="2">
        <v>0</v>
      </c>
      <c r="AA207" s="12">
        <v>0</v>
      </c>
      <c r="AB207" s="3">
        <f t="shared" si="3"/>
        <v>27241.800000000007</v>
      </c>
      <c r="AC207" s="3">
        <v>5</v>
      </c>
      <c r="AD207" s="52"/>
      <c r="AE207" s="44"/>
      <c r="AG207" s="45"/>
      <c r="AH207" s="45"/>
      <c r="AI207" s="45"/>
      <c r="AJ207" s="45"/>
      <c r="AK207" s="45"/>
      <c r="AL207" s="45"/>
      <c r="AM207" s="45"/>
      <c r="AN207" s="45"/>
      <c r="AO207" s="45"/>
      <c r="AP207" s="45"/>
      <c r="AQ207" s="45"/>
      <c r="AR207" s="45"/>
      <c r="AS207" s="45"/>
      <c r="AT207" s="45"/>
      <c r="AU207" s="45"/>
      <c r="AV207" s="45"/>
      <c r="AW207" s="45"/>
      <c r="AX207" s="45"/>
      <c r="AY207" s="45"/>
      <c r="AZ207" s="45"/>
      <c r="BA207" s="45"/>
      <c r="BB207" s="45"/>
      <c r="BC207" s="45"/>
      <c r="BD207" s="45"/>
    </row>
    <row r="208" spans="2:56">
      <c r="B208" s="49"/>
      <c r="C208" s="1" t="s">
        <v>7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392.19</v>
      </c>
      <c r="O208" s="2">
        <v>571.89</v>
      </c>
      <c r="P208" s="2">
        <v>758.35</v>
      </c>
      <c r="Q208" s="2">
        <v>787.03</v>
      </c>
      <c r="R208" s="2">
        <v>751.95</v>
      </c>
      <c r="S208" s="2">
        <v>814.35</v>
      </c>
      <c r="T208" s="2">
        <v>867.77</v>
      </c>
      <c r="U208" s="2">
        <v>942.04</v>
      </c>
      <c r="V208" s="2">
        <v>1210.56</v>
      </c>
      <c r="W208" s="2">
        <v>1190.01</v>
      </c>
      <c r="X208" s="2">
        <v>871.93</v>
      </c>
      <c r="Y208" s="2">
        <v>156.15</v>
      </c>
      <c r="Z208" s="2">
        <v>0</v>
      </c>
      <c r="AA208" s="12">
        <v>0</v>
      </c>
      <c r="AB208" s="3">
        <f t="shared" si="3"/>
        <v>9314.2199999999993</v>
      </c>
      <c r="AC208" s="3">
        <v>5</v>
      </c>
      <c r="AD208" s="52"/>
      <c r="AE208" s="44"/>
      <c r="AG208" s="45"/>
      <c r="AH208" s="45"/>
      <c r="AI208" s="45"/>
      <c r="AJ208" s="45"/>
      <c r="AK208" s="45"/>
      <c r="AL208" s="45"/>
      <c r="AM208" s="45"/>
      <c r="AN208" s="45"/>
      <c r="AO208" s="45"/>
      <c r="AP208" s="45"/>
      <c r="AQ208" s="45"/>
      <c r="AR208" s="45"/>
      <c r="AS208" s="45"/>
      <c r="AT208" s="45"/>
      <c r="AU208" s="45"/>
      <c r="AV208" s="45"/>
      <c r="AW208" s="45"/>
      <c r="AX208" s="45"/>
      <c r="AY208" s="45"/>
      <c r="AZ208" s="45"/>
      <c r="BA208" s="45"/>
      <c r="BB208" s="45"/>
      <c r="BC208" s="45"/>
      <c r="BD208" s="45"/>
    </row>
    <row r="209" spans="2:56" ht="15" thickBot="1">
      <c r="B209" s="50"/>
      <c r="C209" s="9" t="s">
        <v>8</v>
      </c>
      <c r="D209" s="10">
        <v>0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92.01</v>
      </c>
      <c r="K209" s="10">
        <v>1235</v>
      </c>
      <c r="L209" s="10">
        <v>1970.52</v>
      </c>
      <c r="M209" s="10">
        <v>2232.27</v>
      </c>
      <c r="N209" s="10">
        <v>2647.15</v>
      </c>
      <c r="O209" s="10">
        <v>2698.09</v>
      </c>
      <c r="P209" s="10">
        <v>2429.2199999999998</v>
      </c>
      <c r="Q209" s="10">
        <v>2140.42</v>
      </c>
      <c r="R209" s="10">
        <v>1949.78</v>
      </c>
      <c r="S209" s="10">
        <v>1884.61</v>
      </c>
      <c r="T209" s="10">
        <v>1751.5</v>
      </c>
      <c r="U209" s="10">
        <v>1738.83</v>
      </c>
      <c r="V209" s="10">
        <v>1845.15</v>
      </c>
      <c r="W209" s="10">
        <v>1502.04</v>
      </c>
      <c r="X209" s="10">
        <v>970.33</v>
      </c>
      <c r="Y209" s="10">
        <v>154.88</v>
      </c>
      <c r="Z209" s="10">
        <v>0</v>
      </c>
      <c r="AA209" s="13">
        <v>0</v>
      </c>
      <c r="AB209" s="6">
        <f t="shared" si="3"/>
        <v>27241.800000000007</v>
      </c>
      <c r="AC209" s="6">
        <v>1</v>
      </c>
      <c r="AD209" s="53"/>
      <c r="AE209" s="44"/>
      <c r="AG209" s="45"/>
      <c r="AH209" s="45"/>
      <c r="AI209" s="45"/>
      <c r="AJ209" s="45"/>
      <c r="AK209" s="45"/>
      <c r="AL209" s="45"/>
      <c r="AM209" s="45"/>
      <c r="AN209" s="45"/>
      <c r="AO209" s="45"/>
      <c r="AP209" s="45"/>
      <c r="AQ209" s="45"/>
      <c r="AR209" s="45"/>
      <c r="AS209" s="45"/>
      <c r="AT209" s="45"/>
      <c r="AU209" s="45"/>
      <c r="AV209" s="45"/>
      <c r="AW209" s="45"/>
      <c r="AX209" s="45"/>
      <c r="AY209" s="45"/>
      <c r="AZ209" s="45"/>
      <c r="BA209" s="45"/>
      <c r="BB209" s="45"/>
      <c r="BC209" s="45"/>
      <c r="BD209" s="45"/>
    </row>
    <row r="210" spans="2:56">
      <c r="B210" s="48">
        <v>47574</v>
      </c>
      <c r="C210" s="8" t="s">
        <v>5</v>
      </c>
      <c r="D210" s="7">
        <v>211.19</v>
      </c>
      <c r="E210" s="7">
        <v>0</v>
      </c>
      <c r="F210" s="7">
        <v>0</v>
      </c>
      <c r="G210" s="7">
        <v>0</v>
      </c>
      <c r="H210" s="7">
        <v>0</v>
      </c>
      <c r="I210" s="7">
        <v>328.42</v>
      </c>
      <c r="J210" s="7">
        <v>1716.19</v>
      </c>
      <c r="K210" s="7">
        <v>3549.64</v>
      </c>
      <c r="L210" s="7">
        <v>4603.01</v>
      </c>
      <c r="M210" s="7">
        <v>4824.22</v>
      </c>
      <c r="N210" s="7">
        <v>5494.76</v>
      </c>
      <c r="O210" s="7">
        <v>5699.91</v>
      </c>
      <c r="P210" s="7">
        <v>5308.96</v>
      </c>
      <c r="Q210" s="7">
        <v>5588.4</v>
      </c>
      <c r="R210" s="7">
        <v>5994.61</v>
      </c>
      <c r="S210" s="7">
        <v>5907.93</v>
      </c>
      <c r="T210" s="7">
        <v>5644.02</v>
      </c>
      <c r="U210" s="7">
        <v>4628.83</v>
      </c>
      <c r="V210" s="7">
        <v>4228.18</v>
      </c>
      <c r="W210" s="7">
        <v>3740.21</v>
      </c>
      <c r="X210" s="7">
        <v>2873.57</v>
      </c>
      <c r="Y210" s="7">
        <v>1945.79</v>
      </c>
      <c r="Z210" s="7">
        <v>1221.5999999999999</v>
      </c>
      <c r="AA210" s="11">
        <v>777.2</v>
      </c>
      <c r="AB210" s="5">
        <f t="shared" si="3"/>
        <v>74286.64</v>
      </c>
      <c r="AC210" s="5">
        <v>20</v>
      </c>
      <c r="AD210" s="51">
        <f>(AB210*AC210)+(AB211*AC211)+(AB212*AC212)+(AB213*AC213)</f>
        <v>1888773.26</v>
      </c>
      <c r="AG210" s="45"/>
      <c r="AH210" s="45"/>
      <c r="AI210" s="45"/>
      <c r="AJ210" s="45"/>
      <c r="AK210" s="45"/>
      <c r="AL210" s="45"/>
      <c r="AM210" s="45"/>
      <c r="AN210" s="45"/>
      <c r="AO210" s="45"/>
      <c r="AP210" s="45"/>
      <c r="AQ210" s="45"/>
      <c r="AR210" s="45"/>
      <c r="AS210" s="45"/>
      <c r="AT210" s="45"/>
      <c r="AU210" s="45"/>
      <c r="AV210" s="45"/>
      <c r="AW210" s="45"/>
      <c r="AX210" s="45"/>
      <c r="AY210" s="45"/>
      <c r="AZ210" s="45"/>
      <c r="BA210" s="45"/>
      <c r="BB210" s="45"/>
      <c r="BC210" s="45"/>
      <c r="BD210" s="45"/>
    </row>
    <row r="211" spans="2:56">
      <c r="B211" s="49"/>
      <c r="C211" s="1" t="s">
        <v>6</v>
      </c>
      <c r="D211" s="2">
        <v>767.77</v>
      </c>
      <c r="E211" s="2">
        <v>473.62</v>
      </c>
      <c r="F211" s="2">
        <v>279.02999999999997</v>
      </c>
      <c r="G211" s="2">
        <v>222.86</v>
      </c>
      <c r="H211" s="2">
        <v>155.5</v>
      </c>
      <c r="I211" s="2">
        <v>314.24</v>
      </c>
      <c r="J211" s="2">
        <v>1381.63</v>
      </c>
      <c r="K211" s="2">
        <v>2742.96</v>
      </c>
      <c r="L211" s="2">
        <v>3616.52</v>
      </c>
      <c r="M211" s="2">
        <v>3927.4</v>
      </c>
      <c r="N211" s="2">
        <v>4420.1499999999996</v>
      </c>
      <c r="O211" s="2">
        <v>4480.6400000000003</v>
      </c>
      <c r="P211" s="2">
        <v>4161.3100000000004</v>
      </c>
      <c r="Q211" s="2">
        <v>3818.32</v>
      </c>
      <c r="R211" s="2">
        <v>3591.89</v>
      </c>
      <c r="S211" s="2">
        <v>3514.49</v>
      </c>
      <c r="T211" s="2">
        <v>3356.4</v>
      </c>
      <c r="U211" s="2">
        <v>3337.53</v>
      </c>
      <c r="V211" s="2">
        <v>3463.8</v>
      </c>
      <c r="W211" s="2">
        <v>3056.29</v>
      </c>
      <c r="X211" s="2">
        <v>2424.79</v>
      </c>
      <c r="Y211" s="2">
        <v>1456.3</v>
      </c>
      <c r="Z211" s="2">
        <v>917.94</v>
      </c>
      <c r="AA211" s="12">
        <v>538.62</v>
      </c>
      <c r="AB211" s="3">
        <f t="shared" si="3"/>
        <v>56420.000000000015</v>
      </c>
      <c r="AC211" s="3">
        <v>4</v>
      </c>
      <c r="AD211" s="52"/>
      <c r="AG211" s="45"/>
      <c r="AH211" s="45"/>
      <c r="AI211" s="45"/>
      <c r="AJ211" s="45"/>
      <c r="AK211" s="45"/>
      <c r="AL211" s="45"/>
      <c r="AM211" s="45"/>
      <c r="AN211" s="45"/>
      <c r="AO211" s="45"/>
      <c r="AP211" s="45"/>
      <c r="AQ211" s="45"/>
      <c r="AR211" s="45"/>
      <c r="AS211" s="45"/>
      <c r="AT211" s="45"/>
      <c r="AU211" s="45"/>
      <c r="AV211" s="45"/>
      <c r="AW211" s="45"/>
      <c r="AX211" s="45"/>
      <c r="AY211" s="45"/>
      <c r="AZ211" s="45"/>
      <c r="BA211" s="45"/>
      <c r="BB211" s="45"/>
      <c r="BC211" s="45"/>
      <c r="BD211" s="45"/>
    </row>
    <row r="212" spans="2:56">
      <c r="B212" s="49"/>
      <c r="C212" s="1" t="s">
        <v>7</v>
      </c>
      <c r="D212" s="2">
        <v>479.46</v>
      </c>
      <c r="E212" s="2">
        <v>129.25</v>
      </c>
      <c r="F212" s="2">
        <v>0</v>
      </c>
      <c r="G212" s="2">
        <v>0</v>
      </c>
      <c r="H212" s="2">
        <v>0</v>
      </c>
      <c r="I212" s="2">
        <v>0</v>
      </c>
      <c r="J212" s="2">
        <v>24.93</v>
      </c>
      <c r="K212" s="2">
        <v>548.64</v>
      </c>
      <c r="L212" s="2">
        <v>973.38</v>
      </c>
      <c r="M212" s="2">
        <v>1227.79</v>
      </c>
      <c r="N212" s="2">
        <v>1741.96</v>
      </c>
      <c r="O212" s="2">
        <v>1955.39</v>
      </c>
      <c r="P212" s="2">
        <v>2176.85</v>
      </c>
      <c r="Q212" s="2">
        <v>2210.92</v>
      </c>
      <c r="R212" s="2">
        <v>2169.25</v>
      </c>
      <c r="S212" s="2">
        <v>2243.36</v>
      </c>
      <c r="T212" s="2">
        <v>2306.8000000000002</v>
      </c>
      <c r="U212" s="2">
        <v>2391.19</v>
      </c>
      <c r="V212" s="2">
        <v>2710.11</v>
      </c>
      <c r="W212" s="2">
        <v>2685.7</v>
      </c>
      <c r="X212" s="2">
        <v>2307.9299999999998</v>
      </c>
      <c r="Y212" s="2">
        <v>1457.8</v>
      </c>
      <c r="Z212" s="2">
        <v>1011.32</v>
      </c>
      <c r="AA212" s="12">
        <v>693.78</v>
      </c>
      <c r="AB212" s="3">
        <f t="shared" si="3"/>
        <v>31445.809999999998</v>
      </c>
      <c r="AC212" s="3">
        <v>4</v>
      </c>
      <c r="AD212" s="52"/>
      <c r="AG212" s="45"/>
      <c r="AH212" s="45"/>
      <c r="AI212" s="45"/>
      <c r="AJ212" s="45"/>
      <c r="AK212" s="45"/>
      <c r="AL212" s="45"/>
      <c r="AM212" s="45"/>
      <c r="AN212" s="45"/>
      <c r="AO212" s="45"/>
      <c r="AP212" s="45"/>
      <c r="AQ212" s="45"/>
      <c r="AR212" s="45"/>
      <c r="AS212" s="45"/>
      <c r="AT212" s="45"/>
      <c r="AU212" s="45"/>
      <c r="AV212" s="45"/>
      <c r="AW212" s="45"/>
      <c r="AX212" s="45"/>
      <c r="AY212" s="45"/>
      <c r="AZ212" s="45"/>
      <c r="BA212" s="45"/>
      <c r="BB212" s="45"/>
      <c r="BC212" s="45"/>
      <c r="BD212" s="45"/>
    </row>
    <row r="213" spans="2:56" ht="15" thickBot="1">
      <c r="B213" s="50"/>
      <c r="C213" s="9" t="s">
        <v>8</v>
      </c>
      <c r="D213" s="10">
        <v>0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205.75</v>
      </c>
      <c r="L213" s="10">
        <v>688.34</v>
      </c>
      <c r="M213" s="10">
        <v>952.12</v>
      </c>
      <c r="N213" s="10">
        <v>1508.88</v>
      </c>
      <c r="O213" s="10">
        <v>1714.85</v>
      </c>
      <c r="P213" s="10">
        <v>1910.11</v>
      </c>
      <c r="Q213" s="10">
        <v>1925.9</v>
      </c>
      <c r="R213" s="10">
        <v>1990.63</v>
      </c>
      <c r="S213" s="10">
        <v>2038.17</v>
      </c>
      <c r="T213" s="10">
        <v>2038.6</v>
      </c>
      <c r="U213" s="10">
        <v>2192.7199999999998</v>
      </c>
      <c r="V213" s="10">
        <v>2528.69</v>
      </c>
      <c r="W213" s="10">
        <v>2351.7199999999998</v>
      </c>
      <c r="X213" s="10">
        <v>1956</v>
      </c>
      <c r="Y213" s="10">
        <v>1037.82</v>
      </c>
      <c r="Z213" s="10">
        <v>525.02</v>
      </c>
      <c r="AA213" s="13">
        <v>223.29</v>
      </c>
      <c r="AB213" s="6">
        <f t="shared" si="3"/>
        <v>25788.610000000004</v>
      </c>
      <c r="AC213" s="6">
        <v>2</v>
      </c>
      <c r="AD213" s="53"/>
      <c r="AG213" s="45"/>
      <c r="AH213" s="45"/>
      <c r="AI213" s="45"/>
      <c r="AJ213" s="45"/>
      <c r="AK213" s="45"/>
      <c r="AL213" s="45"/>
      <c r="AM213" s="45"/>
      <c r="AN213" s="45"/>
      <c r="AO213" s="45"/>
      <c r="AP213" s="45"/>
      <c r="AQ213" s="45"/>
      <c r="AR213" s="45"/>
      <c r="AS213" s="45"/>
      <c r="AT213" s="45"/>
      <c r="AU213" s="45"/>
      <c r="AV213" s="45"/>
      <c r="AW213" s="45"/>
      <c r="AX213" s="45"/>
      <c r="AY213" s="45"/>
      <c r="AZ213" s="45"/>
      <c r="BA213" s="45"/>
      <c r="BB213" s="45"/>
      <c r="BC213" s="45"/>
      <c r="BD213" s="45"/>
    </row>
    <row r="214" spans="2:56">
      <c r="B214" s="48">
        <v>47604</v>
      </c>
      <c r="C214" s="8" t="s">
        <v>5</v>
      </c>
      <c r="D214" s="7">
        <v>628.61</v>
      </c>
      <c r="E214" s="7">
        <v>393.06</v>
      </c>
      <c r="F214" s="7">
        <v>234.86</v>
      </c>
      <c r="G214" s="7">
        <v>139.15</v>
      </c>
      <c r="H214" s="7">
        <v>186.66</v>
      </c>
      <c r="I214" s="7">
        <v>753.37</v>
      </c>
      <c r="J214" s="7">
        <v>2230.37</v>
      </c>
      <c r="K214" s="7">
        <v>4182.99</v>
      </c>
      <c r="L214" s="7">
        <v>5304.08</v>
      </c>
      <c r="M214" s="7">
        <v>5539.52</v>
      </c>
      <c r="N214" s="7">
        <v>6253.16</v>
      </c>
      <c r="O214" s="7">
        <v>6471.5</v>
      </c>
      <c r="P214" s="7">
        <v>6055.42</v>
      </c>
      <c r="Q214" s="7">
        <v>6352.82</v>
      </c>
      <c r="R214" s="7">
        <v>6785.14</v>
      </c>
      <c r="S214" s="7">
        <v>6692.89</v>
      </c>
      <c r="T214" s="7">
        <v>6412.01</v>
      </c>
      <c r="U214" s="7">
        <v>5330.25</v>
      </c>
      <c r="V214" s="7">
        <v>4903.8500000000004</v>
      </c>
      <c r="W214" s="7">
        <v>4384.5</v>
      </c>
      <c r="X214" s="7">
        <v>3462.15</v>
      </c>
      <c r="Y214" s="7">
        <v>2474.7199999999998</v>
      </c>
      <c r="Z214" s="7">
        <v>1703.97</v>
      </c>
      <c r="AA214" s="11">
        <v>1231</v>
      </c>
      <c r="AB214" s="5">
        <f t="shared" si="3"/>
        <v>88106.05</v>
      </c>
      <c r="AC214" s="5">
        <v>22</v>
      </c>
      <c r="AD214" s="51">
        <f>(AB214*AC214)+(AB215*AC215)+(AB216*AC216)+(AB217*AC217)</f>
        <v>2322495.7999999998</v>
      </c>
      <c r="AG214" s="45"/>
      <c r="AH214" s="45"/>
      <c r="AI214" s="45"/>
      <c r="AJ214" s="45"/>
      <c r="AK214" s="45"/>
      <c r="AL214" s="45"/>
      <c r="AM214" s="45"/>
      <c r="AN214" s="45"/>
      <c r="AO214" s="45"/>
      <c r="AP214" s="45"/>
      <c r="AQ214" s="45"/>
      <c r="AR214" s="45"/>
      <c r="AS214" s="45"/>
      <c r="AT214" s="45"/>
      <c r="AU214" s="45"/>
      <c r="AV214" s="45"/>
      <c r="AW214" s="45"/>
      <c r="AX214" s="45"/>
      <c r="AY214" s="45"/>
      <c r="AZ214" s="45"/>
      <c r="BA214" s="45"/>
      <c r="BB214" s="45"/>
      <c r="BC214" s="45"/>
      <c r="BD214" s="45"/>
    </row>
    <row r="215" spans="2:56">
      <c r="B215" s="49"/>
      <c r="C215" s="1" t="s">
        <v>6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450.13</v>
      </c>
      <c r="K215" s="2">
        <v>1665.01</v>
      </c>
      <c r="L215" s="2">
        <v>2445.9699999999998</v>
      </c>
      <c r="M215" s="2">
        <v>2723.9</v>
      </c>
      <c r="N215" s="2">
        <v>3164.42</v>
      </c>
      <c r="O215" s="2">
        <v>3218.5</v>
      </c>
      <c r="P215" s="2">
        <v>2933.02</v>
      </c>
      <c r="Q215" s="2">
        <v>2626.38</v>
      </c>
      <c r="R215" s="2">
        <v>2423.9499999999998</v>
      </c>
      <c r="S215" s="2">
        <v>2354.7600000000002</v>
      </c>
      <c r="T215" s="2">
        <v>2213.42</v>
      </c>
      <c r="U215" s="2">
        <v>2198.71</v>
      </c>
      <c r="V215" s="2">
        <v>2311.6</v>
      </c>
      <c r="W215" s="2">
        <v>1947.29</v>
      </c>
      <c r="X215" s="2">
        <v>1382.72</v>
      </c>
      <c r="Y215" s="2">
        <v>516.89</v>
      </c>
      <c r="Z215" s="2">
        <v>35.590000000000003</v>
      </c>
      <c r="AA215" s="12">
        <v>0</v>
      </c>
      <c r="AB215" s="3">
        <f t="shared" si="3"/>
        <v>34612.259999999995</v>
      </c>
      <c r="AC215" s="3">
        <v>4</v>
      </c>
      <c r="AD215" s="52"/>
      <c r="AG215" s="45"/>
      <c r="AH215" s="45"/>
      <c r="AI215" s="45"/>
      <c r="AJ215" s="45"/>
      <c r="AK215" s="45"/>
      <c r="AL215" s="45"/>
      <c r="AM215" s="45"/>
      <c r="AN215" s="45"/>
      <c r="AO215" s="45"/>
      <c r="AP215" s="45"/>
      <c r="AQ215" s="45"/>
      <c r="AR215" s="45"/>
      <c r="AS215" s="45"/>
      <c r="AT215" s="45"/>
      <c r="AU215" s="45"/>
      <c r="AV215" s="45"/>
      <c r="AW215" s="45"/>
      <c r="AX215" s="45"/>
      <c r="AY215" s="45"/>
      <c r="AZ215" s="45"/>
      <c r="BA215" s="45"/>
      <c r="BB215" s="45"/>
      <c r="BC215" s="45"/>
      <c r="BD215" s="45"/>
    </row>
    <row r="216" spans="2:56">
      <c r="B216" s="49"/>
      <c r="C216" s="1" t="s">
        <v>7</v>
      </c>
      <c r="D216" s="2">
        <v>1311.17</v>
      </c>
      <c r="E216" s="2">
        <v>919.81</v>
      </c>
      <c r="F216" s="2">
        <v>706.28</v>
      </c>
      <c r="G216" s="2">
        <v>557.09</v>
      </c>
      <c r="H216" s="2">
        <v>443.6</v>
      </c>
      <c r="I216" s="2">
        <v>396.24</v>
      </c>
      <c r="J216" s="2">
        <v>803.23</v>
      </c>
      <c r="K216" s="2">
        <v>1390.87</v>
      </c>
      <c r="L216" s="2">
        <v>1865.52</v>
      </c>
      <c r="M216" s="2">
        <v>2149.8200000000002</v>
      </c>
      <c r="N216" s="2">
        <v>2724.42</v>
      </c>
      <c r="O216" s="2">
        <v>2962.92</v>
      </c>
      <c r="P216" s="2">
        <v>3210.4</v>
      </c>
      <c r="Q216" s="2">
        <v>3248.47</v>
      </c>
      <c r="R216" s="2">
        <v>3201.9</v>
      </c>
      <c r="S216" s="2">
        <v>3284.73</v>
      </c>
      <c r="T216" s="2">
        <v>3355.62</v>
      </c>
      <c r="U216" s="2">
        <v>3447.53</v>
      </c>
      <c r="V216" s="2">
        <v>3803.93</v>
      </c>
      <c r="W216" s="2">
        <v>3776.65</v>
      </c>
      <c r="X216" s="2">
        <v>3354.49</v>
      </c>
      <c r="Y216" s="2">
        <v>2404.46</v>
      </c>
      <c r="Z216" s="2">
        <v>1905.53</v>
      </c>
      <c r="AA216" s="12">
        <v>1550.67</v>
      </c>
      <c r="AB216" s="3">
        <f t="shared" si="3"/>
        <v>52775.35</v>
      </c>
      <c r="AC216" s="3">
        <v>4</v>
      </c>
      <c r="AD216" s="52"/>
      <c r="AG216" s="45"/>
      <c r="AH216" s="45"/>
      <c r="AI216" s="45"/>
      <c r="AJ216" s="45"/>
      <c r="AK216" s="45"/>
      <c r="AL216" s="45"/>
      <c r="AM216" s="45"/>
      <c r="AN216" s="45"/>
      <c r="AO216" s="45"/>
      <c r="AP216" s="45"/>
      <c r="AQ216" s="45"/>
      <c r="AR216" s="45"/>
      <c r="AS216" s="45"/>
      <c r="AT216" s="45"/>
      <c r="AU216" s="45"/>
      <c r="AV216" s="45"/>
      <c r="AW216" s="45"/>
      <c r="AX216" s="45"/>
      <c r="AY216" s="45"/>
      <c r="AZ216" s="45"/>
      <c r="BA216" s="45"/>
      <c r="BB216" s="45"/>
      <c r="BC216" s="45"/>
      <c r="BD216" s="45"/>
    </row>
    <row r="217" spans="2:56" ht="15" thickBot="1">
      <c r="B217" s="50"/>
      <c r="C217" s="9" t="s">
        <v>8</v>
      </c>
      <c r="D217" s="10">
        <v>0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450.13</v>
      </c>
      <c r="K217" s="10">
        <v>1665.01</v>
      </c>
      <c r="L217" s="10">
        <v>2445.9699999999998</v>
      </c>
      <c r="M217" s="10">
        <v>2723.9</v>
      </c>
      <c r="N217" s="10">
        <v>3164.42</v>
      </c>
      <c r="O217" s="10">
        <v>3218.5</v>
      </c>
      <c r="P217" s="10">
        <v>2933.02</v>
      </c>
      <c r="Q217" s="10">
        <v>2626.38</v>
      </c>
      <c r="R217" s="10">
        <v>2423.9499999999998</v>
      </c>
      <c r="S217" s="10">
        <v>2354.7600000000002</v>
      </c>
      <c r="T217" s="10">
        <v>2213.42</v>
      </c>
      <c r="U217" s="10">
        <v>2198.71</v>
      </c>
      <c r="V217" s="10">
        <v>2311.6</v>
      </c>
      <c r="W217" s="10">
        <v>1947.29</v>
      </c>
      <c r="X217" s="10">
        <v>1382.72</v>
      </c>
      <c r="Y217" s="10">
        <v>516.89</v>
      </c>
      <c r="Z217" s="10">
        <v>35.590000000000003</v>
      </c>
      <c r="AA217" s="13">
        <v>0</v>
      </c>
      <c r="AB217" s="6">
        <f t="shared" si="3"/>
        <v>34612.259999999995</v>
      </c>
      <c r="AC217" s="6">
        <v>1</v>
      </c>
      <c r="AD217" s="53"/>
      <c r="AG217" s="45"/>
      <c r="AH217" s="45"/>
      <c r="AI217" s="45"/>
      <c r="AJ217" s="45"/>
      <c r="AK217" s="45"/>
      <c r="AL217" s="45"/>
      <c r="AM217" s="45"/>
      <c r="AN217" s="45"/>
      <c r="AO217" s="45"/>
      <c r="AP217" s="45"/>
      <c r="AQ217" s="45"/>
      <c r="AR217" s="45"/>
      <c r="AS217" s="45"/>
      <c r="AT217" s="45"/>
      <c r="AU217" s="45"/>
      <c r="AV217" s="45"/>
      <c r="AW217" s="45"/>
      <c r="AX217" s="45"/>
      <c r="AY217" s="45"/>
      <c r="AZ217" s="45"/>
      <c r="BA217" s="45"/>
      <c r="BB217" s="45"/>
      <c r="BC217" s="45"/>
      <c r="BD217" s="45"/>
    </row>
    <row r="218" spans="2:56">
      <c r="B218" s="48">
        <v>47635</v>
      </c>
      <c r="C218" s="8" t="s">
        <v>5</v>
      </c>
      <c r="D218" s="7">
        <v>1202.6099999999999</v>
      </c>
      <c r="E218" s="7">
        <v>948.81</v>
      </c>
      <c r="F218" s="7">
        <v>778.36</v>
      </c>
      <c r="G218" s="7">
        <v>675.23</v>
      </c>
      <c r="H218" s="7">
        <v>726.42</v>
      </c>
      <c r="I218" s="7">
        <v>1337.03</v>
      </c>
      <c r="J218" s="7">
        <v>2928.44</v>
      </c>
      <c r="K218" s="7">
        <v>5033.8900000000003</v>
      </c>
      <c r="L218" s="7">
        <v>6241.83</v>
      </c>
      <c r="M218" s="7">
        <v>6495.5</v>
      </c>
      <c r="N218" s="7">
        <v>7264.42</v>
      </c>
      <c r="O218" s="7">
        <v>7499.68</v>
      </c>
      <c r="P218" s="7">
        <v>7051.36</v>
      </c>
      <c r="Q218" s="7">
        <v>7371.81</v>
      </c>
      <c r="R218" s="7">
        <v>7837.61</v>
      </c>
      <c r="S218" s="7">
        <v>7738.22</v>
      </c>
      <c r="T218" s="7">
        <v>7435.58</v>
      </c>
      <c r="U218" s="7">
        <v>6268.45</v>
      </c>
      <c r="V218" s="7">
        <v>5809.01</v>
      </c>
      <c r="W218" s="7">
        <v>5249.44</v>
      </c>
      <c r="X218" s="7">
        <v>4255.6400000000003</v>
      </c>
      <c r="Y218" s="7">
        <v>3191.72</v>
      </c>
      <c r="Z218" s="7">
        <v>2361.27</v>
      </c>
      <c r="AA218" s="11">
        <v>1851.66</v>
      </c>
      <c r="AB218" s="5">
        <f t="shared" si="3"/>
        <v>107553.99</v>
      </c>
      <c r="AC218" s="5">
        <v>18</v>
      </c>
      <c r="AD218" s="51">
        <f>(AB218*AC218)+(AB219*AC219)+(AB220*AC220)+(AB221*AC221)</f>
        <v>2278520.67</v>
      </c>
      <c r="AG218" s="45"/>
      <c r="AH218" s="45"/>
      <c r="AI218" s="45"/>
      <c r="AJ218" s="45"/>
      <c r="AK218" s="45"/>
      <c r="AL218" s="45"/>
      <c r="AM218" s="45"/>
      <c r="AN218" s="45"/>
      <c r="AO218" s="45"/>
      <c r="AP218" s="45"/>
      <c r="AQ218" s="45"/>
      <c r="AR218" s="45"/>
      <c r="AS218" s="45"/>
      <c r="AT218" s="45"/>
      <c r="AU218" s="45"/>
      <c r="AV218" s="45"/>
      <c r="AW218" s="45"/>
      <c r="AX218" s="45"/>
      <c r="AY218" s="45"/>
      <c r="AZ218" s="45"/>
      <c r="BA218" s="45"/>
      <c r="BB218" s="45"/>
      <c r="BC218" s="45"/>
      <c r="BD218" s="45"/>
    </row>
    <row r="219" spans="2:56">
      <c r="B219" s="49"/>
      <c r="C219" s="1" t="s">
        <v>6</v>
      </c>
      <c r="D219" s="2">
        <v>952.19</v>
      </c>
      <c r="E219" s="2">
        <v>648.61</v>
      </c>
      <c r="F219" s="2">
        <v>447.78</v>
      </c>
      <c r="G219" s="2">
        <v>389.81</v>
      </c>
      <c r="H219" s="2">
        <v>320.3</v>
      </c>
      <c r="I219" s="2">
        <v>484.13</v>
      </c>
      <c r="J219" s="2">
        <v>1585.73</v>
      </c>
      <c r="K219" s="2">
        <v>2991.36</v>
      </c>
      <c r="L219" s="2">
        <v>3892.92</v>
      </c>
      <c r="M219" s="2">
        <v>4213.7700000000004</v>
      </c>
      <c r="N219" s="2">
        <v>4722.3100000000004</v>
      </c>
      <c r="O219" s="2">
        <v>4784.75</v>
      </c>
      <c r="P219" s="2">
        <v>4455.18</v>
      </c>
      <c r="Q219" s="2">
        <v>4101.1899999999996</v>
      </c>
      <c r="R219" s="2">
        <v>3867.5</v>
      </c>
      <c r="S219" s="2">
        <v>3787.62</v>
      </c>
      <c r="T219" s="2">
        <v>3624.46</v>
      </c>
      <c r="U219" s="2">
        <v>3604.33</v>
      </c>
      <c r="V219" s="2">
        <v>3734.66</v>
      </c>
      <c r="W219" s="2">
        <v>3314.08</v>
      </c>
      <c r="X219" s="2">
        <v>2662.33</v>
      </c>
      <c r="Y219" s="2">
        <v>1662.8</v>
      </c>
      <c r="Z219" s="2">
        <v>1107.18</v>
      </c>
      <c r="AA219" s="12">
        <v>715.7</v>
      </c>
      <c r="AB219" s="3">
        <f t="shared" si="3"/>
        <v>62070.69000000001</v>
      </c>
      <c r="AC219" s="3">
        <v>5</v>
      </c>
      <c r="AD219" s="52"/>
      <c r="AG219" s="45"/>
      <c r="AH219" s="45"/>
      <c r="AI219" s="45"/>
      <c r="AJ219" s="45"/>
      <c r="AK219" s="45"/>
      <c r="AL219" s="45"/>
      <c r="AM219" s="45"/>
      <c r="AN219" s="45"/>
      <c r="AO219" s="45"/>
      <c r="AP219" s="45"/>
      <c r="AQ219" s="45"/>
      <c r="AR219" s="45"/>
      <c r="AS219" s="45"/>
      <c r="AT219" s="45"/>
      <c r="AU219" s="45"/>
      <c r="AV219" s="45"/>
      <c r="AW219" s="45"/>
      <c r="AX219" s="45"/>
      <c r="AY219" s="45"/>
      <c r="AZ219" s="45"/>
      <c r="BA219" s="45"/>
      <c r="BB219" s="45"/>
      <c r="BC219" s="45"/>
      <c r="BD219" s="45"/>
    </row>
    <row r="220" spans="2:56">
      <c r="B220" s="49"/>
      <c r="C220" s="1" t="s">
        <v>7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153.4</v>
      </c>
      <c r="O220" s="2">
        <v>329.62</v>
      </c>
      <c r="P220" s="2">
        <v>512.46</v>
      </c>
      <c r="Q220" s="2">
        <v>540.59</v>
      </c>
      <c r="R220" s="2">
        <v>506.19</v>
      </c>
      <c r="S220" s="2">
        <v>567.38</v>
      </c>
      <c r="T220" s="2">
        <v>619.76</v>
      </c>
      <c r="U220" s="2">
        <v>692.99</v>
      </c>
      <c r="V220" s="2">
        <v>956.3</v>
      </c>
      <c r="W220" s="2">
        <v>936.15</v>
      </c>
      <c r="X220" s="2">
        <v>624.24</v>
      </c>
      <c r="Y220" s="2">
        <v>0</v>
      </c>
      <c r="Z220" s="2">
        <v>0</v>
      </c>
      <c r="AA220" s="12">
        <v>0</v>
      </c>
      <c r="AB220" s="3">
        <f t="shared" si="3"/>
        <v>6439.08</v>
      </c>
      <c r="AC220" s="3">
        <v>5</v>
      </c>
      <c r="AD220" s="52"/>
      <c r="AG220" s="45"/>
      <c r="AH220" s="45"/>
      <c r="AI220" s="45"/>
      <c r="AJ220" s="45"/>
      <c r="AK220" s="45"/>
      <c r="AL220" s="45"/>
      <c r="AM220" s="45"/>
      <c r="AN220" s="45"/>
      <c r="AO220" s="45"/>
      <c r="AP220" s="45"/>
      <c r="AQ220" s="45"/>
      <c r="AR220" s="45"/>
      <c r="AS220" s="45"/>
      <c r="AT220" s="45"/>
      <c r="AU220" s="45"/>
      <c r="AV220" s="45"/>
      <c r="AW220" s="45"/>
      <c r="AX220" s="45"/>
      <c r="AY220" s="45"/>
      <c r="AZ220" s="45"/>
      <c r="BA220" s="45"/>
      <c r="BB220" s="45"/>
      <c r="BC220" s="45"/>
      <c r="BD220" s="45"/>
    </row>
    <row r="221" spans="2:56" ht="15" thickBot="1">
      <c r="B221" s="50"/>
      <c r="C221" s="9" t="s">
        <v>8</v>
      </c>
      <c r="D221" s="10">
        <v>0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  <c r="P221" s="10">
        <v>0</v>
      </c>
      <c r="Q221" s="10">
        <v>0</v>
      </c>
      <c r="R221" s="10">
        <v>0</v>
      </c>
      <c r="S221" s="10">
        <v>0</v>
      </c>
      <c r="T221" s="10">
        <v>0</v>
      </c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Z221" s="10">
        <v>0</v>
      </c>
      <c r="AA221" s="13">
        <v>0</v>
      </c>
      <c r="AB221" s="6">
        <f t="shared" si="3"/>
        <v>0</v>
      </c>
      <c r="AC221" s="6">
        <v>2</v>
      </c>
      <c r="AD221" s="53"/>
      <c r="AG221" s="45"/>
      <c r="AH221" s="45"/>
      <c r="AI221" s="45"/>
      <c r="AJ221" s="45"/>
      <c r="AK221" s="45"/>
      <c r="AL221" s="45"/>
      <c r="AM221" s="45"/>
      <c r="AN221" s="45"/>
      <c r="AO221" s="45"/>
      <c r="AP221" s="45"/>
      <c r="AQ221" s="45"/>
      <c r="AR221" s="45"/>
      <c r="AS221" s="45"/>
      <c r="AT221" s="45"/>
      <c r="AU221" s="45"/>
      <c r="AV221" s="45"/>
      <c r="AW221" s="45"/>
      <c r="AX221" s="45"/>
      <c r="AY221" s="45"/>
      <c r="AZ221" s="45"/>
      <c r="BA221" s="45"/>
      <c r="BB221" s="45"/>
      <c r="BC221" s="45"/>
      <c r="BD221" s="45"/>
    </row>
    <row r="222" spans="2:56">
      <c r="B222" s="48">
        <v>47665</v>
      </c>
      <c r="C222" s="8" t="s">
        <v>5</v>
      </c>
      <c r="D222" s="7">
        <v>0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7">
        <v>1335.64</v>
      </c>
      <c r="K222" s="7">
        <v>3111.63</v>
      </c>
      <c r="L222" s="7">
        <v>4132.3599999999997</v>
      </c>
      <c r="M222" s="7">
        <v>4346.72</v>
      </c>
      <c r="N222" s="7">
        <v>4996.47</v>
      </c>
      <c r="O222" s="7">
        <v>5195.2700000000004</v>
      </c>
      <c r="P222" s="7">
        <v>4816.43</v>
      </c>
      <c r="Q222" s="7">
        <v>5087.21</v>
      </c>
      <c r="R222" s="7">
        <v>5480.83</v>
      </c>
      <c r="S222" s="7">
        <v>5396.84</v>
      </c>
      <c r="T222" s="7">
        <v>5141.1000000000004</v>
      </c>
      <c r="U222" s="7">
        <v>4158.01</v>
      </c>
      <c r="V222" s="7">
        <v>3769.78</v>
      </c>
      <c r="W222" s="7">
        <v>3296.93</v>
      </c>
      <c r="X222" s="7">
        <v>2457.15</v>
      </c>
      <c r="Y222" s="7">
        <v>1558.12</v>
      </c>
      <c r="Z222" s="7">
        <v>856.37</v>
      </c>
      <c r="AA222" s="11">
        <v>425.74</v>
      </c>
      <c r="AB222" s="5">
        <f t="shared" si="3"/>
        <v>65562.60000000002</v>
      </c>
      <c r="AC222" s="5">
        <v>22</v>
      </c>
      <c r="AD222" s="51">
        <f>(AB222*AC222)+(AB223*AC223)+(AB224*AC224)+(AB225*AC225)</f>
        <v>1835372.3600000003</v>
      </c>
      <c r="AG222" s="45"/>
      <c r="AH222" s="45"/>
      <c r="AI222" s="45"/>
      <c r="AJ222" s="45"/>
      <c r="AK222" s="45"/>
      <c r="AL222" s="45"/>
      <c r="AM222" s="45"/>
      <c r="AN222" s="45"/>
      <c r="AO222" s="45"/>
      <c r="AP222" s="45"/>
      <c r="AQ222" s="45"/>
      <c r="AR222" s="45"/>
      <c r="AS222" s="45"/>
      <c r="AT222" s="45"/>
      <c r="AU222" s="45"/>
      <c r="AV222" s="45"/>
      <c r="AW222" s="45"/>
      <c r="AX222" s="45"/>
      <c r="AY222" s="45"/>
      <c r="AZ222" s="45"/>
      <c r="BA222" s="45"/>
      <c r="BB222" s="45"/>
      <c r="BC222" s="45"/>
      <c r="BD222" s="45"/>
    </row>
    <row r="223" spans="2:56">
      <c r="B223" s="49"/>
      <c r="C223" s="1" t="s">
        <v>6</v>
      </c>
      <c r="D223" s="2">
        <v>1543</v>
      </c>
      <c r="E223" s="2">
        <v>1215.21</v>
      </c>
      <c r="F223" s="2">
        <v>998.37</v>
      </c>
      <c r="G223" s="2">
        <v>935.78</v>
      </c>
      <c r="H223" s="2">
        <v>860.71</v>
      </c>
      <c r="I223" s="2">
        <v>1037.6099999999999</v>
      </c>
      <c r="J223" s="2">
        <v>2227.0700000000002</v>
      </c>
      <c r="K223" s="2">
        <v>3746.41</v>
      </c>
      <c r="L223" s="2">
        <v>4719.87</v>
      </c>
      <c r="M223" s="2">
        <v>5066.3</v>
      </c>
      <c r="N223" s="2">
        <v>5615.4</v>
      </c>
      <c r="O223" s="2">
        <v>5682.81</v>
      </c>
      <c r="P223" s="2">
        <v>5326.97</v>
      </c>
      <c r="Q223" s="2">
        <v>4944.74</v>
      </c>
      <c r="R223" s="2">
        <v>4692.42</v>
      </c>
      <c r="S223" s="2">
        <v>4606.17</v>
      </c>
      <c r="T223" s="2">
        <v>4430</v>
      </c>
      <c r="U223" s="2">
        <v>4406.6400000000003</v>
      </c>
      <c r="V223" s="2">
        <v>4547.3599999999997</v>
      </c>
      <c r="W223" s="2">
        <v>4093.24</v>
      </c>
      <c r="X223" s="2">
        <v>3389.52</v>
      </c>
      <c r="Y223" s="2">
        <v>2310.2800000000002</v>
      </c>
      <c r="Z223" s="2">
        <v>1710.35</v>
      </c>
      <c r="AA223" s="12">
        <v>1287.6500000000001</v>
      </c>
      <c r="AB223" s="3">
        <f t="shared" si="3"/>
        <v>79393.87999999999</v>
      </c>
      <c r="AC223" s="3">
        <v>3</v>
      </c>
      <c r="AD223" s="52"/>
      <c r="AG223" s="45"/>
      <c r="AH223" s="45"/>
      <c r="AI223" s="45"/>
      <c r="AJ223" s="45"/>
      <c r="AK223" s="45"/>
      <c r="AL223" s="45"/>
      <c r="AM223" s="45"/>
      <c r="AN223" s="45"/>
      <c r="AO223" s="45"/>
      <c r="AP223" s="45"/>
      <c r="AQ223" s="45"/>
      <c r="AR223" s="45"/>
      <c r="AS223" s="45"/>
      <c r="AT223" s="45"/>
      <c r="AU223" s="45"/>
      <c r="AV223" s="45"/>
      <c r="AW223" s="45"/>
      <c r="AX223" s="45"/>
      <c r="AY223" s="45"/>
      <c r="AZ223" s="45"/>
      <c r="BA223" s="45"/>
      <c r="BB223" s="45"/>
      <c r="BC223" s="45"/>
      <c r="BD223" s="45"/>
    </row>
    <row r="224" spans="2:56">
      <c r="B224" s="49"/>
      <c r="C224" s="1" t="s">
        <v>4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106.4</v>
      </c>
      <c r="O224" s="2">
        <v>282.62</v>
      </c>
      <c r="P224" s="2">
        <v>465.46</v>
      </c>
      <c r="Q224" s="2">
        <v>493.59</v>
      </c>
      <c r="R224" s="2">
        <v>459.19</v>
      </c>
      <c r="S224" s="2">
        <v>520.38</v>
      </c>
      <c r="T224" s="2">
        <v>572.76</v>
      </c>
      <c r="U224" s="2">
        <v>645.99</v>
      </c>
      <c r="V224" s="2">
        <v>909.3</v>
      </c>
      <c r="W224" s="2">
        <v>889.15</v>
      </c>
      <c r="X224" s="2">
        <v>577.24</v>
      </c>
      <c r="Y224" s="2">
        <v>0</v>
      </c>
      <c r="Z224" s="2">
        <v>0</v>
      </c>
      <c r="AA224" s="12">
        <v>0</v>
      </c>
      <c r="AB224" s="3">
        <f t="shared" si="3"/>
        <v>5922.079999999999</v>
      </c>
      <c r="AC224" s="3">
        <v>4</v>
      </c>
      <c r="AD224" s="52"/>
      <c r="AG224" s="45"/>
      <c r="AH224" s="45"/>
      <c r="AI224" s="45"/>
      <c r="AJ224" s="45"/>
      <c r="AK224" s="45"/>
      <c r="AL224" s="45"/>
      <c r="AM224" s="45"/>
      <c r="AN224" s="45"/>
      <c r="AO224" s="45"/>
      <c r="AP224" s="45"/>
      <c r="AQ224" s="45"/>
      <c r="AR224" s="45"/>
      <c r="AS224" s="45"/>
      <c r="AT224" s="45"/>
      <c r="AU224" s="45"/>
      <c r="AV224" s="45"/>
      <c r="AW224" s="45"/>
      <c r="AX224" s="45"/>
      <c r="AY224" s="45"/>
      <c r="AZ224" s="45"/>
      <c r="BA224" s="45"/>
      <c r="BB224" s="45"/>
      <c r="BC224" s="45"/>
      <c r="BD224" s="45"/>
    </row>
    <row r="225" spans="2:56" ht="15" thickBot="1">
      <c r="B225" s="50"/>
      <c r="C225" s="9" t="s">
        <v>8</v>
      </c>
      <c r="D225" s="10">
        <v>0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1335.64</v>
      </c>
      <c r="K225" s="10">
        <v>3111.63</v>
      </c>
      <c r="L225" s="10">
        <v>4132.3599999999997</v>
      </c>
      <c r="M225" s="10">
        <v>4346.72</v>
      </c>
      <c r="N225" s="10">
        <v>4996.47</v>
      </c>
      <c r="O225" s="10">
        <v>5195.2700000000004</v>
      </c>
      <c r="P225" s="10">
        <v>4816.43</v>
      </c>
      <c r="Q225" s="10">
        <v>5087.21</v>
      </c>
      <c r="R225" s="10">
        <v>5480.83</v>
      </c>
      <c r="S225" s="10">
        <v>5396.84</v>
      </c>
      <c r="T225" s="10">
        <v>5141.1000000000004</v>
      </c>
      <c r="U225" s="10">
        <v>4158.01</v>
      </c>
      <c r="V225" s="10">
        <v>3769.78</v>
      </c>
      <c r="W225" s="10">
        <v>3296.93</v>
      </c>
      <c r="X225" s="10">
        <v>2457.15</v>
      </c>
      <c r="Y225" s="10">
        <v>1558.12</v>
      </c>
      <c r="Z225" s="10">
        <v>856.37</v>
      </c>
      <c r="AA225" s="13">
        <v>425.74</v>
      </c>
      <c r="AB225" s="6">
        <f t="shared" si="3"/>
        <v>65562.60000000002</v>
      </c>
      <c r="AC225" s="6">
        <v>2</v>
      </c>
      <c r="AD225" s="53"/>
      <c r="AG225" s="45"/>
      <c r="AH225" s="45"/>
      <c r="AI225" s="45"/>
      <c r="AJ225" s="45"/>
      <c r="AK225" s="45"/>
      <c r="AL225" s="45"/>
      <c r="AM225" s="45"/>
      <c r="AN225" s="45"/>
      <c r="AO225" s="45"/>
      <c r="AP225" s="45"/>
      <c r="AQ225" s="45"/>
      <c r="AR225" s="45"/>
      <c r="AS225" s="45"/>
      <c r="AT225" s="45"/>
      <c r="AU225" s="45"/>
      <c r="AV225" s="45"/>
      <c r="AW225" s="45"/>
      <c r="AX225" s="45"/>
      <c r="AY225" s="45"/>
      <c r="AZ225" s="45"/>
      <c r="BA225" s="45"/>
      <c r="BB225" s="45"/>
      <c r="BC225" s="45"/>
      <c r="BD225" s="45"/>
    </row>
    <row r="226" spans="2:56">
      <c r="B226" s="48">
        <v>47696</v>
      </c>
      <c r="C226" s="8" t="s">
        <v>5</v>
      </c>
      <c r="D226" s="7">
        <v>1503.6</v>
      </c>
      <c r="E226" s="7">
        <v>1238.04</v>
      </c>
      <c r="F226" s="7">
        <v>1059.7</v>
      </c>
      <c r="G226" s="7">
        <v>951.8</v>
      </c>
      <c r="H226" s="7">
        <v>1005.36</v>
      </c>
      <c r="I226" s="7">
        <v>1644.25</v>
      </c>
      <c r="J226" s="7">
        <v>3309.35</v>
      </c>
      <c r="K226" s="7">
        <v>5513.26</v>
      </c>
      <c r="L226" s="7">
        <v>6777.13</v>
      </c>
      <c r="M226" s="7">
        <v>7042.55</v>
      </c>
      <c r="N226" s="7">
        <v>7847.08</v>
      </c>
      <c r="O226" s="7">
        <v>8093.23</v>
      </c>
      <c r="P226" s="7">
        <v>7624.16</v>
      </c>
      <c r="Q226" s="7">
        <v>7959.44</v>
      </c>
      <c r="R226" s="7">
        <v>8446.82</v>
      </c>
      <c r="S226" s="7">
        <v>8342.82</v>
      </c>
      <c r="T226" s="7">
        <v>8026.17</v>
      </c>
      <c r="U226" s="7">
        <v>6804.04</v>
      </c>
      <c r="V226" s="7">
        <v>6323.32</v>
      </c>
      <c r="W226" s="7">
        <v>5737.84</v>
      </c>
      <c r="X226" s="7">
        <v>4698.0200000000004</v>
      </c>
      <c r="Y226" s="7">
        <v>3584.82</v>
      </c>
      <c r="Z226" s="7">
        <v>2715.92</v>
      </c>
      <c r="AA226" s="11">
        <v>2182.71</v>
      </c>
      <c r="AB226" s="5">
        <f t="shared" si="3"/>
        <v>118431.43000000004</v>
      </c>
      <c r="AC226" s="5">
        <v>20</v>
      </c>
      <c r="AD226" s="51">
        <f>(AB226*AC226)+(AB227*AC227)+(AB228*AC228)+(AB229*AC229)</f>
        <v>2701010.7200000007</v>
      </c>
      <c r="AG226" s="45"/>
      <c r="AH226" s="45"/>
      <c r="AI226" s="45"/>
      <c r="AJ226" s="45"/>
      <c r="AK226" s="45"/>
      <c r="AL226" s="45"/>
      <c r="AM226" s="45"/>
      <c r="AN226" s="45"/>
      <c r="AO226" s="45"/>
      <c r="AP226" s="45"/>
      <c r="AQ226" s="45"/>
      <c r="AR226" s="45"/>
      <c r="AS226" s="45"/>
      <c r="AT226" s="45"/>
      <c r="AU226" s="45"/>
      <c r="AV226" s="45"/>
      <c r="AW226" s="45"/>
      <c r="AX226" s="45"/>
      <c r="AY226" s="45"/>
      <c r="AZ226" s="45"/>
      <c r="BA226" s="45"/>
      <c r="BB226" s="45"/>
      <c r="BC226" s="45"/>
      <c r="BD226" s="45"/>
    </row>
    <row r="227" spans="2:56">
      <c r="B227" s="49"/>
      <c r="C227" s="1" t="s">
        <v>6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499.62</v>
      </c>
      <c r="K227" s="2">
        <v>1739.19</v>
      </c>
      <c r="L227" s="2">
        <v>2535.7600000000002</v>
      </c>
      <c r="M227" s="2">
        <v>2819.25</v>
      </c>
      <c r="N227" s="2">
        <v>3268.57</v>
      </c>
      <c r="O227" s="2">
        <v>3323.74</v>
      </c>
      <c r="P227" s="2">
        <v>3032.55</v>
      </c>
      <c r="Q227" s="2">
        <v>2719.78</v>
      </c>
      <c r="R227" s="2">
        <v>2513.31</v>
      </c>
      <c r="S227" s="2">
        <v>2442.73</v>
      </c>
      <c r="T227" s="2">
        <v>2298.5700000000002</v>
      </c>
      <c r="U227" s="2">
        <v>2283.15</v>
      </c>
      <c r="V227" s="2">
        <v>2398.3000000000002</v>
      </c>
      <c r="W227" s="2">
        <v>2026.7</v>
      </c>
      <c r="X227" s="2">
        <v>1450.84</v>
      </c>
      <c r="Y227" s="2">
        <v>567.71</v>
      </c>
      <c r="Z227" s="2">
        <v>76.790000000000006</v>
      </c>
      <c r="AA227" s="12">
        <v>0</v>
      </c>
      <c r="AB227" s="3">
        <f t="shared" si="3"/>
        <v>35996.559999999998</v>
      </c>
      <c r="AC227" s="3">
        <v>5</v>
      </c>
      <c r="AD227" s="52"/>
      <c r="AG227" s="45"/>
      <c r="AH227" s="45"/>
      <c r="AI227" s="45"/>
      <c r="AJ227" s="45"/>
      <c r="AK227" s="45"/>
      <c r="AL227" s="45"/>
      <c r="AM227" s="45"/>
      <c r="AN227" s="45"/>
      <c r="AO227" s="45"/>
      <c r="AP227" s="45"/>
      <c r="AQ227" s="45"/>
      <c r="AR227" s="45"/>
      <c r="AS227" s="45"/>
      <c r="AT227" s="45"/>
      <c r="AU227" s="45"/>
      <c r="AV227" s="45"/>
      <c r="AW227" s="45"/>
      <c r="AX227" s="45"/>
      <c r="AY227" s="45"/>
      <c r="AZ227" s="45"/>
      <c r="BA227" s="45"/>
      <c r="BB227" s="45"/>
      <c r="BC227" s="45"/>
      <c r="BD227" s="45"/>
    </row>
    <row r="228" spans="2:56">
      <c r="B228" s="49"/>
      <c r="C228" s="1" t="s">
        <v>7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125.55</v>
      </c>
      <c r="M228" s="2">
        <v>357.54</v>
      </c>
      <c r="N228" s="2">
        <v>826.4</v>
      </c>
      <c r="O228" s="2">
        <v>1021.02</v>
      </c>
      <c r="P228" s="2">
        <v>1222.96</v>
      </c>
      <c r="Q228" s="2">
        <v>1254.03</v>
      </c>
      <c r="R228" s="2">
        <v>1216.03</v>
      </c>
      <c r="S228" s="2">
        <v>1283.6099999999999</v>
      </c>
      <c r="T228" s="2">
        <v>1341.46</v>
      </c>
      <c r="U228" s="2">
        <v>1420.21</v>
      </c>
      <c r="V228" s="2">
        <v>1711.03</v>
      </c>
      <c r="W228" s="2">
        <v>1688.77</v>
      </c>
      <c r="X228" s="2">
        <v>1344.29</v>
      </c>
      <c r="Y228" s="2">
        <v>569.07000000000005</v>
      </c>
      <c r="Z228" s="2">
        <v>161.94</v>
      </c>
      <c r="AA228" s="12">
        <v>0</v>
      </c>
      <c r="AB228" s="3">
        <f t="shared" si="3"/>
        <v>15543.909999999998</v>
      </c>
      <c r="AC228" s="3">
        <v>4</v>
      </c>
      <c r="AD228" s="52"/>
      <c r="AG228" s="45"/>
      <c r="AH228" s="45"/>
      <c r="AI228" s="45"/>
      <c r="AJ228" s="45"/>
      <c r="AK228" s="45"/>
      <c r="AL228" s="45"/>
      <c r="AM228" s="45"/>
      <c r="AN228" s="45"/>
      <c r="AO228" s="45"/>
      <c r="AP228" s="45"/>
      <c r="AQ228" s="45"/>
      <c r="AR228" s="45"/>
      <c r="AS228" s="45"/>
      <c r="AT228" s="45"/>
      <c r="AU228" s="45"/>
      <c r="AV228" s="45"/>
      <c r="AW228" s="45"/>
      <c r="AX228" s="45"/>
      <c r="AY228" s="45"/>
      <c r="AZ228" s="45"/>
      <c r="BA228" s="45"/>
      <c r="BB228" s="45"/>
      <c r="BC228" s="45"/>
      <c r="BD228" s="45"/>
    </row>
    <row r="229" spans="2:56" ht="15" thickBot="1">
      <c r="B229" s="50"/>
      <c r="C229" s="9" t="s">
        <v>8</v>
      </c>
      <c r="D229" s="10">
        <v>594.71</v>
      </c>
      <c r="E229" s="10">
        <v>297.17</v>
      </c>
      <c r="F229" s="10">
        <v>170.38</v>
      </c>
      <c r="G229" s="10">
        <v>112.85</v>
      </c>
      <c r="H229" s="10">
        <v>0</v>
      </c>
      <c r="I229" s="10">
        <v>0</v>
      </c>
      <c r="J229" s="10">
        <v>380.2</v>
      </c>
      <c r="K229" s="10">
        <v>1068.73</v>
      </c>
      <c r="L229" s="10">
        <v>1618.8</v>
      </c>
      <c r="M229" s="10">
        <v>1919.47</v>
      </c>
      <c r="N229" s="10">
        <v>2554.1</v>
      </c>
      <c r="O229" s="10">
        <v>2788.87</v>
      </c>
      <c r="P229" s="10">
        <v>3011.43</v>
      </c>
      <c r="Q229" s="10">
        <v>3029.43</v>
      </c>
      <c r="R229" s="10">
        <v>3103.21</v>
      </c>
      <c r="S229" s="10">
        <v>3157.4</v>
      </c>
      <c r="T229" s="10">
        <v>3157.89</v>
      </c>
      <c r="U229" s="10">
        <v>3330.71</v>
      </c>
      <c r="V229" s="10">
        <v>3713.67</v>
      </c>
      <c r="W229" s="10">
        <v>3511.95</v>
      </c>
      <c r="X229" s="10">
        <v>3060.89</v>
      </c>
      <c r="Y229" s="10">
        <v>2014.31</v>
      </c>
      <c r="Z229" s="10">
        <v>1429.8</v>
      </c>
      <c r="AA229" s="13">
        <v>1085.8699999999999</v>
      </c>
      <c r="AB229" s="6">
        <f t="shared" si="3"/>
        <v>45111.839999999997</v>
      </c>
      <c r="AC229" s="6">
        <v>2</v>
      </c>
      <c r="AD229" s="53"/>
      <c r="AG229" s="45"/>
      <c r="AH229" s="45"/>
      <c r="AI229" s="45"/>
      <c r="AJ229" s="45"/>
      <c r="AK229" s="45"/>
      <c r="AL229" s="45"/>
      <c r="AM229" s="45"/>
      <c r="AN229" s="45"/>
      <c r="AO229" s="45"/>
      <c r="AP229" s="45"/>
      <c r="AQ229" s="45"/>
      <c r="AR229" s="45"/>
      <c r="AS229" s="45"/>
      <c r="AT229" s="45"/>
      <c r="AU229" s="45"/>
      <c r="AV229" s="45"/>
      <c r="AW229" s="45"/>
      <c r="AX229" s="45"/>
      <c r="AY229" s="45"/>
      <c r="AZ229" s="45"/>
      <c r="BA229" s="45"/>
      <c r="BB229" s="45"/>
      <c r="BC229" s="45"/>
      <c r="BD229" s="45"/>
    </row>
    <row r="230" spans="2:56">
      <c r="B230" s="48">
        <v>47727</v>
      </c>
      <c r="C230" s="8" t="s">
        <v>5</v>
      </c>
      <c r="D230" s="7">
        <v>0</v>
      </c>
      <c r="E230" s="7">
        <v>0</v>
      </c>
      <c r="F230" s="7">
        <v>0</v>
      </c>
      <c r="G230" s="7">
        <v>0</v>
      </c>
      <c r="H230" s="7">
        <v>0</v>
      </c>
      <c r="I230" s="7">
        <v>103.68</v>
      </c>
      <c r="J230" s="7">
        <v>1486.19</v>
      </c>
      <c r="K230" s="7">
        <v>3312.6</v>
      </c>
      <c r="L230" s="7">
        <v>4361.97</v>
      </c>
      <c r="M230" s="7">
        <v>4582.3500000000004</v>
      </c>
      <c r="N230" s="7">
        <v>5250.33</v>
      </c>
      <c r="O230" s="7">
        <v>5454.71</v>
      </c>
      <c r="P230" s="7">
        <v>5065.25</v>
      </c>
      <c r="Q230" s="7">
        <v>5343.62</v>
      </c>
      <c r="R230" s="7">
        <v>5748.29</v>
      </c>
      <c r="S230" s="7">
        <v>5661.94</v>
      </c>
      <c r="T230" s="7">
        <v>5399.03</v>
      </c>
      <c r="U230" s="7">
        <v>4387.7700000000004</v>
      </c>
      <c r="V230" s="7">
        <v>3988.64</v>
      </c>
      <c r="W230" s="7">
        <v>3502.52</v>
      </c>
      <c r="X230" s="7">
        <v>2639.17</v>
      </c>
      <c r="Y230" s="7">
        <v>1714.91</v>
      </c>
      <c r="Z230" s="7">
        <v>993.47</v>
      </c>
      <c r="AA230" s="11">
        <v>550.75</v>
      </c>
      <c r="AB230" s="5">
        <f t="shared" si="3"/>
        <v>69547.190000000017</v>
      </c>
      <c r="AC230" s="5">
        <v>21</v>
      </c>
      <c r="AD230" s="51">
        <f>(AB230*AC230)+(AB231*AC231)+(AB232*AC232)+(AB233*AC233)</f>
        <v>1674760.7800000005</v>
      </c>
      <c r="AG230" s="45"/>
      <c r="AH230" s="45"/>
      <c r="AI230" s="45"/>
      <c r="AJ230" s="45"/>
      <c r="AK230" s="45"/>
      <c r="AL230" s="45"/>
      <c r="AM230" s="45"/>
      <c r="AN230" s="45"/>
      <c r="AO230" s="45"/>
      <c r="AP230" s="45"/>
      <c r="AQ230" s="45"/>
      <c r="AR230" s="45"/>
      <c r="AS230" s="45"/>
      <c r="AT230" s="45"/>
      <c r="AU230" s="45"/>
      <c r="AV230" s="45"/>
      <c r="AW230" s="45"/>
      <c r="AX230" s="45"/>
      <c r="AY230" s="45"/>
      <c r="AZ230" s="45"/>
      <c r="BA230" s="45"/>
      <c r="BB230" s="45"/>
      <c r="BC230" s="45"/>
      <c r="BD230" s="45"/>
    </row>
    <row r="231" spans="2:56">
      <c r="B231" s="49"/>
      <c r="C231" s="1" t="s">
        <v>6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447.62</v>
      </c>
      <c r="K231" s="2">
        <v>1687.19</v>
      </c>
      <c r="L231" s="2">
        <v>2483.7600000000002</v>
      </c>
      <c r="M231" s="2">
        <v>2767.25</v>
      </c>
      <c r="N231" s="2">
        <v>3216.57</v>
      </c>
      <c r="O231" s="2">
        <v>3271.74</v>
      </c>
      <c r="P231" s="2">
        <v>2980.55</v>
      </c>
      <c r="Q231" s="2">
        <v>2667.78</v>
      </c>
      <c r="R231" s="2">
        <v>2461.31</v>
      </c>
      <c r="S231" s="2">
        <v>2390.73</v>
      </c>
      <c r="T231" s="2">
        <v>2246.5700000000002</v>
      </c>
      <c r="U231" s="2">
        <v>2231.15</v>
      </c>
      <c r="V231" s="2">
        <v>2346.3000000000002</v>
      </c>
      <c r="W231" s="2">
        <v>1974.7</v>
      </c>
      <c r="X231" s="2">
        <v>1398.84</v>
      </c>
      <c r="Y231" s="2">
        <v>515.71</v>
      </c>
      <c r="Z231" s="2">
        <v>24.79</v>
      </c>
      <c r="AA231" s="12">
        <v>0</v>
      </c>
      <c r="AB231" s="3">
        <f t="shared" si="3"/>
        <v>35112.559999999998</v>
      </c>
      <c r="AC231" s="3">
        <v>4</v>
      </c>
      <c r="AD231" s="52"/>
      <c r="AG231" s="45"/>
      <c r="AH231" s="45"/>
      <c r="AI231" s="45"/>
      <c r="AJ231" s="45"/>
      <c r="AK231" s="45"/>
      <c r="AL231" s="45"/>
      <c r="AM231" s="45"/>
      <c r="AN231" s="45"/>
      <c r="AO231" s="45"/>
      <c r="AP231" s="45"/>
      <c r="AQ231" s="45"/>
      <c r="AR231" s="45"/>
      <c r="AS231" s="45"/>
      <c r="AT231" s="45"/>
      <c r="AU231" s="45"/>
      <c r="AV231" s="45"/>
      <c r="AW231" s="45"/>
      <c r="AX231" s="45"/>
      <c r="AY231" s="45"/>
      <c r="AZ231" s="45"/>
      <c r="BA231" s="45"/>
      <c r="BB231" s="45"/>
      <c r="BC231" s="45"/>
      <c r="BD231" s="45"/>
    </row>
    <row r="232" spans="2:56">
      <c r="B232" s="49"/>
      <c r="C232" s="1" t="s">
        <v>7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73.55</v>
      </c>
      <c r="M232" s="2">
        <v>305.54000000000002</v>
      </c>
      <c r="N232" s="2">
        <v>774.4</v>
      </c>
      <c r="O232" s="2">
        <v>969.02</v>
      </c>
      <c r="P232" s="2">
        <v>1170.96</v>
      </c>
      <c r="Q232" s="2">
        <v>1202.03</v>
      </c>
      <c r="R232" s="2">
        <v>1164.03</v>
      </c>
      <c r="S232" s="2">
        <v>1231.6099999999999</v>
      </c>
      <c r="T232" s="2">
        <v>1289.46</v>
      </c>
      <c r="U232" s="2">
        <v>1368.21</v>
      </c>
      <c r="V232" s="2">
        <v>1659.03</v>
      </c>
      <c r="W232" s="2">
        <v>1636.77</v>
      </c>
      <c r="X232" s="2">
        <v>1292.29</v>
      </c>
      <c r="Y232" s="2">
        <v>517.07000000000005</v>
      </c>
      <c r="Z232" s="2">
        <v>109.94</v>
      </c>
      <c r="AA232" s="12">
        <v>0</v>
      </c>
      <c r="AB232" s="3">
        <f t="shared" si="3"/>
        <v>14763.910000000002</v>
      </c>
      <c r="AC232" s="3">
        <v>5</v>
      </c>
      <c r="AD232" s="52"/>
      <c r="AG232" s="45"/>
      <c r="AH232" s="45"/>
      <c r="AI232" s="45"/>
      <c r="AJ232" s="45"/>
      <c r="AK232" s="45"/>
      <c r="AL232" s="45"/>
      <c r="AM232" s="45"/>
      <c r="AN232" s="45"/>
      <c r="AO232" s="45"/>
      <c r="AP232" s="45"/>
      <c r="AQ232" s="45"/>
      <c r="AR232" s="45"/>
      <c r="AS232" s="45"/>
      <c r="AT232" s="45"/>
      <c r="AU232" s="45"/>
      <c r="AV232" s="45"/>
      <c r="AW232" s="45"/>
      <c r="AX232" s="45"/>
      <c r="AY232" s="45"/>
      <c r="AZ232" s="45"/>
      <c r="BA232" s="45"/>
      <c r="BB232" s="45"/>
      <c r="BC232" s="45"/>
      <c r="BD232" s="45"/>
    </row>
    <row r="233" spans="2:56" ht="15" thickBot="1">
      <c r="B233" s="50"/>
      <c r="C233" s="9" t="s">
        <v>8</v>
      </c>
      <c r="D233" s="10">
        <v>0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3">
        <v>0</v>
      </c>
      <c r="AB233" s="6">
        <f t="shared" si="3"/>
        <v>0</v>
      </c>
      <c r="AC233" s="6">
        <v>0</v>
      </c>
      <c r="AD233" s="53"/>
      <c r="AG233" s="45"/>
      <c r="AH233" s="45"/>
      <c r="AI233" s="45"/>
      <c r="AJ233" s="45"/>
      <c r="AK233" s="45"/>
      <c r="AL233" s="45"/>
      <c r="AM233" s="45"/>
      <c r="AN233" s="45"/>
      <c r="AO233" s="45"/>
      <c r="AP233" s="45"/>
      <c r="AQ233" s="45"/>
      <c r="AR233" s="45"/>
      <c r="AS233" s="45"/>
      <c r="AT233" s="45"/>
      <c r="AU233" s="45"/>
      <c r="AV233" s="45"/>
      <c r="AW233" s="45"/>
      <c r="AX233" s="45"/>
      <c r="AY233" s="45"/>
      <c r="AZ233" s="45"/>
      <c r="BA233" s="45"/>
      <c r="BB233" s="45"/>
      <c r="BC233" s="45"/>
      <c r="BD233" s="45"/>
    </row>
    <row r="234" spans="2:56">
      <c r="B234" s="48">
        <v>47757</v>
      </c>
      <c r="C234" s="8" t="s">
        <v>5</v>
      </c>
      <c r="D234" s="7">
        <v>14.2</v>
      </c>
      <c r="E234" s="7">
        <v>0</v>
      </c>
      <c r="F234" s="7">
        <v>0</v>
      </c>
      <c r="G234" s="7">
        <v>0</v>
      </c>
      <c r="H234" s="7">
        <v>0</v>
      </c>
      <c r="I234" s="7">
        <v>132.02000000000001</v>
      </c>
      <c r="J234" s="7">
        <v>1526.94</v>
      </c>
      <c r="K234" s="7">
        <v>3369.92</v>
      </c>
      <c r="L234" s="7">
        <v>4428.71</v>
      </c>
      <c r="M234" s="7">
        <v>4651.0600000000004</v>
      </c>
      <c r="N234" s="7">
        <v>5325.05</v>
      </c>
      <c r="O234" s="7">
        <v>5531.26</v>
      </c>
      <c r="P234" s="7">
        <v>5138.3</v>
      </c>
      <c r="Q234" s="7">
        <v>5419.17</v>
      </c>
      <c r="R234" s="7">
        <v>5827.47</v>
      </c>
      <c r="S234" s="7">
        <v>5740.34</v>
      </c>
      <c r="T234" s="7">
        <v>5475.07</v>
      </c>
      <c r="U234" s="7">
        <v>4454.5600000000004</v>
      </c>
      <c r="V234" s="7">
        <v>4051.85</v>
      </c>
      <c r="W234" s="7">
        <v>3561.37</v>
      </c>
      <c r="X234" s="7">
        <v>2690.27</v>
      </c>
      <c r="Y234" s="7">
        <v>1757.71</v>
      </c>
      <c r="Z234" s="7">
        <v>1029.8</v>
      </c>
      <c r="AA234" s="11">
        <v>583.11</v>
      </c>
      <c r="AB234" s="5">
        <f t="shared" si="3"/>
        <v>70708.180000000008</v>
      </c>
      <c r="AC234" s="5">
        <v>22</v>
      </c>
      <c r="AD234" s="51">
        <f>(AB234*AC234)+(AB235*AC235)+(AB236*AC236)+(AB237*AC237)</f>
        <v>2107814.66</v>
      </c>
      <c r="AG234" s="45"/>
      <c r="AH234" s="45"/>
      <c r="AI234" s="45"/>
      <c r="AJ234" s="45"/>
      <c r="AK234" s="45"/>
      <c r="AL234" s="45"/>
      <c r="AM234" s="45"/>
      <c r="AN234" s="45"/>
      <c r="AO234" s="45"/>
      <c r="AP234" s="45"/>
      <c r="AQ234" s="45"/>
      <c r="AR234" s="45"/>
      <c r="AS234" s="45"/>
      <c r="AT234" s="45"/>
      <c r="AU234" s="45"/>
      <c r="AV234" s="45"/>
      <c r="AW234" s="45"/>
      <c r="AX234" s="45"/>
      <c r="AY234" s="45"/>
      <c r="AZ234" s="45"/>
      <c r="BA234" s="45"/>
      <c r="BB234" s="45"/>
      <c r="BC234" s="45"/>
      <c r="BD234" s="45"/>
    </row>
    <row r="235" spans="2:56">
      <c r="B235" s="49"/>
      <c r="C235" s="1" t="s">
        <v>6</v>
      </c>
      <c r="D235" s="2">
        <v>1352.57</v>
      </c>
      <c r="E235" s="2">
        <v>1027.3399999999999</v>
      </c>
      <c r="F235" s="2">
        <v>812.19</v>
      </c>
      <c r="G235" s="2">
        <v>750.08</v>
      </c>
      <c r="H235" s="2">
        <v>675.61</v>
      </c>
      <c r="I235" s="2">
        <v>851.12</v>
      </c>
      <c r="J235" s="2">
        <v>2031.29</v>
      </c>
      <c r="K235" s="2">
        <v>3538.61</v>
      </c>
      <c r="L235" s="2">
        <v>4504.47</v>
      </c>
      <c r="M235" s="2">
        <v>4848.2</v>
      </c>
      <c r="N235" s="2">
        <v>5393.01</v>
      </c>
      <c r="O235" s="2">
        <v>5459.89</v>
      </c>
      <c r="P235" s="2">
        <v>5106.83</v>
      </c>
      <c r="Q235" s="2">
        <v>4727.59</v>
      </c>
      <c r="R235" s="2">
        <v>4477.24</v>
      </c>
      <c r="S235" s="2">
        <v>4391.66</v>
      </c>
      <c r="T235" s="2">
        <v>4216.87</v>
      </c>
      <c r="U235" s="2">
        <v>4193.8500000000004</v>
      </c>
      <c r="V235" s="2">
        <v>4333.47</v>
      </c>
      <c r="W235" s="2">
        <v>3882.9</v>
      </c>
      <c r="X235" s="2">
        <v>3184.67</v>
      </c>
      <c r="Y235" s="2">
        <v>2113.85</v>
      </c>
      <c r="Z235" s="2">
        <v>1518.6</v>
      </c>
      <c r="AA235" s="12">
        <v>1099.21</v>
      </c>
      <c r="AB235" s="3">
        <f t="shared" si="3"/>
        <v>74491.12000000001</v>
      </c>
      <c r="AC235" s="3">
        <v>4</v>
      </c>
      <c r="AD235" s="52"/>
      <c r="AG235" s="45"/>
      <c r="AH235" s="45"/>
      <c r="AI235" s="45"/>
      <c r="AJ235" s="45"/>
      <c r="AK235" s="45"/>
      <c r="AL235" s="45"/>
      <c r="AM235" s="45"/>
      <c r="AN235" s="45"/>
      <c r="AO235" s="45"/>
      <c r="AP235" s="45"/>
      <c r="AQ235" s="45"/>
      <c r="AR235" s="45"/>
      <c r="AS235" s="45"/>
      <c r="AT235" s="45"/>
      <c r="AU235" s="45"/>
      <c r="AV235" s="45"/>
      <c r="AW235" s="45"/>
      <c r="AX235" s="45"/>
      <c r="AY235" s="45"/>
      <c r="AZ235" s="45"/>
      <c r="BA235" s="45"/>
      <c r="BB235" s="45"/>
      <c r="BC235" s="45"/>
      <c r="BD235" s="45"/>
    </row>
    <row r="236" spans="2:56">
      <c r="B236" s="49"/>
      <c r="C236" s="1" t="s">
        <v>7</v>
      </c>
      <c r="D236" s="2">
        <v>1033.8</v>
      </c>
      <c r="E236" s="2">
        <v>646.59</v>
      </c>
      <c r="F236" s="2">
        <v>435.32</v>
      </c>
      <c r="G236" s="2">
        <v>287.70999999999998</v>
      </c>
      <c r="H236" s="2">
        <v>175.43</v>
      </c>
      <c r="I236" s="2">
        <v>128.57</v>
      </c>
      <c r="J236" s="2">
        <v>531.25</v>
      </c>
      <c r="K236" s="2">
        <v>1112.44</v>
      </c>
      <c r="L236" s="2">
        <v>1582.06</v>
      </c>
      <c r="M236" s="2">
        <v>1863.35</v>
      </c>
      <c r="N236" s="2">
        <v>2431.85</v>
      </c>
      <c r="O236" s="2">
        <v>2667.83</v>
      </c>
      <c r="P236" s="2">
        <v>2912.68</v>
      </c>
      <c r="Q236" s="2">
        <v>2950.35</v>
      </c>
      <c r="R236" s="2">
        <v>2904.28</v>
      </c>
      <c r="S236" s="2">
        <v>2986.23</v>
      </c>
      <c r="T236" s="2">
        <v>3056.37</v>
      </c>
      <c r="U236" s="2">
        <v>3147.52</v>
      </c>
      <c r="V236" s="2">
        <v>3500.14</v>
      </c>
      <c r="W236" s="2">
        <v>3473.15</v>
      </c>
      <c r="X236" s="2">
        <v>3055.46</v>
      </c>
      <c r="Y236" s="2">
        <v>2115.5100000000002</v>
      </c>
      <c r="Z236" s="2">
        <v>1621.86</v>
      </c>
      <c r="AA236" s="12">
        <v>1270.76</v>
      </c>
      <c r="AB236" s="3">
        <f t="shared" si="3"/>
        <v>45890.51</v>
      </c>
      <c r="AC236" s="3">
        <v>4</v>
      </c>
      <c r="AD236" s="52"/>
      <c r="AG236" s="45"/>
      <c r="AH236" s="45"/>
      <c r="AI236" s="45"/>
      <c r="AJ236" s="45"/>
      <c r="AK236" s="45"/>
      <c r="AL236" s="45"/>
      <c r="AM236" s="45"/>
      <c r="AN236" s="45"/>
      <c r="AO236" s="45"/>
      <c r="AP236" s="45"/>
      <c r="AQ236" s="45"/>
      <c r="AR236" s="45"/>
      <c r="AS236" s="45"/>
      <c r="AT236" s="45"/>
      <c r="AU236" s="45"/>
      <c r="AV236" s="45"/>
      <c r="AW236" s="45"/>
      <c r="AX236" s="45"/>
      <c r="AY236" s="45"/>
      <c r="AZ236" s="45"/>
      <c r="BA236" s="45"/>
      <c r="BB236" s="45"/>
      <c r="BC236" s="45"/>
      <c r="BD236" s="45"/>
    </row>
    <row r="237" spans="2:56" ht="15" thickBot="1">
      <c r="B237" s="50"/>
      <c r="C237" s="9" t="s">
        <v>8</v>
      </c>
      <c r="D237" s="10">
        <v>14.2</v>
      </c>
      <c r="E237" s="10">
        <v>0</v>
      </c>
      <c r="F237" s="10">
        <v>0</v>
      </c>
      <c r="G237" s="10">
        <v>0</v>
      </c>
      <c r="H237" s="10">
        <v>0</v>
      </c>
      <c r="I237" s="10">
        <v>132.02000000000001</v>
      </c>
      <c r="J237" s="10">
        <v>1526.94</v>
      </c>
      <c r="K237" s="10">
        <v>3369.92</v>
      </c>
      <c r="L237" s="10">
        <v>4428.71</v>
      </c>
      <c r="M237" s="10">
        <v>4651.0600000000004</v>
      </c>
      <c r="N237" s="10">
        <v>5325.05</v>
      </c>
      <c r="O237" s="10">
        <v>5531.26</v>
      </c>
      <c r="P237" s="10">
        <v>5138.3</v>
      </c>
      <c r="Q237" s="10">
        <v>5419.17</v>
      </c>
      <c r="R237" s="10">
        <v>5827.47</v>
      </c>
      <c r="S237" s="10">
        <v>5740.34</v>
      </c>
      <c r="T237" s="10">
        <v>5475.07</v>
      </c>
      <c r="U237" s="10">
        <v>4454.5600000000004</v>
      </c>
      <c r="V237" s="10">
        <v>4051.85</v>
      </c>
      <c r="W237" s="10">
        <v>3561.37</v>
      </c>
      <c r="X237" s="10">
        <v>2690.27</v>
      </c>
      <c r="Y237" s="10">
        <v>1757.71</v>
      </c>
      <c r="Z237" s="10">
        <v>1029.8</v>
      </c>
      <c r="AA237" s="13">
        <v>583.11</v>
      </c>
      <c r="AB237" s="6">
        <f t="shared" si="3"/>
        <v>70708.180000000008</v>
      </c>
      <c r="AC237" s="6">
        <v>1</v>
      </c>
      <c r="AD237" s="53"/>
      <c r="AG237" s="45"/>
      <c r="AH237" s="45"/>
      <c r="AI237" s="45"/>
      <c r="AJ237" s="45"/>
      <c r="AK237" s="45"/>
      <c r="AL237" s="45"/>
      <c r="AM237" s="45"/>
      <c r="AN237" s="45"/>
      <c r="AO237" s="45"/>
      <c r="AP237" s="45"/>
      <c r="AQ237" s="45"/>
      <c r="AR237" s="45"/>
      <c r="AS237" s="45"/>
      <c r="AT237" s="45"/>
      <c r="AU237" s="45"/>
      <c r="AV237" s="45"/>
      <c r="AW237" s="45"/>
      <c r="AX237" s="45"/>
      <c r="AY237" s="45"/>
      <c r="AZ237" s="45"/>
      <c r="BA237" s="45"/>
      <c r="BB237" s="45"/>
      <c r="BC237" s="45"/>
      <c r="BD237" s="45"/>
    </row>
    <row r="238" spans="2:56">
      <c r="B238" s="48">
        <v>47788</v>
      </c>
      <c r="C238" s="8" t="s">
        <v>5</v>
      </c>
      <c r="D238" s="7">
        <v>1655.52</v>
      </c>
      <c r="E238" s="7">
        <v>1381.63</v>
      </c>
      <c r="F238" s="7">
        <v>1197.68</v>
      </c>
      <c r="G238" s="7">
        <v>1086.4000000000001</v>
      </c>
      <c r="H238" s="7">
        <v>1141.6400000000001</v>
      </c>
      <c r="I238" s="7">
        <v>1800.58</v>
      </c>
      <c r="J238" s="7">
        <v>3517.95</v>
      </c>
      <c r="K238" s="7">
        <v>5791.68</v>
      </c>
      <c r="L238" s="7">
        <v>7095.23</v>
      </c>
      <c r="M238" s="7">
        <v>7368.98</v>
      </c>
      <c r="N238" s="7">
        <v>8198.77</v>
      </c>
      <c r="O238" s="7">
        <v>8452.65</v>
      </c>
      <c r="P238" s="7">
        <v>7968.85</v>
      </c>
      <c r="Q238" s="7">
        <v>8314.66</v>
      </c>
      <c r="R238" s="7">
        <v>8817.33</v>
      </c>
      <c r="S238" s="7">
        <v>8710.07</v>
      </c>
      <c r="T238" s="7">
        <v>8383.48</v>
      </c>
      <c r="U238" s="7">
        <v>7122.35</v>
      </c>
      <c r="V238" s="7">
        <v>6626.54</v>
      </c>
      <c r="W238" s="7">
        <v>6022.68</v>
      </c>
      <c r="X238" s="7">
        <v>4950.21</v>
      </c>
      <c r="Y238" s="7">
        <v>3802.08</v>
      </c>
      <c r="Z238" s="7">
        <v>2905.89</v>
      </c>
      <c r="AA238" s="11">
        <v>2355.94</v>
      </c>
      <c r="AB238" s="5">
        <f t="shared" si="3"/>
        <v>124668.79</v>
      </c>
      <c r="AC238" s="5">
        <v>19</v>
      </c>
      <c r="AD238" s="51">
        <f>(AB238*AC238)+(AB239*AC239)+(AB240*AC240)+(AB241*AC241)</f>
        <v>2642850.89</v>
      </c>
      <c r="AG238" s="45"/>
      <c r="AH238" s="45"/>
      <c r="AI238" s="45"/>
      <c r="AJ238" s="45"/>
      <c r="AK238" s="45"/>
      <c r="AL238" s="45"/>
      <c r="AM238" s="45"/>
      <c r="AN238" s="45"/>
      <c r="AO238" s="45"/>
      <c r="AP238" s="45"/>
      <c r="AQ238" s="45"/>
      <c r="AR238" s="45"/>
      <c r="AS238" s="45"/>
      <c r="AT238" s="45"/>
      <c r="AU238" s="45"/>
      <c r="AV238" s="45"/>
      <c r="AW238" s="45"/>
      <c r="AX238" s="45"/>
      <c r="AY238" s="45"/>
      <c r="AZ238" s="45"/>
      <c r="BA238" s="45"/>
      <c r="BB238" s="45"/>
      <c r="BC238" s="45"/>
      <c r="BD238" s="45"/>
    </row>
    <row r="239" spans="2:56">
      <c r="B239" s="49"/>
      <c r="C239" s="1" t="s">
        <v>6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206.03</v>
      </c>
      <c r="K239" s="2">
        <v>1416.76</v>
      </c>
      <c r="L239" s="2">
        <v>2195.1</v>
      </c>
      <c r="M239" s="2">
        <v>2472.09</v>
      </c>
      <c r="N239" s="2">
        <v>2911.14</v>
      </c>
      <c r="O239" s="2">
        <v>2965.04</v>
      </c>
      <c r="P239" s="2">
        <v>2680.51</v>
      </c>
      <c r="Q239" s="2">
        <v>2374.9</v>
      </c>
      <c r="R239" s="2">
        <v>2173.16</v>
      </c>
      <c r="S239" s="2">
        <v>2104.19</v>
      </c>
      <c r="T239" s="2">
        <v>1963.33</v>
      </c>
      <c r="U239" s="2">
        <v>1948.74</v>
      </c>
      <c r="V239" s="2">
        <v>2061.25</v>
      </c>
      <c r="W239" s="2">
        <v>1698.16</v>
      </c>
      <c r="X239" s="2">
        <v>1135.48</v>
      </c>
      <c r="Y239" s="2">
        <v>272.56</v>
      </c>
      <c r="Z239" s="2">
        <v>0</v>
      </c>
      <c r="AA239" s="12">
        <v>0</v>
      </c>
      <c r="AB239" s="3">
        <f t="shared" si="3"/>
        <v>30578.440000000002</v>
      </c>
      <c r="AC239" s="3">
        <v>5</v>
      </c>
      <c r="AD239" s="52"/>
      <c r="AG239" s="45"/>
      <c r="AH239" s="45"/>
      <c r="AI239" s="45"/>
      <c r="AJ239" s="45"/>
      <c r="AK239" s="45"/>
      <c r="AL239" s="45"/>
      <c r="AM239" s="45"/>
      <c r="AN239" s="45"/>
      <c r="AO239" s="45"/>
      <c r="AP239" s="45"/>
      <c r="AQ239" s="45"/>
      <c r="AR239" s="45"/>
      <c r="AS239" s="45"/>
      <c r="AT239" s="45"/>
      <c r="AU239" s="45"/>
      <c r="AV239" s="45"/>
      <c r="AW239" s="45"/>
      <c r="AX239" s="45"/>
      <c r="AY239" s="45"/>
      <c r="AZ239" s="45"/>
      <c r="BA239" s="45"/>
      <c r="BB239" s="45"/>
      <c r="BC239" s="45"/>
      <c r="BD239" s="45"/>
    </row>
    <row r="240" spans="2:56">
      <c r="B240" s="49"/>
      <c r="C240" s="1" t="s">
        <v>7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66.739999999999995</v>
      </c>
      <c r="N240" s="2">
        <v>524.87</v>
      </c>
      <c r="O240" s="2">
        <v>715.03</v>
      </c>
      <c r="P240" s="2">
        <v>912.35</v>
      </c>
      <c r="Q240" s="2">
        <v>942.71</v>
      </c>
      <c r="R240" s="2">
        <v>905.58</v>
      </c>
      <c r="S240" s="2">
        <v>971.62</v>
      </c>
      <c r="T240" s="2">
        <v>1028.1400000000001</v>
      </c>
      <c r="U240" s="2">
        <v>1105.55</v>
      </c>
      <c r="V240" s="2">
        <v>1389.71</v>
      </c>
      <c r="W240" s="2">
        <v>1367.96</v>
      </c>
      <c r="X240" s="2">
        <v>1031.3599999999999</v>
      </c>
      <c r="Y240" s="2">
        <v>273.89999999999998</v>
      </c>
      <c r="Z240" s="2">
        <v>0</v>
      </c>
      <c r="AA240" s="12">
        <v>0</v>
      </c>
      <c r="AB240" s="3">
        <f t="shared" si="3"/>
        <v>11235.519999999999</v>
      </c>
      <c r="AC240" s="3">
        <v>4</v>
      </c>
      <c r="AD240" s="52"/>
      <c r="AG240" s="45"/>
      <c r="AH240" s="45"/>
      <c r="AI240" s="45"/>
      <c r="AJ240" s="45"/>
      <c r="AK240" s="45"/>
      <c r="AL240" s="45"/>
      <c r="AM240" s="45"/>
      <c r="AN240" s="45"/>
      <c r="AO240" s="45"/>
      <c r="AP240" s="45"/>
      <c r="AQ240" s="45"/>
      <c r="AR240" s="45"/>
      <c r="AS240" s="45"/>
      <c r="AT240" s="45"/>
      <c r="AU240" s="45"/>
      <c r="AV240" s="45"/>
      <c r="AW240" s="45"/>
      <c r="AX240" s="45"/>
      <c r="AY240" s="45"/>
      <c r="AZ240" s="45"/>
      <c r="BA240" s="45"/>
      <c r="BB240" s="45"/>
      <c r="BC240" s="45"/>
      <c r="BD240" s="45"/>
    </row>
    <row r="241" spans="2:56" ht="15" thickBot="1">
      <c r="B241" s="50"/>
      <c r="C241" s="9" t="s">
        <v>8</v>
      </c>
      <c r="D241" s="10">
        <v>298.95</v>
      </c>
      <c r="E241" s="10">
        <v>8.2200000000000006</v>
      </c>
      <c r="F241" s="10">
        <v>0</v>
      </c>
      <c r="G241" s="10">
        <v>0</v>
      </c>
      <c r="H241" s="10">
        <v>0</v>
      </c>
      <c r="I241" s="10">
        <v>0</v>
      </c>
      <c r="J241" s="10">
        <v>89.35</v>
      </c>
      <c r="K241" s="10">
        <v>761.65</v>
      </c>
      <c r="L241" s="10">
        <v>1299.1300000000001</v>
      </c>
      <c r="M241" s="10">
        <v>1592.92</v>
      </c>
      <c r="N241" s="10">
        <v>2213.02</v>
      </c>
      <c r="O241" s="10">
        <v>2442.41</v>
      </c>
      <c r="P241" s="10">
        <v>2659.88</v>
      </c>
      <c r="Q241" s="10">
        <v>2677.47</v>
      </c>
      <c r="R241" s="10">
        <v>2749.56</v>
      </c>
      <c r="S241" s="10">
        <v>2802.51</v>
      </c>
      <c r="T241" s="10">
        <v>2802.98</v>
      </c>
      <c r="U241" s="10">
        <v>2972.32</v>
      </c>
      <c r="V241" s="10">
        <v>3346.51</v>
      </c>
      <c r="W241" s="10">
        <v>3149.4</v>
      </c>
      <c r="X241" s="10">
        <v>2708.68</v>
      </c>
      <c r="Y241" s="10">
        <v>1686.05</v>
      </c>
      <c r="Z241" s="10">
        <v>1114.92</v>
      </c>
      <c r="AA241" s="13">
        <v>778.87</v>
      </c>
      <c r="AB241" s="6">
        <f t="shared" si="3"/>
        <v>38154.800000000003</v>
      </c>
      <c r="AC241" s="6">
        <v>2</v>
      </c>
      <c r="AD241" s="53"/>
      <c r="AG241" s="45"/>
      <c r="AH241" s="45"/>
      <c r="AI241" s="45"/>
      <c r="AJ241" s="45"/>
      <c r="AK241" s="45"/>
      <c r="AL241" s="45"/>
      <c r="AM241" s="45"/>
      <c r="AN241" s="45"/>
      <c r="AO241" s="45"/>
      <c r="AP241" s="45"/>
      <c r="AQ241" s="45"/>
      <c r="AR241" s="45"/>
      <c r="AS241" s="45"/>
      <c r="AT241" s="45"/>
      <c r="AU241" s="45"/>
      <c r="AV241" s="45"/>
      <c r="AW241" s="45"/>
      <c r="AX241" s="45"/>
      <c r="AY241" s="45"/>
      <c r="AZ241" s="45"/>
      <c r="BA241" s="45"/>
      <c r="BB241" s="45"/>
      <c r="BC241" s="45"/>
      <c r="BD241" s="45"/>
    </row>
    <row r="242" spans="2:56">
      <c r="B242" s="48">
        <v>47818</v>
      </c>
      <c r="C242" s="8" t="s">
        <v>5</v>
      </c>
      <c r="D242" s="7">
        <v>109.48</v>
      </c>
      <c r="E242" s="7">
        <v>0</v>
      </c>
      <c r="F242" s="7">
        <v>0</v>
      </c>
      <c r="G242" s="7">
        <v>0</v>
      </c>
      <c r="H242" s="7">
        <v>0</v>
      </c>
      <c r="I242" s="7">
        <v>230.06</v>
      </c>
      <c r="J242" s="7">
        <v>1657.64</v>
      </c>
      <c r="K242" s="7">
        <v>3544.25</v>
      </c>
      <c r="L242" s="7">
        <v>4627.83</v>
      </c>
      <c r="M242" s="7">
        <v>4855.3900000000003</v>
      </c>
      <c r="N242" s="7">
        <v>5545.15</v>
      </c>
      <c r="O242" s="7">
        <v>5756.19</v>
      </c>
      <c r="P242" s="7">
        <v>5354.03</v>
      </c>
      <c r="Q242" s="7">
        <v>5641.48</v>
      </c>
      <c r="R242" s="7">
        <v>6059.34</v>
      </c>
      <c r="S242" s="7">
        <v>5970.17</v>
      </c>
      <c r="T242" s="7">
        <v>5698.69</v>
      </c>
      <c r="U242" s="7">
        <v>4653.8100000000004</v>
      </c>
      <c r="V242" s="7">
        <v>4241.67</v>
      </c>
      <c r="W242" s="7">
        <v>3739.7</v>
      </c>
      <c r="X242" s="7">
        <v>2848.21</v>
      </c>
      <c r="Y242" s="7">
        <v>1893.82</v>
      </c>
      <c r="Z242" s="7">
        <v>1148.8599999999999</v>
      </c>
      <c r="AA242" s="11">
        <v>691.71</v>
      </c>
      <c r="AB242" s="5">
        <f t="shared" si="3"/>
        <v>74267.48000000001</v>
      </c>
      <c r="AC242" s="5">
        <v>21</v>
      </c>
      <c r="AD242" s="51">
        <f>(AB242*AC242)+(AB243*AC243)+(AB244*AC244)+(AB245*AC245)</f>
        <v>2048841.0800000005</v>
      </c>
      <c r="AG242" s="45"/>
      <c r="AH242" s="45"/>
      <c r="AI242" s="45"/>
      <c r="AJ242" s="45"/>
      <c r="AK242" s="45"/>
      <c r="AL242" s="45"/>
      <c r="AM242" s="45"/>
      <c r="AN242" s="45"/>
      <c r="AO242" s="45"/>
      <c r="AP242" s="45"/>
      <c r="AQ242" s="45"/>
      <c r="AR242" s="45"/>
      <c r="AS242" s="45"/>
      <c r="AT242" s="45"/>
      <c r="AU242" s="45"/>
      <c r="AV242" s="45"/>
      <c r="AW242" s="45"/>
      <c r="AX242" s="45"/>
      <c r="AY242" s="45"/>
      <c r="AZ242" s="45"/>
      <c r="BA242" s="45"/>
      <c r="BB242" s="45"/>
      <c r="BC242" s="45"/>
      <c r="BD242" s="45"/>
    </row>
    <row r="243" spans="2:56">
      <c r="B243" s="49"/>
      <c r="C243" s="1" t="s">
        <v>6</v>
      </c>
      <c r="D243" s="2">
        <v>1080.5999999999999</v>
      </c>
      <c r="E243" s="2">
        <v>762.88</v>
      </c>
      <c r="F243" s="2">
        <v>552.70000000000005</v>
      </c>
      <c r="G243" s="2">
        <v>492.03</v>
      </c>
      <c r="H243" s="2">
        <v>419.28</v>
      </c>
      <c r="I243" s="2">
        <v>590.74</v>
      </c>
      <c r="J243" s="2">
        <v>1743.64</v>
      </c>
      <c r="K243" s="2">
        <v>3215.66</v>
      </c>
      <c r="L243" s="2">
        <v>4159.2</v>
      </c>
      <c r="M243" s="2">
        <v>4494.99</v>
      </c>
      <c r="N243" s="2">
        <v>5027.22</v>
      </c>
      <c r="O243" s="2">
        <v>5092.55</v>
      </c>
      <c r="P243" s="2">
        <v>4747.6499999999996</v>
      </c>
      <c r="Q243" s="2">
        <v>4377.17</v>
      </c>
      <c r="R243" s="2">
        <v>4132.6000000000004</v>
      </c>
      <c r="S243" s="2">
        <v>4049</v>
      </c>
      <c r="T243" s="2">
        <v>3878.25</v>
      </c>
      <c r="U243" s="2">
        <v>3856.23</v>
      </c>
      <c r="V243" s="2">
        <v>3992.62</v>
      </c>
      <c r="W243" s="2">
        <v>3552.46</v>
      </c>
      <c r="X243" s="2">
        <v>2870.37</v>
      </c>
      <c r="Y243" s="2">
        <v>1824.29</v>
      </c>
      <c r="Z243" s="2">
        <v>1242.8</v>
      </c>
      <c r="AA243" s="12">
        <v>833.09</v>
      </c>
      <c r="AB243" s="3">
        <f t="shared" si="3"/>
        <v>66988.02</v>
      </c>
      <c r="AC243" s="3">
        <v>4</v>
      </c>
      <c r="AD243" s="52"/>
      <c r="AG243" s="45"/>
      <c r="AH243" s="45"/>
      <c r="AI243" s="45"/>
      <c r="AJ243" s="45"/>
      <c r="AK243" s="45"/>
      <c r="AL243" s="45"/>
      <c r="AM243" s="45"/>
      <c r="AN243" s="45"/>
      <c r="AO243" s="45"/>
      <c r="AP243" s="45"/>
      <c r="AQ243" s="45"/>
      <c r="AR243" s="45"/>
      <c r="AS243" s="45"/>
      <c r="AT243" s="45"/>
      <c r="AU243" s="45"/>
      <c r="AV243" s="45"/>
      <c r="AW243" s="45"/>
      <c r="AX243" s="45"/>
      <c r="AY243" s="45"/>
      <c r="AZ243" s="45"/>
      <c r="BA243" s="45"/>
      <c r="BB243" s="45"/>
      <c r="BC243" s="45"/>
      <c r="BD243" s="45"/>
    </row>
    <row r="244" spans="2:56">
      <c r="B244" s="49"/>
      <c r="C244" s="1" t="s">
        <v>7</v>
      </c>
      <c r="D244" s="2">
        <v>769.2</v>
      </c>
      <c r="E244" s="2">
        <v>390.93</v>
      </c>
      <c r="F244" s="2">
        <v>184.54</v>
      </c>
      <c r="G244" s="2">
        <v>40.35</v>
      </c>
      <c r="H244" s="2">
        <v>0</v>
      </c>
      <c r="I244" s="2">
        <v>0</v>
      </c>
      <c r="J244" s="2">
        <v>278.25</v>
      </c>
      <c r="K244" s="2">
        <v>845.55</v>
      </c>
      <c r="L244" s="2">
        <v>1304.32</v>
      </c>
      <c r="M244" s="2">
        <v>1579.11</v>
      </c>
      <c r="N244" s="2">
        <v>2134.4699999999998</v>
      </c>
      <c r="O244" s="2">
        <v>2365</v>
      </c>
      <c r="P244" s="2">
        <v>2604.19</v>
      </c>
      <c r="Q244" s="2">
        <v>2640.99</v>
      </c>
      <c r="R244" s="2">
        <v>2595.9899999999998</v>
      </c>
      <c r="S244" s="2">
        <v>2676.04</v>
      </c>
      <c r="T244" s="2">
        <v>2744.56</v>
      </c>
      <c r="U244" s="2">
        <v>2834.08</v>
      </c>
      <c r="V244" s="2">
        <v>3178.55</v>
      </c>
      <c r="W244" s="2">
        <v>3152.19</v>
      </c>
      <c r="X244" s="2">
        <v>2744.15</v>
      </c>
      <c r="Y244" s="2">
        <v>1825.91</v>
      </c>
      <c r="Z244" s="2">
        <v>1343.67</v>
      </c>
      <c r="AA244" s="12">
        <v>1000.68</v>
      </c>
      <c r="AB244" s="3">
        <f t="shared" si="3"/>
        <v>39232.720000000001</v>
      </c>
      <c r="AC244" s="3">
        <v>4</v>
      </c>
      <c r="AD244" s="52"/>
      <c r="AG244" s="45"/>
      <c r="AH244" s="45"/>
      <c r="AI244" s="45"/>
      <c r="AJ244" s="45"/>
      <c r="AK244" s="45"/>
      <c r="AL244" s="45"/>
      <c r="AM244" s="45"/>
      <c r="AN244" s="45"/>
      <c r="AO244" s="45"/>
      <c r="AP244" s="45"/>
      <c r="AQ244" s="45"/>
      <c r="AR244" s="45"/>
      <c r="AS244" s="45"/>
      <c r="AT244" s="45"/>
      <c r="AU244" s="45"/>
      <c r="AV244" s="45"/>
      <c r="AW244" s="45"/>
      <c r="AX244" s="45"/>
      <c r="AY244" s="45"/>
      <c r="AZ244" s="45"/>
      <c r="BA244" s="45"/>
      <c r="BB244" s="45"/>
      <c r="BC244" s="45"/>
      <c r="BD244" s="45"/>
    </row>
    <row r="245" spans="2:56" ht="15" thickBot="1">
      <c r="B245" s="50"/>
      <c r="C245" s="9" t="s">
        <v>8</v>
      </c>
      <c r="D245" s="10">
        <v>27.08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475.19</v>
      </c>
      <c r="L245" s="10">
        <v>996.44</v>
      </c>
      <c r="M245" s="10">
        <v>1281.3499999999999</v>
      </c>
      <c r="N245" s="10">
        <v>1882.72</v>
      </c>
      <c r="O245" s="10">
        <v>2105.19</v>
      </c>
      <c r="P245" s="10">
        <v>2316.09</v>
      </c>
      <c r="Q245" s="10">
        <v>2333.14</v>
      </c>
      <c r="R245" s="10">
        <v>2403.06</v>
      </c>
      <c r="S245" s="10">
        <v>2454.41</v>
      </c>
      <c r="T245" s="10">
        <v>2454.87</v>
      </c>
      <c r="U245" s="10">
        <v>2619.71</v>
      </c>
      <c r="V245" s="10">
        <v>2982.6</v>
      </c>
      <c r="W245" s="10">
        <v>2791.44</v>
      </c>
      <c r="X245" s="10">
        <v>2364.0300000000002</v>
      </c>
      <c r="Y245" s="10">
        <v>1372.29</v>
      </c>
      <c r="Z245" s="10">
        <v>818.41</v>
      </c>
      <c r="AA245" s="13">
        <v>492.5</v>
      </c>
      <c r="AB245" s="6">
        <f t="shared" si="3"/>
        <v>32170.519999999993</v>
      </c>
      <c r="AC245" s="6">
        <v>2</v>
      </c>
      <c r="AD245" s="53"/>
      <c r="AG245" s="45"/>
      <c r="AH245" s="45"/>
      <c r="AI245" s="45"/>
      <c r="AJ245" s="45"/>
      <c r="AK245" s="45"/>
      <c r="AL245" s="45"/>
      <c r="AM245" s="45"/>
      <c r="AN245" s="45"/>
      <c r="AO245" s="45"/>
      <c r="AP245" s="45"/>
      <c r="AQ245" s="45"/>
      <c r="AR245" s="45"/>
      <c r="AS245" s="45"/>
      <c r="AT245" s="45"/>
      <c r="AU245" s="45"/>
      <c r="AV245" s="45"/>
      <c r="AW245" s="45"/>
      <c r="AX245" s="45"/>
      <c r="AY245" s="45"/>
      <c r="AZ245" s="45"/>
      <c r="BA245" s="45"/>
      <c r="BB245" s="45"/>
      <c r="BC245" s="45"/>
      <c r="BD245" s="45"/>
    </row>
    <row r="246" spans="2:56" ht="15" thickBot="1">
      <c r="D246">
        <f>+SUMPRODUCT(D6:D245,$AC$6:$AC$245)</f>
        <v>575884.65999999992</v>
      </c>
      <c r="E246">
        <f t="shared" ref="E246:AA246" si="4">+SUMPRODUCT(E6:E245,$AC$6:$AC$245)</f>
        <v>391214.51999999996</v>
      </c>
      <c r="F246">
        <f t="shared" si="4"/>
        <v>293375.87000000005</v>
      </c>
      <c r="G246">
        <f t="shared" si="4"/>
        <v>247286.99999999994</v>
      </c>
      <c r="H246">
        <f t="shared" si="4"/>
        <v>256043.21999999997</v>
      </c>
      <c r="I246">
        <f t="shared" si="4"/>
        <v>593112.32000000018</v>
      </c>
      <c r="J246">
        <f t="shared" si="4"/>
        <v>2215626.7299999991</v>
      </c>
      <c r="K246">
        <f t="shared" si="4"/>
        <v>4896597.8299999991</v>
      </c>
      <c r="L246">
        <f t="shared" si="4"/>
        <v>6480492.4799999986</v>
      </c>
      <c r="M246">
        <f t="shared" si="4"/>
        <v>6834241.690000006</v>
      </c>
      <c r="N246">
        <f t="shared" si="4"/>
        <v>7731648.3799999952</v>
      </c>
      <c r="O246">
        <f t="shared" si="4"/>
        <v>7935715.290000001</v>
      </c>
      <c r="P246">
        <f t="shared" si="4"/>
        <v>7612572.2700000014</v>
      </c>
      <c r="Q246">
        <f t="shared" si="4"/>
        <v>7791886.9100000039</v>
      </c>
      <c r="R246">
        <f t="shared" si="4"/>
        <v>8206086.6099999966</v>
      </c>
      <c r="S246">
        <f t="shared" si="4"/>
        <v>8136351.4999999972</v>
      </c>
      <c r="T246">
        <f t="shared" si="4"/>
        <v>7819055.8300000075</v>
      </c>
      <c r="U246">
        <f t="shared" si="4"/>
        <v>5991824.3199999994</v>
      </c>
      <c r="V246">
        <f t="shared" si="4"/>
        <v>5485488.9300000006</v>
      </c>
      <c r="W246">
        <f t="shared" si="4"/>
        <v>4860642.9499999983</v>
      </c>
      <c r="X246">
        <f t="shared" si="4"/>
        <v>3824516.55</v>
      </c>
      <c r="Y246">
        <f t="shared" si="4"/>
        <v>2575328.7600000007</v>
      </c>
      <c r="Z246">
        <f t="shared" si="4"/>
        <v>1601414.7700000009</v>
      </c>
      <c r="AA246">
        <f t="shared" si="4"/>
        <v>1047265.74</v>
      </c>
      <c r="AD246" s="17">
        <f>SUM(AD6:AD245)</f>
        <v>103403675.12999998</v>
      </c>
    </row>
  </sheetData>
  <mergeCells count="123">
    <mergeCell ref="B14:B17"/>
    <mergeCell ref="AD14:AD17"/>
    <mergeCell ref="B18:B21"/>
    <mergeCell ref="AD18:AD21"/>
    <mergeCell ref="B22:B25"/>
    <mergeCell ref="AD22:AD25"/>
    <mergeCell ref="B2:AB2"/>
    <mergeCell ref="B3:AB3"/>
    <mergeCell ref="B4:AB4"/>
    <mergeCell ref="B6:B9"/>
    <mergeCell ref="AD6:AD9"/>
    <mergeCell ref="B10:B13"/>
    <mergeCell ref="AD10:AD13"/>
    <mergeCell ref="B38:B41"/>
    <mergeCell ref="AD38:AD41"/>
    <mergeCell ref="B42:B45"/>
    <mergeCell ref="AD42:AD45"/>
    <mergeCell ref="B46:B49"/>
    <mergeCell ref="AD46:AD49"/>
    <mergeCell ref="B26:B29"/>
    <mergeCell ref="AD26:AD29"/>
    <mergeCell ref="B30:B33"/>
    <mergeCell ref="AD30:AD33"/>
    <mergeCell ref="B34:B37"/>
    <mergeCell ref="AD34:AD37"/>
    <mergeCell ref="B62:B65"/>
    <mergeCell ref="AD62:AD65"/>
    <mergeCell ref="B66:B69"/>
    <mergeCell ref="AD66:AD69"/>
    <mergeCell ref="B70:B73"/>
    <mergeCell ref="AD70:AD73"/>
    <mergeCell ref="B50:B53"/>
    <mergeCell ref="AD50:AD53"/>
    <mergeCell ref="B54:B57"/>
    <mergeCell ref="AD54:AD57"/>
    <mergeCell ref="B58:B61"/>
    <mergeCell ref="AD58:AD61"/>
    <mergeCell ref="B86:B89"/>
    <mergeCell ref="AD86:AD89"/>
    <mergeCell ref="B90:B93"/>
    <mergeCell ref="AD90:AD93"/>
    <mergeCell ref="B94:B97"/>
    <mergeCell ref="AD94:AD97"/>
    <mergeCell ref="B74:B77"/>
    <mergeCell ref="AD74:AD77"/>
    <mergeCell ref="B78:B81"/>
    <mergeCell ref="AD78:AD81"/>
    <mergeCell ref="B82:B85"/>
    <mergeCell ref="AD82:AD85"/>
    <mergeCell ref="B110:B113"/>
    <mergeCell ref="AD110:AD113"/>
    <mergeCell ref="B114:B117"/>
    <mergeCell ref="AD114:AD117"/>
    <mergeCell ref="B118:B121"/>
    <mergeCell ref="AD118:AD121"/>
    <mergeCell ref="B98:B101"/>
    <mergeCell ref="AD98:AD101"/>
    <mergeCell ref="B102:B105"/>
    <mergeCell ref="AD102:AD105"/>
    <mergeCell ref="B106:B109"/>
    <mergeCell ref="AD106:AD109"/>
    <mergeCell ref="B134:B137"/>
    <mergeCell ref="AD134:AD137"/>
    <mergeCell ref="B138:B141"/>
    <mergeCell ref="AD138:AD141"/>
    <mergeCell ref="B142:B145"/>
    <mergeCell ref="AD142:AD145"/>
    <mergeCell ref="B122:B125"/>
    <mergeCell ref="AD122:AD125"/>
    <mergeCell ref="B126:B129"/>
    <mergeCell ref="AD126:AD129"/>
    <mergeCell ref="B130:B133"/>
    <mergeCell ref="AD130:AD133"/>
    <mergeCell ref="B158:B161"/>
    <mergeCell ref="AD158:AD161"/>
    <mergeCell ref="B162:B165"/>
    <mergeCell ref="AD162:AD165"/>
    <mergeCell ref="B166:B169"/>
    <mergeCell ref="AD166:AD169"/>
    <mergeCell ref="B146:B149"/>
    <mergeCell ref="AD146:AD149"/>
    <mergeCell ref="B150:B153"/>
    <mergeCell ref="AD150:AD153"/>
    <mergeCell ref="B154:B157"/>
    <mergeCell ref="AD154:AD157"/>
    <mergeCell ref="B182:B185"/>
    <mergeCell ref="AD182:AD185"/>
    <mergeCell ref="B186:B189"/>
    <mergeCell ref="AD186:AD189"/>
    <mergeCell ref="B190:B193"/>
    <mergeCell ref="AD190:AD193"/>
    <mergeCell ref="B170:B173"/>
    <mergeCell ref="AD170:AD173"/>
    <mergeCell ref="B174:B177"/>
    <mergeCell ref="AD174:AD177"/>
    <mergeCell ref="B178:B181"/>
    <mergeCell ref="AD178:AD181"/>
    <mergeCell ref="B206:B209"/>
    <mergeCell ref="AD206:AD209"/>
    <mergeCell ref="B210:B213"/>
    <mergeCell ref="AD210:AD213"/>
    <mergeCell ref="B214:B217"/>
    <mergeCell ref="AD214:AD217"/>
    <mergeCell ref="B194:B197"/>
    <mergeCell ref="AD194:AD197"/>
    <mergeCell ref="B198:B201"/>
    <mergeCell ref="AD198:AD201"/>
    <mergeCell ref="B202:B205"/>
    <mergeCell ref="AD202:AD205"/>
    <mergeCell ref="B242:B245"/>
    <mergeCell ref="AD242:AD245"/>
    <mergeCell ref="B230:B233"/>
    <mergeCell ref="AD230:AD233"/>
    <mergeCell ref="B234:B237"/>
    <mergeCell ref="AD234:AD237"/>
    <mergeCell ref="B238:B241"/>
    <mergeCell ref="AD238:AD241"/>
    <mergeCell ref="B218:B221"/>
    <mergeCell ref="AD218:AD221"/>
    <mergeCell ref="B222:B225"/>
    <mergeCell ref="AD222:AD225"/>
    <mergeCell ref="B226:B229"/>
    <mergeCell ref="AD226:AD229"/>
  </mergeCells>
  <conditionalFormatting sqref="D6:AA245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8DA44-3186-48C2-863E-E6B0E2FF9D4B}">
  <dimension ref="B3:H78"/>
  <sheetViews>
    <sheetView showGridLines="0" tabSelected="1" zoomScale="90" zoomScaleNormal="90" workbookViewId="0">
      <selection activeCell="D13" sqref="D13"/>
    </sheetView>
  </sheetViews>
  <sheetFormatPr baseColWidth="10" defaultColWidth="11.453125" defaultRowHeight="14.5"/>
  <cols>
    <col min="1" max="3" width="11.453125" style="18"/>
    <col min="4" max="4" width="15.26953125" style="18" customWidth="1"/>
    <col min="5" max="5" width="11.453125" style="18"/>
    <col min="6" max="6" width="12.7265625" style="18" bestFit="1" customWidth="1"/>
    <col min="7" max="7" width="11.453125" style="18"/>
    <col min="8" max="8" width="12.6328125" style="46" bestFit="1" customWidth="1"/>
    <col min="9" max="16384" width="11.453125" style="18"/>
  </cols>
  <sheetData>
    <row r="3" spans="2:7" ht="15" thickBot="1"/>
    <row r="4" spans="2:7">
      <c r="B4" s="58" t="s">
        <v>40</v>
      </c>
      <c r="C4" s="59"/>
      <c r="D4" s="59"/>
      <c r="E4" s="59"/>
      <c r="F4" s="59"/>
      <c r="G4" s="60"/>
    </row>
    <row r="5" spans="2:7">
      <c r="B5" s="61" t="s">
        <v>9</v>
      </c>
      <c r="C5" s="62"/>
      <c r="D5" s="62"/>
      <c r="E5" s="62"/>
      <c r="F5" s="62"/>
      <c r="G5" s="63"/>
    </row>
    <row r="6" spans="2:7">
      <c r="B6" s="64" t="s">
        <v>10</v>
      </c>
      <c r="C6" s="65"/>
      <c r="D6" s="65"/>
      <c r="E6" s="65"/>
      <c r="F6" s="65"/>
      <c r="G6" s="66"/>
    </row>
    <row r="7" spans="2:7" ht="15" thickBot="1">
      <c r="B7" s="67" t="s">
        <v>38</v>
      </c>
      <c r="C7" s="68"/>
      <c r="D7" s="68"/>
      <c r="E7" s="68"/>
      <c r="F7" s="68"/>
      <c r="G7" s="69"/>
    </row>
    <row r="8" spans="2:7" ht="15" thickBot="1">
      <c r="B8" s="70" t="s">
        <v>41</v>
      </c>
      <c r="C8" s="71"/>
      <c r="D8" s="71"/>
      <c r="E8" s="71"/>
      <c r="F8" s="71"/>
      <c r="G8" s="72"/>
    </row>
    <row r="9" spans="2:7" ht="15.75" customHeight="1" thickBot="1">
      <c r="B9" s="73" t="s">
        <v>12</v>
      </c>
      <c r="C9" s="73" t="s">
        <v>13</v>
      </c>
      <c r="D9" s="76" t="s">
        <v>39</v>
      </c>
      <c r="E9" s="76"/>
      <c r="F9" s="76"/>
      <c r="G9" s="77"/>
    </row>
    <row r="10" spans="2:7" ht="26.5" thickBot="1">
      <c r="B10" s="74"/>
      <c r="C10" s="75"/>
      <c r="D10" s="19" t="s">
        <v>14</v>
      </c>
      <c r="E10" s="21" t="s">
        <v>15</v>
      </c>
      <c r="F10" s="20" t="s">
        <v>16</v>
      </c>
      <c r="G10" s="22" t="s">
        <v>17</v>
      </c>
    </row>
    <row r="11" spans="2:7">
      <c r="B11" s="33">
        <v>2026</v>
      </c>
      <c r="C11" s="34" t="s">
        <v>25</v>
      </c>
      <c r="D11" s="35">
        <f>+'Producto 2 Curvo 26-30'!AE6</f>
        <v>1552866.8</v>
      </c>
      <c r="E11" s="78"/>
      <c r="F11" s="26">
        <f t="shared" ref="F11:F70" si="0">+E11*D11</f>
        <v>0</v>
      </c>
      <c r="G11" s="27"/>
    </row>
    <row r="12" spans="2:7">
      <c r="B12" s="23">
        <v>2026</v>
      </c>
      <c r="C12" s="24" t="s">
        <v>26</v>
      </c>
      <c r="D12" s="25">
        <f>+'Producto 2 Curvo 26-30'!AE7</f>
        <v>1473870.48</v>
      </c>
      <c r="E12" s="78"/>
      <c r="F12" s="26">
        <f t="shared" si="0"/>
        <v>0</v>
      </c>
      <c r="G12" s="27"/>
    </row>
    <row r="13" spans="2:7">
      <c r="B13" s="23">
        <v>2026</v>
      </c>
      <c r="C13" s="24" t="s">
        <v>27</v>
      </c>
      <c r="D13" s="25">
        <f>+'Producto 2 Curvo 26-30'!AE8</f>
        <v>1731537.3399999996</v>
      </c>
      <c r="E13" s="78"/>
      <c r="F13" s="26">
        <f t="shared" si="0"/>
        <v>0</v>
      </c>
      <c r="G13" s="27"/>
    </row>
    <row r="14" spans="2:7">
      <c r="B14" s="23">
        <v>2026</v>
      </c>
      <c r="C14" s="24" t="s">
        <v>28</v>
      </c>
      <c r="D14" s="25">
        <f>+'Producto 2 Curvo 26-30'!AE9</f>
        <v>1478016.7799999998</v>
      </c>
      <c r="E14" s="78"/>
      <c r="F14" s="26">
        <f t="shared" si="0"/>
        <v>0</v>
      </c>
      <c r="G14" s="27"/>
    </row>
    <row r="15" spans="2:7">
      <c r="B15" s="23">
        <v>2026</v>
      </c>
      <c r="C15" s="24" t="s">
        <v>29</v>
      </c>
      <c r="D15" s="25">
        <f>+'Producto 2 Curvo 26-30'!AE10</f>
        <v>1828194.3399999999</v>
      </c>
      <c r="E15" s="78"/>
      <c r="F15" s="26">
        <f t="shared" si="0"/>
        <v>0</v>
      </c>
      <c r="G15" s="27"/>
    </row>
    <row r="16" spans="2:7">
      <c r="B16" s="23">
        <v>2026</v>
      </c>
      <c r="C16" s="24" t="s">
        <v>18</v>
      </c>
      <c r="D16" s="25">
        <f>+'Producto 2 Curvo 26-30'!AE11</f>
        <v>1973106.7399999998</v>
      </c>
      <c r="E16" s="78"/>
      <c r="F16" s="26">
        <f t="shared" si="0"/>
        <v>0</v>
      </c>
      <c r="G16" s="27"/>
    </row>
    <row r="17" spans="2:8">
      <c r="B17" s="23">
        <v>2026</v>
      </c>
      <c r="C17" s="24" t="s">
        <v>19</v>
      </c>
      <c r="D17" s="25">
        <f>+'Producto 2 Curvo 26-30'!AE12</f>
        <v>1510339.6599999997</v>
      </c>
      <c r="E17" s="78"/>
      <c r="F17" s="26">
        <f t="shared" si="0"/>
        <v>0</v>
      </c>
      <c r="G17" s="27"/>
    </row>
    <row r="18" spans="2:8">
      <c r="B18" s="23">
        <v>2026</v>
      </c>
      <c r="C18" s="24" t="s">
        <v>20</v>
      </c>
      <c r="D18" s="25">
        <f>+'Producto 2 Curvo 26-30'!AE13</f>
        <v>2285036.2800000003</v>
      </c>
      <c r="E18" s="78"/>
      <c r="F18" s="26">
        <f t="shared" si="0"/>
        <v>0</v>
      </c>
      <c r="G18" s="27"/>
    </row>
    <row r="19" spans="2:8">
      <c r="B19" s="23">
        <v>2026</v>
      </c>
      <c r="C19" s="24" t="s">
        <v>21</v>
      </c>
      <c r="D19" s="25">
        <f>+'Producto 2 Curvo 26-30'!AE14</f>
        <v>1434951.66</v>
      </c>
      <c r="E19" s="78"/>
      <c r="F19" s="26">
        <f t="shared" si="0"/>
        <v>0</v>
      </c>
      <c r="G19" s="27"/>
    </row>
    <row r="20" spans="2:8">
      <c r="B20" s="23">
        <v>2026</v>
      </c>
      <c r="C20" s="24" t="s">
        <v>22</v>
      </c>
      <c r="D20" s="25">
        <f>+'Producto 2 Curvo 26-30'!AE15</f>
        <v>1813493.17</v>
      </c>
      <c r="E20" s="78"/>
      <c r="F20" s="26">
        <f t="shared" si="0"/>
        <v>0</v>
      </c>
      <c r="G20" s="27"/>
    </row>
    <row r="21" spans="2:8">
      <c r="B21" s="23">
        <v>2026</v>
      </c>
      <c r="C21" s="24" t="s">
        <v>23</v>
      </c>
      <c r="D21" s="25">
        <f>+'Producto 2 Curvo 26-30'!AE16</f>
        <v>2323444.02</v>
      </c>
      <c r="E21" s="78"/>
      <c r="F21" s="26">
        <f t="shared" si="0"/>
        <v>0</v>
      </c>
      <c r="G21" s="27"/>
    </row>
    <row r="22" spans="2:8" ht="15" thickBot="1">
      <c r="B22" s="28">
        <v>2026</v>
      </c>
      <c r="C22" s="29" t="s">
        <v>24</v>
      </c>
      <c r="D22" s="30">
        <f>+'Producto 2 Curvo 26-30'!AE17</f>
        <v>1777353.2000000004</v>
      </c>
      <c r="E22" s="79"/>
      <c r="F22" s="31">
        <f t="shared" si="0"/>
        <v>0</v>
      </c>
      <c r="G22" s="32"/>
      <c r="H22" s="46">
        <f>SUM(D11:D22)</f>
        <v>21182210.469999999</v>
      </c>
    </row>
    <row r="23" spans="2:8">
      <c r="B23" s="33">
        <v>2027</v>
      </c>
      <c r="C23" s="34" t="s">
        <v>25</v>
      </c>
      <c r="D23" s="35">
        <f>+'Producto 2 Curvo 26-30'!AE18</f>
        <v>670204.52</v>
      </c>
      <c r="E23" s="78"/>
      <c r="F23" s="26">
        <f t="shared" si="0"/>
        <v>0</v>
      </c>
      <c r="G23" s="27"/>
    </row>
    <row r="24" spans="2:8">
      <c r="B24" s="23">
        <v>2027</v>
      </c>
      <c r="C24" s="24" t="s">
        <v>26</v>
      </c>
      <c r="D24" s="25">
        <f>+'Producto 2 Curvo 26-30'!AE19</f>
        <v>762091.88</v>
      </c>
      <c r="E24" s="78"/>
      <c r="F24" s="26">
        <f t="shared" si="0"/>
        <v>0</v>
      </c>
      <c r="G24" s="27"/>
    </row>
    <row r="25" spans="2:8">
      <c r="B25" s="23">
        <v>2027</v>
      </c>
      <c r="C25" s="24" t="s">
        <v>27</v>
      </c>
      <c r="D25" s="25">
        <f>+'Producto 2 Curvo 26-30'!AE20</f>
        <v>870772.84000000008</v>
      </c>
      <c r="E25" s="78"/>
      <c r="F25" s="26">
        <f t="shared" si="0"/>
        <v>0</v>
      </c>
      <c r="G25" s="27"/>
    </row>
    <row r="26" spans="2:8">
      <c r="B26" s="23">
        <v>2027</v>
      </c>
      <c r="C26" s="24" t="s">
        <v>28</v>
      </c>
      <c r="D26" s="25">
        <f>+'Producto 2 Curvo 26-30'!AE21</f>
        <v>678285.02</v>
      </c>
      <c r="E26" s="78"/>
      <c r="F26" s="26">
        <f t="shared" si="0"/>
        <v>0</v>
      </c>
      <c r="G26" s="27"/>
    </row>
    <row r="27" spans="2:8">
      <c r="B27" s="23">
        <v>2027</v>
      </c>
      <c r="C27" s="24" t="s">
        <v>29</v>
      </c>
      <c r="D27" s="25">
        <f>+'Producto 2 Curvo 26-30'!AE22</f>
        <v>846371.60999999975</v>
      </c>
      <c r="E27" s="78"/>
      <c r="F27" s="26">
        <f t="shared" si="0"/>
        <v>0</v>
      </c>
      <c r="G27" s="27"/>
    </row>
    <row r="28" spans="2:8">
      <c r="B28" s="23">
        <v>2027</v>
      </c>
      <c r="C28" s="24" t="s">
        <v>18</v>
      </c>
      <c r="D28" s="25">
        <f>+'Producto 2 Curvo 26-30'!AE23</f>
        <v>1225790.8300000003</v>
      </c>
      <c r="E28" s="78"/>
      <c r="F28" s="26">
        <f t="shared" si="0"/>
        <v>0</v>
      </c>
      <c r="G28" s="27"/>
    </row>
    <row r="29" spans="2:8">
      <c r="B29" s="23">
        <v>2027</v>
      </c>
      <c r="C29" s="24" t="s">
        <v>19</v>
      </c>
      <c r="D29" s="25">
        <f>+'Producto 2 Curvo 26-30'!AE24</f>
        <v>712300.97</v>
      </c>
      <c r="E29" s="78"/>
      <c r="F29" s="26">
        <f t="shared" si="0"/>
        <v>0</v>
      </c>
      <c r="G29" s="27"/>
    </row>
    <row r="30" spans="2:8">
      <c r="B30" s="23">
        <v>2027</v>
      </c>
      <c r="C30" s="24" t="s">
        <v>20</v>
      </c>
      <c r="D30" s="25">
        <f>+'Producto 2 Curvo 26-30'!AE25</f>
        <v>1429772.5899999999</v>
      </c>
      <c r="E30" s="78"/>
      <c r="F30" s="26">
        <f t="shared" si="0"/>
        <v>0</v>
      </c>
      <c r="G30" s="27"/>
    </row>
    <row r="31" spans="2:8">
      <c r="B31" s="23">
        <v>2027</v>
      </c>
      <c r="C31" s="24" t="s">
        <v>21</v>
      </c>
      <c r="D31" s="25">
        <f>+'Producto 2 Curvo 26-30'!AE26</f>
        <v>647393.38000000012</v>
      </c>
      <c r="E31" s="78"/>
      <c r="F31" s="26">
        <f t="shared" si="0"/>
        <v>0</v>
      </c>
      <c r="G31" s="27"/>
    </row>
    <row r="32" spans="2:8">
      <c r="B32" s="23">
        <v>2027</v>
      </c>
      <c r="C32" s="24" t="s">
        <v>22</v>
      </c>
      <c r="D32" s="25">
        <f>+'Producto 2 Curvo 26-30'!AE27</f>
        <v>813966.44</v>
      </c>
      <c r="E32" s="78"/>
      <c r="F32" s="26">
        <f t="shared" si="0"/>
        <v>0</v>
      </c>
      <c r="G32" s="27"/>
    </row>
    <row r="33" spans="2:8">
      <c r="B33" s="23">
        <v>2027</v>
      </c>
      <c r="C33" s="24" t="s">
        <v>23</v>
      </c>
      <c r="D33" s="25">
        <f>+'Producto 2 Curvo 26-30'!AE28</f>
        <v>1457831.2799999998</v>
      </c>
      <c r="E33" s="78"/>
      <c r="F33" s="26">
        <f t="shared" si="0"/>
        <v>0</v>
      </c>
      <c r="G33" s="27"/>
    </row>
    <row r="34" spans="2:8" ht="15" thickBot="1">
      <c r="B34" s="28">
        <v>2027</v>
      </c>
      <c r="C34" s="29" t="s">
        <v>24</v>
      </c>
      <c r="D34" s="30">
        <f>+'Producto 2 Curvo 26-30'!AE29</f>
        <v>835977.46000000008</v>
      </c>
      <c r="E34" s="79"/>
      <c r="F34" s="31">
        <f t="shared" si="0"/>
        <v>0</v>
      </c>
      <c r="G34" s="32"/>
      <c r="H34" s="46">
        <f>SUM(D23:D34)</f>
        <v>10950758.82</v>
      </c>
    </row>
    <row r="35" spans="2:8">
      <c r="B35" s="33">
        <v>2028</v>
      </c>
      <c r="C35" s="34" t="s">
        <v>25</v>
      </c>
      <c r="D35" s="35">
        <f>+'Producto 2 Curvo 26-30'!AE30</f>
        <v>1232929.79</v>
      </c>
      <c r="E35" s="78"/>
      <c r="F35" s="26">
        <f t="shared" si="0"/>
        <v>0</v>
      </c>
      <c r="G35" s="27"/>
    </row>
    <row r="36" spans="2:8">
      <c r="B36" s="23">
        <v>2028</v>
      </c>
      <c r="C36" s="24" t="s">
        <v>26</v>
      </c>
      <c r="D36" s="25">
        <f>+'Producto 2 Curvo 26-30'!AE31</f>
        <v>1302385.33</v>
      </c>
      <c r="E36" s="78"/>
      <c r="F36" s="26">
        <f t="shared" si="0"/>
        <v>0</v>
      </c>
      <c r="G36" s="27"/>
    </row>
    <row r="37" spans="2:8">
      <c r="B37" s="23">
        <v>2028</v>
      </c>
      <c r="C37" s="24" t="s">
        <v>27</v>
      </c>
      <c r="D37" s="25">
        <f>+'Producto 2 Curvo 26-30'!AE32</f>
        <v>1659521.36</v>
      </c>
      <c r="E37" s="78"/>
      <c r="F37" s="26">
        <f t="shared" si="0"/>
        <v>0</v>
      </c>
      <c r="G37" s="27"/>
    </row>
    <row r="38" spans="2:8">
      <c r="B38" s="23">
        <v>2028</v>
      </c>
      <c r="C38" s="24" t="s">
        <v>28</v>
      </c>
      <c r="D38" s="25">
        <f>+'Producto 2 Curvo 26-30'!AE33</f>
        <v>1399460.1899999997</v>
      </c>
      <c r="E38" s="78"/>
      <c r="F38" s="26">
        <f t="shared" si="0"/>
        <v>0</v>
      </c>
      <c r="G38" s="27"/>
    </row>
    <row r="39" spans="2:8">
      <c r="B39" s="23">
        <v>2028</v>
      </c>
      <c r="C39" s="24" t="s">
        <v>29</v>
      </c>
      <c r="D39" s="25">
        <f>+'Producto 2 Curvo 26-30'!AE34</f>
        <v>1811173.5500000003</v>
      </c>
      <c r="E39" s="78"/>
      <c r="F39" s="26">
        <f t="shared" si="0"/>
        <v>0</v>
      </c>
      <c r="G39" s="27"/>
    </row>
    <row r="40" spans="2:8">
      <c r="B40" s="23">
        <v>2028</v>
      </c>
      <c r="C40" s="24" t="s">
        <v>18</v>
      </c>
      <c r="D40" s="25">
        <f>+'Producto 2 Curvo 26-30'!AE35</f>
        <v>1969308.92</v>
      </c>
      <c r="E40" s="78"/>
      <c r="F40" s="26">
        <f t="shared" si="0"/>
        <v>0</v>
      </c>
      <c r="G40" s="27"/>
    </row>
    <row r="41" spans="2:8">
      <c r="B41" s="23">
        <v>2028</v>
      </c>
      <c r="C41" s="24" t="s">
        <v>19</v>
      </c>
      <c r="D41" s="25">
        <f>+'Producto 2 Curvo 26-30'!AE36</f>
        <v>1411727.89</v>
      </c>
      <c r="E41" s="78"/>
      <c r="F41" s="26">
        <f t="shared" si="0"/>
        <v>0</v>
      </c>
      <c r="G41" s="27"/>
    </row>
    <row r="42" spans="2:8">
      <c r="B42" s="23">
        <v>2028</v>
      </c>
      <c r="C42" s="24" t="s">
        <v>20</v>
      </c>
      <c r="D42" s="25">
        <f>+'Producto 2 Curvo 26-30'!AE37</f>
        <v>2297156.37</v>
      </c>
      <c r="E42" s="78"/>
      <c r="F42" s="26">
        <f t="shared" si="0"/>
        <v>0</v>
      </c>
      <c r="G42" s="27"/>
    </row>
    <row r="43" spans="2:8">
      <c r="B43" s="23">
        <v>2028</v>
      </c>
      <c r="C43" s="24" t="s">
        <v>21</v>
      </c>
      <c r="D43" s="25">
        <f>+'Producto 2 Curvo 26-30'!AE38</f>
        <v>1320777.7199999995</v>
      </c>
      <c r="E43" s="78"/>
      <c r="F43" s="26">
        <f t="shared" si="0"/>
        <v>0</v>
      </c>
      <c r="G43" s="27"/>
    </row>
    <row r="44" spans="2:8">
      <c r="B44" s="23">
        <v>2028</v>
      </c>
      <c r="C44" s="24" t="s">
        <v>22</v>
      </c>
      <c r="D44" s="25">
        <f>+'Producto 2 Curvo 26-30'!AE39</f>
        <v>1645928.7200000002</v>
      </c>
      <c r="E44" s="78"/>
      <c r="F44" s="26">
        <f t="shared" si="0"/>
        <v>0</v>
      </c>
      <c r="G44" s="27"/>
    </row>
    <row r="45" spans="2:8">
      <c r="B45" s="23">
        <v>2028</v>
      </c>
      <c r="C45" s="24" t="s">
        <v>23</v>
      </c>
      <c r="D45" s="25">
        <f>+'Producto 2 Curvo 26-30'!AE40</f>
        <v>2280352.38</v>
      </c>
      <c r="E45" s="78"/>
      <c r="F45" s="26">
        <f t="shared" si="0"/>
        <v>0</v>
      </c>
      <c r="G45" s="27"/>
    </row>
    <row r="46" spans="2:8" ht="15" thickBot="1">
      <c r="B46" s="28">
        <v>2028</v>
      </c>
      <c r="C46" s="29" t="s">
        <v>24</v>
      </c>
      <c r="D46" s="30">
        <f>+'Producto 2 Curvo 26-30'!AE41</f>
        <v>1570253.5899999999</v>
      </c>
      <c r="E46" s="79"/>
      <c r="F46" s="31">
        <f t="shared" si="0"/>
        <v>0</v>
      </c>
      <c r="G46" s="32"/>
      <c r="H46" s="46">
        <f>SUM(D35:D46)</f>
        <v>19900975.810000002</v>
      </c>
    </row>
    <row r="47" spans="2:8">
      <c r="B47" s="33">
        <v>2029</v>
      </c>
      <c r="C47" s="34" t="s">
        <v>25</v>
      </c>
      <c r="D47" s="35">
        <f>+'Producto 2 Curvo 26-30'!AE42</f>
        <v>1817539.76</v>
      </c>
      <c r="E47" s="78"/>
      <c r="F47" s="26">
        <f t="shared" si="0"/>
        <v>0</v>
      </c>
      <c r="G47" s="27"/>
    </row>
    <row r="48" spans="2:8">
      <c r="B48" s="23">
        <v>2029</v>
      </c>
      <c r="C48" s="24" t="s">
        <v>26</v>
      </c>
      <c r="D48" s="25">
        <f>+'Producto 2 Curvo 26-30'!AE43</f>
        <v>1713859.48</v>
      </c>
      <c r="E48" s="78"/>
      <c r="F48" s="26">
        <f t="shared" si="0"/>
        <v>0</v>
      </c>
      <c r="G48" s="27"/>
    </row>
    <row r="49" spans="2:8">
      <c r="B49" s="23">
        <v>2029</v>
      </c>
      <c r="C49" s="24" t="s">
        <v>27</v>
      </c>
      <c r="D49" s="25">
        <f>+'Producto 2 Curvo 26-30'!AE44</f>
        <v>2068419.1600000001</v>
      </c>
      <c r="E49" s="78"/>
      <c r="F49" s="26">
        <f t="shared" si="0"/>
        <v>0</v>
      </c>
      <c r="G49" s="27"/>
    </row>
    <row r="50" spans="2:8">
      <c r="B50" s="23">
        <v>2029</v>
      </c>
      <c r="C50" s="24" t="s">
        <v>28</v>
      </c>
      <c r="D50" s="25">
        <f>+'Producto 2 Curvo 26-30'!AE45</f>
        <v>2089524.5300000003</v>
      </c>
      <c r="E50" s="78"/>
      <c r="F50" s="26">
        <f t="shared" si="0"/>
        <v>0</v>
      </c>
      <c r="G50" s="27"/>
    </row>
    <row r="51" spans="2:8">
      <c r="B51" s="23">
        <v>2029</v>
      </c>
      <c r="C51" s="24" t="s">
        <v>29</v>
      </c>
      <c r="D51" s="25">
        <f>+'Producto 2 Curvo 26-30'!AE46</f>
        <v>2443286.0500000003</v>
      </c>
      <c r="E51" s="78"/>
      <c r="F51" s="26">
        <f t="shared" si="0"/>
        <v>0</v>
      </c>
      <c r="G51" s="27"/>
    </row>
    <row r="52" spans="2:8">
      <c r="B52" s="23">
        <v>2029</v>
      </c>
      <c r="C52" s="24" t="s">
        <v>18</v>
      </c>
      <c r="D52" s="25">
        <f>+'Producto 2 Curvo 26-30'!AE47</f>
        <v>2524716.9000000004</v>
      </c>
      <c r="E52" s="78"/>
      <c r="F52" s="26">
        <f t="shared" si="0"/>
        <v>0</v>
      </c>
      <c r="G52" s="27"/>
    </row>
    <row r="53" spans="2:8">
      <c r="B53" s="23">
        <v>2029</v>
      </c>
      <c r="C53" s="24" t="s">
        <v>19</v>
      </c>
      <c r="D53" s="25">
        <f>+'Producto 2 Curvo 26-30'!AE48</f>
        <v>1933251.07</v>
      </c>
      <c r="E53" s="78"/>
      <c r="F53" s="26">
        <f t="shared" si="0"/>
        <v>0</v>
      </c>
      <c r="G53" s="27"/>
    </row>
    <row r="54" spans="2:8">
      <c r="B54" s="23">
        <v>2029</v>
      </c>
      <c r="C54" s="24" t="s">
        <v>20</v>
      </c>
      <c r="D54" s="25">
        <f>+'Producto 2 Curvo 26-30'!AE49</f>
        <v>2946858.4700000011</v>
      </c>
      <c r="E54" s="78"/>
      <c r="F54" s="26">
        <f t="shared" si="0"/>
        <v>0</v>
      </c>
      <c r="G54" s="27"/>
    </row>
    <row r="55" spans="2:8">
      <c r="B55" s="23">
        <v>2029</v>
      </c>
      <c r="C55" s="24" t="s">
        <v>21</v>
      </c>
      <c r="D55" s="25">
        <f>+'Producto 2 Curvo 26-30'!AE50</f>
        <v>1777303.5000000002</v>
      </c>
      <c r="E55" s="78"/>
      <c r="F55" s="26">
        <f t="shared" si="0"/>
        <v>0</v>
      </c>
      <c r="G55" s="27"/>
    </row>
    <row r="56" spans="2:8">
      <c r="B56" s="23">
        <v>2029</v>
      </c>
      <c r="C56" s="24" t="s">
        <v>22</v>
      </c>
      <c r="D56" s="25">
        <f>+'Producto 2 Curvo 26-30'!AE51</f>
        <v>2266374.4500000002</v>
      </c>
      <c r="E56" s="78"/>
      <c r="F56" s="26">
        <f t="shared" si="0"/>
        <v>0</v>
      </c>
      <c r="G56" s="27"/>
    </row>
    <row r="57" spans="2:8">
      <c r="B57" s="23">
        <v>2029</v>
      </c>
      <c r="C57" s="24" t="s">
        <v>23</v>
      </c>
      <c r="D57" s="25">
        <f>+'Producto 2 Curvo 26-30'!AE52</f>
        <v>2892186.26</v>
      </c>
      <c r="E57" s="78"/>
      <c r="F57" s="26">
        <f t="shared" si="0"/>
        <v>0</v>
      </c>
      <c r="G57" s="27"/>
    </row>
    <row r="58" spans="2:8" ht="15" thickBot="1">
      <c r="B58" s="28">
        <v>2029</v>
      </c>
      <c r="C58" s="29" t="s">
        <v>24</v>
      </c>
      <c r="D58" s="30">
        <f>+'Producto 2 Curvo 26-30'!AE53</f>
        <v>2177993.5900000003</v>
      </c>
      <c r="E58" s="79"/>
      <c r="F58" s="31">
        <f t="shared" si="0"/>
        <v>0</v>
      </c>
      <c r="G58" s="32"/>
      <c r="H58" s="46">
        <f>SUM(D47:D58)</f>
        <v>26651313.220000003</v>
      </c>
    </row>
    <row r="59" spans="2:8">
      <c r="B59" s="33">
        <v>2030</v>
      </c>
      <c r="C59" s="34" t="s">
        <v>25</v>
      </c>
      <c r="D59" s="35">
        <f>+'Producto 2 Curvo 26-30'!AE54</f>
        <v>1674255.3299999998</v>
      </c>
      <c r="E59" s="78"/>
      <c r="F59" s="26">
        <f t="shared" si="0"/>
        <v>0</v>
      </c>
      <c r="G59" s="27"/>
    </row>
    <row r="60" spans="2:8">
      <c r="B60" s="23">
        <v>2030</v>
      </c>
      <c r="C60" s="24" t="s">
        <v>26</v>
      </c>
      <c r="D60" s="25">
        <f>+'Producto 2 Curvo 26-30'!AE55</f>
        <v>1591688.96</v>
      </c>
      <c r="E60" s="78"/>
      <c r="F60" s="26">
        <f t="shared" si="0"/>
        <v>0</v>
      </c>
      <c r="G60" s="27"/>
    </row>
    <row r="61" spans="2:8">
      <c r="B61" s="23">
        <v>2030</v>
      </c>
      <c r="C61" s="24" t="s">
        <v>27</v>
      </c>
      <c r="D61" s="25">
        <f>+'Producto 2 Curvo 26-30'!AE56</f>
        <v>1952032.3000000005</v>
      </c>
      <c r="E61" s="78"/>
      <c r="F61" s="26">
        <f t="shared" si="0"/>
        <v>0</v>
      </c>
      <c r="G61" s="27"/>
    </row>
    <row r="62" spans="2:8">
      <c r="B62" s="23">
        <v>2030</v>
      </c>
      <c r="C62" s="24" t="s">
        <v>28</v>
      </c>
      <c r="D62" s="25">
        <f>+'Producto 2 Curvo 26-30'!AE57</f>
        <v>1888773.26</v>
      </c>
      <c r="E62" s="78"/>
      <c r="F62" s="26">
        <f t="shared" si="0"/>
        <v>0</v>
      </c>
      <c r="G62" s="27"/>
    </row>
    <row r="63" spans="2:8">
      <c r="B63" s="23">
        <v>2030</v>
      </c>
      <c r="C63" s="24" t="s">
        <v>29</v>
      </c>
      <c r="D63" s="25">
        <f>+'Producto 2 Curvo 26-30'!AE58</f>
        <v>2322495.7999999998</v>
      </c>
      <c r="E63" s="78"/>
      <c r="F63" s="26">
        <f t="shared" si="0"/>
        <v>0</v>
      </c>
      <c r="G63" s="27"/>
    </row>
    <row r="64" spans="2:8">
      <c r="B64" s="23">
        <v>2030</v>
      </c>
      <c r="C64" s="24" t="s">
        <v>18</v>
      </c>
      <c r="D64" s="25">
        <f>+'Producto 2 Curvo 26-30'!AE59</f>
        <v>2278520.67</v>
      </c>
      <c r="E64" s="78"/>
      <c r="F64" s="26">
        <f t="shared" si="0"/>
        <v>0</v>
      </c>
      <c r="G64" s="27"/>
    </row>
    <row r="65" spans="2:8">
      <c r="B65" s="23">
        <v>2030</v>
      </c>
      <c r="C65" s="24" t="s">
        <v>19</v>
      </c>
      <c r="D65" s="25">
        <f>+'Producto 2 Curvo 26-30'!AE60</f>
        <v>1835372.3600000003</v>
      </c>
      <c r="E65" s="78"/>
      <c r="F65" s="26">
        <f t="shared" si="0"/>
        <v>0</v>
      </c>
      <c r="G65" s="27"/>
    </row>
    <row r="66" spans="2:8">
      <c r="B66" s="23">
        <v>2030</v>
      </c>
      <c r="C66" s="24" t="s">
        <v>20</v>
      </c>
      <c r="D66" s="25">
        <f>+'Producto 2 Curvo 26-30'!AE61</f>
        <v>2701010.7200000007</v>
      </c>
      <c r="E66" s="78"/>
      <c r="F66" s="26">
        <f t="shared" si="0"/>
        <v>0</v>
      </c>
      <c r="G66" s="27"/>
    </row>
    <row r="67" spans="2:8">
      <c r="B67" s="23">
        <v>2030</v>
      </c>
      <c r="C67" s="24" t="s">
        <v>21</v>
      </c>
      <c r="D67" s="25">
        <f>+'Producto 2 Curvo 26-30'!AE62</f>
        <v>1674760.7800000005</v>
      </c>
      <c r="E67" s="78"/>
      <c r="F67" s="26">
        <f t="shared" si="0"/>
        <v>0</v>
      </c>
      <c r="G67" s="27"/>
    </row>
    <row r="68" spans="2:8">
      <c r="B68" s="23">
        <v>2030</v>
      </c>
      <c r="C68" s="24" t="s">
        <v>22</v>
      </c>
      <c r="D68" s="25">
        <f>+'Producto 2 Curvo 26-30'!AE63</f>
        <v>2107814.66</v>
      </c>
      <c r="E68" s="78"/>
      <c r="F68" s="26">
        <f t="shared" si="0"/>
        <v>0</v>
      </c>
      <c r="G68" s="27"/>
    </row>
    <row r="69" spans="2:8">
      <c r="B69" s="23">
        <v>2030</v>
      </c>
      <c r="C69" s="24" t="s">
        <v>23</v>
      </c>
      <c r="D69" s="25">
        <f>+'Producto 2 Curvo 26-30'!AE64</f>
        <v>2642850.89</v>
      </c>
      <c r="E69" s="78"/>
      <c r="F69" s="26">
        <f t="shared" si="0"/>
        <v>0</v>
      </c>
      <c r="G69" s="27"/>
    </row>
    <row r="70" spans="2:8" ht="15" thickBot="1">
      <c r="B70" s="28">
        <v>2030</v>
      </c>
      <c r="C70" s="29" t="s">
        <v>24</v>
      </c>
      <c r="D70" s="30">
        <f>+'Producto 2 Curvo 26-30'!AE65</f>
        <v>2048841.0800000005</v>
      </c>
      <c r="E70" s="79"/>
      <c r="F70" s="31">
        <f t="shared" si="0"/>
        <v>0</v>
      </c>
      <c r="G70" s="32"/>
      <c r="H70" s="46">
        <f>SUM(D59:D70)</f>
        <v>24718416.810000002</v>
      </c>
    </row>
    <row r="71" spans="2:8" ht="15" thickBot="1">
      <c r="B71" s="56" t="s">
        <v>35</v>
      </c>
      <c r="C71" s="57"/>
      <c r="D71" s="36">
        <f>+SUM(D11:D70)</f>
        <v>103403675.12999998</v>
      </c>
    </row>
    <row r="73" spans="2:8">
      <c r="B73" s="18" t="s">
        <v>30</v>
      </c>
    </row>
    <row r="74" spans="2:8">
      <c r="B74" s="18" t="s">
        <v>31</v>
      </c>
    </row>
    <row r="75" spans="2:8">
      <c r="B75" s="18" t="s">
        <v>32</v>
      </c>
    </row>
    <row r="76" spans="2:8">
      <c r="B76" s="18" t="s">
        <v>33</v>
      </c>
    </row>
    <row r="78" spans="2:8">
      <c r="D78" s="43"/>
    </row>
  </sheetData>
  <mergeCells count="14">
    <mergeCell ref="B71:C71"/>
    <mergeCell ref="B4:G4"/>
    <mergeCell ref="B5:G5"/>
    <mergeCell ref="B6:G6"/>
    <mergeCell ref="B7:G7"/>
    <mergeCell ref="B8:G8"/>
    <mergeCell ref="B9:B10"/>
    <mergeCell ref="C9:C10"/>
    <mergeCell ref="D9:G9"/>
    <mergeCell ref="E11:E22"/>
    <mergeCell ref="E23:E34"/>
    <mergeCell ref="E35:E46"/>
    <mergeCell ref="E47:E58"/>
    <mergeCell ref="E59:E7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Producto 1 Plano 26-30</vt:lpstr>
      <vt:lpstr>Anexo 2 Producto 1</vt:lpstr>
      <vt:lpstr>Producto 2 Curvo 26-30</vt:lpstr>
      <vt:lpstr>Anexo 2 Producto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Melissa Gonzalez Parra</dc:creator>
  <cp:lastModifiedBy>Daniel Bohorquez</cp:lastModifiedBy>
  <dcterms:created xsi:type="dcterms:W3CDTF">2021-03-30T14:28:44Z</dcterms:created>
  <dcterms:modified xsi:type="dcterms:W3CDTF">2025-03-28T00:41:08Z</dcterms:modified>
</cp:coreProperties>
</file>